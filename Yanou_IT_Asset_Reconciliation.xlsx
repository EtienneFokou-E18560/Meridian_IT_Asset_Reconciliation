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Source Inventory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Corrected Register" sheetId="4" state="visible" r:id="rId4"/>
    <sheet xmlns:r="http://schemas.openxmlformats.org/officeDocument/2006/relationships" name="Exception Register" sheetId="5" state="visible" r:id="rId5"/>
    <sheet xmlns:r="http://schemas.openxmlformats.org/officeDocument/2006/relationships" name="Custody Chain" sheetId="6" state="visible" r:id="rId6"/>
    <sheet xmlns:r="http://schemas.openxmlformats.org/officeDocument/2006/relationships" name="Ledger Reconciliation" sheetId="7" state="visible" r:id="rId7"/>
    <sheet xmlns:r="http://schemas.openxmlformats.org/officeDocument/2006/relationships" name="Certification" sheetId="8" state="visible" r:id="rId8"/>
    <sheet xmlns:r="http://schemas.openxmlformats.org/officeDocument/2006/relationships" name="Evidence Index" sheetId="9" state="visible" r:id="rId9"/>
    <sheet xmlns:r="http://schemas.openxmlformats.org/officeDocument/2006/relationships"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COUNTA('Exception Register'!A5:A200)</f>
        <v>163</v>
      </c>
    </row>
    <row r="9">
      <c r="A9" s="4" t="inlineStr">
        <is>
          <t>Critical certification blockers (sign-off list)</t>
        </is>
      </c>
      <c r="B9" s="5">
        <f>COUNTA('Certification'!A32:A38)</f>
        <v>7</v>
      </c>
    </row>
    <row r="10">
      <c r="A10" s="4" t="inlineStr">
        <is>
          <t>Assets Missing / Cannot Locate</t>
        </is>
      </c>
      <c r="B10" s="5">
        <f>COUNTIF('Corrected Register'!J5:J200,"Missing")</f>
        <v>12</v>
      </c>
    </row>
    <row r="11">
      <c r="A11" s="4" t="inlineStr">
        <is>
          <t>Overdue returns (label ≠ proof)</t>
        </is>
      </c>
      <c r="B11" s="5">
        <f>COUNTIF('Corrected Register'!J5:J200,"Return Overdue")</f>
        <v>12</v>
      </c>
    </row>
    <row r="12">
      <c r="A12" s="4" t="inlineStr">
        <is>
          <t>Verified disposed with certificate</t>
        </is>
      </c>
      <c r="B12" s="5">
        <f>COUNTIF('Corrected Register'!J5:J200,"Disposed")</f>
        <v>8</v>
      </c>
    </row>
    <row r="13">
      <c r="A13" s="4" t="inlineStr">
        <is>
          <t>Custody chains documented</t>
        </is>
      </c>
      <c r="B13" s="5">
        <f>65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Register'!J5:J200,A19)</f>
        <v>25</v>
      </c>
      <c r="C19" s="7">
        <f>SUMIF('Corrected Register'!J5:J200,A19,'Corrected Register'!N5:N200)</f>
        <v>12961</v>
      </c>
      <c r="E19" s="7" t="inlineStr">
        <is>
          <t>Laptop</t>
        </is>
      </c>
      <c r="F19" s="7">
        <f>COUNTIF('Corrected Register'!C5:C200,E19)</f>
        <v>40</v>
      </c>
      <c r="G19" s="7">
        <f>SUMIF('Corrected Register'!C5:C200,E19,'Corrected Register'!N5:N200)</f>
        <v>13030.88</v>
      </c>
    </row>
    <row r="20">
      <c r="A20" s="7" t="inlineStr">
        <is>
          <t>Disposed</t>
        </is>
      </c>
      <c r="B20" s="7">
        <f>COUNTIF('Corrected Register'!J5:J200,A20)</f>
        <v>8</v>
      </c>
      <c r="C20" s="7">
        <f>SUMIF('Corrected Register'!J5:J200,A20,'Corrected Register'!N5:N200)</f>
        <v>0</v>
      </c>
      <c r="E20" s="7" t="inlineStr">
        <is>
          <t>Mobile Device</t>
        </is>
      </c>
      <c r="F20" s="7">
        <f>COUNTIF('Corrected Register'!C5:C200,E20)</f>
        <v>36</v>
      </c>
      <c r="G20" s="7">
        <f>SUMIF('Corrected Register'!C5:C200,E20,'Corrected Register'!N5:N200)</f>
        <v>18983.58</v>
      </c>
    </row>
    <row r="21">
      <c r="A21" s="8" t="inlineStr">
        <is>
          <t>In Transit - Exception</t>
        </is>
      </c>
      <c r="B21" s="7">
        <f>COUNTIF('Corrected Register'!J5:J200,A21)</f>
        <v>2</v>
      </c>
      <c r="C21" s="7">
        <f>SUMIF('Corrected Register'!J5:J200,A21,'Corrected Register'!N5:N200)</f>
        <v>1019.4</v>
      </c>
      <c r="E21" s="7" t="inlineStr">
        <is>
          <t>Monitor</t>
        </is>
      </c>
      <c r="F21" s="7">
        <f>COUNTIF('Corrected Register'!C5:C200,E21)</f>
        <v>28</v>
      </c>
      <c r="G21" s="7">
        <f>SUMIF('Corrected Register'!C5:C200,E21,'Corrected Register'!N5:N200)</f>
        <v>15372.27</v>
      </c>
    </row>
    <row r="22">
      <c r="A22" s="7" t="inlineStr">
        <is>
          <t>In Use</t>
        </is>
      </c>
      <c r="B22" s="7">
        <f>COUNTIF('Corrected Register'!J5:J200,A22)</f>
        <v>51</v>
      </c>
      <c r="C22" s="7">
        <f>SUMIF('Corrected Register'!J5:J200,A22,'Corrected Register'!N5:N200)</f>
        <v>25477.76</v>
      </c>
      <c r="E22" s="7" t="inlineStr">
        <is>
          <t>Network Asset</t>
        </is>
      </c>
      <c r="F22" s="7">
        <f>COUNTIF('Corrected Register'!C5:C200,E22)</f>
        <v>28</v>
      </c>
      <c r="G22" s="7">
        <f>SUMIF('Corrected Register'!C5:C200,E22,'Corrected Register'!N5:N200)</f>
        <v>14139.87</v>
      </c>
    </row>
    <row r="23">
      <c r="A23" s="8" t="inlineStr">
        <is>
          <t>Missing</t>
        </is>
      </c>
      <c r="B23" s="7">
        <f>COUNTIF('Corrected Register'!J5:J200,A23)</f>
        <v>12</v>
      </c>
      <c r="C23" s="7">
        <f>SUMIF('Corrected Register'!J5:J200,A23,'Corrected Register'!N5:N200)</f>
        <v>6214.38</v>
      </c>
    </row>
    <row r="24">
      <c r="A24" s="7" t="inlineStr">
        <is>
          <t>Pending Redeployment</t>
        </is>
      </c>
      <c r="B24" s="7">
        <f>COUNTIF('Corrected Register'!J5:J200,A24)</f>
        <v>10</v>
      </c>
      <c r="C24" s="7">
        <f>SUMIF('Corrected Register'!J5:J200,A24,'Corrected Register'!N5:N200)</f>
        <v>4851.08</v>
      </c>
    </row>
    <row r="25">
      <c r="A25" s="7" t="inlineStr">
        <is>
          <t>Retired/Pending Disposal</t>
        </is>
      </c>
      <c r="B25" s="7">
        <f>COUNTIF('Corrected Register'!J5:J200,A25)</f>
        <v>12</v>
      </c>
      <c r="C25" s="7">
        <f>SUMIF('Corrected Register'!J5:J200,A25,'Corrected Register'!N5:N200)</f>
        <v>4811.33</v>
      </c>
    </row>
    <row r="26">
      <c r="A26" s="8" t="inlineStr">
        <is>
          <t>Return Overdue</t>
        </is>
      </c>
      <c r="B26" s="7">
        <f>COUNTIF('Corrected Register'!J5:J200,A26)</f>
        <v>12</v>
      </c>
      <c r="C26" s="7">
        <f>SUMIF('Corrected Register'!J5:J200,A26,'Corrected Register'!N5:N200)</f>
        <v>6191.65</v>
      </c>
    </row>
    <row r="30">
      <c r="A30" s="6" t="inlineStr">
        <is>
          <t>By Verified Location</t>
        </is>
      </c>
      <c r="B30" t="n">
        <v>0</v>
      </c>
      <c r="C30" t="n">
        <v>0</v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n">
        <v>0</v>
      </c>
      <c r="C31" s="3" t="n">
        <v>0</v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Register'!I5:I200,A32)</f>
        <v>16</v>
      </c>
      <c r="C32" s="7">
        <f>SUMIF('Corrected Register'!I5:I200,A32,'Corrected Register'!N5:N200)</f>
        <v>5184.18</v>
      </c>
      <c r="E32" s="7" t="inlineStr">
        <is>
          <t>Cannot Locate</t>
        </is>
      </c>
      <c r="F32" s="7">
        <f>COUNTIF('Exception Register'!B5:B200,E32)</f>
        <v>12</v>
      </c>
      <c r="G32" s="7">
        <f>SUMIF('Exception Register'!B5:B200,E32,'Exception Register'!G5:G200)</f>
        <v>0</v>
      </c>
    </row>
    <row r="33">
      <c r="A33" s="7" t="inlineStr">
        <is>
          <t>Atlanta</t>
        </is>
      </c>
      <c r="B33" s="7">
        <f>COUNTIF('Corrected Register'!I5:I200,A33)</f>
        <v>15</v>
      </c>
      <c r="C33" s="7">
        <f>SUMIF('Corrected Register'!I5:I200,A33,'Corrected Register'!N5:N200)</f>
        <v>6267.29</v>
      </c>
      <c r="E33" s="7" t="inlineStr">
        <is>
          <t>Closed Location Assignment</t>
        </is>
      </c>
      <c r="F33" s="7">
        <f>COUNTIF('Exception Register'!B5:B200,E33)</f>
        <v>61</v>
      </c>
      <c r="G33" s="7">
        <f>SUMIF('Exception Register'!B5:B200,E33,'Exception Register'!G5:G200)</f>
        <v>0</v>
      </c>
    </row>
    <row r="34">
      <c r="A34" s="7" t="inlineStr">
        <is>
          <t>Dallas</t>
        </is>
      </c>
      <c r="B34" s="7">
        <f>COUNTIF('Corrected Register'!I5:I200,A34)</f>
        <v>15</v>
      </c>
      <c r="C34" s="7">
        <f>SUMIF('Corrected Register'!I5:I200,A34,'Corrected Register'!N5:N200)</f>
        <v>11070.95</v>
      </c>
      <c r="E34" s="7" t="inlineStr">
        <is>
          <t>Duplicate Serial Number</t>
        </is>
      </c>
      <c r="F34" s="7">
        <f>COUNTIF('Exception Register'!B5:B200,E34)</f>
        <v>4</v>
      </c>
      <c r="G34" s="7">
        <f>SUMIF('Exception Register'!B5:B200,E34,'Exception Register'!G5:G200)</f>
        <v>0</v>
      </c>
    </row>
    <row r="35">
      <c r="A35" s="7" t="inlineStr">
        <is>
          <t>Seattle</t>
        </is>
      </c>
      <c r="B35" s="7">
        <f>COUNTIF('Corrected Register'!I5:I200,A35)</f>
        <v>15</v>
      </c>
      <c r="C35" s="7">
        <f>SUMIF('Corrected Register'!I5:I200,A35,'Corrected Register'!N5:N200)</f>
        <v>5149.95</v>
      </c>
      <c r="E35" s="7" t="inlineStr">
        <is>
          <t>Former Employee Assignment</t>
        </is>
      </c>
      <c r="F35" s="7">
        <f>COUNTIF('Exception Register'!B5:B200,E35)</f>
        <v>43</v>
      </c>
      <c r="G35" s="7">
        <f>SUMIF('Exception Register'!B5:B200,E35,'Exception Register'!G5:G200)</f>
        <v>0</v>
      </c>
    </row>
    <row r="36">
      <c r="A36" s="7" t="inlineStr">
        <is>
          <t>Denver</t>
        </is>
      </c>
      <c r="B36" s="7">
        <f>COUNTIF('Corrected Register'!I5:I200,A36)</f>
        <v>14</v>
      </c>
      <c r="C36" s="7">
        <f>SUMIF('Corrected Register'!I5:I200,A36,'Corrected Register'!N5:N200)</f>
        <v>5551.75</v>
      </c>
      <c r="E36" s="7" t="inlineStr">
        <is>
          <t>Inventory-to-Ledger Difference</t>
        </is>
      </c>
      <c r="F36" s="7">
        <f>COUNTIF('Exception Register'!B5:B200,E36)</f>
        <v>8</v>
      </c>
      <c r="G36" s="7">
        <f>SUMIF('Exception Register'!B5:B200,E36,'Exception Register'!G5:G200)</f>
        <v>0</v>
      </c>
    </row>
    <row r="37">
      <c r="A37" s="7" t="inlineStr">
        <is>
          <t>New York</t>
        </is>
      </c>
      <c r="B37" s="7">
        <f>COUNTIF('Corrected Register'!I5:I200,A37)</f>
        <v>14</v>
      </c>
      <c r="C37" s="7">
        <f>SUMIF('Corrected Register'!I5:I200,A37,'Corrected Register'!N5:N200)</f>
        <v>10526</v>
      </c>
      <c r="E37" s="7" t="inlineStr">
        <is>
          <t>Missing Disposal Evidence</t>
        </is>
      </c>
      <c r="F37" s="7">
        <f>COUNTIF('Exception Register'!B5:B200,E37)</f>
        <v>12</v>
      </c>
      <c r="G37" s="7">
        <f>SUMIF('Exception Register'!B5:B200,E37,'Exception Register'!G5:G200)</f>
        <v>0</v>
      </c>
    </row>
    <row r="38">
      <c r="A38" s="7" t="inlineStr">
        <is>
          <t>Unknown</t>
        </is>
      </c>
      <c r="B38" s="7">
        <f>COUNTIF('Corrected Register'!I5:I200,A38)</f>
        <v>12</v>
      </c>
      <c r="C38" s="7">
        <f>SUMIF('Corrected Register'!I5:I200,A38,'Corrected Register'!N5:N200)</f>
        <v>6214.38</v>
      </c>
      <c r="E38" s="7" t="inlineStr">
        <is>
          <t>Overdue Return</t>
        </is>
      </c>
      <c r="F38" s="7">
        <f>COUNTIF('Exception Register'!B5:B200,E38)</f>
        <v>12</v>
      </c>
      <c r="G38" s="7">
        <f>SUMIF('Exception Register'!B5:B200,E38,'Exception Register'!G5:G200)</f>
        <v>0</v>
      </c>
    </row>
    <row r="39">
      <c r="A39" s="7" t="inlineStr">
        <is>
          <t>Remote - Former Employee</t>
        </is>
      </c>
      <c r="B39" s="7">
        <f>COUNTIF('Corrected Register'!I5:I200,A39)</f>
        <v>10</v>
      </c>
      <c r="C39" s="7">
        <f>SUMIF('Corrected Register'!I5:I200,A39,'Corrected Register'!N5:N200)</f>
        <v>4878.51</v>
      </c>
      <c r="E39" s="7" t="inlineStr">
        <is>
          <t>Shipment Mismatch</t>
        </is>
      </c>
      <c r="F39" s="7">
        <f>COUNTIF('Exception Register'!B5:B200,E39)</f>
        <v>4</v>
      </c>
      <c r="G39" s="7">
        <f>SUMIF('Exception Register'!B5:B200,E39,'Exception Register'!G5:G200)</f>
        <v>0</v>
      </c>
    </row>
    <row r="40">
      <c r="A40" s="7" t="inlineStr">
        <is>
          <t>Disposed</t>
        </is>
      </c>
      <c r="B40" s="7">
        <f>COUNTIF('Corrected Register'!I5:I200,A40)</f>
        <v>8</v>
      </c>
      <c r="C40" s="7">
        <f>SUMIF('Corrected Register'!I5:I200,A40,'Corrected Register'!N5:N200)</f>
        <v>0</v>
      </c>
      <c r="E40" s="7" t="inlineStr">
        <is>
          <t>Unapproved Transfer</t>
        </is>
      </c>
      <c r="F40" s="7">
        <f>COUNTIF('Exception Register'!B5:B200,E40)</f>
        <v>5</v>
      </c>
      <c r="G40" s="7">
        <f>SUMIF('Exception Register'!B5:B200,E40,'Exception Register'!G5:G200)</f>
        <v>0</v>
      </c>
    </row>
    <row r="41">
      <c r="A41" s="7" t="inlineStr">
        <is>
          <t>Atlanta Warehouse</t>
        </is>
      </c>
      <c r="B41" s="7">
        <f>COUNTIF('Corrected Register'!I5:I200,A41)</f>
        <v>7</v>
      </c>
      <c r="C41" s="7">
        <f>SUMIF('Corrected Register'!I5:I200,A41,'Corrected Register'!N5:N200)</f>
        <v>4351.05</v>
      </c>
      <c r="E41" t="inlineStr">
        <is>
          <t>Below Capitalization Threshold</t>
        </is>
      </c>
      <c r="F41">
        <f>COUNTIF('Exception Register'!B5:B200,E41)</f>
        <v>2</v>
      </c>
      <c r="G41">
        <f>SUMIF('Exception Register'!B5:B200,E41,'Exception Register'!G5:G200)</f>
        <v>0</v>
      </c>
    </row>
    <row r="42">
      <c r="A42" s="7" t="inlineStr">
        <is>
          <t>Carrier Network / Unverified</t>
        </is>
      </c>
      <c r="B42" s="7">
        <f>COUNTIF('Corrected Register'!I5:I200,A42)</f>
        <v>4</v>
      </c>
      <c r="C42" s="7">
        <f>SUMIF('Corrected Register'!I5:I200,A42,'Corrected Register'!N5:N200)</f>
        <v>2332.54</v>
      </c>
    </row>
    <row r="43">
      <c r="A43" s="7" t="inlineStr">
        <is>
          <t>Disposed (certificate missing)</t>
        </is>
      </c>
      <c r="B43" s="7">
        <f>COUNTIF('Corrected Register'!I5:I200,A43)</f>
        <v>2</v>
      </c>
      <c r="C43" s="7">
        <f>SUMIF('Corrected Register'!I5:I200,A43,'Corrected Register'!N5:N200)</f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n">
        <v>0</v>
      </c>
      <c r="C46" s="20" t="n">
        <v>0</v>
      </c>
    </row>
    <row r="47">
      <c r="A47" s="21" t="inlineStr">
        <is>
          <t>MD-LA-050021</t>
        </is>
      </c>
      <c r="B47" s="21" t="n">
        <v>0</v>
      </c>
      <c r="C47" s="21" t="n">
        <v>0</v>
      </c>
    </row>
    <row r="48">
      <c r="A48" s="21" t="inlineStr">
        <is>
          <t>MD-NE-050088</t>
        </is>
      </c>
      <c r="B48" s="21" t="n">
        <v>0</v>
      </c>
      <c r="C48" s="21" t="n">
        <v>0</v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Laptop</t>
        </is>
      </c>
      <c r="D5" s="7" t="inlineStr">
        <is>
          <t>HP EliteBook 840 G10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HP EliteBook 840 G10 tagged MD-00001 reconciled using PO-2022-0001+FA-000001+TR-00001+HR. Present state In Use/Chicago, cost $1,895.</t>
        </is>
      </c>
      <c r="L5" s="7" t="inlineStr">
        <is>
          <t>2026-08-05</t>
        </is>
      </c>
      <c r="M5" s="7" t="n">
        <v>1895</v>
      </c>
      <c r="N5" s="7">
        <f>IFERROR(INDEX('Source Ledger'!$G$5:$G$200,MATCH(A5,'Source Ledger'!$B$5:$B$200,0)),"")</f>
        <v>0</v>
      </c>
      <c r="O5" s="7">
        <f>IFERROR(INDEX('Source Ledger'!$A$5:$A$200,MATCH(A5,'Source Ledger'!$B$5:$B$200,0)),"")</f>
        <v/>
      </c>
      <c r="P5" s="7">
        <f>IFERROR(INDEX('Source Ledger'!$D$5:$D$200,MATCH(A5,'Source Ledger'!$B$5:$B$200,0)),"")</f>
        <v/>
      </c>
      <c r="Q5" s="9" t="inlineStr">
        <is>
          <t>High</t>
        </is>
      </c>
      <c r="R5" s="7" t="inlineStr"/>
      <c r="S5" s="7" t="inlineStr">
        <is>
          <t>No</t>
        </is>
      </c>
      <c r="T5">
        <f>IFERROR(INDEX('Source Ledger'!$E$5:$E$200,MATCH(A5,'Source Ledger'!$B$5:$B$200,0)),"")</f>
        <v>1895</v>
      </c>
      <c r="U5">
        <f>IFERROR(INDEX('Source Ledger'!$H$5:$H$200,MATCH(A5,'Source Ledger'!$B$5:$B$200,0)),"")</f>
        <v/>
      </c>
      <c r="V5">
        <f>IFERROR(INDEX('Source Ledger'!$G$5:$G$200,MATCH(A5,'Source Ledger'!$B$5:$B$200,0)),"")</f>
        <v>0</v>
      </c>
      <c r="W5">
        <f>IF(T5="","",T5-M5)</f>
        <v>0</v>
      </c>
      <c r="X5">
        <f>IF(V5="","No","Yes")</f>
        <v/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Laptop</t>
        </is>
      </c>
      <c r="D6" s="7" t="inlineStr">
        <is>
          <t>Microsoft Surface Laptop 5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Source stack for MD-00002 (Microsoft Surface Laptop 5): PO-2022-0001, FA-000002, TR-00002. Custodian context Model Microsoft; status In Use at Dallas; basis $610.</t>
        </is>
      </c>
      <c r="L6" s="7" t="inlineStr">
        <is>
          <t>2026-08-05</t>
        </is>
      </c>
      <c r="M6" s="7" t="n">
        <v>610</v>
      </c>
      <c r="N6" s="7">
        <f>IFERROR(INDEX('Source Ledger'!$G$5:$G$200,MATCH(A6,'Source Ledger'!$B$5:$B$200,0)),"")</f>
        <v>313.06</v>
      </c>
      <c r="O6" s="7">
        <f>IFERROR(INDEX('Source Ledger'!$A$5:$A$200,MATCH(A6,'Source Ledger'!$B$5:$B$200,0)),"")</f>
        <v/>
      </c>
      <c r="P6" s="7">
        <f>IFERROR(INDEX('Source Ledger'!$D$5:$D$200,MATCH(A6,'Source Ledger'!$B$5:$B$200,0)),"")</f>
        <v/>
      </c>
      <c r="Q6" s="9" t="inlineStr">
        <is>
          <t>High</t>
        </is>
      </c>
      <c r="R6" s="7" t="inlineStr"/>
      <c r="S6" s="7" t="inlineStr">
        <is>
          <t>No</t>
        </is>
      </c>
      <c r="T6">
        <f>IFERROR(INDEX('Source Ledger'!$E$5:$E$200,MATCH(A6,'Source Ledger'!$B$5:$B$200,0)),"")</f>
        <v>610</v>
      </c>
      <c r="U6">
        <f>IFERROR(INDEX('Source Ledger'!$H$5:$H$200,MATCH(A6,'Source Ledger'!$B$5:$B$200,0)),"")</f>
        <v/>
      </c>
      <c r="V6">
        <f>IFERROR(INDEX('Source Ledger'!$G$5:$G$200,MATCH(A6,'Source Ledger'!$B$5:$B$200,0)),"")</f>
        <v>313.06</v>
      </c>
      <c r="W6">
        <f>IF(T6="","",T6-M6)</f>
        <v>0</v>
      </c>
      <c r="X6">
        <f>IF(V6="","No","Yes")</f>
        <v/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Laptop</t>
        </is>
      </c>
      <c r="D7" s="7" t="inlineStr">
        <is>
          <t>Lenovo ThinkPad X1 Carbon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Lenovo ThinkPad X1 Carbon tagged MD-00003 reconciled using PO-2022-0001+FA-000003+TR-00003+HR. Present state In Use/Denver, cost $1,085.</t>
        </is>
      </c>
      <c r="L7" s="7" t="inlineStr">
        <is>
          <t>2026-08-05</t>
        </is>
      </c>
      <c r="M7" s="7" t="n">
        <v>1085</v>
      </c>
      <c r="N7" s="7">
        <f>IFERROR(INDEX('Source Ledger'!$G$5:$G$200,MATCH(A7,'Source Ledger'!$B$5:$B$200,0)),"")</f>
        <v>597.83</v>
      </c>
      <c r="O7" s="7">
        <f>IFERROR(INDEX('Source Ledger'!$A$5:$A$200,MATCH(A7,'Source Ledger'!$B$5:$B$200,0)),"")</f>
        <v/>
      </c>
      <c r="P7" s="7">
        <f>IFERROR(INDEX('Source Ledger'!$D$5:$D$200,MATCH(A7,'Source Ledger'!$B$5:$B$200,0)),"")</f>
        <v/>
      </c>
      <c r="Q7" s="9" t="inlineStr">
        <is>
          <t>High</t>
        </is>
      </c>
      <c r="R7" s="7" t="inlineStr"/>
      <c r="S7" s="7" t="inlineStr">
        <is>
          <t>No</t>
        </is>
      </c>
      <c r="T7">
        <f>IFERROR(INDEX('Source Ledger'!$E$5:$E$200,MATCH(A7,'Source Ledger'!$B$5:$B$200,0)),"")</f>
        <v>1085</v>
      </c>
      <c r="U7">
        <f>IFERROR(INDEX('Source Ledger'!$H$5:$H$200,MATCH(A7,'Source Ledger'!$B$5:$B$200,0)),"")</f>
        <v/>
      </c>
      <c r="V7">
        <f>IFERROR(INDEX('Source Ledger'!$G$5:$G$200,MATCH(A7,'Source Ledger'!$B$5:$B$200,0)),"")</f>
        <v>597.83</v>
      </c>
      <c r="W7">
        <f>IF(T7="","",T7-M7)</f>
        <v>0</v>
      </c>
      <c r="X7">
        <f>IF(V7="","No","Yes")</f>
        <v/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Laptop</t>
        </is>
      </c>
      <c r="D8" s="7" t="inlineStr">
        <is>
          <t>Lenovo ThinkPad T14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Source stack for MD-00004 (Lenovo ThinkPad T14): PO-2023-0002, FA-000004, TR-00004. Custodian context E0004; status In Use at New York; basis $6,380.</t>
        </is>
      </c>
      <c r="L8" s="7" t="inlineStr">
        <is>
          <t>2026-08-05</t>
        </is>
      </c>
      <c r="M8" s="7" t="n">
        <v>6380</v>
      </c>
      <c r="N8" s="7">
        <f>IFERROR(INDEX('Source Ledger'!$G$5:$G$200,MATCH(A8,'Source Ledger'!$B$5:$B$200,0)),"")</f>
        <v>940.62</v>
      </c>
      <c r="O8" s="7">
        <f>IFERROR(INDEX('Source Ledger'!$A$5:$A$200,MATCH(A8,'Source Ledger'!$B$5:$B$200,0)),"")</f>
        <v/>
      </c>
      <c r="P8" s="7">
        <f>IFERROR(INDEX('Source Ledger'!$D$5:$D$200,MATCH(A8,'Source Ledger'!$B$5:$B$200,0)),"")</f>
        <v/>
      </c>
      <c r="Q8" s="9" t="inlineStr">
        <is>
          <t>High</t>
        </is>
      </c>
      <c r="R8" s="7" t="inlineStr"/>
      <c r="S8" s="7" t="inlineStr">
        <is>
          <t>No</t>
        </is>
      </c>
      <c r="T8">
        <f>IFERROR(INDEX('Source Ledger'!$E$5:$E$200,MATCH(A8,'Source Ledger'!$B$5:$B$200,0)),"")</f>
        <v>6380</v>
      </c>
      <c r="U8">
        <f>IFERROR(INDEX('Source Ledger'!$H$5:$H$200,MATCH(A8,'Source Ledger'!$B$5:$B$200,0)),"")</f>
        <v/>
      </c>
      <c r="V8">
        <f>IFERROR(INDEX('Source Ledger'!$G$5:$G$200,MATCH(A8,'Source Ledger'!$B$5:$B$200,0)),"")</f>
        <v>940.62</v>
      </c>
      <c r="W8">
        <f>IF(T8="","",T8-M8)</f>
        <v>0</v>
      </c>
      <c r="X8">
        <f>IF(V8="","No","Yes")</f>
        <v/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Working evidence note on MD-00005: MacBook Pro 14; In Use @ Seattle; PO-2023-0002; FA-000005; basis $2,075.</t>
        </is>
      </c>
      <c r="L9" s="7" t="inlineStr">
        <is>
          <t>2026-08-05</t>
        </is>
      </c>
      <c r="M9" s="7" t="n">
        <v>2075</v>
      </c>
      <c r="N9" s="7">
        <f>IFERROR(INDEX('Source Ledger'!$G$5:$G$200,MATCH(A9,'Source Ledger'!$B$5:$B$200,0)),"")</f>
        <v>0</v>
      </c>
      <c r="O9" s="7">
        <f>IFERROR(INDEX('Source Ledger'!$A$5:$A$200,MATCH(A9,'Source Ledger'!$B$5:$B$200,0)),"")</f>
        <v/>
      </c>
      <c r="P9" s="7">
        <f>IFERROR(INDEX('Source Ledger'!$D$5:$D$200,MATCH(A9,'Source Ledger'!$B$5:$B$200,0)),"")</f>
        <v/>
      </c>
      <c r="Q9" s="9" t="inlineStr">
        <is>
          <t>High</t>
        </is>
      </c>
      <c r="R9" s="7" t="inlineStr"/>
      <c r="S9" s="7" t="inlineStr">
        <is>
          <t>No</t>
        </is>
      </c>
      <c r="T9">
        <f>IFERROR(INDEX('Source Ledger'!$E$5:$E$200,MATCH(A9,'Source Ledger'!$B$5:$B$200,0)),"")</f>
        <v>2075</v>
      </c>
      <c r="U9">
        <f>IFERROR(INDEX('Source Ledger'!$H$5:$H$200,MATCH(A9,'Source Ledger'!$B$5:$B$200,0)),"")</f>
        <v/>
      </c>
      <c r="V9">
        <f>IFERROR(INDEX('Source Ledger'!$G$5:$G$200,MATCH(A9,'Source Ledger'!$B$5:$B$200,0)),"")</f>
        <v>0</v>
      </c>
      <c r="W9">
        <f>IF(T9="","",T9-M9)</f>
        <v>0</v>
      </c>
      <c r="X9">
        <f>IF(V9="","No","Yes")</f>
        <v/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Laptop</t>
        </is>
      </c>
      <c r="D10" s="7" t="inlineStr">
        <is>
          <t>Dell Latitude 7440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Source stack for MD-00006 (Dell Latitude 7440): FA-000006, TR-00006. Custodian context E0006; status In Use at Atlanta; basis $790.</t>
        </is>
      </c>
      <c r="L10" s="7" t="inlineStr">
        <is>
          <t>2026-08-05</t>
        </is>
      </c>
      <c r="M10" s="7" t="n">
        <v>790</v>
      </c>
      <c r="N10" s="7">
        <f>IFERROR(INDEX('Source Ledger'!$G$5:$G$200,MATCH(A10,'Source Ledger'!$B$5:$B$200,0)),"")</f>
        <v>459.94</v>
      </c>
      <c r="O10" s="7">
        <f>IFERROR(INDEX('Source Ledger'!$A$5:$A$200,MATCH(A10,'Source Ledger'!$B$5:$B$200,0)),"")</f>
        <v/>
      </c>
      <c r="P10" s="7">
        <f>IFERROR(INDEX('Source Ledger'!$D$5:$D$200,MATCH(A10,'Source Ledger'!$B$5:$B$200,0)),"")</f>
        <v/>
      </c>
      <c r="Q10" s="9" t="inlineStr">
        <is>
          <t>High</t>
        </is>
      </c>
      <c r="R10" s="7" t="inlineStr"/>
      <c r="S10" s="7" t="inlineStr">
        <is>
          <t>No</t>
        </is>
      </c>
      <c r="T10">
        <f>IFERROR(INDEX('Source Ledger'!$E$5:$E$200,MATCH(A10,'Source Ledger'!$B$5:$B$200,0)),"")</f>
        <v>790</v>
      </c>
      <c r="U10">
        <f>IFERROR(INDEX('Source Ledger'!$H$5:$H$200,MATCH(A10,'Source Ledger'!$B$5:$B$200,0)),"")</f>
        <v/>
      </c>
      <c r="V10">
        <f>IFERROR(INDEX('Source Ledger'!$G$5:$G$200,MATCH(A10,'Source Ledger'!$B$5:$B$200,0)),"")</f>
        <v>459.94</v>
      </c>
      <c r="W10">
        <f>IF(T10="","",T10-M10)</f>
        <v>0</v>
      </c>
      <c r="X10">
        <f>IF(V10="","No","Yes")</f>
        <v/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Laptop</t>
        </is>
      </c>
      <c r="D11" s="7" t="inlineStr">
        <is>
          <t>HP EliteBook 840 G10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HP EliteBook 840 G10 tagged MD-00007 reconciled using PO-2023-0002+FA-000007+HR. Present state In Use/Chicago, cost $950.</t>
        </is>
      </c>
      <c r="L11" s="7" t="inlineStr">
        <is>
          <t>2026-08-05</t>
        </is>
      </c>
      <c r="M11" s="7" t="n">
        <v>950</v>
      </c>
      <c r="N11" s="7">
        <f>IFERROR(INDEX('Source Ledger'!$G$5:$G$200,MATCH(A11,'Source Ledger'!$B$5:$B$200,0)),"")</f>
        <v>632.68</v>
      </c>
      <c r="O11" s="7">
        <f>IFERROR(INDEX('Source Ledger'!$A$5:$A$200,MATCH(A11,'Source Ledger'!$B$5:$B$200,0)),"")</f>
        <v/>
      </c>
      <c r="P11" s="7">
        <f>IFERROR(INDEX('Source Ledger'!$D$5:$D$200,MATCH(A11,'Source Ledger'!$B$5:$B$200,0)),"")</f>
        <v/>
      </c>
      <c r="Q11" s="9" t="inlineStr">
        <is>
          <t>High</t>
        </is>
      </c>
      <c r="R11" s="7" t="inlineStr"/>
      <c r="S11" s="7" t="inlineStr">
        <is>
          <t>No</t>
        </is>
      </c>
      <c r="T11">
        <f>IFERROR(INDEX('Source Ledger'!$E$5:$E$200,MATCH(A11,'Source Ledger'!$B$5:$B$200,0)),"")</f>
        <v>950</v>
      </c>
      <c r="U11">
        <f>IFERROR(INDEX('Source Ledger'!$H$5:$H$200,MATCH(A11,'Source Ledger'!$B$5:$B$200,0)),"")</f>
        <v/>
      </c>
      <c r="V11">
        <f>IFERROR(INDEX('Source Ledger'!$G$5:$G$200,MATCH(A11,'Source Ledger'!$B$5:$B$200,0)),"")</f>
        <v>632.68</v>
      </c>
      <c r="W11">
        <f>IF(T11="","",T11-M11)</f>
        <v>0</v>
      </c>
      <c r="X11">
        <f>IF(V11="","No","Yes")</f>
        <v/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Monitor</t>
        </is>
      </c>
      <c r="D12" s="7" t="inlineStr">
        <is>
          <t>Samsung ViewFinity S8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Source stack for MD-00008 (Samsung ViewFinity S8): TR-00008. Custodian context Derek Nguyen; status In Use at Dallas; basis $6,245.</t>
        </is>
      </c>
      <c r="L12" s="7" t="inlineStr">
        <is>
          <t>2026-08-05</t>
        </is>
      </c>
      <c r="M12" s="7" t="n">
        <v>6245</v>
      </c>
      <c r="N12" s="7">
        <f>IFERROR(INDEX('Source Ledger'!$G$5:$G$200,MATCH(A12,'Source Ledger'!$B$5:$B$200,0)),"")</f>
        <v>1355.01</v>
      </c>
      <c r="O12" s="7">
        <f>IFERROR(INDEX('Source Ledger'!$A$5:$A$200,MATCH(A12,'Source Ledger'!$B$5:$B$200,0)),"")</f>
        <v/>
      </c>
      <c r="P12" s="7">
        <f>IFERROR(INDEX('Source Ledger'!$D$5:$D$200,MATCH(A12,'Source Ledger'!$B$5:$B$200,0)),"")</f>
        <v/>
      </c>
      <c r="Q12" s="9" t="inlineStr">
        <is>
          <t>High</t>
        </is>
      </c>
      <c r="R12" s="7" t="inlineStr"/>
      <c r="S12" s="7" t="inlineStr">
        <is>
          <t>No</t>
        </is>
      </c>
      <c r="T12">
        <f>IFERROR(INDEX('Source Ledger'!$E$5:$E$200,MATCH(A12,'Source Ledger'!$B$5:$B$200,0)),"")</f>
        <v>6245</v>
      </c>
      <c r="U12">
        <f>IFERROR(INDEX('Source Ledger'!$H$5:$H$200,MATCH(A12,'Source Ledger'!$B$5:$B$200,0)),"")</f>
        <v/>
      </c>
      <c r="V12">
        <f>IFERROR(INDEX('Source Ledger'!$G$5:$G$200,MATCH(A12,'Source Ledger'!$B$5:$B$200,0)),"")</f>
        <v>1355.01</v>
      </c>
      <c r="W12">
        <f>IF(T12="","",T12-M12)</f>
        <v>0</v>
      </c>
      <c r="X12">
        <f>IF(V12="","No","Yes")</f>
        <v/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Monitor</t>
        </is>
      </c>
      <c r="D13" s="7" t="inlineStr">
        <is>
          <t>BenQ PD2705U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Evidence for MD-00009 is piecewise: inventory cost $1,940, FA FA-000009, HR status In Use, site Denver.</t>
        </is>
      </c>
      <c r="L13" s="7" t="inlineStr">
        <is>
          <t>2026-08-05</t>
        </is>
      </c>
      <c r="M13" s="7" t="n">
        <v>1940</v>
      </c>
      <c r="N13" s="7">
        <f>IFERROR(INDEX('Source Ledger'!$G$5:$G$200,MATCH(A13,'Source Ledger'!$B$5:$B$200,0)),"")</f>
        <v>109.33</v>
      </c>
      <c r="O13" s="7">
        <f>IFERROR(INDEX('Source Ledger'!$A$5:$A$200,MATCH(A13,'Source Ledger'!$B$5:$B$200,0)),"")</f>
        <v/>
      </c>
      <c r="P13" s="7">
        <f>IFERROR(INDEX('Source Ledger'!$D$5:$D$200,MATCH(A13,'Source Ledger'!$B$5:$B$200,0)),"")</f>
        <v/>
      </c>
      <c r="Q13" s="9" t="inlineStr">
        <is>
          <t>High</t>
        </is>
      </c>
      <c r="R13" s="7" t="inlineStr"/>
      <c r="S13" s="7" t="inlineStr">
        <is>
          <t>No</t>
        </is>
      </c>
      <c r="T13">
        <f>IFERROR(INDEX('Source Ledger'!$E$5:$E$200,MATCH(A13,'Source Ledger'!$B$5:$B$200,0)),"")</f>
        <v>1940</v>
      </c>
      <c r="U13">
        <f>IFERROR(INDEX('Source Ledger'!$H$5:$H$200,MATCH(A13,'Source Ledger'!$B$5:$B$200,0)),"")</f>
        <v/>
      </c>
      <c r="V13">
        <f>IFERROR(INDEX('Source Ledger'!$G$5:$G$200,MATCH(A13,'Source Ledger'!$B$5:$B$200,0)),"")</f>
        <v>109.33</v>
      </c>
      <c r="W13">
        <f>IF(T13="","",T13-M13)</f>
        <v>0</v>
      </c>
      <c r="X13">
        <f>IF(V13="","No","Yes")</f>
        <v/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Validated MD-00010 against available PO/FA/HR/transfer rows. Model Dell U2723QE. Owen Patel (E0010) shows In Use in New York. Acquisition $655.</t>
        </is>
      </c>
      <c r="L14" s="7" t="inlineStr">
        <is>
          <t>2026-08-05</t>
        </is>
      </c>
      <c r="M14" s="7" t="n">
        <v>655</v>
      </c>
      <c r="N14" s="7">
        <f>IFERROR(INDEX('Source Ledger'!$G$5:$G$200,MATCH(A14,'Source Ledger'!$B$5:$B$200,0)),"")</f>
        <v>426.89</v>
      </c>
      <c r="O14" s="7">
        <f>IFERROR(INDEX('Source Ledger'!$A$5:$A$200,MATCH(A14,'Source Ledger'!$B$5:$B$200,0)),"")</f>
        <v/>
      </c>
      <c r="P14" s="7">
        <f>IFERROR(INDEX('Source Ledger'!$D$5:$D$200,MATCH(A14,'Source Ledger'!$B$5:$B$200,0)),"")</f>
        <v/>
      </c>
      <c r="Q14" s="9" t="inlineStr">
        <is>
          <t>High</t>
        </is>
      </c>
      <c r="R14" s="7" t="inlineStr"/>
      <c r="S14" s="7" t="inlineStr">
        <is>
          <t>No</t>
        </is>
      </c>
      <c r="T14">
        <f>IFERROR(INDEX('Source Ledger'!$E$5:$E$200,MATCH(A14,'Source Ledger'!$B$5:$B$200,0)),"")</f>
        <v>655</v>
      </c>
      <c r="U14">
        <f>IFERROR(INDEX('Source Ledger'!$H$5:$H$200,MATCH(A14,'Source Ledger'!$B$5:$B$200,0)),"")</f>
        <v/>
      </c>
      <c r="V14">
        <f>IFERROR(INDEX('Source Ledger'!$G$5:$G$200,MATCH(A14,'Source Ledger'!$B$5:$B$200,0)),"")</f>
        <v>426.89</v>
      </c>
      <c r="W14">
        <f>IF(T14="","",T14-M14)</f>
        <v>0</v>
      </c>
      <c r="X14">
        <f>IF(V14="","No","Yes")</f>
        <v/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Monitor</t>
        </is>
      </c>
      <c r="D15" s="7" t="inlineStr">
        <is>
          <t>LG UltraFine 27MD5KL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Validated MD-00011 against available PO/FA/HR/transfer rows. Model LG UltraFine 27MD5KL. Maya Fontaine (E0011) shows In Use in Seattle. Acquisition $1,130.</t>
        </is>
      </c>
      <c r="L15" s="7" t="inlineStr">
        <is>
          <t>2026-08-05</t>
        </is>
      </c>
      <c r="M15" s="7" t="n">
        <v>1130</v>
      </c>
      <c r="N15" s="7">
        <f>IFERROR(INDEX('Source Ledger'!$G$5:$G$200,MATCH(A15,'Source Ledger'!$B$5:$B$200,0)),"")</f>
        <v>882.5</v>
      </c>
      <c r="O15" s="7">
        <f>IFERROR(INDEX('Source Ledger'!$A$5:$A$200,MATCH(A15,'Source Ledger'!$B$5:$B$200,0)),"")</f>
        <v/>
      </c>
      <c r="P15" s="7">
        <f>IFERROR(INDEX('Source Ledger'!$D$5:$D$200,MATCH(A15,'Source Ledger'!$B$5:$B$200,0)),"")</f>
        <v/>
      </c>
      <c r="Q15" s="9" t="inlineStr">
        <is>
          <t>High</t>
        </is>
      </c>
      <c r="R15" s="7" t="inlineStr"/>
      <c r="S15" s="7" t="inlineStr">
        <is>
          <t>No</t>
        </is>
      </c>
      <c r="T15">
        <f>IFERROR(INDEX('Source Ledger'!$E$5:$E$200,MATCH(A15,'Source Ledger'!$B$5:$B$200,0)),"")</f>
        <v>1130</v>
      </c>
      <c r="U15">
        <f>IFERROR(INDEX('Source Ledger'!$H$5:$H$200,MATCH(A15,'Source Ledger'!$B$5:$B$200,0)),"")</f>
        <v/>
      </c>
      <c r="V15">
        <f>IFERROR(INDEX('Source Ledger'!$G$5:$G$200,MATCH(A15,'Source Ledger'!$B$5:$B$200,0)),"")</f>
        <v>882.5</v>
      </c>
      <c r="W15">
        <f>IF(T15="","",T15-M15)</f>
        <v>0</v>
      </c>
      <c r="X15">
        <f>IF(V15="","No","Yes")</f>
        <v/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Monitor</t>
        </is>
      </c>
      <c r="D16" s="7" t="inlineStr">
        <is>
          <t>Samsung ViewFinity S8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Cross-checked MD-00012 to source systems. Ledger FA-000012. Move TR-00012. Outcome In Use in Atlanta ($6,425).</t>
        </is>
      </c>
      <c r="L16" s="7" t="inlineStr">
        <is>
          <t>2026-08-05</t>
        </is>
      </c>
      <c r="M16" s="7" t="n">
        <v>6425</v>
      </c>
      <c r="N16" s="7">
        <f>IFERROR(INDEX('Source Ledger'!$G$5:$G$200,MATCH(A16,'Source Ledger'!$B$5:$B$200,0)),"")</f>
        <v>553.23</v>
      </c>
      <c r="O16" s="7">
        <f>IFERROR(INDEX('Source Ledger'!$A$5:$A$200,MATCH(A16,'Source Ledger'!$B$5:$B$200,0)),"")</f>
        <v/>
      </c>
      <c r="P16" s="7">
        <f>IFERROR(INDEX('Source Ledger'!$D$5:$D$200,MATCH(A16,'Source Ledger'!$B$5:$B$200,0)),"")</f>
        <v/>
      </c>
      <c r="Q16" s="9" t="inlineStr">
        <is>
          <t>High</t>
        </is>
      </c>
      <c r="R16" s="7" t="inlineStr"/>
      <c r="S16" s="7" t="inlineStr">
        <is>
          <t>No</t>
        </is>
      </c>
      <c r="T16">
        <f>IFERROR(INDEX('Source Ledger'!$E$5:$E$200,MATCH(A16,'Source Ledger'!$B$5:$B$200,0)),"")</f>
        <v>6425</v>
      </c>
      <c r="U16">
        <f>IFERROR(INDEX('Source Ledger'!$H$5:$H$200,MATCH(A16,'Source Ledger'!$B$5:$B$200,0)),"")</f>
        <v/>
      </c>
      <c r="V16">
        <f>IFERROR(INDEX('Source Ledger'!$G$5:$G$200,MATCH(A16,'Source Ledger'!$B$5:$B$200,0)),"")</f>
        <v>553.23</v>
      </c>
      <c r="W16">
        <f>IF(T16="","",T16-M16)</f>
        <v>0</v>
      </c>
      <c r="X16">
        <f>IF(V16="","No","Yes")</f>
        <v/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Monitor</t>
        </is>
      </c>
      <c r="D17" s="7" t="inlineStr">
        <is>
          <t>BenQ PD2705U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evidence note on MD-00013: BenQ PD2705U; In Use @ Chicago; PO-2024-0003; TR-00013; basis $2,120.</t>
        </is>
      </c>
      <c r="L17" s="7" t="inlineStr">
        <is>
          <t>2026-08-05</t>
        </is>
      </c>
      <c r="M17" s="7" t="n">
        <v>2120</v>
      </c>
      <c r="N17" s="7">
        <f>IFERROR(INDEX('Source Ledger'!$G$5:$G$200,MATCH(A17,'Source Ledger'!$B$5:$B$200,0)),"")</f>
        <v>0</v>
      </c>
      <c r="O17" s="7">
        <f>IFERROR(INDEX('Source Ledger'!$A$5:$A$200,MATCH(A17,'Source Ledger'!$B$5:$B$200,0)),"")</f>
        <v/>
      </c>
      <c r="P17" s="7">
        <f>IFERROR(INDEX('Source Ledger'!$D$5:$D$200,MATCH(A17,'Source Ledger'!$B$5:$B$200,0)),"")</f>
        <v/>
      </c>
      <c r="Q17" s="9" t="inlineStr">
        <is>
          <t>High</t>
        </is>
      </c>
      <c r="R17" s="7" t="inlineStr"/>
      <c r="S17" s="7" t="inlineStr">
        <is>
          <t>No</t>
        </is>
      </c>
      <c r="T17">
        <f>IFERROR(INDEX('Source Ledger'!$E$5:$E$200,MATCH(A17,'Source Ledger'!$B$5:$B$200,0)),"")</f>
        <v>2120</v>
      </c>
      <c r="U17">
        <f>IFERROR(INDEX('Source Ledger'!$H$5:$H$200,MATCH(A17,'Source Ledger'!$B$5:$B$200,0)),"")</f>
        <v/>
      </c>
      <c r="V17">
        <f>IFERROR(INDEX('Source Ledger'!$G$5:$G$200,MATCH(A17,'Source Ledger'!$B$5:$B$200,0)),"")</f>
        <v>0</v>
      </c>
      <c r="W17">
        <f>IF(T17="","",T17-M17)</f>
        <v>0</v>
      </c>
      <c r="X17">
        <f>IF(V17="","No","Yes")</f>
        <v/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P2422H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MD-00014 evidence drawn from FA-000014. HR/location reading In Use/Dallas. Move TR-00014. Cost $520.</t>
        </is>
      </c>
      <c r="L18" s="7" t="inlineStr">
        <is>
          <t>2026-08-05</t>
        </is>
      </c>
      <c r="M18" s="7" t="n">
        <v>520</v>
      </c>
      <c r="N18" s="7">
        <f>IFERROR(INDEX('Source Ledger'!$G$5:$G$200,MATCH(A18,'Source Ledger'!$B$5:$B$200,0)),"")</f>
        <v>270.29</v>
      </c>
      <c r="O18" s="7">
        <f>IFERROR(INDEX('Source Ledger'!$A$5:$A$200,MATCH(A18,'Source Ledger'!$B$5:$B$200,0)),"")</f>
        <v/>
      </c>
      <c r="P18" s="7">
        <f>IFERROR(INDEX('Source Ledger'!$D$5:$D$200,MATCH(A18,'Source Ledger'!$B$5:$B$200,0)),"")</f>
        <v/>
      </c>
      <c r="Q18" s="9" t="inlineStr">
        <is>
          <t>High</t>
        </is>
      </c>
      <c r="R18" s="7" t="inlineStr"/>
      <c r="S18" s="7" t="inlineStr">
        <is>
          <t>No</t>
        </is>
      </c>
      <c r="T18">
        <f>IFERROR(INDEX('Source Ledger'!$E$5:$E$200,MATCH(A18,'Source Ledger'!$B$5:$B$200,0)),"")</f>
        <v>520</v>
      </c>
      <c r="U18">
        <f>IFERROR(INDEX('Source Ledger'!$H$5:$H$200,MATCH(A18,'Source Ledger'!$B$5:$B$200,0)),"")</f>
        <v/>
      </c>
      <c r="V18">
        <f>IFERROR(INDEX('Source Ledger'!$G$5:$G$200,MATCH(A18,'Source Ledger'!$B$5:$B$200,0)),"")</f>
        <v>270.29</v>
      </c>
      <c r="W18">
        <f>IF(T18="","",T18-M18)</f>
        <v>0</v>
      </c>
      <c r="X18">
        <f>IF(V18="","No","Yes")</f>
        <v/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Monitor</t>
        </is>
      </c>
      <c r="D19" s="7" t="inlineStr">
        <is>
          <t>Dell U2723QE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Dell U2723QE tagged MD-00015 reconciled using PO-2024-0003+TR-00015+HR. Present state In Use/Denver, cost $995.</t>
        </is>
      </c>
      <c r="L19" s="7" t="inlineStr">
        <is>
          <t>2026-08-05</t>
        </is>
      </c>
      <c r="M19" s="7" t="n">
        <v>995</v>
      </c>
      <c r="N19" s="7">
        <f>IFERROR(INDEX('Source Ledger'!$G$5:$G$200,MATCH(A19,'Source Ledger'!$B$5:$B$200,0)),"")</f>
        <v>559.13</v>
      </c>
      <c r="O19" s="7">
        <f>IFERROR(INDEX('Source Ledger'!$A$5:$A$200,MATCH(A19,'Source Ledger'!$B$5:$B$200,0)),"")</f>
        <v/>
      </c>
      <c r="P19" s="7">
        <f>IFERROR(INDEX('Source Ledger'!$D$5:$D$200,MATCH(A19,'Source Ledger'!$B$5:$B$200,0)),"")</f>
        <v/>
      </c>
      <c r="Q19" s="9" t="inlineStr">
        <is>
          <t>High</t>
        </is>
      </c>
      <c r="R19" s="7" t="inlineStr"/>
      <c r="S19" s="7" t="inlineStr">
        <is>
          <t>No</t>
        </is>
      </c>
      <c r="T19">
        <f>IFERROR(INDEX('Source Ledger'!$E$5:$E$200,MATCH(A19,'Source Ledger'!$B$5:$B$200,0)),"")</f>
        <v>995</v>
      </c>
      <c r="U19">
        <f>IFERROR(INDEX('Source Ledger'!$H$5:$H$200,MATCH(A19,'Source Ledger'!$B$5:$B$200,0)),"")</f>
        <v/>
      </c>
      <c r="V19">
        <f>IFERROR(INDEX('Source Ledger'!$G$5:$G$200,MATCH(A19,'Source Ledger'!$B$5:$B$200,0)),"")</f>
        <v>559.13</v>
      </c>
      <c r="W19">
        <f>IF(T19="","",T19-M19)</f>
        <v>0</v>
      </c>
      <c r="X19">
        <f>IF(V19="","No","Yes")</f>
        <v/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Monitor</t>
        </is>
      </c>
      <c r="D20" s="7" t="inlineStr">
        <is>
          <t>LG UltraFine 27MD5KL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Working evidence note on MD-00016: LG UltraFine 27MD5KL; In Use @ New York; PO-2024-0003; FA-000016; TR-00016; basis $6,290.</t>
        </is>
      </c>
      <c r="L20" s="7" t="inlineStr">
        <is>
          <t>2026-08-05</t>
        </is>
      </c>
      <c r="M20" s="7" t="n">
        <v>6290</v>
      </c>
      <c r="N20" s="7">
        <f>IFERROR(INDEX('Source Ledger'!$G$5:$G$200,MATCH(A20,'Source Ledger'!$B$5:$B$200,0)),"")</f>
        <v>968.69</v>
      </c>
      <c r="O20" s="7">
        <f>IFERROR(INDEX('Source Ledger'!$A$5:$A$200,MATCH(A20,'Source Ledger'!$B$5:$B$200,0)),"")</f>
        <v/>
      </c>
      <c r="P20" s="7">
        <f>IFERROR(INDEX('Source Ledger'!$D$5:$D$200,MATCH(A20,'Source Ledger'!$B$5:$B$200,0)),"")</f>
        <v/>
      </c>
      <c r="Q20" s="9" t="inlineStr">
        <is>
          <t>High</t>
        </is>
      </c>
      <c r="R20" s="7" t="inlineStr"/>
      <c r="S20" s="7" t="inlineStr">
        <is>
          <t>No</t>
        </is>
      </c>
      <c r="T20">
        <f>IFERROR(INDEX('Source Ledger'!$E$5:$E$200,MATCH(A20,'Source Ledger'!$B$5:$B$200,0)),"")</f>
        <v>6290</v>
      </c>
      <c r="U20">
        <f>IFERROR(INDEX('Source Ledger'!$H$5:$H$200,MATCH(A20,'Source Ledger'!$B$5:$B$200,0)),"")</f>
        <v/>
      </c>
      <c r="V20">
        <f>IFERROR(INDEX('Source Ledger'!$G$5:$G$200,MATCH(A20,'Source Ledger'!$B$5:$B$200,0)),"")</f>
        <v>968.69</v>
      </c>
      <c r="W20">
        <f>IF(T20="","",T20-M20)</f>
        <v>0</v>
      </c>
      <c r="X20">
        <f>IF(V20="","No","Yes")</f>
        <v/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Monitor</t>
        </is>
      </c>
      <c r="D21" s="7" t="inlineStr">
        <is>
          <t>Samsung ViewFinity S8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MD-00017 evidence drawn from PO-2025-0004 / FA-000017. HR/location reading In Use/Seattle. Move TR-00017. Cost $1,985.</t>
        </is>
      </c>
      <c r="L21" s="7" t="inlineStr">
        <is>
          <t>2026-08-05</t>
        </is>
      </c>
      <c r="M21" s="7" t="n">
        <v>1985</v>
      </c>
      <c r="N21" s="7">
        <f>IFERROR(INDEX('Source Ledger'!$G$5:$G$200,MATCH(A21,'Source Ledger'!$B$5:$B$200,0)),"")</f>
        <v>0</v>
      </c>
      <c r="O21" s="7">
        <f>IFERROR(INDEX('Source Ledger'!$A$5:$A$200,MATCH(A21,'Source Ledger'!$B$5:$B$200,0)),"")</f>
        <v/>
      </c>
      <c r="P21" s="7">
        <f>IFERROR(INDEX('Source Ledger'!$D$5:$D$200,MATCH(A21,'Source Ledger'!$B$5:$B$200,0)),"")</f>
        <v/>
      </c>
      <c r="Q21" s="9" t="inlineStr">
        <is>
          <t>High</t>
        </is>
      </c>
      <c r="R21" s="7" t="inlineStr">
        <is>
          <t>EX-0001</t>
        </is>
      </c>
      <c r="S21" s="7" t="inlineStr">
        <is>
          <t>Yes</t>
        </is>
      </c>
      <c r="T21">
        <f>IFERROR(INDEX('Source Ledger'!$E$5:$E$200,MATCH(A21,'Source Ledger'!$B$5:$B$200,0)),"")</f>
        <v>2070</v>
      </c>
      <c r="U21">
        <f>IFERROR(INDEX('Source Ledger'!$H$5:$H$200,MATCH(A21,'Source Ledger'!$B$5:$B$200,0)),"")</f>
        <v/>
      </c>
      <c r="V21">
        <f>IFERROR(INDEX('Source Ledger'!$G$5:$G$200,MATCH(A21,'Source Ledger'!$B$5:$B$200,0)),"")</f>
        <v>0</v>
      </c>
      <c r="W21">
        <f>IF(T21="","",T21-M21)</f>
        <v>85</v>
      </c>
      <c r="X21">
        <f>IF(V21="","No","Yes")</f>
        <v/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BenQ PD2705U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Cross-checked MD-00018 to source systems. PO PO-2025-0004. Ledger FA-000018. Move TR-00018. Outcome In Use in Atlanta ($700).</t>
        </is>
      </c>
      <c r="L22" s="7" t="inlineStr">
        <is>
          <t>2026-08-05</t>
        </is>
      </c>
      <c r="M22" s="7" t="n">
        <v>700</v>
      </c>
      <c r="N22" s="7">
        <f>IFERROR(INDEX('Source Ledger'!$G$5:$G$200,MATCH(A22,'Source Ledger'!$B$5:$B$200,0)),"")</f>
        <v>412.14</v>
      </c>
      <c r="O22" s="7">
        <f>IFERROR(INDEX('Source Ledger'!$A$5:$A$200,MATCH(A22,'Source Ledger'!$B$5:$B$200,0)),"")</f>
        <v/>
      </c>
      <c r="P22" s="7">
        <f>IFERROR(INDEX('Source Ledger'!$D$5:$D$200,MATCH(A22,'Source Ledger'!$B$5:$B$200,0)),"")</f>
        <v/>
      </c>
      <c r="Q22" s="9" t="inlineStr">
        <is>
          <t>High</t>
        </is>
      </c>
      <c r="R22" s="7" t="inlineStr"/>
      <c r="S22" s="7" t="inlineStr">
        <is>
          <t>No</t>
        </is>
      </c>
      <c r="T22">
        <f>IFERROR(INDEX('Source Ledger'!$E$5:$E$200,MATCH(A22,'Source Ledger'!$B$5:$B$200,0)),"")</f>
        <v>700</v>
      </c>
      <c r="U22">
        <f>IFERROR(INDEX('Source Ledger'!$H$5:$H$200,MATCH(A22,'Source Ledger'!$B$5:$B$200,0)),"")</f>
        <v/>
      </c>
      <c r="V22">
        <f>IFERROR(INDEX('Source Ledger'!$G$5:$G$200,MATCH(A22,'Source Ledger'!$B$5:$B$200,0)),"")</f>
        <v>412.14</v>
      </c>
      <c r="W22">
        <f>IF(T22="","",T22-M22)</f>
        <v>0</v>
      </c>
      <c r="X22">
        <f>IF(V22="","No","Yes")</f>
        <v/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Monitor</t>
        </is>
      </c>
      <c r="D23" s="7" t="inlineStr">
        <is>
          <t>Dell P2422H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Cross-checked MD-00019 to source systems. PO PO-2025-0004. Ledger FA-000019. Move TR-00019. Outcome In Use in Chicago ($1,175).</t>
        </is>
      </c>
      <c r="L23" s="7" t="inlineStr">
        <is>
          <t>2026-08-05</t>
        </is>
      </c>
      <c r="M23" s="7" t="n">
        <v>1175</v>
      </c>
      <c r="N23" s="7">
        <f>IFERROR(INDEX('Source Ledger'!$G$5:$G$200,MATCH(A23,'Source Ledger'!$B$5:$B$200,0)),"")</f>
        <v>795.4</v>
      </c>
      <c r="O23" s="7">
        <f>IFERROR(INDEX('Source Ledger'!$A$5:$A$200,MATCH(A23,'Source Ledger'!$B$5:$B$200,0)),"")</f>
        <v/>
      </c>
      <c r="P23" s="7">
        <f>IFERROR(INDEX('Source Ledger'!$D$5:$D$200,MATCH(A23,'Source Ledger'!$B$5:$B$200,0)),"")</f>
        <v/>
      </c>
      <c r="Q23" s="9" t="inlineStr">
        <is>
          <t>High</t>
        </is>
      </c>
      <c r="R23" s="7" t="inlineStr"/>
      <c r="S23" s="7" t="inlineStr">
        <is>
          <t>No</t>
        </is>
      </c>
      <c r="T23">
        <f>IFERROR(INDEX('Source Ledger'!$E$5:$E$200,MATCH(A23,'Source Ledger'!$B$5:$B$200,0)),"")</f>
        <v>1175</v>
      </c>
      <c r="U23">
        <f>IFERROR(INDEX('Source Ledger'!$H$5:$H$200,MATCH(A23,'Source Ledger'!$B$5:$B$200,0)),"")</f>
        <v/>
      </c>
      <c r="V23">
        <f>IFERROR(INDEX('Source Ledger'!$G$5:$G$200,MATCH(A23,'Source Ledger'!$B$5:$B$200,0)),"")</f>
        <v>795.4</v>
      </c>
      <c r="W23">
        <f>IF(T23="","",T23-M23)</f>
        <v>0</v>
      </c>
      <c r="X23">
        <f>IF(V23="","No","Yes")</f>
        <v/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Monitor</t>
        </is>
      </c>
      <c r="D24" s="7" t="inlineStr">
        <is>
          <t>LG UltraFine 27MD5KL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Working evidence note on MD-00020: LG UltraFine 27MD5KL; In Use @ Dallas; FA-000020; TR-00020; basis $6,470.</t>
        </is>
      </c>
      <c r="L24" s="7" t="inlineStr">
        <is>
          <t>2026-08-05</t>
        </is>
      </c>
      <c r="M24" s="7" t="n">
        <v>6470</v>
      </c>
      <c r="N24" s="7">
        <f>IFERROR(INDEX('Source Ledger'!$G$5:$G$200,MATCH(A24,'Source Ledger'!$B$5:$B$200,0)),"")</f>
        <v>1446.34</v>
      </c>
      <c r="O24" s="7">
        <f>IFERROR(INDEX('Source Ledger'!$A$5:$A$200,MATCH(A24,'Source Ledger'!$B$5:$B$200,0)),"")</f>
        <v/>
      </c>
      <c r="P24" s="7">
        <f>IFERROR(INDEX('Source Ledger'!$D$5:$D$200,MATCH(A24,'Source Ledger'!$B$5:$B$200,0)),"")</f>
        <v/>
      </c>
      <c r="Q24" s="9" t="inlineStr">
        <is>
          <t>High</t>
        </is>
      </c>
      <c r="R24" s="7" t="inlineStr"/>
      <c r="S24" s="7" t="inlineStr">
        <is>
          <t>No</t>
        </is>
      </c>
      <c r="T24">
        <f>IFERROR(INDEX('Source Ledger'!$E$5:$E$200,MATCH(A24,'Source Ledger'!$B$5:$B$200,0)),"")</f>
        <v>6470</v>
      </c>
      <c r="U24">
        <f>IFERROR(INDEX('Source Ledger'!$H$5:$H$200,MATCH(A24,'Source Ledger'!$B$5:$B$200,0)),"")</f>
        <v/>
      </c>
      <c r="V24">
        <f>IFERROR(INDEX('Source Ledger'!$G$5:$G$200,MATCH(A24,'Source Ledger'!$B$5:$B$200,0)),"")</f>
        <v>1446.34</v>
      </c>
      <c r="W24">
        <f>IF(T24="","",T24-M24)</f>
        <v>0</v>
      </c>
      <c r="X24">
        <f>IF(V24="","No","Yes")</f>
        <v/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Monitor</t>
        </is>
      </c>
      <c r="D25" s="7" t="inlineStr">
        <is>
          <t>Samsung ViewFinity S8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Samsung ViewFinity S8 tagged MD-00021 reconciled using PO-2022-0005+FA-000021+HR. Present state In Use/Denver, cost $1,850.</t>
        </is>
      </c>
      <c r="L25" s="7" t="inlineStr">
        <is>
          <t>2026-08-05</t>
        </is>
      </c>
      <c r="M25" s="7" t="n">
        <v>1850</v>
      </c>
      <c r="N25" s="7">
        <f>IFERROR(INDEX('Source Ledger'!$G$5:$G$200,MATCH(A25,'Source Ledger'!$B$5:$B$200,0)),"")</f>
        <v>124.52</v>
      </c>
      <c r="O25" s="7">
        <f>IFERROR(INDEX('Source Ledger'!$A$5:$A$200,MATCH(A25,'Source Ledger'!$B$5:$B$200,0)),"")</f>
        <v/>
      </c>
      <c r="P25" s="7">
        <f>IFERROR(INDEX('Source Ledger'!$D$5:$D$200,MATCH(A25,'Source Ledger'!$B$5:$B$200,0)),"")</f>
        <v/>
      </c>
      <c r="Q25" s="7" t="inlineStr">
        <is>
          <t>Medium</t>
        </is>
      </c>
      <c r="R25" s="7" t="inlineStr">
        <is>
          <t>EX-0002</t>
        </is>
      </c>
      <c r="S25" s="7" t="inlineStr">
        <is>
          <t>Yes</t>
        </is>
      </c>
      <c r="T25">
        <f>IFERROR(INDEX('Source Ledger'!$E$5:$E$200,MATCH(A25,'Source Ledger'!$B$5:$B$200,0)),"")</f>
        <v>1850</v>
      </c>
      <c r="U25">
        <f>IFERROR(INDEX('Source Ledger'!$H$5:$H$200,MATCH(A25,'Source Ledger'!$B$5:$B$200,0)),"")</f>
        <v/>
      </c>
      <c r="V25">
        <f>IFERROR(INDEX('Source Ledger'!$G$5:$G$200,MATCH(A25,'Source Ledger'!$B$5:$B$200,0)),"")</f>
        <v>124.52</v>
      </c>
      <c r="W25">
        <f>IF(T25="","",T25-M25)</f>
        <v>0</v>
      </c>
      <c r="X25">
        <f>IF(V25="","No","Yes")</f>
        <v/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BenQ PD2705U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Validated MD-00022 against available PO/FA/HR/transfer rows. Model BenQ PD2705U. New York (E0022) shows In Use in New York. Acquisition $565.</t>
        </is>
      </c>
      <c r="L26" s="7" t="inlineStr">
        <is>
          <t>2026-08-05</t>
        </is>
      </c>
      <c r="M26" s="7" t="n">
        <v>565</v>
      </c>
      <c r="N26" s="7">
        <f>IFERROR(INDEX('Source Ledger'!$G$5:$G$200,MATCH(A26,'Source Ledger'!$B$5:$B$200,0)),"")</f>
        <v>371.95</v>
      </c>
      <c r="O26" s="7">
        <f>IFERROR(INDEX('Source Ledger'!$A$5:$A$200,MATCH(A26,'Source Ledger'!$B$5:$B$200,0)),"")</f>
        <v/>
      </c>
      <c r="P26" s="7">
        <f>IFERROR(INDEX('Source Ledger'!$D$5:$D$200,MATCH(A26,'Source Ledger'!$B$5:$B$200,0)),"")</f>
        <v/>
      </c>
      <c r="Q26" s="9" t="inlineStr">
        <is>
          <t>High</t>
        </is>
      </c>
      <c r="R26" s="7" t="inlineStr"/>
      <c r="S26" s="7" t="inlineStr">
        <is>
          <t>No</t>
        </is>
      </c>
      <c r="T26">
        <f>IFERROR(INDEX('Source Ledger'!$E$5:$E$200,MATCH(A26,'Source Ledger'!$B$5:$B$200,0)),"")</f>
        <v>565</v>
      </c>
      <c r="U26">
        <f>IFERROR(INDEX('Source Ledger'!$H$5:$H$200,MATCH(A26,'Source Ledger'!$B$5:$B$200,0)),"")</f>
        <v/>
      </c>
      <c r="V26">
        <f>IFERROR(INDEX('Source Ledger'!$G$5:$G$200,MATCH(A26,'Source Ledger'!$B$5:$B$200,0)),"")</f>
        <v>371.95</v>
      </c>
      <c r="W26">
        <f>IF(T26="","",T26-M26)</f>
        <v>0</v>
      </c>
      <c r="X26">
        <f>IF(V26="","No","Yes")</f>
        <v/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Monitor</t>
        </is>
      </c>
      <c r="D27" s="7" t="inlineStr">
        <is>
          <t>Dell P2422H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Evidence for MD-00023 is piecewise: inventory cost $1,040, FA absent, TR TR-00023, HR status In Use, site Seattle.</t>
        </is>
      </c>
      <c r="L27" s="7" t="inlineStr">
        <is>
          <t>2026-08-05</t>
        </is>
      </c>
      <c r="M27" s="7" t="n">
        <v>1040</v>
      </c>
      <c r="N27" s="7">
        <f>IFERROR(INDEX('Source Ledger'!$G$5:$G$200,MATCH(A27,'Source Ledger'!$B$5:$B$200,0)),"")</f>
        <v>823.6</v>
      </c>
      <c r="O27" s="7">
        <f>IFERROR(INDEX('Source Ledger'!$A$5:$A$200,MATCH(A27,'Source Ledger'!$B$5:$B$200,0)),"")</f>
        <v/>
      </c>
      <c r="P27" s="7">
        <f>IFERROR(INDEX('Source Ledger'!$D$5:$D$200,MATCH(A27,'Source Ledger'!$B$5:$B$200,0)),"")</f>
        <v/>
      </c>
      <c r="Q27" s="9" t="inlineStr">
        <is>
          <t>High</t>
        </is>
      </c>
      <c r="R27" s="7" t="inlineStr"/>
      <c r="S27" s="7" t="inlineStr">
        <is>
          <t>No</t>
        </is>
      </c>
      <c r="T27">
        <f>IFERROR(INDEX('Source Ledger'!$E$5:$E$200,MATCH(A27,'Source Ledger'!$B$5:$B$200,0)),"")</f>
        <v>1040</v>
      </c>
      <c r="U27">
        <f>IFERROR(INDEX('Source Ledger'!$H$5:$H$200,MATCH(A27,'Source Ledger'!$B$5:$B$200,0)),"")</f>
        <v/>
      </c>
      <c r="V27">
        <f>IFERROR(INDEX('Source Ledger'!$G$5:$G$200,MATCH(A27,'Source Ledger'!$B$5:$B$200,0)),"")</f>
        <v>823.6</v>
      </c>
      <c r="W27">
        <f>IF(T27="","",T27-M27)</f>
        <v>0</v>
      </c>
      <c r="X27">
        <f>IF(V27="","No","Yes")</f>
        <v/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Monitor</t>
        </is>
      </c>
      <c r="D28" s="7" t="inlineStr">
        <is>
          <t>Dell U2723QE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evidence note on MD-00024: Dell U2723QE; In Use @ Atlanta; holder Chris Daley; FA-000024; basis $6,335.</t>
        </is>
      </c>
      <c r="L28" s="7" t="inlineStr">
        <is>
          <t>2026-08-05</t>
        </is>
      </c>
      <c r="M28" s="7" t="n">
        <v>6335</v>
      </c>
      <c r="N28" s="7">
        <f>IFERROR(INDEX('Source Ledger'!$G$5:$G$200,MATCH(A28,'Source Ledger'!$B$5:$B$200,0)),"")</f>
        <v>503.85</v>
      </c>
      <c r="O28" s="7">
        <f>IFERROR(INDEX('Source Ledger'!$A$5:$A$200,MATCH(A28,'Source Ledger'!$B$5:$B$200,0)),"")</f>
        <v/>
      </c>
      <c r="P28" s="7">
        <f>IFERROR(INDEX('Source Ledger'!$D$5:$D$200,MATCH(A28,'Source Ledger'!$B$5:$B$200,0)),"")</f>
        <v/>
      </c>
      <c r="Q28" s="9" t="inlineStr">
        <is>
          <t>High</t>
        </is>
      </c>
      <c r="R28" s="7" t="inlineStr"/>
      <c r="S28" s="7" t="inlineStr">
        <is>
          <t>No</t>
        </is>
      </c>
      <c r="T28">
        <f>IFERROR(INDEX('Source Ledger'!$E$5:$E$200,MATCH(A28,'Source Ledger'!$B$5:$B$200,0)),"")</f>
        <v>6335</v>
      </c>
      <c r="U28">
        <f>IFERROR(INDEX('Source Ledger'!$H$5:$H$200,MATCH(A28,'Source Ledger'!$B$5:$B$200,0)),"")</f>
        <v/>
      </c>
      <c r="V28">
        <f>IFERROR(INDEX('Source Ledger'!$G$5:$G$200,MATCH(A28,'Source Ledger'!$B$5:$B$200,0)),"")</f>
        <v>503.85</v>
      </c>
      <c r="W28">
        <f>IF(T28="","",T28-M28)</f>
        <v>0</v>
      </c>
      <c r="X28">
        <f>IF(V28="","No","Yes")</f>
        <v/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Monitor</t>
        </is>
      </c>
      <c r="D29" s="7" t="inlineStr">
        <is>
          <t>LG UltraFine 27MD5KL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Source stack for MD-00025 (LG UltraFine 27MD5KL): PO-2022-0005. Custodian context Fatima Hussein; status In Use at Chicago; basis $2,030.</t>
        </is>
      </c>
      <c r="L29" s="7" t="inlineStr">
        <is>
          <t>2026-08-05</t>
        </is>
      </c>
      <c r="M29" s="7" t="n">
        <v>2030</v>
      </c>
      <c r="N29" s="7">
        <f>IFERROR(INDEX('Source Ledger'!$G$5:$G$200,MATCH(A29,'Source Ledger'!$B$5:$B$200,0)),"")</f>
        <v>0</v>
      </c>
      <c r="O29" s="7">
        <f>IFERROR(INDEX('Source Ledger'!$A$5:$A$200,MATCH(A29,'Source Ledger'!$B$5:$B$200,0)),"")</f>
        <v/>
      </c>
      <c r="P29" s="7">
        <f>IFERROR(INDEX('Source Ledger'!$D$5:$D$200,MATCH(A29,'Source Ledger'!$B$5:$B$200,0)),"")</f>
        <v/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Yes</t>
        </is>
      </c>
      <c r="T29">
        <f>IFERROR(INDEX('Source Ledger'!$E$5:$E$200,MATCH(A29,'Source Ledger'!$B$5:$B$200,0)),"")</f>
        <v>2030</v>
      </c>
      <c r="U29">
        <f>IFERROR(INDEX('Source Ledger'!$H$5:$H$200,MATCH(A29,'Source Ledger'!$B$5:$B$200,0)),"")</f>
        <v/>
      </c>
      <c r="V29">
        <f>IFERROR(INDEX('Source Ledger'!$G$5:$G$200,MATCH(A29,'Source Ledger'!$B$5:$B$200,0)),"")</f>
        <v>0</v>
      </c>
      <c r="W29">
        <f>IF(T29="","",T29-M29)</f>
        <v>0</v>
      </c>
      <c r="X29">
        <f>IF(V29="","No","Yes")</f>
        <v/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Samsung ViewFinity S8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Validated MD-00026 against available PO/FA/HR/transfer rows. Model Samsung ViewFinity S8. Brendan Walsh (E0026) shows In Use in Dallas. Acquisition $745.</t>
        </is>
      </c>
      <c r="L30" s="7" t="inlineStr">
        <is>
          <t>2026-08-05</t>
        </is>
      </c>
      <c r="M30" s="7" t="n">
        <v>745</v>
      </c>
      <c r="N30" s="7">
        <f>IFERROR(INDEX('Source Ledger'!$G$5:$G$200,MATCH(A30,'Source Ledger'!$B$5:$B$200,0)),"")</f>
        <v>382.34</v>
      </c>
      <c r="O30" s="7">
        <f>IFERROR(INDEX('Source Ledger'!$A$5:$A$200,MATCH(A30,'Source Ledger'!$B$5:$B$200,0)),"")</f>
        <v/>
      </c>
      <c r="P30" s="7">
        <f>IFERROR(INDEX('Source Ledger'!$D$5:$D$200,MATCH(A30,'Source Ledger'!$B$5:$B$200,0)),"")</f>
        <v/>
      </c>
      <c r="Q30" s="9" t="inlineStr">
        <is>
          <t>High</t>
        </is>
      </c>
      <c r="R30" s="7" t="inlineStr">
        <is>
          <t>EX-0005</t>
        </is>
      </c>
      <c r="S30" s="7" t="inlineStr">
        <is>
          <t>Yes</t>
        </is>
      </c>
      <c r="T30">
        <f>IFERROR(INDEX('Source Ledger'!$E$5:$E$200,MATCH(A30,'Source Ledger'!$B$5:$B$200,0)),"")</f>
        <v>745</v>
      </c>
      <c r="U30">
        <f>IFERROR(INDEX('Source Ledger'!$H$5:$H$200,MATCH(A30,'Source Ledger'!$B$5:$B$200,0)),"")</f>
        <v/>
      </c>
      <c r="V30">
        <f>IFERROR(INDEX('Source Ledger'!$G$5:$G$200,MATCH(A30,'Source Ledger'!$B$5:$B$200,0)),"")</f>
        <v>382.34</v>
      </c>
      <c r="W30">
        <f>IF(T30="","",T30-M30)</f>
        <v>0</v>
      </c>
      <c r="X30">
        <f>IF(V30="","No","Yes")</f>
        <v/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Monitor</t>
        </is>
      </c>
      <c r="D31" s="7" t="inlineStr">
        <is>
          <t>BenQ PD2705U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For MD-00027, register cost $1,220 sits beside no FA row and PO-2022-0005. Transfer TR-00027 on file. Verified In Use / Denver.</t>
        </is>
      </c>
      <c r="L31" s="7" t="inlineStr">
        <is>
          <t>2026-08-05</t>
        </is>
      </c>
      <c r="M31" s="7" t="n">
        <v>1220</v>
      </c>
      <c r="N31" s="7">
        <f>IFERROR(INDEX('Source Ledger'!$G$5:$G$200,MATCH(A31,'Source Ledger'!$B$5:$B$200,0)),"")</f>
        <v>672.21</v>
      </c>
      <c r="O31" s="7">
        <f>IFERROR(INDEX('Source Ledger'!$A$5:$A$200,MATCH(A31,'Source Ledger'!$B$5:$B$200,0)),"")</f>
        <v/>
      </c>
      <c r="P31" s="7">
        <f>IFERROR(INDEX('Source Ledger'!$D$5:$D$200,MATCH(A31,'Source Ledger'!$B$5:$B$200,0)),"")</f>
        <v/>
      </c>
      <c r="Q31" s="9" t="inlineStr">
        <is>
          <t>High</t>
        </is>
      </c>
      <c r="R31" s="7" t="inlineStr">
        <is>
          <t>EX-0006</t>
        </is>
      </c>
      <c r="S31" s="7" t="inlineStr">
        <is>
          <t>Yes</t>
        </is>
      </c>
      <c r="T31">
        <f>IFERROR(INDEX('Source Ledger'!$E$5:$E$200,MATCH(A31,'Source Ledger'!$B$5:$B$200,0)),"")</f>
        <v>1220</v>
      </c>
      <c r="U31">
        <f>IFERROR(INDEX('Source Ledger'!$H$5:$H$200,MATCH(A31,'Source Ledger'!$B$5:$B$200,0)),"")</f>
        <v/>
      </c>
      <c r="V31">
        <f>IFERROR(INDEX('Source Ledger'!$G$5:$G$200,MATCH(A31,'Source Ledger'!$B$5:$B$200,0)),"")</f>
        <v>672.21</v>
      </c>
      <c r="W31">
        <f>IF(T31="","",T31-M31)</f>
        <v>0</v>
      </c>
      <c r="X31">
        <f>IF(V31="","No","Yes")</f>
        <v/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Monitor</t>
        </is>
      </c>
      <c r="D32" s="7" t="inlineStr">
        <is>
          <t>Dell P2422H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For MD-00028, register cost $6,200 sits beside FA-000028 . Transfer TR-00028 on file. Verified In Use / New York.</t>
        </is>
      </c>
      <c r="L32" s="7" t="inlineStr">
        <is>
          <t>2026-08-05</t>
        </is>
      </c>
      <c r="M32" s="7" t="n">
        <v>6200</v>
      </c>
      <c r="N32" s="7">
        <f>IFERROR(INDEX('Source Ledger'!$G$5:$G$200,MATCH(A32,'Source Ledger'!$B$5:$B$200,0)),"")</f>
        <v>914.09</v>
      </c>
      <c r="O32" s="7">
        <f>IFERROR(INDEX('Source Ledger'!$A$5:$A$200,MATCH(A32,'Source Ledger'!$B$5:$B$200,0)),"")</f>
        <v/>
      </c>
      <c r="P32" s="7">
        <f>IFERROR(INDEX('Source Ledger'!$D$5:$D$200,MATCH(A32,'Source Ledger'!$B$5:$B$200,0)),"")</f>
        <v/>
      </c>
      <c r="Q32" s="9" t="inlineStr">
        <is>
          <t>High</t>
        </is>
      </c>
      <c r="R32" s="7" t="inlineStr">
        <is>
          <t>EX-0007</t>
        </is>
      </c>
      <c r="S32" s="7" t="inlineStr">
        <is>
          <t>Yes</t>
        </is>
      </c>
      <c r="T32">
        <f>IFERROR(INDEX('Source Ledger'!$E$5:$E$200,MATCH(A32,'Source Ledger'!$B$5:$B$200,0)),"")</f>
        <v>6200</v>
      </c>
      <c r="U32">
        <f>IFERROR(INDEX('Source Ledger'!$H$5:$H$200,MATCH(A32,'Source Ledger'!$B$5:$B$200,0)),"")</f>
        <v/>
      </c>
      <c r="V32">
        <f>IFERROR(INDEX('Source Ledger'!$G$5:$G$200,MATCH(A32,'Source Ledger'!$B$5:$B$200,0)),"")</f>
        <v>914.09</v>
      </c>
      <c r="W32">
        <f>IF(T32="","",T32-M32)</f>
        <v>0</v>
      </c>
      <c r="X32">
        <f>IF(V32="","No","Yes")</f>
        <v/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Monitor</t>
        </is>
      </c>
      <c r="D33" s="7" t="inlineStr">
        <is>
          <t>Dell U2723QE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Cross-checked MD-00029 to source systems. PO PO-2023-0006. Move TR-00029. Outcome In Use in Seattle ($1,895).</t>
        </is>
      </c>
      <c r="L33" s="7" t="inlineStr">
        <is>
          <t>2026-08-05</t>
        </is>
      </c>
      <c r="M33" s="7" t="n">
        <v>1895</v>
      </c>
      <c r="N33" s="7">
        <f>IFERROR(INDEX('Source Ledger'!$G$5:$G$200,MATCH(A33,'Source Ledger'!$B$5:$B$200,0)),"")</f>
        <v>0</v>
      </c>
      <c r="O33" s="7">
        <f>IFERROR(INDEX('Source Ledger'!$A$5:$A$200,MATCH(A33,'Source Ledger'!$B$5:$B$200,0)),"")</f>
        <v/>
      </c>
      <c r="P33" s="7">
        <f>IFERROR(INDEX('Source Ledger'!$D$5:$D$200,MATCH(A33,'Source Ledger'!$B$5:$B$200,0)),"")</f>
        <v/>
      </c>
      <c r="Q33" s="9" t="inlineStr">
        <is>
          <t>High</t>
        </is>
      </c>
      <c r="R33" s="7" t="inlineStr">
        <is>
          <t>EX-0008</t>
        </is>
      </c>
      <c r="S33" s="7" t="inlineStr">
        <is>
          <t>Yes</t>
        </is>
      </c>
      <c r="T33">
        <f>IFERROR(INDEX('Source Ledger'!$E$5:$E$200,MATCH(A33,'Source Ledger'!$B$5:$B$200,0)),"")</f>
        <v>1895</v>
      </c>
      <c r="U33">
        <f>IFERROR(INDEX('Source Ledger'!$H$5:$H$200,MATCH(A33,'Source Ledger'!$B$5:$B$200,0)),"")</f>
        <v/>
      </c>
      <c r="V33">
        <f>IFERROR(INDEX('Source Ledger'!$G$5:$G$200,MATCH(A33,'Source Ledger'!$B$5:$B$200,0)),"")</f>
        <v>0</v>
      </c>
      <c r="W33">
        <f>IF(T33="","",T33-M33)</f>
        <v>0</v>
      </c>
      <c r="X33">
        <f>IF(V33="","No","Yes")</f>
        <v/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Samsung ViewFinity S8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Evidence for MD-00030 is piecewise: inventory cost $610, FA FA-000030, TR TR-00030, HR status In Use, site Atlanta.</t>
        </is>
      </c>
      <c r="L34" s="7" t="inlineStr">
        <is>
          <t>2026-08-05</t>
        </is>
      </c>
      <c r="M34" s="7" t="n">
        <v>610</v>
      </c>
      <c r="N34" s="7">
        <f>IFERROR(INDEX('Source Ledger'!$G$5:$G$200,MATCH(A34,'Source Ledger'!$B$5:$B$200,0)),"")</f>
        <v>355.14</v>
      </c>
      <c r="O34" s="7">
        <f>IFERROR(INDEX('Source Ledger'!$A$5:$A$200,MATCH(A34,'Source Ledger'!$B$5:$B$200,0)),"")</f>
        <v/>
      </c>
      <c r="P34" s="7">
        <f>IFERROR(INDEX('Source Ledger'!$D$5:$D$200,MATCH(A34,'Source Ledger'!$B$5:$B$200,0)),"")</f>
        <v/>
      </c>
      <c r="Q34" s="9" t="inlineStr">
        <is>
          <t>High</t>
        </is>
      </c>
      <c r="R34" s="7" t="inlineStr">
        <is>
          <t>EX-0009</t>
        </is>
      </c>
      <c r="S34" s="7" t="inlineStr">
        <is>
          <t>Yes</t>
        </is>
      </c>
      <c r="T34">
        <f>IFERROR(INDEX('Source Ledger'!$E$5:$E$200,MATCH(A34,'Source Ledger'!$B$5:$B$200,0)),"")</f>
        <v>610</v>
      </c>
      <c r="U34">
        <f>IFERROR(INDEX('Source Ledger'!$H$5:$H$200,MATCH(A34,'Source Ledger'!$B$5:$B$200,0)),"")</f>
        <v/>
      </c>
      <c r="V34">
        <f>IFERROR(INDEX('Source Ledger'!$G$5:$G$200,MATCH(A34,'Source Ledger'!$B$5:$B$200,0)),"")</f>
        <v>355.14</v>
      </c>
      <c r="W34">
        <f>IF(T34="","",T34-M34)</f>
        <v>0</v>
      </c>
      <c r="X34">
        <f>IF(V34="","No","Yes")</f>
        <v/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Monitor</t>
        </is>
      </c>
      <c r="D35" s="7" t="inlineStr">
        <is>
          <t>BenQ PD2705U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MD-00031 evidence drawn from PO-2023-0006 / FA-000031. HR/location reading In Use/Chicago. Move TR-00031. Cost $1,085.</t>
        </is>
      </c>
      <c r="L35" s="7" t="inlineStr">
        <is>
          <t>2026-08-05</t>
        </is>
      </c>
      <c r="M35" s="7" t="n">
        <v>1085</v>
      </c>
      <c r="N35" s="7">
        <f>IFERROR(INDEX('Source Ledger'!$G$5:$G$200,MATCH(A35,'Source Ledger'!$B$5:$B$200,0)),"")</f>
        <v>722.59</v>
      </c>
      <c r="O35" s="7">
        <f>IFERROR(INDEX('Source Ledger'!$A$5:$A$200,MATCH(A35,'Source Ledger'!$B$5:$B$200,0)),"")</f>
        <v/>
      </c>
      <c r="P35" s="7">
        <f>IFERROR(INDEX('Source Ledger'!$D$5:$D$200,MATCH(A35,'Source Ledger'!$B$5:$B$200,0)),"")</f>
        <v/>
      </c>
      <c r="Q35" s="9" t="inlineStr">
        <is>
          <t>High</t>
        </is>
      </c>
      <c r="R35" s="7" t="inlineStr">
        <is>
          <t>EX-0010</t>
        </is>
      </c>
      <c r="S35" s="7" t="inlineStr">
        <is>
          <t>Yes</t>
        </is>
      </c>
      <c r="T35">
        <f>IFERROR(INDEX('Source Ledger'!$E$5:$E$200,MATCH(A35,'Source Ledger'!$B$5:$B$200,0)),"")</f>
        <v>1085</v>
      </c>
      <c r="U35">
        <f>IFERROR(INDEX('Source Ledger'!$H$5:$H$200,MATCH(A35,'Source Ledger'!$B$5:$B$200,0)),"")</f>
        <v/>
      </c>
      <c r="V35">
        <f>IFERROR(INDEX('Source Ledger'!$G$5:$G$200,MATCH(A35,'Source Ledger'!$B$5:$B$200,0)),"")</f>
        <v>722.59</v>
      </c>
      <c r="W35">
        <f>IF(T35="","",T35-M35)</f>
        <v>0</v>
      </c>
      <c r="X35">
        <f>IF(V35="","No","Yes")</f>
        <v/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Monitor</t>
        </is>
      </c>
      <c r="D36" s="7" t="inlineStr">
        <is>
          <t>Dell P2422H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Cross-checked MD-00032 to source systems. PO PO-2023-0006. Ledger FA-000032. Move TR-00032. Outcome In Use in Dallas ($6,380).</t>
        </is>
      </c>
      <c r="L36" s="7" t="inlineStr">
        <is>
          <t>2026-08-05</t>
        </is>
      </c>
      <c r="M36" s="7" t="n">
        <v>6380</v>
      </c>
      <c r="N36" s="7">
        <f>IFERROR(INDEX('Source Ledger'!$G$5:$G$200,MATCH(A36,'Source Ledger'!$B$5:$B$200,0)),"")</f>
        <v>1384.3</v>
      </c>
      <c r="O36" s="7">
        <f>IFERROR(INDEX('Source Ledger'!$A$5:$A$200,MATCH(A36,'Source Ledger'!$B$5:$B$200,0)),"")</f>
        <v/>
      </c>
      <c r="P36" s="7">
        <f>IFERROR(INDEX('Source Ledger'!$D$5:$D$200,MATCH(A36,'Source Ledger'!$B$5:$B$200,0)),"")</f>
        <v/>
      </c>
      <c r="Q36" s="9" t="inlineStr">
        <is>
          <t>High</t>
        </is>
      </c>
      <c r="R36" s="7" t="inlineStr">
        <is>
          <t>EX-0011</t>
        </is>
      </c>
      <c r="S36" s="7" t="inlineStr">
        <is>
          <t>Yes</t>
        </is>
      </c>
      <c r="T36">
        <f>IFERROR(INDEX('Source Ledger'!$E$5:$E$200,MATCH(A36,'Source Ledger'!$B$5:$B$200,0)),"")</f>
        <v>6380</v>
      </c>
      <c r="U36">
        <f>IFERROR(INDEX('Source Ledger'!$H$5:$H$200,MATCH(A36,'Source Ledger'!$B$5:$B$200,0)),"")</f>
        <v/>
      </c>
      <c r="V36">
        <f>IFERROR(INDEX('Source Ledger'!$G$5:$G$200,MATCH(A36,'Source Ledger'!$B$5:$B$200,0)),"")</f>
        <v>1384.3</v>
      </c>
      <c r="W36">
        <f>IF(T36="","",T36-M36)</f>
        <v>0</v>
      </c>
      <c r="X36">
        <f>IF(V36="","No","Yes")</f>
        <v/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Monitor</t>
        </is>
      </c>
      <c r="D37" s="7" t="inlineStr">
        <is>
          <t>Dell U2723QE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Validated MD-00033 against available PO/FA/HR/transfer rows. Model Dell U2723QE. shows In Use in Denver. Acquisition $2,075.</t>
        </is>
      </c>
      <c r="L37" s="7" t="inlineStr">
        <is>
          <t>2026-08-05</t>
        </is>
      </c>
      <c r="M37" s="7" t="n">
        <v>2075</v>
      </c>
      <c r="N37" s="7">
        <f>IFERROR(INDEX('Source Ledger'!$G$5:$G$200,MATCH(A37,'Source Ledger'!$B$5:$B$200,0)),"")</f>
        <v>116.93</v>
      </c>
      <c r="O37" s="7">
        <f>IFERROR(INDEX('Source Ledger'!$A$5:$A$200,MATCH(A37,'Source Ledger'!$B$5:$B$200,0)),"")</f>
        <v/>
      </c>
      <c r="P37" s="7">
        <f>IFERROR(INDEX('Source Ledger'!$D$5:$D$200,MATCH(A37,'Source Ledger'!$B$5:$B$200,0)),"")</f>
        <v/>
      </c>
      <c r="Q37" s="9" t="inlineStr">
        <is>
          <t>High</t>
        </is>
      </c>
      <c r="R37" s="7" t="inlineStr">
        <is>
          <t>EX-0012</t>
        </is>
      </c>
      <c r="S37" s="7" t="inlineStr">
        <is>
          <t>Yes</t>
        </is>
      </c>
      <c r="T37">
        <f>IFERROR(INDEX('Source Ledger'!$E$5:$E$200,MATCH(A37,'Source Ledger'!$B$5:$B$200,0)),"")</f>
        <v>2075</v>
      </c>
      <c r="U37">
        <f>IFERROR(INDEX('Source Ledger'!$H$5:$H$200,MATCH(A37,'Source Ledger'!$B$5:$B$200,0)),"")</f>
        <v/>
      </c>
      <c r="V37">
        <f>IFERROR(INDEX('Source Ledger'!$G$5:$G$200,MATCH(A37,'Source Ledger'!$B$5:$B$200,0)),"")</f>
        <v>116.93</v>
      </c>
      <c r="W37">
        <f>IF(T37="","",T37-M37)</f>
        <v>0</v>
      </c>
      <c r="X37">
        <f>IF(V37="","No","Yes")</f>
        <v/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LG UltraFine 27MD5KL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Validated MD-00034 against available PO/FA/HR/transfer rows. Model LG UltraFine 27MD5KL. shows In Use in New York. Acquisition $790.</t>
        </is>
      </c>
      <c r="L38" s="7" t="inlineStr">
        <is>
          <t>2026-08-05</t>
        </is>
      </c>
      <c r="M38" s="7" t="n">
        <v>790</v>
      </c>
      <c r="N38" s="7">
        <f>IFERROR(INDEX('Source Ledger'!$G$5:$G$200,MATCH(A38,'Source Ledger'!$B$5:$B$200,0)),"")</f>
        <v>479.88</v>
      </c>
      <c r="O38" s="7">
        <f>IFERROR(INDEX('Source Ledger'!$A$5:$A$200,MATCH(A38,'Source Ledger'!$B$5:$B$200,0)),"")</f>
        <v/>
      </c>
      <c r="P38" s="7">
        <f>IFERROR(INDEX('Source Ledger'!$D$5:$D$200,MATCH(A38,'Source Ledger'!$B$5:$B$200,0)),"")</f>
        <v/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Yes</t>
        </is>
      </c>
      <c r="T38">
        <f>IFERROR(INDEX('Source Ledger'!$E$5:$E$200,MATCH(A38,'Source Ledger'!$B$5:$B$200,0)),"")</f>
        <v>930</v>
      </c>
      <c r="U38">
        <f>IFERROR(INDEX('Source Ledger'!$H$5:$H$200,MATCH(A38,'Source Ledger'!$B$5:$B$200,0)),"")</f>
        <v/>
      </c>
      <c r="V38">
        <f>IFERROR(INDEX('Source Ledger'!$G$5:$G$200,MATCH(A38,'Source Ledger'!$B$5:$B$200,0)),"")</f>
        <v>479.88</v>
      </c>
      <c r="W38">
        <f>IF(T38="","",T38-M38)</f>
        <v>140</v>
      </c>
      <c r="X38">
        <f>IF(V38="","No","Yes")</f>
        <v/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Monitor</t>
        </is>
      </c>
      <c r="D39" s="7" t="inlineStr">
        <is>
          <t>Samsung ViewFinity S8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Working evidence note on MD-00035: Samsung ViewFinity S8; In Use @ Seattle; holder Rafael Mendes; FA-000035; TR-00035; basis $950.</t>
        </is>
      </c>
      <c r="L39" s="7" t="inlineStr">
        <is>
          <t>2026-08-05</t>
        </is>
      </c>
      <c r="M39" s="7" t="n">
        <v>950</v>
      </c>
      <c r="N39" s="7">
        <f>IFERROR(INDEX('Source Ledger'!$G$5:$G$200,MATCH(A39,'Source Ledger'!$B$5:$B$200,0)),"")</f>
        <v>741.92</v>
      </c>
      <c r="O39" s="7">
        <f>IFERROR(INDEX('Source Ledger'!$A$5:$A$200,MATCH(A39,'Source Ledger'!$B$5:$B$200,0)),"")</f>
        <v/>
      </c>
      <c r="P39" s="7">
        <f>IFERROR(INDEX('Source Ledger'!$D$5:$D$200,MATCH(A39,'Source Ledger'!$B$5:$B$200,0)),"")</f>
        <v/>
      </c>
      <c r="Q39" s="9" t="inlineStr">
        <is>
          <t>High</t>
        </is>
      </c>
      <c r="R39" s="7" t="inlineStr">
        <is>
          <t>EX-0015</t>
        </is>
      </c>
      <c r="S39" s="7" t="inlineStr">
        <is>
          <t>Yes</t>
        </is>
      </c>
      <c r="T39">
        <f>IFERROR(INDEX('Source Ledger'!$E$5:$E$200,MATCH(A39,'Source Ledger'!$B$5:$B$200,0)),"")</f>
        <v>950</v>
      </c>
      <c r="U39">
        <f>IFERROR(INDEX('Source Ledger'!$H$5:$H$200,MATCH(A39,'Source Ledger'!$B$5:$B$200,0)),"")</f>
        <v/>
      </c>
      <c r="V39">
        <f>IFERROR(INDEX('Source Ledger'!$G$5:$G$200,MATCH(A39,'Source Ledger'!$B$5:$B$200,0)),"")</f>
        <v>741.92</v>
      </c>
      <c r="W39">
        <f>IF(T39="","",T39-M39)</f>
        <v>0</v>
      </c>
      <c r="X39">
        <f>IF(V39="","No","Yes")</f>
        <v/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Mobile Device</t>
        </is>
      </c>
      <c r="D40" s="7" t="inlineStr">
        <is>
          <t>Samsung Galaxy S23 FE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MD-00036 evidence drawn from inventory line. HR/location reading In Use/Atlanta. Move TR-00036. Cost $6,245.</t>
        </is>
      </c>
      <c r="L40" s="7" t="inlineStr">
        <is>
          <t>2026-08-05</t>
        </is>
      </c>
      <c r="M40" s="7" t="n">
        <v>6245</v>
      </c>
      <c r="N40" s="7">
        <f>IFERROR(INDEX('Source Ledger'!$G$5:$G$200,MATCH(A40,'Source Ledger'!$B$5:$B$200,0)),"")</f>
        <v>537.73</v>
      </c>
      <c r="O40" s="7">
        <f>IFERROR(INDEX('Source Ledger'!$A$5:$A$200,MATCH(A40,'Source Ledger'!$B$5:$B$200,0)),"")</f>
        <v/>
      </c>
      <c r="P40" s="7">
        <f>IFERROR(INDEX('Source Ledger'!$D$5:$D$200,MATCH(A40,'Source Ledger'!$B$5:$B$200,0)),"")</f>
        <v/>
      </c>
      <c r="Q40" s="9" t="inlineStr">
        <is>
          <t>High</t>
        </is>
      </c>
      <c r="R40" s="7" t="inlineStr">
        <is>
          <t>EX-0016</t>
        </is>
      </c>
      <c r="S40" s="7" t="inlineStr">
        <is>
          <t>Yes</t>
        </is>
      </c>
      <c r="T40">
        <f>IFERROR(INDEX('Source Ledger'!$E$5:$E$200,MATCH(A40,'Source Ledger'!$B$5:$B$200,0)),"")</f>
        <v>6245</v>
      </c>
      <c r="U40">
        <f>IFERROR(INDEX('Source Ledger'!$H$5:$H$200,MATCH(A40,'Source Ledger'!$B$5:$B$200,0)),"")</f>
        <v/>
      </c>
      <c r="V40">
        <f>IFERROR(INDEX('Source Ledger'!$G$5:$G$200,MATCH(A40,'Source Ledger'!$B$5:$B$200,0)),"")</f>
        <v>537.73</v>
      </c>
      <c r="W40">
        <f>IF(T40="","",T40-M40)</f>
        <v>0</v>
      </c>
      <c r="X40">
        <f>IF(V40="","No","Yes")</f>
        <v/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Mobile Device</t>
        </is>
      </c>
      <c r="D41" s="7" t="inlineStr">
        <is>
          <t>iPhone 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Source stack for MD-00037 (iPhone 14): PO-2025-0008, FA-000037. Custodian context Victor Lang; status In Use at Chicago; basis $1,940.</t>
        </is>
      </c>
      <c r="L41" s="7" t="inlineStr">
        <is>
          <t>2026-08-05</t>
        </is>
      </c>
      <c r="M41" s="7" t="n">
        <v>1940</v>
      </c>
      <c r="N41" s="7">
        <f>IFERROR(INDEX('Source Ledger'!$G$5:$G$200,MATCH(A41,'Source Ledger'!$B$5:$B$200,0)),"")</f>
        <v>0</v>
      </c>
      <c r="O41" s="7">
        <f>IFERROR(INDEX('Source Ledger'!$A$5:$A$200,MATCH(A41,'Source Ledger'!$B$5:$B$200,0)),"")</f>
        <v/>
      </c>
      <c r="P41" s="7">
        <f>IFERROR(INDEX('Source Ledger'!$D$5:$D$200,MATCH(A41,'Source Ledger'!$B$5:$B$200,0)),"")</f>
        <v/>
      </c>
      <c r="Q41" s="9" t="inlineStr">
        <is>
          <t>High</t>
        </is>
      </c>
      <c r="R41" s="7" t="inlineStr">
        <is>
          <t>EX-0017</t>
        </is>
      </c>
      <c r="S41" s="7" t="inlineStr">
        <is>
          <t>Yes</t>
        </is>
      </c>
      <c r="T41">
        <f>IFERROR(INDEX('Source Ledger'!$E$5:$E$200,MATCH(A41,'Source Ledger'!$B$5:$B$200,0)),"")</f>
        <v>1940</v>
      </c>
      <c r="U41">
        <f>IFERROR(INDEX('Source Ledger'!$H$5:$H$200,MATCH(A41,'Source Ledger'!$B$5:$B$200,0)),"")</f>
        <v/>
      </c>
      <c r="V41">
        <f>IFERROR(INDEX('Source Ledger'!$G$5:$G$200,MATCH(A41,'Source Ledger'!$B$5:$B$200,0)),"")</f>
        <v>0</v>
      </c>
      <c r="W41">
        <f>IF(T41="","",T41-M41)</f>
        <v>0</v>
      </c>
      <c r="X41">
        <f>IF(V41="","No","Yes")</f>
        <v/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Mobile Device</t>
        </is>
      </c>
      <c r="D42" s="7" t="inlineStr">
        <is>
          <t>Samsung Galaxy S24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Validated MD-00038 against available PO/FA/HR/transfer rows. Model Samsung Galaxy S24. Noelle Harper (E0038) shows In Use in Dallas. Acquisition $655.</t>
        </is>
      </c>
      <c r="L42" s="7" t="inlineStr">
        <is>
          <t>2026-08-05</t>
        </is>
      </c>
      <c r="M42" s="7" t="n">
        <v>655</v>
      </c>
      <c r="N42" s="7">
        <f>IFERROR(INDEX('Source Ledger'!$G$5:$G$200,MATCH(A42,'Source Ledger'!$B$5:$B$200,0)),"")</f>
        <v>340.46</v>
      </c>
      <c r="O42" s="7">
        <f>IFERROR(INDEX('Source Ledger'!$A$5:$A$200,MATCH(A42,'Source Ledger'!$B$5:$B$200,0)),"")</f>
        <v/>
      </c>
      <c r="P42" s="7">
        <f>IFERROR(INDEX('Source Ledger'!$D$5:$D$200,MATCH(A42,'Source Ledger'!$B$5:$B$200,0)),"")</f>
        <v/>
      </c>
      <c r="Q42" s="9" t="inlineStr">
        <is>
          <t>High</t>
        </is>
      </c>
      <c r="R42" s="7" t="inlineStr">
        <is>
          <t>EX-0018</t>
        </is>
      </c>
      <c r="S42" s="7" t="inlineStr">
        <is>
          <t>Yes</t>
        </is>
      </c>
      <c r="T42">
        <f>IFERROR(INDEX('Source Ledger'!$E$5:$E$200,MATCH(A42,'Source Ledger'!$B$5:$B$200,0)),"")</f>
        <v>655</v>
      </c>
      <c r="U42">
        <f>IFERROR(INDEX('Source Ledger'!$H$5:$H$200,MATCH(A42,'Source Ledger'!$B$5:$B$200,0)),"")</f>
        <v/>
      </c>
      <c r="V42">
        <f>IFERROR(INDEX('Source Ledger'!$G$5:$G$200,MATCH(A42,'Source Ledger'!$B$5:$B$200,0)),"")</f>
        <v>340.46</v>
      </c>
      <c r="W42">
        <f>IF(T42="","",T42-M42)</f>
        <v>0</v>
      </c>
      <c r="X42">
        <f>IF(V42="","No","Yes")</f>
        <v/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iPhone 15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Evidence for MD-00039 is piecewise: inventory cost $1,130, FA FA-000039, HR status In Use, site Denver.</t>
        </is>
      </c>
      <c r="L43" s="7" t="inlineStr">
        <is>
          <t>2026-08-05</t>
        </is>
      </c>
      <c r="M43" s="7" t="n">
        <v>1130</v>
      </c>
      <c r="N43" s="7">
        <f>IFERROR(INDEX('Source Ledger'!$G$5:$G$200,MATCH(A43,'Source Ledger'!$B$5:$B$200,0)),"")</f>
        <v>635</v>
      </c>
      <c r="O43" s="7">
        <f>IFERROR(INDEX('Source Ledger'!$A$5:$A$200,MATCH(A43,'Source Ledger'!$B$5:$B$200,0)),"")</f>
        <v/>
      </c>
      <c r="P43" s="7">
        <f>IFERROR(INDEX('Source Ledger'!$D$5:$D$200,MATCH(A43,'Source Ledger'!$B$5:$B$200,0)),"")</f>
        <v/>
      </c>
      <c r="Q43" s="9" t="inlineStr">
        <is>
          <t>High</t>
        </is>
      </c>
      <c r="R43" s="7" t="inlineStr">
        <is>
          <t>EX-0019</t>
        </is>
      </c>
      <c r="S43" s="7" t="inlineStr">
        <is>
          <t>Yes</t>
        </is>
      </c>
      <c r="T43">
        <f>IFERROR(INDEX('Source Ledger'!$E$5:$E$200,MATCH(A43,'Source Ledger'!$B$5:$B$200,0)),"")</f>
        <v>1130</v>
      </c>
      <c r="U43">
        <f>IFERROR(INDEX('Source Ledger'!$H$5:$H$200,MATCH(A43,'Source Ledger'!$B$5:$B$200,0)),"")</f>
        <v/>
      </c>
      <c r="V43">
        <f>IFERROR(INDEX('Source Ledger'!$G$5:$G$200,MATCH(A43,'Source Ledger'!$B$5:$B$200,0)),"")</f>
        <v>635</v>
      </c>
      <c r="W43">
        <f>IF(T43="","",T43-M43)</f>
        <v>0</v>
      </c>
      <c r="X43">
        <f>IF(V43="","No","Yes")</f>
        <v/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Mobile Device</t>
        </is>
      </c>
      <c r="D44" s="7" t="inlineStr">
        <is>
          <t>Samsung Galaxy S23 FE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Samsung Galaxy S23 FE tagged MD-00040 reconciled using PO-2025-0008+HR. Present state In Use/New York, cost $6,425.</t>
        </is>
      </c>
      <c r="L44" s="7" t="inlineStr">
        <is>
          <t>2026-08-05</t>
        </is>
      </c>
      <c r="M44" s="7" t="n">
        <v>6425</v>
      </c>
      <c r="N44" s="7">
        <f>IFERROR(INDEX('Source Ledger'!$G$5:$G$200,MATCH(A44,'Source Ledger'!$B$5:$B$200,0)),"")</f>
        <v>989.48</v>
      </c>
      <c r="O44" s="7">
        <f>IFERROR(INDEX('Source Ledger'!$A$5:$A$200,MATCH(A44,'Source Ledger'!$B$5:$B$200,0)),"")</f>
        <v/>
      </c>
      <c r="P44" s="7">
        <f>IFERROR(INDEX('Source Ledger'!$D$5:$D$200,MATCH(A44,'Source Ledger'!$B$5:$B$200,0)),"")</f>
        <v/>
      </c>
      <c r="Q44" s="9" t="inlineStr">
        <is>
          <t>High</t>
        </is>
      </c>
      <c r="R44" s="7" t="inlineStr">
        <is>
          <t>EX-0020</t>
        </is>
      </c>
      <c r="S44" s="7" t="inlineStr">
        <is>
          <t>Yes</t>
        </is>
      </c>
      <c r="T44">
        <f>IFERROR(INDEX('Source Ledger'!$E$5:$E$200,MATCH(A44,'Source Ledger'!$B$5:$B$200,0)),"")</f>
        <v>6425</v>
      </c>
      <c r="U44">
        <f>IFERROR(INDEX('Source Ledger'!$H$5:$H$200,MATCH(A44,'Source Ledger'!$B$5:$B$200,0)),"")</f>
        <v/>
      </c>
      <c r="V44">
        <f>IFERROR(INDEX('Source Ledger'!$G$5:$G$200,MATCH(A44,'Source Ledger'!$B$5:$B$200,0)),"")</f>
        <v>989.48</v>
      </c>
      <c r="W44">
        <f>IF(T44="","",T44-M44)</f>
        <v>0</v>
      </c>
      <c r="X44">
        <f>IF(V44="","No","Yes")</f>
        <v/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Mobile Device</t>
        </is>
      </c>
      <c r="D45" s="7" t="inlineStr">
        <is>
          <t>iPhone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MD-00041 evidence drawn from inventory line. HR/location reading In Use/Seattle. Move TR-00041. Cost $2,120.</t>
        </is>
      </c>
      <c r="L45" s="7" t="inlineStr">
        <is>
          <t>2026-08-05</t>
        </is>
      </c>
      <c r="M45" s="7" t="n">
        <v>2120</v>
      </c>
      <c r="N45" s="7">
        <f>IFERROR(INDEX('Source Ledger'!$G$5:$G$200,MATCH(A45,'Source Ledger'!$B$5:$B$200,0)),"")</f>
        <v>0</v>
      </c>
      <c r="O45" s="7">
        <f>IFERROR(INDEX('Source Ledger'!$A$5:$A$200,MATCH(A45,'Source Ledger'!$B$5:$B$200,0)),"")</f>
        <v/>
      </c>
      <c r="P45" s="7">
        <f>IFERROR(INDEX('Source Ledger'!$D$5:$D$200,MATCH(A45,'Source Ledger'!$B$5:$B$200,0)),"")</f>
        <v/>
      </c>
      <c r="Q45" s="9" t="inlineStr">
        <is>
          <t>High</t>
        </is>
      </c>
      <c r="R45" s="7" t="inlineStr">
        <is>
          <t>EX-0021</t>
        </is>
      </c>
      <c r="S45" s="7" t="inlineStr">
        <is>
          <t>Yes</t>
        </is>
      </c>
      <c r="T45">
        <f>IFERROR(INDEX('Source Ledger'!$E$5:$E$200,MATCH(A45,'Source Ledger'!$B$5:$B$200,0)),"")</f>
        <v>2120</v>
      </c>
      <c r="U45">
        <f>IFERROR(INDEX('Source Ledger'!$H$5:$H$200,MATCH(A45,'Source Ledger'!$B$5:$B$200,0)),"")</f>
        <v/>
      </c>
      <c r="V45">
        <f>IFERROR(INDEX('Source Ledger'!$G$5:$G$200,MATCH(A45,'Source Ledger'!$B$5:$B$200,0)),"")</f>
        <v>0</v>
      </c>
      <c r="W45">
        <f>IF(T45="","",T45-M45)</f>
        <v>0</v>
      </c>
      <c r="X45">
        <f>IF(V45="","No","Yes")</f>
        <v/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Mobile Device</t>
        </is>
      </c>
      <c r="D46" s="7" t="inlineStr">
        <is>
          <t>Samsung Galaxy S24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For MD-00042, register cost $520 sits beside FA-000042 . Transfer TR-00042 on file. Verified In Use / Atlanta.</t>
        </is>
      </c>
      <c r="L46" s="7" t="inlineStr">
        <is>
          <t>2026-08-05</t>
        </is>
      </c>
      <c r="M46" s="7" t="n">
        <v>520</v>
      </c>
      <c r="N46" s="7">
        <f>IFERROR(INDEX('Source Ledger'!$G$5:$G$200,MATCH(A46,'Source Ledger'!$B$5:$B$200,0)),"")</f>
        <v>306.16</v>
      </c>
      <c r="O46" s="7">
        <f>IFERROR(INDEX('Source Ledger'!$A$5:$A$200,MATCH(A46,'Source Ledger'!$B$5:$B$200,0)),"")</f>
        <v/>
      </c>
      <c r="P46" s="7">
        <f>IFERROR(INDEX('Source Ledger'!$D$5:$D$200,MATCH(A46,'Source Ledger'!$B$5:$B$200,0)),"")</f>
        <v/>
      </c>
      <c r="Q46" s="9" t="inlineStr">
        <is>
          <t>High</t>
        </is>
      </c>
      <c r="R46" s="7" t="inlineStr">
        <is>
          <t>EX-0022</t>
        </is>
      </c>
      <c r="S46" s="7" t="inlineStr">
        <is>
          <t>Yes</t>
        </is>
      </c>
      <c r="T46">
        <f>IFERROR(INDEX('Source Ledger'!$E$5:$E$200,MATCH(A46,'Source Ledger'!$B$5:$B$200,0)),"")</f>
        <v>520</v>
      </c>
      <c r="U46">
        <f>IFERROR(INDEX('Source Ledger'!$H$5:$H$200,MATCH(A46,'Source Ledger'!$B$5:$B$200,0)),"")</f>
        <v/>
      </c>
      <c r="V46">
        <f>IFERROR(INDEX('Source Ledger'!$G$5:$G$200,MATCH(A46,'Source Ledger'!$B$5:$B$200,0)),"")</f>
        <v>306.16</v>
      </c>
      <c r="W46">
        <f>IF(T46="","",T46-M46)</f>
        <v>0</v>
      </c>
      <c r="X46">
        <f>IF(V46="","No","Yes")</f>
        <v/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iPhone 15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Evidence for MD-00043 is piecewise: inventory cost $995, FA absent, PO PO-2025-0008, TR TR-00043, HR status In Use, site Chicago.</t>
        </is>
      </c>
      <c r="L47" s="7" t="inlineStr">
        <is>
          <t>2026-08-05</t>
        </is>
      </c>
      <c r="M47" s="7" t="n">
        <v>995</v>
      </c>
      <c r="N47" s="7">
        <f>IFERROR(INDEX('Source Ledger'!$G$5:$G$200,MATCH(A47,'Source Ledger'!$B$5:$B$200,0)),"")</f>
        <v>673.55</v>
      </c>
      <c r="O47" s="7">
        <f>IFERROR(INDEX('Source Ledger'!$A$5:$A$200,MATCH(A47,'Source Ledger'!$B$5:$B$200,0)),"")</f>
        <v/>
      </c>
      <c r="P47" s="7">
        <f>IFERROR(INDEX('Source Ledger'!$D$5:$D$200,MATCH(A47,'Source Ledger'!$B$5:$B$200,0)),"")</f>
        <v/>
      </c>
      <c r="Q47" s="9" t="inlineStr">
        <is>
          <t>High</t>
        </is>
      </c>
      <c r="R47" s="7" t="inlineStr">
        <is>
          <t>EX-0023</t>
        </is>
      </c>
      <c r="S47" s="7" t="inlineStr">
        <is>
          <t>Yes</t>
        </is>
      </c>
      <c r="T47">
        <f>IFERROR(INDEX('Source Ledger'!$E$5:$E$200,MATCH(A47,'Source Ledger'!$B$5:$B$200,0)),"")</f>
        <v>995</v>
      </c>
      <c r="U47">
        <f>IFERROR(INDEX('Source Ledger'!$H$5:$H$200,MATCH(A47,'Source Ledger'!$B$5:$B$200,0)),"")</f>
        <v/>
      </c>
      <c r="V47">
        <f>IFERROR(INDEX('Source Ledger'!$G$5:$G$200,MATCH(A47,'Source Ledger'!$B$5:$B$200,0)),"")</f>
        <v>673.55</v>
      </c>
      <c r="W47">
        <f>IF(T47="","",T47-M47)</f>
        <v>0</v>
      </c>
      <c r="X47">
        <f>IF(V47="","No","Yes")</f>
        <v/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Mobile Device</t>
        </is>
      </c>
      <c r="D48" s="7" t="inlineStr">
        <is>
          <t>Google Pixel 8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evidence note on MD-00044: Google Pixel 8; In Use @ Dallas; holder Google Pixel; PO-2025-0008; FA-000044; TR-00044; basis $6,290.</t>
        </is>
      </c>
      <c r="L48" s="7" t="inlineStr">
        <is>
          <t>2026-08-05</t>
        </is>
      </c>
      <c r="M48" s="7" t="n">
        <v>6290</v>
      </c>
      <c r="N48" s="7">
        <f>IFERROR(INDEX('Source Ledger'!$G$5:$G$200,MATCH(A48,'Source Ledger'!$B$5:$B$200,0)),"")</f>
        <v>1406.1</v>
      </c>
      <c r="O48" s="7">
        <f>IFERROR(INDEX('Source Ledger'!$A$5:$A$200,MATCH(A48,'Source Ledger'!$B$5:$B$200,0)),"")</f>
        <v/>
      </c>
      <c r="P48" s="7">
        <f>IFERROR(INDEX('Source Ledger'!$D$5:$D$200,MATCH(A48,'Source Ledger'!$B$5:$B$200,0)),"")</f>
        <v/>
      </c>
      <c r="Q48" s="9" t="inlineStr">
        <is>
          <t>High</t>
        </is>
      </c>
      <c r="R48" s="7" t="inlineStr">
        <is>
          <t>EX-0024</t>
        </is>
      </c>
      <c r="S48" s="7" t="inlineStr">
        <is>
          <t>Yes</t>
        </is>
      </c>
      <c r="T48">
        <f>IFERROR(INDEX('Source Ledger'!$E$5:$E$200,MATCH(A48,'Source Ledger'!$B$5:$B$200,0)),"")</f>
        <v>6290</v>
      </c>
      <c r="U48">
        <f>IFERROR(INDEX('Source Ledger'!$H$5:$H$200,MATCH(A48,'Source Ledger'!$B$5:$B$200,0)),"")</f>
        <v/>
      </c>
      <c r="V48">
        <f>IFERROR(INDEX('Source Ledger'!$G$5:$G$200,MATCH(A48,'Source Ledger'!$B$5:$B$200,0)),"")</f>
        <v>1406.1</v>
      </c>
      <c r="W48">
        <f>IF(T48="","",T48-M48)</f>
        <v>0</v>
      </c>
      <c r="X48">
        <f>IF(V48="","No","Yes")</f>
        <v/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Mobile Device</t>
        </is>
      </c>
      <c r="D49" s="7" t="inlineStr">
        <is>
          <t>Samsung Galaxy S23 FE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For MD-00045, register cost $1,985 sits beside FA-000045 and PO-2022-0009. Transfer TR-00045 on file. Verified In Use / Denver.</t>
        </is>
      </c>
      <c r="L49" s="7" t="inlineStr">
        <is>
          <t>2026-08-05</t>
        </is>
      </c>
      <c r="M49" s="7" t="n">
        <v>1985</v>
      </c>
      <c r="N49" s="7">
        <f>IFERROR(INDEX('Source Ledger'!$G$5:$G$200,MATCH(A49,'Source Ledger'!$B$5:$B$200,0)),"")</f>
        <v>133.6</v>
      </c>
      <c r="O49" s="7">
        <f>IFERROR(INDEX('Source Ledger'!$A$5:$A$200,MATCH(A49,'Source Ledger'!$B$5:$B$200,0)),"")</f>
        <v/>
      </c>
      <c r="P49" s="7">
        <f>IFERROR(INDEX('Source Ledger'!$D$5:$D$200,MATCH(A49,'Source Ledger'!$B$5:$B$200,0)),"")</f>
        <v/>
      </c>
      <c r="Q49" s="9" t="inlineStr">
        <is>
          <t>High</t>
        </is>
      </c>
      <c r="R49" s="7" t="inlineStr">
        <is>
          <t>EX-0025</t>
        </is>
      </c>
      <c r="S49" s="7" t="inlineStr">
        <is>
          <t>Yes</t>
        </is>
      </c>
      <c r="T49">
        <f>IFERROR(INDEX('Source Ledger'!$E$5:$E$200,MATCH(A49,'Source Ledger'!$B$5:$B$200,0)),"")</f>
        <v>1985</v>
      </c>
      <c r="U49">
        <f>IFERROR(INDEX('Source Ledger'!$H$5:$H$200,MATCH(A49,'Source Ledger'!$B$5:$B$200,0)),"")</f>
        <v/>
      </c>
      <c r="V49">
        <f>IFERROR(INDEX('Source Ledger'!$G$5:$G$200,MATCH(A49,'Source Ledger'!$B$5:$B$200,0)),"")</f>
        <v>133.6</v>
      </c>
      <c r="W49">
        <f>IF(T49="","",T49-M49)</f>
        <v>0</v>
      </c>
      <c r="X49">
        <f>IF(V49="","No","Yes")</f>
        <v/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Mobile Device</t>
        </is>
      </c>
      <c r="D50" s="7" t="inlineStr">
        <is>
          <t>iPhone 14</t>
        </is>
      </c>
      <c r="E50" s="7" t="n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iPhone 14 tagged MD-00046 reconciled using PO-2022-0009+FA-000046+TR-00046+HR. Present state Available/New York, cost $700.</t>
        </is>
      </c>
      <c r="L50" s="7" t="inlineStr">
        <is>
          <t>2026-05-24</t>
        </is>
      </c>
      <c r="M50" s="7" t="n">
        <v>700</v>
      </c>
      <c r="N50" s="7">
        <f>IFERROR(INDEX('Source Ledger'!$G$5:$G$200,MATCH(A50,'Source Ledger'!$B$5:$B$200,0)),"")</f>
        <v>460.82</v>
      </c>
      <c r="O50" s="7">
        <f>IFERROR(INDEX('Source Ledger'!$A$5:$A$200,MATCH(A50,'Source Ledger'!$B$5:$B$200,0)),"")</f>
        <v/>
      </c>
      <c r="P50" s="7">
        <f>IFERROR(INDEX('Source Ledger'!$D$5:$D$200,MATCH(A50,'Source Ledger'!$B$5:$B$200,0)),"")</f>
        <v/>
      </c>
      <c r="Q50" s="9" t="inlineStr">
        <is>
          <t>High</t>
        </is>
      </c>
      <c r="R50" s="7" t="inlineStr">
        <is>
          <t>EX-0026</t>
        </is>
      </c>
      <c r="S50" s="7" t="inlineStr">
        <is>
          <t>Yes</t>
        </is>
      </c>
      <c r="T50">
        <f>IFERROR(INDEX('Source Ledger'!$E$5:$E$200,MATCH(A50,'Source Ledger'!$B$5:$B$200,0)),"")</f>
        <v>700</v>
      </c>
      <c r="U50">
        <f>IFERROR(INDEX('Source Ledger'!$H$5:$H$200,MATCH(A50,'Source Ledger'!$B$5:$B$200,0)),"")</f>
        <v/>
      </c>
      <c r="V50">
        <f>IFERROR(INDEX('Source Ledger'!$G$5:$G$200,MATCH(A50,'Source Ledger'!$B$5:$B$200,0)),"")</f>
        <v>460.82</v>
      </c>
      <c r="W50">
        <f>IF(T50="","",T50-M50)</f>
        <v>0</v>
      </c>
      <c r="X50">
        <f>IF(V50="","No","Yes")</f>
        <v/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n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MD-00047 evidence drawn from PO-2022-0009 / FA-000047. HR/location reading Available/Seattle. Move TR-00047. Cost $1,175.</t>
        </is>
      </c>
      <c r="L51" s="7" t="inlineStr">
        <is>
          <t>2026-06-25</t>
        </is>
      </c>
      <c r="M51" s="7" t="n">
        <v>1175</v>
      </c>
      <c r="N51" s="7">
        <f>IFERROR(INDEX('Source Ledger'!$G$5:$G$200,MATCH(A51,'Source Ledger'!$B$5:$B$200,0)),"")</f>
        <v>930.51</v>
      </c>
      <c r="O51" s="7">
        <f>IFERROR(INDEX('Source Ledger'!$A$5:$A$200,MATCH(A51,'Source Ledger'!$B$5:$B$200,0)),"")</f>
        <v/>
      </c>
      <c r="P51" s="7">
        <f>IFERROR(INDEX('Source Ledger'!$D$5:$D$200,MATCH(A51,'Source Ledger'!$B$5:$B$200,0)),"")</f>
        <v/>
      </c>
      <c r="Q51" s="9" t="inlineStr">
        <is>
          <t>High</t>
        </is>
      </c>
      <c r="R51" s="7" t="inlineStr">
        <is>
          <t>EX-0027</t>
        </is>
      </c>
      <c r="S51" s="7" t="inlineStr">
        <is>
          <t>Yes</t>
        </is>
      </c>
      <c r="T51">
        <f>IFERROR(INDEX('Source Ledger'!$E$5:$E$200,MATCH(A51,'Source Ledger'!$B$5:$B$200,0)),"")</f>
        <v>1175</v>
      </c>
      <c r="U51">
        <f>IFERROR(INDEX('Source Ledger'!$H$5:$H$200,MATCH(A51,'Source Ledger'!$B$5:$B$200,0)),"")</f>
        <v/>
      </c>
      <c r="V51">
        <f>IFERROR(INDEX('Source Ledger'!$G$5:$G$200,MATCH(A51,'Source Ledger'!$B$5:$B$200,0)),"")</f>
        <v>930.51</v>
      </c>
      <c r="W51">
        <f>IF(T51="","",T51-M51)</f>
        <v>0</v>
      </c>
      <c r="X51">
        <f>IF(V51="","No","Yes")</f>
        <v/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Mobile Device</t>
        </is>
      </c>
      <c r="D52" s="7" t="inlineStr">
        <is>
          <t>iPhone 15</t>
        </is>
      </c>
      <c r="E52" s="7" t="n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to source systems. PO PO-2022-0009. Ledger FA-000048. Move TR-00048. Outcome Available in Atlanta ($6,470).</t>
        </is>
      </c>
      <c r="L52" s="7" t="inlineStr">
        <is>
          <t>2026-01-02</t>
        </is>
      </c>
      <c r="M52" s="7" t="n">
        <v>6470</v>
      </c>
      <c r="N52" s="7">
        <f>IFERROR(INDEX('Source Ledger'!$G$5:$G$200,MATCH(A52,'Source Ledger'!$B$5:$B$200,0)),"")</f>
        <v>514.59</v>
      </c>
      <c r="O52" s="7">
        <f>IFERROR(INDEX('Source Ledger'!$A$5:$A$200,MATCH(A52,'Source Ledger'!$B$5:$B$200,0)),"")</f>
        <v/>
      </c>
      <c r="P52" s="7">
        <f>IFERROR(INDEX('Source Ledger'!$D$5:$D$200,MATCH(A52,'Source Ledger'!$B$5:$B$200,0)),"")</f>
        <v/>
      </c>
      <c r="Q52" s="9" t="inlineStr">
        <is>
          <t>High</t>
        </is>
      </c>
      <c r="R52" s="7" t="inlineStr">
        <is>
          <t>EX-0028</t>
        </is>
      </c>
      <c r="S52" s="7" t="inlineStr">
        <is>
          <t>Yes</t>
        </is>
      </c>
      <c r="T52">
        <f>IFERROR(INDEX('Source Ledger'!$E$5:$E$200,MATCH(A52,'Source Ledger'!$B$5:$B$200,0)),"")</f>
        <v>6470</v>
      </c>
      <c r="U52">
        <f>IFERROR(INDEX('Source Ledger'!$H$5:$H$200,MATCH(A52,'Source Ledger'!$B$5:$B$200,0)),"")</f>
        <v/>
      </c>
      <c r="V52">
        <f>IFERROR(INDEX('Source Ledger'!$G$5:$G$200,MATCH(A52,'Source Ledger'!$B$5:$B$200,0)),"")</f>
        <v>514.59</v>
      </c>
      <c r="W52">
        <f>IF(T52="","",T52-M52)</f>
        <v>0</v>
      </c>
      <c r="X52">
        <f>IF(V52="","No","Yes")</f>
        <v/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Mobile Device</t>
        </is>
      </c>
      <c r="D53" s="7" t="inlineStr">
        <is>
          <t>Google Pixel 8</t>
        </is>
      </c>
      <c r="E53" s="7" t="n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to source systems. PO PO-2022-0009. Ledger FA-000049. Outcome Available in Chicago ($1,850).</t>
        </is>
      </c>
      <c r="L53" s="7" t="inlineStr">
        <is>
          <t>2026-02-03</t>
        </is>
      </c>
      <c r="M53" s="7" t="n">
        <v>1850</v>
      </c>
      <c r="N53" s="7">
        <f>IFERROR(INDEX('Source Ledger'!$G$5:$G$200,MATCH(A53,'Source Ledger'!$B$5:$B$200,0)),"")</f>
        <v>0</v>
      </c>
      <c r="O53" s="7">
        <f>IFERROR(INDEX('Source Ledger'!$A$5:$A$200,MATCH(A53,'Source Ledger'!$B$5:$B$200,0)),"")</f>
        <v/>
      </c>
      <c r="P53" s="7">
        <f>IFERROR(INDEX('Source Ledger'!$D$5:$D$200,MATCH(A53,'Source Ledger'!$B$5:$B$200,0)),"")</f>
        <v/>
      </c>
      <c r="Q53" s="9" t="inlineStr">
        <is>
          <t>High</t>
        </is>
      </c>
      <c r="R53" s="7" t="inlineStr">
        <is>
          <t>EX-0029</t>
        </is>
      </c>
      <c r="S53" s="7" t="inlineStr">
        <is>
          <t>Yes</t>
        </is>
      </c>
      <c r="T53">
        <f>IFERROR(INDEX('Source Ledger'!$E$5:$E$200,MATCH(A53,'Source Ledger'!$B$5:$B$200,0)),"")</f>
        <v>1850</v>
      </c>
      <c r="U53">
        <f>IFERROR(INDEX('Source Ledger'!$H$5:$H$200,MATCH(A53,'Source Ledger'!$B$5:$B$200,0)),"")</f>
        <v/>
      </c>
      <c r="V53">
        <f>IFERROR(INDEX('Source Ledger'!$G$5:$G$200,MATCH(A53,'Source Ledger'!$B$5:$B$200,0)),"")</f>
        <v>0</v>
      </c>
      <c r="W53">
        <f>IF(T53="","",T53-M53)</f>
        <v>0</v>
      </c>
      <c r="X53">
        <f>IF(V53="","No","Yes")</f>
        <v/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Mobile Device</t>
        </is>
      </c>
      <c r="D54" s="7" t="inlineStr">
        <is>
          <t>iPhone 14</t>
        </is>
      </c>
      <c r="E54" s="7" t="n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Evidence for MD-00050 is piecewise: inventory cost $565, FA FA-000050, PO PO-2023-0010, TR TR-00050, HR status Available, site Dallas.</t>
        </is>
      </c>
      <c r="L54" s="7" t="inlineStr">
        <is>
          <t>2026-03-04</t>
        </is>
      </c>
      <c r="M54" s="7" t="n">
        <v>565</v>
      </c>
      <c r="N54" s="7">
        <f>IFERROR(INDEX('Source Ledger'!$G$5:$G$200,MATCH(A54,'Source Ledger'!$B$5:$B$200,0)),"")</f>
        <v>289.96</v>
      </c>
      <c r="O54" s="7">
        <f>IFERROR(INDEX('Source Ledger'!$A$5:$A$200,MATCH(A54,'Source Ledger'!$B$5:$B$200,0)),"")</f>
        <v/>
      </c>
      <c r="P54" s="7">
        <f>IFERROR(INDEX('Source Ledger'!$D$5:$D$200,MATCH(A54,'Source Ledger'!$B$5:$B$200,0)),"")</f>
        <v/>
      </c>
      <c r="Q54" s="9" t="inlineStr">
        <is>
          <t>High</t>
        </is>
      </c>
      <c r="R54" s="7" t="inlineStr">
        <is>
          <t>EX-0030</t>
        </is>
      </c>
      <c r="S54" s="7" t="inlineStr">
        <is>
          <t>Yes</t>
        </is>
      </c>
      <c r="T54">
        <f>IFERROR(INDEX('Source Ledger'!$E$5:$E$200,MATCH(A54,'Source Ledger'!$B$5:$B$200,0)),"")</f>
        <v>565</v>
      </c>
      <c r="U54">
        <f>IFERROR(INDEX('Source Ledger'!$H$5:$H$200,MATCH(A54,'Source Ledger'!$B$5:$B$200,0)),"")</f>
        <v/>
      </c>
      <c r="V54">
        <f>IFERROR(INDEX('Source Ledger'!$G$5:$G$200,MATCH(A54,'Source Ledger'!$B$5:$B$200,0)),"")</f>
        <v>289.96</v>
      </c>
      <c r="W54">
        <f>IF(T54="","",T54-M54)</f>
        <v>0</v>
      </c>
      <c r="X54">
        <f>IF(V54="","No","Yes")</f>
        <v/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n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Validated MD-00051 against available PO/FA/HR/transfer rows. Model Samsung Galaxy S24. shows Available in Denver. Acquisition $1,040.</t>
        </is>
      </c>
      <c r="L55" s="7" t="inlineStr">
        <is>
          <t>2026-04-05</t>
        </is>
      </c>
      <c r="M55" s="7" t="n">
        <v>1040</v>
      </c>
      <c r="N55" s="7">
        <f>IFERROR(INDEX('Source Ledger'!$G$5:$G$200,MATCH(A55,'Source Ledger'!$B$5:$B$200,0)),"")</f>
        <v>573.03</v>
      </c>
      <c r="O55" s="7">
        <f>IFERROR(INDEX('Source Ledger'!$A$5:$A$200,MATCH(A55,'Source Ledger'!$B$5:$B$200,0)),"")</f>
        <v/>
      </c>
      <c r="P55" s="7">
        <f>IFERROR(INDEX('Source Ledger'!$D$5:$D$200,MATCH(A55,'Source Ledger'!$B$5:$B$200,0)),"")</f>
        <v/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Yes</t>
        </is>
      </c>
      <c r="T55">
        <f>IFERROR(INDEX('Source Ledger'!$E$5:$E$200,MATCH(A55,'Source Ledger'!$B$5:$B$200,0)),"")</f>
        <v>1250</v>
      </c>
      <c r="U55">
        <f>IFERROR(INDEX('Source Ledger'!$H$5:$H$200,MATCH(A55,'Source Ledger'!$B$5:$B$200,0)),"")</f>
        <v/>
      </c>
      <c r="V55">
        <f>IFERROR(INDEX('Source Ledger'!$G$5:$G$200,MATCH(A55,'Source Ledger'!$B$5:$B$200,0)),"")</f>
        <v>573.03</v>
      </c>
      <c r="W55">
        <f>IF(T55="","",T55-M55)</f>
        <v>210</v>
      </c>
      <c r="X55">
        <f>IF(V55="","No","Yes")</f>
        <v/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Mobile Device</t>
        </is>
      </c>
      <c r="D56" s="7" t="inlineStr">
        <is>
          <t>iPhone 15</t>
        </is>
      </c>
      <c r="E56" s="7" t="n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Cross-checked MD-00052 to source systems. Ledger FA-000052. Move TR-00052. Outcome Available in New York ($6,335).</t>
        </is>
      </c>
      <c r="L56" s="7" t="inlineStr">
        <is>
          <t>2026-05-06</t>
        </is>
      </c>
      <c r="M56" s="7" t="n">
        <v>6335</v>
      </c>
      <c r="N56" s="7">
        <f>IFERROR(INDEX('Source Ledger'!$G$5:$G$200,MATCH(A56,'Source Ledger'!$B$5:$B$200,0)),"")</f>
        <v>933.99</v>
      </c>
      <c r="O56" s="7">
        <f>IFERROR(INDEX('Source Ledger'!$A$5:$A$200,MATCH(A56,'Source Ledger'!$B$5:$B$200,0)),"")</f>
        <v/>
      </c>
      <c r="P56" s="7">
        <f>IFERROR(INDEX('Source Ledger'!$D$5:$D$200,MATCH(A56,'Source Ledger'!$B$5:$B$200,0)),"")</f>
        <v/>
      </c>
      <c r="Q56" s="9" t="inlineStr">
        <is>
          <t>High</t>
        </is>
      </c>
      <c r="R56" s="7" t="inlineStr">
        <is>
          <t>EX-0033</t>
        </is>
      </c>
      <c r="S56" s="7" t="inlineStr">
        <is>
          <t>Yes</t>
        </is>
      </c>
      <c r="T56">
        <f>IFERROR(INDEX('Source Ledger'!$E$5:$E$200,MATCH(A56,'Source Ledger'!$B$5:$B$200,0)),"")</f>
        <v>6335</v>
      </c>
      <c r="U56">
        <f>IFERROR(INDEX('Source Ledger'!$H$5:$H$200,MATCH(A56,'Source Ledger'!$B$5:$B$200,0)),"")</f>
        <v/>
      </c>
      <c r="V56">
        <f>IFERROR(INDEX('Source Ledger'!$G$5:$G$200,MATCH(A56,'Source Ledger'!$B$5:$B$200,0)),"")</f>
        <v>933.99</v>
      </c>
      <c r="W56">
        <f>IF(T56="","",T56-M56)</f>
        <v>0</v>
      </c>
      <c r="X56">
        <f>IF(V56="","No","Yes")</f>
        <v/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Mobile Device</t>
        </is>
      </c>
      <c r="D57" s="7" t="inlineStr">
        <is>
          <t>Google Pixel 8</t>
        </is>
      </c>
      <c r="E57" s="7" t="n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Cross-checked MD-00053 to source systems. PO PO-2024-0011. Move TR-00053. Outcome Available in Seattle ($2,030).</t>
        </is>
      </c>
      <c r="L57" s="7" t="inlineStr">
        <is>
          <t>2026-06-07</t>
        </is>
      </c>
      <c r="M57" s="7" t="n">
        <v>2030</v>
      </c>
      <c r="N57" s="7">
        <f>IFERROR(INDEX('Source Ledger'!$G$5:$G$200,MATCH(A57,'Source Ledger'!$B$5:$B$200,0)),"")</f>
        <v>0</v>
      </c>
      <c r="O57" s="7">
        <f>IFERROR(INDEX('Source Ledger'!$A$5:$A$200,MATCH(A57,'Source Ledger'!$B$5:$B$200,0)),"")</f>
        <v/>
      </c>
      <c r="P57" s="7">
        <f>IFERROR(INDEX('Source Ledger'!$D$5:$D$200,MATCH(A57,'Source Ledger'!$B$5:$B$200,0)),"")</f>
        <v/>
      </c>
      <c r="Q57" s="9" t="inlineStr">
        <is>
          <t>High</t>
        </is>
      </c>
      <c r="R57" s="7" t="inlineStr">
        <is>
          <t>EX-0034</t>
        </is>
      </c>
      <c r="S57" s="7" t="inlineStr">
        <is>
          <t>Yes</t>
        </is>
      </c>
      <c r="T57">
        <f>IFERROR(INDEX('Source Ledger'!$E$5:$E$200,MATCH(A57,'Source Ledger'!$B$5:$B$200,0)),"")</f>
        <v>2030</v>
      </c>
      <c r="U57">
        <f>IFERROR(INDEX('Source Ledger'!$H$5:$H$200,MATCH(A57,'Source Ledger'!$B$5:$B$200,0)),"")</f>
        <v/>
      </c>
      <c r="V57">
        <f>IFERROR(INDEX('Source Ledger'!$G$5:$G$200,MATCH(A57,'Source Ledger'!$B$5:$B$200,0)),"")</f>
        <v>0</v>
      </c>
      <c r="W57">
        <f>IF(T57="","",T57-M57)</f>
        <v>0</v>
      </c>
      <c r="X57">
        <f>IF(V57="","No","Yes")</f>
        <v/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Mobile Device</t>
        </is>
      </c>
      <c r="D58" s="7" t="inlineStr">
        <is>
          <t>Samsung Galaxy S23 FE</t>
        </is>
      </c>
      <c r="E58" s="7" t="n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Working evidence note on MD-00054: Samsung Galaxy S23 FE; Available @ Atlanta; FA-000054; TR-00054; basis $745.</t>
        </is>
      </c>
      <c r="L58" s="7" t="inlineStr">
        <is>
          <t>2026-01-08</t>
        </is>
      </c>
      <c r="M58" s="7" t="n">
        <v>745</v>
      </c>
      <c r="N58" s="7">
        <f>IFERROR(INDEX('Source Ledger'!$G$5:$G$200,MATCH(A58,'Source Ledger'!$B$5:$B$200,0)),"")</f>
        <v>433.74</v>
      </c>
      <c r="O58" s="7">
        <f>IFERROR(INDEX('Source Ledger'!$A$5:$A$200,MATCH(A58,'Source Ledger'!$B$5:$B$200,0)),"")</f>
        <v/>
      </c>
      <c r="P58" s="7">
        <f>IFERROR(INDEX('Source Ledger'!$D$5:$D$200,MATCH(A58,'Source Ledger'!$B$5:$B$200,0)),"")</f>
        <v/>
      </c>
      <c r="Q58" s="9" t="inlineStr">
        <is>
          <t>High</t>
        </is>
      </c>
      <c r="R58" s="7" t="inlineStr">
        <is>
          <t>EX-0035</t>
        </is>
      </c>
      <c r="S58" s="7" t="inlineStr">
        <is>
          <t>Yes</t>
        </is>
      </c>
      <c r="T58">
        <f>IFERROR(INDEX('Source Ledger'!$E$5:$E$200,MATCH(A58,'Source Ledger'!$B$5:$B$200,0)),"")</f>
        <v>745</v>
      </c>
      <c r="U58">
        <f>IFERROR(INDEX('Source Ledger'!$H$5:$H$200,MATCH(A58,'Source Ledger'!$B$5:$B$200,0)),"")</f>
        <v/>
      </c>
      <c r="V58">
        <f>IFERROR(INDEX('Source Ledger'!$G$5:$G$200,MATCH(A58,'Source Ledger'!$B$5:$B$200,0)),"")</f>
        <v>433.74</v>
      </c>
      <c r="W58">
        <f>IF(T58="","",T58-M58)</f>
        <v>0</v>
      </c>
      <c r="X58">
        <f>IF(V58="","No","Yes")</f>
        <v/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iPhone 14</t>
        </is>
      </c>
      <c r="E59" s="7" t="n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Working evidence note on MD-00055: iPhone 14; Available @ Chicago; PO-2024-0011; TR-00055; basis $1,220.</t>
        </is>
      </c>
      <c r="L59" s="7" t="inlineStr">
        <is>
          <t>2026-02-09</t>
        </is>
      </c>
      <c r="M59" s="7" t="n">
        <v>1220</v>
      </c>
      <c r="N59" s="7">
        <f>IFERROR(INDEX('Source Ledger'!$G$5:$G$200,MATCH(A59,'Source Ledger'!$B$5:$B$200,0)),"")</f>
        <v>812.5</v>
      </c>
      <c r="O59" s="7">
        <f>IFERROR(INDEX('Source Ledger'!$A$5:$A$200,MATCH(A59,'Source Ledger'!$B$5:$B$200,0)),"")</f>
        <v/>
      </c>
      <c r="P59" s="7">
        <f>IFERROR(INDEX('Source Ledger'!$D$5:$D$200,MATCH(A59,'Source Ledger'!$B$5:$B$200,0)),"")</f>
        <v/>
      </c>
      <c r="Q59" s="9" t="inlineStr">
        <is>
          <t>High</t>
        </is>
      </c>
      <c r="R59" s="7" t="inlineStr">
        <is>
          <t>EX-0036</t>
        </is>
      </c>
      <c r="S59" s="7" t="inlineStr">
        <is>
          <t>Yes</t>
        </is>
      </c>
      <c r="T59">
        <f>IFERROR(INDEX('Source Ledger'!$E$5:$E$200,MATCH(A59,'Source Ledger'!$B$5:$B$200,0)),"")</f>
        <v>1220</v>
      </c>
      <c r="U59">
        <f>IFERROR(INDEX('Source Ledger'!$H$5:$H$200,MATCH(A59,'Source Ledger'!$B$5:$B$200,0)),"")</f>
        <v/>
      </c>
      <c r="V59">
        <f>IFERROR(INDEX('Source Ledger'!$G$5:$G$200,MATCH(A59,'Source Ledger'!$B$5:$B$200,0)),"")</f>
        <v>812.5</v>
      </c>
      <c r="W59">
        <f>IF(T59="","",T59-M59)</f>
        <v>0</v>
      </c>
      <c r="X59">
        <f>IF(V59="","No","Yes")</f>
        <v/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Mobile Device</t>
        </is>
      </c>
      <c r="D60" s="7" t="inlineStr">
        <is>
          <t>Samsung Galaxy S24</t>
        </is>
      </c>
      <c r="E60" s="7" t="n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MD-00056 evidence drawn from PO-2024-0011 / FA-000056. HR/location reading Available/Dallas. Move TR-00056. Cost $6,200.</t>
        </is>
      </c>
      <c r="L60" s="7" t="inlineStr">
        <is>
          <t>2026-03-10</t>
        </is>
      </c>
      <c r="M60" s="7" t="n">
        <v>6200</v>
      </c>
      <c r="N60" s="7">
        <f>IFERROR(INDEX('Source Ledger'!$G$5:$G$200,MATCH(A60,'Source Ledger'!$B$5:$B$200,0)),"")</f>
        <v>1345.24</v>
      </c>
      <c r="O60" s="7">
        <f>IFERROR(INDEX('Source Ledger'!$A$5:$A$200,MATCH(A60,'Source Ledger'!$B$5:$B$200,0)),"")</f>
        <v/>
      </c>
      <c r="P60" s="7">
        <f>IFERROR(INDEX('Source Ledger'!$D$5:$D$200,MATCH(A60,'Source Ledger'!$B$5:$B$200,0)),"")</f>
        <v/>
      </c>
      <c r="Q60" s="9" t="inlineStr">
        <is>
          <t>High</t>
        </is>
      </c>
      <c r="R60" s="7" t="inlineStr">
        <is>
          <t>EX-0037</t>
        </is>
      </c>
      <c r="S60" s="7" t="inlineStr">
        <is>
          <t>Yes</t>
        </is>
      </c>
      <c r="T60">
        <f>IFERROR(INDEX('Source Ledger'!$E$5:$E$200,MATCH(A60,'Source Ledger'!$B$5:$B$200,0)),"")</f>
        <v>6200</v>
      </c>
      <c r="U60">
        <f>IFERROR(INDEX('Source Ledger'!$H$5:$H$200,MATCH(A60,'Source Ledger'!$B$5:$B$200,0)),"")</f>
        <v/>
      </c>
      <c r="V60">
        <f>IFERROR(INDEX('Source Ledger'!$G$5:$G$200,MATCH(A60,'Source Ledger'!$B$5:$B$200,0)),"")</f>
        <v>1345.24</v>
      </c>
      <c r="W60">
        <f>IF(T60="","",T60-M60)</f>
        <v>0</v>
      </c>
      <c r="X60">
        <f>IF(V60="","No","Yes")</f>
        <v/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Mobile Device</t>
        </is>
      </c>
      <c r="D61" s="7" t="inlineStr">
        <is>
          <t>iPhone 15</t>
        </is>
      </c>
      <c r="E61" s="7" t="n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Validated MD-00057 against available PO/FA/HR/transfer rows. Model iPhone 15. shows Available in Denver. Acquisition $1,895.</t>
        </is>
      </c>
      <c r="L61" s="7" t="inlineStr">
        <is>
          <t>2026-04-11</t>
        </is>
      </c>
      <c r="M61" s="7" t="n">
        <v>1895</v>
      </c>
      <c r="N61" s="7">
        <f>IFERROR(INDEX('Source Ledger'!$G$5:$G$200,MATCH(A61,'Source Ledger'!$B$5:$B$200,0)),"")</f>
        <v>106.79</v>
      </c>
      <c r="O61" s="7">
        <f>IFERROR(INDEX('Source Ledger'!$A$5:$A$200,MATCH(A61,'Source Ledger'!$B$5:$B$200,0)),"")</f>
        <v/>
      </c>
      <c r="P61" s="7">
        <f>IFERROR(INDEX('Source Ledger'!$D$5:$D$200,MATCH(A61,'Source Ledger'!$B$5:$B$200,0)),"")</f>
        <v/>
      </c>
      <c r="Q61" s="9" t="inlineStr">
        <is>
          <t>High</t>
        </is>
      </c>
      <c r="R61" s="7" t="inlineStr">
        <is>
          <t>EX-0038</t>
        </is>
      </c>
      <c r="S61" s="7" t="inlineStr">
        <is>
          <t>Yes</t>
        </is>
      </c>
      <c r="T61">
        <f>IFERROR(INDEX('Source Ledger'!$E$5:$E$200,MATCH(A61,'Source Ledger'!$B$5:$B$200,0)),"")</f>
        <v>1895</v>
      </c>
      <c r="U61">
        <f>IFERROR(INDEX('Source Ledger'!$H$5:$H$200,MATCH(A61,'Source Ledger'!$B$5:$B$200,0)),"")</f>
        <v/>
      </c>
      <c r="V61">
        <f>IFERROR(INDEX('Source Ledger'!$G$5:$G$200,MATCH(A61,'Source Ledger'!$B$5:$B$200,0)),"")</f>
        <v>106.79</v>
      </c>
      <c r="W61">
        <f>IF(T61="","",T61-M61)</f>
        <v>0</v>
      </c>
      <c r="X61">
        <f>IF(V61="","No","Yes")</f>
        <v/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Mobile Device</t>
        </is>
      </c>
      <c r="D62" s="7" t="inlineStr">
        <is>
          <t>Google Pixel 8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Google Pixel 8 tagged MD-00058 reconciled using FA-000058+TR-00058+HR. Present state Pending Redeployment/New York, cost $610.</t>
        </is>
      </c>
      <c r="L62" s="7" t="inlineStr">
        <is>
          <t>2026-08-05</t>
        </is>
      </c>
      <c r="M62" s="7" t="n">
        <v>610</v>
      </c>
      <c r="N62" s="7">
        <f>IFERROR(INDEX('Source Ledger'!$G$5:$G$200,MATCH(A62,'Source Ledger'!$B$5:$B$200,0)),"")</f>
        <v>397.56</v>
      </c>
      <c r="O62" s="7">
        <f>IFERROR(INDEX('Source Ledger'!$A$5:$A$200,MATCH(A62,'Source Ledger'!$B$5:$B$200,0)),"")</f>
        <v/>
      </c>
      <c r="P62" s="7">
        <f>IFERROR(INDEX('Source Ledger'!$D$5:$D$200,MATCH(A62,'Source Ledger'!$B$5:$B$200,0)),"")</f>
        <v/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Yes</t>
        </is>
      </c>
      <c r="T62">
        <f>IFERROR(INDEX('Source Ledger'!$E$5:$E$200,MATCH(A62,'Source Ledger'!$B$5:$B$200,0)),"")</f>
        <v>610</v>
      </c>
      <c r="U62">
        <f>IFERROR(INDEX('Source Ledger'!$H$5:$H$200,MATCH(A62,'Source Ledger'!$B$5:$B$200,0)),"")</f>
        <v/>
      </c>
      <c r="V62">
        <f>IFERROR(INDEX('Source Ledger'!$G$5:$G$200,MATCH(A62,'Source Ledger'!$B$5:$B$200,0)),"")</f>
        <v>397.56</v>
      </c>
      <c r="W62">
        <f>IF(T62="","",T62-M62)</f>
        <v>0</v>
      </c>
      <c r="X62">
        <f>IF(V62="","No","Yes")</f>
        <v/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S23 FE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MD-00059 evidence drawn from PO-2024-0011. HR/location reading Pending Redeployment/Seattle. Move TR-00059. Cost $1,085.</t>
        </is>
      </c>
      <c r="L63" s="7" t="inlineStr">
        <is>
          <t>2026-08-05</t>
        </is>
      </c>
      <c r="M63" s="7" t="n">
        <v>1085</v>
      </c>
      <c r="N63" s="7">
        <f>IFERROR(INDEX('Source Ledger'!$G$5:$G$200,MATCH(A63,'Source Ledger'!$B$5:$B$200,0)),"")</f>
        <v>847.35</v>
      </c>
      <c r="O63" s="7">
        <f>IFERROR(INDEX('Source Ledger'!$A$5:$A$200,MATCH(A63,'Source Ledger'!$B$5:$B$200,0)),"")</f>
        <v/>
      </c>
      <c r="P63" s="7">
        <f>IFERROR(INDEX('Source Ledger'!$D$5:$D$200,MATCH(A63,'Source Ledger'!$B$5:$B$200,0)),"")</f>
        <v/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Yes</t>
        </is>
      </c>
      <c r="T63">
        <f>IFERROR(INDEX('Source Ledger'!$E$5:$E$200,MATCH(A63,'Source Ledger'!$B$5:$B$200,0)),"")</f>
        <v>1085</v>
      </c>
      <c r="U63">
        <f>IFERROR(INDEX('Source Ledger'!$H$5:$H$200,MATCH(A63,'Source Ledger'!$B$5:$B$200,0)),"")</f>
        <v/>
      </c>
      <c r="V63">
        <f>IFERROR(INDEX('Source Ledger'!$G$5:$G$200,MATCH(A63,'Source Ledger'!$B$5:$B$200,0)),"")</f>
        <v>847.35</v>
      </c>
      <c r="W63">
        <f>IF(T63="","",T63-M63)</f>
        <v>0</v>
      </c>
      <c r="X63">
        <f>IF(V63="","No","Yes")</f>
        <v/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Mobile Device</t>
        </is>
      </c>
      <c r="D64" s="7" t="inlineStr">
        <is>
          <t>Samsung Galaxy S24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Validated MD-00060 against available PO/FA/HR/transfer rows. Model Samsung Galaxy S24. shows Pending Redeployment in Atlanta. Acquisition $6,380.</t>
        </is>
      </c>
      <c r="L64" s="7" t="inlineStr">
        <is>
          <t>2026-08-05</t>
        </is>
      </c>
      <c r="M64" s="7" t="n">
        <v>6380</v>
      </c>
      <c r="N64" s="7">
        <f>IFERROR(INDEX('Source Ledger'!$G$5:$G$200,MATCH(A64,'Source Ledger'!$B$5:$B$200,0)),"")</f>
        <v>549.35</v>
      </c>
      <c r="O64" s="7">
        <f>IFERROR(INDEX('Source Ledger'!$A$5:$A$200,MATCH(A64,'Source Ledger'!$B$5:$B$200,0)),"")</f>
        <v/>
      </c>
      <c r="P64" s="7">
        <f>IFERROR(INDEX('Source Ledger'!$D$5:$D$200,MATCH(A64,'Source Ledger'!$B$5:$B$200,0)),"")</f>
        <v/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Yes</t>
        </is>
      </c>
      <c r="T64">
        <f>IFERROR(INDEX('Source Ledger'!$E$5:$E$200,MATCH(A64,'Source Ledger'!$B$5:$B$200,0)),"")</f>
        <v>6380</v>
      </c>
      <c r="U64">
        <f>IFERROR(INDEX('Source Ledger'!$H$5:$H$200,MATCH(A64,'Source Ledger'!$B$5:$B$200,0)),"")</f>
        <v/>
      </c>
      <c r="V64">
        <f>IFERROR(INDEX('Source Ledger'!$G$5:$G$200,MATCH(A64,'Source Ledger'!$B$5:$B$200,0)),"")</f>
        <v>549.35</v>
      </c>
      <c r="W64">
        <f>IF(T64="","",T64-M64)</f>
        <v>0</v>
      </c>
      <c r="X64">
        <f>IF(V64="","No","Yes")</f>
        <v/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Mobile Device</t>
        </is>
      </c>
      <c r="D65" s="7" t="inlineStr">
        <is>
          <t>iPhone 15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For MD-00061, register cost $2,075 sits beside FA-000061 and PO-2025-0012. Transfer TR-00061 on file. Verified Pending Redeployment / Chicago.</t>
        </is>
      </c>
      <c r="L65" s="7" t="inlineStr">
        <is>
          <t>2026-08-05</t>
        </is>
      </c>
      <c r="M65" s="7" t="n">
        <v>2075</v>
      </c>
      <c r="N65" s="7">
        <f>IFERROR(INDEX('Source Ledger'!$G$5:$G$200,MATCH(A65,'Source Ledger'!$B$5:$B$200,0)),"")</f>
        <v>0</v>
      </c>
      <c r="O65" s="7">
        <f>IFERROR(INDEX('Source Ledger'!$A$5:$A$200,MATCH(A65,'Source Ledger'!$B$5:$B$200,0)),"")</f>
        <v/>
      </c>
      <c r="P65" s="7">
        <f>IFERROR(INDEX('Source Ledger'!$D$5:$D$200,MATCH(A65,'Source Ledger'!$B$5:$B$200,0)),"")</f>
        <v/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Yes</t>
        </is>
      </c>
      <c r="T65">
        <f>IFERROR(INDEX('Source Ledger'!$E$5:$E$200,MATCH(A65,'Source Ledger'!$B$5:$B$200,0)),"")</f>
        <v>2075</v>
      </c>
      <c r="U65">
        <f>IFERROR(INDEX('Source Ledger'!$H$5:$H$200,MATCH(A65,'Source Ledger'!$B$5:$B$200,0)),"")</f>
        <v/>
      </c>
      <c r="V65">
        <f>IFERROR(INDEX('Source Ledger'!$G$5:$G$200,MATCH(A65,'Source Ledger'!$B$5:$B$200,0)),"")</f>
        <v>0</v>
      </c>
      <c r="W65">
        <f>IF(T65="","",T65-M65)</f>
        <v>0</v>
      </c>
      <c r="X65">
        <f>IF(V65="","No","Yes")</f>
        <v/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Mobile Device</t>
        </is>
      </c>
      <c r="D66" s="7" t="inlineStr">
        <is>
          <t>Google Pixel 8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Google Pixel 8 tagged MD-00062 reconciled using PO-2025-0012+FA-000062+TR-00062+HR. Present state Pending Redeployment/Dallas, cost $790.</t>
        </is>
      </c>
      <c r="L66" s="7" t="inlineStr">
        <is>
          <t>2026-08-05</t>
        </is>
      </c>
      <c r="M66" s="7" t="n">
        <v>790</v>
      </c>
      <c r="N66" s="7">
        <f>IFERROR(INDEX('Source Ledger'!$G$5:$G$200,MATCH(A66,'Source Ledger'!$B$5:$B$200,0)),"")</f>
        <v>410.63</v>
      </c>
      <c r="O66" s="7">
        <f>IFERROR(INDEX('Source Ledger'!$A$5:$A$200,MATCH(A66,'Source Ledger'!$B$5:$B$200,0)),"")</f>
        <v/>
      </c>
      <c r="P66" s="7">
        <f>IFERROR(INDEX('Source Ledger'!$D$5:$D$200,MATCH(A66,'Source Ledger'!$B$5:$B$200,0)),"")</f>
        <v/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Yes</t>
        </is>
      </c>
      <c r="T66">
        <f>IFERROR(INDEX('Source Ledger'!$E$5:$E$200,MATCH(A66,'Source Ledger'!$B$5:$B$200,0)),"")</f>
        <v>790</v>
      </c>
      <c r="U66">
        <f>IFERROR(INDEX('Source Ledger'!$H$5:$H$200,MATCH(A66,'Source Ledger'!$B$5:$B$200,0)),"")</f>
        <v/>
      </c>
      <c r="V66">
        <f>IFERROR(INDEX('Source Ledger'!$G$5:$G$200,MATCH(A66,'Source Ledger'!$B$5:$B$200,0)),"")</f>
        <v>410.63</v>
      </c>
      <c r="W66">
        <f>IF(T66="","",T66-M66)</f>
        <v>0</v>
      </c>
      <c r="X66">
        <f>IF(V66="","No","Yes")</f>
        <v/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S23 FE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Samsung Galaxy S23 FE tagged MD-00063 reconciled using PO-2025-0012+FA-000063+TR-00063+HR. Present state Pending Redeployment/Denver, cost $950.</t>
        </is>
      </c>
      <c r="L67" s="7" t="inlineStr">
        <is>
          <t>2026-08-05</t>
        </is>
      </c>
      <c r="M67" s="7" t="n">
        <v>950</v>
      </c>
      <c r="N67" s="7">
        <f>IFERROR(INDEX('Source Ledger'!$G$5:$G$200,MATCH(A67,'Source Ledger'!$B$5:$B$200,0)),"")</f>
        <v>533.85</v>
      </c>
      <c r="O67" s="7">
        <f>IFERROR(INDEX('Source Ledger'!$A$5:$A$200,MATCH(A67,'Source Ledger'!$B$5:$B$200,0)),"")</f>
        <v/>
      </c>
      <c r="P67" s="7">
        <f>IFERROR(INDEX('Source Ledger'!$D$5:$D$200,MATCH(A67,'Source Ledger'!$B$5:$B$200,0)),"")</f>
        <v/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Yes</t>
        </is>
      </c>
      <c r="T67">
        <f>IFERROR(INDEX('Source Ledger'!$E$5:$E$200,MATCH(A67,'Source Ledger'!$B$5:$B$200,0)),"")</f>
        <v>950</v>
      </c>
      <c r="U67">
        <f>IFERROR(INDEX('Source Ledger'!$H$5:$H$200,MATCH(A67,'Source Ledger'!$B$5:$B$200,0)),"")</f>
        <v/>
      </c>
      <c r="V67">
        <f>IFERROR(INDEX('Source Ledger'!$G$5:$G$200,MATCH(A67,'Source Ledger'!$B$5:$B$200,0)),"")</f>
        <v>533.85</v>
      </c>
      <c r="W67">
        <f>IF(T67="","",T67-M67)</f>
        <v>0</v>
      </c>
      <c r="X67">
        <f>IF(V67="","No","Yes")</f>
        <v/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Mobile Device</t>
        </is>
      </c>
      <c r="D68" s="7" t="inlineStr">
        <is>
          <t>iPhone 14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Validated MD-00064 against available PO/FA/HR/transfer rows. Model iPhone 14. shows Pending Redeployment in New York. Acquisition $6,245.</t>
        </is>
      </c>
      <c r="L68" s="7" t="inlineStr">
        <is>
          <t>2026-08-05</t>
        </is>
      </c>
      <c r="M68" s="7" t="n">
        <v>6245</v>
      </c>
      <c r="N68" s="7">
        <f>IFERROR(INDEX('Source Ledger'!$G$5:$G$200,MATCH(A68,'Source Ledger'!$B$5:$B$200,0)),"")</f>
        <v>961.76</v>
      </c>
      <c r="O68" s="7">
        <f>IFERROR(INDEX('Source Ledger'!$A$5:$A$200,MATCH(A68,'Source Ledger'!$B$5:$B$200,0)),"")</f>
        <v/>
      </c>
      <c r="P68" s="7">
        <f>IFERROR(INDEX('Source Ledger'!$D$5:$D$200,MATCH(A68,'Source Ledger'!$B$5:$B$200,0)),"")</f>
        <v/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Yes</t>
        </is>
      </c>
      <c r="T68">
        <f>IFERROR(INDEX('Source Ledger'!$E$5:$E$200,MATCH(A68,'Source Ledger'!$B$5:$B$200,0)),"")</f>
        <v>6245</v>
      </c>
      <c r="U68">
        <f>IFERROR(INDEX('Source Ledger'!$H$5:$H$200,MATCH(A68,'Source Ledger'!$B$5:$B$200,0)),"")</f>
        <v/>
      </c>
      <c r="V68">
        <f>IFERROR(INDEX('Source Ledger'!$G$5:$G$200,MATCH(A68,'Source Ledger'!$B$5:$B$200,0)),"")</f>
        <v>961.76</v>
      </c>
      <c r="W68">
        <f>IF(T68="","",T68-M68)</f>
        <v>0</v>
      </c>
      <c r="X68">
        <f>IF(V68="","No","Yes")</f>
        <v/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Mobile Device</t>
        </is>
      </c>
      <c r="D69" s="7" t="inlineStr">
        <is>
          <t>Samsung Galaxy S24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Samsung Galaxy S24 tagged MD-00065 reconciled using PO-2022-0013+FA-000065+HR. Present state Pending Redeployment/Seattle, cost $1,940.</t>
        </is>
      </c>
      <c r="L69" s="7" t="inlineStr">
        <is>
          <t>2026-08-05</t>
        </is>
      </c>
      <c r="M69" s="7" t="n">
        <v>1940</v>
      </c>
      <c r="N69" s="7">
        <f>IFERROR(INDEX('Source Ledger'!$G$5:$G$200,MATCH(A69,'Source Ledger'!$B$5:$B$200,0)),"")</f>
        <v>0</v>
      </c>
      <c r="O69" s="7">
        <f>IFERROR(INDEX('Source Ledger'!$A$5:$A$200,MATCH(A69,'Source Ledger'!$B$5:$B$200,0)),"")</f>
        <v/>
      </c>
      <c r="P69" s="7">
        <f>IFERROR(INDEX('Source Ledger'!$D$5:$D$200,MATCH(A69,'Source Ledger'!$B$5:$B$200,0)),"")</f>
        <v/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Yes</t>
        </is>
      </c>
      <c r="T69">
        <f>IFERROR(INDEX('Source Ledger'!$E$5:$E$200,MATCH(A69,'Source Ledger'!$B$5:$B$200,0)),"")</f>
        <v>1940</v>
      </c>
      <c r="U69">
        <f>IFERROR(INDEX('Source Ledger'!$H$5:$H$200,MATCH(A69,'Source Ledger'!$B$5:$B$200,0)),"")</f>
        <v/>
      </c>
      <c r="V69">
        <f>IFERROR(INDEX('Source Ledger'!$G$5:$G$200,MATCH(A69,'Source Ledger'!$B$5:$B$200,0)),"")</f>
        <v>0</v>
      </c>
      <c r="W69">
        <f>IF(T69="","",T69-M69)</f>
        <v>0</v>
      </c>
      <c r="X69">
        <f>IF(V69="","No","Yes")</f>
        <v/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Mobile Device</t>
        </is>
      </c>
      <c r="D70" s="7" t="inlineStr">
        <is>
          <t>iPhone 15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Source stack for MD-00066 (iPhone 15): TR-00066. Custodian context Wes Carvalho; status Pending Redeployment at Atlanta; basis $655.</t>
        </is>
      </c>
      <c r="L70" s="7" t="inlineStr">
        <is>
          <t>2026-08-05</t>
        </is>
      </c>
      <c r="M70" s="7" t="n">
        <v>655</v>
      </c>
      <c r="N70" s="7">
        <f>IFERROR(INDEX('Source Ledger'!$G$5:$G$200,MATCH(A70,'Source Ledger'!$B$5:$B$200,0)),"")</f>
        <v>385.65</v>
      </c>
      <c r="O70" s="7">
        <f>IFERROR(INDEX('Source Ledger'!$A$5:$A$200,MATCH(A70,'Source Ledger'!$B$5:$B$200,0)),"")</f>
        <v/>
      </c>
      <c r="P70" s="7">
        <f>IFERROR(INDEX('Source Ledger'!$D$5:$D$200,MATCH(A70,'Source Ledger'!$B$5:$B$200,0)),"")</f>
        <v/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Yes</t>
        </is>
      </c>
      <c r="T70">
        <f>IFERROR(INDEX('Source Ledger'!$E$5:$E$200,MATCH(A70,'Source Ledger'!$B$5:$B$200,0)),"")</f>
        <v>655</v>
      </c>
      <c r="U70">
        <f>IFERROR(INDEX('Source Ledger'!$H$5:$H$200,MATCH(A70,'Source Ledger'!$B$5:$B$200,0)),"")</f>
        <v/>
      </c>
      <c r="V70">
        <f>IFERROR(INDEX('Source Ledger'!$G$5:$G$200,MATCH(A70,'Source Ledger'!$B$5:$B$200,0)),"")</f>
        <v>385.65</v>
      </c>
      <c r="W70">
        <f>IF(T70="","",T70-M70)</f>
        <v>0</v>
      </c>
      <c r="X70">
        <f>IF(V70="","No","Yes")</f>
        <v/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Google Pixel 8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Source stack for MD-00067 (Google Pixel 8): PO-2022-0013, FA-000067. Custodian context Tara Singh; status Pending Redeployment at Chicago; basis $1,130.</t>
        </is>
      </c>
      <c r="L71" s="7" t="inlineStr">
        <is>
          <t>2026-08-05</t>
        </is>
      </c>
      <c r="M71" s="7" t="n">
        <v>1130</v>
      </c>
      <c r="N71" s="7">
        <f>IFERROR(INDEX('Source Ledger'!$G$5:$G$200,MATCH(A71,'Source Ledger'!$B$5:$B$200,0)),"")</f>
        <v>764.93</v>
      </c>
      <c r="O71" s="7">
        <f>IFERROR(INDEX('Source Ledger'!$A$5:$A$200,MATCH(A71,'Source Ledger'!$B$5:$B$200,0)),"")</f>
        <v/>
      </c>
      <c r="P71" s="7">
        <f>IFERROR(INDEX('Source Ledger'!$D$5:$D$200,MATCH(A71,'Source Ledger'!$B$5:$B$200,0)),"")</f>
        <v/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Yes</t>
        </is>
      </c>
      <c r="T71">
        <f>IFERROR(INDEX('Source Ledger'!$E$5:$E$200,MATCH(A71,'Source Ledger'!$B$5:$B$200,0)),"")</f>
        <v>1130</v>
      </c>
      <c r="U71">
        <f>IFERROR(INDEX('Source Ledger'!$H$5:$H$200,MATCH(A71,'Source Ledger'!$B$5:$B$200,0)),"")</f>
        <v/>
      </c>
      <c r="V71">
        <f>IFERROR(INDEX('Source Ledger'!$G$5:$G$200,MATCH(A71,'Source Ledger'!$B$5:$B$200,0)),"")</f>
        <v>764.93</v>
      </c>
      <c r="W71">
        <f>IF(T71="","",T71-M71)</f>
        <v>0</v>
      </c>
      <c r="X71">
        <f>IF(V71="","No","Yes")</f>
        <v/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Mobile Device</t>
        </is>
      </c>
      <c r="D72" s="7" t="inlineStr">
        <is>
          <t>Samsung Galaxy S23 FE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Validated MD-00068 against available PO/FA/HR/transfer rows. Model Samsung Galaxy S23 FE. Elliott Park (E0081) shows Return Overdue in Remote - Former Employee. Acquisition $6,425.</t>
        </is>
      </c>
      <c r="L72" s="7" t="inlineStr">
        <is>
          <t>2026-06-25</t>
        </is>
      </c>
      <c r="M72" s="7" t="n">
        <v>6425</v>
      </c>
      <c r="N72" s="7">
        <f>IFERROR(INDEX('Source Ledger'!$G$5:$G$200,MATCH(A72,'Source Ledger'!$B$5:$B$200,0)),"")</f>
        <v>1436.28</v>
      </c>
      <c r="O72" s="7">
        <f>IFERROR(INDEX('Source Ledger'!$A$5:$A$200,MATCH(A72,'Source Ledger'!$B$5:$B$200,0)),"")</f>
        <v/>
      </c>
      <c r="P72" s="7">
        <f>IFERROR(INDEX('Source Ledger'!$D$5:$D$200,MATCH(A72,'Source Ledger'!$B$5:$B$200,0)),"")</f>
        <v/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>
        <f>IFERROR(INDEX('Source Ledger'!$E$5:$E$200,MATCH(A72,'Source Ledger'!$B$5:$B$200,0)),"")</f>
        <v>6480</v>
      </c>
      <c r="U72">
        <f>IFERROR(INDEX('Source Ledger'!$H$5:$H$200,MATCH(A72,'Source Ledger'!$B$5:$B$200,0)),"")</f>
        <v/>
      </c>
      <c r="V72">
        <f>IFERROR(INDEX('Source Ledger'!$G$5:$G$200,MATCH(A72,'Source Ledger'!$B$5:$B$200,0)),"")</f>
        <v>1436.28</v>
      </c>
      <c r="W72">
        <f>IF(T72="","",T72-M72)</f>
        <v>55</v>
      </c>
      <c r="X72">
        <f>IF(V72="","No","Yes")</f>
        <v/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Mobile Device</t>
        </is>
      </c>
      <c r="D73" s="7" t="inlineStr">
        <is>
          <t>iPhone 14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Evidence for MD-00069 is piecewise: inventory cost $2,120, FA FA-000069, HR status Return Overdue, site Remote - Former Employee.</t>
        </is>
      </c>
      <c r="L73" s="7" t="inlineStr">
        <is>
          <t>2026-06-25</t>
        </is>
      </c>
      <c r="M73" s="7" t="n">
        <v>2120</v>
      </c>
      <c r="N73" s="7">
        <f>IFERROR(INDEX('Source Ledger'!$G$5:$G$200,MATCH(A73,'Source Ledger'!$B$5:$B$200,0)),"")</f>
        <v>142.69</v>
      </c>
      <c r="O73" s="7">
        <f>IFERROR(INDEX('Source Ledger'!$A$5:$A$200,MATCH(A73,'Source Ledger'!$B$5:$B$200,0)),"")</f>
        <v/>
      </c>
      <c r="P73" s="7">
        <f>IFERROR(INDEX('Source Ledger'!$D$5:$D$200,MATCH(A73,'Source Ledger'!$B$5:$B$200,0)),"")</f>
        <v/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>
        <f>IFERROR(INDEX('Source Ledger'!$E$5:$E$200,MATCH(A73,'Source Ledger'!$B$5:$B$200,0)),"")</f>
        <v>2120</v>
      </c>
      <c r="U73">
        <f>IFERROR(INDEX('Source Ledger'!$H$5:$H$200,MATCH(A73,'Source Ledger'!$B$5:$B$200,0)),"")</f>
        <v/>
      </c>
      <c r="V73">
        <f>IFERROR(INDEX('Source Ledger'!$G$5:$G$200,MATCH(A73,'Source Ledger'!$B$5:$B$200,0)),"")</f>
        <v>142.69</v>
      </c>
      <c r="W73">
        <f>IF(T73="","",T73-M73)</f>
        <v>0</v>
      </c>
      <c r="X73">
        <f>IF(V73="","No","Yes")</f>
        <v/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Mobile Device</t>
        </is>
      </c>
      <c r="D74" s="7" t="inlineStr">
        <is>
          <t>iPhone 15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MD-00070 evidence drawn from PO-2022-0013. HR/location reading Return Overdue/Remote - Former Employee. Cost $520.</t>
        </is>
      </c>
      <c r="L74" s="7" t="inlineStr">
        <is>
          <t>2026-06-25</t>
        </is>
      </c>
      <c r="M74" s="7" t="n">
        <v>520</v>
      </c>
      <c r="N74" s="7">
        <f>IFERROR(INDEX('Source Ledger'!$G$5:$G$200,MATCH(A74,'Source Ledger'!$B$5:$B$200,0)),"")</f>
        <v>342.32</v>
      </c>
      <c r="O74" s="7">
        <f>IFERROR(INDEX('Source Ledger'!$A$5:$A$200,MATCH(A74,'Source Ledger'!$B$5:$B$200,0)),"")</f>
        <v/>
      </c>
      <c r="P74" s="7">
        <f>IFERROR(INDEX('Source Ledger'!$D$5:$D$200,MATCH(A74,'Source Ledger'!$B$5:$B$200,0)),"")</f>
        <v/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>
        <f>IFERROR(INDEX('Source Ledger'!$E$5:$E$200,MATCH(A74,'Source Ledger'!$B$5:$B$200,0)),"")</f>
        <v>520</v>
      </c>
      <c r="U74">
        <f>IFERROR(INDEX('Source Ledger'!$H$5:$H$200,MATCH(A74,'Source Ledger'!$B$5:$B$200,0)),"")</f>
        <v/>
      </c>
      <c r="V74">
        <f>IFERROR(INDEX('Source Ledger'!$G$5:$G$200,MATCH(A74,'Source Ledger'!$B$5:$B$200,0)),"")</f>
        <v>342.32</v>
      </c>
      <c r="W74">
        <f>IF(T74="","",T74-M74)</f>
        <v>0</v>
      </c>
      <c r="X74">
        <f>IF(V74="","No","Yes")</f>
        <v/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Google Pixel 8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Evidence for MD-00071 is piecewise: inventory cost $995, FA absent, TR TR-00071, HR status Return Overdue, site Remote - Former Employee.</t>
        </is>
      </c>
      <c r="L75" s="7" t="inlineStr">
        <is>
          <t>2026-06-25</t>
        </is>
      </c>
      <c r="M75" s="7" t="n">
        <v>995</v>
      </c>
      <c r="N75" s="7">
        <f>IFERROR(INDEX('Source Ledger'!$G$5:$G$200,MATCH(A75,'Source Ledger'!$B$5:$B$200,0)),"")</f>
        <v>787.96</v>
      </c>
      <c r="O75" s="7">
        <f>IFERROR(INDEX('Source Ledger'!$A$5:$A$200,MATCH(A75,'Source Ledger'!$B$5:$B$200,0)),"")</f>
        <v/>
      </c>
      <c r="P75" s="7">
        <f>IFERROR(INDEX('Source Ledger'!$D$5:$D$200,MATCH(A75,'Source Ledger'!$B$5:$B$200,0)),"")</f>
        <v/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>
        <f>IFERROR(INDEX('Source Ledger'!$E$5:$E$200,MATCH(A75,'Source Ledger'!$B$5:$B$200,0)),"")</f>
        <v>995</v>
      </c>
      <c r="U75">
        <f>IFERROR(INDEX('Source Ledger'!$H$5:$H$200,MATCH(A75,'Source Ledger'!$B$5:$B$200,0)),"")</f>
        <v/>
      </c>
      <c r="V75">
        <f>IFERROR(INDEX('Source Ledger'!$G$5:$G$200,MATCH(A75,'Source Ledger'!$B$5:$B$200,0)),"")</f>
        <v>787.96</v>
      </c>
      <c r="W75">
        <f>IF(T75="","",T75-M75)</f>
        <v>0</v>
      </c>
      <c r="X75">
        <f>IF(V75="","No","Yes")</f>
        <v/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Fortinet FortiSwitch 148F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Source stack for MD-00072 (Fortinet FortiSwitch 148F): FA-000072, TR-00072. Custodian context Former Employee; status Return Overdue at Remote - Former Employee; basis $6,290.</t>
        </is>
      </c>
      <c r="L76" s="7" t="inlineStr">
        <is>
          <t>2026-06-25</t>
        </is>
      </c>
      <c r="M76" s="7" t="n">
        <v>6290</v>
      </c>
      <c r="N76" s="7">
        <f>IFERROR(INDEX('Source Ledger'!$G$5:$G$200,MATCH(A76,'Source Ledger'!$B$5:$B$200,0)),"")</f>
        <v>500.27</v>
      </c>
      <c r="O76" s="7">
        <f>IFERROR(INDEX('Source Ledger'!$A$5:$A$200,MATCH(A76,'Source Ledger'!$B$5:$B$200,0)),"")</f>
        <v/>
      </c>
      <c r="P76" s="7">
        <f>IFERROR(INDEX('Source Ledger'!$D$5:$D$200,MATCH(A76,'Source Ledger'!$B$5:$B$200,0)),"")</f>
        <v/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>
        <f>IFERROR(INDEX('Source Ledger'!$E$5:$E$200,MATCH(A76,'Source Ledger'!$B$5:$B$200,0)),"")</f>
        <v>6290</v>
      </c>
      <c r="U76">
        <f>IFERROR(INDEX('Source Ledger'!$H$5:$H$200,MATCH(A76,'Source Ledger'!$B$5:$B$200,0)),"")</f>
        <v/>
      </c>
      <c r="V76">
        <f>IFERROR(INDEX('Source Ledger'!$G$5:$G$200,MATCH(A76,'Source Ledger'!$B$5:$B$200,0)),"")</f>
        <v>500.27</v>
      </c>
      <c r="W76">
        <f>IF(T76="","",T76-M76)</f>
        <v>0</v>
      </c>
      <c r="X76">
        <f>IF(V76="","No","Yes")</f>
        <v/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Network Asset</t>
        </is>
      </c>
      <c r="D77" s="7" t="inlineStr">
        <is>
          <t>Cisco C9300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Validated MD-00073 against available PO/FA/HR/transfer rows. Model Cisco C9300. Former Employee (E0086) shows Return Overdue in Remote - Former Employee. Acquisition $1,985.</t>
        </is>
      </c>
      <c r="L77" s="7" t="inlineStr">
        <is>
          <t>2026-06-25</t>
        </is>
      </c>
      <c r="M77" s="7" t="n">
        <v>1985</v>
      </c>
      <c r="N77" s="7">
        <f>IFERROR(INDEX('Source Ledger'!$G$5:$G$200,MATCH(A77,'Source Ledger'!$B$5:$B$200,0)),"")</f>
        <v>0</v>
      </c>
      <c r="O77" s="7">
        <f>IFERROR(INDEX('Source Ledger'!$A$5:$A$200,MATCH(A77,'Source Ledger'!$B$5:$B$200,0)),"")</f>
        <v/>
      </c>
      <c r="P77" s="7">
        <f>IFERROR(INDEX('Source Ledger'!$D$5:$D$200,MATCH(A77,'Source Ledger'!$B$5:$B$200,0)),"")</f>
        <v/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>
        <f>IFERROR(INDEX('Source Ledger'!$E$5:$E$200,MATCH(A77,'Source Ledger'!$B$5:$B$200,0)),"")</f>
        <v>1985</v>
      </c>
      <c r="U77">
        <f>IFERROR(INDEX('Source Ledger'!$H$5:$H$200,MATCH(A77,'Source Ledger'!$B$5:$B$200,0)),"")</f>
        <v/>
      </c>
      <c r="V77">
        <f>IFERROR(INDEX('Source Ledger'!$G$5:$G$200,MATCH(A77,'Source Ledger'!$B$5:$B$200,0)),"")</f>
        <v>0</v>
      </c>
      <c r="W77">
        <f>IF(T77="","",T77-M77)</f>
        <v>0</v>
      </c>
      <c r="X77">
        <f>IF(V77="","No","Yes")</f>
        <v/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Network Asset</t>
        </is>
      </c>
      <c r="D78" s="7" t="inlineStr">
        <is>
          <t>Aruba 6300M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evidence note on MD-00074: Aruba 6300M; Return Overdue @ Carrier Network / Unverified; holder Carrier Network; FA-000074; TR-00074; basis $700.</t>
        </is>
      </c>
      <c r="L78" s="7" t="inlineStr">
        <is>
          <t>2026-06-25</t>
        </is>
      </c>
      <c r="M78" s="7" t="n">
        <v>700</v>
      </c>
      <c r="N78" s="7">
        <f>IFERROR(INDEX('Source Ledger'!$G$5:$G$200,MATCH(A78,'Source Ledger'!$B$5:$B$200,0)),"")</f>
        <v>359.25</v>
      </c>
      <c r="O78" s="7">
        <f>IFERROR(INDEX('Source Ledger'!$A$5:$A$200,MATCH(A78,'Source Ledger'!$B$5:$B$200,0)),"")</f>
        <v/>
      </c>
      <c r="P78" s="7">
        <f>IFERROR(INDEX('Source Ledger'!$D$5:$D$200,MATCH(A78,'Source Ledger'!$B$5:$B$200,0)),"")</f>
        <v/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>
        <f>IFERROR(INDEX('Source Ledger'!$E$5:$E$200,MATCH(A78,'Source Ledger'!$B$5:$B$200,0)),"")</f>
        <v>700</v>
      </c>
      <c r="U78">
        <f>IFERROR(INDEX('Source Ledger'!$H$5:$H$200,MATCH(A78,'Source Ledger'!$B$5:$B$200,0)),"")</f>
        <v/>
      </c>
      <c r="V78">
        <f>IFERROR(INDEX('Source Ledger'!$G$5:$G$200,MATCH(A78,'Source Ledger'!$B$5:$B$200,0)),"")</f>
        <v>359.25</v>
      </c>
      <c r="W78">
        <f>IF(T78="","",T78-M78)</f>
        <v>0</v>
      </c>
      <c r="X78">
        <f>IF(V78="","No","Yes")</f>
        <v/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Network Asset</t>
        </is>
      </c>
      <c r="D79" s="7" t="inlineStr">
        <is>
          <t>Juniper EX3400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Validated MD-00075 against available PO/FA/HR/transfer rows. Model Juniper EX3400. Former Employee (E0088) shows Return Overdue in Remote - Former Employee. Acquisition $1,175.</t>
        </is>
      </c>
      <c r="L79" s="7" t="inlineStr">
        <is>
          <t>2026-06-25</t>
        </is>
      </c>
      <c r="M79" s="7" t="n">
        <v>1175</v>
      </c>
      <c r="N79" s="7">
        <f>IFERROR(INDEX('Source Ledger'!$G$5:$G$200,MATCH(A79,'Source Ledger'!$B$5:$B$200,0)),"")</f>
        <v>647.42</v>
      </c>
      <c r="O79" s="7">
        <f>IFERROR(INDEX('Source Ledger'!$A$5:$A$200,MATCH(A79,'Source Ledger'!$B$5:$B$200,0)),"")</f>
        <v/>
      </c>
      <c r="P79" s="7">
        <f>IFERROR(INDEX('Source Ledger'!$D$5:$D$200,MATCH(A79,'Source Ledger'!$B$5:$B$200,0)),"")</f>
        <v/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>
        <f>IFERROR(INDEX('Source Ledger'!$E$5:$E$200,MATCH(A79,'Source Ledger'!$B$5:$B$200,0)),"")</f>
        <v>1175</v>
      </c>
      <c r="U79">
        <f>IFERROR(INDEX('Source Ledger'!$H$5:$H$200,MATCH(A79,'Source Ledger'!$B$5:$B$200,0)),"")</f>
        <v/>
      </c>
      <c r="V79">
        <f>IFERROR(INDEX('Source Ledger'!$G$5:$G$200,MATCH(A79,'Source Ledger'!$B$5:$B$200,0)),"")</f>
        <v>647.42</v>
      </c>
      <c r="W79">
        <f>IF(T79="","",T79-M79)</f>
        <v>0</v>
      </c>
      <c r="X79">
        <f>IF(V79="","No","Yes")</f>
        <v/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Meraki MS250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Cisco Meraki MS250 tagged MD-00076 reconciled using PO-2023-0014+FA-000076+TR-00076+HR. Present state Return Overdue/Carrier Network / Unverified, cost $6,470.</t>
        </is>
      </c>
      <c r="L80" s="7" t="inlineStr">
        <is>
          <t>2026-06-25</t>
        </is>
      </c>
      <c r="M80" s="7" t="n">
        <v>6470</v>
      </c>
      <c r="N80" s="7">
        <f>IFERROR(INDEX('Source Ledger'!$G$5:$G$200,MATCH(A80,'Source Ledger'!$B$5:$B$200,0)),"")</f>
        <v>953.89</v>
      </c>
      <c r="O80" s="7">
        <f>IFERROR(INDEX('Source Ledger'!$A$5:$A$200,MATCH(A80,'Source Ledger'!$B$5:$B$200,0)),"")</f>
        <v/>
      </c>
      <c r="P80" s="7">
        <f>IFERROR(INDEX('Source Ledger'!$D$5:$D$200,MATCH(A80,'Source Ledger'!$B$5:$B$200,0)),"")</f>
        <v/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>
        <f>IFERROR(INDEX('Source Ledger'!$E$5:$E$200,MATCH(A80,'Source Ledger'!$B$5:$B$200,0)),"")</f>
        <v>6470</v>
      </c>
      <c r="U80">
        <f>IFERROR(INDEX('Source Ledger'!$H$5:$H$200,MATCH(A80,'Source Ledger'!$B$5:$B$200,0)),"")</f>
        <v/>
      </c>
      <c r="V80">
        <f>IFERROR(INDEX('Source Ledger'!$G$5:$G$200,MATCH(A80,'Source Ledger'!$B$5:$B$200,0)),"")</f>
        <v>953.89</v>
      </c>
      <c r="W80">
        <f>IF(T80="","",T80-M80)</f>
        <v>0</v>
      </c>
      <c r="X80">
        <f>IF(V80="","No","Yes")</f>
        <v/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Network Asset</t>
        </is>
      </c>
      <c r="D81" s="7" t="inlineStr">
        <is>
          <t>Fortinet FortiSwitch 148F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Validated MD-00077 against available PO/FA/HR/transfer rows. Model Fortinet FortiSwitch 148F. Model Fortinet (E0090) shows Return Overdue in Remote - Former Employee. Acquisition $1,850.</t>
        </is>
      </c>
      <c r="L81" s="7" t="inlineStr">
        <is>
          <t>2026-06-25</t>
        </is>
      </c>
      <c r="M81" s="7" t="n">
        <v>1850</v>
      </c>
      <c r="N81" s="7">
        <f>IFERROR(INDEX('Source Ledger'!$G$5:$G$200,MATCH(A81,'Source Ledger'!$B$5:$B$200,0)),"")</f>
        <v>0</v>
      </c>
      <c r="O81" s="7">
        <f>IFERROR(INDEX('Source Ledger'!$A$5:$A$200,MATCH(A81,'Source Ledger'!$B$5:$B$200,0)),"")</f>
        <v/>
      </c>
      <c r="P81" s="7">
        <f>IFERROR(INDEX('Source Ledger'!$D$5:$D$200,MATCH(A81,'Source Ledger'!$B$5:$B$200,0)),"")</f>
        <v/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>
        <f>IFERROR(INDEX('Source Ledger'!$E$5:$E$200,MATCH(A81,'Source Ledger'!$B$5:$B$200,0)),"")</f>
        <v>1850</v>
      </c>
      <c r="U81">
        <f>IFERROR(INDEX('Source Ledger'!$H$5:$H$200,MATCH(A81,'Source Ledger'!$B$5:$B$200,0)),"")</f>
        <v/>
      </c>
      <c r="V81">
        <f>IFERROR(INDEX('Source Ledger'!$G$5:$G$200,MATCH(A81,'Source Ledger'!$B$5:$B$200,0)),"")</f>
        <v>0</v>
      </c>
      <c r="W81">
        <f>IF(T81="","",T81-M81)</f>
        <v>0</v>
      </c>
      <c r="X81">
        <f>IF(V81="","No","Yes")</f>
        <v/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Network Asset</t>
        </is>
      </c>
      <c r="D82" s="7" t="inlineStr">
        <is>
          <t>Cisco C9300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Cisco C9300 tagged MD-00078 reconciled using PO-2024-0015+FA-000078+TR-00078+HR. Present state Return Overdue/Remote - Former Employee, cost $565.</t>
        </is>
      </c>
      <c r="L82" s="7" t="inlineStr">
        <is>
          <t>2026-06-25</t>
        </is>
      </c>
      <c r="M82" s="7" t="n">
        <v>565</v>
      </c>
      <c r="N82" s="7">
        <f>IFERROR(INDEX('Source Ledger'!$G$5:$G$200,MATCH(A82,'Source Ledger'!$B$5:$B$200,0)),"")</f>
        <v>328.95</v>
      </c>
      <c r="O82" s="7">
        <f>IFERROR(INDEX('Source Ledger'!$A$5:$A$200,MATCH(A82,'Source Ledger'!$B$5:$B$200,0)),"")</f>
        <v/>
      </c>
      <c r="P82" s="7">
        <f>IFERROR(INDEX('Source Ledger'!$D$5:$D$200,MATCH(A82,'Source Ledger'!$B$5:$B$200,0)),"")</f>
        <v/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>
        <f>IFERROR(INDEX('Source Ledger'!$E$5:$E$200,MATCH(A82,'Source Ledger'!$B$5:$B$200,0)),"")</f>
        <v>565</v>
      </c>
      <c r="U82">
        <f>IFERROR(INDEX('Source Ledger'!$H$5:$H$200,MATCH(A82,'Source Ledger'!$B$5:$B$200,0)),"")</f>
        <v/>
      </c>
      <c r="V82">
        <f>IFERROR(INDEX('Source Ledger'!$G$5:$G$200,MATCH(A82,'Source Ledger'!$B$5:$B$200,0)),"")</f>
        <v>328.95</v>
      </c>
      <c r="W82">
        <f>IF(T82="","",T82-M82)</f>
        <v>0</v>
      </c>
      <c r="X82">
        <f>IF(V82="","No","Yes")</f>
        <v/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Network Asset</t>
        </is>
      </c>
      <c r="D83" s="7" t="inlineStr">
        <is>
          <t>Aruba 6300M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Source stack for MD-00079 (Aruba 6300M): PO-2024-0015, FA-000079, TR-00079. Custodian context E0092; status Return Overdue at Remote - Former Employee; basis $1,040.</t>
        </is>
      </c>
      <c r="L83" s="7" t="inlineStr">
        <is>
          <t>2026-06-25</t>
        </is>
      </c>
      <c r="M83" s="7" t="n">
        <v>1040</v>
      </c>
      <c r="N83" s="7">
        <f>IFERROR(INDEX('Source Ledger'!$G$5:$G$200,MATCH(A83,'Source Ledger'!$B$5:$B$200,0)),"")</f>
        <v>692.62</v>
      </c>
      <c r="O83" s="7">
        <f>IFERROR(INDEX('Source Ledger'!$A$5:$A$200,MATCH(A83,'Source Ledger'!$B$5:$B$200,0)),"")</f>
        <v/>
      </c>
      <c r="P83" s="7">
        <f>IFERROR(INDEX('Source Ledger'!$D$5:$D$200,MATCH(A83,'Source Ledger'!$B$5:$B$200,0)),"")</f>
        <v/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>
        <f>IFERROR(INDEX('Source Ledger'!$E$5:$E$200,MATCH(A83,'Source Ledger'!$B$5:$B$200,0)),"")</f>
        <v>1040</v>
      </c>
      <c r="U83">
        <f>IFERROR(INDEX('Source Ledger'!$H$5:$H$200,MATCH(A83,'Source Ledger'!$B$5:$B$200,0)),"")</f>
        <v/>
      </c>
      <c r="V83">
        <f>IFERROR(INDEX('Source Ledger'!$G$5:$G$200,MATCH(A83,'Source Ledger'!$B$5:$B$200,0)),"")</f>
        <v>692.62</v>
      </c>
      <c r="W83">
        <f>IF(T83="","",T83-M83)</f>
        <v>0</v>
      </c>
      <c r="X83">
        <f>IF(V83="","No","Yes")</f>
        <v/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Meraki MS250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Evidence for MD-00080 is piecewise: inventory cost $6,335, FA FA-000080, TR TR-00080, HR status Available, site Atlanta Warehouse.</t>
        </is>
      </c>
      <c r="L84" s="7" t="inlineStr">
        <is>
          <t>2026-07-07</t>
        </is>
      </c>
      <c r="M84" s="7" t="n">
        <v>6335</v>
      </c>
      <c r="N84" s="7">
        <f>IFERROR(INDEX('Source Ledger'!$G$5:$G$200,MATCH(A84,'Source Ledger'!$B$5:$B$200,0)),"")</f>
        <v>1374.53</v>
      </c>
      <c r="O84" s="7">
        <f>IFERROR(INDEX('Source Ledger'!$A$5:$A$200,MATCH(A84,'Source Ledger'!$B$5:$B$200,0)),"")</f>
        <v/>
      </c>
      <c r="P84" s="7">
        <f>IFERROR(INDEX('Source Ledger'!$D$5:$D$200,MATCH(A84,'Source Ledger'!$B$5:$B$200,0)),"")</f>
        <v/>
      </c>
      <c r="Q84" s="9" t="inlineStr">
        <is>
          <t>High</t>
        </is>
      </c>
      <c r="R84" s="7" t="inlineStr">
        <is>
          <t>EX-0090</t>
        </is>
      </c>
      <c r="S84" s="7" t="inlineStr">
        <is>
          <t>Yes</t>
        </is>
      </c>
      <c r="T84">
        <f>IFERROR(INDEX('Source Ledger'!$E$5:$E$200,MATCH(A84,'Source Ledger'!$B$5:$B$200,0)),"")</f>
        <v>6335</v>
      </c>
      <c r="U84">
        <f>IFERROR(INDEX('Source Ledger'!$H$5:$H$200,MATCH(A84,'Source Ledger'!$B$5:$B$200,0)),"")</f>
        <v/>
      </c>
      <c r="V84">
        <f>IFERROR(INDEX('Source Ledger'!$G$5:$G$200,MATCH(A84,'Source Ledger'!$B$5:$B$200,0)),"")</f>
        <v>1374.53</v>
      </c>
      <c r="W84">
        <f>IF(T84="","",T84-M84)</f>
        <v>0</v>
      </c>
      <c r="X84">
        <f>IF(V84="","No","Yes")</f>
        <v/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Network Asset</t>
        </is>
      </c>
      <c r="D85" s="7" t="inlineStr">
        <is>
          <t>Fortinet FortiSwitch 148F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Working evidence note on MD-00081: Fortinet FortiSwitch 148F; Available @ Atlanta Warehouse; holder Cecilia Hart; TR-00081; basis $2,030.</t>
        </is>
      </c>
      <c r="L85" s="7" t="inlineStr">
        <is>
          <t>2026-07-07</t>
        </is>
      </c>
      <c r="M85" s="7" t="n">
        <v>2030</v>
      </c>
      <c r="N85" s="7">
        <f>IFERROR(INDEX('Source Ledger'!$G$5:$G$200,MATCH(A85,'Source Ledger'!$B$5:$B$200,0)),"")</f>
        <v>114.4</v>
      </c>
      <c r="O85" s="7">
        <f>IFERROR(INDEX('Source Ledger'!$A$5:$A$200,MATCH(A85,'Source Ledger'!$B$5:$B$200,0)),"")</f>
        <v/>
      </c>
      <c r="P85" s="7">
        <f>IFERROR(INDEX('Source Ledger'!$D$5:$D$200,MATCH(A85,'Source Ledger'!$B$5:$B$200,0)),"")</f>
        <v/>
      </c>
      <c r="Q85" s="9" t="inlineStr">
        <is>
          <t>High</t>
        </is>
      </c>
      <c r="R85" s="7" t="inlineStr">
        <is>
          <t>EX-0091</t>
        </is>
      </c>
      <c r="S85" s="7" t="inlineStr">
        <is>
          <t>Yes</t>
        </is>
      </c>
      <c r="T85">
        <f>IFERROR(INDEX('Source Ledger'!$E$5:$E$200,MATCH(A85,'Source Ledger'!$B$5:$B$200,0)),"")</f>
        <v>2030</v>
      </c>
      <c r="U85">
        <f>IFERROR(INDEX('Source Ledger'!$H$5:$H$200,MATCH(A85,'Source Ledger'!$B$5:$B$200,0)),"")</f>
        <v/>
      </c>
      <c r="V85">
        <f>IFERROR(INDEX('Source Ledger'!$G$5:$G$200,MATCH(A85,'Source Ledger'!$B$5:$B$200,0)),"")</f>
        <v>114.4</v>
      </c>
      <c r="W85">
        <f>IF(T85="","",T85-M85)</f>
        <v>0</v>
      </c>
      <c r="X85">
        <f>IF(V85="","No","Yes")</f>
        <v/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Network Asset</t>
        </is>
      </c>
      <c r="D86" s="7" t="inlineStr">
        <is>
          <t>Cisco C9300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Source stack for MD-00082 (Cisco C9300): FA-000082, TR-00082. Custodian context Carrier Network; status In Transit - Exception at Carrier Network / Unverified; basis $745.</t>
        </is>
      </c>
      <c r="L86" s="7" t="inlineStr">
        <is>
          <t>2026-07-02</t>
        </is>
      </c>
      <c r="M86" s="7" t="n">
        <v>745</v>
      </c>
      <c r="N86" s="7">
        <f>IFERROR(INDEX('Source Ledger'!$G$5:$G$200,MATCH(A86,'Source Ledger'!$B$5:$B$200,0)),"")</f>
        <v>485.55</v>
      </c>
      <c r="O86" s="7">
        <f>IFERROR(INDEX('Source Ledger'!$A$5:$A$200,MATCH(A86,'Source Ledger'!$B$5:$B$200,0)),"")</f>
        <v/>
      </c>
      <c r="P86" s="7">
        <f>IFERROR(INDEX('Source Ledger'!$D$5:$D$200,MATCH(A86,'Source Ledger'!$B$5:$B$200,0)),"")</f>
        <v/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>
        <f>IFERROR(INDEX('Source Ledger'!$E$5:$E$200,MATCH(A86,'Source Ledger'!$B$5:$B$200,0)),"")</f>
        <v>745</v>
      </c>
      <c r="U86">
        <f>IFERROR(INDEX('Source Ledger'!$H$5:$H$200,MATCH(A86,'Source Ledger'!$B$5:$B$200,0)),"")</f>
        <v/>
      </c>
      <c r="V86">
        <f>IFERROR(INDEX('Source Ledger'!$G$5:$G$200,MATCH(A86,'Source Ledger'!$B$5:$B$200,0)),"")</f>
        <v>485.55</v>
      </c>
      <c r="W86">
        <f>IF(T86="","",T86-M86)</f>
        <v>0</v>
      </c>
      <c r="X86">
        <f>IF(V86="","No","Yes")</f>
        <v/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Network Asset</t>
        </is>
      </c>
      <c r="D87" s="7" t="inlineStr">
        <is>
          <t>Aruba 6300M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Validated MD-00083 against available PO/FA/HR/transfer rows. Model Aruba 6300M. Atlanta Warehouse (E0071) shows Available in Atlanta Warehouse. Acquisition $1,220.</t>
        </is>
      </c>
      <c r="L87" s="7" t="inlineStr">
        <is>
          <t>2026-07-07</t>
        </is>
      </c>
      <c r="M87" s="7" t="n">
        <v>1220</v>
      </c>
      <c r="N87" s="7">
        <f>IFERROR(INDEX('Source Ledger'!$G$5:$G$200,MATCH(A87,'Source Ledger'!$B$5:$B$200,0)),"")</f>
        <v>952.79</v>
      </c>
      <c r="O87" s="7">
        <f>IFERROR(INDEX('Source Ledger'!$A$5:$A$200,MATCH(A87,'Source Ledger'!$B$5:$B$200,0)),"")</f>
        <v/>
      </c>
      <c r="P87" s="7">
        <f>IFERROR(INDEX('Source Ledger'!$D$5:$D$200,MATCH(A87,'Source Ledger'!$B$5:$B$200,0)),"")</f>
        <v/>
      </c>
      <c r="Q87" s="9" t="inlineStr">
        <is>
          <t>High</t>
        </is>
      </c>
      <c r="R87" s="7" t="inlineStr">
        <is>
          <t>EX-0094</t>
        </is>
      </c>
      <c r="S87" s="7" t="inlineStr">
        <is>
          <t>Yes</t>
        </is>
      </c>
      <c r="T87">
        <f>IFERROR(INDEX('Source Ledger'!$E$5:$E$200,MATCH(A87,'Source Ledger'!$B$5:$B$200,0)),"")</f>
        <v>1220</v>
      </c>
      <c r="U87">
        <f>IFERROR(INDEX('Source Ledger'!$H$5:$H$200,MATCH(A87,'Source Ledger'!$B$5:$B$200,0)),"")</f>
        <v/>
      </c>
      <c r="V87">
        <f>IFERROR(INDEX('Source Ledger'!$G$5:$G$200,MATCH(A87,'Source Ledger'!$B$5:$B$200,0)),"")</f>
        <v>952.79</v>
      </c>
      <c r="W87">
        <f>IF(T87="","",T87-M87)</f>
        <v>0</v>
      </c>
      <c r="X87">
        <f>IF(V87="","No","Yes")</f>
        <v/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Juniper EX3400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For MD-00084, register cost $6,200 sits beside FA-000084 . Verified In Transit - Exception / Carrier Network / Unverified.</t>
        </is>
      </c>
      <c r="L88" s="7" t="inlineStr">
        <is>
          <t>2026-07-02</t>
        </is>
      </c>
      <c r="M88" s="7" t="n">
        <v>6200</v>
      </c>
      <c r="N88" s="7">
        <f>IFERROR(INDEX('Source Ledger'!$G$5:$G$200,MATCH(A88,'Source Ledger'!$B$5:$B$200,0)),"")</f>
        <v>533.85</v>
      </c>
      <c r="O88" s="7">
        <f>IFERROR(INDEX('Source Ledger'!$A$5:$A$200,MATCH(A88,'Source Ledger'!$B$5:$B$200,0)),"")</f>
        <v/>
      </c>
      <c r="P88" s="7">
        <f>IFERROR(INDEX('Source Ledger'!$D$5:$D$200,MATCH(A88,'Source Ledger'!$B$5:$B$200,0)),"")</f>
        <v/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>
        <f>IFERROR(INDEX('Source Ledger'!$E$5:$E$200,MATCH(A88,'Source Ledger'!$B$5:$B$200,0)),"")</f>
        <v>6200</v>
      </c>
      <c r="U88">
        <f>IFERROR(INDEX('Source Ledger'!$H$5:$H$200,MATCH(A88,'Source Ledger'!$B$5:$B$200,0)),"")</f>
        <v/>
      </c>
      <c r="V88">
        <f>IFERROR(INDEX('Source Ledger'!$G$5:$G$200,MATCH(A88,'Source Ledger'!$B$5:$B$200,0)),"")</f>
        <v>533.85</v>
      </c>
      <c r="W88">
        <f>IF(T88="","",T88-M88)</f>
        <v>0</v>
      </c>
      <c r="X88">
        <f>IF(V88="","No","Yes")</f>
        <v/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Network Asset</t>
        </is>
      </c>
      <c r="D89" s="7" t="inlineStr">
        <is>
          <t>Cisco Meraki MS250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For MD-00085, register cost $1,895 sits beside no FA row and PO-2025-0016. Verified Available / Atlanta Warehouse.</t>
        </is>
      </c>
      <c r="L89" s="7" t="inlineStr">
        <is>
          <t>2026-07-07</t>
        </is>
      </c>
      <c r="M89" s="7" t="n">
        <v>1895</v>
      </c>
      <c r="N89" s="7">
        <f>IFERROR(INDEX('Source Ledger'!$G$5:$G$200,MATCH(A89,'Source Ledger'!$B$5:$B$200,0)),"")</f>
        <v>0</v>
      </c>
      <c r="O89" s="7">
        <f>IFERROR(INDEX('Source Ledger'!$A$5:$A$200,MATCH(A89,'Source Ledger'!$B$5:$B$200,0)),"")</f>
        <v/>
      </c>
      <c r="P89" s="7">
        <f>IFERROR(INDEX('Source Ledger'!$D$5:$D$200,MATCH(A89,'Source Ledger'!$B$5:$B$200,0)),"")</f>
        <v/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Yes</t>
        </is>
      </c>
      <c r="T89">
        <f>IFERROR(INDEX('Source Ledger'!$E$5:$E$200,MATCH(A89,'Source Ledger'!$B$5:$B$200,0)),"")</f>
        <v>2090</v>
      </c>
      <c r="U89">
        <f>IFERROR(INDEX('Source Ledger'!$H$5:$H$200,MATCH(A89,'Source Ledger'!$B$5:$B$200,0)),"")</f>
        <v/>
      </c>
      <c r="V89">
        <f>IFERROR(INDEX('Source Ledger'!$G$5:$G$200,MATCH(A89,'Source Ledger'!$B$5:$B$200,0)),"")</f>
        <v>0</v>
      </c>
      <c r="W89">
        <f>IF(T89="","",T89-M89)</f>
        <v>195</v>
      </c>
      <c r="X89">
        <f>IF(V89="","No","Yes")</f>
        <v/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Network Asset</t>
        </is>
      </c>
      <c r="D90" s="7" t="inlineStr">
        <is>
          <t>Fortinet FortiSwitch 148F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Evidence for MD-00086 is piecewise: inventory cost $610, FA absent, TR TR-00086, HR status Available, site Atlanta Warehouse.</t>
        </is>
      </c>
      <c r="L90" s="7" t="inlineStr">
        <is>
          <t>2026-07-07</t>
        </is>
      </c>
      <c r="M90" s="7" t="n">
        <v>610</v>
      </c>
      <c r="N90" s="7">
        <f>IFERROR(INDEX('Source Ledger'!$G$5:$G$200,MATCH(A90,'Source Ledger'!$B$5:$B$200,0)),"")</f>
        <v>317.07</v>
      </c>
      <c r="O90" s="7">
        <f>IFERROR(INDEX('Source Ledger'!$A$5:$A$200,MATCH(A90,'Source Ledger'!$B$5:$B$200,0)),"")</f>
        <v/>
      </c>
      <c r="P90" s="7">
        <f>IFERROR(INDEX('Source Ledger'!$D$5:$D$200,MATCH(A90,'Source Ledger'!$B$5:$B$200,0)),"")</f>
        <v/>
      </c>
      <c r="Q90" s="9" t="inlineStr">
        <is>
          <t>High</t>
        </is>
      </c>
      <c r="R90" s="7" t="inlineStr">
        <is>
          <t>EX-0099</t>
        </is>
      </c>
      <c r="S90" s="7" t="inlineStr">
        <is>
          <t>Yes</t>
        </is>
      </c>
      <c r="T90">
        <f>IFERROR(INDEX('Source Ledger'!$E$5:$E$200,MATCH(A90,'Source Ledger'!$B$5:$B$200,0)),"")</f>
        <v>610</v>
      </c>
      <c r="U90">
        <f>IFERROR(INDEX('Source Ledger'!$H$5:$H$200,MATCH(A90,'Source Ledger'!$B$5:$B$200,0)),"")</f>
        <v/>
      </c>
      <c r="V90">
        <f>IFERROR(INDEX('Source Ledger'!$G$5:$G$200,MATCH(A90,'Source Ledger'!$B$5:$B$200,0)),"")</f>
        <v>317.07</v>
      </c>
      <c r="W90">
        <f>IF(T90="","",T90-M90)</f>
        <v>0</v>
      </c>
      <c r="X90">
        <f>IF(V90="","No","Yes")</f>
        <v/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Network Asset</t>
        </is>
      </c>
      <c r="D91" s="7" t="inlineStr">
        <is>
          <t>Cisco C9300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evidence note on MD-00087: Cisco C9300; Available @ Atlanta Warehouse; holder Atlanta Warehouse; PO-2022-0017; TR-00087; basis $1,085.</t>
        </is>
      </c>
      <c r="L91" s="7" t="inlineStr">
        <is>
          <t>2026-07-07</t>
        </is>
      </c>
      <c r="M91" s="7" t="n">
        <v>1085</v>
      </c>
      <c r="N91" s="7">
        <f>IFERROR(INDEX('Source Ledger'!$G$5:$G$200,MATCH(A91,'Source Ledger'!$B$5:$B$200,0)),"")</f>
        <v>609.71</v>
      </c>
      <c r="O91" s="7">
        <f>IFERROR(INDEX('Source Ledger'!$A$5:$A$200,MATCH(A91,'Source Ledger'!$B$5:$B$200,0)),"")</f>
        <v/>
      </c>
      <c r="P91" s="7">
        <f>IFERROR(INDEX('Source Ledger'!$D$5:$D$200,MATCH(A91,'Source Ledger'!$B$5:$B$200,0)),"")</f>
        <v/>
      </c>
      <c r="Q91" s="9" t="inlineStr">
        <is>
          <t>High</t>
        </is>
      </c>
      <c r="R91" s="7" t="inlineStr">
        <is>
          <t>EX-0100</t>
        </is>
      </c>
      <c r="S91" s="7" t="inlineStr">
        <is>
          <t>Yes</t>
        </is>
      </c>
      <c r="T91">
        <f>IFERROR(INDEX('Source Ledger'!$E$5:$E$200,MATCH(A91,'Source Ledger'!$B$5:$B$200,0)),"")</f>
        <v>1085</v>
      </c>
      <c r="U91">
        <f>IFERROR(INDEX('Source Ledger'!$H$5:$H$200,MATCH(A91,'Source Ledger'!$B$5:$B$200,0)),"")</f>
        <v/>
      </c>
      <c r="V91">
        <f>IFERROR(INDEX('Source Ledger'!$G$5:$G$200,MATCH(A91,'Source Ledger'!$B$5:$B$200,0)),"")</f>
        <v>609.71</v>
      </c>
      <c r="W91">
        <f>IF(T91="","",T91-M91)</f>
        <v>0</v>
      </c>
      <c r="X91">
        <f>IF(V91="","No","Yes")</f>
        <v/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Aruba 6300M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Aruba 6300M tagged MD-00088 reconciled using FA-000088+TR-00088+HR. Present state Available/Atlanta Warehouse, cost $6,380.</t>
        </is>
      </c>
      <c r="L92" s="7" t="inlineStr">
        <is>
          <t>2026-07-07</t>
        </is>
      </c>
      <c r="M92" s="7" t="n">
        <v>6380</v>
      </c>
      <c r="N92" s="7">
        <f>IFERROR(INDEX('Source Ledger'!$G$5:$G$200,MATCH(A92,'Source Ledger'!$B$5:$B$200,0)),"")</f>
        <v>982.55</v>
      </c>
      <c r="O92" s="7">
        <f>IFERROR(INDEX('Source Ledger'!$A$5:$A$200,MATCH(A92,'Source Ledger'!$B$5:$B$200,0)),"")</f>
        <v/>
      </c>
      <c r="P92" s="7">
        <f>IFERROR(INDEX('Source Ledger'!$D$5:$D$200,MATCH(A92,'Source Ledger'!$B$5:$B$200,0)),"")</f>
        <v/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Yes</t>
        </is>
      </c>
      <c r="T92">
        <f>IFERROR(INDEX('Source Ledger'!$E$5:$E$200,MATCH(A92,'Source Ledger'!$B$5:$B$200,0)),"")</f>
        <v>6380</v>
      </c>
      <c r="U92">
        <f>IFERROR(INDEX('Source Ledger'!$H$5:$H$200,MATCH(A92,'Source Ledger'!$B$5:$B$200,0)),"")</f>
        <v/>
      </c>
      <c r="V92">
        <f>IFERROR(INDEX('Source Ledger'!$G$5:$G$200,MATCH(A92,'Source Ledger'!$B$5:$B$200,0)),"")</f>
        <v>982.55</v>
      </c>
      <c r="W92">
        <f>IF(T92="","",T92-M92)</f>
        <v>0</v>
      </c>
      <c r="X92">
        <f>IF(V92="","No","Yes")</f>
        <v/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Network Asset</t>
        </is>
      </c>
      <c r="D93" s="7" t="inlineStr">
        <is>
          <t>Juniper EX3400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Working evidence note on MD-00089: Juniper EX3400; Missing @ Unknown; PO-2022-0017; TR-00089; basis $2,075.</t>
        </is>
      </c>
      <c r="L93" s="7" t="inlineStr">
        <is>
          <t>2026-06-18</t>
        </is>
      </c>
      <c r="M93" s="7" t="n">
        <v>2075</v>
      </c>
      <c r="N93" s="7">
        <f>IFERROR(INDEX('Source Ledger'!$G$5:$G$200,MATCH(A93,'Source Ledger'!$B$5:$B$200,0)),"")</f>
        <v>0</v>
      </c>
      <c r="O93" s="7">
        <f>IFERROR(INDEX('Source Ledger'!$A$5:$A$200,MATCH(A93,'Source Ledger'!$B$5:$B$200,0)),"")</f>
        <v/>
      </c>
      <c r="P93" s="7">
        <f>IFERROR(INDEX('Source Ledger'!$D$5:$D$200,MATCH(A93,'Source Ledger'!$B$5:$B$200,0)),"")</f>
        <v/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>
        <f>IFERROR(INDEX('Source Ledger'!$E$5:$E$200,MATCH(A93,'Source Ledger'!$B$5:$B$200,0)),"")</f>
        <v>2075</v>
      </c>
      <c r="U93">
        <f>IFERROR(INDEX('Source Ledger'!$H$5:$H$200,MATCH(A93,'Source Ledger'!$B$5:$B$200,0)),"")</f>
        <v/>
      </c>
      <c r="V93">
        <f>IFERROR(INDEX('Source Ledger'!$G$5:$G$200,MATCH(A93,'Source Ledger'!$B$5:$B$200,0)),"")</f>
        <v>0</v>
      </c>
      <c r="W93">
        <f>IF(T93="","",T93-M93)</f>
        <v>0</v>
      </c>
      <c r="X93">
        <f>IF(V93="","No","Yes")</f>
        <v/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Network Asset</t>
        </is>
      </c>
      <c r="D94" s="7" t="inlineStr">
        <is>
          <t>Fortinet FortiSwitch 148F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MD-00090 evidence drawn from FA-000090. HR/location reading Missing/Unknown. Move TR-00090. Cost $790.</t>
        </is>
      </c>
      <c r="L94" s="7" t="inlineStr">
        <is>
          <t>2026-06-07</t>
        </is>
      </c>
      <c r="M94" s="7" t="n">
        <v>790</v>
      </c>
      <c r="N94" s="7">
        <f>IFERROR(INDEX('Source Ledger'!$G$5:$G$200,MATCH(A94,'Source Ledger'!$B$5:$B$200,0)),"")</f>
        <v>465.13</v>
      </c>
      <c r="O94" s="7">
        <f>IFERROR(INDEX('Source Ledger'!$A$5:$A$200,MATCH(A94,'Source Ledger'!$B$5:$B$200,0)),"")</f>
        <v/>
      </c>
      <c r="P94" s="7">
        <f>IFERROR(INDEX('Source Ledger'!$D$5:$D$200,MATCH(A94,'Source Ledger'!$B$5:$B$200,0)),"")</f>
        <v/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>
        <f>IFERROR(INDEX('Source Ledger'!$E$5:$E$200,MATCH(A94,'Source Ledger'!$B$5:$B$200,0)),"")</f>
        <v>790</v>
      </c>
      <c r="U94">
        <f>IFERROR(INDEX('Source Ledger'!$H$5:$H$200,MATCH(A94,'Source Ledger'!$B$5:$B$200,0)),"")</f>
        <v/>
      </c>
      <c r="V94">
        <f>IFERROR(INDEX('Source Ledger'!$G$5:$G$200,MATCH(A94,'Source Ledger'!$B$5:$B$200,0)),"")</f>
        <v>465.13</v>
      </c>
      <c r="W94">
        <f>IF(T94="","",T94-M94)</f>
        <v>0</v>
      </c>
      <c r="X94">
        <f>IF(V94="","No","Yes")</f>
        <v/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Network Asset</t>
        </is>
      </c>
      <c r="D95" s="7" t="inlineStr">
        <is>
          <t>Cisco C9300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Cisco C9300 tagged MD-00091 reconciled using PO-2023-0018+FA-000091+TR-00091+HR. Present state Missing/Unknown, cost $950.</t>
        </is>
      </c>
      <c r="L95" s="7" t="inlineStr">
        <is>
          <t>2026-05-08</t>
        </is>
      </c>
      <c r="M95" s="7" t="n">
        <v>950</v>
      </c>
      <c r="N95" s="7">
        <f>IFERROR(INDEX('Source Ledger'!$G$5:$G$200,MATCH(A95,'Source Ledger'!$B$5:$B$200,0)),"")</f>
        <v>643.09</v>
      </c>
      <c r="O95" s="7">
        <f>IFERROR(INDEX('Source Ledger'!$A$5:$A$200,MATCH(A95,'Source Ledger'!$B$5:$B$200,0)),"")</f>
        <v/>
      </c>
      <c r="P95" s="7">
        <f>IFERROR(INDEX('Source Ledger'!$D$5:$D$200,MATCH(A95,'Source Ledger'!$B$5:$B$200,0)),"")</f>
        <v/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>
        <f>IFERROR(INDEX('Source Ledger'!$E$5:$E$200,MATCH(A95,'Source Ledger'!$B$5:$B$200,0)),"")</f>
        <v>950</v>
      </c>
      <c r="U95">
        <f>IFERROR(INDEX('Source Ledger'!$H$5:$H$200,MATCH(A95,'Source Ledger'!$B$5:$B$200,0)),"")</f>
        <v/>
      </c>
      <c r="V95">
        <f>IFERROR(INDEX('Source Ledger'!$G$5:$G$200,MATCH(A95,'Source Ledger'!$B$5:$B$200,0)),"")</f>
        <v>643.09</v>
      </c>
      <c r="W95">
        <f>IF(T95="","",T95-M95)</f>
        <v>0</v>
      </c>
      <c r="X95">
        <f>IF(V95="","No","Yes")</f>
        <v/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Aruba 6300M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Source stack for MD-00092 (Aruba 6300M): PO-2023-0018, FA-000092, TR-00092. Custodian context Model Aruba; status Missing at Unknown; basis $6,245.</t>
        </is>
      </c>
      <c r="L96" s="7" t="inlineStr">
        <is>
          <t>2026-06-09</t>
        </is>
      </c>
      <c r="M96" s="7" t="n">
        <v>6245</v>
      </c>
      <c r="N96" s="7">
        <f>IFERROR(INDEX('Source Ledger'!$G$5:$G$200,MATCH(A96,'Source Ledger'!$B$5:$B$200,0)),"")</f>
        <v>1396.04</v>
      </c>
      <c r="O96" s="7">
        <f>IFERROR(INDEX('Source Ledger'!$A$5:$A$200,MATCH(A96,'Source Ledger'!$B$5:$B$200,0)),"")</f>
        <v/>
      </c>
      <c r="P96" s="7">
        <f>IFERROR(INDEX('Source Ledger'!$D$5:$D$200,MATCH(A96,'Source Ledger'!$B$5:$B$200,0)),"")</f>
        <v/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>
        <f>IFERROR(INDEX('Source Ledger'!$E$5:$E$200,MATCH(A96,'Source Ledger'!$B$5:$B$200,0)),"")</f>
        <v>6245</v>
      </c>
      <c r="U96">
        <f>IFERROR(INDEX('Source Ledger'!$H$5:$H$200,MATCH(A96,'Source Ledger'!$B$5:$B$200,0)),"")</f>
        <v/>
      </c>
      <c r="V96">
        <f>IFERROR(INDEX('Source Ledger'!$G$5:$G$200,MATCH(A96,'Source Ledger'!$B$5:$B$200,0)),"")</f>
        <v>1396.04</v>
      </c>
      <c r="W96">
        <f>IF(T96="","",T96-M96)</f>
        <v>0</v>
      </c>
      <c r="X96">
        <f>IF(V96="","No","Yes")</f>
        <v/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Network Asset</t>
        </is>
      </c>
      <c r="D97" s="7" t="inlineStr">
        <is>
          <t>Juniper EX3400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Working evidence note on MD-00093: Juniper EX3400; Missing @ Unknown; PO-2023-0018; FA-000093; TR-00093; basis $1,940.</t>
        </is>
      </c>
      <c r="L97" s="7" t="inlineStr">
        <is>
          <t>2026-05-10</t>
        </is>
      </c>
      <c r="M97" s="7" t="n">
        <v>1940</v>
      </c>
      <c r="N97" s="7">
        <f>IFERROR(INDEX('Source Ledger'!$G$5:$G$200,MATCH(A97,'Source Ledger'!$B$5:$B$200,0)),"")</f>
        <v>130.57</v>
      </c>
      <c r="O97" s="7">
        <f>IFERROR(INDEX('Source Ledger'!$A$5:$A$200,MATCH(A97,'Source Ledger'!$B$5:$B$200,0)),"")</f>
        <v/>
      </c>
      <c r="P97" s="7">
        <f>IFERROR(INDEX('Source Ledger'!$D$5:$D$200,MATCH(A97,'Source Ledger'!$B$5:$B$200,0)),"")</f>
        <v/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>
        <f>IFERROR(INDEX('Source Ledger'!$E$5:$E$200,MATCH(A97,'Source Ledger'!$B$5:$B$200,0)),"")</f>
        <v>1940</v>
      </c>
      <c r="U97">
        <f>IFERROR(INDEX('Source Ledger'!$H$5:$H$200,MATCH(A97,'Source Ledger'!$B$5:$B$200,0)),"")</f>
        <v/>
      </c>
      <c r="V97">
        <f>IFERROR(INDEX('Source Ledger'!$G$5:$G$200,MATCH(A97,'Source Ledger'!$B$5:$B$200,0)),"")</f>
        <v>130.57</v>
      </c>
      <c r="W97">
        <f>IF(T97="","",T97-M97)</f>
        <v>0</v>
      </c>
      <c r="X97">
        <f>IF(V97="","No","Yes")</f>
        <v/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Network Asset</t>
        </is>
      </c>
      <c r="D98" s="7" t="inlineStr">
        <is>
          <t>Cisco Meraki MS250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For MD-00094, register cost $655 sits beside FA-000094 and PO-2023-0018. Transfer TR-00094 on file. Verified Missing / Unknown.</t>
        </is>
      </c>
      <c r="L98" s="7" t="inlineStr">
        <is>
          <t>2026-06-11</t>
        </is>
      </c>
      <c r="M98" s="7" t="n">
        <v>655</v>
      </c>
      <c r="N98" s="7">
        <f>IFERROR(INDEX('Source Ledger'!$G$5:$G$200,MATCH(A98,'Source Ledger'!$B$5:$B$200,0)),"")</f>
        <v>431.2</v>
      </c>
      <c r="O98" s="7">
        <f>IFERROR(INDEX('Source Ledger'!$A$5:$A$200,MATCH(A98,'Source Ledger'!$B$5:$B$200,0)),"")</f>
        <v/>
      </c>
      <c r="P98" s="7">
        <f>IFERROR(INDEX('Source Ledger'!$D$5:$D$200,MATCH(A98,'Source Ledger'!$B$5:$B$200,0)),"")</f>
        <v/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>
        <f>IFERROR(INDEX('Source Ledger'!$E$5:$E$200,MATCH(A98,'Source Ledger'!$B$5:$B$200,0)),"")</f>
        <v>655</v>
      </c>
      <c r="U98">
        <f>IFERROR(INDEX('Source Ledger'!$H$5:$H$200,MATCH(A98,'Source Ledger'!$B$5:$B$200,0)),"")</f>
        <v/>
      </c>
      <c r="V98">
        <f>IFERROR(INDEX('Source Ledger'!$G$5:$G$200,MATCH(A98,'Source Ledger'!$B$5:$B$200,0)),"")</f>
        <v>431.2</v>
      </c>
      <c r="W98">
        <f>IF(T98="","",T98-M98)</f>
        <v>0</v>
      </c>
      <c r="X98">
        <f>IF(V98="","No","Yes")</f>
        <v/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Network Asset</t>
        </is>
      </c>
      <c r="D99" s="7" t="inlineStr">
        <is>
          <t>Fortinet FortiSwitch 148F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Fortinet FortiSwitch 148F tagged MD-00095 reconciled using PO-2023-0018+FA-000095+HR. Present state Missing/Unknown, cost $1,130.</t>
        </is>
      </c>
      <c r="L99" s="7" t="inlineStr">
        <is>
          <t>2026-06-24</t>
        </is>
      </c>
      <c r="M99" s="7" t="n">
        <v>1130</v>
      </c>
      <c r="N99" s="7">
        <f>IFERROR(INDEX('Source Ledger'!$G$5:$G$200,MATCH(A99,'Source Ledger'!$B$5:$B$200,0)),"")</f>
        <v>894.87</v>
      </c>
      <c r="O99" s="7">
        <f>IFERROR(INDEX('Source Ledger'!$A$5:$A$200,MATCH(A99,'Source Ledger'!$B$5:$B$200,0)),"")</f>
        <v/>
      </c>
      <c r="P99" s="7">
        <f>IFERROR(INDEX('Source Ledger'!$D$5:$D$200,MATCH(A99,'Source Ledger'!$B$5:$B$200,0)),"")</f>
        <v/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>
        <f>IFERROR(INDEX('Source Ledger'!$E$5:$E$200,MATCH(A99,'Source Ledger'!$B$5:$B$200,0)),"")</f>
        <v>1130</v>
      </c>
      <c r="U99">
        <f>IFERROR(INDEX('Source Ledger'!$H$5:$H$200,MATCH(A99,'Source Ledger'!$B$5:$B$200,0)),"")</f>
        <v/>
      </c>
      <c r="V99">
        <f>IFERROR(INDEX('Source Ledger'!$G$5:$G$200,MATCH(A99,'Source Ledger'!$B$5:$B$200,0)),"")</f>
        <v>894.87</v>
      </c>
      <c r="W99">
        <f>IF(T99="","",T99-M99)</f>
        <v>0</v>
      </c>
      <c r="X99">
        <f>IF(V99="","No","Yes")</f>
        <v/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Working evidence note on MD-00096: Cisco C9300; Missing @ Unknown; holder Mira Adelman; TR-00096; basis $6,425.</t>
        </is>
      </c>
      <c r="L100" s="7" t="inlineStr">
        <is>
          <t>2026-06-13</t>
        </is>
      </c>
      <c r="M100" s="7" t="n">
        <v>6425</v>
      </c>
      <c r="N100" s="7">
        <f>IFERROR(INDEX('Source Ledger'!$G$5:$G$200,MATCH(A100,'Source Ledger'!$B$5:$B$200,0)),"")</f>
        <v>511.01</v>
      </c>
      <c r="O100" s="7">
        <f>IFERROR(INDEX('Source Ledger'!$A$5:$A$200,MATCH(A100,'Source Ledger'!$B$5:$B$200,0)),"")</f>
        <v/>
      </c>
      <c r="P100" s="7">
        <f>IFERROR(INDEX('Source Ledger'!$D$5:$D$200,MATCH(A100,'Source Ledger'!$B$5:$B$200,0)),"")</f>
        <v/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>
        <f>IFERROR(INDEX('Source Ledger'!$E$5:$E$200,MATCH(A100,'Source Ledger'!$B$5:$B$200,0)),"")</f>
        <v>6425</v>
      </c>
      <c r="U100">
        <f>IFERROR(INDEX('Source Ledger'!$H$5:$H$200,MATCH(A100,'Source Ledger'!$B$5:$B$200,0)),"")</f>
        <v/>
      </c>
      <c r="V100">
        <f>IFERROR(INDEX('Source Ledger'!$G$5:$G$200,MATCH(A100,'Source Ledger'!$B$5:$B$200,0)),"")</f>
        <v>511.01</v>
      </c>
      <c r="W100">
        <f>IF(T100="","",T100-M100)</f>
        <v>0</v>
      </c>
      <c r="X100">
        <f>IF(V100="","No","Yes")</f>
        <v/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Network Asset</t>
        </is>
      </c>
      <c r="D101" s="7" t="inlineStr">
        <is>
          <t>Aruba 6300M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Validated MD-00097 against available PO/FA/HR/transfer rows. Model Aruba 6300M. Quincy Rhodes (E0085) shows Missing in Unknown. Acquisition $2,120.</t>
        </is>
      </c>
      <c r="L101" s="7" t="inlineStr">
        <is>
          <t>2026-05-14</t>
        </is>
      </c>
      <c r="M101" s="7" t="n">
        <v>2120</v>
      </c>
      <c r="N101" s="7">
        <f>IFERROR(INDEX('Source Ledger'!$G$5:$G$200,MATCH(A101,'Source Ledger'!$B$5:$B$200,0)),"")</f>
        <v>0</v>
      </c>
      <c r="O101" s="7">
        <f>IFERROR(INDEX('Source Ledger'!$A$5:$A$200,MATCH(A101,'Source Ledger'!$B$5:$B$200,0)),"")</f>
        <v/>
      </c>
      <c r="P101" s="7">
        <f>IFERROR(INDEX('Source Ledger'!$D$5:$D$200,MATCH(A101,'Source Ledger'!$B$5:$B$200,0)),"")</f>
        <v/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>
        <f>IFERROR(INDEX('Source Ledger'!$E$5:$E$200,MATCH(A101,'Source Ledger'!$B$5:$B$200,0)),"")</f>
        <v>2120</v>
      </c>
      <c r="U101">
        <f>IFERROR(INDEX('Source Ledger'!$H$5:$H$200,MATCH(A101,'Source Ledger'!$B$5:$B$200,0)),"")</f>
        <v/>
      </c>
      <c r="V101">
        <f>IFERROR(INDEX('Source Ledger'!$G$5:$G$200,MATCH(A101,'Source Ledger'!$B$5:$B$200,0)),"")</f>
        <v>0</v>
      </c>
      <c r="W101">
        <f>IF(T101="","",T101-M101)</f>
        <v>0</v>
      </c>
      <c r="X101">
        <f>IF(V101="","No","Yes")</f>
        <v/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Network Asset</t>
        </is>
      </c>
      <c r="D102" s="7" t="inlineStr">
        <is>
          <t>Juniper EX3400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For MD-00098, register cost $520 sits beside no FA row . Transfer TR-00098 on file. Verified Missing / Unknown.</t>
        </is>
      </c>
      <c r="L102" s="7" t="inlineStr">
        <is>
          <t>2026-06-15</t>
        </is>
      </c>
      <c r="M102" s="7" t="n">
        <v>520</v>
      </c>
      <c r="N102" s="7">
        <f>IFERROR(INDEX('Source Ledger'!$G$5:$G$200,MATCH(A102,'Source Ledger'!$B$5:$B$200,0)),"")</f>
        <v>266.87</v>
      </c>
      <c r="O102" s="7">
        <f>IFERROR(INDEX('Source Ledger'!$A$5:$A$200,MATCH(A102,'Source Ledger'!$B$5:$B$200,0)),"")</f>
        <v/>
      </c>
      <c r="P102" s="7">
        <f>IFERROR(INDEX('Source Ledger'!$D$5:$D$200,MATCH(A102,'Source Ledger'!$B$5:$B$200,0)),"")</f>
        <v/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>
        <f>IFERROR(INDEX('Source Ledger'!$E$5:$E$200,MATCH(A102,'Source Ledger'!$B$5:$B$200,0)),"")</f>
        <v>520</v>
      </c>
      <c r="U102">
        <f>IFERROR(INDEX('Source Ledger'!$H$5:$H$200,MATCH(A102,'Source Ledger'!$B$5:$B$200,0)),"")</f>
        <v/>
      </c>
      <c r="V102">
        <f>IFERROR(INDEX('Source Ledger'!$G$5:$G$200,MATCH(A102,'Source Ledger'!$B$5:$B$200,0)),"")</f>
        <v>266.87</v>
      </c>
      <c r="W102">
        <f>IF(T102="","",T102-M102)</f>
        <v>0</v>
      </c>
      <c r="X102">
        <f>IF(V102="","No","Yes")</f>
        <v/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Network Asset</t>
        </is>
      </c>
      <c r="D103" s="7" t="inlineStr">
        <is>
          <t>Cisco Meraki MS250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MD-00099 evidence drawn from FA-000099. HR/location reading Missing/Unknown. Cost $995.</t>
        </is>
      </c>
      <c r="L103" s="7" t="inlineStr">
        <is>
          <t>2026-05-16</t>
        </is>
      </c>
      <c r="M103" s="7" t="n">
        <v>995</v>
      </c>
      <c r="N103" s="7">
        <f>IFERROR(INDEX('Source Ledger'!$G$5:$G$200,MATCH(A103,'Source Ledger'!$B$5:$B$200,0)),"")</f>
        <v>548.24</v>
      </c>
      <c r="O103" s="7">
        <f>IFERROR(INDEX('Source Ledger'!$A$5:$A$200,MATCH(A103,'Source Ledger'!$B$5:$B$200,0)),"")</f>
        <v/>
      </c>
      <c r="P103" s="7">
        <f>IFERROR(INDEX('Source Ledger'!$D$5:$D$200,MATCH(A103,'Source Ledger'!$B$5:$B$200,0)),"")</f>
        <v/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>
        <f>IFERROR(INDEX('Source Ledger'!$E$5:$E$200,MATCH(A103,'Source Ledger'!$B$5:$B$200,0)),"")</f>
        <v>995</v>
      </c>
      <c r="U103">
        <f>IFERROR(INDEX('Source Ledger'!$H$5:$H$200,MATCH(A103,'Source Ledger'!$B$5:$B$200,0)),"")</f>
        <v/>
      </c>
      <c r="V103">
        <f>IFERROR(INDEX('Source Ledger'!$G$5:$G$200,MATCH(A103,'Source Ledger'!$B$5:$B$200,0)),"")</f>
        <v>548.24</v>
      </c>
      <c r="W103">
        <f>IF(T103="","",T103-M103)</f>
        <v>0</v>
      </c>
      <c r="X103">
        <f>IF(V103="","No","Yes")</f>
        <v/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Laptop</t>
        </is>
      </c>
      <c r="D104" s="7" t="inlineStr">
        <is>
          <t>HP EliteBook 840 G10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Source stack for MD-00100 (HP EliteBook 840 G10): PO-2024-0019. Custodian context Ivy Chenoweth; status Missing at Unknown; basis $6,290.</t>
        </is>
      </c>
      <c r="L104" s="7" t="inlineStr">
        <is>
          <t>2026-06-17</t>
        </is>
      </c>
      <c r="M104" s="7" t="n">
        <v>6290</v>
      </c>
      <c r="N104" s="7">
        <f>IFERROR(INDEX('Source Ledger'!$G$5:$G$200,MATCH(A104,'Source Ledger'!$B$5:$B$200,0)),"")</f>
        <v>927.36</v>
      </c>
      <c r="O104" s="7">
        <f>IFERROR(INDEX('Source Ledger'!$A$5:$A$200,MATCH(A104,'Source Ledger'!$B$5:$B$200,0)),"")</f>
        <v/>
      </c>
      <c r="P104" s="7">
        <f>IFERROR(INDEX('Source Ledger'!$D$5:$D$200,MATCH(A104,'Source Ledger'!$B$5:$B$200,0)),"")</f>
        <v/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>
        <f>IFERROR(INDEX('Source Ledger'!$E$5:$E$200,MATCH(A104,'Source Ledger'!$B$5:$B$200,0)),"")</f>
        <v>6290</v>
      </c>
      <c r="U104">
        <f>IFERROR(INDEX('Source Ledger'!$H$5:$H$200,MATCH(A104,'Source Ledger'!$B$5:$B$200,0)),"")</f>
        <v/>
      </c>
      <c r="V104">
        <f>IFERROR(INDEX('Source Ledger'!$G$5:$G$200,MATCH(A104,'Source Ledger'!$B$5:$B$200,0)),"")</f>
        <v>927.36</v>
      </c>
      <c r="W104">
        <f>IF(T104="","",T104-M104)</f>
        <v>0</v>
      </c>
      <c r="X104">
        <f>IF(V104="","No","Yes")</f>
        <v/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Microsoft Surface Laptop 5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For MD-00101, register cost $1,985 sits beside no FA row . Transfer TR-00101 on file. Verified Retired/Pending Disposal / Seattle.</t>
        </is>
      </c>
      <c r="L105" s="7" t="inlineStr">
        <is>
          <t>2026-06-07</t>
        </is>
      </c>
      <c r="M105" s="7" t="n">
        <v>1985</v>
      </c>
      <c r="N105" s="7">
        <f>IFERROR(INDEX('Source Ledger'!$G$5:$G$200,MATCH(A105,'Source Ledger'!$B$5:$B$200,0)),"")</f>
        <v>0</v>
      </c>
      <c r="O105" s="7">
        <f>IFERROR(INDEX('Source Ledger'!$A$5:$A$200,MATCH(A105,'Source Ledger'!$B$5:$B$200,0)),"")</f>
        <v/>
      </c>
      <c r="P105" s="7">
        <f>IFERROR(INDEX('Source Ledger'!$D$5:$D$200,MATCH(A105,'Source Ledger'!$B$5:$B$200,0)),"")</f>
        <v/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>
        <f>IFERROR(INDEX('Source Ledger'!$E$5:$E$200,MATCH(A105,'Source Ledger'!$B$5:$B$200,0)),"")</f>
        <v>1985</v>
      </c>
      <c r="U105">
        <f>IFERROR(INDEX('Source Ledger'!$H$5:$H$200,MATCH(A105,'Source Ledger'!$B$5:$B$200,0)),"")</f>
        <v/>
      </c>
      <c r="V105">
        <f>IFERROR(INDEX('Source Ledger'!$G$5:$G$200,MATCH(A105,'Source Ledger'!$B$5:$B$200,0)),"")</f>
        <v>0</v>
      </c>
      <c r="W105">
        <f>IF(T105="","",T105-M105)</f>
        <v>0</v>
      </c>
      <c r="X105">
        <f>IF(V105="","No","Yes")</f>
        <v/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Laptop</t>
        </is>
      </c>
      <c r="D106" s="7" t="inlineStr">
        <is>
          <t>Lenovo ThinkPad X1 Carbon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For MD-00102, register cost $700 sits beside FA-000102 . Transfer TR-00102 on file. Verified Retired/Pending Disposal / Atlanta.</t>
        </is>
      </c>
      <c r="L106" s="7" t="inlineStr">
        <is>
          <t>2026-05-31</t>
        </is>
      </c>
      <c r="M106" s="7" t="n">
        <v>700</v>
      </c>
      <c r="N106" s="7">
        <f>IFERROR(INDEX('Source Ledger'!$G$5:$G$200,MATCH(A106,'Source Ledger'!$B$5:$B$200,0)),"")</f>
        <v>407.54</v>
      </c>
      <c r="O106" s="7">
        <f>IFERROR(INDEX('Source Ledger'!$A$5:$A$200,MATCH(A106,'Source Ledger'!$B$5:$B$200,0)),"")</f>
        <v/>
      </c>
      <c r="P106" s="7">
        <f>IFERROR(INDEX('Source Ledger'!$D$5:$D$200,MATCH(A106,'Source Ledger'!$B$5:$B$200,0)),"")</f>
        <v/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>
        <f>IFERROR(INDEX('Source Ledger'!$E$5:$E$200,MATCH(A106,'Source Ledger'!$B$5:$B$200,0)),"")</f>
        <v>820</v>
      </c>
      <c r="U106">
        <f>IFERROR(INDEX('Source Ledger'!$H$5:$H$200,MATCH(A106,'Source Ledger'!$B$5:$B$200,0)),"")</f>
        <v/>
      </c>
      <c r="V106">
        <f>IFERROR(INDEX('Source Ledger'!$G$5:$G$200,MATCH(A106,'Source Ledger'!$B$5:$B$200,0)),"")</f>
        <v>407.54</v>
      </c>
      <c r="W106">
        <f>IF(T106="","",T106-M106)</f>
        <v>120</v>
      </c>
      <c r="X106">
        <f>IF(V106="","No","Yes")</f>
        <v/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Laptop</t>
        </is>
      </c>
      <c r="D107" s="7" t="inlineStr">
        <is>
          <t>Lenovo ThinkPad T14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For MD-00103, register cost $1,175 sits beside no FA row and PO-2024-0019. Transfer TR-00103 on file. Verified Retired/Pending Disposal / Chicago.</t>
        </is>
      </c>
      <c r="L107" s="7" t="inlineStr">
        <is>
          <t>2026-05-31</t>
        </is>
      </c>
      <c r="M107" s="7" t="n">
        <v>1175</v>
      </c>
      <c r="N107" s="7">
        <f>IFERROR(INDEX('Source Ledger'!$G$5:$G$200,MATCH(A107,'Source Ledger'!$B$5:$B$200,0)),"")</f>
        <v>782.53</v>
      </c>
      <c r="O107" s="7">
        <f>IFERROR(INDEX('Source Ledger'!$A$5:$A$200,MATCH(A107,'Source Ledger'!$B$5:$B$200,0)),"")</f>
        <v/>
      </c>
      <c r="P107" s="7">
        <f>IFERROR(INDEX('Source Ledger'!$D$5:$D$200,MATCH(A107,'Source Ledger'!$B$5:$B$200,0)),"")</f>
        <v/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>
        <f>IFERROR(INDEX('Source Ledger'!$E$5:$E$200,MATCH(A107,'Source Ledger'!$B$5:$B$200,0)),"")</f>
        <v>1175</v>
      </c>
      <c r="U107">
        <f>IFERROR(INDEX('Source Ledger'!$H$5:$H$200,MATCH(A107,'Source Ledger'!$B$5:$B$200,0)),"")</f>
        <v/>
      </c>
      <c r="V107">
        <f>IFERROR(INDEX('Source Ledger'!$G$5:$G$200,MATCH(A107,'Source Ledger'!$B$5:$B$200,0)),"")</f>
        <v>782.53</v>
      </c>
      <c r="W107">
        <f>IF(T107="","",T107-M107)</f>
        <v>0</v>
      </c>
      <c r="X107">
        <f>IF(V107="","No","Yes")</f>
        <v/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Laptop</t>
        </is>
      </c>
      <c r="D108" s="7" t="inlineStr">
        <is>
          <t>MacBook Pro 14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MD-00104 evidence drawn from FA-000104. HR/location reading Retired/Pending Disposal/Dallas. Move TR-00104. Cost $6,470.</t>
        </is>
      </c>
      <c r="L108" s="7" t="inlineStr">
        <is>
          <t>2026-05-31</t>
        </is>
      </c>
      <c r="M108" s="7" t="n">
        <v>6470</v>
      </c>
      <c r="N108" s="7">
        <f>IFERROR(INDEX('Source Ledger'!$G$5:$G$200,MATCH(A108,'Source Ledger'!$B$5:$B$200,0)),"")</f>
        <v>1403.83</v>
      </c>
      <c r="O108" s="7">
        <f>IFERROR(INDEX('Source Ledger'!$A$5:$A$200,MATCH(A108,'Source Ledger'!$B$5:$B$200,0)),"")</f>
        <v/>
      </c>
      <c r="P108" s="7">
        <f>IFERROR(INDEX('Source Ledger'!$D$5:$D$200,MATCH(A108,'Source Ledger'!$B$5:$B$200,0)),"")</f>
        <v/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>
        <f>IFERROR(INDEX('Source Ledger'!$E$5:$E$200,MATCH(A108,'Source Ledger'!$B$5:$B$200,0)),"")</f>
        <v>6470</v>
      </c>
      <c r="U108">
        <f>IFERROR(INDEX('Source Ledger'!$H$5:$H$200,MATCH(A108,'Source Ledger'!$B$5:$B$200,0)),"")</f>
        <v/>
      </c>
      <c r="V108">
        <f>IFERROR(INDEX('Source Ledger'!$G$5:$G$200,MATCH(A108,'Source Ledger'!$B$5:$B$200,0)),"")</f>
        <v>1403.83</v>
      </c>
      <c r="W108">
        <f>IF(T108="","",T108-M108)</f>
        <v>0</v>
      </c>
      <c r="X108">
        <f>IF(V108="","No","Yes")</f>
        <v/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For MD-00105, register cost $1,850 sits beside no FA row and PO-2025-0020. Transfer TR-00105 on file. Verified Retired/Pending Disposal / Denver.</t>
        </is>
      </c>
      <c r="L109" s="7" t="inlineStr">
        <is>
          <t>2026-05-31</t>
        </is>
      </c>
      <c r="M109" s="7" t="n">
        <v>1850</v>
      </c>
      <c r="N109" s="7">
        <f>IFERROR(INDEX('Source Ledger'!$G$5:$G$200,MATCH(A109,'Source Ledger'!$B$5:$B$200,0)),"")</f>
        <v>104.26</v>
      </c>
      <c r="O109" s="7">
        <f>IFERROR(INDEX('Source Ledger'!$A$5:$A$200,MATCH(A109,'Source Ledger'!$B$5:$B$200,0)),"")</f>
        <v/>
      </c>
      <c r="P109" s="7">
        <f>IFERROR(INDEX('Source Ledger'!$D$5:$D$200,MATCH(A109,'Source Ledger'!$B$5:$B$200,0)),"")</f>
        <v/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>
        <f>IFERROR(INDEX('Source Ledger'!$E$5:$E$200,MATCH(A109,'Source Ledger'!$B$5:$B$200,0)),"")</f>
        <v>1850</v>
      </c>
      <c r="U109">
        <f>IFERROR(INDEX('Source Ledger'!$H$5:$H$200,MATCH(A109,'Source Ledger'!$B$5:$B$200,0)),"")</f>
        <v/>
      </c>
      <c r="V109">
        <f>IFERROR(INDEX('Source Ledger'!$G$5:$G$200,MATCH(A109,'Source Ledger'!$B$5:$B$200,0)),"")</f>
        <v>104.26</v>
      </c>
      <c r="W109">
        <f>IF(T109="","",T109-M109)</f>
        <v>0</v>
      </c>
      <c r="X109">
        <f>IF(V109="","No","Yes")</f>
        <v/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Laptop</t>
        </is>
      </c>
      <c r="D110" s="7" t="inlineStr">
        <is>
          <t>HP EliteBook 840 G10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MD-00106 evidence drawn from PO-2025-0020 / FA-000106. HR/location reading Retired/Pending Disposal/New York. Move TR-00106. Cost $565.</t>
        </is>
      </c>
      <c r="L110" s="7" t="inlineStr">
        <is>
          <t>2026-05-31</t>
        </is>
      </c>
      <c r="M110" s="7" t="n">
        <v>565</v>
      </c>
      <c r="N110" s="7">
        <f>IFERROR(INDEX('Source Ledger'!$G$5:$G$200,MATCH(A110,'Source Ledger'!$B$5:$B$200,0)),"")</f>
        <v>368.24</v>
      </c>
      <c r="O110" s="7">
        <f>IFERROR(INDEX('Source Ledger'!$A$5:$A$200,MATCH(A110,'Source Ledger'!$B$5:$B$200,0)),"")</f>
        <v/>
      </c>
      <c r="P110" s="7">
        <f>IFERROR(INDEX('Source Ledger'!$D$5:$D$200,MATCH(A110,'Source Ledger'!$B$5:$B$200,0)),"")</f>
        <v/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>
        <f>IFERROR(INDEX('Source Ledger'!$E$5:$E$200,MATCH(A110,'Source Ledger'!$B$5:$B$200,0)),"")</f>
        <v>565</v>
      </c>
      <c r="U110">
        <f>IFERROR(INDEX('Source Ledger'!$H$5:$H$200,MATCH(A110,'Source Ledger'!$B$5:$B$200,0)),"")</f>
        <v/>
      </c>
      <c r="V110">
        <f>IFERROR(INDEX('Source Ledger'!$G$5:$G$200,MATCH(A110,'Source Ledger'!$B$5:$B$200,0)),"")</f>
        <v>368.24</v>
      </c>
      <c r="W110">
        <f>IF(T110="","",T110-M110)</f>
        <v>0</v>
      </c>
      <c r="X110">
        <f>IF(V110="","No","Yes")</f>
        <v/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Laptop</t>
        </is>
      </c>
      <c r="D111" s="7" t="inlineStr">
        <is>
          <t>Microsoft Surface Laptop 5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MD-00107 evidence drawn from PO-2022-0021 / FA-000107. HR/location reading Retired/Pending Disposal/Seattle. Move TR-00107. Cost $1,040.</t>
        </is>
      </c>
      <c r="L111" s="7" t="inlineStr">
        <is>
          <t>2026-06-13</t>
        </is>
      </c>
      <c r="M111" s="7" t="n">
        <v>1040</v>
      </c>
      <c r="N111" s="7">
        <f>IFERROR(INDEX('Source Ledger'!$G$5:$G$200,MATCH(A111,'Source Ledger'!$B$5:$B$200,0)),"")</f>
        <v>812.21</v>
      </c>
      <c r="O111" s="7">
        <f>IFERROR(INDEX('Source Ledger'!$A$5:$A$200,MATCH(A111,'Source Ledger'!$B$5:$B$200,0)),"")</f>
        <v/>
      </c>
      <c r="P111" s="7">
        <f>IFERROR(INDEX('Source Ledger'!$D$5:$D$200,MATCH(A111,'Source Ledger'!$B$5:$B$200,0)),"")</f>
        <v/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>
        <f>IFERROR(INDEX('Source Ledger'!$E$5:$E$200,MATCH(A111,'Source Ledger'!$B$5:$B$200,0)),"")</f>
        <v>1040</v>
      </c>
      <c r="U111">
        <f>IFERROR(INDEX('Source Ledger'!$H$5:$H$200,MATCH(A111,'Source Ledger'!$B$5:$B$200,0)),"")</f>
        <v/>
      </c>
      <c r="V111">
        <f>IFERROR(INDEX('Source Ledger'!$G$5:$G$200,MATCH(A111,'Source Ledger'!$B$5:$B$200,0)),"")</f>
        <v>812.21</v>
      </c>
      <c r="W111">
        <f>IF(T111="","",T111-M111)</f>
        <v>0</v>
      </c>
      <c r="X111">
        <f>IF(V111="","No","Yes")</f>
        <v/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Laptop</t>
        </is>
      </c>
      <c r="D112" s="7" t="inlineStr">
        <is>
          <t>Lenovo ThinkPad X1 Carbon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For MD-00108, register cost $6,335 sits beside FA-000108 and PO-2022-0021. Verified Retired/Pending Disposal / Atlanta.</t>
        </is>
      </c>
      <c r="L112" s="7" t="inlineStr">
        <is>
          <t>2026-05-31</t>
        </is>
      </c>
      <c r="M112" s="7" t="n">
        <v>6335</v>
      </c>
      <c r="N112" s="7">
        <f>IFERROR(INDEX('Source Ledger'!$G$5:$G$200,MATCH(A112,'Source Ledger'!$B$5:$B$200,0)),"")</f>
        <v>545.48</v>
      </c>
      <c r="O112" s="7">
        <f>IFERROR(INDEX('Source Ledger'!$A$5:$A$200,MATCH(A112,'Source Ledger'!$B$5:$B$200,0)),"")</f>
        <v/>
      </c>
      <c r="P112" s="7">
        <f>IFERROR(INDEX('Source Ledger'!$D$5:$D$200,MATCH(A112,'Source Ledger'!$B$5:$B$200,0)),"")</f>
        <v/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>
        <f>IFERROR(INDEX('Source Ledger'!$E$5:$E$200,MATCH(A112,'Source Ledger'!$B$5:$B$200,0)),"")</f>
        <v>6335</v>
      </c>
      <c r="U112">
        <f>IFERROR(INDEX('Source Ledger'!$H$5:$H$200,MATCH(A112,'Source Ledger'!$B$5:$B$200,0)),"")</f>
        <v/>
      </c>
      <c r="V112">
        <f>IFERROR(INDEX('Source Ledger'!$G$5:$G$200,MATCH(A112,'Source Ledger'!$B$5:$B$200,0)),"")</f>
        <v>545.48</v>
      </c>
      <c r="W112">
        <f>IF(T112="","",T112-M112)</f>
        <v>0</v>
      </c>
      <c r="X112">
        <f>IF(V112="","No","Yes")</f>
        <v/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Cross-checked MD-00109 to source systems. PO PO-2022-0021. Ledger FA-000109. Outcome Retired/Pending Disposal in Chicago ($2,030).</t>
        </is>
      </c>
      <c r="L113" s="7" t="inlineStr">
        <is>
          <t>2026-05-31</t>
        </is>
      </c>
      <c r="M113" s="7" t="n">
        <v>2030</v>
      </c>
      <c r="N113" s="7">
        <f>IFERROR(INDEX('Source Ledger'!$G$5:$G$200,MATCH(A113,'Source Ledger'!$B$5:$B$200,0)),"")</f>
        <v>0</v>
      </c>
      <c r="O113" s="7">
        <f>IFERROR(INDEX('Source Ledger'!$A$5:$A$200,MATCH(A113,'Source Ledger'!$B$5:$B$200,0)),"")</f>
        <v/>
      </c>
      <c r="P113" s="7">
        <f>IFERROR(INDEX('Source Ledger'!$D$5:$D$200,MATCH(A113,'Source Ledger'!$B$5:$B$200,0)),"")</f>
        <v/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>
        <f>IFERROR(INDEX('Source Ledger'!$E$5:$E$200,MATCH(A113,'Source Ledger'!$B$5:$B$200,0)),"")</f>
        <v>2030</v>
      </c>
      <c r="U113">
        <f>IFERROR(INDEX('Source Ledger'!$H$5:$H$200,MATCH(A113,'Source Ledger'!$B$5:$B$200,0)),"")</f>
        <v/>
      </c>
      <c r="V113">
        <f>IFERROR(INDEX('Source Ledger'!$G$5:$G$200,MATCH(A113,'Source Ledger'!$B$5:$B$200,0)),"")</f>
        <v>0</v>
      </c>
      <c r="W113">
        <f>IF(T113="","",T113-M113)</f>
        <v>0</v>
      </c>
      <c r="X113">
        <f>IF(V113="","No","Yes")</f>
        <v/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Laptop</t>
        </is>
      </c>
      <c r="D114" s="7" t="inlineStr">
        <is>
          <t>Dell Latitude 7440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Validated MD-00110 against available PO/FA/HR/transfer rows. Model Dell Latitude 7440. shows Retired/Pending Disposal in Dallas. Acquisition $745.</t>
        </is>
      </c>
      <c r="L114" s="7" t="inlineStr">
        <is>
          <t>2026-05-31</t>
        </is>
      </c>
      <c r="M114" s="7" t="n">
        <v>745</v>
      </c>
      <c r="N114" s="7">
        <f>IFERROR(INDEX('Source Ledger'!$G$5:$G$200,MATCH(A114,'Source Ledger'!$B$5:$B$200,0)),"")</f>
        <v>387.24</v>
      </c>
      <c r="O114" s="7">
        <f>IFERROR(INDEX('Source Ledger'!$A$5:$A$200,MATCH(A114,'Source Ledger'!$B$5:$B$200,0)),"")</f>
        <v/>
      </c>
      <c r="P114" s="7">
        <f>IFERROR(INDEX('Source Ledger'!$D$5:$D$200,MATCH(A114,'Source Ledger'!$B$5:$B$200,0)),"")</f>
        <v/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>
        <f>IFERROR(INDEX('Source Ledger'!$E$5:$E$200,MATCH(A114,'Source Ledger'!$B$5:$B$200,0)),"")</f>
        <v>745</v>
      </c>
      <c r="U114">
        <f>IFERROR(INDEX('Source Ledger'!$H$5:$H$200,MATCH(A114,'Source Ledger'!$B$5:$B$200,0)),"")</f>
        <v/>
      </c>
      <c r="V114">
        <f>IFERROR(INDEX('Source Ledger'!$G$5:$G$200,MATCH(A114,'Source Ledger'!$B$5:$B$200,0)),"")</f>
        <v>387.24</v>
      </c>
      <c r="W114">
        <f>IF(T114="","",T114-M114)</f>
        <v>0</v>
      </c>
      <c r="X114">
        <f>IF(V114="","No","Yes")</f>
        <v/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Laptop</t>
        </is>
      </c>
      <c r="D115" s="7" t="inlineStr">
        <is>
          <t>HP EliteBook 840 G10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For MD-00111, register cost $1,220 sits beside no FA row . Transfer TR-00111 on file. Verified Disposed / Disposed.</t>
        </is>
      </c>
      <c r="L115" s="7" t="inlineStr">
        <is>
          <t>2026-07-20</t>
        </is>
      </c>
      <c r="M115" s="7" t="n">
        <v>1220</v>
      </c>
      <c r="N115" s="7">
        <f>IFERROR(INDEX('Source Ledger'!$G$5:$G$200,MATCH(A115,'Source Ledger'!$B$5:$B$200,0)),"")</f>
        <v>0</v>
      </c>
      <c r="O115" s="7">
        <f>IFERROR(INDEX('Source Ledger'!$A$5:$A$200,MATCH(A115,'Source Ledger'!$B$5:$B$200,0)),"")</f>
        <v/>
      </c>
      <c r="P115" s="7">
        <f>IFERROR(INDEX('Source Ledger'!$D$5:$D$200,MATCH(A115,'Source Ledger'!$B$5:$B$200,0)),"")</f>
        <v/>
      </c>
      <c r="Q115" s="9" t="inlineStr">
        <is>
          <t>High</t>
        </is>
      </c>
      <c r="R115" s="7" t="inlineStr"/>
      <c r="S115" s="7" t="inlineStr">
        <is>
          <t>No</t>
        </is>
      </c>
      <c r="T115">
        <f>IFERROR(INDEX('Source Ledger'!$E$5:$E$200,MATCH(A115,'Source Ledger'!$B$5:$B$200,0)),"")</f>
        <v>1220</v>
      </c>
      <c r="U115">
        <f>IFERROR(INDEX('Source Ledger'!$H$5:$H$200,MATCH(A115,'Source Ledger'!$B$5:$B$200,0)),"")</f>
        <v/>
      </c>
      <c r="V115">
        <f>IFERROR(INDEX('Source Ledger'!$G$5:$G$200,MATCH(A115,'Source Ledger'!$B$5:$B$200,0)),"")</f>
        <v>0</v>
      </c>
      <c r="W115">
        <f>IF(T115="","",T115-M115)</f>
        <v>0</v>
      </c>
      <c r="X115">
        <f>IF(V115="","No","Yes")</f>
        <v/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Laptop</t>
        </is>
      </c>
      <c r="D116" s="7" t="inlineStr">
        <is>
          <t>Microsoft Surface Laptop 5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Validated MD-00112 against available PO/FA/HR/transfer rows. Model Microsoft Surface Laptop 5. Curtis Bennett (E0075) shows Disposed in Disposed. Acquisition $6,200.</t>
        </is>
      </c>
      <c r="L116" s="7" t="inlineStr">
        <is>
          <t>2026-07-20</t>
        </is>
      </c>
      <c r="M116" s="7" t="n">
        <v>6200</v>
      </c>
      <c r="N116" s="7">
        <f>IFERROR(INDEX('Source Ledger'!$G$5:$G$200,MATCH(A116,'Source Ledger'!$B$5:$B$200,0)),"")</f>
        <v>0</v>
      </c>
      <c r="O116" s="7">
        <f>IFERROR(INDEX('Source Ledger'!$A$5:$A$200,MATCH(A116,'Source Ledger'!$B$5:$B$200,0)),"")</f>
        <v/>
      </c>
      <c r="P116" s="7">
        <f>IFERROR(INDEX('Source Ledger'!$D$5:$D$200,MATCH(A116,'Source Ledger'!$B$5:$B$200,0)),"")</f>
        <v/>
      </c>
      <c r="Q116" s="9" t="inlineStr">
        <is>
          <t>High</t>
        </is>
      </c>
      <c r="R116" s="7" t="inlineStr"/>
      <c r="S116" s="7" t="inlineStr">
        <is>
          <t>No</t>
        </is>
      </c>
      <c r="T116">
        <f>IFERROR(INDEX('Source Ledger'!$E$5:$E$200,MATCH(A116,'Source Ledger'!$B$5:$B$200,0)),"")</f>
        <v>6200</v>
      </c>
      <c r="U116">
        <f>IFERROR(INDEX('Source Ledger'!$H$5:$H$200,MATCH(A116,'Source Ledger'!$B$5:$B$200,0)),"")</f>
        <v/>
      </c>
      <c r="V116">
        <f>IFERROR(INDEX('Source Ledger'!$G$5:$G$200,MATCH(A116,'Source Ledger'!$B$5:$B$200,0)),"")</f>
        <v>0</v>
      </c>
      <c r="W116">
        <f>IF(T116="","",T116-M116)</f>
        <v>0</v>
      </c>
      <c r="X116">
        <f>IF(V116="","No","Yes")</f>
        <v/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Lenovo ThinkPad X1 Carbon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Source stack for MD-00113 (Lenovo ThinkPad X1 Carbon): TR-00113. Custodian context Pilar Santos; status Disposed at Disposed; basis $1,895.</t>
        </is>
      </c>
      <c r="L117" s="7" t="inlineStr">
        <is>
          <t>2026-07-20</t>
        </is>
      </c>
      <c r="M117" s="7" t="n">
        <v>1895</v>
      </c>
      <c r="N117" s="7">
        <f>IFERROR(INDEX('Source Ledger'!$G$5:$G$200,MATCH(A117,'Source Ledger'!$B$5:$B$200,0)),"")</f>
        <v>0</v>
      </c>
      <c r="O117" s="7">
        <f>IFERROR(INDEX('Source Ledger'!$A$5:$A$200,MATCH(A117,'Source Ledger'!$B$5:$B$200,0)),"")</f>
        <v/>
      </c>
      <c r="P117" s="7">
        <f>IFERROR(INDEX('Source Ledger'!$D$5:$D$200,MATCH(A117,'Source Ledger'!$B$5:$B$200,0)),"")</f>
        <v/>
      </c>
      <c r="Q117" s="9" t="inlineStr">
        <is>
          <t>High</t>
        </is>
      </c>
      <c r="R117" s="7" t="inlineStr"/>
      <c r="S117" s="7" t="inlineStr">
        <is>
          <t>No</t>
        </is>
      </c>
      <c r="T117">
        <f>IFERROR(INDEX('Source Ledger'!$E$5:$E$200,MATCH(A117,'Source Ledger'!$B$5:$B$200,0)),"")</f>
        <v>1895</v>
      </c>
      <c r="U117">
        <f>IFERROR(INDEX('Source Ledger'!$H$5:$H$200,MATCH(A117,'Source Ledger'!$B$5:$B$200,0)),"")</f>
        <v/>
      </c>
      <c r="V117">
        <f>IFERROR(INDEX('Source Ledger'!$G$5:$G$200,MATCH(A117,'Source Ledger'!$B$5:$B$200,0)),"")</f>
        <v>0</v>
      </c>
      <c r="W117">
        <f>IF(T117="","",T117-M117)</f>
        <v>0</v>
      </c>
      <c r="X117">
        <f>IF(V117="","No","Yes")</f>
        <v/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Laptop</t>
        </is>
      </c>
      <c r="D118" s="7" t="inlineStr">
        <is>
          <t>Lenovo ThinkPad T14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Working evidence note on MD-00114: Lenovo ThinkPad T14; Retired/Pending Disposal @ Disposed (certificate missing); holder Jonah Freedman; FA-000114; basis $610.</t>
        </is>
      </c>
      <c r="L118" s="7" t="inlineStr">
        <is>
          <t>2026-01-20</t>
        </is>
      </c>
      <c r="M118" s="7" t="n">
        <v>610</v>
      </c>
      <c r="N118" s="7">
        <f>IFERROR(INDEX('Source Ledger'!$G$5:$G$200,MATCH(A118,'Source Ledger'!$B$5:$B$200,0)),"")</f>
        <v>0</v>
      </c>
      <c r="O118" s="7">
        <f>IFERROR(INDEX('Source Ledger'!$A$5:$A$200,MATCH(A118,'Source Ledger'!$B$5:$B$200,0)),"")</f>
        <v/>
      </c>
      <c r="P118" s="7">
        <f>IFERROR(INDEX('Source Ledger'!$D$5:$D$200,MATCH(A118,'Source Ledger'!$B$5:$B$200,0)),"")</f>
        <v/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>
        <f>IFERROR(INDEX('Source Ledger'!$E$5:$E$200,MATCH(A118,'Source Ledger'!$B$5:$B$200,0)),"")</f>
        <v>610</v>
      </c>
      <c r="U118">
        <f>IFERROR(INDEX('Source Ledger'!$H$5:$H$200,MATCH(A118,'Source Ledger'!$B$5:$B$200,0)),"")</f>
        <v/>
      </c>
      <c r="V118">
        <f>IFERROR(INDEX('Source Ledger'!$G$5:$G$200,MATCH(A118,'Source Ledger'!$B$5:$B$200,0)),"")</f>
        <v>0</v>
      </c>
      <c r="W118">
        <f>IF(T118="","",T118-M118)</f>
        <v>0</v>
      </c>
      <c r="X118">
        <f>IF(V118="","No","Yes")</f>
        <v/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Laptop</t>
        </is>
      </c>
      <c r="D119" s="7" t="inlineStr">
        <is>
          <t>MacBook Pro 14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Evidence for MD-00115 is piecewise: inventory cost $1,085, FA absent, PO PO-2024-0024, HR status Disposed, site Disposed.</t>
        </is>
      </c>
      <c r="L119" s="7" t="inlineStr">
        <is>
          <t>2026-07-20</t>
        </is>
      </c>
      <c r="M119" s="7" t="n">
        <v>1085</v>
      </c>
      <c r="N119" s="7">
        <f>IFERROR(INDEX('Source Ledger'!$G$5:$G$200,MATCH(A119,'Source Ledger'!$B$5:$B$200,0)),"")</f>
        <v>0</v>
      </c>
      <c r="O119" s="7">
        <f>IFERROR(INDEX('Source Ledger'!$A$5:$A$200,MATCH(A119,'Source Ledger'!$B$5:$B$200,0)),"")</f>
        <v/>
      </c>
      <c r="P119" s="7">
        <f>IFERROR(INDEX('Source Ledger'!$D$5:$D$200,MATCH(A119,'Source Ledger'!$B$5:$B$200,0)),"")</f>
        <v/>
      </c>
      <c r="Q119" s="9" t="inlineStr">
        <is>
          <t>High</t>
        </is>
      </c>
      <c r="R119" s="7" t="inlineStr"/>
      <c r="S119" s="7" t="inlineStr">
        <is>
          <t>No</t>
        </is>
      </c>
      <c r="T119">
        <f>IFERROR(INDEX('Source Ledger'!$E$5:$E$200,MATCH(A119,'Source Ledger'!$B$5:$B$200,0)),"")</f>
        <v>1085</v>
      </c>
      <c r="U119">
        <f>IFERROR(INDEX('Source Ledger'!$H$5:$H$200,MATCH(A119,'Source Ledger'!$B$5:$B$200,0)),"")</f>
        <v/>
      </c>
      <c r="V119">
        <f>IFERROR(INDEX('Source Ledger'!$G$5:$G$200,MATCH(A119,'Source Ledger'!$B$5:$B$200,0)),"")</f>
        <v>0</v>
      </c>
      <c r="W119">
        <f>IF(T119="","",T119-M119)</f>
        <v>0</v>
      </c>
      <c r="X119">
        <f>IF(V119="","No","Yes")</f>
        <v/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Laptop</t>
        </is>
      </c>
      <c r="D120" s="7" t="inlineStr">
        <is>
          <t>Dell Latitude 7440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Validated MD-00116 against available PO/FA/HR/transfer rows. Model Dell Latitude 7440. Wes Carvalho (E0079) shows Disposed in Disposed. Acquisition $6,380.</t>
        </is>
      </c>
      <c r="L120" s="7" t="inlineStr">
        <is>
          <t>2026-07-20</t>
        </is>
      </c>
      <c r="M120" s="7" t="n">
        <v>6380</v>
      </c>
      <c r="N120" s="7">
        <f>IFERROR(INDEX('Source Ledger'!$G$5:$G$200,MATCH(A120,'Source Ledger'!$B$5:$B$200,0)),"")</f>
        <v>0</v>
      </c>
      <c r="O120" s="7">
        <f>IFERROR(INDEX('Source Ledger'!$A$5:$A$200,MATCH(A120,'Source Ledger'!$B$5:$B$200,0)),"")</f>
        <v/>
      </c>
      <c r="P120" s="7">
        <f>IFERROR(INDEX('Source Ledger'!$D$5:$D$200,MATCH(A120,'Source Ledger'!$B$5:$B$200,0)),"")</f>
        <v/>
      </c>
      <c r="Q120" s="9" t="inlineStr">
        <is>
          <t>High</t>
        </is>
      </c>
      <c r="R120" s="7" t="inlineStr"/>
      <c r="S120" s="7" t="inlineStr">
        <is>
          <t>No</t>
        </is>
      </c>
      <c r="T120">
        <f>IFERROR(INDEX('Source Ledger'!$E$5:$E$200,MATCH(A120,'Source Ledger'!$B$5:$B$200,0)),"")</f>
        <v>6380</v>
      </c>
      <c r="U120">
        <f>IFERROR(INDEX('Source Ledger'!$H$5:$H$200,MATCH(A120,'Source Ledger'!$B$5:$B$200,0)),"")</f>
        <v/>
      </c>
      <c r="V120">
        <f>IFERROR(INDEX('Source Ledger'!$G$5:$G$200,MATCH(A120,'Source Ledger'!$B$5:$B$200,0)),"")</f>
        <v>0</v>
      </c>
      <c r="W120">
        <f>IF(T120="","",T120-M120)</f>
        <v>0</v>
      </c>
      <c r="X120">
        <f>IF(V120="","No","Yes")</f>
        <v/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HP EliteBook 840 G10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For MD-00117, register cost $2,075 sits beside no FA row and PO-2024-0024. Transfer TR-00117 on file. Verified Disposed / Disposed.</t>
        </is>
      </c>
      <c r="L121" s="7" t="inlineStr">
        <is>
          <t>2026-07-20</t>
        </is>
      </c>
      <c r="M121" s="7" t="n">
        <v>2075</v>
      </c>
      <c r="N121" s="7">
        <f>IFERROR(INDEX('Source Ledger'!$G$5:$G$200,MATCH(A121,'Source Ledger'!$B$5:$B$200,0)),"")</f>
        <v>0</v>
      </c>
      <c r="O121" s="7">
        <f>IFERROR(INDEX('Source Ledger'!$A$5:$A$200,MATCH(A121,'Source Ledger'!$B$5:$B$200,0)),"")</f>
        <v/>
      </c>
      <c r="P121" s="7">
        <f>IFERROR(INDEX('Source Ledger'!$D$5:$D$200,MATCH(A121,'Source Ledger'!$B$5:$B$200,0)),"")</f>
        <v/>
      </c>
      <c r="Q121" s="9" t="inlineStr">
        <is>
          <t>High</t>
        </is>
      </c>
      <c r="R121" s="7" t="inlineStr"/>
      <c r="S121" s="7" t="inlineStr">
        <is>
          <t>No</t>
        </is>
      </c>
      <c r="T121">
        <f>IFERROR(INDEX('Source Ledger'!$E$5:$E$200,MATCH(A121,'Source Ledger'!$B$5:$B$200,0)),"")</f>
        <v>2075</v>
      </c>
      <c r="U121">
        <f>IFERROR(INDEX('Source Ledger'!$H$5:$H$200,MATCH(A121,'Source Ledger'!$B$5:$B$200,0)),"")</f>
        <v/>
      </c>
      <c r="V121">
        <f>IFERROR(INDEX('Source Ledger'!$G$5:$G$200,MATCH(A121,'Source Ledger'!$B$5:$B$200,0)),"")</f>
        <v>0</v>
      </c>
      <c r="W121">
        <f>IF(T121="","",T121-M121)</f>
        <v>0</v>
      </c>
      <c r="X121">
        <f>IF(V121="","No","Yes")</f>
        <v/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Laptop</t>
        </is>
      </c>
      <c r="D122" s="7" t="inlineStr">
        <is>
          <t>Microsoft Surface Laptop 5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Evidence for MD-00118 is piecewise: inventory cost $790, FA FA-000118, TR TR-00118, HR status Retired/Pending Disposal, site Disposed (certificate missing).</t>
        </is>
      </c>
      <c r="L122" s="7" t="inlineStr">
        <is>
          <t>2026-05-24</t>
        </is>
      </c>
      <c r="M122" s="7" t="n">
        <v>790</v>
      </c>
      <c r="N122" s="7">
        <f>IFERROR(INDEX('Source Ledger'!$G$5:$G$200,MATCH(A122,'Source Ledger'!$B$5:$B$200,0)),"")</f>
        <v>0</v>
      </c>
      <c r="O122" s="7">
        <f>IFERROR(INDEX('Source Ledger'!$A$5:$A$200,MATCH(A122,'Source Ledger'!$B$5:$B$200,0)),"")</f>
        <v/>
      </c>
      <c r="P122" s="7">
        <f>IFERROR(INDEX('Source Ledger'!$D$5:$D$200,MATCH(A122,'Source Ledger'!$B$5:$B$200,0)),"")</f>
        <v/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>
        <f>IFERROR(INDEX('Source Ledger'!$E$5:$E$200,MATCH(A122,'Source Ledger'!$B$5:$B$200,0)),"")</f>
        <v>790</v>
      </c>
      <c r="U122">
        <f>IFERROR(INDEX('Source Ledger'!$H$5:$H$200,MATCH(A122,'Source Ledger'!$B$5:$B$200,0)),"")</f>
        <v/>
      </c>
      <c r="V122">
        <f>IFERROR(INDEX('Source Ledger'!$G$5:$G$200,MATCH(A122,'Source Ledger'!$B$5:$B$200,0)),"")</f>
        <v>0</v>
      </c>
      <c r="W122">
        <f>IF(T122="","",T122-M122)</f>
        <v>0</v>
      </c>
      <c r="X122">
        <f>IF(V122="","No","Yes")</f>
        <v/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Laptop</t>
        </is>
      </c>
      <c r="D123" s="7" t="inlineStr">
        <is>
          <t>Lenovo ThinkPad X1 Carbon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Source stack for MD-00119 (Lenovo ThinkPad X1 Carbon): PO-2024-0024, TR-00119. Custodian context E0082; status Disposed at Disposed; basis $950.</t>
        </is>
      </c>
      <c r="L123" s="7" t="inlineStr">
        <is>
          <t>2026-07-20</t>
        </is>
      </c>
      <c r="M123" s="7" t="n">
        <v>950</v>
      </c>
      <c r="N123" s="7">
        <f>IFERROR(INDEX('Source Ledger'!$G$5:$G$200,MATCH(A123,'Source Ledger'!$B$5:$B$200,0)),"")</f>
        <v>0</v>
      </c>
      <c r="O123" s="7">
        <f>IFERROR(INDEX('Source Ledger'!$A$5:$A$200,MATCH(A123,'Source Ledger'!$B$5:$B$200,0)),"")</f>
        <v/>
      </c>
      <c r="P123" s="7">
        <f>IFERROR(INDEX('Source Ledger'!$D$5:$D$200,MATCH(A123,'Source Ledger'!$B$5:$B$200,0)),"")</f>
        <v/>
      </c>
      <c r="Q123" s="9" t="inlineStr">
        <is>
          <t>High</t>
        </is>
      </c>
      <c r="R123" s="7" t="inlineStr">
        <is>
          <t>EX-0153</t>
        </is>
      </c>
      <c r="S123" s="7" t="inlineStr">
        <is>
          <t>Yes</t>
        </is>
      </c>
      <c r="T123">
        <f>IFERROR(INDEX('Source Ledger'!$E$5:$E$200,MATCH(A123,'Source Ledger'!$B$5:$B$200,0)),"")</f>
        <v>1115</v>
      </c>
      <c r="U123">
        <f>IFERROR(INDEX('Source Ledger'!$H$5:$H$200,MATCH(A123,'Source Ledger'!$B$5:$B$200,0)),"")</f>
        <v/>
      </c>
      <c r="V123">
        <f>IFERROR(INDEX('Source Ledger'!$G$5:$G$200,MATCH(A123,'Source Ledger'!$B$5:$B$200,0)),"")</f>
        <v>0</v>
      </c>
      <c r="W123">
        <f>IF(T123="","",T123-M123)</f>
        <v>165</v>
      </c>
      <c r="X123">
        <f>IF(V123="","No","Yes")</f>
        <v/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Laptop</t>
        </is>
      </c>
      <c r="D124" s="7" t="inlineStr">
        <is>
          <t>MacBook Pro 14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Source stack for MD-00120 (MacBook Pro 14): FA-000120, TR-00120. Custodian context E0083; status Disposed at Disposed; basis $6,245.</t>
        </is>
      </c>
      <c r="L124" s="7" t="inlineStr">
        <is>
          <t>2026-07-20</t>
        </is>
      </c>
      <c r="M124" s="7" t="n">
        <v>6245</v>
      </c>
      <c r="N124" s="7">
        <f>IFERROR(INDEX('Source Ledger'!$G$5:$G$200,MATCH(A124,'Source Ledger'!$B$5:$B$200,0)),"")</f>
        <v>0</v>
      </c>
      <c r="O124" s="7">
        <f>IFERROR(INDEX('Source Ledger'!$A$5:$A$200,MATCH(A124,'Source Ledger'!$B$5:$B$200,0)),"")</f>
        <v/>
      </c>
      <c r="P124" s="7">
        <f>IFERROR(INDEX('Source Ledger'!$D$5:$D$200,MATCH(A124,'Source Ledger'!$B$5:$B$200,0)),"")</f>
        <v/>
      </c>
      <c r="Q124" s="9" t="inlineStr">
        <is>
          <t>High</t>
        </is>
      </c>
      <c r="R124" s="7" t="inlineStr"/>
      <c r="S124" s="7" t="inlineStr">
        <is>
          <t>No</t>
        </is>
      </c>
      <c r="T124">
        <f>IFERROR(INDEX('Source Ledger'!$E$5:$E$200,MATCH(A124,'Source Ledger'!$B$5:$B$200,0)),"")</f>
        <v>6245</v>
      </c>
      <c r="U124">
        <f>IFERROR(INDEX('Source Ledger'!$H$5:$H$200,MATCH(A124,'Source Ledger'!$B$5:$B$200,0)),"")</f>
        <v/>
      </c>
      <c r="V124">
        <f>IFERROR(INDEX('Source Ledger'!$G$5:$G$200,MATCH(A124,'Source Ledger'!$B$5:$B$200,0)),"")</f>
        <v>0</v>
      </c>
      <c r="W124">
        <f>IF(T124="","",T124-M124)</f>
        <v>0</v>
      </c>
      <c r="X124">
        <f>IF(V124="","No","Yes")</f>
        <v/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Dell Latitude 7440</t>
        </is>
      </c>
      <c r="E125" s="7" t="n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Dell Latitude 7440 tagged MD-00121 reconciled using FA-000121+TR-00121+HR. Present state Available/Chicago, cost $1,940.</t>
        </is>
      </c>
      <c r="L125" s="7" t="inlineStr">
        <is>
          <t>2026-02-03</t>
        </is>
      </c>
      <c r="M125" s="7" t="n">
        <v>1940</v>
      </c>
      <c r="N125" s="7">
        <f>IFERROR(INDEX('Source Ledger'!$G$5:$G$200,MATCH(A125,'Source Ledger'!$B$5:$B$200,0)),"")</f>
        <v>0</v>
      </c>
      <c r="O125" s="7">
        <f>IFERROR(INDEX('Source Ledger'!$A$5:$A$200,MATCH(A125,'Source Ledger'!$B$5:$B$200,0)),"")</f>
        <v/>
      </c>
      <c r="P125" s="7">
        <f>IFERROR(INDEX('Source Ledger'!$D$5:$D$200,MATCH(A125,'Source Ledger'!$B$5:$B$200,0)),"")</f>
        <v/>
      </c>
      <c r="Q125" s="9" t="inlineStr">
        <is>
          <t>High</t>
        </is>
      </c>
      <c r="R125" s="7" t="inlineStr">
        <is>
          <t>EX-0154</t>
        </is>
      </c>
      <c r="S125" s="7" t="inlineStr">
        <is>
          <t>Yes</t>
        </is>
      </c>
      <c r="T125">
        <f>IFERROR(INDEX('Source Ledger'!$E$5:$E$200,MATCH(A125,'Source Ledger'!$B$5:$B$200,0)),"")</f>
        <v>1940</v>
      </c>
      <c r="U125">
        <f>IFERROR(INDEX('Source Ledger'!$H$5:$H$200,MATCH(A125,'Source Ledger'!$B$5:$B$200,0)),"")</f>
        <v/>
      </c>
      <c r="V125">
        <f>IFERROR(INDEX('Source Ledger'!$G$5:$G$200,MATCH(A125,'Source Ledger'!$B$5:$B$200,0)),"")</f>
        <v>0</v>
      </c>
      <c r="W125">
        <f>IF(T125="","",T125-M125)</f>
        <v>0</v>
      </c>
      <c r="X125">
        <f>IF(V125="","No","Yes")</f>
        <v/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Laptop</t>
        </is>
      </c>
      <c r="D126" s="7" t="inlineStr">
        <is>
          <t>HP EliteBook 840 G10</t>
        </is>
      </c>
      <c r="E126" s="7" t="n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Cross-checked MD-00122 to source systems. PO PO-2025-0025. Ledger FA-000122. Outcome Available in Dallas ($655).</t>
        </is>
      </c>
      <c r="L126" s="7" t="inlineStr">
        <is>
          <t>2026-03-04</t>
        </is>
      </c>
      <c r="M126" s="7" t="n">
        <v>655</v>
      </c>
      <c r="N126" s="7">
        <f>IFERROR(INDEX('Source Ledger'!$G$5:$G$200,MATCH(A126,'Source Ledger'!$B$5:$B$200,0)),"")</f>
        <v>336.15</v>
      </c>
      <c r="O126" s="7">
        <f>IFERROR(INDEX('Source Ledger'!$A$5:$A$200,MATCH(A126,'Source Ledger'!$B$5:$B$200,0)),"")</f>
        <v/>
      </c>
      <c r="P126" s="7">
        <f>IFERROR(INDEX('Source Ledger'!$D$5:$D$200,MATCH(A126,'Source Ledger'!$B$5:$B$200,0)),"")</f>
        <v/>
      </c>
      <c r="Q126" s="9" t="inlineStr">
        <is>
          <t>High</t>
        </is>
      </c>
      <c r="R126" s="7" t="inlineStr">
        <is>
          <t>EX-0155</t>
        </is>
      </c>
      <c r="S126" s="7" t="inlineStr">
        <is>
          <t>Yes</t>
        </is>
      </c>
      <c r="T126">
        <f>IFERROR(INDEX('Source Ledger'!$E$5:$E$200,MATCH(A126,'Source Ledger'!$B$5:$B$200,0)),"")</f>
        <v>655</v>
      </c>
      <c r="U126">
        <f>IFERROR(INDEX('Source Ledger'!$H$5:$H$200,MATCH(A126,'Source Ledger'!$B$5:$B$200,0)),"")</f>
        <v/>
      </c>
      <c r="V126">
        <f>IFERROR(INDEX('Source Ledger'!$G$5:$G$200,MATCH(A126,'Source Ledger'!$B$5:$B$200,0)),"")</f>
        <v>336.15</v>
      </c>
      <c r="W126">
        <f>IF(T126="","",T126-M126)</f>
        <v>0</v>
      </c>
      <c r="X126">
        <f>IF(V126="","No","Yes")</f>
        <v/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Laptop</t>
        </is>
      </c>
      <c r="D127" s="7" t="inlineStr">
        <is>
          <t>Microsoft Surface Laptop 5</t>
        </is>
      </c>
      <c r="E127" s="7" t="n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MD-00123 evidence drawn from PO-2025-0025 / FA-000123. HR/location reading Available/Denver. Move TR-00123. Cost $1,130.</t>
        </is>
      </c>
      <c r="L127" s="7" t="inlineStr">
        <is>
          <t>2026-04-05</t>
        </is>
      </c>
      <c r="M127" s="7" t="n">
        <v>1130</v>
      </c>
      <c r="N127" s="7">
        <f>IFERROR(INDEX('Source Ledger'!$G$5:$G$200,MATCH(A127,'Source Ledger'!$B$5:$B$200,0)),"")</f>
        <v>622.62</v>
      </c>
      <c r="O127" s="7">
        <f>IFERROR(INDEX('Source Ledger'!$A$5:$A$200,MATCH(A127,'Source Ledger'!$B$5:$B$200,0)),"")</f>
        <v/>
      </c>
      <c r="P127" s="7">
        <f>IFERROR(INDEX('Source Ledger'!$D$5:$D$200,MATCH(A127,'Source Ledger'!$B$5:$B$200,0)),"")</f>
        <v/>
      </c>
      <c r="Q127" s="9" t="inlineStr">
        <is>
          <t>High</t>
        </is>
      </c>
      <c r="R127" s="7" t="inlineStr">
        <is>
          <t>EX-0156</t>
        </is>
      </c>
      <c r="S127" s="7" t="inlineStr">
        <is>
          <t>Yes</t>
        </is>
      </c>
      <c r="T127">
        <f>IFERROR(INDEX('Source Ledger'!$E$5:$E$200,MATCH(A127,'Source Ledger'!$B$5:$B$200,0)),"")</f>
        <v>1130</v>
      </c>
      <c r="U127">
        <f>IFERROR(INDEX('Source Ledger'!$H$5:$H$200,MATCH(A127,'Source Ledger'!$B$5:$B$200,0)),"")</f>
        <v/>
      </c>
      <c r="V127">
        <f>IFERROR(INDEX('Source Ledger'!$G$5:$G$200,MATCH(A127,'Source Ledger'!$B$5:$B$200,0)),"")</f>
        <v>622.62</v>
      </c>
      <c r="W127">
        <f>IF(T127="","",T127-M127)</f>
        <v>0</v>
      </c>
      <c r="X127">
        <f>IF(V127="","No","Yes")</f>
        <v/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Laptop</t>
        </is>
      </c>
      <c r="D128" s="7" t="inlineStr">
        <is>
          <t>Lenovo ThinkPad X1 Carbon</t>
        </is>
      </c>
      <c r="E128" s="7" t="n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Working evidence note on MD-00124: Lenovo ThinkPad X1 Carbon; Available @ New York; holder New York; PO-2022-0026; TR-00124; basis $6,425.</t>
        </is>
      </c>
      <c r="L128" s="7" t="inlineStr">
        <is>
          <t>2026-05-06</t>
        </is>
      </c>
      <c r="M128" s="7" t="n">
        <v>6425</v>
      </c>
      <c r="N128" s="7">
        <f>IFERROR(INDEX('Source Ledger'!$G$5:$G$200,MATCH(A128,'Source Ledger'!$B$5:$B$200,0)),"")</f>
        <v>947.26</v>
      </c>
      <c r="O128" s="7">
        <f>IFERROR(INDEX('Source Ledger'!$A$5:$A$200,MATCH(A128,'Source Ledger'!$B$5:$B$200,0)),"")</f>
        <v/>
      </c>
      <c r="P128" s="7">
        <f>IFERROR(INDEX('Source Ledger'!$D$5:$D$200,MATCH(A128,'Source Ledger'!$B$5:$B$200,0)),"")</f>
        <v/>
      </c>
      <c r="Q128" s="9" t="inlineStr">
        <is>
          <t>High</t>
        </is>
      </c>
      <c r="R128" s="7" t="inlineStr">
        <is>
          <t>EX-0157</t>
        </is>
      </c>
      <c r="S128" s="7" t="inlineStr">
        <is>
          <t>Yes</t>
        </is>
      </c>
      <c r="T128">
        <f>IFERROR(INDEX('Source Ledger'!$E$5:$E$200,MATCH(A128,'Source Ledger'!$B$5:$B$200,0)),"")</f>
        <v>6425</v>
      </c>
      <c r="U128">
        <f>IFERROR(INDEX('Source Ledger'!$H$5:$H$200,MATCH(A128,'Source Ledger'!$B$5:$B$200,0)),"")</f>
        <v/>
      </c>
      <c r="V128">
        <f>IFERROR(INDEX('Source Ledger'!$G$5:$G$200,MATCH(A128,'Source Ledger'!$B$5:$B$200,0)),"")</f>
        <v>947.26</v>
      </c>
      <c r="W128">
        <f>IF(T128="","",T128-M128)</f>
        <v>0</v>
      </c>
      <c r="X128">
        <f>IF(V128="","No","Yes")</f>
        <v/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Lenovo ThinkPad T14</t>
        </is>
      </c>
      <c r="E129" s="7" t="n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Cross-checked MD-00125 to source systems. Ledger FA-000125. Move TR-00125. Outcome Available in Seattle ($2,120).</t>
        </is>
      </c>
      <c r="L129" s="7" t="inlineStr">
        <is>
          <t>2026-06-07</t>
        </is>
      </c>
      <c r="M129" s="7" t="n">
        <v>2120</v>
      </c>
      <c r="N129" s="7">
        <f>IFERROR(INDEX('Source Ledger'!$G$5:$G$200,MATCH(A129,'Source Ledger'!$B$5:$B$200,0)),"")</f>
        <v>0</v>
      </c>
      <c r="O129" s="7">
        <f>IFERROR(INDEX('Source Ledger'!$A$5:$A$200,MATCH(A129,'Source Ledger'!$B$5:$B$200,0)),"")</f>
        <v/>
      </c>
      <c r="P129" s="7">
        <f>IFERROR(INDEX('Source Ledger'!$D$5:$D$200,MATCH(A129,'Source Ledger'!$B$5:$B$200,0)),"")</f>
        <v/>
      </c>
      <c r="Q129" s="9" t="inlineStr">
        <is>
          <t>High</t>
        </is>
      </c>
      <c r="R129" s="7" t="inlineStr">
        <is>
          <t>EX-0158</t>
        </is>
      </c>
      <c r="S129" s="7" t="inlineStr">
        <is>
          <t>Yes</t>
        </is>
      </c>
      <c r="T129">
        <f>IFERROR(INDEX('Source Ledger'!$E$5:$E$200,MATCH(A129,'Source Ledger'!$B$5:$B$200,0)),"")</f>
        <v>2120</v>
      </c>
      <c r="U129">
        <f>IFERROR(INDEX('Source Ledger'!$H$5:$H$200,MATCH(A129,'Source Ledger'!$B$5:$B$200,0)),"")</f>
        <v/>
      </c>
      <c r="V129">
        <f>IFERROR(INDEX('Source Ledger'!$G$5:$G$200,MATCH(A129,'Source Ledger'!$B$5:$B$200,0)),"")</f>
        <v>0</v>
      </c>
      <c r="W129">
        <f>IF(T129="","",T129-M129)</f>
        <v>0</v>
      </c>
      <c r="X129">
        <f>IF(V129="","No","Yes")</f>
        <v/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Laptop</t>
        </is>
      </c>
      <c r="D130" s="7" t="inlineStr">
        <is>
          <t>MacBook Pro 14</t>
        </is>
      </c>
      <c r="E130" s="7" t="n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Evidence for MD-00126 is piecewise: inventory cost $520, FA FA-000126, TR TR-00126, HR status Available, site Atlanta.</t>
        </is>
      </c>
      <c r="L130" s="7" t="inlineStr">
        <is>
          <t>2026-01-08</t>
        </is>
      </c>
      <c r="M130" s="7" t="n">
        <v>520</v>
      </c>
      <c r="N130" s="7">
        <f>IFERROR(INDEX('Source Ledger'!$G$5:$G$200,MATCH(A130,'Source Ledger'!$B$5:$B$200,0)),"")</f>
        <v>302.75</v>
      </c>
      <c r="O130" s="7">
        <f>IFERROR(INDEX('Source Ledger'!$A$5:$A$200,MATCH(A130,'Source Ledger'!$B$5:$B$200,0)),"")</f>
        <v/>
      </c>
      <c r="P130" s="7">
        <f>IFERROR(INDEX('Source Ledger'!$D$5:$D$200,MATCH(A130,'Source Ledger'!$B$5:$B$200,0)),"")</f>
        <v/>
      </c>
      <c r="Q130" s="9" t="inlineStr">
        <is>
          <t>High</t>
        </is>
      </c>
      <c r="R130" s="7" t="inlineStr">
        <is>
          <t>EX-0159</t>
        </is>
      </c>
      <c r="S130" s="7" t="inlineStr">
        <is>
          <t>Yes</t>
        </is>
      </c>
      <c r="T130">
        <f>IFERROR(INDEX('Source Ledger'!$E$5:$E$200,MATCH(A130,'Source Ledger'!$B$5:$B$200,0)),"")</f>
        <v>520</v>
      </c>
      <c r="U130">
        <f>IFERROR(INDEX('Source Ledger'!$H$5:$H$200,MATCH(A130,'Source Ledger'!$B$5:$B$200,0)),"")</f>
        <v/>
      </c>
      <c r="V130">
        <f>IFERROR(INDEX('Source Ledger'!$G$5:$G$200,MATCH(A130,'Source Ledger'!$B$5:$B$200,0)),"")</f>
        <v>302.75</v>
      </c>
      <c r="W130">
        <f>IF(T130="","",T130-M130)</f>
        <v>0</v>
      </c>
      <c r="X130">
        <f>IF(V130="","No","Yes")</f>
        <v/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Laptop</t>
        </is>
      </c>
      <c r="D131" s="7" t="inlineStr">
        <is>
          <t>Dell Latitude 7440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Dell Latitude 7440 tagged MD-00127 reconciled using PO-2022-0026+FA-000127+HR. Present state In Use/Denver, cost $995.</t>
        </is>
      </c>
      <c r="L131" s="7" t="inlineStr">
        <is>
          <t>2026-08-05</t>
        </is>
      </c>
      <c r="M131" s="7" t="n">
        <v>995</v>
      </c>
      <c r="N131" s="7">
        <f>IFERROR(INDEX('Source Ledger'!$G$5:$G$200,MATCH(A131,'Source Ledger'!$B$5:$B$200,0)),"")</f>
        <v>662.65</v>
      </c>
      <c r="O131" s="7">
        <f>IFERROR(INDEX('Source Ledger'!$A$5:$A$200,MATCH(A131,'Source Ledger'!$B$5:$B$200,0)),"")</f>
        <v/>
      </c>
      <c r="P131" s="7">
        <f>IFERROR(INDEX('Source Ledger'!$D$5:$D$200,MATCH(A131,'Source Ledger'!$B$5:$B$200,0)),"")</f>
        <v/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Yes</t>
        </is>
      </c>
      <c r="T131">
        <f>IFERROR(INDEX('Source Ledger'!$E$5:$E$200,MATCH(A131,'Source Ledger'!$B$5:$B$200,0)),"")</f>
        <v>995</v>
      </c>
      <c r="U131">
        <f>IFERROR(INDEX('Source Ledger'!$H$5:$H$200,MATCH(A131,'Source Ledger'!$B$5:$B$200,0)),"")</f>
        <v/>
      </c>
      <c r="V131">
        <f>IFERROR(INDEX('Source Ledger'!$G$5:$G$200,MATCH(A131,'Source Ledger'!$B$5:$B$200,0)),"")</f>
        <v>662.65</v>
      </c>
      <c r="W131">
        <f>IF(T131="","",T131-M131)</f>
        <v>0</v>
      </c>
      <c r="X131">
        <f>IF(V131="","No","Yes")</f>
        <v/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Laptop</t>
        </is>
      </c>
      <c r="D132" s="7" t="inlineStr">
        <is>
          <t>HP EliteBook 840 G10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Cross-checked MD-00128 to source systems. Move TR-00128. Outcome In Use in New York ($6,290).</t>
        </is>
      </c>
      <c r="L132" s="7" t="inlineStr">
        <is>
          <t>2026-08-05</t>
        </is>
      </c>
      <c r="M132" s="7" t="n">
        <v>6290</v>
      </c>
      <c r="N132" s="7">
        <f>IFERROR(INDEX('Source Ledger'!$G$5:$G$200,MATCH(A132,'Source Ledger'!$B$5:$B$200,0)),"")</f>
        <v>1364.77</v>
      </c>
      <c r="O132" s="7">
        <f>IFERROR(INDEX('Source Ledger'!$A$5:$A$200,MATCH(A132,'Source Ledger'!$B$5:$B$200,0)),"")</f>
        <v/>
      </c>
      <c r="P132" s="7">
        <f>IFERROR(INDEX('Source Ledger'!$D$5:$D$200,MATCH(A132,'Source Ledger'!$B$5:$B$200,0)),"")</f>
        <v/>
      </c>
      <c r="Q132" s="9" t="inlineStr">
        <is>
          <t>High</t>
        </is>
      </c>
      <c r="R132" s="7" t="inlineStr"/>
      <c r="S132" s="7" t="inlineStr">
        <is>
          <t>No</t>
        </is>
      </c>
      <c r="T132">
        <f>IFERROR(INDEX('Source Ledger'!$E$5:$E$200,MATCH(A132,'Source Ledger'!$B$5:$B$200,0)),"")</f>
        <v>6290</v>
      </c>
      <c r="U132">
        <f>IFERROR(INDEX('Source Ledger'!$H$5:$H$200,MATCH(A132,'Source Ledger'!$B$5:$B$200,0)),"")</f>
        <v/>
      </c>
      <c r="V132">
        <f>IFERROR(INDEX('Source Ledger'!$G$5:$G$200,MATCH(A132,'Source Ledger'!$B$5:$B$200,0)),"")</f>
        <v>1364.77</v>
      </c>
      <c r="W132">
        <f>IF(T132="","",T132-M132)</f>
        <v>0</v>
      </c>
      <c r="X132">
        <f>IF(V132="","No","Yes")</f>
        <v/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Microsoft Surface Laptop 5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Microsoft Surface Laptop 5 tagged MD-00129 reconciled using FA-000129+HR. Present state In Use/Seattle, cost $1,985.</t>
        </is>
      </c>
      <c r="L133" s="7" t="inlineStr">
        <is>
          <t>2026-08-05</t>
        </is>
      </c>
      <c r="M133" s="7" t="n">
        <v>1985</v>
      </c>
      <c r="N133" s="7">
        <f>IFERROR(INDEX('Source Ledger'!$G$5:$G$200,MATCH(A133,'Source Ledger'!$B$5:$B$200,0)),"")</f>
        <v>111.86</v>
      </c>
      <c r="O133" s="7">
        <f>IFERROR(INDEX('Source Ledger'!$A$5:$A$200,MATCH(A133,'Source Ledger'!$B$5:$B$200,0)),"")</f>
        <v/>
      </c>
      <c r="P133" s="7">
        <f>IFERROR(INDEX('Source Ledger'!$D$5:$D$200,MATCH(A133,'Source Ledger'!$B$5:$B$200,0)),"")</f>
        <v/>
      </c>
      <c r="Q133" s="9" t="inlineStr">
        <is>
          <t>High</t>
        </is>
      </c>
      <c r="R133" s="7" t="inlineStr"/>
      <c r="S133" s="7" t="inlineStr">
        <is>
          <t>No</t>
        </is>
      </c>
      <c r="T133">
        <f>IFERROR(INDEX('Source Ledger'!$E$5:$E$200,MATCH(A133,'Source Ledger'!$B$5:$B$200,0)),"")</f>
        <v>1985</v>
      </c>
      <c r="U133">
        <f>IFERROR(INDEX('Source Ledger'!$H$5:$H$200,MATCH(A133,'Source Ledger'!$B$5:$B$200,0)),"")</f>
        <v/>
      </c>
      <c r="V133">
        <f>IFERROR(INDEX('Source Ledger'!$G$5:$G$200,MATCH(A133,'Source Ledger'!$B$5:$B$200,0)),"")</f>
        <v>111.86</v>
      </c>
      <c r="W133">
        <f>IF(T133="","",T133-M133)</f>
        <v>0</v>
      </c>
      <c r="X133">
        <f>IF(V133="","No","Yes")</f>
        <v/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Laptop</t>
        </is>
      </c>
      <c r="D134" s="7" t="inlineStr">
        <is>
          <t>Lenovo ThinkPad T14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For MD-00130, register cost $700 sits beside no FA row . Transfer TR-00130 on file. Verified In Use / Atlanta.</t>
        </is>
      </c>
      <c r="L134" s="7" t="inlineStr">
        <is>
          <t>2026-08-05</t>
        </is>
      </c>
      <c r="M134" s="7" t="n">
        <v>700</v>
      </c>
      <c r="N134" s="7">
        <f>IFERROR(INDEX('Source Ledger'!$G$5:$G$200,MATCH(A134,'Source Ledger'!$B$5:$B$200,0)),"")</f>
        <v/>
      </c>
      <c r="O134" s="7">
        <f>IFERROR(INDEX('Source Ledger'!$A$5:$A$200,MATCH(A134,'Source Ledger'!$B$5:$B$200,0)),"")</f>
        <v/>
      </c>
      <c r="P134" s="7">
        <f>IFERROR(INDEX('Source Ledger'!$D$5:$D$200,MATCH(A134,'Source Ledger'!$B$5:$B$200,0)),"")</f>
        <v/>
      </c>
      <c r="Q134" s="9" t="inlineStr">
        <is>
          <t>High</t>
        </is>
      </c>
      <c r="R134" s="7" t="inlineStr">
        <is>
          <t>EX-0161</t>
        </is>
      </c>
      <c r="S134" s="7" t="inlineStr">
        <is>
          <t>Yes</t>
        </is>
      </c>
      <c r="T134">
        <f>IFERROR(INDEX('Source Ledger'!$E$5:$E$200,MATCH(A134,'Source Ledger'!$B$5:$B$200,0)),"")</f>
        <v/>
      </c>
      <c r="U134">
        <f>IFERROR(INDEX('Source Ledger'!$H$5:$H$200,MATCH(A134,'Source Ledger'!$B$5:$B$200,0)),"")</f>
        <v/>
      </c>
      <c r="V134">
        <f>IFERROR(INDEX('Source Ledger'!$G$5:$G$200,MATCH(A134,'Source Ledger'!$B$5:$B$200,0)),"")</f>
        <v/>
      </c>
      <c r="W134">
        <f>IF(T134="","",T134-M134)</f>
        <v/>
      </c>
      <c r="X134">
        <f>IF(V134="","No","Yes")</f>
        <v/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Laptop</t>
        </is>
      </c>
      <c r="D135" s="7" t="inlineStr">
        <is>
          <t>MacBook Pro 14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MacBook Pro 14 tagged MD-00131 reconciled using PO-2023-0023+HR. Present state In Use/Chicago, cost $1,175.</t>
        </is>
      </c>
      <c r="L135" s="7" t="inlineStr">
        <is>
          <t>2026-08-05</t>
        </is>
      </c>
      <c r="M135" s="7" t="n">
        <v>1175</v>
      </c>
      <c r="N135" s="7">
        <f>IFERROR(INDEX('Source Ledger'!$G$5:$G$200,MATCH(A135,'Source Ledger'!$B$5:$B$200,0)),"")</f>
        <v/>
      </c>
      <c r="O135" s="7">
        <f>IFERROR(INDEX('Source Ledger'!$A$5:$A$200,MATCH(A135,'Source Ledger'!$B$5:$B$200,0)),"")</f>
        <v/>
      </c>
      <c r="P135" s="7">
        <f>IFERROR(INDEX('Source Ledger'!$D$5:$D$200,MATCH(A135,'Source Ledger'!$B$5:$B$200,0)),"")</f>
        <v/>
      </c>
      <c r="Q135" s="9" t="inlineStr">
        <is>
          <t>High</t>
        </is>
      </c>
      <c r="R135" s="7" t="inlineStr">
        <is>
          <t>EX-0162</t>
        </is>
      </c>
      <c r="S135" s="7" t="inlineStr">
        <is>
          <t>Yes</t>
        </is>
      </c>
      <c r="T135">
        <f>IFERROR(INDEX('Source Ledger'!$E$5:$E$200,MATCH(A135,'Source Ledger'!$B$5:$B$200,0)),"")</f>
        <v/>
      </c>
      <c r="U135">
        <f>IFERROR(INDEX('Source Ledger'!$H$5:$H$200,MATCH(A135,'Source Ledger'!$B$5:$B$200,0)),"")</f>
        <v/>
      </c>
      <c r="V135">
        <f>IFERROR(INDEX('Source Ledger'!$G$5:$G$200,MATCH(A135,'Source Ledger'!$B$5:$B$200,0)),"")</f>
        <v/>
      </c>
      <c r="W135">
        <f>IF(T135="","",T135-M135)</f>
        <v/>
      </c>
      <c r="X135">
        <f>IF(V135="","No","Yes")</f>
        <v/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Laptop</t>
        </is>
      </c>
      <c r="D136" s="7" t="inlineStr">
        <is>
          <t>Dell Latitude 7440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Validated MD-00132 against available PO/FA/HR/transfer rows. Model Dell Latitude 7440. Sharon Quinlan (E0066) shows In Use in Dallas. Acquisition $6,470.</t>
        </is>
      </c>
      <c r="L136" s="7" t="inlineStr">
        <is>
          <t>2026-08-05</t>
        </is>
      </c>
      <c r="M136" s="7" t="n">
        <v>6470</v>
      </c>
      <c r="N136" s="7">
        <f>IFERROR(INDEX('Source Ledger'!$G$5:$G$200,MATCH(A136,'Source Ledger'!$B$5:$B$200,0)),"")</f>
        <v/>
      </c>
      <c r="O136" s="7">
        <f>IFERROR(INDEX('Source Ledger'!$A$5:$A$200,MATCH(A136,'Source Ledger'!$B$5:$B$200,0)),"")</f>
        <v/>
      </c>
      <c r="P136" s="7">
        <f>IFERROR(INDEX('Source Ledger'!$D$5:$D$200,MATCH(A136,'Source Ledger'!$B$5:$B$200,0)),"")</f>
        <v/>
      </c>
      <c r="Q136" s="9" t="inlineStr">
        <is>
          <t>High</t>
        </is>
      </c>
      <c r="R136" s="7" t="inlineStr">
        <is>
          <t>EX-0163</t>
        </is>
      </c>
      <c r="S136" s="7" t="inlineStr">
        <is>
          <t>Yes</t>
        </is>
      </c>
      <c r="T136">
        <f>IFERROR(INDEX('Source Ledger'!$E$5:$E$200,MATCH(A136,'Source Ledger'!$B$5:$B$200,0)),"")</f>
        <v/>
      </c>
      <c r="U136">
        <f>IFERROR(INDEX('Source Ledger'!$H$5:$H$200,MATCH(A136,'Source Ledger'!$B$5:$B$200,0)),"")</f>
        <v/>
      </c>
      <c r="V136">
        <f>IFERROR(INDEX('Source Ledger'!$G$5:$G$200,MATCH(A136,'Source Ledger'!$B$5:$B$200,0)),"")</f>
        <v/>
      </c>
      <c r="W136">
        <f>IF(T136="","",T136-M136)</f>
        <v/>
      </c>
      <c r="X136">
        <f>IF(V136="","No","Yes")</f>
        <v/>
      </c>
    </row>
    <row r="137"/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Difference",IF(IFERROR(XLOOKUP(D5,'Source Ledger'!$B$5:$B$200,'Source Ledger'!$H$5:$H$200),"")="Disposed",IFERROR(XLOOKUP(D5,'Source Ledger'!$B$5:$B$200,'Source Ledger'!$G$5:$G$200),0),IF(IFERROR(XLOOKUP(D5,'Source Ledger'!$B$5:$B$200,'Source Ledger'!$E$5:$E$200),"")="",IFERROR(XLOOKUP(D5,'Corrected Register'!$A$5:$A$200,'Corrected Register'!$M$5:$M$200),0),ABS(IFERROR(XLOOKUP(D5,'Source Ledger'!$B$5:$B$200,'Source Ledger'!$E$5:$E$200),0)-IFERROR(XLOOKUP(D5,'Corrected Register'!$A$5:$A$200,'Corrected Register'!$M$5:$M$200),0)))),IFERROR(XLOOKUP(D5,'Corrected Register'!$A$5:$A$200,'Corrected Register'!$N$5:$N$200),0))</f>
        <v/>
      </c>
      <c r="H5" s="7" t="inlineStr">
        <is>
          <t>Finance Controller: clear over-depreciation and cost basis on FA-000017 /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PO-2025-0004 supports register $1,985 on MD-00017; FA-000017 carries $2,070 and $2,160 accumulated depreciation ( $90 above the ledger acquisition line).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on MD-00021; Employee ID:E0021; Transfer ID:TR-00021; Ticket ID:None; PO Number:PO-2022-0005; Tracking Number:None; Serial:MD-LA-050021; AlsoTagged:MD-00021,MD-00025</t>
        </is>
      </c>
      <c r="G6" s="7">
        <f>IF(B6="Inventory-to-Ledger Difference",IF(IFERROR(XLOOKUP(D6,'Source Ledger'!$B$5:$B$200,'Source Ledger'!$H$5:$H$200),"")="Disposed",IFERROR(XLOOKUP(D6,'Source Ledger'!$B$5:$B$200,'Source Ledger'!$G$5:$G$200),0),IF(IFERROR(XLOOKUP(D6,'Source Ledger'!$B$5:$B$200,'Source Ledger'!$E$5:$E$200),"")="",IFERROR(XLOOKUP(D6,'Corrected Register'!$A$5:$A$200,'Corrected Register'!$M$5:$M$200),0),ABS(IFERROR(XLOOKUP(D6,'Source Ledger'!$B$5:$B$200,'Source Ledger'!$E$5:$E$200),0)-IFERROR(XLOOKUP(D6,'Corrected Register'!$A$5:$A$200,'Corrected Register'!$M$5:$M$200),0)))),IFERROR(XLOOKUP(D6,'Corrected Register'!$A$5:$A$200,'Corrected Register'!$N$5:$N$200),0))</f>
        <v/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is shared by MD-00021 and MD-00021,MD-00025; bench validation and retag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Ledger'!$B$5:$B$200,'Source Ledger'!$H$5:$H$200),"")="Disposed",IFERROR(XLOOKUP(D7,'Source Ledger'!$B$5:$B$200,'Source Ledger'!$G$5:$G$200),0),IF(IFERROR(XLOOKUP(D7,'Source Ledger'!$B$5:$B$200,'Source Ledger'!$E$5:$E$200),"")="",IFERROR(XLOOKUP(D7,'Corrected Register'!$A$5:$A$200,'Corrected Register'!$M$5:$M$200),0),ABS(IFERROR(XLOOKUP(D7,'Source Ledger'!$B$5:$B$200,'Source Ledger'!$E$5:$E$200),0)-IFERROR(XLOOKUP(D7,'Corrected Register'!$A$5:$A$200,'Corrected Register'!$M$5:$M$200),0)))),IFERROR(XLOOKUP(D7,'Corrected Register'!$A$5:$A$200,'Corrected Register'!$N$5:$N$200),0))</f>
        <v/>
      </c>
      <c r="H7" s="7" t="inlineStr">
        <is>
          <t>Finish EX-0003 only after MD-00025 shows Chicago.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Inventory still advertises Denver - Closed for MD-00025 even though inbound TR-00025 and live ops both say Chicago. Remediate under EX-0003.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on MD-00025; Employee ID:E0025; Transfer ID:TR-00025; Ticket ID:None; PO Number:PO-2022-0005; Tracking Number:None; Serial:MD-LA-050021; AlsoTagged:MD-00021,MD-00025</t>
        </is>
      </c>
      <c r="G8" s="7">
        <f>IF(B8="Inventory-to-Ledger Difference",IF(IFERROR(XLOOKUP(D8,'Source Ledger'!$B$5:$B$200,'Source Ledger'!$H$5:$H$200),"")="Disposed",IFERROR(XLOOKUP(D8,'Source Ledger'!$B$5:$B$200,'Source Ledger'!$G$5:$G$200),0),IF(IFERROR(XLOOKUP(D8,'Source Ledger'!$B$5:$B$200,'Source Ledger'!$E$5:$E$200),"")="",IFERROR(XLOOKUP(D8,'Corrected Register'!$A$5:$A$200,'Corrected Register'!$M$5:$M$200),0),ABS(IFERROR(XLOOKUP(D8,'Source Ledger'!$B$5:$B$200,'Source Ledger'!$E$5:$E$200),0)-IFERROR(XLOOKUP(D8,'Corrected Register'!$A$5:$A$200,'Corrected Register'!$M$5:$M$200),0)))),IFERROR(XLOOKUP(D8,'Corrected Register'!$A$5:$A$200,'Corrected Register'!$N$5:$N$200),0))</f>
        <v/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is shared by MD-00025 and MD-00021,MD-00025; bench validation and retag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Ledger'!$B$5:$B$200,'Source Ledger'!$H$5:$H$200),"")="Disposed",IFERROR(XLOOKUP(D9,'Source Ledger'!$B$5:$B$200,'Source Ledger'!$G$5:$G$200),0),IF(IFERROR(XLOOKUP(D9,'Source Ledger'!$B$5:$B$200,'Source Ledger'!$E$5:$E$200),"")="",IFERROR(XLOOKUP(D9,'Corrected Register'!$A$5:$A$200,'Corrected Register'!$M$5:$M$200),0),ABS(IFERROR(XLOOKUP(D9,'Source Ledger'!$B$5:$B$200,'Source Ledger'!$E$5:$E$200),0)-IFERROR(XLOOKUP(D9,'Corrected Register'!$A$5:$A$200,'Corrected Register'!$M$5:$M$200),0)))),IFERROR(XLOOKUP(D9,'Corrected Register'!$A$5:$A$200,'Corrected Register'!$N$5:$N$200),0))</f>
        <v/>
      </c>
      <c r="H9" s="7" t="inlineStr">
        <is>
          <t>IT Asset Specialist should post Dallas on MD-00026 and retire Chicago - Closed (EX-0005).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Current extract shows leftover Chicago - Closed for MD-00026 (MD-MO-050026). Device stabilized in Dallas; TR-00026 already completed. Queue item EX-0005.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Ledger'!$B$5:$B$200,'Source Ledger'!$H$5:$H$200),"")="Disposed",IFERROR(XLOOKUP(D10,'Source Ledger'!$B$5:$B$200,'Source Ledger'!$G$5:$G$200),0),IF(IFERROR(XLOOKUP(D10,'Source Ledger'!$B$5:$B$200,'Source Ledger'!$E$5:$E$200),"")="",IFERROR(XLOOKUP(D10,'Corrected Register'!$A$5:$A$200,'Corrected Register'!$M$5:$M$200),0),ABS(IFERROR(XLOOKUP(D10,'Source Ledger'!$B$5:$B$200,'Source Ledger'!$E$5:$E$200),0)-IFERROR(XLOOKUP(D10,'Corrected Register'!$A$5:$A$200,'Corrected Register'!$M$5:$M$200),0)))),IFERROR(XLOOKUP(D10,'Corrected Register'!$A$5:$A$200,'Corrected Register'!$N$5:$N$200),0))</f>
        <v/>
      </c>
      <c r="H10" s="7" t="inlineStr">
        <is>
          <t>Finish EX-0006 only after MD-00027 shows Denver.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Do not read Denver - Closed as current for MD-00027. The asset is staged in Denver. Supporting transfer TR-00027; exception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Ledger'!$B$5:$B$200,'Source Ledger'!$H$5:$H$200),"")="Disposed",IFERROR(XLOOKUP(D11,'Source Ledger'!$B$5:$B$200,'Source Ledger'!$G$5:$G$200),0),IF(IFERROR(XLOOKUP(D11,'Source Ledger'!$B$5:$B$200,'Source Ledger'!$E$5:$E$200),"")="",IFERROR(XLOOKUP(D11,'Corrected Register'!$A$5:$A$200,'Corrected Register'!$M$5:$M$200),0),ABS(IFERROR(XLOOKUP(D11,'Source Ledger'!$B$5:$B$200,'Source Ledger'!$E$5:$E$200),0)-IFERROR(XLOOKUP(D11,'Corrected Register'!$A$5:$A$200,'Corrected Register'!$M$5:$M$200),0)))),IFERROR(XLOOKUP(D11,'Corrected Register'!$A$5:$A$200,'Corrected Register'!$N$5:$N$200),0))</f>
        <v/>
      </c>
      <c r="H11" s="7" t="inlineStr">
        <is>
          <t>EX-0007: IT Asset Specialist replaces Chicago - Closed with New York on MD-00028.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Chicago - Closed on MD-00028 is leftover coding. Footprint = New York. Move = TR-00028. Fix queue = EX-0007.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Ledger'!$B$5:$B$200,'Source Ledger'!$H$5:$H$200),"")="Disposed",IFERROR(XLOOKUP(D12,'Source Ledger'!$B$5:$B$200,'Source Ledger'!$G$5:$G$200),0),IF(IFERROR(XLOOKUP(D12,'Source Ledger'!$B$5:$B$200,'Source Ledger'!$E$5:$E$200),"")="",IFERROR(XLOOKUP(D12,'Corrected Register'!$A$5:$A$200,'Corrected Register'!$M$5:$M$200),0),ABS(IFERROR(XLOOKUP(D12,'Source Ledger'!$B$5:$B$200,'Source Ledger'!$E$5:$E$200),0)-IFERROR(XLOOKUP(D12,'Corrected Register'!$A$5:$A$200,'Corrected Register'!$M$5:$M$200),0)))),IFERROR(XLOOKUP(D12,'Corrected Register'!$A$5:$A$200,'Corrected Register'!$N$5:$N$200),0))</f>
        <v/>
      </c>
      <c r="H12" s="7" t="inlineStr">
        <is>
          <t>Finish EX-0008 only after MD-00029 shows Seattle.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Live site for MD-00029 is Seattle. System text still has Denver - Closed. That is a hygiene defect, not a custody mystery — TR-00029 already moved the asset (EX-0008).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Ledger'!$B$5:$B$200,'Source Ledger'!$H$5:$H$200),"")="Disposed",IFERROR(XLOOKUP(D13,'Source Ledger'!$B$5:$B$200,'Source Ledger'!$G$5:$G$200),0),IF(IFERROR(XLOOKUP(D13,'Source Ledger'!$B$5:$B$200,'Source Ledger'!$E$5:$E$200),"")="",IFERROR(XLOOKUP(D13,'Corrected Register'!$A$5:$A$200,'Corrected Register'!$M$5:$M$200),0),ABS(IFERROR(XLOOKUP(D13,'Source Ledger'!$B$5:$B$200,'Source Ledger'!$E$5:$E$200),0)-IFERROR(XLOOKUP(D13,'Corrected Register'!$A$5:$A$200,'Corrected Register'!$M$5:$M$200),0)))),IFERROR(XLOOKUP(D13,'Corrected Register'!$A$5:$A$200,'Corrected Register'!$N$5:$N$200),0))</f>
        <v/>
      </c>
      <c r="H13" s="7" t="inlineStr">
        <is>
          <t>IT Asset Specialist should post Atlanta on MD-00030 and retire Chicago - Closed (EX-0009).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IT review of MD-00030: closed label Chicago - Closed vs working city Atlanta. Transfer reference TR-00030. Exception EX-0009.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Ledger'!$B$5:$B$200,'Source Ledger'!$H$5:$H$200),"")="Disposed",IFERROR(XLOOKUP(D14,'Source Ledger'!$B$5:$B$200,'Source Ledger'!$G$5:$G$200),0),IF(IFERROR(XLOOKUP(D14,'Source Ledger'!$B$5:$B$200,'Source Ledger'!$E$5:$E$200),"")="",IFERROR(XLOOKUP(D14,'Corrected Register'!$A$5:$A$200,'Corrected Register'!$M$5:$M$200),0),ABS(IFERROR(XLOOKUP(D14,'Source Ledger'!$B$5:$B$200,'Source Ledger'!$E$5:$E$200),0)-IFERROR(XLOOKUP(D14,'Corrected Register'!$A$5:$A$200,'Corrected Register'!$M$5:$M$200),0)))),IFERROR(XLOOKUP(D14,'Corrected Register'!$A$5:$A$200,'Corrected Register'!$N$5:$N$200),0))</f>
        <v/>
      </c>
      <c r="H14" s="7" t="inlineStr">
        <is>
          <t>Finish EX-0010 only after MD-00031 shows Chicago.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Live site for MD-00031 is Chicago. System text still has Denver - Closed. That is a hygiene defect, not a custody mystery — TR-00031 already moved the asset (EX-0010).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Ledger'!$B$5:$B$200,'Source Ledger'!$H$5:$H$200),"")="Disposed",IFERROR(XLOOKUP(D15,'Source Ledger'!$B$5:$B$200,'Source Ledger'!$G$5:$G$200),0),IF(IFERROR(XLOOKUP(D15,'Source Ledger'!$B$5:$B$200,'Source Ledger'!$E$5:$E$200),"")="",IFERROR(XLOOKUP(D15,'Corrected Register'!$A$5:$A$200,'Corrected Register'!$M$5:$M$200),0),ABS(IFERROR(XLOOKUP(D15,'Source Ledger'!$B$5:$B$200,'Source Ledger'!$E$5:$E$200),0)-IFERROR(XLOOKUP(D15,'Corrected Register'!$A$5:$A$200,'Corrected Register'!$M$5:$M$200),0)))),IFERROR(XLOOKUP(D15,'Corrected Register'!$A$5:$A$200,'Corrected Register'!$N$5:$N$200),0))</f>
        <v/>
      </c>
      <c r="H15" s="7" t="inlineStr">
        <is>
          <t>IT Asset Specialist should post Dallas on MD-00032 and retire Chicago - Closed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IT review of MD-00032: closed label Chicago - Closed vs working city Dallas. Transfer reference TR-00032. Exception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Ledger'!$B$5:$B$200,'Source Ledger'!$H$5:$H$200),"")="Disposed",IFERROR(XLOOKUP(D16,'Source Ledger'!$B$5:$B$200,'Source Ledger'!$G$5:$G$200),0),IF(IFERROR(XLOOKUP(D16,'Source Ledger'!$B$5:$B$200,'Source Ledger'!$E$5:$E$200),"")="",IFERROR(XLOOKUP(D16,'Corrected Register'!$A$5:$A$200,'Corrected Register'!$M$5:$M$200),0),ABS(IFERROR(XLOOKUP(D16,'Source Ledger'!$B$5:$B$200,'Source Ledger'!$E$5:$E$200),0)-IFERROR(XLOOKUP(D16,'Corrected Register'!$A$5:$A$200,'Corrected Register'!$M$5:$M$200),0)))),IFERROR(XLOOKUP(D16,'Corrected Register'!$A$5:$A$200,'Corrected Register'!$N$5:$N$200),0))</f>
        <v/>
      </c>
      <c r="H16" s="7" t="inlineStr">
        <is>
          <t>Location edit on MD-00033: Denver - Closed → Denver. Owner IT Asset Specialist. Ref EX-0012.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EX-0012 opened when register location for MD-00033 failed to leave Denver - Closed after consolidation into Denver (TR-00033).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Ledger'!$B$5:$B$200,'Source Ledger'!$H$5:$H$200),"")="Disposed",IFERROR(XLOOKUP(D17,'Source Ledger'!$B$5:$B$200,'Source Ledger'!$G$5:$G$200),0),IF(IFERROR(XLOOKUP(D17,'Source Ledger'!$B$5:$B$200,'Source Ledger'!$E$5:$E$200),"")="",IFERROR(XLOOKUP(D17,'Corrected Register'!$A$5:$A$200,'Corrected Register'!$M$5:$M$200),0),ABS(IFERROR(XLOOKUP(D17,'Source Ledger'!$B$5:$B$200,'Source Ledger'!$E$5:$E$200),0)-IFERROR(XLOOKUP(D17,'Corrected Register'!$A$5:$A$200,'Corrected Register'!$M$5:$M$200),0)))),IFERROR(XLOOKUP(D17,'Corrected Register'!$A$5:$A$200,'Corrected Register'!$N$5:$N$200),0))</f>
        <v/>
      </c>
      <c r="H17" s="7" t="inlineStr">
        <is>
          <t>Finish EX-0013 only after MD-00034 shows New York.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Inventory still advertises Chicago - Closed for MD-00034 even though inbound TR-00034 and live ops both say New York. Remediate under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Difference",IF(IFERROR(XLOOKUP(D18,'Source Ledger'!$B$5:$B$200,'Source Ledger'!$H$5:$H$200),"")="Disposed",IFERROR(XLOOKUP(D18,'Source Ledger'!$B$5:$B$200,'Source Ledger'!$G$5:$G$200),0),IF(IFERROR(XLOOKUP(D18,'Source Ledger'!$B$5:$B$200,'Source Ledger'!$E$5:$E$200),"")="",IFERROR(XLOOKUP(D18,'Corrected Register'!$A$5:$A$200,'Corrected Register'!$M$5:$M$200),0),ABS(IFERROR(XLOOKUP(D18,'Source Ledger'!$B$5:$B$200,'Source Ledger'!$E$5:$E$200),0)-IFERROR(XLOOKUP(D18,'Corrected Register'!$A$5:$A$200,'Corrected Register'!$M$5:$M$200),0)))),IFERROR(XLOOKUP(D18,'Corrected Register'!$A$5:$A$200,'Corrected Register'!$N$5:$N$200),0))</f>
        <v/>
      </c>
      <c r="H18" s="7" t="inlineStr">
        <is>
          <t>Finance: tie register $790 to ledger $930 on FA-000034 and confirm NBV $479.88.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PO-2024-0007 and FA-000034 disagree on basis for MD-00034: register $790 vs ledger $930. Ledger NBV on FA-000034 is $479.88 ($930 − $450.12 accumulated depreciation).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Ledger'!$B$5:$B$200,'Source Ledger'!$H$5:$H$200),"")="Disposed",IFERROR(XLOOKUP(D19,'Source Ledger'!$B$5:$B$200,'Source Ledger'!$G$5:$G$200),0),IF(IFERROR(XLOOKUP(D19,'Source Ledger'!$B$5:$B$200,'Source Ledger'!$E$5:$E$200),"")="",IFERROR(XLOOKUP(D19,'Corrected Register'!$A$5:$A$200,'Corrected Register'!$M$5:$M$200),0),ABS(IFERROR(XLOOKUP(D19,'Source Ledger'!$B$5:$B$200,'Source Ledger'!$E$5:$E$200),0)-IFERROR(XLOOKUP(D19,'Corrected Register'!$A$5:$A$200,'Corrected Register'!$M$5:$M$200),0)))),IFERROR(XLOOKUP(D19,'Corrected Register'!$A$5:$A$200,'Corrected Register'!$N$5:$N$200),0))</f>
        <v/>
      </c>
      <c r="H19" s="7" t="inlineStr">
        <is>
          <t>Finish EX-0015 only after MD-00035 shows Seattle.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Live site for MD-00035 is Seattle. System text still has Denver - Closed. That is a hygiene defect, not a custody mystery — TR-00035 already moved the asset (EX-0015).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Ledger'!$B$5:$B$200,'Source Ledger'!$H$5:$H$200),"")="Disposed",IFERROR(XLOOKUP(D20,'Source Ledger'!$B$5:$B$200,'Source Ledger'!$G$5:$G$200),0),IF(IFERROR(XLOOKUP(D20,'Source Ledger'!$B$5:$B$200,'Source Ledger'!$E$5:$E$200),"")="",IFERROR(XLOOKUP(D20,'Corrected Register'!$A$5:$A$200,'Corrected Register'!$M$5:$M$200),0),ABS(IFERROR(XLOOKUP(D20,'Source Ledger'!$B$5:$B$200,'Source Ledger'!$E$5:$E$200),0)-IFERROR(XLOOKUP(D20,'Corrected Register'!$A$5:$A$200,'Corrected Register'!$M$5:$M$200),0)))),IFERROR(XLOOKUP(D20,'Corrected Register'!$A$5:$A$200,'Corrected Register'!$N$5:$N$200),0))</f>
        <v/>
      </c>
      <c r="H20" s="7" t="inlineStr">
        <is>
          <t>IT Asset Specialist should post Atlanta on MD-00036 and retire Chicago - Closed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Extract vs reality on MD-00036: extract=Chicago - Closed, reality=Atlanta, transfer=TR-00036, exception=EX-0016, serial=MD-NE-050036.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Ledger'!$B$5:$B$200,'Source Ledger'!$H$5:$H$200),"")="Disposed",IFERROR(XLOOKUP(D21,'Source Ledger'!$B$5:$B$200,'Source Ledger'!$G$5:$G$200),0),IF(IFERROR(XLOOKUP(D21,'Source Ledger'!$B$5:$B$200,'Source Ledger'!$E$5:$E$200),"")="",IFERROR(XLOOKUP(D21,'Corrected Register'!$A$5:$A$200,'Corrected Register'!$M$5:$M$200),0),ABS(IFERROR(XLOOKUP(D21,'Source Ledger'!$B$5:$B$200,'Source Ledger'!$E$5:$E$200),0)-IFERROR(XLOOKUP(D21,'Corrected Register'!$A$5:$A$200,'Corrected Register'!$M$5:$M$200),0)))),IFERROR(XLOOKUP(D21,'Corrected Register'!$A$5:$A$200,'Corrected Register'!$N$5:$N$200),0))</f>
        <v/>
      </c>
      <c r="H21" s="7" t="inlineStr">
        <is>
          <t>EX-0017: IT Asset Specialist replaces Denver - Closed with Chicago on MD-00037.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Location field debt on MD-00037: retire Denver - Closed, recognize Chicago. Evidence of move is TR-00037. Work item EX-0017.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Ledger'!$B$5:$B$200,'Source Ledger'!$H$5:$H$200),"")="Disposed",IFERROR(XLOOKUP(D22,'Source Ledger'!$B$5:$B$200,'Source Ledger'!$G$5:$G$200),0),IF(IFERROR(XLOOKUP(D22,'Source Ledger'!$B$5:$B$200,'Source Ledger'!$E$5:$E$200),"")="",IFERROR(XLOOKUP(D22,'Corrected Register'!$A$5:$A$200,'Corrected Register'!$M$5:$M$200),0),ABS(IFERROR(XLOOKUP(D22,'Source Ledger'!$B$5:$B$200,'Source Ledger'!$E$5:$E$200),0)-IFERROR(XLOOKUP(D22,'Corrected Register'!$A$5:$A$200,'Corrected Register'!$M$5:$M$200),0)))),IFERROR(XLOOKUP(D22,'Corrected Register'!$A$5:$A$200,'Corrected Register'!$N$5:$N$200),0))</f>
        <v/>
      </c>
      <c r="H22" s="7" t="inlineStr">
        <is>
          <t>EX-0018: IT Asset Specialist replaces Chicago - Closed with Dallas on MD-00038.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Location field debt on MD-00038: retire Chicago - Closed, recognize Dallas. Evidence of move is TR-00038. Work item EX-0018.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Ledger'!$B$5:$B$200,'Source Ledger'!$H$5:$H$200),"")="Disposed",IFERROR(XLOOKUP(D23,'Source Ledger'!$B$5:$B$200,'Source Ledger'!$G$5:$G$200),0),IF(IFERROR(XLOOKUP(D23,'Source Ledger'!$B$5:$B$200,'Source Ledger'!$E$5:$E$200),"")="",IFERROR(XLOOKUP(D23,'Corrected Register'!$A$5:$A$200,'Corrected Register'!$M$5:$M$200),0),ABS(IFERROR(XLOOKUP(D23,'Source Ledger'!$B$5:$B$200,'Source Ledger'!$E$5:$E$200),0)-IFERROR(XLOOKUP(D23,'Corrected Register'!$A$5:$A$200,'Corrected Register'!$M$5:$M$200),0)))),IFERROR(XLOOKUP(D23,'Corrected Register'!$A$5:$A$200,'Corrected Register'!$N$5:$N$200),0))</f>
        <v/>
      </c>
      <c r="H23" s="7" t="inlineStr">
        <is>
          <t>EX-0019: IT Asset Specialist replaces Denver - Closed with Denver on MD-00039.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Location field debt on MD-00039: retire Denver - Closed, recognize Denver. Evidence of move is TR-00039. Work item EX-0019.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Ledger'!$B$5:$B$200,'Source Ledger'!$H$5:$H$200),"")="Disposed",IFERROR(XLOOKUP(D24,'Source Ledger'!$B$5:$B$200,'Source Ledger'!$G$5:$G$200),0),IF(IFERROR(XLOOKUP(D24,'Source Ledger'!$B$5:$B$200,'Source Ledger'!$E$5:$E$200),"")="",IFERROR(XLOOKUP(D24,'Corrected Register'!$A$5:$A$200,'Corrected Register'!$M$5:$M$200),0),ABS(IFERROR(XLOOKUP(D24,'Source Ledger'!$B$5:$B$200,'Source Ledger'!$E$5:$E$200),0)-IFERROR(XLOOKUP(D24,'Corrected Register'!$A$5:$A$200,'Corrected Register'!$M$5:$M$200),0)))),IFERROR(XLOOKUP(D24,'Corrected Register'!$A$5:$A$200,'Corrected Register'!$N$5:$N$200),0))</f>
        <v/>
      </c>
      <c r="H24" s="7" t="inlineStr">
        <is>
          <t>IT Asset Specialist should post New York on MD-00040 and retire Chicago - Closed (EX-0020).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Extract vs reality on MD-00040: extract=Chicago - Closed, reality=New York, transfer=TR-00040, exception=EX-0020, serial=MD-NE-050040.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Ledger'!$B$5:$B$200,'Source Ledger'!$H$5:$H$200),"")="Disposed",IFERROR(XLOOKUP(D25,'Source Ledger'!$B$5:$B$200,'Source Ledger'!$G$5:$G$200),0),IF(IFERROR(XLOOKUP(D25,'Source Ledger'!$B$5:$B$200,'Source Ledger'!$E$5:$E$200),"")="",IFERROR(XLOOKUP(D25,'Corrected Register'!$A$5:$A$200,'Corrected Register'!$M$5:$M$200),0),ABS(IFERROR(XLOOKUP(D25,'Source Ledger'!$B$5:$B$200,'Source Ledger'!$E$5:$E$200),0)-IFERROR(XLOOKUP(D25,'Corrected Register'!$A$5:$A$200,'Corrected Register'!$M$5:$M$200),0)))),IFERROR(XLOOKUP(D25,'Corrected Register'!$A$5:$A$200,'Corrected Register'!$N$5:$N$200),0))</f>
        <v/>
      </c>
      <c r="H25" s="7" t="inlineStr">
        <is>
          <t>IT Asset Specialist should post Seattle on MD-00041 and retire Denver - Closed (EX-0021).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Extract vs reality on MD-00041: extract=Denver - Closed, reality=Seattle, transfer=TR-00041, exception=EX-0021, serial=MD-LA-050041.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Ledger'!$B$5:$B$200,'Source Ledger'!$H$5:$H$200),"")="Disposed",IFERROR(XLOOKUP(D26,'Source Ledger'!$B$5:$B$200,'Source Ledger'!$G$5:$G$200),0),IF(IFERROR(XLOOKUP(D26,'Source Ledger'!$B$5:$B$200,'Source Ledger'!$E$5:$E$200),"")="",IFERROR(XLOOKUP(D26,'Corrected Register'!$A$5:$A$200,'Corrected Register'!$M$5:$M$200),0),ABS(IFERROR(XLOOKUP(D26,'Source Ledger'!$B$5:$B$200,'Source Ledger'!$E$5:$E$200),0)-IFERROR(XLOOKUP(D26,'Corrected Register'!$A$5:$A$200,'Corrected Register'!$M$5:$M$200),0)))),IFERROR(XLOOKUP(D26,'Corrected Register'!$A$5:$A$200,'Corrected Register'!$N$5:$N$200),0))</f>
        <v/>
      </c>
      <c r="H26" s="7" t="inlineStr">
        <is>
          <t>Location edit on MD-00042: Chicago - Closed → Atlanta. Owner IT Asset Specialist. Ref EX-0022.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EX-0022 opened when register location for MD-00042 failed to leave Chicago - Closed after consolidation into Atlanta (TR-00042).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Ledger'!$B$5:$B$200,'Source Ledger'!$H$5:$H$200),"")="Disposed",IFERROR(XLOOKUP(D27,'Source Ledger'!$B$5:$B$200,'Source Ledger'!$G$5:$G$200),0),IF(IFERROR(XLOOKUP(D27,'Source Ledger'!$B$5:$B$200,'Source Ledger'!$E$5:$E$200),"")="",IFERROR(XLOOKUP(D27,'Corrected Register'!$A$5:$A$200,'Corrected Register'!$M$5:$M$200),0),ABS(IFERROR(XLOOKUP(D27,'Source Ledger'!$B$5:$B$200,'Source Ledger'!$E$5:$E$200),0)-IFERROR(XLOOKUP(D27,'Corrected Register'!$A$5:$A$200,'Corrected Register'!$M$5:$M$200),0)))),IFERROR(XLOOKUP(D27,'Corrected Register'!$A$5:$A$200,'Corrected Register'!$N$5:$N$200),0))</f>
        <v/>
      </c>
      <c r="H27" s="7" t="inlineStr">
        <is>
          <t>Location edit on MD-00043: Denver - Closed → Chicago. Owner IT Asset Specialist. Ref EX-0023.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MD-00043 cutover miss: Denver - Closed stayed on the register while Chicago became the working site. TR-00043 is the inbound proof. Logged as EX-0023. Serial MD-MO-050043.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Ledger'!$B$5:$B$200,'Source Ledger'!$H$5:$H$200),"")="Disposed",IFERROR(XLOOKUP(D28,'Source Ledger'!$B$5:$B$200,'Source Ledger'!$G$5:$G$200),0),IF(IFERROR(XLOOKUP(D28,'Source Ledger'!$B$5:$B$200,'Source Ledger'!$E$5:$E$200),"")="",IFERROR(XLOOKUP(D28,'Corrected Register'!$A$5:$A$200,'Corrected Register'!$M$5:$M$200),0),ABS(IFERROR(XLOOKUP(D28,'Source Ledger'!$B$5:$B$200,'Source Ledger'!$E$5:$E$200),0)-IFERROR(XLOOKUP(D28,'Corrected Register'!$A$5:$A$200,'Corrected Register'!$M$5:$M$200),0)))),IFERROR(XLOOKUP(D28,'Corrected Register'!$A$5:$A$200,'Corrected Register'!$N$5:$N$200),0))</f>
        <v/>
      </c>
      <c r="H28" s="7" t="inlineStr">
        <is>
          <t>EX-0024: IT Asset Specialist replaces Chicago - Closed with Dallas on MD-00044.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Because Chicago - Closed was never retired on MD-00044, the extract disagrees with live ops in Dallas. TR-00044 finished; EX-0024 captures the lag. Serial on exception: MD-NE-050044.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Ledger'!$B$5:$B$200,'Source Ledger'!$H$5:$H$200),"")="Disposed",IFERROR(XLOOKUP(D29,'Source Ledger'!$B$5:$B$200,'Source Ledger'!$G$5:$G$200),0),IF(IFERROR(XLOOKUP(D29,'Source Ledger'!$B$5:$B$200,'Source Ledger'!$E$5:$E$200),"")="",IFERROR(XLOOKUP(D29,'Corrected Register'!$A$5:$A$200,'Corrected Register'!$M$5:$M$200),0),ABS(IFERROR(XLOOKUP(D29,'Source Ledger'!$B$5:$B$200,'Source Ledger'!$E$5:$E$200),0)-IFERROR(XLOOKUP(D29,'Corrected Register'!$A$5:$A$200,'Corrected Register'!$M$5:$M$200),0)))),IFERROR(XLOOKUP(D29,'Corrected Register'!$A$5:$A$200,'Corrected Register'!$N$5:$N$200),0))</f>
        <v/>
      </c>
      <c r="H29" s="7" t="inlineStr">
        <is>
          <t>IT Asset Specialist should post Denver on MD-00045 and retire Denver - Closed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Register extract retains Denver - Closed for MD-00045 (MD-LA-050045). Device has its live footprint in Denver; TR-00045 already completed. Opened EX-0025 for the fix.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Ledger'!$B$5:$B$200,'Source Ledger'!$H$5:$H$200),"")="Disposed",IFERROR(XLOOKUP(D30,'Source Ledger'!$B$5:$B$200,'Source Ledger'!$G$5:$G$200),0),IF(IFERROR(XLOOKUP(D30,'Source Ledger'!$B$5:$B$200,'Source Ledger'!$E$5:$E$200),"")="",IFERROR(XLOOKUP(D30,'Corrected Register'!$A$5:$A$200,'Corrected Register'!$M$5:$M$200),0),ABS(IFERROR(XLOOKUP(D30,'Source Ledger'!$B$5:$B$200,'Source Ledger'!$E$5:$E$200),0)-IFERROR(XLOOKUP(D30,'Corrected Register'!$A$5:$A$200,'Corrected Register'!$M$5:$M$200),0)))),IFERROR(XLOOKUP(D30,'Corrected Register'!$A$5:$A$200,'Corrected Register'!$N$5:$N$200),0))</f>
        <v/>
      </c>
      <c r="H30" s="7" t="inlineStr">
        <is>
          <t>EX-0026: IT Asset Specialist replaces Chicago - Closed with operating site on MD-00046.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Chicago - Closed on MD-00046 is leftover coding. Footprint = operating site. Move = TR-00046. Fix queue = EX-0026.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Ledger'!$B$5:$B$200,'Source Ledger'!$H$5:$H$200),"")="Disposed",IFERROR(XLOOKUP(D31,'Source Ledger'!$B$5:$B$200,'Source Ledger'!$G$5:$G$200),0),IF(IFERROR(XLOOKUP(D31,'Source Ledger'!$B$5:$B$200,'Source Ledger'!$E$5:$E$200),"")="",IFERROR(XLOOKUP(D31,'Corrected Register'!$A$5:$A$200,'Corrected Register'!$M$5:$M$200),0),ABS(IFERROR(XLOOKUP(D31,'Source Ledger'!$B$5:$B$200,'Source Ledger'!$E$5:$E$200),0)-IFERROR(XLOOKUP(D31,'Corrected Register'!$A$5:$A$200,'Corrected Register'!$M$5:$M$200),0)))),IFERROR(XLOOKUP(D31,'Corrected Register'!$A$5:$A$200,'Corrected Register'!$N$5:$N$200),0))</f>
        <v/>
      </c>
      <c r="H31" s="7" t="inlineStr">
        <is>
          <t>Finish EX-0027 only after MD-00047 shows operating site.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Do not read Denver - Closed as current for MD-00047. The asset is staged in operating site. Supporting transfer TR-00047; exception EX-0027.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Ledger'!$B$5:$B$200,'Source Ledger'!$H$5:$H$200),"")="Disposed",IFERROR(XLOOKUP(D32,'Source Ledger'!$B$5:$B$200,'Source Ledger'!$G$5:$G$200),0),IF(IFERROR(XLOOKUP(D32,'Source Ledger'!$B$5:$B$200,'Source Ledger'!$E$5:$E$200),"")="",IFERROR(XLOOKUP(D32,'Corrected Register'!$A$5:$A$200,'Corrected Register'!$M$5:$M$200),0),ABS(IFERROR(XLOOKUP(D32,'Source Ledger'!$B$5:$B$200,'Source Ledger'!$E$5:$E$200),0)-IFERROR(XLOOKUP(D32,'Corrected Register'!$A$5:$A$200,'Corrected Register'!$M$5:$M$200),0)))),IFERROR(XLOOKUP(D32,'Corrected Register'!$A$5:$A$200,'Corrected Register'!$N$5:$N$200),0))</f>
        <v/>
      </c>
      <c r="H32" s="7" t="inlineStr">
        <is>
          <t>EX-0028: IT Asset Specialist replaces Chicago - Closed with operating site on MD-00048.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Location field debt on MD-00048: retire Chicago - Closed, recognize operating site. Evidence of move is TR-00048. Work item EX-0028.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Ledger'!$B$5:$B$200,'Source Ledger'!$H$5:$H$200),"")="Disposed",IFERROR(XLOOKUP(D33,'Source Ledger'!$B$5:$B$200,'Source Ledger'!$G$5:$G$200),0),IF(IFERROR(XLOOKUP(D33,'Source Ledger'!$B$5:$B$200,'Source Ledger'!$E$5:$E$200),"")="",IFERROR(XLOOKUP(D33,'Corrected Register'!$A$5:$A$200,'Corrected Register'!$M$5:$M$200),0),ABS(IFERROR(XLOOKUP(D33,'Source Ledger'!$B$5:$B$200,'Source Ledger'!$E$5:$E$200),0)-IFERROR(XLOOKUP(D33,'Corrected Register'!$A$5:$A$200,'Corrected Register'!$M$5:$M$200),0)))),IFERROR(XLOOKUP(D33,'Corrected Register'!$A$5:$A$200,'Corrected Register'!$N$5:$N$200),0))</f>
        <v/>
      </c>
      <c r="H33" s="7" t="inlineStr">
        <is>
          <t>Finish EX-0029 only after MD-00049 shows operating site.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Do not read Denver - Closed as current for MD-00049. The asset is staged in operating site. Supporting transfer TR-00049; exception EX-0029.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Ledger'!$B$5:$B$200,'Source Ledger'!$H$5:$H$200),"")="Disposed",IFERROR(XLOOKUP(D34,'Source Ledger'!$B$5:$B$200,'Source Ledger'!$G$5:$G$200),0),IF(IFERROR(XLOOKUP(D34,'Source Ledger'!$B$5:$B$200,'Source Ledger'!$E$5:$E$200),"")="",IFERROR(XLOOKUP(D34,'Corrected Register'!$A$5:$A$200,'Corrected Register'!$M$5:$M$200),0),ABS(IFERROR(XLOOKUP(D34,'Source Ledger'!$B$5:$B$200,'Source Ledger'!$E$5:$E$200),0)-IFERROR(XLOOKUP(D34,'Corrected Register'!$A$5:$A$200,'Corrected Register'!$M$5:$M$200),0)))),IFERROR(XLOOKUP(D34,'Corrected Register'!$A$5:$A$200,'Corrected Register'!$N$5:$N$200),0))</f>
        <v/>
      </c>
      <c r="H34" s="7" t="inlineStr">
        <is>
          <t>Finish EX-0030 only after MD-00050 shows operating site.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Do not read Chicago - Closed as current for MD-00050. The asset physically sits in operating site. Supporting transfer TR-00050; exception EX-0030.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Ledger'!$B$5:$B$200,'Source Ledger'!$H$5:$H$200),"")="Disposed",IFERROR(XLOOKUP(D35,'Source Ledger'!$B$5:$B$200,'Source Ledger'!$G$5:$G$200),0),IF(IFERROR(XLOOKUP(D35,'Source Ledger'!$B$5:$B$200,'Source Ledger'!$E$5:$E$200),"")="",IFERROR(XLOOKUP(D35,'Corrected Register'!$A$5:$A$200,'Corrected Register'!$M$5:$M$200),0),ABS(IFERROR(XLOOKUP(D35,'Source Ledger'!$B$5:$B$200,'Source Ledger'!$E$5:$E$200),0)-IFERROR(XLOOKUP(D35,'Corrected Register'!$A$5:$A$200,'Corrected Register'!$M$5:$M$200),0)))),IFERROR(XLOOKUP(D35,'Corrected Register'!$A$5:$A$200,'Corrected Register'!$N$5:$N$200),0))</f>
        <v/>
      </c>
      <c r="H35" s="7" t="inlineStr">
        <is>
          <t>IT Asset Specialist should post operating site on MD-00051 and retire Denver - Closed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Extract vs reality on MD-00051: extract=Denver - Closed, reality=operating site, transfer=TR-00051, exception=EX-0031, serial=MD-MO-050051.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Difference",IF(IFERROR(XLOOKUP(D36,'Source Ledger'!$B$5:$B$200,'Source Ledger'!$H$5:$H$200),"")="Disposed",IFERROR(XLOOKUP(D36,'Source Ledger'!$B$5:$B$200,'Source Ledger'!$G$5:$G$200),0),IF(IFERROR(XLOOKUP(D36,'Source Ledger'!$B$5:$B$200,'Source Ledger'!$E$5:$E$200),"")="",IFERROR(XLOOKUP(D36,'Corrected Register'!$A$5:$A$200,'Corrected Register'!$M$5:$M$200),0),ABS(IFERROR(XLOOKUP(D36,'Source Ledger'!$B$5:$B$200,'Source Ledger'!$E$5:$E$200),0)-IFERROR(XLOOKUP(D36,'Corrected Register'!$A$5:$A$200,'Corrected Register'!$M$5:$M$200),0)))),IFERROR(XLOOKUP(D36,'Corrected Register'!$A$5:$A$200,'Corrected Register'!$N$5:$N$200),0))</f>
        <v/>
      </c>
      <c r="H36" s="7" t="inlineStr">
        <is>
          <t>Align MD-00051 cost: register $1,040 vs ledger $1,250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PO-2023-0010 and FA-000051 disagree for MD-00051 ($1,040 vs $1,250) — EX-0032.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Ledger'!$B$5:$B$200,'Source Ledger'!$H$5:$H$200),"")="Disposed",IFERROR(XLOOKUP(D37,'Source Ledger'!$B$5:$B$200,'Source Ledger'!$G$5:$G$200),0),IF(IFERROR(XLOOKUP(D37,'Source Ledger'!$B$5:$B$200,'Source Ledger'!$E$5:$E$200),"")="",IFERROR(XLOOKUP(D37,'Corrected Register'!$A$5:$A$200,'Corrected Register'!$M$5:$M$200),0),ABS(IFERROR(XLOOKUP(D37,'Source Ledger'!$B$5:$B$200,'Source Ledger'!$E$5:$E$200),0)-IFERROR(XLOOKUP(D37,'Corrected Register'!$A$5:$A$200,'Corrected Register'!$M$5:$M$200),0)))),IFERROR(XLOOKUP(D37,'Corrected Register'!$A$5:$A$200,'Corrected Register'!$N$5:$N$200),0))</f>
        <v/>
      </c>
      <c r="H37" s="7" t="inlineStr">
        <is>
          <t>Location edit on MD-00052: Chicago - Closed → operating site. Owner IT Asset Specialist. Ref EX-0033.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After the office shutdown, MD-00052 should have shown operating site. It still shows Chicago - Closed. Use TR-00052 as the move citation and clear via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Ledger'!$B$5:$B$200,'Source Ledger'!$H$5:$H$200),"")="Disposed",IFERROR(XLOOKUP(D38,'Source Ledger'!$B$5:$B$200,'Source Ledger'!$G$5:$G$200),0),IF(IFERROR(XLOOKUP(D38,'Source Ledger'!$B$5:$B$200,'Source Ledger'!$E$5:$E$200),"")="",IFERROR(XLOOKUP(D38,'Corrected Register'!$A$5:$A$200,'Corrected Register'!$M$5:$M$200),0),ABS(IFERROR(XLOOKUP(D38,'Source Ledger'!$B$5:$B$200,'Source Ledger'!$E$5:$E$200),0)-IFERROR(XLOOKUP(D38,'Corrected Register'!$A$5:$A$200,'Corrected Register'!$M$5:$M$200),0)))),IFERROR(XLOOKUP(D38,'Corrected Register'!$A$5:$A$200,'Corrected Register'!$N$5:$N$200),0))</f>
        <v/>
      </c>
      <c r="H38" s="7" t="inlineStr">
        <is>
          <t>IT Asset Specialist should post operating site on MD-00053 and retire Denver - Closed (EX-0034).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IT review of MD-00053: closed label Denver - Closed vs working city operating site. Transfer reference TR-00053. Exception EX-0034.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Ledger'!$B$5:$B$200,'Source Ledger'!$H$5:$H$200),"")="Disposed",IFERROR(XLOOKUP(D39,'Source Ledger'!$B$5:$B$200,'Source Ledger'!$G$5:$G$200),0),IF(IFERROR(XLOOKUP(D39,'Source Ledger'!$B$5:$B$200,'Source Ledger'!$E$5:$E$200),"")="",IFERROR(XLOOKUP(D39,'Corrected Register'!$A$5:$A$200,'Corrected Register'!$M$5:$M$200),0),ABS(IFERROR(XLOOKUP(D39,'Source Ledger'!$B$5:$B$200,'Source Ledger'!$E$5:$E$200),0)-IFERROR(XLOOKUP(D39,'Corrected Register'!$A$5:$A$200,'Corrected Register'!$M$5:$M$200),0)))),IFERROR(XLOOKUP(D39,'Corrected Register'!$A$5:$A$200,'Corrected Register'!$N$5:$N$200),0))</f>
        <v/>
      </c>
      <c r="H39" s="7" t="inlineStr">
        <is>
          <t>Location edit on MD-00054: Chicago - Closed → operating site. Owner IT Asset Specialist. Ref EX-0035.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EX-0035 opened when register location for MD-00054 failed to leave Chicago - Closed after consolidation into operating site (TR-00054).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Ledger'!$B$5:$B$200,'Source Ledger'!$H$5:$H$200),"")="Disposed",IFERROR(XLOOKUP(D40,'Source Ledger'!$B$5:$B$200,'Source Ledger'!$G$5:$G$200),0),IF(IFERROR(XLOOKUP(D40,'Source Ledger'!$B$5:$B$200,'Source Ledger'!$E$5:$E$200),"")="",IFERROR(XLOOKUP(D40,'Corrected Register'!$A$5:$A$200,'Corrected Register'!$M$5:$M$200),0),ABS(IFERROR(XLOOKUP(D40,'Source Ledger'!$B$5:$B$200,'Source Ledger'!$E$5:$E$200),0)-IFERROR(XLOOKUP(D40,'Corrected Register'!$A$5:$A$200,'Corrected Register'!$M$5:$M$200),0)))),IFERROR(XLOOKUP(D40,'Corrected Register'!$A$5:$A$200,'Corrected Register'!$N$5:$N$200),0))</f>
        <v/>
      </c>
      <c r="H40" s="7" t="inlineStr">
        <is>
          <t>Location edit on MD-00055: Denver - Closed → operating site. Owner IT Asset Specialist. Ref EX-0036.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MD-00055 cutover miss: Denver - Closed stayed on the register while operating site became the working site. TR-00055 is the inbound proof. Logged as EX-0036. Serial MD-MO-050055.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Ledger'!$B$5:$B$200,'Source Ledger'!$H$5:$H$200),"")="Disposed",IFERROR(XLOOKUP(D41,'Source Ledger'!$B$5:$B$200,'Source Ledger'!$G$5:$G$200),0),IF(IFERROR(XLOOKUP(D41,'Source Ledger'!$B$5:$B$200,'Source Ledger'!$E$5:$E$200),"")="",IFERROR(XLOOKUP(D41,'Corrected Register'!$A$5:$A$200,'Corrected Register'!$M$5:$M$200),0),ABS(IFERROR(XLOOKUP(D41,'Source Ledger'!$B$5:$B$200,'Source Ledger'!$E$5:$E$200),0)-IFERROR(XLOOKUP(D41,'Corrected Register'!$A$5:$A$200,'Corrected Register'!$M$5:$M$200),0)))),IFERROR(XLOOKUP(D41,'Corrected Register'!$A$5:$A$200,'Corrected Register'!$N$5:$N$200),0))</f>
        <v/>
      </c>
      <c r="H41" s="7" t="inlineStr">
        <is>
          <t>Location edit on MD-00056: Chicago - Closed → operating site. Owner IT Asset Specialist. Ref EX-0037.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MD-00056 cutover miss: Chicago - Closed stayed on the register while operating site became the working site. TR-00056 is the inbound proof. Remediation ticket EX-0037. Serial MD-NE-050056.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Ledger'!$B$5:$B$200,'Source Ledger'!$H$5:$H$200),"")="Disposed",IFERROR(XLOOKUP(D42,'Source Ledger'!$B$5:$B$200,'Source Ledger'!$G$5:$G$200),0),IF(IFERROR(XLOOKUP(D42,'Source Ledger'!$B$5:$B$200,'Source Ledger'!$E$5:$E$200),"")="",IFERROR(XLOOKUP(D42,'Corrected Register'!$A$5:$A$200,'Corrected Register'!$M$5:$M$200),0),ABS(IFERROR(XLOOKUP(D42,'Source Ledger'!$B$5:$B$200,'Source Ledger'!$E$5:$E$200),0)-IFERROR(XLOOKUP(D42,'Corrected Register'!$A$5:$A$200,'Corrected Register'!$M$5:$M$200),0)))),IFERROR(XLOOKUP(D42,'Corrected Register'!$A$5:$A$200,'Corrected Register'!$N$5:$N$200),0))</f>
        <v/>
      </c>
      <c r="H42" s="7" t="inlineStr">
        <is>
          <t>Location edit on MD-00057: Denver - Closed → operating site. Owner IT Asset Specialist. Ref EX-0038.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MD-00057 cutover miss: Denver - Closed stayed on the register while operating site became the working site. TR-00057 is the inbound proof. Logged as EX-0038. Serial MD-LA-050057.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Ledger'!$B$5:$B$200,'Source Ledger'!$H$5:$H$200),"")="Disposed",IFERROR(XLOOKUP(D43,'Source Ledger'!$B$5:$B$200,'Source Ledger'!$G$5:$G$200),0),IF(IFERROR(XLOOKUP(D43,'Source Ledger'!$B$5:$B$200,'Source Ledger'!$E$5:$E$200),"")="",IFERROR(XLOOKUP(D43,'Corrected Register'!$A$5:$A$200,'Corrected Register'!$M$5:$M$200),0),ABS(IFERROR(XLOOKUP(D43,'Source Ledger'!$B$5:$B$200,'Source Ledger'!$E$5:$E$200),0)-IFERROR(XLOOKUP(D43,'Corrected Register'!$A$5:$A$200,'Corrected Register'!$M$5:$M$200),0)))),IFERROR(XLOOKUP(D43,'Corrected Register'!$A$5:$A$200,'Corrected Register'!$N$5:$N$200),0))</f>
        <v/>
      </c>
      <c r="H43" s="7" t="inlineStr">
        <is>
          <t>HR Operations Lead: clear former-employee assignment on MD-00058 (Sean McCabe)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Offboarding left MD-00058 hanging on Sean McCabe (E0071); status Separated in hr_employee_status, ticket OFF-00058. EX-0039.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Ledger'!$B$5:$B$200,'Source Ledger'!$H$5:$H$200),"")="Disposed",IFERROR(XLOOKUP(D44,'Source Ledger'!$B$5:$B$200,'Source Ledger'!$G$5:$G$200),0),IF(IFERROR(XLOOKUP(D44,'Source Ledger'!$B$5:$B$200,'Source Ledger'!$E$5:$E$200),"")="",IFERROR(XLOOKUP(D44,'Corrected Register'!$A$5:$A$200,'Corrected Register'!$M$5:$M$200),0),ABS(IFERROR(XLOOKUP(D44,'Source Ledger'!$B$5:$B$200,'Source Ledger'!$E$5:$E$200),0)-IFERROR(XLOOKUP(D44,'Corrected Register'!$A$5:$A$200,'Corrected Register'!$M$5:$M$200),0)))),IFERROR(XLOOKUP(D44,'Corrected Register'!$A$5:$A$200,'Corrected Register'!$N$5:$N$200),0))</f>
        <v/>
      </c>
      <c r="H44" s="7" t="inlineStr">
        <is>
          <t>EX-0040: IT Asset Specialist replaces Chicago - Closed with operating site on MD-00058.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Location field debt on MD-00058: retire Chicago - Closed, recognize operating site. Evidence of move is TR-00058. Work item EX-0040.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Ledger'!$B$5:$B$200,'Source Ledger'!$H$5:$H$200),"")="Disposed",IFERROR(XLOOKUP(D45,'Source Ledger'!$B$5:$B$200,'Source Ledger'!$G$5:$G$200),0),IF(IFERROR(XLOOKUP(D45,'Source Ledger'!$B$5:$B$200,'Source Ledger'!$E$5:$E$200),"")="",IFERROR(XLOOKUP(D45,'Corrected Register'!$A$5:$A$200,'Corrected Register'!$M$5:$M$200),0),ABS(IFERROR(XLOOKUP(D45,'Source Ledger'!$B$5:$B$200,'Source Ledger'!$E$5:$E$200),0)-IFERROR(XLOOKUP(D45,'Corrected Register'!$A$5:$A$200,'Corrected Register'!$M$5:$M$200),0)))),IFERROR(XLOOKUP(D45,'Corrected Register'!$A$5:$A$200,'Corrected Register'!$N$5:$N$200),0))</f>
        <v/>
      </c>
      <c r="H45" s="7" t="inlineStr">
        <is>
          <t>Obtain APR on TR-00058 or reverse the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TR-00058 for MD-00058 has a blank approval_id in equipment_transfer_log (ITAM-001 §4) — EX-0041.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Ledger'!$B$5:$B$200,'Source Ledger'!$H$5:$H$200),"")="Disposed",IFERROR(XLOOKUP(D46,'Source Ledger'!$B$5:$B$200,'Source Ledger'!$G$5:$G$200),0),IF(IFERROR(XLOOKUP(D46,'Source Ledger'!$B$5:$B$200,'Source Ledger'!$E$5:$E$200),"")="",IFERROR(XLOOKUP(D46,'Corrected Register'!$A$5:$A$200,'Corrected Register'!$M$5:$M$200),0),ABS(IFERROR(XLOOKUP(D46,'Source Ledger'!$B$5:$B$200,'Source Ledger'!$E$5:$E$200),0)-IFERROR(XLOOKUP(D46,'Corrected Register'!$A$5:$A$200,'Corrected Register'!$M$5:$M$200),0)))),IFERROR(XLOOKUP(D46,'Corrected Register'!$A$5:$A$200,'Corrected Register'!$N$5:$N$200),0))</f>
        <v/>
      </c>
      <c r="H46" s="7" t="inlineStr">
        <is>
          <t>Reassign MD-00059 off separated Anita Bose to a stock/Regional IT bucket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Separated custodian Anita Bose (E0072) remains on MD-00059 after OFF-00059 closed. Clear under EX-0042.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Ledger'!$B$5:$B$200,'Source Ledger'!$H$5:$H$200),"")="Disposed",IFERROR(XLOOKUP(D47,'Source Ledger'!$B$5:$B$200,'Source Ledger'!$G$5:$G$200),0),IF(IFERROR(XLOOKUP(D47,'Source Ledger'!$B$5:$B$200,'Source Ledger'!$E$5:$E$200),"")="",IFERROR(XLOOKUP(D47,'Corrected Register'!$A$5:$A$200,'Corrected Register'!$M$5:$M$200),0),ABS(IFERROR(XLOOKUP(D47,'Source Ledger'!$B$5:$B$200,'Source Ledger'!$E$5:$E$200),0)-IFERROR(XLOOKUP(D47,'Corrected Register'!$A$5:$A$200,'Corrected Register'!$M$5:$M$200),0)))),IFERROR(XLOOKUP(D47,'Corrected Register'!$A$5:$A$200,'Corrected Register'!$N$5:$N$200),0))</f>
        <v/>
      </c>
      <c r="H47" s="7" t="inlineStr">
        <is>
          <t>Location edit on MD-00059: Denver - Closed → operating site. Owner IT Asset Specialist. Ref EX-0043.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EX-0043 opened when register location for MD-00059 failed to leave Denver - Closed after consolidation into operating site (TR-00059).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Ledger'!$B$5:$B$200,'Source Ledger'!$H$5:$H$200),"")="Disposed",IFERROR(XLOOKUP(D48,'Source Ledger'!$B$5:$B$200,'Source Ledger'!$G$5:$G$200),0),IF(IFERROR(XLOOKUP(D48,'Source Ledger'!$B$5:$B$200,'Source Ledger'!$E$5:$E$200),"")="",IFERROR(XLOOKUP(D48,'Corrected Register'!$A$5:$A$200,'Corrected Register'!$M$5:$M$200),0),ABS(IFERROR(XLOOKUP(D48,'Source Ledger'!$B$5:$B$200,'Source Ledger'!$E$5:$E$200),0)-IFERROR(XLOOKUP(D48,'Corrected Register'!$A$5:$A$200,'Corrected Register'!$M$5:$M$200),0)))),IFERROR(XLOOKUP(D48,'Corrected Register'!$A$5:$A$200,'Corrected Register'!$N$5:$N$200),0))</f>
        <v/>
      </c>
      <c r="H48" s="7" t="inlineStr">
        <is>
          <t>Obtain APR on TR-00059 or reverse the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TR-00059 for MD-00059 has a blank approval_id in equipment_transfer_log (ITAM-001 §4) — EX-0044.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Ledger'!$B$5:$B$200,'Source Ledger'!$H$5:$H$200),"")="Disposed",IFERROR(XLOOKUP(D49,'Source Ledger'!$B$5:$B$200,'Source Ledger'!$G$5:$G$200),0),IF(IFERROR(XLOOKUP(D49,'Source Ledger'!$B$5:$B$200,'Source Ledger'!$E$5:$E$200),"")="",IFERROR(XLOOKUP(D49,'Corrected Register'!$A$5:$A$200,'Corrected Register'!$M$5:$M$200),0),ABS(IFERROR(XLOOKUP(D49,'Source Ledger'!$B$5:$B$200,'Source Ledger'!$E$5:$E$200),0)-IFERROR(XLOOKUP(D49,'Corrected Register'!$A$5:$A$200,'Corrected Register'!$M$5:$M$200),0)))),IFERROR(XLOOKUP(D49,'Corrected Register'!$A$5:$A$200,'Corrected Register'!$N$5:$N$200),0))</f>
        <v/>
      </c>
      <c r="H49" s="7" t="inlineStr">
        <is>
          <t>Reassign MD-00060 off separated Drew Carmichael to a stock/Regional IT bucket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MD-00060 is still assigned to Drew Carmichael (E0073), whose hr_employee_status row is Separated; OFF-00060 closed with no custodian rewrite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Ledger'!$B$5:$B$200,'Source Ledger'!$H$5:$H$200),"")="Disposed",IFERROR(XLOOKUP(D50,'Source Ledger'!$B$5:$B$200,'Source Ledger'!$G$5:$G$200),0),IF(IFERROR(XLOOKUP(D50,'Source Ledger'!$B$5:$B$200,'Source Ledger'!$E$5:$E$200),"")="",IFERROR(XLOOKUP(D50,'Corrected Register'!$A$5:$A$200,'Corrected Register'!$M$5:$M$200),0),ABS(IFERROR(XLOOKUP(D50,'Source Ledger'!$B$5:$B$200,'Source Ledger'!$E$5:$E$200),0)-IFERROR(XLOOKUP(D50,'Corrected Register'!$A$5:$A$200,'Corrected Register'!$M$5:$M$200),0)))),IFERROR(XLOOKUP(D50,'Corrected Register'!$A$5:$A$200,'Corrected Register'!$N$5:$N$200),0))</f>
        <v/>
      </c>
      <c r="H50" s="7" t="inlineStr">
        <is>
          <t>IT Asset Specialist should post operating site on MD-00060 and retire Chicago - Closed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Extract vs reality on MD-00060: extract=Chicago - Closed, reality=operating site, transfer=TR-00060, exception=EX-0046, serial=MD-NE-050060.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Ledger'!$B$5:$B$200,'Source Ledger'!$H$5:$H$200),"")="Disposed",IFERROR(XLOOKUP(D51,'Source Ledger'!$B$5:$B$200,'Source Ledger'!$G$5:$G$200),0),IF(IFERROR(XLOOKUP(D51,'Source Ledger'!$B$5:$B$200,'Source Ledger'!$E$5:$E$200),"")="",IFERROR(XLOOKUP(D51,'Corrected Register'!$A$5:$A$200,'Corrected Register'!$M$5:$M$200),0),ABS(IFERROR(XLOOKUP(D51,'Source Ledger'!$B$5:$B$200,'Source Ledger'!$E$5:$E$200),0)-IFERROR(XLOOKUP(D51,'Corrected Register'!$A$5:$A$200,'Corrected Register'!$M$5:$M$200),0)))),IFERROR(XLOOKUP(D51,'Corrected Register'!$A$5:$A$200,'Corrected Register'!$N$5:$N$200),0))</f>
        <v/>
      </c>
      <c r="H51" s="7" t="inlineStr">
        <is>
          <t>HR Operations Lead: clear former-employee assignment on MD-00061 (Lila Novak)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is still assigned to Lila Novak (E0074), whose hr_employee_status row is Separated; OFF-00061 closed with no custodian rewrite (EX-0047).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Ledger'!$B$5:$B$200,'Source Ledger'!$H$5:$H$200),"")="Disposed",IFERROR(XLOOKUP(D52,'Source Ledger'!$B$5:$B$200,'Source Ledger'!$G$5:$G$200),0),IF(IFERROR(XLOOKUP(D52,'Source Ledger'!$B$5:$B$200,'Source Ledger'!$E$5:$E$200),"")="",IFERROR(XLOOKUP(D52,'Corrected Register'!$A$5:$A$200,'Corrected Register'!$M$5:$M$200),0),ABS(IFERROR(XLOOKUP(D52,'Source Ledger'!$B$5:$B$200,'Source Ledger'!$E$5:$E$200),0)-IFERROR(XLOOKUP(D52,'Corrected Register'!$A$5:$A$200,'Corrected Register'!$M$5:$M$200),0)))),IFERROR(XLOOKUP(D52,'Corrected Register'!$A$5:$A$200,'Corrected Register'!$N$5:$N$200),0))</f>
        <v/>
      </c>
      <c r="H52" s="7" t="inlineStr">
        <is>
          <t>Location edit on MD-00061: Denver - Closed → operating site. Owner IT Asset Specialist. Ref EX-0048.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MD-00061 cutover miss: Denver - Closed stayed on the register while operating site became the working site. TR-00061 is the inbound proof. Remediation ticket EX-0048. Serial MD-LA-050061.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Ledger'!$B$5:$B$200,'Source Ledger'!$H$5:$H$200),"")="Disposed",IFERROR(XLOOKUP(D53,'Source Ledger'!$B$5:$B$200,'Source Ledger'!$G$5:$G$200),0),IF(IFERROR(XLOOKUP(D53,'Source Ledger'!$B$5:$B$200,'Source Ledger'!$E$5:$E$200),"")="",IFERROR(XLOOKUP(D53,'Corrected Register'!$A$5:$A$200,'Corrected Register'!$M$5:$M$200),0),ABS(IFERROR(XLOOKUP(D53,'Source Ledger'!$B$5:$B$200,'Source Ledger'!$E$5:$E$200),0)-IFERROR(XLOOKUP(D53,'Corrected Register'!$A$5:$A$200,'Corrected Register'!$M$5:$M$200),0)))),IFERROR(XLOOKUP(D53,'Corrected Register'!$A$5:$A$200,'Corrected Register'!$N$5:$N$200),0))</f>
        <v/>
      </c>
      <c r="H53" s="7" t="inlineStr">
        <is>
          <t>Remove Curtis Bennett from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Separated custodian Curtis Bennett (E0075) remains on MD-00062 after OFF-00062 closed. Clear under EX-0049.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Ledger'!$B$5:$B$200,'Source Ledger'!$H$5:$H$200),"")="Disposed",IFERROR(XLOOKUP(D54,'Source Ledger'!$B$5:$B$200,'Source Ledger'!$G$5:$G$200),0),IF(IFERROR(XLOOKUP(D54,'Source Ledger'!$B$5:$B$200,'Source Ledger'!$E$5:$E$200),"")="",IFERROR(XLOOKUP(D54,'Corrected Register'!$A$5:$A$200,'Corrected Register'!$M$5:$M$200),0),ABS(IFERROR(XLOOKUP(D54,'Source Ledger'!$B$5:$B$200,'Source Ledger'!$E$5:$E$200),0)-IFERROR(XLOOKUP(D54,'Corrected Register'!$A$5:$A$200,'Corrected Register'!$M$5:$M$200),0)))),IFERROR(XLOOKUP(D54,'Corrected Register'!$A$5:$A$200,'Corrected Register'!$N$5:$N$200),0))</f>
        <v/>
      </c>
      <c r="H54" s="7" t="inlineStr">
        <is>
          <t>IT Asset Specialist should post operating site on MD-00062 and retire Chicago - Closed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Current extract never dropped Chicago - Closed for MD-00062 (MD-MO-050062). Device stabilized in operating site; TR-00062 already completed. Queue item EX-0050.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Ledger'!$B$5:$B$200,'Source Ledger'!$H$5:$H$200),"")="Disposed",IFERROR(XLOOKUP(D55,'Source Ledger'!$B$5:$B$200,'Source Ledger'!$G$5:$G$200),0),IF(IFERROR(XLOOKUP(D55,'Source Ledger'!$B$5:$B$200,'Source Ledger'!$E$5:$E$200),"")="",IFERROR(XLOOKUP(D55,'Corrected Register'!$A$5:$A$200,'Corrected Register'!$M$5:$M$200),0),ABS(IFERROR(XLOOKUP(D55,'Source Ledger'!$B$5:$B$200,'Source Ledger'!$E$5:$E$200),0)-IFERROR(XLOOKUP(D55,'Corrected Register'!$A$5:$A$200,'Corrected Register'!$M$5:$M$200),0)))),IFERROR(XLOOKUP(D55,'Corrected Register'!$A$5:$A$200,'Corrected Register'!$N$5:$N$200),0))</f>
        <v/>
      </c>
      <c r="H55" s="7" t="inlineStr">
        <is>
          <t>Reassign MD-00063 off separated Pilar Santos to a stock/Regional IT bucket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HR shows Pilar Santos (E0076) terminated, yet the register still lists them on MD-00063 (OFF-00063) — EX-0051.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Ledger'!$B$5:$B$200,'Source Ledger'!$H$5:$H$200),"")="Disposed",IFERROR(XLOOKUP(D56,'Source Ledger'!$B$5:$B$200,'Source Ledger'!$G$5:$G$200),0),IF(IFERROR(XLOOKUP(D56,'Source Ledger'!$B$5:$B$200,'Source Ledger'!$E$5:$E$200),"")="",IFERROR(XLOOKUP(D56,'Corrected Register'!$A$5:$A$200,'Corrected Register'!$M$5:$M$200),0),ABS(IFERROR(XLOOKUP(D56,'Source Ledger'!$B$5:$B$200,'Source Ledger'!$E$5:$E$200),0)-IFERROR(XLOOKUP(D56,'Corrected Register'!$A$5:$A$200,'Corrected Register'!$M$5:$M$200),0)))),IFERROR(XLOOKUP(D56,'Corrected Register'!$A$5:$A$200,'Corrected Register'!$N$5:$N$200),0))</f>
        <v/>
      </c>
      <c r="H56" s="7" t="inlineStr">
        <is>
          <t>EX-0052: IT Asset Specialist replaces Denver - Closed with operating site on MD-00063.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Because Denver - Closed was never retired on MD-00063, the extract disagrees with live ops in operating site. TR-00063 finished; EX-0052 captures the lag. Serial on exception: MD-MO-050063.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Ledger'!$B$5:$B$200,'Source Ledger'!$H$5:$H$200),"")="Disposed",IFERROR(XLOOKUP(D57,'Source Ledger'!$B$5:$B$200,'Source Ledger'!$G$5:$G$200),0),IF(IFERROR(XLOOKUP(D57,'Source Ledger'!$B$5:$B$200,'Source Ledger'!$E$5:$E$200),"")="",IFERROR(XLOOKUP(D57,'Corrected Register'!$A$5:$A$200,'Corrected Register'!$M$5:$M$200),0),ABS(IFERROR(XLOOKUP(D57,'Source Ledger'!$B$5:$B$200,'Source Ledger'!$E$5:$E$200),0)-IFERROR(XLOOKUP(D57,'Corrected Register'!$A$5:$A$200,'Corrected Register'!$M$5:$M$200),0)))),IFERROR(XLOOKUP(D57,'Corrected Register'!$A$5:$A$200,'Corrected Register'!$N$5:$N$200),0))</f>
        <v/>
      </c>
      <c r="H57" s="7" t="inlineStr">
        <is>
          <t>HR Operations Lead: clear former-employee assignment on MD-00064 (Jonah Freedman)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HR shows Jonah Freedman (E0077) terminated, yet the register still lists them on MD-00064 (OFF-00064) — EX-0053.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Ledger'!$B$5:$B$200,'Source Ledger'!$H$5:$H$200),"")="Disposed",IFERROR(XLOOKUP(D58,'Source Ledger'!$B$5:$B$200,'Source Ledger'!$G$5:$G$200),0),IF(IFERROR(XLOOKUP(D58,'Source Ledger'!$B$5:$B$200,'Source Ledger'!$E$5:$E$200),"")="",IFERROR(XLOOKUP(D58,'Corrected Register'!$A$5:$A$200,'Corrected Register'!$M$5:$M$200),0),ABS(IFERROR(XLOOKUP(D58,'Source Ledger'!$B$5:$B$200,'Source Ledger'!$E$5:$E$200),0)-IFERROR(XLOOKUP(D58,'Corrected Register'!$A$5:$A$200,'Corrected Register'!$M$5:$M$200),0)))),IFERROR(XLOOKUP(D58,'Corrected Register'!$A$5:$A$200,'Corrected Register'!$N$5:$N$200),0))</f>
        <v/>
      </c>
      <c r="H58" s="7" t="inlineStr">
        <is>
          <t>IT Asset Specialist should post operating site on MD-00064 and retire Chicago - Closed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IT review of MD-00064: closed label Chicago - Closed vs working city operating site. Transfer reference TR-00064. Exception EX-0054.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Ledger'!$B$5:$B$200,'Source Ledger'!$H$5:$H$200),"")="Disposed",IFERROR(XLOOKUP(D59,'Source Ledger'!$B$5:$B$200,'Source Ledger'!$G$5:$G$200),0),IF(IFERROR(XLOOKUP(D59,'Source Ledger'!$B$5:$B$200,'Source Ledger'!$E$5:$E$200),"")="",IFERROR(XLOOKUP(D59,'Corrected Register'!$A$5:$A$200,'Corrected Register'!$M$5:$M$200),0),ABS(IFERROR(XLOOKUP(D59,'Source Ledger'!$B$5:$B$200,'Source Ledger'!$E$5:$E$200),0)-IFERROR(XLOOKUP(D59,'Corrected Register'!$A$5:$A$200,'Corrected Register'!$M$5:$M$200),0)))),IFERROR(XLOOKUP(D59,'Corrected Register'!$A$5:$A$200,'Corrected Register'!$N$5:$N$200),0))</f>
        <v/>
      </c>
      <c r="H59" s="7" t="inlineStr">
        <is>
          <t>Obtain APR on TR-00064 or reverse the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for MD-00064 has a blank approval_id in equipment_transfer_log (ITAM-001 §4) — EX-0055.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Ledger'!$B$5:$B$200,'Source Ledger'!$H$5:$H$200),"")="Disposed",IFERROR(XLOOKUP(D60,'Source Ledger'!$B$5:$B$200,'Source Ledger'!$G$5:$G$200),0),IF(IFERROR(XLOOKUP(D60,'Source Ledger'!$B$5:$B$200,'Source Ledger'!$E$5:$E$200),"")="",IFERROR(XLOOKUP(D60,'Corrected Register'!$A$5:$A$200,'Corrected Register'!$M$5:$M$200),0),ABS(IFERROR(XLOOKUP(D60,'Source Ledger'!$B$5:$B$200,'Source Ledger'!$E$5:$E$200),0)-IFERROR(XLOOKUP(D60,'Corrected Register'!$A$5:$A$200,'Corrected Register'!$M$5:$M$200),0)))),IFERROR(XLOOKUP(D60,'Corrected Register'!$A$5:$A$200,'Corrected Register'!$N$5:$N$200),0))</f>
        <v/>
      </c>
      <c r="H60" s="7" t="inlineStr">
        <is>
          <t>Remove Regina Lowe from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is still assigned to Regina Lowe (E0078), whose hr_employee_status row is Separated; OFF-00065 closed with no custodian rewrite (EX-0056).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Ledger'!$B$5:$B$200,'Source Ledger'!$H$5:$H$200),"")="Disposed",IFERROR(XLOOKUP(D61,'Source Ledger'!$B$5:$B$200,'Source Ledger'!$G$5:$G$200),0),IF(IFERROR(XLOOKUP(D61,'Source Ledger'!$B$5:$B$200,'Source Ledger'!$E$5:$E$200),"")="",IFERROR(XLOOKUP(D61,'Corrected Register'!$A$5:$A$200,'Corrected Register'!$M$5:$M$200),0),ABS(IFERROR(XLOOKUP(D61,'Source Ledger'!$B$5:$B$200,'Source Ledger'!$E$5:$E$200),0)-IFERROR(XLOOKUP(D61,'Corrected Register'!$A$5:$A$200,'Corrected Register'!$M$5:$M$200),0)))),IFERROR(XLOOKUP(D61,'Corrected Register'!$A$5:$A$200,'Corrected Register'!$N$5:$N$200),0))</f>
        <v/>
      </c>
      <c r="H61" s="7" t="inlineStr">
        <is>
          <t>Location edit on MD-00065: Denver - Closed → operating site. Owner IT Asset Specialist. Ref EX-0057.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MD-00065 cutover miss: Denver - Closed stayed on the register while operating site became the working site. TR-00065 is the inbound proof. Remediation ticket EX-0057. Serial MD-LA-050065.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Ledger'!$B$5:$B$200,'Source Ledger'!$H$5:$H$200),"")="Disposed",IFERROR(XLOOKUP(D62,'Source Ledger'!$B$5:$B$200,'Source Ledger'!$G$5:$G$200),0),IF(IFERROR(XLOOKUP(D62,'Source Ledger'!$B$5:$B$200,'Source Ledger'!$E$5:$E$200),"")="",IFERROR(XLOOKUP(D62,'Corrected Register'!$A$5:$A$200,'Corrected Register'!$M$5:$M$200),0),ABS(IFERROR(XLOOKUP(D62,'Source Ledger'!$B$5:$B$200,'Source Ledger'!$E$5:$E$200),0)-IFERROR(XLOOKUP(D62,'Corrected Register'!$A$5:$A$200,'Corrected Register'!$M$5:$M$200),0)))),IFERROR(XLOOKUP(D62,'Corrected Register'!$A$5:$A$200,'Corrected Register'!$N$5:$N$200),0))</f>
        <v/>
      </c>
      <c r="H62" s="7" t="inlineStr">
        <is>
          <t>Obtain APR on TR-00065 or reverse the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TR-00065 for MD-00065 has a blank approval_id in equipment_transfer_log (ITAM-001 §4) — EX-0058.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Ledger'!$B$5:$B$200,'Source Ledger'!$H$5:$H$200),"")="Disposed",IFERROR(XLOOKUP(D63,'Source Ledger'!$B$5:$B$200,'Source Ledger'!$G$5:$G$200),0),IF(IFERROR(XLOOKUP(D63,'Source Ledger'!$B$5:$B$200,'Source Ledger'!$E$5:$E$200),"")="",IFERROR(XLOOKUP(D63,'Corrected Register'!$A$5:$A$200,'Corrected Register'!$M$5:$M$200),0),ABS(IFERROR(XLOOKUP(D63,'Source Ledger'!$B$5:$B$200,'Source Ledger'!$E$5:$E$200),0)-IFERROR(XLOOKUP(D63,'Corrected Register'!$A$5:$A$200,'Corrected Register'!$M$5:$M$200),0)))),IFERROR(XLOOKUP(D63,'Corrected Register'!$A$5:$A$200,'Corrected Register'!$N$5:$N$200),0))</f>
        <v/>
      </c>
      <c r="H63" s="7" t="inlineStr">
        <is>
          <t>Reassign MD-00066 off separated Wes Carvalho to a stock/Regional IT bucket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 shows Wes Carvalho (E0079) terminated, yet the register still lists them on MD-00066 (OFF-00066) — EX-0059.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Ledger'!$B$5:$B$200,'Source Ledger'!$H$5:$H$200),"")="Disposed",IFERROR(XLOOKUP(D64,'Source Ledger'!$B$5:$B$200,'Source Ledger'!$G$5:$G$200),0),IF(IFERROR(XLOOKUP(D64,'Source Ledger'!$B$5:$B$200,'Source Ledger'!$E$5:$E$200),"")="",IFERROR(XLOOKUP(D64,'Corrected Register'!$A$5:$A$200,'Corrected Register'!$M$5:$M$200),0),ABS(IFERROR(XLOOKUP(D64,'Source Ledger'!$B$5:$B$200,'Source Ledger'!$E$5:$E$200),0)-IFERROR(XLOOKUP(D64,'Corrected Register'!$A$5:$A$200,'Corrected Register'!$M$5:$M$200),0)))),IFERROR(XLOOKUP(D64,'Corrected Register'!$A$5:$A$200,'Corrected Register'!$N$5:$N$200),0))</f>
        <v/>
      </c>
      <c r="H64" s="7" t="inlineStr">
        <is>
          <t>IT Asset Specialist should post operating site on MD-00066 and retire Chicago - Closed (EX-0060).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Extract vs reality on MD-00066: extract=Chicago - Closed, reality=operating site, transfer=TR-00066, exception=EX-0060, serial=MD-MO-050066.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Ledger'!$B$5:$B$200,'Source Ledger'!$H$5:$H$200),"")="Disposed",IFERROR(XLOOKUP(D65,'Source Ledger'!$B$5:$B$200,'Source Ledger'!$G$5:$G$200),0),IF(IFERROR(XLOOKUP(D65,'Source Ledger'!$B$5:$B$200,'Source Ledger'!$E$5:$E$200),"")="",IFERROR(XLOOKUP(D65,'Corrected Register'!$A$5:$A$200,'Corrected Register'!$M$5:$M$200),0),ABS(IFERROR(XLOOKUP(D65,'Source Ledger'!$B$5:$B$200,'Source Ledger'!$E$5:$E$200),0)-IFERROR(XLOOKUP(D65,'Corrected Register'!$A$5:$A$200,'Corrected Register'!$M$5:$M$200),0)))),IFERROR(XLOOKUP(D65,'Corrected Register'!$A$5:$A$200,'Corrected Register'!$N$5:$N$200),0))</f>
        <v/>
      </c>
      <c r="H65" s="7" t="inlineStr">
        <is>
          <t>Remove Tara Singh from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Offboarding left MD-00067 hanging on Tara Singh (E0080); status Separated in hr_employee_status, ticket OFF-00067. EX-0061.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Ledger'!$B$5:$B$200,'Source Ledger'!$H$5:$H$200),"")="Disposed",IFERROR(XLOOKUP(D66,'Source Ledger'!$B$5:$B$200,'Source Ledger'!$G$5:$G$200),0),IF(IFERROR(XLOOKUP(D66,'Source Ledger'!$B$5:$B$200,'Source Ledger'!$E$5:$E$200),"")="",IFERROR(XLOOKUP(D66,'Corrected Register'!$A$5:$A$200,'Corrected Register'!$M$5:$M$200),0),ABS(IFERROR(XLOOKUP(D66,'Source Ledger'!$B$5:$B$200,'Source Ledger'!$E$5:$E$200),0)-IFERROR(XLOOKUP(D66,'Corrected Register'!$A$5:$A$200,'Corrected Register'!$M$5:$M$200),0)))),IFERROR(XLOOKUP(D66,'Corrected Register'!$A$5:$A$200,'Corrected Register'!$N$5:$N$200),0))</f>
        <v/>
      </c>
      <c r="H66" s="7" t="inlineStr">
        <is>
          <t>EX-0062: IT Asset Specialist replaces Denver - Closed with operating site on MD-00067.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Location field debt on MD-00067: retire Denver - Closed, recognize operating site. Evidence of move is TR-00067. Work item EX-0062.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Ledger'!$B$5:$B$200,'Source Ledger'!$H$5:$H$200),"")="Disposed",IFERROR(XLOOKUP(D67,'Source Ledger'!$B$5:$B$200,'Source Ledger'!$G$5:$G$200),0),IF(IFERROR(XLOOKUP(D67,'Source Ledger'!$B$5:$B$200,'Source Ledger'!$E$5:$E$200),"")="",IFERROR(XLOOKUP(D67,'Corrected Register'!$A$5:$A$200,'Corrected Register'!$M$5:$M$200),0),ABS(IFERROR(XLOOKUP(D67,'Source Ledger'!$B$5:$B$200,'Source Ledger'!$E$5:$E$200),0)-IFERROR(XLOOKUP(D67,'Corrected Register'!$A$5:$A$200,'Corrected Register'!$M$5:$M$200),0)))),IFERROR(XLOOKUP(D67,'Corrected Register'!$A$5:$A$200,'Corrected Register'!$N$5:$N$200),0))</f>
        <v/>
      </c>
      <c r="H67" s="7" t="inlineStr">
        <is>
          <t>Escalate recovery of MD-00068; 1ZMD00000068 is not proof of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1ZMD00000068 for MD-00068 never advanced past Label Created; no acceptance, delivery, or receiving scan for MD-NE-050068 (EX-0063).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Ledger'!$B$5:$B$200,'Source Ledger'!$H$5:$H$200),"")="Disposed",IFERROR(XLOOKUP(D68,'Source Ledger'!$B$5:$B$200,'Source Ledger'!$G$5:$G$200),0),IF(IFERROR(XLOOKUP(D68,'Source Ledger'!$B$5:$B$200,'Source Ledger'!$E$5:$E$200),"")="",IFERROR(XLOOKUP(D68,'Corrected Register'!$A$5:$A$200,'Corrected Register'!$M$5:$M$200),0),ABS(IFERROR(XLOOKUP(D68,'Source Ledger'!$B$5:$B$200,'Source Ledger'!$E$5:$E$200),0)-IFERROR(XLOOKUP(D68,'Corrected Register'!$A$5:$A$200,'Corrected Register'!$M$5:$M$200),0)))),IFERROR(XLOOKUP(D68,'Corrected Register'!$A$5:$A$200,'Corrected Register'!$N$5:$N$200),0))</f>
        <v/>
      </c>
      <c r="H68" s="7" t="inlineStr">
        <is>
          <t>Reassign MD-00068 off separated Elliott Park to a stock/Regional IT bucket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Separated custodian Elliott Park (E0081) remains on MD-00068 after OFF-00068 closed. Clear under EX-0064.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Difference",IF(IFERROR(XLOOKUP(D69,'Source Ledger'!$B$5:$B$200,'Source Ledger'!$H$5:$H$200),"")="Disposed",IFERROR(XLOOKUP(D69,'Source Ledger'!$B$5:$B$200,'Source Ledger'!$G$5:$G$200),0),IF(IFERROR(XLOOKUP(D69,'Source Ledger'!$B$5:$B$200,'Source Ledger'!$E$5:$E$200),"")="",IFERROR(XLOOKUP(D69,'Corrected Register'!$A$5:$A$200,'Corrected Register'!$M$5:$M$200),0),ABS(IFERROR(XLOOKUP(D69,'Source Ledger'!$B$5:$B$200,'Source Ledger'!$E$5:$E$200),0)-IFERROR(XLOOKUP(D69,'Corrected Register'!$A$5:$A$200,'Corrected Register'!$M$5:$M$200),0)))),IFERROR(XLOOKUP(D69,'Corrected Register'!$A$5:$A$200,'Corrected Register'!$N$5:$N$200),0))</f>
        <v/>
      </c>
      <c r="H69" s="7" t="inlineStr">
        <is>
          <t>Align MD-00068 cost: register $6,425 vs ledger $6,480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PO-2022-0013 and FA-000068 disagree for MD-00068 ($6,425 vs $6,480) — EX-0065.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Ledger'!$B$5:$B$200,'Source Ledger'!$H$5:$H$200),"")="Disposed",IFERROR(XLOOKUP(D70,'Source Ledger'!$B$5:$B$200,'Source Ledger'!$G$5:$G$200),0),IF(IFERROR(XLOOKUP(D70,'Source Ledger'!$B$5:$B$200,'Source Ledger'!$E$5:$E$200),"")="",IFERROR(XLOOKUP(D70,'Corrected Register'!$A$5:$A$200,'Corrected Register'!$M$5:$M$200),0),ABS(IFERROR(XLOOKUP(D70,'Source Ledger'!$B$5:$B$200,'Source Ledger'!$E$5:$E$200),0)-IFERROR(XLOOKUP(D70,'Corrected Register'!$A$5:$A$200,'Corrected Register'!$M$5:$M$200),0)))),IFERROR(XLOOKUP(D70,'Corrected Register'!$A$5:$A$200,'Corrected Register'!$N$5:$N$200),0))</f>
        <v/>
      </c>
      <c r="H70" s="7" t="inlineStr">
        <is>
          <t>IT Asset Specialist: chase MD-00069 overdue return — Label Created only on 1ZMD00000069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OFF-00069 still open on paper for MD-00069; shipment 1ZMD00000069 shows Label Created only (EX-0066).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Ledger'!$B$5:$B$200,'Source Ledger'!$H$5:$H$200),"")="Disposed",IFERROR(XLOOKUP(D71,'Source Ledger'!$B$5:$B$200,'Source Ledger'!$G$5:$G$200),0),IF(IFERROR(XLOOKUP(D71,'Source Ledger'!$B$5:$B$200,'Source Ledger'!$E$5:$E$200),"")="",IFERROR(XLOOKUP(D71,'Corrected Register'!$A$5:$A$200,'Corrected Register'!$M$5:$M$200),0),ABS(IFERROR(XLOOKUP(D71,'Source Ledger'!$B$5:$B$200,'Source Ledger'!$E$5:$E$200),0)-IFERROR(XLOOKUP(D71,'Corrected Register'!$A$5:$A$200,'Corrected Register'!$M$5:$M$200),0)))),IFERROR(XLOOKUP(D71,'Corrected Register'!$A$5:$A$200,'Corrected Register'!$N$5:$N$200),0))</f>
        <v/>
      </c>
      <c r="H71" s="7" t="inlineStr">
        <is>
          <t>HR Operations Lead: clear former-employee assignment on MD-00069 (Carmen Diaz)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Offboarding left MD-00069 hanging on Carmen Diaz (E0082); status Separated in hr_employee_status, ticket OFF-00069. EX-0067.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Ledger'!$B$5:$B$200,'Source Ledger'!$H$5:$H$200),"")="Disposed",IFERROR(XLOOKUP(D72,'Source Ledger'!$B$5:$B$200,'Source Ledger'!$G$5:$G$200),0),IF(IFERROR(XLOOKUP(D72,'Source Ledger'!$B$5:$B$200,'Source Ledger'!$E$5:$E$200),"")="",IFERROR(XLOOKUP(D72,'Corrected Register'!$A$5:$A$200,'Corrected Register'!$M$5:$M$200),0),ABS(IFERROR(XLOOKUP(D72,'Source Ledger'!$B$5:$B$200,'Source Ledger'!$E$5:$E$200),0)-IFERROR(XLOOKUP(D72,'Corrected Register'!$A$5:$A$200,'Corrected Register'!$M$5:$M$200),0)))),IFERROR(XLOOKUP(D72,'Corrected Register'!$A$5:$A$200,'Corrected Register'!$N$5:$N$200),0))</f>
        <v/>
      </c>
      <c r="H72" s="7" t="inlineStr">
        <is>
          <t>Do not clear MD-00070 Available until carrier acceptance + receiving scan exist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Return clock on MD-00070 expired with only a prepaid label (1ZMD00000070) — not docked (EX-0068).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Ledger'!$B$5:$B$200,'Source Ledger'!$H$5:$H$200),"")="Disposed",IFERROR(XLOOKUP(D73,'Source Ledger'!$B$5:$B$200,'Source Ledger'!$G$5:$G$200),0),IF(IFERROR(XLOOKUP(D73,'Source Ledger'!$B$5:$B$200,'Source Ledger'!$E$5:$E$200),"")="",IFERROR(XLOOKUP(D73,'Corrected Register'!$A$5:$A$200,'Corrected Register'!$M$5:$M$200),0),ABS(IFERROR(XLOOKUP(D73,'Source Ledger'!$B$5:$B$200,'Source Ledger'!$E$5:$E$200),0)-IFERROR(XLOOKUP(D73,'Corrected Register'!$A$5:$A$200,'Corrected Register'!$M$5:$M$200),0)))),IFERROR(XLOOKUP(D73,'Corrected Register'!$A$5:$A$200,'Corrected Register'!$N$5:$N$200),0))</f>
        <v/>
      </c>
      <c r="H73" s="7" t="inlineStr">
        <is>
          <t>HR Operations Lead: clear former-employee assignment on MD-00070 (Hugh Talbot)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is still assigned to Hugh Talbot (E0083), whose hr_employee_status row is Separated; OFF-00070 closed with no custodian rewrite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Ledger'!$B$5:$B$200,'Source Ledger'!$H$5:$H$200),"")="Disposed",IFERROR(XLOOKUP(D74,'Source Ledger'!$B$5:$B$200,'Source Ledger'!$G$5:$G$200),0),IF(IFERROR(XLOOKUP(D74,'Source Ledger'!$B$5:$B$200,'Source Ledger'!$E$5:$E$200),"")="",IFERROR(XLOOKUP(D74,'Corrected Register'!$A$5:$A$200,'Corrected Register'!$M$5:$M$200),0),ABS(IFERROR(XLOOKUP(D74,'Source Ledger'!$B$5:$B$200,'Source Ledger'!$E$5:$E$200),0)-IFERROR(XLOOKUP(D74,'Corrected Register'!$A$5:$A$200,'Corrected Register'!$M$5:$M$200),0)))),IFERROR(XLOOKUP(D74,'Corrected Register'!$A$5:$A$200,'Corrected Register'!$N$5:$N$200),0))</f>
        <v/>
      </c>
      <c r="H74" s="7" t="inlineStr">
        <is>
          <t>Escalate recovery of MD-00071; 1ZMD00000071 is not proof of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1ZMD00000071 for MD-00071 never advanced past Label Created; no acceptance, delivery, or receiving scan for MD-MO-050071 (EX-0070).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Ledger'!$B$5:$B$200,'Source Ledger'!$H$5:$H$200),"")="Disposed",IFERROR(XLOOKUP(D75,'Source Ledger'!$B$5:$B$200,'Source Ledger'!$G$5:$G$200),0),IF(IFERROR(XLOOKUP(D75,'Source Ledger'!$B$5:$B$200,'Source Ledger'!$E$5:$E$200),"")="",IFERROR(XLOOKUP(D75,'Corrected Register'!$A$5:$A$200,'Corrected Register'!$M$5:$M$200),0),ABS(IFERROR(XLOOKUP(D75,'Source Ledger'!$B$5:$B$200,'Source Ledger'!$E$5:$E$200),0)-IFERROR(XLOOKUP(D75,'Corrected Register'!$A$5:$A$200,'Corrected Register'!$M$5:$M$200),0)))),IFERROR(XLOOKUP(D75,'Corrected Register'!$A$5:$A$200,'Corrected Register'!$N$5:$N$200),0))</f>
        <v/>
      </c>
      <c r="H75" s="7" t="inlineStr">
        <is>
          <t>Remove Mira Adelman from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Separated custodian Mira Adelman (E0084) remains on MD-00071 after OFF-00071 closed. Clear under EX-0071.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Ledger'!$B$5:$B$200,'Source Ledger'!$H$5:$H$200),"")="Disposed",IFERROR(XLOOKUP(D76,'Source Ledger'!$B$5:$B$200,'Source Ledger'!$G$5:$G$200),0),IF(IFERROR(XLOOKUP(D76,'Source Ledger'!$B$5:$B$200,'Source Ledger'!$E$5:$E$200),"")="",IFERROR(XLOOKUP(D76,'Corrected Register'!$A$5:$A$200,'Corrected Register'!$M$5:$M$200),0),ABS(IFERROR(XLOOKUP(D76,'Source Ledger'!$B$5:$B$200,'Source Ledger'!$E$5:$E$200),0)-IFERROR(XLOOKUP(D76,'Corrected Register'!$A$5:$A$200,'Corrected Register'!$M$5:$M$200),0)))),IFERROR(XLOOKUP(D76,'Corrected Register'!$A$5:$A$200,'Corrected Register'!$N$5:$N$200),0))</f>
        <v/>
      </c>
      <c r="H76" s="7" t="inlineStr">
        <is>
          <t>Do not clear MD-00072 Available until carrier acceptance + receiving scan exist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Return clock on MD-00072 expired with only a prepaid label (1ZMD00000072) — not docked (EX-0072).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Ledger'!$B$5:$B$200,'Source Ledger'!$H$5:$H$200),"")="Disposed",IFERROR(XLOOKUP(D77,'Source Ledger'!$B$5:$B$200,'Source Ledger'!$G$5:$G$200),0),IF(IFERROR(XLOOKUP(D77,'Source Ledger'!$B$5:$B$200,'Source Ledger'!$E$5:$E$200),"")="",IFERROR(XLOOKUP(D77,'Corrected Register'!$A$5:$A$200,'Corrected Register'!$M$5:$M$200),0),ABS(IFERROR(XLOOKUP(D77,'Source Ledger'!$B$5:$B$200,'Source Ledger'!$E$5:$E$200),0)-IFERROR(XLOOKUP(D77,'Corrected Register'!$A$5:$A$200,'Corrected Register'!$M$5:$M$200),0)))),IFERROR(XLOOKUP(D77,'Corrected Register'!$A$5:$A$200,'Corrected Register'!$N$5:$N$200),0))</f>
        <v/>
      </c>
      <c r="H77" s="7" t="inlineStr">
        <is>
          <t>Reassign MD-00072 off separated Quincy Rhodes to a stock/Regional IT bucket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HR shows Quincy Rhodes (E0085) terminated, yet the register still lists them on MD-00072 (OFF-00072) —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Ledger'!$B$5:$B$200,'Source Ledger'!$H$5:$H$200),"")="Disposed",IFERROR(XLOOKUP(D78,'Source Ledger'!$B$5:$B$200,'Source Ledger'!$G$5:$G$200),0),IF(IFERROR(XLOOKUP(D78,'Source Ledger'!$B$5:$B$200,'Source Ledger'!$E$5:$E$200),"")="",IFERROR(XLOOKUP(D78,'Corrected Register'!$A$5:$A$200,'Corrected Register'!$M$5:$M$200),0),ABS(IFERROR(XLOOKUP(D78,'Source Ledger'!$B$5:$B$200,'Source Ledger'!$E$5:$E$200),0)-IFERROR(XLOOKUP(D78,'Corrected Register'!$A$5:$A$200,'Corrected Register'!$M$5:$M$200),0)))),IFERROR(XLOOKUP(D78,'Corrected Register'!$A$5:$A$200,'Corrected Register'!$N$5:$N$200),0))</f>
        <v/>
      </c>
      <c r="H78" s="7" t="inlineStr">
        <is>
          <t>Do not clear MD-00073 Available until carrier acceptance + receiving scan exist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OFF-00073 still open on paper for MD-00073; shipment 1ZMD00000073 shows Label Created only (EX-0074).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Ledger'!$B$5:$B$200,'Source Ledger'!$H$5:$H$200),"")="Disposed",IFERROR(XLOOKUP(D79,'Source Ledger'!$B$5:$B$200,'Source Ledger'!$G$5:$G$200),0),IF(IFERROR(XLOOKUP(D79,'Source Ledger'!$B$5:$B$200,'Source Ledger'!$E$5:$E$200),"")="",IFERROR(XLOOKUP(D79,'Corrected Register'!$A$5:$A$200,'Corrected Register'!$M$5:$M$200),0),ABS(IFERROR(XLOOKUP(D79,'Source Ledger'!$B$5:$B$200,'Source Ledger'!$E$5:$E$200),0)-IFERROR(XLOOKUP(D79,'Corrected Register'!$A$5:$A$200,'Corrected Register'!$M$5:$M$200),0)))),IFERROR(XLOOKUP(D79,'Corrected Register'!$A$5:$A$200,'Corrected Register'!$N$5:$N$200),0))</f>
        <v/>
      </c>
      <c r="H79" s="7" t="inlineStr">
        <is>
          <t>HR Operations Lead: clear former-employee assignment on MD-00073 (Sloane Richter)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HR shows Sloane Richter (E0086) terminated, yet the register still lists them on MD-00073 (OFF-00073) —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Ledger'!$B$5:$B$200,'Source Ledger'!$H$5:$H$200),"")="Disposed",IFERROR(XLOOKUP(D80,'Source Ledger'!$B$5:$B$200,'Source Ledger'!$G$5:$G$200),0),IF(IFERROR(XLOOKUP(D80,'Source Ledger'!$B$5:$B$200,'Source Ledger'!$E$5:$E$200),"")="",IFERROR(XLOOKUP(D80,'Corrected Register'!$A$5:$A$200,'Corrected Register'!$M$5:$M$200),0),ABS(IFERROR(XLOOKUP(D80,'Source Ledger'!$B$5:$B$200,'Source Ledger'!$E$5:$E$200),0)-IFERROR(XLOOKUP(D80,'Corrected Register'!$A$5:$A$200,'Corrected Register'!$M$5:$M$200),0)))),IFERROR(XLOOKUP(D80,'Corrected Register'!$A$5:$A$200,'Corrected Register'!$N$5:$N$200),0))</f>
        <v/>
      </c>
      <c r="H80" s="7" t="inlineStr">
        <is>
          <t>Critical certification blocker — IT Operations Manager: block Available on MD-00074 until mismatch cleared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Critical certification blocker — Serial clash on MD-00074 (MISMATCH-0074 vs MD-MO-050074 via 1ZMD00000074). Do not clear Available.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Ledger'!$B$5:$B$200,'Source Ledger'!$H$5:$H$200),"")="Disposed",IFERROR(XLOOKUP(D81,'Source Ledger'!$B$5:$B$200,'Source Ledger'!$G$5:$G$200),0),IF(IFERROR(XLOOKUP(D81,'Source Ledger'!$B$5:$B$200,'Source Ledger'!$E$5:$E$200),"")="",IFERROR(XLOOKUP(D81,'Corrected Register'!$A$5:$A$200,'Corrected Register'!$M$5:$M$200),0),ABS(IFERROR(XLOOKUP(D81,'Source Ledger'!$B$5:$B$200,'Source Ledger'!$E$5:$E$200),0)-IFERROR(XLOOKUP(D81,'Corrected Register'!$A$5:$A$200,'Corrected Register'!$M$5:$M$200),0)))),IFERROR(XLOOKUP(D81,'Corrected Register'!$A$5:$A$200,'Corrected Register'!$N$5:$N$200),0))</f>
        <v/>
      </c>
      <c r="H81" s="7" t="inlineStr">
        <is>
          <t>HR Operations Lead: clear former-employee assignment on MD-00074 (Nolan Vega)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HR shows Nolan Vega (E0087) terminated, yet the register still lists them on MD-00074 (OFF-00074) —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Ledger'!$B$5:$B$200,'Source Ledger'!$H$5:$H$200),"")="Disposed",IFERROR(XLOOKUP(D82,'Source Ledger'!$B$5:$B$200,'Source Ledger'!$G$5:$G$200),0),IF(IFERROR(XLOOKUP(D82,'Source Ledger'!$B$5:$B$200,'Source Ledger'!$E$5:$E$200),"")="",IFERROR(XLOOKUP(D82,'Corrected Register'!$A$5:$A$200,'Corrected Register'!$M$5:$M$200),0),ABS(IFERROR(XLOOKUP(D82,'Source Ledger'!$B$5:$B$200,'Source Ledger'!$E$5:$E$200),0)-IFERROR(XLOOKUP(D82,'Corrected Register'!$A$5:$A$200,'Corrected Register'!$M$5:$M$200),0)))),IFERROR(XLOOKUP(D82,'Corrected Register'!$A$5:$A$200,'Corrected Register'!$N$5:$N$200),0))</f>
        <v/>
      </c>
      <c r="H82" s="7" t="inlineStr">
        <is>
          <t>Escalate recovery of MD-00074; 1ZMD00000074 is not proof of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Cannot treat MD-00074 as returned: 1ZMD00000074 lacks carrier acceptance and receiving scan for MD-MO-050074 (EX-0078).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Ledger'!$B$5:$B$200,'Source Ledger'!$H$5:$H$200),"")="Disposed",IFERROR(XLOOKUP(D83,'Source Ledger'!$B$5:$B$200,'Source Ledger'!$G$5:$G$200),0),IF(IFERROR(XLOOKUP(D83,'Source Ledger'!$B$5:$B$200,'Source Ledger'!$E$5:$E$200),"")="",IFERROR(XLOOKUP(D83,'Corrected Register'!$A$5:$A$200,'Corrected Register'!$M$5:$M$200),0),ABS(IFERROR(XLOOKUP(D83,'Source Ledger'!$B$5:$B$200,'Source Ledger'!$E$5:$E$200),0)-IFERROR(XLOOKUP(D83,'Corrected Register'!$A$5:$A$200,'Corrected Register'!$M$5:$M$200),0)))),IFERROR(XLOOKUP(D83,'Corrected Register'!$A$5:$A$200,'Corrected Register'!$N$5:$N$200),0))</f>
        <v/>
      </c>
      <c r="H83" s="7" t="inlineStr">
        <is>
          <t>Escalate recovery of MD-00075; 1ZMD00000075 is not proof of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still open on paper for MD-00075; shipment 1ZMD00000075 shows Label Created only (EX-0079).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Ledger'!$B$5:$B$200,'Source Ledger'!$H$5:$H$200),"")="Disposed",IFERROR(XLOOKUP(D84,'Source Ledger'!$B$5:$B$200,'Source Ledger'!$G$5:$G$200),0),IF(IFERROR(XLOOKUP(D84,'Source Ledger'!$B$5:$B$200,'Source Ledger'!$E$5:$E$200),"")="",IFERROR(XLOOKUP(D84,'Corrected Register'!$A$5:$A$200,'Corrected Register'!$M$5:$M$200),0),ABS(IFERROR(XLOOKUP(D84,'Source Ledger'!$B$5:$B$200,'Source Ledger'!$E$5:$E$200),0)-IFERROR(XLOOKUP(D84,'Corrected Register'!$A$5:$A$200,'Corrected Register'!$M$5:$M$200),0)))),IFERROR(XLOOKUP(D84,'Corrected Register'!$A$5:$A$200,'Corrected Register'!$N$5:$N$200),0))</f>
        <v/>
      </c>
      <c r="H84" s="7" t="inlineStr">
        <is>
          <t>Reassign MD-00075 off separated Ivy Chenoweth to a stock/Regional IT bucket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Separated custodian Ivy Chenoweth (E0088) remains on MD-00075 after OFF-00075 closed. Clear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Ledger'!$B$5:$B$200,'Source Ledger'!$H$5:$H$200),"")="Disposed",IFERROR(XLOOKUP(D85,'Source Ledger'!$B$5:$B$200,'Source Ledger'!$G$5:$G$200),0),IF(IFERROR(XLOOKUP(D85,'Source Ledger'!$B$5:$B$200,'Source Ledger'!$E$5:$E$200),"")="",IFERROR(XLOOKUP(D85,'Corrected Register'!$A$5:$A$200,'Corrected Register'!$M$5:$M$200),0),ABS(IFERROR(XLOOKUP(D85,'Source Ledger'!$B$5:$B$200,'Source Ledger'!$E$5:$E$200),0)-IFERROR(XLOOKUP(D85,'Corrected Register'!$A$5:$A$200,'Corrected Register'!$M$5:$M$200),0)))),IFERROR(XLOOKUP(D85,'Corrected Register'!$A$5:$A$200,'Corrected Register'!$N$5:$N$200),0))</f>
        <v/>
      </c>
      <c r="H85" s="7" t="inlineStr">
        <is>
          <t>Critical certification blocker — IT Operations Manager: block Available on MD-00076 until mismatch cleared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Critical certification blocker — Inbound MISMATCH-0076 on 1ZMD00000076 disagrees with register MD-NE-050076; MD-00076 stays In Transit - Exception until reconciled.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Ledger'!$B$5:$B$200,'Source Ledger'!$H$5:$H$200),"")="Disposed",IFERROR(XLOOKUP(D86,'Source Ledger'!$B$5:$B$200,'Source Ledger'!$G$5:$G$200),0),IF(IFERROR(XLOOKUP(D86,'Source Ledger'!$B$5:$B$200,'Source Ledger'!$E$5:$E$200),"")="",IFERROR(XLOOKUP(D86,'Corrected Register'!$A$5:$A$200,'Corrected Register'!$M$5:$M$200),0),ABS(IFERROR(XLOOKUP(D86,'Source Ledger'!$B$5:$B$200,'Source Ledger'!$E$5:$E$200),0)-IFERROR(XLOOKUP(D86,'Corrected Register'!$A$5:$A$200,'Corrected Register'!$M$5:$M$200),0)))),IFERROR(XLOOKUP(D86,'Corrected Register'!$A$5:$A$200,'Corrected Register'!$N$5:$N$200),0))</f>
        <v/>
      </c>
      <c r="H86" s="7" t="inlineStr">
        <is>
          <t>HR Operations Lead: clear former-employee assignment on MD-00076 (Percy Lambert)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Separated custodian Percy Lambert (E0089) remains on MD-00076 after OFF-00076 closed. Clear under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Ledger'!$B$5:$B$200,'Source Ledger'!$H$5:$H$200),"")="Disposed",IFERROR(XLOOKUP(D87,'Source Ledger'!$B$5:$B$200,'Source Ledger'!$G$5:$G$200),0),IF(IFERROR(XLOOKUP(D87,'Source Ledger'!$B$5:$B$200,'Source Ledger'!$E$5:$E$200),"")="",IFERROR(XLOOKUP(D87,'Corrected Register'!$A$5:$A$200,'Corrected Register'!$M$5:$M$200),0),ABS(IFERROR(XLOOKUP(D87,'Source Ledger'!$B$5:$B$200,'Source Ledger'!$E$5:$E$200),0)-IFERROR(XLOOKUP(D87,'Corrected Register'!$A$5:$A$200,'Corrected Register'!$M$5:$M$200),0)))),IFERROR(XLOOKUP(D87,'Corrected Register'!$A$5:$A$200,'Corrected Register'!$N$5:$N$200),0))</f>
        <v/>
      </c>
      <c r="H87" s="7" t="inlineStr">
        <is>
          <t>IT Asset Specialist: chase MD-00076 overdue return — Label Created only on 1ZMD00000076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Return clock on MD-00076 expired with only a prepaid label (1ZMD00000076) — not docked (EX-0083).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Ledger'!$B$5:$B$200,'Source Ledger'!$H$5:$H$200),"")="Disposed",IFERROR(XLOOKUP(D88,'Source Ledger'!$B$5:$B$200,'Source Ledger'!$G$5:$G$200),0),IF(IFERROR(XLOOKUP(D88,'Source Ledger'!$B$5:$B$200,'Source Ledger'!$E$5:$E$200),"")="",IFERROR(XLOOKUP(D88,'Corrected Register'!$A$5:$A$200,'Corrected Register'!$M$5:$M$200),0),ABS(IFERROR(XLOOKUP(D88,'Source Ledger'!$B$5:$B$200,'Source Ledger'!$E$5:$E$200),0)-IFERROR(XLOOKUP(D88,'Corrected Register'!$A$5:$A$200,'Corrected Register'!$M$5:$M$200),0)))),IFERROR(XLOOKUP(D88,'Corrected Register'!$A$5:$A$200,'Corrected Register'!$N$5:$N$200),0))</f>
        <v/>
      </c>
      <c r="H88" s="7" t="inlineStr">
        <is>
          <t>Escalate recovery of MD-00077; 1ZMD00000077 is not proof of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1ZMD00000077 for MD-00077 never advanced past Label Created; no acceptance, delivery, or receiving scan for MD-LA-050077 (EX-0084).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Ledger'!$B$5:$B$200,'Source Ledger'!$H$5:$H$200),"")="Disposed",IFERROR(XLOOKUP(D89,'Source Ledger'!$B$5:$B$200,'Source Ledger'!$G$5:$G$200),0),IF(IFERROR(XLOOKUP(D89,'Source Ledger'!$B$5:$B$200,'Source Ledger'!$E$5:$E$200),"")="",IFERROR(XLOOKUP(D89,'Corrected Register'!$A$5:$A$200,'Corrected Register'!$M$5:$M$200),0),ABS(IFERROR(XLOOKUP(D89,'Source Ledger'!$B$5:$B$200,'Source Ledger'!$E$5:$E$200),0)-IFERROR(XLOOKUP(D89,'Corrected Register'!$A$5:$A$200,'Corrected Register'!$M$5:$M$200),0)))),IFERROR(XLOOKUP(D89,'Corrected Register'!$A$5:$A$200,'Corrected Register'!$N$5:$N$200),0))</f>
        <v/>
      </c>
      <c r="H89" s="7" t="inlineStr">
        <is>
          <t>Remove Dana Ghosh from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left MD-00077 hanging on Dana Ghosh (E0090); status Separated in hr_employee_status, ticket OFF-00077.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Ledger'!$B$5:$B$200,'Source Ledger'!$H$5:$H$200),"")="Disposed",IFERROR(XLOOKUP(D90,'Source Ledger'!$B$5:$B$200,'Source Ledger'!$G$5:$G$200),0),IF(IFERROR(XLOOKUP(D90,'Source Ledger'!$B$5:$B$200,'Source Ledger'!$E$5:$E$200),"")="",IFERROR(XLOOKUP(D90,'Corrected Register'!$A$5:$A$200,'Corrected Register'!$M$5:$M$200),0),ABS(IFERROR(XLOOKUP(D90,'Source Ledger'!$B$5:$B$200,'Source Ledger'!$E$5:$E$200),0)-IFERROR(XLOOKUP(D90,'Corrected Register'!$A$5:$A$200,'Corrected Register'!$M$5:$M$200),0)))),IFERROR(XLOOKUP(D90,'Corrected Register'!$A$5:$A$200,'Corrected Register'!$N$5:$N$200),0))</f>
        <v/>
      </c>
      <c r="H90" s="7" t="inlineStr">
        <is>
          <t>Escalate recovery of MD-00078; 1ZMD00000078 is not proof of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Return clock on MD-00078 expired with only a prepaid label (1ZMD00000078) — not docked (EX-0086).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Ledger'!$B$5:$B$200,'Source Ledger'!$H$5:$H$200),"")="Disposed",IFERROR(XLOOKUP(D91,'Source Ledger'!$B$5:$B$200,'Source Ledger'!$G$5:$G$200),0),IF(IFERROR(XLOOKUP(D91,'Source Ledger'!$B$5:$B$200,'Source Ledger'!$E$5:$E$200),"")="",IFERROR(XLOOKUP(D91,'Corrected Register'!$A$5:$A$200,'Corrected Register'!$M$5:$M$200),0),ABS(IFERROR(XLOOKUP(D91,'Source Ledger'!$B$5:$B$200,'Source Ledger'!$E$5:$E$200),0)-IFERROR(XLOOKUP(D91,'Corrected Register'!$A$5:$A$200,'Corrected Register'!$M$5:$M$200),0)))),IFERROR(XLOOKUP(D91,'Corrected Register'!$A$5:$A$200,'Corrected Register'!$N$5:$N$200),0))</f>
        <v/>
      </c>
      <c r="H91" s="7" t="inlineStr">
        <is>
          <t>Reassign MD-00078 off separated Harlan Smith to a stock/Regional IT bucket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MD-00078 is still assigned to Harlan Smith (E0091), whose hr_employee_status row is Separated; OFF-00078 closed with no custodian rewrite (EX-0087).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Ledger'!$B$5:$B$200,'Source Ledger'!$H$5:$H$200),"")="Disposed",IFERROR(XLOOKUP(D92,'Source Ledger'!$B$5:$B$200,'Source Ledger'!$G$5:$G$200),0),IF(IFERROR(XLOOKUP(D92,'Source Ledger'!$B$5:$B$200,'Source Ledger'!$E$5:$E$200),"")="",IFERROR(XLOOKUP(D92,'Corrected Register'!$A$5:$A$200,'Corrected Register'!$M$5:$M$200),0),ABS(IFERROR(XLOOKUP(D92,'Source Ledger'!$B$5:$B$200,'Source Ledger'!$E$5:$E$200),0)-IFERROR(XLOOKUP(D92,'Corrected Register'!$A$5:$A$200,'Corrected Register'!$M$5:$M$200),0)))),IFERROR(XLOOKUP(D92,'Corrected Register'!$A$5:$A$200,'Corrected Register'!$N$5:$N$200),0))</f>
        <v/>
      </c>
      <c r="H92" s="7" t="inlineStr">
        <is>
          <t>Do not clear MD-00079 Available until carrier acceptance + receiving scan exist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OFF-00079 still open on paper for MD-00079; shipment 1ZMD00000079 shows Label Created only (EX-0088).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Ledger'!$B$5:$B$200,'Source Ledger'!$H$5:$H$200),"")="Disposed",IFERROR(XLOOKUP(D93,'Source Ledger'!$B$5:$B$200,'Source Ledger'!$G$5:$G$200),0),IF(IFERROR(XLOOKUP(D93,'Source Ledger'!$B$5:$B$200,'Source Ledger'!$E$5:$E$200),"")="",IFERROR(XLOOKUP(D93,'Corrected Register'!$A$5:$A$200,'Corrected Register'!$M$5:$M$200),0),ABS(IFERROR(XLOOKUP(D93,'Source Ledger'!$B$5:$B$200,'Source Ledger'!$E$5:$E$200),0)-IFERROR(XLOOKUP(D93,'Corrected Register'!$A$5:$A$200,'Corrected Register'!$M$5:$M$200),0)))),IFERROR(XLOOKUP(D93,'Corrected Register'!$A$5:$A$200,'Corrected Register'!$N$5:$N$200),0))</f>
        <v/>
      </c>
      <c r="H93" s="7" t="inlineStr">
        <is>
          <t>HR Operations Lead: clear former-employee assignment on MD-00079 (June Okoye)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MD-00079 is still assigned to June Okoye (E0092), whose hr_employee_status row is Separated; OFF-00079 closed with no custodian rewrite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Ledger'!$B$5:$B$200,'Source Ledger'!$H$5:$H$200),"")="Disposed",IFERROR(XLOOKUP(D94,'Source Ledger'!$B$5:$B$200,'Source Ledger'!$G$5:$G$200),0),IF(IFERROR(XLOOKUP(D94,'Source Ledger'!$B$5:$B$200,'Source Ledger'!$E$5:$E$200),"")="",IFERROR(XLOOKUP(D94,'Corrected Register'!$A$5:$A$200,'Corrected Register'!$M$5:$M$200),0),ABS(IFERROR(XLOOKUP(D94,'Source Ledger'!$B$5:$B$200,'Source Ledger'!$E$5:$E$200),0)-IFERROR(XLOOKUP(D94,'Corrected Register'!$A$5:$A$200,'Corrected Register'!$M$5:$M$200),0)))),IFERROR(XLOOKUP(D94,'Corrected Register'!$A$5:$A$200,'Corrected Register'!$N$5:$N$200),0))</f>
        <v/>
      </c>
      <c r="H94" s="7" t="inlineStr">
        <is>
          <t>HR Operations Lead: clear former-employee assignment on MD-00080 (Rory Phelps)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MD-00080 is still assigned to Rory Phelps (E0093), whose hr_employee_status row is Separated; OFF-00080 closed with no custodian rewrite (EX-0090).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Ledger'!$B$5:$B$200,'Source Ledger'!$H$5:$H$200),"")="Disposed",IFERROR(XLOOKUP(D95,'Source Ledger'!$B$5:$B$200,'Source Ledger'!$G$5:$G$200),0),IF(IFERROR(XLOOKUP(D95,'Source Ledger'!$B$5:$B$200,'Source Ledger'!$E$5:$E$200),"")="",IFERROR(XLOOKUP(D95,'Corrected Register'!$A$5:$A$200,'Corrected Register'!$M$5:$M$200),0),ABS(IFERROR(XLOOKUP(D95,'Source Ledger'!$B$5:$B$200,'Source Ledger'!$E$5:$E$200),0)-IFERROR(XLOOKUP(D95,'Corrected Register'!$A$5:$A$200,'Corrected Register'!$M$5:$M$200),0)))),IFERROR(XLOOKUP(D95,'Corrected Register'!$A$5:$A$200,'Corrected Register'!$N$5:$N$200),0))</f>
        <v/>
      </c>
      <c r="H95" s="7" t="inlineStr">
        <is>
          <t>HR Operations Lead: clear former-employee assignment on MD-00081 (Cecilia Hart)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Offboarding left MD-00081 hanging on Cecilia Hart (E0094); status Separated in hr_employee_status, ticket OFF-00081. EX-0091.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Ledger'!$B$5:$B$200,'Source Ledger'!$H$5:$H$200),"")="Disposed",IFERROR(XLOOKUP(D96,'Source Ledger'!$B$5:$B$200,'Source Ledger'!$G$5:$G$200),0),IF(IFERROR(XLOOKUP(D96,'Source Ledger'!$B$5:$B$200,'Source Ledger'!$E$5:$E$200),"")="",IFERROR(XLOOKUP(D96,'Corrected Register'!$A$5:$A$200,'Corrected Register'!$M$5:$M$200),0),ABS(IFERROR(XLOOKUP(D96,'Source Ledger'!$B$5:$B$200,'Source Ledger'!$E$5:$E$200),0)-IFERROR(XLOOKUP(D96,'Corrected Register'!$A$5:$A$200,'Corrected Register'!$M$5:$M$200),0)))),IFERROR(XLOOKUP(D96,'Corrected Register'!$A$5:$A$200,'Corrected Register'!$N$5:$N$200),0))</f>
        <v/>
      </c>
      <c r="H96" s="7" t="inlineStr">
        <is>
          <t>Critical certification blocker — 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Critical certification blocker — Atlanta dock photo receiving_exception_scan_1ZMD00000082.png is a HOLD lead only; MISMATCH-0082 on 1ZMD00000082 does not match register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Ledger'!$B$5:$B$200,'Source Ledger'!$H$5:$H$200),"")="Disposed",IFERROR(XLOOKUP(D97,'Source Ledger'!$B$5:$B$200,'Source Ledger'!$G$5:$G$200),0),IF(IFERROR(XLOOKUP(D97,'Source Ledger'!$B$5:$B$200,'Source Ledger'!$E$5:$E$200),"")="",IFERROR(XLOOKUP(D97,'Corrected Register'!$A$5:$A$200,'Corrected Register'!$M$5:$M$200),0),ABS(IFERROR(XLOOKUP(D97,'Source Ledger'!$B$5:$B$200,'Source Ledger'!$E$5:$E$200),0)-IFERROR(XLOOKUP(D97,'Corrected Register'!$A$5:$A$200,'Corrected Register'!$M$5:$M$200),0)))),IFERROR(XLOOKUP(D97,'Corrected Register'!$A$5:$A$200,'Corrected Register'!$N$5:$N$200),0))</f>
        <v/>
      </c>
      <c r="H97" s="7" t="inlineStr">
        <is>
          <t>Remove Emmett Boyle from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MD-00082 is still assigned to Emmett Boyle (E0095), whose hr_employee_status row is Separated; OFF-00082 closed with no custodian rewrite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Ledger'!$B$5:$B$200,'Source Ledger'!$H$5:$H$200),"")="Disposed",IFERROR(XLOOKUP(D98,'Source Ledger'!$B$5:$B$200,'Source Ledger'!$G$5:$G$200),0),IF(IFERROR(XLOOKUP(D98,'Source Ledger'!$B$5:$B$200,'Source Ledger'!$E$5:$E$200),"")="",IFERROR(XLOOKUP(D98,'Corrected Register'!$A$5:$A$200,'Corrected Register'!$M$5:$M$200),0),ABS(IFERROR(XLOOKUP(D98,'Source Ledger'!$B$5:$B$200,'Source Ledger'!$E$5:$E$200),0)-IFERROR(XLOOKUP(D98,'Corrected Register'!$A$5:$A$200,'Corrected Register'!$M$5:$M$200),0)))),IFERROR(XLOOKUP(D98,'Corrected Register'!$A$5:$A$200,'Corrected Register'!$N$5:$N$200),0))</f>
        <v/>
      </c>
      <c r="H98" s="7" t="inlineStr">
        <is>
          <t>Remove Sean McCabe from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HR shows Sean McCabe (E0071) terminated, yet the register still lists them on MD-00083 (OFF-00083) —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Ledger'!$B$5:$B$200,'Source Ledger'!$H$5:$H$200),"")="Disposed",IFERROR(XLOOKUP(D99,'Source Ledger'!$B$5:$B$200,'Source Ledger'!$G$5:$G$200),0),IF(IFERROR(XLOOKUP(D99,'Source Ledger'!$B$5:$B$200,'Source Ledger'!$E$5:$E$200),"")="",IFERROR(XLOOKUP(D99,'Corrected Register'!$A$5:$A$200,'Corrected Register'!$M$5:$M$200),0),ABS(IFERROR(XLOOKUP(D99,'Source Ledger'!$B$5:$B$200,'Source Ledger'!$E$5:$E$200),0)-IFERROR(XLOOKUP(D99,'Corrected Register'!$A$5:$A$200,'Corrected Register'!$M$5:$M$200),0)))),IFERROR(XLOOKUP(D99,'Corrected Register'!$A$5:$A$200,'Corrected Register'!$N$5:$N$200),0))</f>
        <v/>
      </c>
      <c r="H99" s="7" t="inlineStr">
        <is>
          <t>Critical certification blocker — Resolve MISMATCH-0084 vs MD-NE-050084 on 1ZMD00000084 for MD-00084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Critical certification blocker — Inbound MISMATCH-0084 on 1ZMD00000084 disagrees with register MD-NE-050084; MD-00084 stays In Transit - Exception until reconciled.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Ledger'!$B$5:$B$200,'Source Ledger'!$H$5:$H$200),"")="Disposed",IFERROR(XLOOKUP(D100,'Source Ledger'!$B$5:$B$200,'Source Ledger'!$G$5:$G$200),0),IF(IFERROR(XLOOKUP(D100,'Source Ledger'!$B$5:$B$200,'Source Ledger'!$E$5:$E$200),"")="",IFERROR(XLOOKUP(D100,'Corrected Register'!$A$5:$A$200,'Corrected Register'!$M$5:$M$200),0),ABS(IFERROR(XLOOKUP(D100,'Source Ledger'!$B$5:$B$200,'Source Ledger'!$E$5:$E$200),0)-IFERROR(XLOOKUP(D100,'Corrected Register'!$A$5:$A$200,'Corrected Register'!$M$5:$M$200),0)))),IFERROR(XLOOKUP(D100,'Corrected Register'!$A$5:$A$200,'Corrected Register'!$N$5:$N$200),0))</f>
        <v/>
      </c>
      <c r="H100" s="7" t="inlineStr">
        <is>
          <t>Reassign MD-00084 off separated Anita Bose to a stock/Regional IT bucket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left MD-00084 hanging on Anita Bose (E0072); status Separated in hr_employee_status, ticket OFF-00084.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Ledger'!$B$5:$B$200,'Source Ledger'!$H$5:$H$200),"")="Disposed",IFERROR(XLOOKUP(D101,'Source Ledger'!$B$5:$B$200,'Source Ledger'!$G$5:$G$200),0),IF(IFERROR(XLOOKUP(D101,'Source Ledger'!$B$5:$B$200,'Source Ledger'!$E$5:$E$200),"")="",IFERROR(XLOOKUP(D101,'Corrected Register'!$A$5:$A$200,'Corrected Register'!$M$5:$M$200),0),ABS(IFERROR(XLOOKUP(D101,'Source Ledger'!$B$5:$B$200,'Source Ledger'!$E$5:$E$200),0)-IFERROR(XLOOKUP(D101,'Corrected Register'!$A$5:$A$200,'Corrected Register'!$M$5:$M$200),0)))),IFERROR(XLOOKUP(D101,'Corrected Register'!$A$5:$A$200,'Corrected Register'!$N$5:$N$200),0))</f>
        <v/>
      </c>
      <c r="H101" s="7" t="inlineStr">
        <is>
          <t>Reassign MD-00085 off separated Drew Carmichael to a stock/Regional IT bucket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HR shows Drew Carmichael (E0073) terminated, yet the register still lists them on MD-00085 (OFF-00085) — EX-0097.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Difference",IF(IFERROR(XLOOKUP(D102,'Source Ledger'!$B$5:$B$200,'Source Ledger'!$H$5:$H$200),"")="Disposed",IFERROR(XLOOKUP(D102,'Source Ledger'!$B$5:$B$200,'Source Ledger'!$G$5:$G$200),0),IF(IFERROR(XLOOKUP(D102,'Source Ledger'!$B$5:$B$200,'Source Ledger'!$E$5:$E$200),"")="",IFERROR(XLOOKUP(D102,'Corrected Register'!$A$5:$A$200,'Corrected Register'!$M$5:$M$200),0),ABS(IFERROR(XLOOKUP(D102,'Source Ledger'!$B$5:$B$200,'Source Ledger'!$E$5:$E$200),0)-IFERROR(XLOOKUP(D102,'Corrected Register'!$A$5:$A$200,'Corrected Register'!$M$5:$M$200),0)))),IFERROR(XLOOKUP(D102,'Corrected Register'!$A$5:$A$200,'Corrected Register'!$N$5:$N$200),0))</f>
        <v/>
      </c>
      <c r="H102" s="7" t="inlineStr">
        <is>
          <t>Finance: correct FA-000085 NBV to $20 and align $1,895 vs $2,090 for MD-00085.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shows acquisition $2,090 against register $1,895 on MD-00085; accumulated depreciation $2,070 leaves printed NBV $0 while $20 remains supportable.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Ledger'!$B$5:$B$200,'Source Ledger'!$H$5:$H$200),"")="Disposed",IFERROR(XLOOKUP(D103,'Source Ledger'!$B$5:$B$200,'Source Ledger'!$G$5:$G$200),0),IF(IFERROR(XLOOKUP(D103,'Source Ledger'!$B$5:$B$200,'Source Ledger'!$E$5:$E$200),"")="",IFERROR(XLOOKUP(D103,'Corrected Register'!$A$5:$A$200,'Corrected Register'!$M$5:$M$200),0),ABS(IFERROR(XLOOKUP(D103,'Source Ledger'!$B$5:$B$200,'Source Ledger'!$E$5:$E$200),0)-IFERROR(XLOOKUP(D103,'Corrected Register'!$A$5:$A$200,'Corrected Register'!$M$5:$M$200),0)))),IFERROR(XLOOKUP(D103,'Corrected Register'!$A$5:$A$200,'Corrected Register'!$N$5:$N$200),0))</f>
        <v/>
      </c>
      <c r="H103" s="7" t="inlineStr">
        <is>
          <t>HR Operations Lead: clear former-employee assignment on MD-00086 (Lila Novak)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 shows Lila Novak (E0074) terminated, yet the register still lists them on MD-00086 (OFF-00086) — EX-0099.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Ledger'!$B$5:$B$200,'Source Ledger'!$H$5:$H$200),"")="Disposed",IFERROR(XLOOKUP(D104,'Source Ledger'!$B$5:$B$200,'Source Ledger'!$G$5:$G$200),0),IF(IFERROR(XLOOKUP(D104,'Source Ledger'!$B$5:$B$200,'Source Ledger'!$E$5:$E$200),"")="",IFERROR(XLOOKUP(D104,'Corrected Register'!$A$5:$A$200,'Corrected Register'!$M$5:$M$200),0),ABS(IFERROR(XLOOKUP(D104,'Source Ledger'!$B$5:$B$200,'Source Ledger'!$E$5:$E$200),0)-IFERROR(XLOOKUP(D104,'Corrected Register'!$A$5:$A$200,'Corrected Register'!$M$5:$M$200),0)))),IFERROR(XLOOKUP(D104,'Corrected Register'!$A$5:$A$200,'Corrected Register'!$N$5:$N$200),0))</f>
        <v/>
      </c>
      <c r="H104" s="7" t="inlineStr">
        <is>
          <t>HR Operations Lead: clear former-employee assignment on MD-00087 (Curtis Bennett)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MD-00087 is still assigned to Curtis Bennett (E0075), whose hr_employee_status row is Separated; OFF-00087 closed with no custodian rewrite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Ledger'!$B$5:$B$200,'Source Ledger'!$H$5:$H$200),"")="Disposed",IFERROR(XLOOKUP(D105,'Source Ledger'!$B$5:$B$200,'Source Ledger'!$G$5:$G$200),0),IF(IFERROR(XLOOKUP(D105,'Source Ledger'!$B$5:$B$200,'Source Ledger'!$E$5:$E$200),"")="",IFERROR(XLOOKUP(D105,'Corrected Register'!$A$5:$A$200,'Corrected Register'!$M$5:$M$200),0),ABS(IFERROR(XLOOKUP(D105,'Source Ledger'!$B$5:$B$200,'Source Ledger'!$E$5:$E$200),0)-IFERROR(XLOOKUP(D105,'Corrected Register'!$A$5:$A$200,'Corrected Register'!$M$5:$M$200),0)))),IFERROR(XLOOKUP(D105,'Corrected Register'!$A$5:$A$200,'Corrected Register'!$N$5:$N$200),0))</f>
        <v/>
      </c>
      <c r="H105" s="7" t="inlineStr">
        <is>
          <t>Remove Pilar Santos from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left MD-00088 hanging on Pilar Santos (E0076); status Separated in hr_employee_status, ticket OFF-00088. EX-0101.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on MD-00088; Employee ID:E0076; Transfer ID:TR-00088; Ticket ID:OFF-00088; PO Number:PO-2022-0017; Tracking Number:1ZMD00000088; Serial:MD-NE-050088; AlsoTagged:MD-00088,MD-00092</t>
        </is>
      </c>
      <c r="G106" s="7">
        <f>IF(B106="Inventory-to-Ledger Difference",IF(IFERROR(XLOOKUP(D106,'Source Ledger'!$B$5:$B$200,'Source Ledger'!$H$5:$H$200),"")="Disposed",IFERROR(XLOOKUP(D106,'Source Ledger'!$B$5:$B$200,'Source Ledger'!$G$5:$G$200),0),IF(IFERROR(XLOOKUP(D106,'Source Ledger'!$B$5:$B$200,'Source Ledger'!$E$5:$E$200),"")="",IFERROR(XLOOKUP(D106,'Corrected Register'!$A$5:$A$200,'Corrected Register'!$M$5:$M$200),0),ABS(IFERROR(XLOOKUP(D106,'Source Ledger'!$B$5:$B$200,'Source Ledger'!$E$5:$E$200),0)-IFERROR(XLOOKUP(D106,'Corrected Register'!$A$5:$A$200,'Corrected Register'!$M$5:$M$200),0)))),IFERROR(XLOOKUP(D106,'Corrected Register'!$A$5:$A$200,'Corrected Register'!$N$5:$N$200),0))</f>
        <v/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is shared by MD-00088 and MD-00088,MD-00092; bench validation and retag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Ledger'!$B$5:$B$200,'Source Ledger'!$H$5:$H$200),"")="Disposed",IFERROR(XLOOKUP(D107,'Source Ledger'!$B$5:$B$200,'Source Ledger'!$G$5:$G$200),0),IF(IFERROR(XLOOKUP(D107,'Source Ledger'!$B$5:$B$200,'Source Ledger'!$E$5:$E$200),"")="",IFERROR(XLOOKUP(D107,'Corrected Register'!$A$5:$A$200,'Corrected Register'!$M$5:$M$200),0),ABS(IFERROR(XLOOKUP(D107,'Source Ledger'!$B$5:$B$200,'Source Ledger'!$E$5:$E$200),0)-IFERROR(XLOOKUP(D107,'Corrected Register'!$A$5:$A$200,'Corrected Register'!$M$5:$M$200),0)))),IFERROR(XLOOKUP(D107,'Corrected Register'!$A$5:$A$200,'Corrected Register'!$N$5:$N$200),0))</f>
        <v/>
      </c>
      <c r="H107" s="7" t="inlineStr">
        <is>
          <t>Open loss investigation on MD-00089; remain Missing until located or write-off approved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MD-00089 dropped from the floor after Denver - Closed; nothing in receiving or disposal files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Ledger'!$B$5:$B$200,'Source Ledger'!$H$5:$H$200),"")="Disposed",IFERROR(XLOOKUP(D108,'Source Ledger'!$B$5:$B$200,'Source Ledger'!$G$5:$G$200),0),IF(IFERROR(XLOOKUP(D108,'Source Ledger'!$B$5:$B$200,'Source Ledger'!$E$5:$E$200),"")="",IFERROR(XLOOKUP(D108,'Corrected Register'!$A$5:$A$200,'Corrected Register'!$M$5:$M$200),0),ABS(IFERROR(XLOOKUP(D108,'Source Ledger'!$B$5:$B$200,'Source Ledger'!$E$5:$E$200),0)-IFERROR(XLOOKUP(D108,'Corrected Register'!$A$5:$A$200,'Corrected Register'!$M$5:$M$200),0)))),IFERROR(XLOOKUP(D108,'Corrected Register'!$A$5:$A$200,'Corrected Register'!$N$5:$N$200),0))</f>
        <v/>
      </c>
      <c r="H108" s="7" t="inlineStr">
        <is>
          <t>Reassign MD-00089 off separated Jonah Freedman to a stock/Regional IT bucket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Separated custodian Jonah Freedman (E0077) remains on MD-00089 after OFF-00089 closed. Clear under EX-0104.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Ledger'!$B$5:$B$200,'Source Ledger'!$H$5:$H$200),"")="Disposed",IFERROR(XLOOKUP(D109,'Source Ledger'!$B$5:$B$200,'Source Ledger'!$G$5:$G$200),0),IF(IFERROR(XLOOKUP(D109,'Source Ledger'!$B$5:$B$200,'Source Ledger'!$E$5:$E$200),"")="",IFERROR(XLOOKUP(D109,'Corrected Register'!$A$5:$A$200,'Corrected Register'!$M$5:$M$200),0),ABS(IFERROR(XLOOKUP(D109,'Source Ledger'!$B$5:$B$200,'Source Ledger'!$E$5:$E$200),0)-IFERROR(XLOOKUP(D109,'Corrected Register'!$A$5:$A$200,'Corrected Register'!$M$5:$M$200),0)))),IFERROR(XLOOKUP(D109,'Corrected Register'!$A$5:$A$200,'Corrected Register'!$N$5:$N$200),0))</f>
        <v/>
      </c>
      <c r="H109" s="7" t="inlineStr">
        <is>
          <t>Open loss investigation on MD-00090; remain Missing until located or write-off approved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MD-00090 dropped from the floor after Chicago - Closed; nothing in receiving or disposal files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Ledger'!$B$5:$B$200,'Source Ledger'!$H$5:$H$200),"")="Disposed",IFERROR(XLOOKUP(D110,'Source Ledger'!$B$5:$B$200,'Source Ledger'!$G$5:$G$200),0),IF(IFERROR(XLOOKUP(D110,'Source Ledger'!$B$5:$B$200,'Source Ledger'!$E$5:$E$200),"")="",IFERROR(XLOOKUP(D110,'Corrected Register'!$A$5:$A$200,'Corrected Register'!$M$5:$M$200),0),ABS(IFERROR(XLOOKUP(D110,'Source Ledger'!$B$5:$B$200,'Source Ledger'!$E$5:$E$200),0)-IFERROR(XLOOKUP(D110,'Corrected Register'!$A$5:$A$200,'Corrected Register'!$M$5:$M$200),0)))),IFERROR(XLOOKUP(D110,'Corrected Register'!$A$5:$A$200,'Corrected Register'!$N$5:$N$200),0))</f>
        <v/>
      </c>
      <c r="H110" s="7" t="inlineStr">
        <is>
          <t>Reassign MD-00090 off separated Regina Lowe to a stock/Regional IT bucket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shows Regina Lowe (E0078) terminated, yet the register still lists them on MD-00090 (OFF-00090) — EX-0106.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Ledger'!$B$5:$B$200,'Source Ledger'!$H$5:$H$200),"")="Disposed",IFERROR(XLOOKUP(D111,'Source Ledger'!$B$5:$B$200,'Source Ledger'!$G$5:$G$200),0),IF(IFERROR(XLOOKUP(D111,'Source Ledger'!$B$5:$B$200,'Source Ledger'!$E$5:$E$200),"")="",IFERROR(XLOOKUP(D111,'Corrected Register'!$A$5:$A$200,'Corrected Register'!$M$5:$M$200),0),ABS(IFERROR(XLOOKUP(D111,'Source Ledger'!$B$5:$B$200,'Source Ledger'!$E$5:$E$200),0)-IFERROR(XLOOKUP(D111,'Corrected Register'!$A$5:$A$200,'Corrected Register'!$M$5:$M$200),0)))),IFERROR(XLOOKUP(D111,'Corrected Register'!$A$5:$A$200,'Corrected Register'!$N$5:$N$200),0))</f>
        <v/>
      </c>
      <c r="H111" s="7" t="inlineStr">
        <is>
          <t>Open loss investigation on MD-00091; remain Missing until located or write-off approved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Physical search has not recovered MD-00091 (MD-MO-050091); register still points at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Ledger'!$B$5:$B$200,'Source Ledger'!$H$5:$H$200),"")="Disposed",IFERROR(XLOOKUP(D112,'Source Ledger'!$B$5:$B$200,'Source Ledger'!$G$5:$G$200),0),IF(IFERROR(XLOOKUP(D112,'Source Ledger'!$B$5:$B$200,'Source Ledger'!$E$5:$E$200),"")="",IFERROR(XLOOKUP(D112,'Corrected Register'!$A$5:$A$200,'Corrected Register'!$M$5:$M$200),0),ABS(IFERROR(XLOOKUP(D112,'Source Ledger'!$B$5:$B$200,'Source Ledger'!$E$5:$E$200),0)-IFERROR(XLOOKUP(D112,'Corrected Register'!$A$5:$A$200,'Corrected Register'!$M$5:$M$200),0)))),IFERROR(XLOOKUP(D112,'Corrected Register'!$A$5:$A$200,'Corrected Register'!$N$5:$N$200),0))</f>
        <v/>
      </c>
      <c r="H112" s="7" t="inlineStr">
        <is>
          <t>HR Operations Lead: clear former-employee assignment on MD-00091 (Wes Carvalho)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Offboarding left MD-00091 hanging on Wes Carvalho (E0079); status Separated in hr_employee_status, ticket OFF-00091.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Ledger'!$B$5:$B$200,'Source Ledger'!$H$5:$H$200),"")="Disposed",IFERROR(XLOOKUP(D113,'Source Ledger'!$B$5:$B$200,'Source Ledger'!$G$5:$G$200),0),IF(IFERROR(XLOOKUP(D113,'Source Ledger'!$B$5:$B$200,'Source Ledger'!$E$5:$E$200),"")="",IFERROR(XLOOKUP(D113,'Corrected Register'!$A$5:$A$200,'Corrected Register'!$M$5:$M$200),0),ABS(IFERROR(XLOOKUP(D113,'Source Ledger'!$B$5:$B$200,'Source Ledger'!$E$5:$E$200),0)-IFERROR(XLOOKUP(D113,'Corrected Register'!$A$5:$A$200,'Corrected Register'!$M$5:$M$200),0)))),IFERROR(XLOOKUP(D113,'Corrected Register'!$A$5:$A$200,'Corrected Register'!$N$5:$N$200),0))</f>
        <v/>
      </c>
      <c r="H113" s="7" t="inlineStr">
        <is>
          <t>Open loss investigation on MD-00092; remain Missing until located or write-off approved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Loss path open on MD-00092 — last known Chicago - Closed;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Ledger'!$B$5:$B$200,'Source Ledger'!$H$5:$H$200),"")="Disposed",IFERROR(XLOOKUP(D114,'Source Ledger'!$B$5:$B$200,'Source Ledger'!$G$5:$G$200),0),IF(IFERROR(XLOOKUP(D114,'Source Ledger'!$B$5:$B$200,'Source Ledger'!$E$5:$E$200),"")="",IFERROR(XLOOKUP(D114,'Corrected Register'!$A$5:$A$200,'Corrected Register'!$M$5:$M$200),0),ABS(IFERROR(XLOOKUP(D114,'Source Ledger'!$B$5:$B$200,'Source Ledger'!$E$5:$E$200),0)-IFERROR(XLOOKUP(D114,'Corrected Register'!$A$5:$A$200,'Corrected Register'!$M$5:$M$200),0)))),IFERROR(XLOOKUP(D114,'Corrected Register'!$A$5:$A$200,'Corrected Register'!$N$5:$N$200),0))</f>
        <v/>
      </c>
      <c r="H114" s="7" t="inlineStr">
        <is>
          <t>Remove Tara Singh from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is still assigned to Tara Singh (E0080), whose hr_employee_status row is Separated; OFF-00092 closed with no custodian rewrite (EX-0110).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on MD-00092; Employee ID:E0080; Transfer ID:TR-00092; Ticket ID:OFF-00092; PO Number:PO-2023-0018; Tracking Number:None; Serial:MD-NE-050088; AlsoTagged:MD-00088,MD-00092</t>
        </is>
      </c>
      <c r="G115" s="7">
        <f>IF(B115="Inventory-to-Ledger Difference",IF(IFERROR(XLOOKUP(D115,'Source Ledger'!$B$5:$B$200,'Source Ledger'!$H$5:$H$200),"")="Disposed",IFERROR(XLOOKUP(D115,'Source Ledger'!$B$5:$B$200,'Source Ledger'!$G$5:$G$200),0),IF(IFERROR(XLOOKUP(D115,'Source Ledger'!$B$5:$B$200,'Source Ledger'!$E$5:$E$200),"")="",IFERROR(XLOOKUP(D115,'Corrected Register'!$A$5:$A$200,'Corrected Register'!$M$5:$M$200),0),ABS(IFERROR(XLOOKUP(D115,'Source Ledger'!$B$5:$B$200,'Source Ledger'!$E$5:$E$200),0)-IFERROR(XLOOKUP(D115,'Corrected Register'!$A$5:$A$200,'Corrected Register'!$M$5:$M$200),0)))),IFERROR(XLOOKUP(D115,'Corrected Register'!$A$5:$A$200,'Corrected Register'!$N$5:$N$200),0))</f>
        <v/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is shared by MD-00092 and MD-00088,MD-00092; bench validation and retag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Ledger'!$B$5:$B$200,'Source Ledger'!$H$5:$H$200),"")="Disposed",IFERROR(XLOOKUP(D116,'Source Ledger'!$B$5:$B$200,'Source Ledger'!$G$5:$G$200),0),IF(IFERROR(XLOOKUP(D116,'Source Ledger'!$B$5:$B$200,'Source Ledger'!$E$5:$E$200),"")="",IFERROR(XLOOKUP(D116,'Corrected Register'!$A$5:$A$200,'Corrected Register'!$M$5:$M$200),0),ABS(IFERROR(XLOOKUP(D116,'Source Ledger'!$B$5:$B$200,'Source Ledger'!$E$5:$E$200),0)-IFERROR(XLOOKUP(D116,'Corrected Register'!$A$5:$A$200,'Corrected Register'!$M$5:$M$200),0)))),IFERROR(XLOOKUP(D116,'Corrected Register'!$A$5:$A$200,'Corrected Register'!$N$5:$N$200),0))</f>
        <v/>
      </c>
      <c r="H116" s="7" t="inlineStr">
        <is>
          <t>Open loss investigation on MD-00093; remain Missing until located or write-off approved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No count, dock scan, or disposal certificate places MD-00093; last register site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Ledger'!$B$5:$B$200,'Source Ledger'!$H$5:$H$200),"")="Disposed",IFERROR(XLOOKUP(D117,'Source Ledger'!$B$5:$B$200,'Source Ledger'!$G$5:$G$200),0),IF(IFERROR(XLOOKUP(D117,'Source Ledger'!$B$5:$B$200,'Source Ledger'!$E$5:$E$200),"")="",IFERROR(XLOOKUP(D117,'Corrected Register'!$A$5:$A$200,'Corrected Register'!$M$5:$M$200),0),ABS(IFERROR(XLOOKUP(D117,'Source Ledger'!$B$5:$B$200,'Source Ledger'!$E$5:$E$200),0)-IFERROR(XLOOKUP(D117,'Corrected Register'!$A$5:$A$200,'Corrected Register'!$M$5:$M$200),0)))),IFERROR(XLOOKUP(D117,'Corrected Register'!$A$5:$A$200,'Corrected Register'!$N$5:$N$200),0))</f>
        <v/>
      </c>
      <c r="H117" s="7" t="inlineStr">
        <is>
          <t>Reassign MD-00093 off separated Elliott Park to a stock/Regional IT bucket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shows Elliott Park (E0081) terminated, yet the register still lists them on MD-00093 (OFF-00093) — EX-0113.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Ledger'!$B$5:$B$200,'Source Ledger'!$H$5:$H$200),"")="Disposed",IFERROR(XLOOKUP(D118,'Source Ledger'!$B$5:$B$200,'Source Ledger'!$G$5:$G$200),0),IF(IFERROR(XLOOKUP(D118,'Source Ledger'!$B$5:$B$200,'Source Ledger'!$E$5:$E$200),"")="",IFERROR(XLOOKUP(D118,'Corrected Register'!$A$5:$A$200,'Corrected Register'!$M$5:$M$200),0),ABS(IFERROR(XLOOKUP(D118,'Source Ledger'!$B$5:$B$200,'Source Ledger'!$E$5:$E$200),0)-IFERROR(XLOOKUP(D118,'Corrected Register'!$A$5:$A$200,'Corrected Register'!$M$5:$M$200),0)))),IFERROR(XLOOKUP(D118,'Corrected Register'!$A$5:$A$200,'Corrected Register'!$N$5:$N$200),0))</f>
        <v/>
      </c>
      <c r="H118" s="7" t="inlineStr">
        <is>
          <t>Open loss investigation on MD-00094; remain Missing until located or write-off approved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Loss path open on MD-00094 — last known Chicago - Closed; EX-0114.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Ledger'!$B$5:$B$200,'Source Ledger'!$H$5:$H$200),"")="Disposed",IFERROR(XLOOKUP(D119,'Source Ledger'!$B$5:$B$200,'Source Ledger'!$G$5:$G$200),0),IF(IFERROR(XLOOKUP(D119,'Source Ledger'!$B$5:$B$200,'Source Ledger'!$E$5:$E$200),"")="",IFERROR(XLOOKUP(D119,'Corrected Register'!$A$5:$A$200,'Corrected Register'!$M$5:$M$200),0),ABS(IFERROR(XLOOKUP(D119,'Source Ledger'!$B$5:$B$200,'Source Ledger'!$E$5:$E$200),0)-IFERROR(XLOOKUP(D119,'Corrected Register'!$A$5:$A$200,'Corrected Register'!$M$5:$M$200),0)))),IFERROR(XLOOKUP(D119,'Corrected Register'!$A$5:$A$200,'Corrected Register'!$N$5:$N$200),0))</f>
        <v/>
      </c>
      <c r="H119" s="7" t="inlineStr">
        <is>
          <t>HR Operations Lead: clear former-employee assignment on MD-00094 (Carmen Diaz)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HR shows Carmen Diaz (E0082) terminated, yet the register still lists them on MD-00094 (OFF-00094) —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Ledger'!$B$5:$B$200,'Source Ledger'!$H$5:$H$200),"")="Disposed",IFERROR(XLOOKUP(D120,'Source Ledger'!$B$5:$B$200,'Source Ledger'!$G$5:$G$200),0),IF(IFERROR(XLOOKUP(D120,'Source Ledger'!$B$5:$B$200,'Source Ledger'!$E$5:$E$200),"")="",IFERROR(XLOOKUP(D120,'Corrected Register'!$A$5:$A$200,'Corrected Register'!$M$5:$M$200),0),ABS(IFERROR(XLOOKUP(D120,'Source Ledger'!$B$5:$B$200,'Source Ledger'!$E$5:$E$200),0)-IFERROR(XLOOKUP(D120,'Corrected Register'!$A$5:$A$200,'Corrected Register'!$M$5:$M$200),0)))),IFERROR(XLOOKUP(D120,'Corrected Register'!$A$5:$A$200,'Corrected Register'!$N$5:$N$200),0))</f>
        <v/>
      </c>
      <c r="H120" s="7" t="inlineStr">
        <is>
          <t>Open loss investigation on MD-00095; remain Missing until located or write-off approved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MD-00095 dropped from the floor after Denver - Closed; nothing in receiving or disposal files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Ledger'!$B$5:$B$200,'Source Ledger'!$H$5:$H$200),"")="Disposed",IFERROR(XLOOKUP(D121,'Source Ledger'!$B$5:$B$200,'Source Ledger'!$G$5:$G$200),0),IF(IFERROR(XLOOKUP(D121,'Source Ledger'!$B$5:$B$200,'Source Ledger'!$E$5:$E$200),"")="",IFERROR(XLOOKUP(D121,'Corrected Register'!$A$5:$A$200,'Corrected Register'!$M$5:$M$200),0),ABS(IFERROR(XLOOKUP(D121,'Source Ledger'!$B$5:$B$200,'Source Ledger'!$E$5:$E$200),0)-IFERROR(XLOOKUP(D121,'Corrected Register'!$A$5:$A$200,'Corrected Register'!$M$5:$M$200),0)))),IFERROR(XLOOKUP(D121,'Corrected Register'!$A$5:$A$200,'Corrected Register'!$N$5:$N$200),0))</f>
        <v/>
      </c>
      <c r="H121" s="7" t="inlineStr">
        <is>
          <t>Remove Hugh Talbot from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HR shows Hugh Talbot (E0083) terminated, yet the register still lists them on MD-00095 (OFF-00095) —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Ledger'!$B$5:$B$200,'Source Ledger'!$H$5:$H$200),"")="Disposed",IFERROR(XLOOKUP(D122,'Source Ledger'!$B$5:$B$200,'Source Ledger'!$G$5:$G$200),0),IF(IFERROR(XLOOKUP(D122,'Source Ledger'!$B$5:$B$200,'Source Ledger'!$E$5:$E$200),"")="",IFERROR(XLOOKUP(D122,'Corrected Register'!$A$5:$A$200,'Corrected Register'!$M$5:$M$200),0),ABS(IFERROR(XLOOKUP(D122,'Source Ledger'!$B$5:$B$200,'Source Ledger'!$E$5:$E$200),0)-IFERROR(XLOOKUP(D122,'Corrected Register'!$A$5:$A$200,'Corrected Register'!$M$5:$M$200),0)))),IFERROR(XLOOKUP(D122,'Corrected Register'!$A$5:$A$200,'Corrected Register'!$N$5:$N$200),0))</f>
        <v/>
      </c>
      <c r="H122" s="7" t="inlineStr">
        <is>
          <t>Open loss investigation on MD-00096; remain Missing until located or write-off approved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Physical search has not recovered MD-00096 (MD-NE-050096); register still points at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Ledger'!$B$5:$B$200,'Source Ledger'!$H$5:$H$200),"")="Disposed",IFERROR(XLOOKUP(D123,'Source Ledger'!$B$5:$B$200,'Source Ledger'!$G$5:$G$200),0),IF(IFERROR(XLOOKUP(D123,'Source Ledger'!$B$5:$B$200,'Source Ledger'!$E$5:$E$200),"")="",IFERROR(XLOOKUP(D123,'Corrected Register'!$A$5:$A$200,'Corrected Register'!$M$5:$M$200),0),ABS(IFERROR(XLOOKUP(D123,'Source Ledger'!$B$5:$B$200,'Source Ledger'!$E$5:$E$200),0)-IFERROR(XLOOKUP(D123,'Corrected Register'!$A$5:$A$200,'Corrected Register'!$M$5:$M$200),0)))),IFERROR(XLOOKUP(D123,'Corrected Register'!$A$5:$A$200,'Corrected Register'!$N$5:$N$200),0))</f>
        <v/>
      </c>
      <c r="H123" s="7" t="inlineStr">
        <is>
          <t>Remove Mira Adelman from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left MD-00096 hanging on Mira Adelman (E0084); status Separated in hr_employee_status, ticket OFF-00096. EX-0119.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Ledger'!$B$5:$B$200,'Source Ledger'!$H$5:$H$200),"")="Disposed",IFERROR(XLOOKUP(D124,'Source Ledger'!$B$5:$B$200,'Source Ledger'!$G$5:$G$200),0),IF(IFERROR(XLOOKUP(D124,'Source Ledger'!$B$5:$B$200,'Source Ledger'!$E$5:$E$200),"")="",IFERROR(XLOOKUP(D124,'Corrected Register'!$A$5:$A$200,'Corrected Register'!$M$5:$M$200),0),ABS(IFERROR(XLOOKUP(D124,'Source Ledger'!$B$5:$B$200,'Source Ledger'!$E$5:$E$200),0)-IFERROR(XLOOKUP(D124,'Corrected Register'!$A$5:$A$200,'Corrected Register'!$M$5:$M$200),0)))),IFERROR(XLOOKUP(D124,'Corrected Register'!$A$5:$A$200,'Corrected Register'!$N$5:$N$200),0))</f>
        <v/>
      </c>
      <c r="H124" s="7" t="inlineStr">
        <is>
          <t>Open loss investigation on MD-00097; remain Missing until located or write-off approved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MD-00097 dropped from the floor after Denver - Closed; nothing in receiving or disposal files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Ledger'!$B$5:$B$200,'Source Ledger'!$H$5:$H$200),"")="Disposed",IFERROR(XLOOKUP(D125,'Source Ledger'!$B$5:$B$200,'Source Ledger'!$G$5:$G$200),0),IF(IFERROR(XLOOKUP(D125,'Source Ledger'!$B$5:$B$200,'Source Ledger'!$E$5:$E$200),"")="",IFERROR(XLOOKUP(D125,'Corrected Register'!$A$5:$A$200,'Corrected Register'!$M$5:$M$200),0),ABS(IFERROR(XLOOKUP(D125,'Source Ledger'!$B$5:$B$200,'Source Ledger'!$E$5:$E$200),0)-IFERROR(XLOOKUP(D125,'Corrected Register'!$A$5:$A$200,'Corrected Register'!$M$5:$M$200),0)))),IFERROR(XLOOKUP(D125,'Corrected Register'!$A$5:$A$200,'Corrected Register'!$N$5:$N$200),0))</f>
        <v/>
      </c>
      <c r="H125" s="7" t="inlineStr">
        <is>
          <t>HR Operations Lead: clear former-employee assignment on MD-00097 (Quincy Rhodes)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is still assigned to Quincy Rhodes (E0085), whose hr_employee_status row is Separated; OFF-00097 closed with no custodian rewrite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Ledger'!$B$5:$B$200,'Source Ledger'!$H$5:$H$200),"")="Disposed",IFERROR(XLOOKUP(D126,'Source Ledger'!$B$5:$B$200,'Source Ledger'!$G$5:$G$200),0),IF(IFERROR(XLOOKUP(D126,'Source Ledger'!$B$5:$B$200,'Source Ledger'!$E$5:$E$200),"")="",IFERROR(XLOOKUP(D126,'Corrected Register'!$A$5:$A$200,'Corrected Register'!$M$5:$M$200),0),ABS(IFERROR(XLOOKUP(D126,'Source Ledger'!$B$5:$B$200,'Source Ledger'!$E$5:$E$200),0)-IFERROR(XLOOKUP(D126,'Corrected Register'!$A$5:$A$200,'Corrected Register'!$M$5:$M$200),0)))),IFERROR(XLOOKUP(D126,'Corrected Register'!$A$5:$A$200,'Corrected Register'!$N$5:$N$200),0))</f>
        <v/>
      </c>
      <c r="H126" s="7" t="inlineStr">
        <is>
          <t>Open loss investigation on MD-00098; remain Missing until located or write-off approved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Physical search has not recovered MD-00098 (MD-MO-050098); register still points at Chicago - Closed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Ledger'!$B$5:$B$200,'Source Ledger'!$H$5:$H$200),"")="Disposed",IFERROR(XLOOKUP(D127,'Source Ledger'!$B$5:$B$200,'Source Ledger'!$G$5:$G$200),0),IF(IFERROR(XLOOKUP(D127,'Source Ledger'!$B$5:$B$200,'Source Ledger'!$E$5:$E$200),"")="",IFERROR(XLOOKUP(D127,'Corrected Register'!$A$5:$A$200,'Corrected Register'!$M$5:$M$200),0),ABS(IFERROR(XLOOKUP(D127,'Source Ledger'!$B$5:$B$200,'Source Ledger'!$E$5:$E$200),0)-IFERROR(XLOOKUP(D127,'Corrected Register'!$A$5:$A$200,'Corrected Register'!$M$5:$M$200),0)))),IFERROR(XLOOKUP(D127,'Corrected Register'!$A$5:$A$200,'Corrected Register'!$N$5:$N$200),0))</f>
        <v/>
      </c>
      <c r="H127" s="7" t="inlineStr">
        <is>
          <t>HR Operations Lead: clear former-employee assignment on MD-00098 (Sloane Richter)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MD-00098 is still assigned to Sloane Richter (E0086), whose hr_employee_status row is Separated; OFF-00098 closed with no custodian rewrite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Ledger'!$B$5:$B$200,'Source Ledger'!$H$5:$H$200),"")="Disposed",IFERROR(XLOOKUP(D128,'Source Ledger'!$B$5:$B$200,'Source Ledger'!$G$5:$G$200),0),IF(IFERROR(XLOOKUP(D128,'Source Ledger'!$B$5:$B$200,'Source Ledger'!$E$5:$E$200),"")="",IFERROR(XLOOKUP(D128,'Corrected Register'!$A$5:$A$200,'Corrected Register'!$M$5:$M$200),0),ABS(IFERROR(XLOOKUP(D128,'Source Ledger'!$B$5:$B$200,'Source Ledger'!$E$5:$E$200),0)-IFERROR(XLOOKUP(D128,'Corrected Register'!$A$5:$A$200,'Corrected Register'!$M$5:$M$200),0)))),IFERROR(XLOOKUP(D128,'Corrected Register'!$A$5:$A$200,'Corrected Register'!$N$5:$N$200),0))</f>
        <v/>
      </c>
      <c r="H128" s="7" t="inlineStr">
        <is>
          <t>Open loss investigation on MD-00099; remain Missing until located or write-off approved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Loss path open on MD-00099 — last known Denver - Closed; EX-0124.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Ledger'!$B$5:$B$200,'Source Ledger'!$H$5:$H$200),"")="Disposed",IFERROR(XLOOKUP(D129,'Source Ledger'!$B$5:$B$200,'Source Ledger'!$G$5:$G$200),0),IF(IFERROR(XLOOKUP(D129,'Source Ledger'!$B$5:$B$200,'Source Ledger'!$E$5:$E$200),"")="",IFERROR(XLOOKUP(D129,'Corrected Register'!$A$5:$A$200,'Corrected Register'!$M$5:$M$200),0),ABS(IFERROR(XLOOKUP(D129,'Source Ledger'!$B$5:$B$200,'Source Ledger'!$E$5:$E$200),0)-IFERROR(XLOOKUP(D129,'Corrected Register'!$A$5:$A$200,'Corrected Register'!$M$5:$M$200),0)))),IFERROR(XLOOKUP(D129,'Corrected Register'!$A$5:$A$200,'Corrected Register'!$N$5:$N$200),0))</f>
        <v/>
      </c>
      <c r="H129" s="7" t="inlineStr">
        <is>
          <t>Remove Nolan Vega from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Separated custodian Nolan Vega (E0087) remains on MD-00099 after OFF-00099 closed. Clear under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Ledger'!$B$5:$B$200,'Source Ledger'!$H$5:$H$200),"")="Disposed",IFERROR(XLOOKUP(D130,'Source Ledger'!$B$5:$B$200,'Source Ledger'!$G$5:$G$200),0),IF(IFERROR(XLOOKUP(D130,'Source Ledger'!$B$5:$B$200,'Source Ledger'!$E$5:$E$200),"")="",IFERROR(XLOOKUP(D130,'Corrected Register'!$A$5:$A$200,'Corrected Register'!$M$5:$M$200),0),ABS(IFERROR(XLOOKUP(D130,'Source Ledger'!$B$5:$B$200,'Source Ledger'!$E$5:$E$200),0)-IFERROR(XLOOKUP(D130,'Corrected Register'!$A$5:$A$200,'Corrected Register'!$M$5:$M$200),0)))),IFERROR(XLOOKUP(D130,'Corrected Register'!$A$5:$A$200,'Corrected Register'!$N$5:$N$200),0))</f>
        <v/>
      </c>
      <c r="H130" s="7" t="inlineStr">
        <is>
          <t>Open loss investigation on MD-00100; remain Missing until located or write-off approved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count, dock scan, or disposal certificate places MD-00100; last register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Ledger'!$B$5:$B$200,'Source Ledger'!$H$5:$H$200),"")="Disposed",IFERROR(XLOOKUP(D131,'Source Ledger'!$B$5:$B$200,'Source Ledger'!$G$5:$G$200),0),IF(IFERROR(XLOOKUP(D131,'Source Ledger'!$B$5:$B$200,'Source Ledger'!$E$5:$E$200),"")="",IFERROR(XLOOKUP(D131,'Corrected Register'!$A$5:$A$200,'Corrected Register'!$M$5:$M$200),0),ABS(IFERROR(XLOOKUP(D131,'Source Ledger'!$B$5:$B$200,'Source Ledger'!$E$5:$E$200),0)-IFERROR(XLOOKUP(D131,'Corrected Register'!$A$5:$A$200,'Corrected Register'!$M$5:$M$200),0)))),IFERROR(XLOOKUP(D131,'Corrected Register'!$A$5:$A$200,'Corrected Register'!$N$5:$N$200),0))</f>
        <v/>
      </c>
      <c r="H131" s="7" t="inlineStr">
        <is>
          <t>Remove Ivy Chenoweth from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shows Ivy Chenoweth (E0088) terminated, yet the register still lists them on MD-00100 (OFF-00100) —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Ledger'!$B$5:$B$200,'Source Ledger'!$H$5:$H$200),"")="Disposed",IFERROR(XLOOKUP(D132,'Source Ledger'!$B$5:$B$200,'Source Ledger'!$G$5:$G$200),0),IF(IFERROR(XLOOKUP(D132,'Source Ledger'!$B$5:$B$200,'Source Ledger'!$E$5:$E$200),"")="",IFERROR(XLOOKUP(D132,'Corrected Register'!$A$5:$A$200,'Corrected Register'!$M$5:$M$200),0),ABS(IFERROR(XLOOKUP(D132,'Source Ledger'!$B$5:$B$200,'Source Ledger'!$E$5:$E$200),0)-IFERROR(XLOOKUP(D132,'Corrected Register'!$A$5:$A$200,'Corrected Register'!$M$5:$M$200),0)))),IFERROR(XLOOKUP(D132,'Corrected Register'!$A$5:$A$200,'Corrected Register'!$N$5:$N$200),0))</f>
        <v/>
      </c>
      <c r="H132" s="7" t="inlineStr">
        <is>
          <t>Obtain disposal certificate for MD-00101 or reverse the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asset_disposal_records has no DC match for MD-LA-050101 on MD-00101 after TR-00101. EX-0128.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Ledger'!$B$5:$B$200,'Source Ledger'!$H$5:$H$200),"")="Disposed",IFERROR(XLOOKUP(D133,'Source Ledger'!$B$5:$B$200,'Source Ledger'!$G$5:$G$200),0),IF(IFERROR(XLOOKUP(D133,'Source Ledger'!$B$5:$B$200,'Source Ledger'!$E$5:$E$200),"")="",IFERROR(XLOOKUP(D133,'Corrected Register'!$A$5:$A$200,'Corrected Register'!$M$5:$M$200),0),ABS(IFERROR(XLOOKUP(D133,'Source Ledger'!$B$5:$B$200,'Source Ledger'!$E$5:$E$200),0)-IFERROR(XLOOKUP(D133,'Corrected Register'!$A$5:$A$200,'Corrected Register'!$M$5:$M$200),0)))),IFERROR(XLOOKUP(D133,'Corrected Register'!$A$5:$A$200,'Corrected Register'!$N$5:$N$200),0))</f>
        <v/>
      </c>
      <c r="H133" s="7" t="inlineStr">
        <is>
          <t>EX-0129: IT Asset Specialist replaces Denver - Closed with operating site on MD-00101.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Because Denver - Closed was never retired on MD-00101, the extract disagrees with live ops in operating site. TR-00101 finished; EX-0129 captures the lag. Serial on exception: MD-LA-050101.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Ledger'!$B$5:$B$200,'Source Ledger'!$H$5:$H$200),"")="Disposed",IFERROR(XLOOKUP(D134,'Source Ledger'!$B$5:$B$200,'Source Ledger'!$G$5:$G$200),0),IF(IFERROR(XLOOKUP(D134,'Source Ledger'!$B$5:$B$200,'Source Ledger'!$E$5:$E$200),"")="",IFERROR(XLOOKUP(D134,'Corrected Register'!$A$5:$A$200,'Corrected Register'!$M$5:$M$200),0),ABS(IFERROR(XLOOKUP(D134,'Source Ledger'!$B$5:$B$200,'Source Ledger'!$E$5:$E$200),0)-IFERROR(XLOOKUP(D134,'Corrected Register'!$A$5:$A$200,'Corrected Register'!$M$5:$M$200),0)))),IFERROR(XLOOKUP(D134,'Corrected Register'!$A$5:$A$200,'Corrected Register'!$N$5:$N$200),0))</f>
        <v/>
      </c>
      <c r="H134" s="7" t="inlineStr">
        <is>
          <t>Obtain disposal certificate for MD-00102 or reverse the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MD-00102 is Retired/Pending Disposal without a verified disposal certificate; TR-00102 moved it to recycler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Difference",IF(IFERROR(XLOOKUP(D135,'Source Ledger'!$B$5:$B$200,'Source Ledger'!$H$5:$H$200),"")="Disposed",IFERROR(XLOOKUP(D135,'Source Ledger'!$B$5:$B$200,'Source Ledger'!$G$5:$G$200),0),IF(IFERROR(XLOOKUP(D135,'Source Ledger'!$B$5:$B$200,'Source Ledger'!$E$5:$E$200),"")="",IFERROR(XLOOKUP(D135,'Corrected Register'!$A$5:$A$200,'Corrected Register'!$M$5:$M$200),0),ABS(IFERROR(XLOOKUP(D135,'Source Ledger'!$B$5:$B$200,'Source Ledger'!$E$5:$E$200),0)-IFERROR(XLOOKUP(D135,'Corrected Register'!$A$5:$A$200,'Corrected Register'!$M$5:$M$200),0)))),IFERROR(XLOOKUP(D135,'Corrected Register'!$A$5:$A$200,'Corrected Register'!$N$5:$N$200),0))</f>
        <v/>
      </c>
      <c r="H135" s="7" t="inlineStr">
        <is>
          <t>Align MD-00102 cost: register $700 vs ledger $820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$700 on MD-00102 vs $820 on FA-000102 (Δ $120); EX-0131.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Ledger'!$B$5:$B$200,'Source Ledger'!$H$5:$H$200),"")="Disposed",IFERROR(XLOOKUP(D136,'Source Ledger'!$B$5:$B$200,'Source Ledger'!$G$5:$G$200),0),IF(IFERROR(XLOOKUP(D136,'Source Ledger'!$B$5:$B$200,'Source Ledger'!$E$5:$E$200),"")="",IFERROR(XLOOKUP(D136,'Corrected Register'!$A$5:$A$200,'Corrected Register'!$M$5:$M$200),0),ABS(IFERROR(XLOOKUP(D136,'Source Ledger'!$B$5:$B$200,'Source Ledger'!$E$5:$E$200),0)-IFERROR(XLOOKUP(D136,'Corrected Register'!$A$5:$A$200,'Corrected Register'!$M$5:$M$200),0)))),IFERROR(XLOOKUP(D136,'Corrected Register'!$A$5:$A$200,'Corrected Register'!$N$5:$N$200),0))</f>
        <v/>
      </c>
      <c r="H136" s="7" t="inlineStr">
        <is>
          <t>Finish EX-0132 only after MD-00102 shows operating site.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Inventory still advertises Chicago - Closed for MD-00102 even though inbound TR-00102 and live ops both say operating site. Remediate under EX-0132.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Ledger'!$B$5:$B$200,'Source Ledger'!$H$5:$H$200),"")="Disposed",IFERROR(XLOOKUP(D137,'Source Ledger'!$B$5:$B$200,'Source Ledger'!$G$5:$G$200),0),IF(IFERROR(XLOOKUP(D137,'Source Ledger'!$B$5:$B$200,'Source Ledger'!$E$5:$E$200),"")="",IFERROR(XLOOKUP(D137,'Corrected Register'!$A$5:$A$200,'Corrected Register'!$M$5:$M$200),0),ABS(IFERROR(XLOOKUP(D137,'Source Ledger'!$B$5:$B$200,'Source Ledger'!$E$5:$E$200),0)-IFERROR(XLOOKUP(D137,'Corrected Register'!$A$5:$A$200,'Corrected Register'!$M$5:$M$200),0)))),IFERROR(XLOOKUP(D137,'Corrected Register'!$A$5:$A$200,'Corrected Register'!$N$5:$N$200),0))</f>
        <v/>
      </c>
      <c r="H137" s="7" t="inlineStr">
        <is>
          <t>Obtain disposal certificate for MD-00103 or reverse the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asset_disposal_records has no DC match for MD-MO-050103 on MD-00103 after TR-00103.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Ledger'!$B$5:$B$200,'Source Ledger'!$H$5:$H$200),"")="Disposed",IFERROR(XLOOKUP(D138,'Source Ledger'!$B$5:$B$200,'Source Ledger'!$G$5:$G$200),0),IF(IFERROR(XLOOKUP(D138,'Source Ledger'!$B$5:$B$200,'Source Ledger'!$E$5:$E$200),"")="",IFERROR(XLOOKUP(D138,'Corrected Register'!$A$5:$A$200,'Corrected Register'!$M$5:$M$200),0),ABS(IFERROR(XLOOKUP(D138,'Source Ledger'!$B$5:$B$200,'Source Ledger'!$E$5:$E$200),0)-IFERROR(XLOOKUP(D138,'Corrected Register'!$A$5:$A$200,'Corrected Register'!$M$5:$M$200),0)))),IFERROR(XLOOKUP(D138,'Corrected Register'!$A$5:$A$200,'Corrected Register'!$N$5:$N$200),0))</f>
        <v/>
      </c>
      <c r="H138" s="7" t="inlineStr">
        <is>
          <t>EX-0134: IT Asset Specialist replaces Denver - Closed with operating site on MD-00103.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Location field debt on MD-00103: retire Denver - Closed, recognize operating site. Evidence of move is TR-00103. Work item EX-0134.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Ledger'!$B$5:$B$200,'Source Ledger'!$H$5:$H$200),"")="Disposed",IFERROR(XLOOKUP(D139,'Source Ledger'!$B$5:$B$200,'Source Ledger'!$G$5:$G$200),0),IF(IFERROR(XLOOKUP(D139,'Source Ledger'!$B$5:$B$200,'Source Ledger'!$E$5:$E$200),"")="",IFERROR(XLOOKUP(D139,'Corrected Register'!$A$5:$A$200,'Corrected Register'!$M$5:$M$200),0),ABS(IFERROR(XLOOKUP(D139,'Source Ledger'!$B$5:$B$200,'Source Ledger'!$E$5:$E$200),0)-IFERROR(XLOOKUP(D139,'Corrected Register'!$A$5:$A$200,'Corrected Register'!$M$5:$M$200),0)))),IFERROR(XLOOKUP(D139,'Corrected Register'!$A$5:$A$200,'Corrected Register'!$N$5:$N$200),0))</f>
        <v/>
      </c>
      <c r="H139" s="7" t="inlineStr">
        <is>
          <t>Obtain disposal certificate for MD-00104 or reverse the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MD-00104 is Retired/Pending Disposal without a verified disposal certificate; TR-00104 moved it to recycler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Ledger'!$B$5:$B$200,'Source Ledger'!$H$5:$H$200),"")="Disposed",IFERROR(XLOOKUP(D140,'Source Ledger'!$B$5:$B$200,'Source Ledger'!$G$5:$G$200),0),IF(IFERROR(XLOOKUP(D140,'Source Ledger'!$B$5:$B$200,'Source Ledger'!$E$5:$E$200),"")="",IFERROR(XLOOKUP(D140,'Corrected Register'!$A$5:$A$200,'Corrected Register'!$M$5:$M$200),0),ABS(IFERROR(XLOOKUP(D140,'Source Ledger'!$B$5:$B$200,'Source Ledger'!$E$5:$E$200),0)-IFERROR(XLOOKUP(D140,'Corrected Register'!$A$5:$A$200,'Corrected Register'!$M$5:$M$200),0)))),IFERROR(XLOOKUP(D140,'Corrected Register'!$A$5:$A$200,'Corrected Register'!$N$5:$N$200),0))</f>
        <v/>
      </c>
      <c r="H140" s="7" t="inlineStr">
        <is>
          <t>IT Asset Specialist should post operating site on MD-00104 and retire Chicago - Closed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IT review of MD-00104: closed label Chicago - Closed vs working city operating site. Transfer reference TR-00104. Exception EX-0136.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Ledger'!$B$5:$B$200,'Source Ledger'!$H$5:$H$200),"")="Disposed",IFERROR(XLOOKUP(D141,'Source Ledger'!$B$5:$B$200,'Source Ledger'!$G$5:$G$200),0),IF(IFERROR(XLOOKUP(D141,'Source Ledger'!$B$5:$B$200,'Source Ledger'!$E$5:$E$200),"")="",IFERROR(XLOOKUP(D141,'Corrected Register'!$A$5:$A$200,'Corrected Register'!$M$5:$M$200),0),ABS(IFERROR(XLOOKUP(D141,'Source Ledger'!$B$5:$B$200,'Source Ledger'!$E$5:$E$200),0)-IFERROR(XLOOKUP(D141,'Corrected Register'!$A$5:$A$200,'Corrected Register'!$M$5:$M$200),0)))),IFERROR(XLOOKUP(D141,'Corrected Register'!$A$5:$A$200,'Corrected Register'!$N$5:$N$200),0))</f>
        <v/>
      </c>
      <c r="H141" s="7" t="inlineStr">
        <is>
          <t>Obtain disposal certificate for MD-00105 or reverse the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Retirement of MD-00105 lacks certificate proof; ledger may already show Disposed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Ledger'!$B$5:$B$200,'Source Ledger'!$H$5:$H$200),"")="Disposed",IFERROR(XLOOKUP(D142,'Source Ledger'!$B$5:$B$200,'Source Ledger'!$G$5:$G$200),0),IF(IFERROR(XLOOKUP(D142,'Source Ledger'!$B$5:$B$200,'Source Ledger'!$E$5:$E$200),"")="",IFERROR(XLOOKUP(D142,'Corrected Register'!$A$5:$A$200,'Corrected Register'!$M$5:$M$200),0),ABS(IFERROR(XLOOKUP(D142,'Source Ledger'!$B$5:$B$200,'Source Ledger'!$E$5:$E$200),0)-IFERROR(XLOOKUP(D142,'Corrected Register'!$A$5:$A$200,'Corrected Register'!$M$5:$M$200),0)))),IFERROR(XLOOKUP(D142,'Corrected Register'!$A$5:$A$200,'Corrected Register'!$N$5:$N$200),0))</f>
        <v/>
      </c>
      <c r="H142" s="7" t="inlineStr">
        <is>
          <t>EX-0138: IT Asset Specialist replaces Denver - Closed with operating site on MD-00105.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Because Denver - Closed was never retired on MD-00105, the extract disagrees with live ops in operating site. TR-00105 finished; EX-0138 captures the lag. Serial on exception: MD-LA-050105.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Ledger'!$B$5:$B$200,'Source Ledger'!$H$5:$H$200),"")="Disposed",IFERROR(XLOOKUP(D143,'Source Ledger'!$B$5:$B$200,'Source Ledger'!$G$5:$G$200),0),IF(IFERROR(XLOOKUP(D143,'Source Ledger'!$B$5:$B$200,'Source Ledger'!$E$5:$E$200),"")="",IFERROR(XLOOKUP(D143,'Corrected Register'!$A$5:$A$200,'Corrected Register'!$M$5:$M$200),0),ABS(IFERROR(XLOOKUP(D143,'Source Ledger'!$B$5:$B$200,'Source Ledger'!$E$5:$E$200),0)-IFERROR(XLOOKUP(D143,'Corrected Register'!$A$5:$A$200,'Corrected Register'!$M$5:$M$200),0)))),IFERROR(XLOOKUP(D143,'Corrected Register'!$A$5:$A$200,'Corrected Register'!$N$5:$N$200),0))</f>
        <v/>
      </c>
      <c r="H143" s="7" t="inlineStr">
        <is>
          <t>Obtain disposal certificate for MD-00106 or reverse the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MD-00106 is Retired/Pending Disposal without a verified disposal certificate; TR-00106 moved it to recycler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Ledger'!$B$5:$B$200,'Source Ledger'!$H$5:$H$200),"")="Disposed",IFERROR(XLOOKUP(D144,'Source Ledger'!$B$5:$B$200,'Source Ledger'!$G$5:$G$200),0),IF(IFERROR(XLOOKUP(D144,'Source Ledger'!$B$5:$B$200,'Source Ledger'!$E$5:$E$200),"")="",IFERROR(XLOOKUP(D144,'Corrected Register'!$A$5:$A$200,'Corrected Register'!$M$5:$M$200),0),ABS(IFERROR(XLOOKUP(D144,'Source Ledger'!$B$5:$B$200,'Source Ledger'!$E$5:$E$200),0)-IFERROR(XLOOKUP(D144,'Corrected Register'!$A$5:$A$200,'Corrected Register'!$M$5:$M$200),0)))),IFERROR(XLOOKUP(D144,'Corrected Register'!$A$5:$A$200,'Corrected Register'!$N$5:$N$200),0))</f>
        <v/>
      </c>
      <c r="H144" s="7" t="inlineStr">
        <is>
          <t>Finish EX-0140 only after MD-00106 shows operating site.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Do not read Chicago - Closed as current for MD-00106. The asset physically sits in operating site. Supporting transfer TR-00106; exception EX-0140.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Ledger'!$B$5:$B$200,'Source Ledger'!$H$5:$H$200),"")="Disposed",IFERROR(XLOOKUP(D145,'Source Ledger'!$B$5:$B$200,'Source Ledger'!$G$5:$G$200),0),IF(IFERROR(XLOOKUP(D145,'Source Ledger'!$B$5:$B$200,'Source Ledger'!$E$5:$E$200),"")="",IFERROR(XLOOKUP(D145,'Corrected Register'!$A$5:$A$200,'Corrected Register'!$M$5:$M$200),0),ABS(IFERROR(XLOOKUP(D145,'Source Ledger'!$B$5:$B$200,'Source Ledger'!$E$5:$E$200),0)-IFERROR(XLOOKUP(D145,'Corrected Register'!$A$5:$A$200,'Corrected Register'!$M$5:$M$200),0)))),IFERROR(XLOOKUP(D145,'Corrected Register'!$A$5:$A$200,'Corrected Register'!$N$5:$N$200),0))</f>
        <v/>
      </c>
      <c r="H145" s="7" t="inlineStr">
        <is>
          <t>Obtain disposal certificate for MD-00107 or reverse the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 of MD-00107 lacks certificate proof; ledger may already show Disposed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Ledger'!$B$5:$B$200,'Source Ledger'!$H$5:$H$200),"")="Disposed",IFERROR(XLOOKUP(D146,'Source Ledger'!$B$5:$B$200,'Source Ledger'!$G$5:$G$200),0),IF(IFERROR(XLOOKUP(D146,'Source Ledger'!$B$5:$B$200,'Source Ledger'!$E$5:$E$200),"")="",IFERROR(XLOOKUP(D146,'Corrected Register'!$A$5:$A$200,'Corrected Register'!$M$5:$M$200),0),ABS(IFERROR(XLOOKUP(D146,'Source Ledger'!$B$5:$B$200,'Source Ledger'!$E$5:$E$200),0)-IFERROR(XLOOKUP(D146,'Corrected Register'!$A$5:$A$200,'Corrected Register'!$M$5:$M$200),0)))),IFERROR(XLOOKUP(D146,'Corrected Register'!$A$5:$A$200,'Corrected Register'!$N$5:$N$200),0))</f>
        <v/>
      </c>
      <c r="H146" s="7" t="inlineStr">
        <is>
          <t>EX-0142: IT Asset Specialist replaces Denver - Closed with operating site on MD-00107.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Because Denver - Closed was never retired on MD-00107, the extract disagrees with live ops in operating site. TR-00107 finished; EX-0142 captures the lag. Serial on exception: MD-MO-050107.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Ledger'!$B$5:$B$200,'Source Ledger'!$H$5:$H$200),"")="Disposed",IFERROR(XLOOKUP(D147,'Source Ledger'!$B$5:$B$200,'Source Ledger'!$G$5:$G$200),0),IF(IFERROR(XLOOKUP(D147,'Source Ledger'!$B$5:$B$200,'Source Ledger'!$E$5:$E$200),"")="",IFERROR(XLOOKUP(D147,'Corrected Register'!$A$5:$A$200,'Corrected Register'!$M$5:$M$200),0),ABS(IFERROR(XLOOKUP(D147,'Source Ledger'!$B$5:$B$200,'Source Ledger'!$E$5:$E$200),0)-IFERROR(XLOOKUP(D147,'Corrected Register'!$A$5:$A$200,'Corrected Register'!$M$5:$M$200),0)))),IFERROR(XLOOKUP(D147,'Corrected Register'!$A$5:$A$200,'Corrected Register'!$N$5:$N$200),0))</f>
        <v/>
      </c>
      <c r="H147" s="7" t="inlineStr">
        <is>
          <t>Obtain disposal certificate for MD-00108 or reverse the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asset_disposal_records has no DC match for MD-NE-050108 on MD-00108 after TR-00108. EX-0143.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Ledger'!$B$5:$B$200,'Source Ledger'!$H$5:$H$200),"")="Disposed",IFERROR(XLOOKUP(D148,'Source Ledger'!$B$5:$B$200,'Source Ledger'!$G$5:$G$200),0),IF(IFERROR(XLOOKUP(D148,'Source Ledger'!$B$5:$B$200,'Source Ledger'!$E$5:$E$200),"")="",IFERROR(XLOOKUP(D148,'Corrected Register'!$A$5:$A$200,'Corrected Register'!$M$5:$M$200),0),ABS(IFERROR(XLOOKUP(D148,'Source Ledger'!$B$5:$B$200,'Source Ledger'!$E$5:$E$200),0)-IFERROR(XLOOKUP(D148,'Corrected Register'!$A$5:$A$200,'Corrected Register'!$M$5:$M$200),0)))),IFERROR(XLOOKUP(D148,'Corrected Register'!$A$5:$A$200,'Corrected Register'!$N$5:$N$200),0))</f>
        <v/>
      </c>
      <c r="H148" s="7" t="inlineStr">
        <is>
          <t>Finish EX-0144 only after MD-00108 shows operating site.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Inventory still advertises Chicago - Closed for MD-00108 even though inbound TR-00108 and live ops both say operating site. Remediate under EX-0144.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Ledger'!$B$5:$B$200,'Source Ledger'!$H$5:$H$200),"")="Disposed",IFERROR(XLOOKUP(D149,'Source Ledger'!$B$5:$B$200,'Source Ledger'!$G$5:$G$200),0),IF(IFERROR(XLOOKUP(D149,'Source Ledger'!$B$5:$B$200,'Source Ledger'!$E$5:$E$200),"")="",IFERROR(XLOOKUP(D149,'Corrected Register'!$A$5:$A$200,'Corrected Register'!$M$5:$M$200),0),ABS(IFERROR(XLOOKUP(D149,'Source Ledger'!$B$5:$B$200,'Source Ledger'!$E$5:$E$200),0)-IFERROR(XLOOKUP(D149,'Corrected Register'!$A$5:$A$200,'Corrected Register'!$M$5:$M$200),0)))),IFERROR(XLOOKUP(D149,'Corrected Register'!$A$5:$A$200,'Corrected Register'!$N$5:$N$200),0))</f>
        <v/>
      </c>
      <c r="H149" s="7" t="inlineStr">
        <is>
          <t>Obtain disposal certificate for MD-00109 or reverse the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of MD-00109 lacks certificate proof; ledger may already show Disposed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Ledger'!$B$5:$B$200,'Source Ledger'!$H$5:$H$200),"")="Disposed",IFERROR(XLOOKUP(D150,'Source Ledger'!$B$5:$B$200,'Source Ledger'!$G$5:$G$200),0),IF(IFERROR(XLOOKUP(D150,'Source Ledger'!$B$5:$B$200,'Source Ledger'!$E$5:$E$200),"")="",IFERROR(XLOOKUP(D150,'Corrected Register'!$A$5:$A$200,'Corrected Register'!$M$5:$M$200),0),ABS(IFERROR(XLOOKUP(D150,'Source Ledger'!$B$5:$B$200,'Source Ledger'!$E$5:$E$200),0)-IFERROR(XLOOKUP(D150,'Corrected Register'!$A$5:$A$200,'Corrected Register'!$M$5:$M$200),0)))),IFERROR(XLOOKUP(D150,'Corrected Register'!$A$5:$A$200,'Corrected Register'!$N$5:$N$200),0))</f>
        <v/>
      </c>
      <c r="H150" s="7" t="inlineStr">
        <is>
          <t>EX-0146: IT Asset Specialist replaces Denver - Closed with operating site on MD-00109.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Denver - Closed on MD-00109 is leftover coding. Footprint = operating site. Move = TR-00109. Fix queue = EX-0146.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Ledger'!$B$5:$B$200,'Source Ledger'!$H$5:$H$200),"")="Disposed",IFERROR(XLOOKUP(D151,'Source Ledger'!$B$5:$B$200,'Source Ledger'!$G$5:$G$200),0),IF(IFERROR(XLOOKUP(D151,'Source Ledger'!$B$5:$B$200,'Source Ledger'!$E$5:$E$200),"")="",IFERROR(XLOOKUP(D151,'Corrected Register'!$A$5:$A$200,'Corrected Register'!$M$5:$M$200),0),ABS(IFERROR(XLOOKUP(D151,'Source Ledger'!$B$5:$B$200,'Source Ledger'!$E$5:$E$200),0)-IFERROR(XLOOKUP(D151,'Corrected Register'!$A$5:$A$200,'Corrected Register'!$M$5:$M$200),0)))),IFERROR(XLOOKUP(D151,'Corrected Register'!$A$5:$A$200,'Corrected Register'!$N$5:$N$200),0))</f>
        <v/>
      </c>
      <c r="H151" s="7" t="inlineStr">
        <is>
          <t>Obtain disposal certificate for MD-00110 or reverse the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MD-00110 is Retired/Pending Disposal without a verified disposal certificate; TR-00110 moved it to recycler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Ledger'!$B$5:$B$200,'Source Ledger'!$H$5:$H$200),"")="Disposed",IFERROR(XLOOKUP(D152,'Source Ledger'!$B$5:$B$200,'Source Ledger'!$G$5:$G$200),0),IF(IFERROR(XLOOKUP(D152,'Source Ledger'!$B$5:$B$200,'Source Ledger'!$E$5:$E$200),"")="",IFERROR(XLOOKUP(D152,'Corrected Register'!$A$5:$A$200,'Corrected Register'!$M$5:$M$200),0),ABS(IFERROR(XLOOKUP(D152,'Source Ledger'!$B$5:$B$200,'Source Ledger'!$E$5:$E$200),0)-IFERROR(XLOOKUP(D152,'Corrected Register'!$A$5:$A$200,'Corrected Register'!$M$5:$M$200),0)))),IFERROR(XLOOKUP(D152,'Corrected Register'!$A$5:$A$200,'Corrected Register'!$N$5:$N$200),0))</f>
        <v/>
      </c>
      <c r="H152" s="7" t="inlineStr">
        <is>
          <t>IT Asset Specialist should post operating site on MD-00110 and retire Chicago - Closed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Extract vs reality on MD-00110: extract=Chicago - Closed, reality=operating site, transfer=TR-00110, exception=EX-0148, serial=MD-MO-050110.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Ledger'!$B$5:$B$200,'Source Ledger'!$H$5:$H$200),"")="Disposed",IFERROR(XLOOKUP(D153,'Source Ledger'!$B$5:$B$200,'Source Ledger'!$G$5:$G$200),0),IF(IFERROR(XLOOKUP(D153,'Source Ledger'!$B$5:$B$200,'Source Ledger'!$E$5:$E$200),"")="",IFERROR(XLOOKUP(D153,'Corrected Register'!$A$5:$A$200,'Corrected Register'!$M$5:$M$200),0),ABS(IFERROR(XLOOKUP(D153,'Source Ledger'!$B$5:$B$200,'Source Ledger'!$E$5:$E$200),0)-IFERROR(XLOOKUP(D153,'Corrected Register'!$A$5:$A$200,'Corrected Register'!$M$5:$M$200),0)))),IFERROR(XLOOKUP(D153,'Corrected Register'!$A$5:$A$200,'Corrected Register'!$N$5:$N$200),0))</f>
        <v/>
      </c>
      <c r="H153" s="7" t="inlineStr">
        <is>
          <t>Critical certification blocker — Obtain disposal certificate for MD-00114 or reverse the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Critical certification blocker — Retirement of MD-00114 lacks certificate proof; ledger may already show Disposed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Ledger'!$B$5:$B$200,'Source Ledger'!$H$5:$H$200),"")="Disposed",IFERROR(XLOOKUP(D154,'Source Ledger'!$B$5:$B$200,'Source Ledger'!$G$5:$G$200),0),IF(IFERROR(XLOOKUP(D154,'Source Ledger'!$B$5:$B$200,'Source Ledger'!$E$5:$E$200),"")="",IFERROR(XLOOKUP(D154,'Corrected Register'!$A$5:$A$200,'Corrected Register'!$M$5:$M$200),0),ABS(IFERROR(XLOOKUP(D154,'Source Ledger'!$B$5:$B$200,'Source Ledger'!$E$5:$E$200),0)-IFERROR(XLOOKUP(D154,'Corrected Register'!$A$5:$A$200,'Corrected Register'!$M$5:$M$200),0)))),IFERROR(XLOOKUP(D154,'Corrected Register'!$A$5:$A$200,'Corrected Register'!$N$5:$N$200),0))</f>
        <v/>
      </c>
      <c r="H154" s="7" t="inlineStr">
        <is>
          <t>IT Asset Specialist should post operating site on MD-00114 and retire Chicago - Closed (EX-0150).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IT review of MD-00114: closed label Chicago - Closed vs working city operating site. Transfer reference TR-00114. Exception EX-0150.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Ledger'!$B$5:$B$200,'Source Ledger'!$H$5:$H$200),"")="Disposed",IFERROR(XLOOKUP(D155,'Source Ledger'!$B$5:$B$200,'Source Ledger'!$G$5:$G$200),0),IF(IFERROR(XLOOKUP(D155,'Source Ledger'!$B$5:$B$200,'Source Ledger'!$E$5:$E$200),"")="",IFERROR(XLOOKUP(D155,'Corrected Register'!$A$5:$A$200,'Corrected Register'!$M$5:$M$200),0),ABS(IFERROR(XLOOKUP(D155,'Source Ledger'!$B$5:$B$200,'Source Ledger'!$E$5:$E$200),0)-IFERROR(XLOOKUP(D155,'Corrected Register'!$A$5:$A$200,'Corrected Register'!$M$5:$M$200),0)))),IFERROR(XLOOKUP(D155,'Corrected Register'!$A$5:$A$200,'Corrected Register'!$N$5:$N$200),0))</f>
        <v/>
      </c>
      <c r="H155" s="7" t="inlineStr">
        <is>
          <t>Critical certification blocker — Obtain disposal certificate for MD-00118 or reverse the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Critical certification blocker — asset_disposal_records has no DC match for MD-MO-050118 on MD-00118 after TR-00118.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Ledger'!$B$5:$B$200,'Source Ledger'!$H$5:$H$200),"")="Disposed",IFERROR(XLOOKUP(D156,'Source Ledger'!$B$5:$B$200,'Source Ledger'!$G$5:$G$200),0),IF(IFERROR(XLOOKUP(D156,'Source Ledger'!$B$5:$B$200,'Source Ledger'!$E$5:$E$200),"")="",IFERROR(XLOOKUP(D156,'Corrected Register'!$A$5:$A$200,'Corrected Register'!$M$5:$M$200),0),ABS(IFERROR(XLOOKUP(D156,'Source Ledger'!$B$5:$B$200,'Source Ledger'!$E$5:$E$200),0)-IFERROR(XLOOKUP(D156,'Corrected Register'!$A$5:$A$200,'Corrected Register'!$M$5:$M$200),0)))),IFERROR(XLOOKUP(D156,'Corrected Register'!$A$5:$A$200,'Corrected Register'!$N$5:$N$200),0))</f>
        <v/>
      </c>
      <c r="H156" s="7" t="inlineStr">
        <is>
          <t>Finish EX-0152 only after MD-00118 shows operating site.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Inventory still advertises Chicago - Closed for MD-00118 even though inbound TR-00118 and live ops both say operating site. Remediate under EX-0152.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LedgerCost:1115.0; OverDepreciation:10.0</t>
        </is>
      </c>
      <c r="G157" s="7">
        <f>IF(B157="Inventory-to-Ledger Difference",IF(IFERROR(XLOOKUP(D157,'Source Ledger'!$B$5:$B$200,'Source Ledger'!$H$5:$H$200),"")="Disposed",IFERROR(XLOOKUP(D157,'Source Ledger'!$B$5:$B$200,'Source Ledger'!$G$5:$G$200),0),IF(IFERROR(XLOOKUP(D157,'Source Ledger'!$B$5:$B$200,'Source Ledger'!$E$5:$E$200),"")="",IFERROR(XLOOKUP(D157,'Corrected Register'!$A$5:$A$200,'Corrected Register'!$M$5:$M$200),0),ABS(IFERROR(XLOOKUP(D157,'Source Ledger'!$B$5:$B$200,'Source Ledger'!$E$5:$E$200),0)-IFERROR(XLOOKUP(D157,'Corrected Register'!$A$5:$A$200,'Corrected Register'!$M$5:$M$200),0)))),IFERROR(XLOOKUP(D157,'Corrected Register'!$A$5:$A$200,'Corrected Register'!$N$5:$N$200),0))</f>
        <v/>
      </c>
      <c r="H157" s="7" t="inlineStr">
        <is>
          <t>Align MD-00119 cost: register $950 vs ledger $1,115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Cost basis split on MD-00119: inventory $950, ledger $1,115 via PO-2024-0024 / FA-000119. FA-000119 also over-depreciated by $10 (accum dep $1,125 vs acq $1,115) with NBV $0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Ledger'!$B$5:$B$200,'Source Ledger'!$H$5:$H$200),"")="Disposed",IFERROR(XLOOKUP(D158,'Source Ledger'!$B$5:$B$200,'Source Ledger'!$G$5:$G$200),0),IF(IFERROR(XLOOKUP(D158,'Source Ledger'!$B$5:$B$200,'Source Ledger'!$E$5:$E$200),"")="",IFERROR(XLOOKUP(D158,'Corrected Register'!$A$5:$A$200,'Corrected Register'!$M$5:$M$200),0),ABS(IFERROR(XLOOKUP(D158,'Source Ledger'!$B$5:$B$200,'Source Ledger'!$E$5:$E$200),0)-IFERROR(XLOOKUP(D158,'Corrected Register'!$A$5:$A$200,'Corrected Register'!$M$5:$M$200),0)))),IFERROR(XLOOKUP(D158,'Corrected Register'!$A$5:$A$200,'Corrected Register'!$N$5:$N$200),0))</f>
        <v/>
      </c>
      <c r="H158" s="7" t="inlineStr">
        <is>
          <t>Finish EX-0154 only after MD-00121 shows operating site.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Inventory still advertises Denver - Closed for MD-00121 even though inbound TR-00121 and live ops both say operating site. Remediate under EX-0154.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Ledger'!$B$5:$B$200,'Source Ledger'!$H$5:$H$200),"")="Disposed",IFERROR(XLOOKUP(D159,'Source Ledger'!$B$5:$B$200,'Source Ledger'!$G$5:$G$200),0),IF(IFERROR(XLOOKUP(D159,'Source Ledger'!$B$5:$B$200,'Source Ledger'!$E$5:$E$200),"")="",IFERROR(XLOOKUP(D159,'Corrected Register'!$A$5:$A$200,'Corrected Register'!$M$5:$M$200),0),ABS(IFERROR(XLOOKUP(D159,'Source Ledger'!$B$5:$B$200,'Source Ledger'!$E$5:$E$200),0)-IFERROR(XLOOKUP(D159,'Corrected Register'!$A$5:$A$200,'Corrected Register'!$M$5:$M$200),0)))),IFERROR(XLOOKUP(D159,'Corrected Register'!$A$5:$A$200,'Corrected Register'!$N$5:$N$200),0))</f>
        <v/>
      </c>
      <c r="H159" s="7" t="inlineStr">
        <is>
          <t>EX-0155: IT Asset Specialist replaces Chicago - Closed with operating site on MD-00122.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Chicago - Closed on MD-00122 is leftover coding. Footprint = operating site. Move = TR-00122. Fix queue = EX-0155.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Ledger'!$B$5:$B$200,'Source Ledger'!$H$5:$H$200),"")="Disposed",IFERROR(XLOOKUP(D160,'Source Ledger'!$B$5:$B$200,'Source Ledger'!$G$5:$G$200),0),IF(IFERROR(XLOOKUP(D160,'Source Ledger'!$B$5:$B$200,'Source Ledger'!$E$5:$E$200),"")="",IFERROR(XLOOKUP(D160,'Corrected Register'!$A$5:$A$200,'Corrected Register'!$M$5:$M$200),0),ABS(IFERROR(XLOOKUP(D160,'Source Ledger'!$B$5:$B$200,'Source Ledger'!$E$5:$E$200),0)-IFERROR(XLOOKUP(D160,'Corrected Register'!$A$5:$A$200,'Corrected Register'!$M$5:$M$200),0)))),IFERROR(XLOOKUP(D160,'Corrected Register'!$A$5:$A$200,'Corrected Register'!$N$5:$N$200),0))</f>
        <v/>
      </c>
      <c r="H160" s="7" t="inlineStr">
        <is>
          <t>IT Asset Specialist should post operating site on MD-00123 and retire Denver - Closed (EX-0156).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Extract vs reality on MD-00123: extract=Denver - Closed, reality=operating site, transfer=TR-00123, exception=EX-0156, serial=MD-MO-050123.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Ledger'!$B$5:$B$200,'Source Ledger'!$H$5:$H$200),"")="Disposed",IFERROR(XLOOKUP(D161,'Source Ledger'!$B$5:$B$200,'Source Ledger'!$G$5:$G$200),0),IF(IFERROR(XLOOKUP(D161,'Source Ledger'!$B$5:$B$200,'Source Ledger'!$E$5:$E$200),"")="",IFERROR(XLOOKUP(D161,'Corrected Register'!$A$5:$A$200,'Corrected Register'!$M$5:$M$200),0),ABS(IFERROR(XLOOKUP(D161,'Source Ledger'!$B$5:$B$200,'Source Ledger'!$E$5:$E$200),0)-IFERROR(XLOOKUP(D161,'Corrected Register'!$A$5:$A$200,'Corrected Register'!$M$5:$M$200),0)))),IFERROR(XLOOKUP(D161,'Corrected Register'!$A$5:$A$200,'Corrected Register'!$N$5:$N$200),0))</f>
        <v/>
      </c>
      <c r="H161" s="7" t="inlineStr">
        <is>
          <t>Finish EX-0157 only after MD-00124 shows operating site.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Inventory still advertises Chicago - Closed for MD-00124 even though inbound TR-00124 and live ops both say operating site. Remediate under EX-0157.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Ledger'!$B$5:$B$200,'Source Ledger'!$H$5:$H$200),"")="Disposed",IFERROR(XLOOKUP(D162,'Source Ledger'!$B$5:$B$200,'Source Ledger'!$G$5:$G$200),0),IF(IFERROR(XLOOKUP(D162,'Source Ledger'!$B$5:$B$200,'Source Ledger'!$E$5:$E$200),"")="",IFERROR(XLOOKUP(D162,'Corrected Register'!$A$5:$A$200,'Corrected Register'!$M$5:$M$200),0),ABS(IFERROR(XLOOKUP(D162,'Source Ledger'!$B$5:$B$200,'Source Ledger'!$E$5:$E$200),0)-IFERROR(XLOOKUP(D162,'Corrected Register'!$A$5:$A$200,'Corrected Register'!$M$5:$M$200),0)))),IFERROR(XLOOKUP(D162,'Corrected Register'!$A$5:$A$200,'Corrected Register'!$N$5:$N$200),0))</f>
        <v/>
      </c>
      <c r="H162" s="7" t="inlineStr">
        <is>
          <t>IT Asset Specialist should post operating site on MD-00125 and retire Denver - Closed (EX-0158).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Extract vs reality on MD-00125: extract=Denver - Closed, reality=operating site, transfer=TR-00125, exception=EX-0158, serial=MD-LA-050125.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Ledger'!$B$5:$B$200,'Source Ledger'!$H$5:$H$200),"")="Disposed",IFERROR(XLOOKUP(D163,'Source Ledger'!$B$5:$B$200,'Source Ledger'!$G$5:$G$200),0),IF(IFERROR(XLOOKUP(D163,'Source Ledger'!$B$5:$B$200,'Source Ledger'!$E$5:$E$200),"")="",IFERROR(XLOOKUP(D163,'Corrected Register'!$A$5:$A$200,'Corrected Register'!$M$5:$M$200),0),ABS(IFERROR(XLOOKUP(D163,'Source Ledger'!$B$5:$B$200,'Source Ledger'!$E$5:$E$200),0)-IFERROR(XLOOKUP(D163,'Corrected Register'!$A$5:$A$200,'Corrected Register'!$M$5:$M$200),0)))),IFERROR(XLOOKUP(D163,'Corrected Register'!$A$5:$A$200,'Corrected Register'!$N$5:$N$200),0))</f>
        <v/>
      </c>
      <c r="H163" s="7" t="inlineStr">
        <is>
          <t>EX-0159: IT Asset Specialist replaces Chicago - Closed with operating site on MD-00126.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Because Chicago - Closed was never retired on MD-00126, the extract disagrees with live ops in operating site. TR-00126 finished; EX-0159 captures the lag. Serial on exception: MD-MO-050126.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Ledger'!$B$5:$B$200,'Source Ledger'!$H$5:$H$200),"")="Disposed",IFERROR(XLOOKUP(D164,'Source Ledger'!$B$5:$B$200,'Source Ledger'!$G$5:$G$200),0),IF(IFERROR(XLOOKUP(D164,'Source Ledger'!$B$5:$B$200,'Source Ledger'!$E$5:$E$200),"")="",IFERROR(XLOOKUP(D164,'Corrected Register'!$A$5:$A$200,'Corrected Register'!$M$5:$M$200),0),ABS(IFERROR(XLOOKUP(D164,'Source Ledger'!$B$5:$B$200,'Source Ledger'!$E$5:$E$200),0)-IFERROR(XLOOKUP(D164,'Corrected Register'!$A$5:$A$200,'Corrected Register'!$M$5:$M$200),0)))),IFERROR(XLOOKUP(D164,'Corrected Register'!$A$5:$A$200,'Corrected Register'!$N$5:$N$200),0))</f>
        <v/>
      </c>
      <c r="H164" s="7" t="inlineStr">
        <is>
          <t>Obtain APR on TR-00127 or reverse the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TR-00127 for MD-00127 has a blank approval_id in equipment_transfer_log (ITAM-001 §4) — EX-0160.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Ledger'!$B$5:$B$200,'Source Ledger'!$H$5:$H$200),"")="Disposed",IFERROR(XLOOKUP(D165,'Source Ledger'!$B$5:$B$200,'Source Ledger'!$G$5:$G$200),0),IF(IFERROR(XLOOKUP(D165,'Source Ledger'!$B$5:$B$200,'Source Ledger'!$E$5:$E$200),"")="",IFERROR(XLOOKUP(D165,'Corrected Register'!$A$5:$A$200,'Corrected Register'!$M$5:$M$200),0),ABS(IFERROR(XLOOKUP(D165,'Source Ledger'!$B$5:$B$200,'Source Ledger'!$E$5:$E$200),0)-IFERROR(XLOOKUP(D165,'Corrected Register'!$A$5:$A$200,'Corrected Register'!$M$5:$M$200),0)))),IFERROR(XLOOKUP(D165,'Corrected Register'!$A$5:$A$200,'Corrected Register'!$N$5:$N$200),0))</f>
        <v/>
      </c>
      <c r="H165" s="7" t="inlineStr">
        <is>
          <t>Informational — MD-00130 under $2,500 gate; no FAR row expected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acquisition $700 sits under the $2,500 ITAM-001 §7 gate; missing FAR row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Ledger'!$B$5:$B$200,'Source Ledger'!$H$5:$H$200),"")="Disposed",IFERROR(XLOOKUP(D166,'Source Ledger'!$B$5:$B$200,'Source Ledger'!$G$5:$G$200),0),IF(IFERROR(XLOOKUP(D166,'Source Ledger'!$B$5:$B$200,'Source Ledger'!$E$5:$E$200),"")="",IFERROR(XLOOKUP(D166,'Corrected Register'!$A$5:$A$200,'Corrected Register'!$M$5:$M$200),0),ABS(IFERROR(XLOOKUP(D166,'Source Ledger'!$B$5:$B$200,'Source Ledger'!$E$5:$E$200),0)-IFERROR(XLOOKUP(D166,'Corrected Register'!$A$5:$A$200,'Corrected Register'!$M$5:$M$200),0)))),IFERROR(XLOOKUP(D166,'Corrected Register'!$A$5:$A$200,'Corrected Register'!$N$5:$N$200),0))</f>
        <v/>
      </c>
      <c r="H166" s="7" t="inlineStr">
        <is>
          <t>Informational — MD-00131 under $2,500 gate; no FAR row expected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acquisition $1,175 sits under the $2,500 ITAM-001 §7 gate; missing FAR row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Ledger'!$B$5:$B$200,'Source Ledger'!$H$5:$H$200),"")="Disposed",IFERROR(XLOOKUP(D167,'Source Ledger'!$B$5:$B$200,'Source Ledger'!$G$5:$G$200),0),IF(IFERROR(XLOOKUP(D167,'Source Ledger'!$B$5:$B$200,'Source Ledger'!$E$5:$E$200),"")="",IFERROR(XLOOKUP(D167,'Corrected Register'!$A$5:$A$200,'Corrected Register'!$M$5:$M$200),0),ABS(IFERROR(XLOOKUP(D167,'Source Ledger'!$B$5:$B$200,'Source Ledger'!$E$5:$E$200),0)-IFERROR(XLOOKUP(D167,'Corrected Register'!$A$5:$A$200,'Corrected Register'!$M$5:$M$200),0)))),IFERROR(XLOOKUP(D167,'Corrected Register'!$A$5:$A$200,'Corrected Register'!$N$5:$N$200),0))</f>
        <v/>
      </c>
      <c r="H167" s="7" t="inlineStr">
        <is>
          <t>Capitalize MD-00132 or obtain approved write-off; reject RN-0132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at $6,470 clears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PO-2025-0004</t>
        </is>
      </c>
      <c r="H5" s="7" t="inlineStr">
        <is>
          <t>Confirmed Fact</t>
        </is>
      </c>
      <c r="I5" s="7" t="inlineStr">
        <is>
          <t>Purchasing extract lists PO-2025-0004 covering MD-00017 at $1,985.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 Appendix A</t>
        </is>
      </c>
      <c r="H6" s="7" t="inlineStr">
        <is>
          <t>Confirmed Fact</t>
        </is>
      </c>
      <c r="I6" s="7" t="inlineStr">
        <is>
          <t>Multimodal policy PNG referenced for MD-00017; text extracts remain authoritative. Left as orientation.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TR-00017</t>
        </is>
      </c>
      <c r="H7" s="7" t="inlineStr">
        <is>
          <t>Confirmed Fact</t>
        </is>
      </c>
      <c r="I7" s="7" t="inlineStr">
        <is>
          <t>Assignment event TR-00017 on MD-00017 with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EX-0001</t>
        </is>
      </c>
      <c r="H8" s="7" t="inlineStr">
        <is>
          <t>Confirmed Fact</t>
        </is>
      </c>
      <c r="I8" s="7" t="inlineStr">
        <is>
          <t>Working end-state for MD-00017: In Use in Seattle. Exceptions: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PO-2022-0005</t>
        </is>
      </c>
      <c r="H9" s="7" t="inlineStr">
        <is>
          <t>Confirmed Fact</t>
        </is>
      </c>
      <c r="I9" s="7" t="inlineStr">
        <is>
          <t>Inbound purchasing for MD-00021 cited PO-2022-0005 ($1,850).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TR-00021</t>
        </is>
      </c>
      <c r="H10" s="7" t="inlineStr">
        <is>
          <t>Confirmed Fact</t>
        </is>
      </c>
      <c r="I10" s="7" t="inlineStr">
        <is>
          <t>Logged transfer TR-00021 for MD-00021; receiving side Denver.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 Appendix A</t>
        </is>
      </c>
      <c r="H11" s="7" t="inlineStr">
        <is>
          <t>Confirmed Fact</t>
        </is>
      </c>
      <c r="I11" s="7" t="inlineStr">
        <is>
          <t>For MD-00021, the policy figure clarifies evidence precedence without adding new facts. Left as orientation.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EX-0002</t>
        </is>
      </c>
      <c r="H12" s="7" t="inlineStr">
        <is>
          <t>Confirmed Fact</t>
        </is>
      </c>
      <c r="I12" s="7" t="inlineStr">
        <is>
          <t>Register outcome on MD-00021: In Use (Denver). See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PO-2022-0005</t>
        </is>
      </c>
      <c r="H13" s="7" t="inlineStr">
        <is>
          <t>Confirmed Fact</t>
        </is>
      </c>
      <c r="I13" s="7" t="inlineStr">
        <is>
          <t>PO-2022-0005 → MD-00025 / LG UltraFine 27MD5KL, basis $2,030.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TR-00025</t>
        </is>
      </c>
      <c r="H14" s="7" t="inlineStr">
        <is>
          <t>Confirmed Fact</t>
        </is>
      </c>
      <c r="I14" s="7" t="inlineStr">
        <is>
          <t>MD-00025 changed hands under TR-00025; location context Chicago.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Hearsay entry regional_IT_notes.docx retained for MD-00025 investigations only. No register update from this alone.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IT_asset_management_policy.pdf</t>
        </is>
      </c>
      <c r="H16" s="7" t="inlineStr">
        <is>
          <t>Confirmed Fact</t>
        </is>
      </c>
      <c r="I16" s="7" t="inlineStr">
        <is>
          <t>For MD-00025, the policy figure clarifies evidence precedence without adding new facts. Marked lead-only.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EX-0003, EX-0004</t>
        </is>
      </c>
      <c r="H17" s="7" t="inlineStr">
        <is>
          <t>Confirmed Fact</t>
        </is>
      </c>
      <c r="I17" s="7" t="inlineStr">
        <is>
          <t>Working end-state for MD-00025: In Use in Chicago. Exceptions: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PO-2024-0007</t>
        </is>
      </c>
      <c r="H18" s="7" t="inlineStr">
        <is>
          <t>Confirmed Fact</t>
        </is>
      </c>
      <c r="I18" s="7" t="inlineStr">
        <is>
          <t>MD-00034 enters inventory via PO-2024-0007; model LG UltraFine 27MD5KL.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TR-00034</t>
        </is>
      </c>
      <c r="H19" s="7" t="inlineStr">
        <is>
          <t>Confirmed Fact</t>
        </is>
      </c>
      <c r="I19" s="7" t="inlineStr">
        <is>
          <t>Logged transfer TR-00034 for MD-00034; receiving side New York.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 IT chatter on MD-00034 filed as regional_IT_notes.docx (lead only). No register update from this alone.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IT_asset_management_policy.pdf</t>
        </is>
      </c>
      <c r="H21" s="7" t="inlineStr">
        <is>
          <t>Confirmed Fact</t>
        </is>
      </c>
      <c r="I21" s="7" t="inlineStr">
        <is>
          <t>Figure lead on MD-00034: matrix image shows required evidence classes, not asset-specific facts. Did not elevate to proof.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EX-0013, EX-0014</t>
        </is>
      </c>
      <c r="H22" s="7" t="inlineStr">
        <is>
          <t>Confirmed Fact</t>
        </is>
      </c>
      <c r="I22" s="7" t="inlineStr">
        <is>
          <t>Chain closed on MD-00034 with operational reading In Use. Linked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PO-2023-0010</t>
        </is>
      </c>
      <c r="H23" s="7" t="inlineStr">
        <is>
          <t>Confirmed Fact</t>
        </is>
      </c>
      <c r="I23" s="7" t="inlineStr">
        <is>
          <t>Bought MD-00051 (Samsung Galaxy S24) on PO-2023-0010 for $1,040.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TR-00051</t>
        </is>
      </c>
      <c r="H24" s="7" t="inlineStr">
        <is>
          <t>Confirmed Fact</t>
        </is>
      </c>
      <c r="I24" s="7" t="inlineStr">
        <is>
          <t>MD-00051 changed hands under TR-00051; location context Denver.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Captured regional_IT_notes.docx against MD-00051 as a non-authoritative lead. Follow-up only.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IT_asset_management_policy.pdf §§4–9; ITAM_control_matrix.png</t>
        </is>
      </c>
      <c r="H26" s="7" t="inlineStr">
        <is>
          <t>Confirmed Fact</t>
        </is>
      </c>
      <c r="I26" s="7" t="inlineStr">
        <is>
          <t>Glanced at the control-matrix image while documenting MD-00051; did not treat it as clearance. Kept out of disposition logic.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EX-0031, EX-0032</t>
        </is>
      </c>
      <c r="H27" s="7" t="inlineStr">
        <is>
          <t>Confirmed Fact</t>
        </is>
      </c>
      <c r="I27" s="7" t="inlineStr">
        <is>
          <t>Register outcome on MD-00051: Available (Denver). See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PO-2024-0011</t>
        </is>
      </c>
      <c r="H28" s="7" t="inlineStr">
        <is>
          <t>Confirmed Fact</t>
        </is>
      </c>
      <c r="I28" s="7" t="inlineStr">
        <is>
          <t>MD-00058 enters inventory via PO-2024-0011; model Google Pixel 8.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TR-00058</t>
        </is>
      </c>
      <c r="H29" s="7" t="inlineStr">
        <is>
          <t>Unresolved Assumption</t>
        </is>
      </c>
      <c r="I29" s="7" t="inlineStr">
        <is>
          <t>Transfer TR-00058 relocates MD-00058 toward New York.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OFF-00058</t>
        </is>
      </c>
      <c r="H30" s="7" t="inlineStr">
        <is>
          <t>Technician Claim</t>
        </is>
      </c>
      <c r="I30" s="7" t="inlineStr">
        <is>
          <t>HR/IT offboarding OFF-00058 lists MD-00058; verify register custodian matches ticket closeout.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OFF-00058</t>
        </is>
      </c>
      <c r="H31" s="7" t="inlineStr">
        <is>
          <t>Technician Claim</t>
        </is>
      </c>
      <c r="I31" s="7" t="inlineStr">
        <is>
          <t>Unverified tech comment OFF-00058 linked to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 IT chatter on MD-00058 filed as regional_IT_notes.docx (lead only). No register update from this alone.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Matrix image confirms what proof is expected for MD-00058; it is not itself that proof. Evidence tier reminder only.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EX-0039, EX-0040, EX-0041</t>
        </is>
      </c>
      <c r="H34" s="7" t="inlineStr">
        <is>
          <t>Confirmed Fact</t>
        </is>
      </c>
      <c r="I34" s="7" t="inlineStr">
        <is>
          <t>Closed the chain for MD-00058 at New York with status Pending Redeployment. Flags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PO-2024-0011</t>
        </is>
      </c>
      <c r="H35" s="7" t="inlineStr">
        <is>
          <t>Confirmed Fact</t>
        </is>
      </c>
      <c r="I35" s="7" t="inlineStr">
        <is>
          <t>Buy recorded for MD-00059 under PO-2024-0011; Samsung Galaxy S23 FE received into inventory.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TR-00059</t>
        </is>
      </c>
      <c r="H36" s="7" t="inlineStr">
        <is>
          <t>Unresolved Assumption</t>
        </is>
      </c>
      <c r="I36" s="7" t="inlineStr">
        <is>
          <t>Hand-off for MD-00059 documented in TR-00059; site note Seattle.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OFF-00059</t>
        </is>
      </c>
      <c r="H37" s="7" t="inlineStr">
        <is>
          <t>Technician Claim</t>
        </is>
      </c>
      <c r="I37" s="7" t="inlineStr">
        <is>
          <t>MD-00059 appears on offboarding OFF-00059; confirm register update.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OFF-00059</t>
        </is>
      </c>
      <c r="H38" s="7" t="inlineStr">
        <is>
          <t>Technician Claim</t>
        </is>
      </c>
      <c r="I38" s="7" t="inlineStr">
        <is>
          <t>Unverified tech comment OFF-00059 linked to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Lead-only regional entry regional_IT_notes.docx associated to MD-00059. Requires independent find.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 Appendix A</t>
        </is>
      </c>
      <c r="H40" s="7" t="inlineStr">
        <is>
          <t>Confirmed Fact</t>
        </is>
      </c>
      <c r="I40" s="7" t="inlineStr">
        <is>
          <t>ITAM PNG reviewed; MD-00059 still needs ordinary source documentation. Marked lead-only.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EX-0042, EX-0043, EX-0044</t>
        </is>
      </c>
      <c r="H41" s="7" t="inlineStr">
        <is>
          <t>Confirmed Fact</t>
        </is>
      </c>
      <c r="I41" s="7" t="inlineStr">
        <is>
          <t>Chain closed on MD-00059 with operational reading Pending Redeployment. Linked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PO-2024-0011</t>
        </is>
      </c>
      <c r="H42" s="7" t="inlineStr">
        <is>
          <t>Confirmed Fact</t>
        </is>
      </c>
      <c r="I42" s="7" t="inlineStr">
        <is>
          <t>Vendor fulfillment on PO-2024-0011 put MD-00060 on the books (Samsung Galaxy S24).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TR-00060</t>
        </is>
      </c>
      <c r="H43" s="7" t="inlineStr">
        <is>
          <t>Confirmed Fact</t>
        </is>
      </c>
      <c r="I43" s="7" t="inlineStr">
        <is>
          <t>Transfer TR-00060 relocates MD-00060 toward Atlanta.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OFF-00060</t>
        </is>
      </c>
      <c r="H44" s="7" t="inlineStr">
        <is>
          <t>Technician Claim</t>
        </is>
      </c>
      <c r="I44" s="7" t="inlineStr">
        <is>
          <t>Ticket OFF-00060 is the offboarding spine for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OFF-00060</t>
        </is>
      </c>
      <c r="H45" s="7" t="inlineStr">
        <is>
          <t>Technician Claim</t>
        </is>
      </c>
      <c r="I45" s="7" t="inlineStr">
        <is>
          <t>Tech remark filed against MD-00060 under OFF-00060.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No weight given to regional note regional_IT_notes.docx for MD-00060 beyond follow-up. Follow-up only.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IT_asset_management_policy.pdf</t>
        </is>
      </c>
      <c r="H47" s="7" t="inlineStr">
        <is>
          <t>Confirmed Fact</t>
        </is>
      </c>
      <c r="I47" s="7" t="inlineStr">
        <is>
          <t>Policy figure pass for MD-00060 completed before citing PO/TR/ticket identifiers. Returned to source files next.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EX-0045, EX-0046</t>
        </is>
      </c>
      <c r="H48" s="7" t="inlineStr">
        <is>
          <t>Confirmed Fact</t>
        </is>
      </c>
      <c r="I48" s="7" t="inlineStr">
        <is>
          <t>Reconciled MD-00060 to verified status Pending Redeployment / Atlanta. Open: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PO-2025-0012</t>
        </is>
      </c>
      <c r="H49" s="7" t="inlineStr">
        <is>
          <t>Confirmed Fact</t>
        </is>
      </c>
      <c r="I49" s="7" t="inlineStr">
        <is>
          <t>Vendor fulfillment on PO-2025-0012 put MD-00061 on the books (iPhone 15).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TR-00061</t>
        </is>
      </c>
      <c r="H50" s="7" t="inlineStr">
        <is>
          <t>Confirmed Fact</t>
        </is>
      </c>
      <c r="I50" s="7" t="inlineStr">
        <is>
          <t>Hand-off for MD-00061 documented in TR-00061; site note Chicago.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OFF-00061</t>
        </is>
      </c>
      <c r="H51" s="7" t="inlineStr">
        <is>
          <t>Technician Claim</t>
        </is>
      </c>
      <c r="I51" s="7" t="inlineStr">
        <is>
          <t>HR/IT offboarding OFF-00061 lists MD-00061; verify register custodian matches ticket closeout.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OFF-00061</t>
        </is>
      </c>
      <c r="H52" s="7" t="inlineStr">
        <is>
          <t>Technician Claim</t>
        </is>
      </c>
      <c r="I52" s="7" t="inlineStr">
        <is>
          <t>Unverified tech comment OFF-00061 linked to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 note regional_IT_notes.docx on MD-00061 remains unverified. Needs ticket or scan before use.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Control graphic for MD-00061 is informational; chain relies on register and transfer records. Left as orientation.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EX-0047, EX-0048</t>
        </is>
      </c>
      <c r="H55" s="7" t="inlineStr">
        <is>
          <t>Confirmed Fact</t>
        </is>
      </c>
      <c r="I55" s="7" t="inlineStr">
        <is>
          <t>Documented end state MD-00061 → Pending Redeployment, site Chicago.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PO-2025-0012</t>
        </is>
      </c>
      <c r="H56" s="7" t="inlineStr">
        <is>
          <t>Confirmed Fact</t>
        </is>
      </c>
      <c r="I56" s="7" t="inlineStr">
        <is>
          <t>PO-2025-0012 → MD-00062 / Google Pixel 8, basis $790.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TR-00062</t>
        </is>
      </c>
      <c r="H57" s="7" t="inlineStr">
        <is>
          <t>Confirmed Fact</t>
        </is>
      </c>
      <c r="I57" s="7" t="inlineStr">
        <is>
          <t>MD-00062 changed hands under TR-00062; location context Dallas.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OFF-00062</t>
        </is>
      </c>
      <c r="H58" s="7" t="inlineStr">
        <is>
          <t>Technician Claim</t>
        </is>
      </c>
      <c r="I58" s="7" t="inlineStr">
        <is>
          <t>MD-00062 appears on offboarding OFF-00062; confirm register update.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OFF-00062</t>
        </is>
      </c>
      <c r="H59" s="7" t="inlineStr">
        <is>
          <t>Technician Claim</t>
        </is>
      </c>
      <c r="I59" s="7" t="inlineStr">
        <is>
          <t>Unverified tech comment OFF-00062 linked to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Hearsay entry regional_IT_notes.docx retained for MD-00062 investigations only. Held as investigative crumb.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 Appendix A</t>
        </is>
      </c>
      <c r="H61" s="7" t="inlineStr">
        <is>
          <t>Confirmed Fact</t>
        </is>
      </c>
      <c r="I61" s="7" t="inlineStr">
        <is>
          <t>For MD-00062, the policy figure clarifies evidence precedence without adding new facts. Kept out of disposition logic.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EX-0049, EX-0050</t>
        </is>
      </c>
      <c r="H62" s="7" t="inlineStr">
        <is>
          <t>Confirmed Fact</t>
        </is>
      </c>
      <c r="I62" s="7" t="inlineStr">
        <is>
          <t>Conclusion row for MD-00062 — Pending Redeployment at Dallas. Tied exceptions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PO-2025-0012</t>
        </is>
      </c>
      <c r="H63" s="7" t="inlineStr">
        <is>
          <t>Confirmed Fact</t>
        </is>
      </c>
      <c r="I63" s="7" t="inlineStr">
        <is>
          <t>Vendor fulfillment on PO-2025-0012 put MD-00063 on the books (Samsung Galaxy S23 FE).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TR-00063</t>
        </is>
      </c>
      <c r="H64" s="7" t="inlineStr">
        <is>
          <t>Confirmed Fact</t>
        </is>
      </c>
      <c r="I64" s="7" t="inlineStr">
        <is>
          <t>Transfer TR-00063 relocates MD-00063 toward Denver.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OFF-00063</t>
        </is>
      </c>
      <c r="H65" s="7" t="inlineStr">
        <is>
          <t>Technician Claim</t>
        </is>
      </c>
      <c r="I65" s="7" t="inlineStr">
        <is>
          <t>Offboard record OFF-00063 flags MD-00063 for custodian cleanup.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OFF-00063</t>
        </is>
      </c>
      <c r="H66" s="7" t="inlineStr">
        <is>
          <t>Technician Claim</t>
        </is>
      </c>
      <c r="I66" s="7" t="inlineStr">
        <is>
          <t>Technician comment on MD-00063 retained as unverified (OFF-00063).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Soft lead regional_IT_notes.docx for MD-00063 — ignore for clearance without scans/tickets. Requires independent find.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IT_asset_management_policy.pdf §§4–9; ITAM_control_matrix.png</t>
        </is>
      </c>
      <c r="H68" s="7" t="inlineStr">
        <is>
          <t>Confirmed Fact</t>
        </is>
      </c>
      <c r="I68" s="7" t="inlineStr">
        <is>
          <t>Checked the ITAM matrix graphic during MD-00063 chain writing as a reminder of evidence tiers. Logged as multimodal lead.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EX-0051, EX-0052</t>
        </is>
      </c>
      <c r="H69" s="7" t="inlineStr">
        <is>
          <t>Confirmed Fact</t>
        </is>
      </c>
      <c r="I69" s="7" t="inlineStr">
        <is>
          <t>Documented end state MD-00063 → Pending Redeployment, site Denver.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PO-2025-0012</t>
        </is>
      </c>
      <c r="H70" s="7" t="inlineStr">
        <is>
          <t>Confirmed Fact</t>
        </is>
      </c>
      <c r="I70" s="7" t="inlineStr">
        <is>
          <t>PO-2025-0012 → MD-00064 / iPhone 14, basis $6,245.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TR-00064</t>
        </is>
      </c>
      <c r="H71" s="7" t="inlineStr">
        <is>
          <t>Unresolved Assumption</t>
        </is>
      </c>
      <c r="I71" s="7" t="inlineStr">
        <is>
          <t>Hand-off for MD-00064 documented in TR-00064; site note New York.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OFF-00064</t>
        </is>
      </c>
      <c r="H72" s="7" t="inlineStr">
        <is>
          <t>Technician Claim</t>
        </is>
      </c>
      <c r="I72" s="7" t="inlineStr">
        <is>
          <t>Separated-employee workflow OFF-00064 includes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OFF-00064</t>
        </is>
      </c>
      <c r="H73" s="7" t="inlineStr">
        <is>
          <t>Technician Claim</t>
        </is>
      </c>
      <c r="I73" s="7" t="inlineStr">
        <is>
          <t>Bench note OFF-00064 for MD-00064; needs independent corroboration.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Lead-only regional entry regional_IT_notes.docx associated to MD-00064. Left outside certification proof.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</t>
        </is>
      </c>
      <c r="H75" s="7" t="inlineStr">
        <is>
          <t>Confirmed Fact</t>
        </is>
      </c>
      <c r="I75" s="7" t="inlineStr">
        <is>
          <t>Policy matrix figure reviewed for MD-00064 — assignment/return/disposal rows — then returned to source IDs. Marked lead-only.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EX-0053, EX-0054, EX-0055</t>
        </is>
      </c>
      <c r="H76" s="7" t="inlineStr">
        <is>
          <t>Confirmed Fact</t>
        </is>
      </c>
      <c r="I76" s="7" t="inlineStr">
        <is>
          <t>Reconciled MD-00064 to verified status Pending Redeployment / New York. Open: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PO-2022-0013</t>
        </is>
      </c>
      <c r="H77" s="7" t="inlineStr">
        <is>
          <t>Confirmed Fact</t>
        </is>
      </c>
      <c r="I77" s="7" t="inlineStr">
        <is>
          <t>MD-00065 enters inventory via PO-2022-0013; model Samsung Galaxy S24.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TR-00065</t>
        </is>
      </c>
      <c r="H78" s="7" t="inlineStr">
        <is>
          <t>Unresolved Assumption</t>
        </is>
      </c>
      <c r="I78" s="7" t="inlineStr">
        <is>
          <t>MD-00065 changed hands under TR-00065; location context Seattle.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OFF-00065</t>
        </is>
      </c>
      <c r="H79" s="7" t="inlineStr">
        <is>
          <t>Technician Claim</t>
        </is>
      </c>
      <c r="I79" s="7" t="inlineStr">
        <is>
          <t>Ticket OFF-00065 is the offboarding spine for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OFF-00065</t>
        </is>
      </c>
      <c r="H80" s="7" t="inlineStr">
        <is>
          <t>Technician Claim</t>
        </is>
      </c>
      <c r="I80" s="7" t="inlineStr">
        <is>
          <t>Tech remark filed against MD-00065 under OFF-00065.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Field tip regional_IT_notes.docx for MD-00065; still waiting on independent proof. Not used for verified location.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IT_asset_management_policy.pdf</t>
        </is>
      </c>
      <c r="H82" s="7" t="inlineStr">
        <is>
          <t>Confirmed Fact</t>
        </is>
      </c>
      <c r="I82" s="7" t="inlineStr">
        <is>
          <t>Glanced at the control-matrix image while documenting MD-00065; did not treat it as clearance. No clearance inferred.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EX-0056, EX-0057, EX-0058</t>
        </is>
      </c>
      <c r="H83" s="7" t="inlineStr">
        <is>
          <t>Confirmed Fact</t>
        </is>
      </c>
      <c r="I83" s="7" t="inlineStr">
        <is>
          <t>Final custody call on MD-00065: keep Pending Redeployment unless EX-0056, EX-0057, EX-0058 changes it.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PO-2022-0013</t>
        </is>
      </c>
      <c r="H84" s="7" t="inlineStr">
        <is>
          <t>Confirmed Fact</t>
        </is>
      </c>
      <c r="I84" s="7" t="inlineStr">
        <is>
          <t>PO-2022-0013 → MD-00066 / iPhone 15, basis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TR-00066</t>
        </is>
      </c>
      <c r="H85" s="7" t="inlineStr">
        <is>
          <t>Confirmed Fact</t>
        </is>
      </c>
      <c r="I85" s="7" t="inlineStr">
        <is>
          <t>Custody hop on MD-00066 via TR-00066 (APR-00066).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OFF-00066</t>
        </is>
      </c>
      <c r="H86" s="7" t="inlineStr">
        <is>
          <t>Technician Claim</t>
        </is>
      </c>
      <c r="I86" s="7" t="inlineStr">
        <is>
          <t>Offboarding ticket OFF-00066 touches MD-00066; custodian change still required if register lags.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OFF-00066</t>
        </is>
      </c>
      <c r="H87" s="7" t="inlineStr">
        <is>
          <t>Technician Claim</t>
        </is>
      </c>
      <c r="I87" s="7" t="inlineStr">
        <is>
          <t>Tech remark filed against MD-00066 under OFF-00066.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Unvalidated regional statement regional_IT_notes.docx tied to MD-00066. Needs ticket or scan before use.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Control graphic for MD-00066 is informational; chain relies on register and transfer records. Returned to source files next.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EX-0059, EX-0060</t>
        </is>
      </c>
      <c r="H90" s="7" t="inlineStr">
        <is>
          <t>Confirmed Fact</t>
        </is>
      </c>
      <c r="I90" s="7" t="inlineStr">
        <is>
          <t>Closed the chain for MD-00066 at Atlanta with status Pending Redeployment. Flags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PO-2022-0013</t>
        </is>
      </c>
      <c r="H91" s="7" t="inlineStr">
        <is>
          <t>Confirmed Fact</t>
        </is>
      </c>
      <c r="I91" s="7" t="inlineStr">
        <is>
          <t>Bought MD-00067 (Google Pixel 8) on PO-2022-0013 for $1,130.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TR-00067</t>
        </is>
      </c>
      <c r="H92" s="7" t="inlineStr">
        <is>
          <t>Confirmed Fact</t>
        </is>
      </c>
      <c r="I92" s="7" t="inlineStr">
        <is>
          <t>equipment_transfer_log TR-00067: custody hop for MD-00067,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OFF-00067</t>
        </is>
      </c>
      <c r="H93" s="7" t="inlineStr">
        <is>
          <t>Technician Claim</t>
        </is>
      </c>
      <c r="I93" s="7" t="inlineStr">
        <is>
          <t>MD-00067 appears on offboarding OFF-00067; confirm register update.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OFF-00067</t>
        </is>
      </c>
      <c r="H94" s="7" t="inlineStr">
        <is>
          <t>Technician Claim</t>
        </is>
      </c>
      <c r="I94" s="7" t="inlineStr">
        <is>
          <t>Unverified tech comment OFF-00067 linked to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No weight given to regional note regional_IT_notes.docx for MD-00067 beyond follow-up. No register update from this alone.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 Appendix A</t>
        </is>
      </c>
      <c r="H96" s="7" t="inlineStr">
        <is>
          <t>Confirmed Fact</t>
        </is>
      </c>
      <c r="I96" s="7" t="inlineStr">
        <is>
          <t>For MD-00067, the policy figure clarifies evidence precedence without adding new facts. Did not elevate to proof.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EX-0061, EX-0062</t>
        </is>
      </c>
      <c r="H97" s="7" t="inlineStr">
        <is>
          <t>Confirmed Fact</t>
        </is>
      </c>
      <c r="I97" s="7" t="inlineStr">
        <is>
          <t>Chain closed on MD-00067 with operational reading Pending Redeployment. Linked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PO-2022-0013</t>
        </is>
      </c>
      <c r="H98" s="7" t="inlineStr">
        <is>
          <t>Confirmed Fact</t>
        </is>
      </c>
      <c r="I98" s="7" t="inlineStr">
        <is>
          <t>Acquisition packet for MD-00068: vendor delivery against PO-2022-0013, $6,425.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TR-00068</t>
        </is>
      </c>
      <c r="H99" s="7" t="inlineStr">
        <is>
          <t>Confirmed Fact</t>
        </is>
      </c>
      <c r="I99" s="7" t="inlineStr">
        <is>
          <t>Move record TR-00068 is the assignment evidence for MD-00068.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OFF-00068</t>
        </is>
      </c>
      <c r="H100" s="7" t="inlineStr">
        <is>
          <t>Technician Claim</t>
        </is>
      </c>
      <c r="I100" s="7" t="inlineStr">
        <is>
          <t>Offboard record OFF-00068 flags MD-00068 for custodian cleanup.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OFF-00068</t>
        </is>
      </c>
      <c r="H101" s="7" t="inlineStr">
        <is>
          <t>Technician Claim</t>
        </is>
      </c>
      <c r="I101" s="7" t="inlineStr">
        <is>
          <t>Unverified tech comment OFF-00068 linked to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1ZMD00000068</t>
        </is>
      </c>
      <c r="H102" s="7" t="inlineStr">
        <is>
          <t>Technician Claim</t>
        </is>
      </c>
      <c r="I102" s="7" t="inlineStr">
        <is>
          <t>Carrier label event 1ZMD00000068 on MD-00068 — awaiting acceptance/delivery/scan chain.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 note for MD-00068 kept as an unverified lead (regional_IT_notes.docx). Held as investigative crumb.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IT_asset_management_policy.pdf</t>
        </is>
      </c>
      <c r="H104" s="7" t="inlineStr">
        <is>
          <t>Confirmed Fact</t>
        </is>
      </c>
      <c r="I104" s="7" t="inlineStr">
        <is>
          <t>Policy figure pass for MD-00068 completed before citing PO/TR/ticket identifiers. Evidence tier reminder only.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EX-0063, EX-0064, EX-0065</t>
        </is>
      </c>
      <c r="H105" s="7" t="inlineStr">
        <is>
          <t>Unresolved Assumption</t>
        </is>
      </c>
      <c r="I105" s="7" t="inlineStr">
        <is>
          <t>Reconciled MD-00068 to verified status Return Overdue / Remote - Former Employee. Open: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PO-2022-0013</t>
        </is>
      </c>
      <c r="H106" s="7" t="inlineStr">
        <is>
          <t>Confirmed Fact</t>
        </is>
      </c>
      <c r="I106" s="7" t="inlineStr">
        <is>
          <t>PO line PO-2022-0013 is the acquisition spine for MD-00069 (iPhone 14).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TR-00069</t>
        </is>
      </c>
      <c r="H107" s="7" t="inlineStr">
        <is>
          <t>Confirmed Fact</t>
        </is>
      </c>
      <c r="I107" s="7" t="inlineStr">
        <is>
          <t>Hand-off for MD-00069 documented in TR-00069; site note Remote - Former Employee.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OFF-00069</t>
        </is>
      </c>
      <c r="H108" s="7" t="inlineStr">
        <is>
          <t>Technician Claim</t>
        </is>
      </c>
      <c r="I108" s="7" t="inlineStr">
        <is>
          <t>Offboarding ticket OFF-00069 touches MD-00069; custodian change still required if register lags.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OFF-00069</t>
        </is>
      </c>
      <c r="H109" s="7" t="inlineStr">
        <is>
          <t>Technician Claim</t>
        </is>
      </c>
      <c r="I109" s="7" t="inlineStr">
        <is>
          <t>Technician comment on MD-00069 retained as unverified (OFF-00069).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1ZMD00000069</t>
        </is>
      </c>
      <c r="H110" s="7" t="inlineStr">
        <is>
          <t>Technician Claim</t>
        </is>
      </c>
      <c r="I110" s="7" t="inlineStr">
        <is>
          <t>Label-created milestone 1ZMD00000069 for MD-00069; proof of return still incomplete.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Keep regional_IT_notes.docx out of the proof stack for MD-00069. Requires independent find.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IT_asset_management_policy.pdf §§4–9; ITAM_control_matrix.png</t>
        </is>
      </c>
      <c r="H112" s="7" t="inlineStr">
        <is>
          <t>Confirmed Fact</t>
        </is>
      </c>
      <c r="I112" s="7" t="inlineStr">
        <is>
          <t>Figure lead on MD-00069: matrix image shows required evidence classes, not asset-specific facts. Left as orientation.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EX-0066, EX-0067</t>
        </is>
      </c>
      <c r="H113" s="7" t="inlineStr">
        <is>
          <t>Unresolved Assumption</t>
        </is>
      </c>
      <c r="I113" s="7" t="inlineStr">
        <is>
          <t>Working end-state for MD-00069: Return Overdue in Remote - Former Employee. Exceptions: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PO-2022-0013</t>
        </is>
      </c>
      <c r="H114" s="7" t="inlineStr">
        <is>
          <t>Confirmed Fact</t>
        </is>
      </c>
      <c r="I114" s="7" t="inlineStr">
        <is>
          <t>MD-00070 enters inventory via PO-2022-0013; model iPhone 15.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TR-00070</t>
        </is>
      </c>
      <c r="H115" s="7" t="inlineStr">
        <is>
          <t>Confirmed Fact</t>
        </is>
      </c>
      <c r="I115" s="7" t="inlineStr">
        <is>
          <t>TR file TR-00070 covers the MD-00070 relocation (approval APR-00070).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OFF-00070</t>
        </is>
      </c>
      <c r="H116" s="7" t="inlineStr">
        <is>
          <t>Technician Claim</t>
        </is>
      </c>
      <c r="I116" s="7" t="inlineStr">
        <is>
          <t>Separated-employee workflow OFF-00070 includes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OFF-00070</t>
        </is>
      </c>
      <c r="H117" s="7" t="inlineStr">
        <is>
          <t>Technician Claim</t>
        </is>
      </c>
      <c r="I117" s="7" t="inlineStr">
        <is>
          <t>Bench note OFF-00070 for MD-00070; needs independent corroboration.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1ZMD00000070</t>
        </is>
      </c>
      <c r="H118" s="7" t="inlineStr">
        <is>
          <t>Technician Claim</t>
        </is>
      </c>
      <c r="I118" s="7" t="inlineStr">
        <is>
          <t>Label-created milestone 1ZMD00000070 for MD-00070; proof of return still incomplete.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 note regional_IT_notes.docx on MD-00070 remains unverified. No register update from this alone.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IT_asset_management_policy.pdf §§4–9; ITAM_control_matrix.png</t>
        </is>
      </c>
      <c r="H120" s="7" t="inlineStr">
        <is>
          <t>Confirmed Fact</t>
        </is>
      </c>
      <c r="I120" s="7" t="inlineStr">
        <is>
          <t>ITAM_control_matrix.png is a lead for MD-00070; transactional proof stays outside the PNG. Returned to source files next.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EX-0068, EX-0069</t>
        </is>
      </c>
      <c r="H121" s="7" t="inlineStr">
        <is>
          <t>Unresolved Assumption</t>
        </is>
      </c>
      <c r="I121" s="7" t="inlineStr">
        <is>
          <t>Conclusion row for MD-00070 — Return Overdue at Remote - Former Employee. Tied exceptions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PO-2023-0014</t>
        </is>
      </c>
      <c r="H122" s="7" t="inlineStr">
        <is>
          <t>Confirmed Fact</t>
        </is>
      </c>
      <c r="I122" s="7" t="inlineStr">
        <is>
          <t>Buy recorded for MD-00071 under PO-2023-0014; Google Pixel 8 received into inventory.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TR-00071</t>
        </is>
      </c>
      <c r="H123" s="7" t="inlineStr">
        <is>
          <t>Confirmed Fact</t>
        </is>
      </c>
      <c r="I123" s="7" t="inlineStr">
        <is>
          <t>Transfer TR-00071 relocates MD-00071 toward Remote - Former Employee.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OFF-00071</t>
        </is>
      </c>
      <c r="H124" s="7" t="inlineStr">
        <is>
          <t>Technician Claim</t>
        </is>
      </c>
      <c r="I124" s="7" t="inlineStr">
        <is>
          <t>MD-00071 appears on offboarding OFF-00071; confirm register update.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OFF-00071</t>
        </is>
      </c>
      <c r="H125" s="7" t="inlineStr">
        <is>
          <t>Technician Claim</t>
        </is>
      </c>
      <c r="I125" s="7" t="inlineStr">
        <is>
          <t>Technician comment on MD-00071 retained as unverified (OFF-00071).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1ZMD00000071</t>
        </is>
      </c>
      <c r="H126" s="7" t="inlineStr">
        <is>
          <t>Technician Claim</t>
        </is>
      </c>
      <c r="I126" s="7" t="inlineStr">
        <is>
          <t>Return label 1ZMD00000071 created for MD-00071; label alone is not acceptance proof.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Unconfirmed site remark for MD-00071 stored as regional_IT_notes.docx. Left outside certification proof.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Checked the ITAM matrix graphic during MD-00071 chain writing as a reminder of evidence tiers. Logged as multimodal lead.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EX-0070, EX-0071</t>
        </is>
      </c>
      <c r="H129" s="7" t="inlineStr">
        <is>
          <t>Unresolved Assumption</t>
        </is>
      </c>
      <c r="I129" s="7" t="inlineStr">
        <is>
          <t>Summary for MD-00071: verified Return Overdue @ Remote - Former Employee. Outstanding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PO-2023-0014</t>
        </is>
      </c>
      <c r="H130" s="7" t="inlineStr">
        <is>
          <t>Confirmed Fact</t>
        </is>
      </c>
      <c r="I130" s="7" t="inlineStr">
        <is>
          <t>MD-00072 enters inventory via PO-2023-0014; model Fortinet FortiSwitch 148F.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TR-00072</t>
        </is>
      </c>
      <c r="H131" s="7" t="inlineStr">
        <is>
          <t>Confirmed Fact</t>
        </is>
      </c>
      <c r="I131" s="7" t="inlineStr">
        <is>
          <t>Logged transfer TR-00072 for MD-00072; receiving side Remote - Former Employee.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OFF-00072</t>
        </is>
      </c>
      <c r="H132" s="7" t="inlineStr">
        <is>
          <t>Technician Claim</t>
        </is>
      </c>
      <c r="I132" s="7" t="inlineStr">
        <is>
          <t>HR/IT offboarding OFF-00072 lists MD-00072; verify register custodian matches ticket closeout.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OFF-00072</t>
        </is>
      </c>
      <c r="H133" s="7" t="inlineStr">
        <is>
          <t>Technician Claim</t>
        </is>
      </c>
      <c r="I133" s="7" t="inlineStr">
        <is>
          <t>Tech remark filed against MD-00072 under OFF-00072.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1ZMD00000072</t>
        </is>
      </c>
      <c r="H134" s="7" t="inlineStr">
        <is>
          <t>Technician Claim</t>
        </is>
      </c>
      <c r="I134" s="7" t="inlineStr">
        <is>
          <t>Outbound label 1ZMD00000072 logged for MD-00072.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Soft lead regional_IT_notes.docx for MD-00072 — ignore for clearance without scans/tickets. Needs ticket or scan before use.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</t>
        </is>
      </c>
      <c r="H136" s="7" t="inlineStr">
        <is>
          <t>Confirmed Fact</t>
        </is>
      </c>
      <c r="I136" s="7" t="inlineStr">
        <is>
          <t>Saw ITAM_control_matrix.png in the MD-00072 working set; kept it marked as a lead. Returned to source files next.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EX-0072, EX-0073</t>
        </is>
      </c>
      <c r="H137" s="7" t="inlineStr">
        <is>
          <t>Unresolved Assumption</t>
        </is>
      </c>
      <c r="I137" s="7" t="inlineStr">
        <is>
          <t>Reconciled MD-00072 to verified status Return Overdue / Remote - Former Employee. Open: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PO-2023-0014</t>
        </is>
      </c>
      <c r="H138" s="7" t="inlineStr">
        <is>
          <t>Confirmed Fact</t>
        </is>
      </c>
      <c r="I138" s="7" t="inlineStr">
        <is>
          <t>PO-2023-0014 → MD-00073 / Cisco C9300, basis $1,985.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TR-00073</t>
        </is>
      </c>
      <c r="H139" s="7" t="inlineStr">
        <is>
          <t>Confirmed Fact</t>
        </is>
      </c>
      <c r="I139" s="7" t="inlineStr">
        <is>
          <t>TR-00073 moved MD-00073; approval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OFF-00073</t>
        </is>
      </c>
      <c r="H140" s="7" t="inlineStr">
        <is>
          <t>Technician Claim</t>
        </is>
      </c>
      <c r="I140" s="7" t="inlineStr">
        <is>
          <t>Separated-employee workflow OFF-00073 includes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OFF-00073</t>
        </is>
      </c>
      <c r="H141" s="7" t="inlineStr">
        <is>
          <t>Technician Claim</t>
        </is>
      </c>
      <c r="I141" s="7" t="inlineStr">
        <is>
          <t>Technician comment on MD-00073 retained as unverified (OFF-00073).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1ZMD00000073</t>
        </is>
      </c>
      <c r="H142" s="7" t="inlineStr">
        <is>
          <t>Technician Claim</t>
        </is>
      </c>
      <c r="I142" s="7" t="inlineStr">
        <is>
          <t>Label-created milestone 1ZMD00000073 for MD-00073; proof of return still incomplete.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Technician aside about MD-00073 recorded under regional_IT_notes.docx; needs corroboration. Parked as tip.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 Appendix A</t>
        </is>
      </c>
      <c r="H144" s="7" t="inlineStr">
        <is>
          <t>Confirmed Fact</t>
        </is>
      </c>
      <c r="I144" s="7" t="inlineStr">
        <is>
          <t>Glanced at the control-matrix image while documenting MD-00073; did not treat it as clearance. Evidence tier reminder only.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EX-0074, EX-0075</t>
        </is>
      </c>
      <c r="H145" s="7" t="inlineStr">
        <is>
          <t>Unresolved Assumption</t>
        </is>
      </c>
      <c r="I145" s="7" t="inlineStr">
        <is>
          <t>Register outcome on MD-00073: Return Overdue (Remote - Former Employee). See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PO-2023-0014</t>
        </is>
      </c>
      <c r="H146" s="7" t="inlineStr">
        <is>
          <t>Confirmed Fact</t>
        </is>
      </c>
      <c r="I146" s="7" t="inlineStr">
        <is>
          <t>Initial custody starts with PO-2023-0014 for MD-00074; amount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TR-00074</t>
        </is>
      </c>
      <c r="H147" s="7" t="inlineStr">
        <is>
          <t>Confirmed Fact</t>
        </is>
      </c>
      <c r="I147" s="7" t="inlineStr">
        <is>
          <t>MD-00074 changed hands under TR-00074; location context Remote - Former Employee.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OFF-00074</t>
        </is>
      </c>
      <c r="H148" s="7" t="inlineStr">
        <is>
          <t>Technician Claim</t>
        </is>
      </c>
      <c r="I148" s="7" t="inlineStr">
        <is>
          <t>MD-00074 appears on offboarding OFF-00074; confirm register update.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OFF-00074</t>
        </is>
      </c>
      <c r="H149" s="7" t="inlineStr">
        <is>
          <t>Technician Claim</t>
        </is>
      </c>
      <c r="I149" s="7" t="inlineStr">
        <is>
          <t>Tech remark filed against MD-00074 under OFF-00074.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1ZMD00000074</t>
        </is>
      </c>
      <c r="H150" s="7" t="inlineStr">
        <is>
          <t>Technician Claim</t>
        </is>
      </c>
      <c r="I150" s="7" t="inlineStr">
        <is>
          <t>Carrier label event 1ZMD00000074 on MD-00074 — awaiting acceptance/delivery/scan chain.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1ZMD00000074</t>
        </is>
      </c>
      <c r="H151" s="7" t="inlineStr">
        <is>
          <t>Unresolved Assumption</t>
        </is>
      </c>
      <c r="I151" s="7" t="inlineStr">
        <is>
          <t>Exception traffic 1ZMD00000074 keeps MD-00074 in hold.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Regional note for MD-00074 kept as an unverified lead (regional_IT_notes.docx). Requires independent find.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 Appendix A</t>
        </is>
      </c>
      <c r="H153" s="7" t="inlineStr">
        <is>
          <t>Confirmed Fact</t>
        </is>
      </c>
      <c r="I153" s="7" t="inlineStr">
        <is>
          <t>ITAM matrix image on file for MD-00074 review package — orientation only. Logged as multimodal lead.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EX-0076, EX-0077, EX-0078</t>
        </is>
      </c>
      <c r="H154" s="7" t="inlineStr">
        <is>
          <t>Unresolved Assumption</t>
        </is>
      </c>
      <c r="I154" s="7" t="inlineStr">
        <is>
          <t>Register outcome on MD-00074: Return Overdue (Carrier Network / Unverified). See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PO-2023-0014</t>
        </is>
      </c>
      <c r="H155" s="7" t="inlineStr">
        <is>
          <t>Confirmed Fact</t>
        </is>
      </c>
      <c r="I155" s="7" t="inlineStr">
        <is>
          <t>PO-2023-0014 → MD-00075 / Juniper EX3400, basis $1,175.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TR-00075</t>
        </is>
      </c>
      <c r="H156" s="7" t="inlineStr">
        <is>
          <t>Confirmed Fact</t>
        </is>
      </c>
      <c r="I156" s="7" t="inlineStr">
        <is>
          <t>Assignment event TR-00075 on MD-00075 with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OFF-00075</t>
        </is>
      </c>
      <c r="H157" s="7" t="inlineStr">
        <is>
          <t>Technician Claim</t>
        </is>
      </c>
      <c r="I157" s="7" t="inlineStr">
        <is>
          <t>Ticket OFF-00075 is the offboarding spine for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OFF-00075</t>
        </is>
      </c>
      <c r="H158" s="7" t="inlineStr">
        <is>
          <t>Technician Claim</t>
        </is>
      </c>
      <c r="I158" s="7" t="inlineStr">
        <is>
          <t>Bench note OFF-00075 for MD-00075; needs independent corroboration.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1ZMD00000075</t>
        </is>
      </c>
      <c r="H159" s="7" t="inlineStr">
        <is>
          <t>Technician Claim</t>
        </is>
      </c>
      <c r="I159" s="7" t="inlineStr">
        <is>
          <t>MD-00075 return paperwork starts at 1ZMD00000075 (label created).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Keep regional_IT_notes.docx out of the proof stack for MD-00075. Follow-up only.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IT_asset_management_policy.pdf</t>
        </is>
      </c>
      <c r="H161" s="7" t="inlineStr">
        <is>
          <t>Confirmed Fact</t>
        </is>
      </c>
      <c r="I161" s="7" t="inlineStr">
        <is>
          <t>Policy matrix figure reviewed for MD-00075 — assignment/return/disposal rows — then returned to source IDs. Returned to source files next.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EX-0079, EX-0080</t>
        </is>
      </c>
      <c r="H162" s="7" t="inlineStr">
        <is>
          <t>Unresolved Assumption</t>
        </is>
      </c>
      <c r="I162" s="7" t="inlineStr">
        <is>
          <t>MD-00075 reconciliation result written as Return Overdue / Remote - Former Employee. Exception refs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PO-2023-0014</t>
        </is>
      </c>
      <c r="H163" s="7" t="inlineStr">
        <is>
          <t>Confirmed Fact</t>
        </is>
      </c>
      <c r="I163" s="7" t="inlineStr">
        <is>
          <t>Vendor fulfillment on PO-2023-0014 put MD-00076 on the books (Cisco Meraki MS250).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TR-00076</t>
        </is>
      </c>
      <c r="H164" s="7" t="inlineStr">
        <is>
          <t>Confirmed Fact</t>
        </is>
      </c>
      <c r="I164" s="7" t="inlineStr">
        <is>
          <t>equipment_transfer_log TR-00076: custody hop for MD-00076,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OFF-00076</t>
        </is>
      </c>
      <c r="H165" s="7" t="inlineStr">
        <is>
          <t>Technician Claim</t>
        </is>
      </c>
      <c r="I165" s="7" t="inlineStr">
        <is>
          <t>Offboard record OFF-00076 flags MD-00076 for custodian cleanup.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OFF-00076</t>
        </is>
      </c>
      <c r="H166" s="7" t="inlineStr">
        <is>
          <t>Technician Claim</t>
        </is>
      </c>
      <c r="I166" s="7" t="inlineStr">
        <is>
          <t>Unverified tech comment OFF-00076 linked to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1ZMD00000076</t>
        </is>
      </c>
      <c r="H167" s="7" t="inlineStr">
        <is>
          <t>Technician Claim</t>
        </is>
      </c>
      <c r="I167" s="7" t="inlineStr">
        <is>
          <t>Return path for MD-00076 opened with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1ZMD00000076</t>
        </is>
      </c>
      <c r="H168" s="7" t="inlineStr">
        <is>
          <t>Unresolved Assumption</t>
        </is>
      </c>
      <c r="I168" s="7" t="inlineStr">
        <is>
          <t>MD-00076 stuck on exception 1ZMD00000076 until serials align.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Regional comment regional_IT_notes.docx does not place MD-00076 for certification. Held as investigative crumb.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IT_asset_management_policy.pdf</t>
        </is>
      </c>
      <c r="H170" s="7" t="inlineStr">
        <is>
          <t>Confirmed Fact</t>
        </is>
      </c>
      <c r="I170" s="7" t="inlineStr">
        <is>
          <t>Figure lead on MD-00076: matrix image shows required evidence classes, not asset-specific facts. No clearance inferred.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EX-0081, EX-0082, EX-0083</t>
        </is>
      </c>
      <c r="H171" s="7" t="inlineStr">
        <is>
          <t>Unresolved Assumption</t>
        </is>
      </c>
      <c r="I171" s="7" t="inlineStr">
        <is>
          <t>Conclusion row for MD-00076 — Return Overdue at Carrier Network / Unverified. Tied exceptions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PO-2023-0014</t>
        </is>
      </c>
      <c r="H172" s="7" t="inlineStr">
        <is>
          <t>Confirmed Fact</t>
        </is>
      </c>
      <c r="I172" s="7" t="inlineStr">
        <is>
          <t>PO-2023-0014 → MD-00077 / Fortinet FortiSwitch 148F, basis $1,850.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TR-00077</t>
        </is>
      </c>
      <c r="H173" s="7" t="inlineStr">
        <is>
          <t>Confirmed Fact</t>
        </is>
      </c>
      <c r="I173" s="7" t="inlineStr">
        <is>
          <t>MD-00077 changed hands under TR-00077; location context Remote - Former Employee.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OFF-00077</t>
        </is>
      </c>
      <c r="H174" s="7" t="inlineStr">
        <is>
          <t>Technician Claim</t>
        </is>
      </c>
      <c r="I174" s="7" t="inlineStr">
        <is>
          <t>Ticket OFF-00077 is the offboarding spine for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OFF-00077</t>
        </is>
      </c>
      <c r="H175" s="7" t="inlineStr">
        <is>
          <t>Technician Claim</t>
        </is>
      </c>
      <c r="I175" s="7" t="inlineStr">
        <is>
          <t>Tech remark filed against MD-00077 under OFF-00077.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1ZMD00000077</t>
        </is>
      </c>
      <c r="H176" s="7" t="inlineStr">
        <is>
          <t>Technician Claim</t>
        </is>
      </c>
      <c r="I176" s="7" t="inlineStr">
        <is>
          <t>Outbound label 1ZMD00000077 logged for MD-00077.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 note regional_IT_notes.docx on MD-00077 remains unverified. Requires independent find.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IT_asset_management_policy.pdf §§4–9; ITAM_control_matrix.png</t>
        </is>
      </c>
      <c r="H178" s="7" t="inlineStr">
        <is>
          <t>Confirmed Fact</t>
        </is>
      </c>
      <c r="I178" s="7" t="inlineStr">
        <is>
          <t>Control-matrix lead noted beside MD-00077; no PNG-based disposition. Kept out of disposition logic.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EX-0084, EX-0085</t>
        </is>
      </c>
      <c r="H179" s="7" t="inlineStr">
        <is>
          <t>Unresolved Assumption</t>
        </is>
      </c>
      <c r="I179" s="7" t="inlineStr">
        <is>
          <t>Closed the chain for MD-00077 at Remote - Former Employee with status Return Overdue. Flags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PO-2024-0015</t>
        </is>
      </c>
      <c r="H180" s="7" t="inlineStr">
        <is>
          <t>Confirmed Fact</t>
        </is>
      </c>
      <c r="I180" s="7" t="inlineStr">
        <is>
          <t>PO line PO-2024-0015 is the acquisition spine for MD-00078 (Cisco C9300).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TR-00078</t>
        </is>
      </c>
      <c r="H181" s="7" t="inlineStr">
        <is>
          <t>Confirmed Fact</t>
        </is>
      </c>
      <c r="I181" s="7" t="inlineStr">
        <is>
          <t>Hand-off for MD-00078 documented in TR-00078; site note Remote - Former Employee.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OFF-00078</t>
        </is>
      </c>
      <c r="H182" s="7" t="inlineStr">
        <is>
          <t>Technician Claim</t>
        </is>
      </c>
      <c r="I182" s="7" t="inlineStr">
        <is>
          <t>Offboard record OFF-00078 flags MD-00078 for custodian cleanup.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OFF-00078</t>
        </is>
      </c>
      <c r="H183" s="7" t="inlineStr">
        <is>
          <t>Technician Claim</t>
        </is>
      </c>
      <c r="I183" s="7" t="inlineStr">
        <is>
          <t>Bench note OFF-00078 for MD-00078; needs independent corroboration.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1ZMD00000078</t>
        </is>
      </c>
      <c r="H184" s="7" t="inlineStr">
        <is>
          <t>Technician Claim</t>
        </is>
      </c>
      <c r="I184" s="7" t="inlineStr">
        <is>
          <t>Return path for MD-00078 opened with 1ZMD00000078.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Unconfirmed site remark for MD-00078 stored as regional_IT_notes.docx. Follow-up only.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Glanced at the control-matrix image while documenting MD-00078; did not treat it as clearance. No clearance inferred.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EX-0086, EX-0087</t>
        </is>
      </c>
      <c r="H187" s="7" t="inlineStr">
        <is>
          <t>Unresolved Assumption</t>
        </is>
      </c>
      <c r="I187" s="7" t="inlineStr">
        <is>
          <t>Final custody call on MD-00078: keep Return Overdue unless EX-0086, EX-0087 changes it.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PO-2024-0015</t>
        </is>
      </c>
      <c r="H188" s="7" t="inlineStr">
        <is>
          <t>Confirmed Fact</t>
        </is>
      </c>
      <c r="I188" s="7" t="inlineStr">
        <is>
          <t>MD-00079 enters inventory via PO-2024-0015; model Aruba 6300M.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TR-00079</t>
        </is>
      </c>
      <c r="H189" s="7" t="inlineStr">
        <is>
          <t>Confirmed Fact</t>
        </is>
      </c>
      <c r="I189" s="7" t="inlineStr">
        <is>
          <t>TR-00079 moved MD-00079; approval APR-00079.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OFF-00079</t>
        </is>
      </c>
      <c r="H190" s="7" t="inlineStr">
        <is>
          <t>Technician Claim</t>
        </is>
      </c>
      <c r="I190" s="7" t="inlineStr">
        <is>
          <t>Offboarding ticket OFF-00079 touches MD-00079; custodian change still required if register lags.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OFF-00079</t>
        </is>
      </c>
      <c r="H191" s="7" t="inlineStr">
        <is>
          <t>Technician Claim</t>
        </is>
      </c>
      <c r="I191" s="7" t="inlineStr">
        <is>
          <t>Unverified tech comment OFF-00079 linked to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1ZMD00000079</t>
        </is>
      </c>
      <c r="H192" s="7" t="inlineStr">
        <is>
          <t>Technician Claim</t>
        </is>
      </c>
      <c r="I192" s="7" t="inlineStr">
        <is>
          <t>Carrier label event 1ZMD00000079 on MD-00079 — awaiting acceptance/delivery/scan chain.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Note regional_IT_notes.docx mentions MD-00079 informally; corroboration required. Held as investigative crumb.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</t>
        </is>
      </c>
      <c r="H194" s="7" t="inlineStr">
        <is>
          <t>Confirmed Fact</t>
        </is>
      </c>
      <c r="I194" s="7" t="inlineStr">
        <is>
          <t>Policy PNG consulted for MD-00079; custody conclusions still come from structured source files. Logged as multimodal lead.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EX-0088, EX-0089</t>
        </is>
      </c>
      <c r="H195" s="7" t="inlineStr">
        <is>
          <t>Unresolved Assumption</t>
        </is>
      </c>
      <c r="I195" s="7" t="inlineStr">
        <is>
          <t>Documented end state MD-00079 → Return Overdue, site Remote - Former Employee.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PO-2024-0015</t>
        </is>
      </c>
      <c r="H196" s="7" t="inlineStr">
        <is>
          <t>Confirmed Fact</t>
        </is>
      </c>
      <c r="I196" s="7" t="inlineStr">
        <is>
          <t>PO-2024-0015 → MD-00080 / Cisco Meraki MS250, basis $6,335.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TR-00080</t>
        </is>
      </c>
      <c r="H197" s="7" t="inlineStr">
        <is>
          <t>Confirmed Fact</t>
        </is>
      </c>
      <c r="I197" s="7" t="inlineStr">
        <is>
          <t>Transfer TR-00080 relocates MD-00080 toward Carrier Network.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OFF-00080</t>
        </is>
      </c>
      <c r="H198" s="7" t="inlineStr">
        <is>
          <t>Technician Claim</t>
        </is>
      </c>
      <c r="I198" s="7" t="inlineStr">
        <is>
          <t>Ticket OFF-00080 is the offboarding spine for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OFF-00080</t>
        </is>
      </c>
      <c r="H199" s="7" t="inlineStr">
        <is>
          <t>Technician Claim</t>
        </is>
      </c>
      <c r="I199" s="7" t="inlineStr">
        <is>
          <t>Unverified tech comment OFF-00080 linked to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1ZMD00000080</t>
        </is>
      </c>
      <c r="H200" s="7" t="inlineStr">
        <is>
          <t>Technician Claim</t>
        </is>
      </c>
      <c r="I200" s="7" t="inlineStr">
        <is>
          <t>MD-00080 return paperwork starts at 1ZMD00000080 (label created).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1ZMD00000080</t>
        </is>
      </c>
      <c r="H201" s="7" t="inlineStr">
        <is>
          <t>Confirmed Fact</t>
        </is>
      </c>
      <c r="I201" s="7" t="inlineStr">
        <is>
          <t>MD-00080 accepted by carrier under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1ZMD00000080</t>
        </is>
      </c>
      <c r="H202" s="7" t="inlineStr">
        <is>
          <t>Confirmed Fact</t>
        </is>
      </c>
      <c r="I202" s="7" t="inlineStr">
        <is>
          <t>Delivery confirmation 1ZMD00000080 tied to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1ZMD00000080</t>
        </is>
      </c>
      <c r="H203" s="7" t="inlineStr">
        <is>
          <t>Confirmed Fact</t>
        </is>
      </c>
      <c r="I203" s="7" t="inlineStr">
        <is>
          <t>Dock receiving 1ZMD00000080 closes the physical return for MD-00080.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Regional note for MD-00080 kept as an unverified lead (regional_IT_notes.docx). Requires independent find.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IT_asset_management_policy.pdf</t>
        </is>
      </c>
      <c r="H205" s="7" t="inlineStr">
        <is>
          <t>Confirmed Fact</t>
        </is>
      </c>
      <c r="I205" s="7" t="inlineStr">
        <is>
          <t>Used ITAM_control_matrix.png as a checklist reminder for MD-00080, then verified against logs. Evidence tier reminder only.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EX-0090</t>
        </is>
      </c>
      <c r="H206" s="7" t="inlineStr">
        <is>
          <t>Confirmed Fact</t>
        </is>
      </c>
      <c r="I206" s="7" t="inlineStr">
        <is>
          <t>Chain closed on MD-00080 with operational reading Available. Linked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PO-2024-0015</t>
        </is>
      </c>
      <c r="H207" s="7" t="inlineStr">
        <is>
          <t>Confirmed Fact</t>
        </is>
      </c>
      <c r="I207" s="7" t="inlineStr">
        <is>
          <t>Vendor fulfillment on PO-2024-0015 put MD-00081 on the books (Fortinet FortiSwitch 148F).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TR-00081</t>
        </is>
      </c>
      <c r="H208" s="7" t="inlineStr">
        <is>
          <t>Confirmed Fact</t>
        </is>
      </c>
      <c r="I208" s="7" t="inlineStr">
        <is>
          <t>MD-00081 changed hands under TR-00081; location context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OFF-00081</t>
        </is>
      </c>
      <c r="H209" s="7" t="inlineStr">
        <is>
          <t>Technician Claim</t>
        </is>
      </c>
      <c r="I209" s="7" t="inlineStr">
        <is>
          <t>Separated-employee workflow OFF-00081 includes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OFF-00081</t>
        </is>
      </c>
      <c r="H210" s="7" t="inlineStr">
        <is>
          <t>Technician Claim</t>
        </is>
      </c>
      <c r="I210" s="7" t="inlineStr">
        <is>
          <t>Bench note OFF-00081 for MD-00081; needs independent corroboration.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1ZMD00000081</t>
        </is>
      </c>
      <c r="H211" s="7" t="inlineStr">
        <is>
          <t>Technician Claim</t>
        </is>
      </c>
      <c r="I211" s="7" t="inlineStr">
        <is>
          <t>Outbound label 1ZMD00000081 logged for MD-00081.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1ZMD00000081</t>
        </is>
      </c>
      <c r="H212" s="7" t="inlineStr">
        <is>
          <t>Confirmed Fact</t>
        </is>
      </c>
      <c r="I212" s="7" t="inlineStr">
        <is>
          <t>Carrier acceptance recorded on 1ZMD00000081 for MD-00081.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1ZMD00000081</t>
        </is>
      </c>
      <c r="H213" s="7" t="inlineStr">
        <is>
          <t>Confirmed Fact</t>
        </is>
      </c>
      <c r="I213" s="7" t="inlineStr">
        <is>
          <t>MD-00081 delivery milestone 1ZMD00000081.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1ZMD00000081</t>
        </is>
      </c>
      <c r="H214" s="7" t="inlineStr">
        <is>
          <t>Confirmed Fact</t>
        </is>
      </c>
      <c r="I214" s="7" t="inlineStr">
        <is>
          <t>Dock receiving 1ZMD00000081 closes the physical return for MD-00081.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 note for MD-00081 kept as an unverified lead (regional_IT_notes.docx). Held as investigative crumb.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</t>
        </is>
      </c>
      <c r="H216" s="7" t="inlineStr">
        <is>
          <t>Confirmed Fact</t>
        </is>
      </c>
      <c r="I216" s="7" t="inlineStr">
        <is>
          <t>Saw ITAM_control_matrix.png in the MD-00081 working set; kept it marked as a lead. Returned to source files next.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EX-0091</t>
        </is>
      </c>
      <c r="H217" s="7" t="inlineStr">
        <is>
          <t>Confirmed Fact</t>
        </is>
      </c>
      <c r="I217" s="7" t="inlineStr">
        <is>
          <t>Conclusion row for MD-00081 — Available at Atlanta Warehouse. Tied exceptions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PO-2024-0015</t>
        </is>
      </c>
      <c r="H218" s="7" t="inlineStr">
        <is>
          <t>Confirmed Fact</t>
        </is>
      </c>
      <c r="I218" s="7" t="inlineStr">
        <is>
          <t>Vendor fulfillment on PO-2024-0015 put MD-00082 on the books (Cisco C9300).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TR-00082</t>
        </is>
      </c>
      <c r="H219" s="7" t="inlineStr">
        <is>
          <t>Confirmed Fact</t>
        </is>
      </c>
      <c r="I219" s="7" t="inlineStr">
        <is>
          <t>Logged transfer TR-00082 for MD-00082; receiving side Carrier Network.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OFF-00082</t>
        </is>
      </c>
      <c r="H220" s="7" t="inlineStr">
        <is>
          <t>Technician Claim</t>
        </is>
      </c>
      <c r="I220" s="7" t="inlineStr">
        <is>
          <t>Separated-employee workflow OFF-00082 includes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OFF-00082</t>
        </is>
      </c>
      <c r="H221" s="7" t="inlineStr">
        <is>
          <t>Technician Claim</t>
        </is>
      </c>
      <c r="I221" s="7" t="inlineStr">
        <is>
          <t>Tech remark filed against MD-00082 under OFF-00082.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1ZMD00000082</t>
        </is>
      </c>
      <c r="H222" s="7" t="inlineStr">
        <is>
          <t>Technician Claim</t>
        </is>
      </c>
      <c r="I222" s="7" t="inlineStr">
        <is>
          <t>Outbound label 1ZMD00000082 logged for MD-00082.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1ZMD00000082</t>
        </is>
      </c>
      <c r="H223" s="7" t="inlineStr">
        <is>
          <t>Confirmed Fact</t>
        </is>
      </c>
      <c r="I223" s="7" t="inlineStr">
        <is>
          <t>Acceptance event 1ZMD00000082 on MD-00082.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1ZMD00000082</t>
        </is>
      </c>
      <c r="H224" s="7" t="inlineStr">
        <is>
          <t>Unresolved Assumption</t>
        </is>
      </c>
      <c r="I224" s="7" t="inlineStr">
        <is>
          <t>Carrier exception file 1ZMD00000082 blocks clearance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receiving_exception_scan_1ZMD00000082.png</t>
        </is>
      </c>
      <c r="H225" s="7" t="inlineStr">
        <is>
          <t>Technician Claim</t>
        </is>
      </c>
      <c r="I225" s="7" t="inlineStr">
        <is>
          <t>Image lead receiving_exception_scan_1ZMD00000082.png on MD-00082; still need serial match to clear.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 note for MD-00082 kept as an unverified lead (regional_IT_notes.docx). Not used for verified location.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IT_asset_management_policy.pdf §§4–9; ITAM_control_matrix.png</t>
        </is>
      </c>
      <c r="H227" s="7" t="inlineStr">
        <is>
          <t>Confirmed Fact</t>
        </is>
      </c>
      <c r="I227" s="7" t="inlineStr">
        <is>
          <t>Referenced ITAM_control_matrix.png once while building the MD-00082 chain row. Did not elevate to proof.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EX-0092, EX-0093</t>
        </is>
      </c>
      <c r="H228" s="7" t="inlineStr">
        <is>
          <t>Unresolved Assumption</t>
        </is>
      </c>
      <c r="I228" s="7" t="inlineStr">
        <is>
          <t>Chain closed on MD-00082 with operational reading In Transit - Exception. Linked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PO-2025-0016</t>
        </is>
      </c>
      <c r="H229" s="7" t="inlineStr">
        <is>
          <t>Confirmed Fact</t>
        </is>
      </c>
      <c r="I229" s="7" t="inlineStr">
        <is>
          <t>PO-2025-0016 → MD-00083 / Aruba 6300M, basis $1,220.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TR-00083</t>
        </is>
      </c>
      <c r="H230" s="7" t="inlineStr">
        <is>
          <t>Confirmed Fact</t>
        </is>
      </c>
      <c r="I230" s="7" t="inlineStr">
        <is>
          <t>Hand-off for MD-00083 documented in TR-00083; site note Carrier Network.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OFF-00083</t>
        </is>
      </c>
      <c r="H231" s="7" t="inlineStr">
        <is>
          <t>Technician Claim</t>
        </is>
      </c>
      <c r="I231" s="7" t="inlineStr">
        <is>
          <t>Ticket OFF-00083 is the offboarding spine for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OFF-00083</t>
        </is>
      </c>
      <c r="H232" s="7" t="inlineStr">
        <is>
          <t>Technician Claim</t>
        </is>
      </c>
      <c r="I232" s="7" t="inlineStr">
        <is>
          <t>Unverified tech comment OFF-00083 linked to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1ZMD00000083</t>
        </is>
      </c>
      <c r="H233" s="7" t="inlineStr">
        <is>
          <t>Technician Claim</t>
        </is>
      </c>
      <c r="I233" s="7" t="inlineStr">
        <is>
          <t>Carrier label event 1ZMD00000083 on MD-00083 — awaiting acceptance/delivery/scan chain.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1ZMD00000083</t>
        </is>
      </c>
      <c r="H234" s="7" t="inlineStr">
        <is>
          <t>Confirmed Fact</t>
        </is>
      </c>
      <c r="I234" s="7" t="inlineStr">
        <is>
          <t>Acceptance scan 1ZMD00000083 advances the return path for MD-00083.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1ZMD00000083</t>
        </is>
      </c>
      <c r="H235" s="7" t="inlineStr">
        <is>
          <t>Confirmed Fact</t>
        </is>
      </c>
      <c r="I235" s="7" t="inlineStr">
        <is>
          <t>Delivery confirmation 1ZMD00000083 tied to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1ZMD00000083</t>
        </is>
      </c>
      <c r="H236" s="7" t="inlineStr">
        <is>
          <t>Confirmed Fact</t>
        </is>
      </c>
      <c r="I236" s="7" t="inlineStr">
        <is>
          <t>Dock receiving 1ZMD00000083 closes the physical return for MD-00083.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 note for MD-00083 kept as an unverified lead (regional_IT_notes.docx). Parked as tip.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 Appendix A</t>
        </is>
      </c>
      <c r="H238" s="7" t="inlineStr">
        <is>
          <t>Confirmed Fact</t>
        </is>
      </c>
      <c r="I238" s="7" t="inlineStr">
        <is>
          <t>Policy matrix figure reviewed for MD-00083 — assignment/return/disposal rows — then returned to source IDs. Evidence tier reminder only.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EX-0094</t>
        </is>
      </c>
      <c r="H239" s="7" t="inlineStr">
        <is>
          <t>Confirmed Fact</t>
        </is>
      </c>
      <c r="I239" s="7" t="inlineStr">
        <is>
          <t>Documented end state MD-00083 → Available, site Atlanta Warehouse.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PO-2025-0016</t>
        </is>
      </c>
      <c r="H240" s="7" t="inlineStr">
        <is>
          <t>Confirmed Fact</t>
        </is>
      </c>
      <c r="I240" s="7" t="inlineStr">
        <is>
          <t>Bought MD-00084 (Juniper EX3400) on PO-2025-0016 for $6,200.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TR-00084</t>
        </is>
      </c>
      <c r="H241" s="7" t="inlineStr">
        <is>
          <t>Confirmed Fact</t>
        </is>
      </c>
      <c r="I241" s="7" t="inlineStr">
        <is>
          <t>MD-00084 changed hands under TR-00084; location context Carrier Network.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OFF-00084</t>
        </is>
      </c>
      <c r="H242" s="7" t="inlineStr">
        <is>
          <t>Technician Claim</t>
        </is>
      </c>
      <c r="I242" s="7" t="inlineStr">
        <is>
          <t>Ticket OFF-00084 is the offboarding spine for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OFF-00084</t>
        </is>
      </c>
      <c r="H243" s="7" t="inlineStr">
        <is>
          <t>Technician Claim</t>
        </is>
      </c>
      <c r="I243" s="7" t="inlineStr">
        <is>
          <t>Bench note OFF-00084 for MD-00084; needs independent corroboration.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1ZMD00000084</t>
        </is>
      </c>
      <c r="H244" s="7" t="inlineStr">
        <is>
          <t>Technician Claim</t>
        </is>
      </c>
      <c r="I244" s="7" t="inlineStr">
        <is>
          <t>Return label 1ZMD00000084 created for MD-00084; label alone is not acceptance proof.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1ZMD00000084</t>
        </is>
      </c>
      <c r="H245" s="7" t="inlineStr">
        <is>
          <t>Confirmed Fact</t>
        </is>
      </c>
      <c r="I245" s="7" t="inlineStr">
        <is>
          <t>Acceptance event 1ZMD00000084 on MD-00084.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1ZMD00000084</t>
        </is>
      </c>
      <c r="H246" s="7" t="inlineStr">
        <is>
          <t>Unresolved Assumption</t>
        </is>
      </c>
      <c r="I246" s="7" t="inlineStr">
        <is>
          <t>MD-00084 stuck on exception 1ZMD00000084 until serials align.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 lead regional_IT_notes.docx: MD-00084 mentioned without supporting artifacts. No register update from this alone.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</t>
        </is>
      </c>
      <c r="H248" s="7" t="inlineStr">
        <is>
          <t>Confirmed Fact</t>
        </is>
      </c>
      <c r="I248" s="7" t="inlineStr">
        <is>
          <t>Policy PNG consulted for MD-00084; custody conclusions still come from structured source files. Marked lead-only.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EX-0095, EX-0096</t>
        </is>
      </c>
      <c r="H249" s="7" t="inlineStr">
        <is>
          <t>Unresolved Assumption</t>
        </is>
      </c>
      <c r="I249" s="7" t="inlineStr">
        <is>
          <t>MD-00084 reconciliation result written as In Transit - Exception / Carrier Network / Unverified. Exception refs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PO-2025-0016</t>
        </is>
      </c>
      <c r="H250" s="7" t="inlineStr">
        <is>
          <t>Confirmed Fact</t>
        </is>
      </c>
      <c r="I250" s="7" t="inlineStr">
        <is>
          <t>MD-00085 enters inventory via PO-2025-0016; model Cisco Meraki MS250.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TR-00085</t>
        </is>
      </c>
      <c r="H251" s="7" t="inlineStr">
        <is>
          <t>Confirmed Fact</t>
        </is>
      </c>
      <c r="I251" s="7" t="inlineStr">
        <is>
          <t>TR-00085 moved MD-00085; approval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OFF-00085</t>
        </is>
      </c>
      <c r="H252" s="7" t="inlineStr">
        <is>
          <t>Technician Claim</t>
        </is>
      </c>
      <c r="I252" s="7" t="inlineStr">
        <is>
          <t>Offboarding ticket OFF-00085 touches MD-00085; custodian change still required if register lags.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OFF-00085</t>
        </is>
      </c>
      <c r="H253" s="7" t="inlineStr">
        <is>
          <t>Technician Claim</t>
        </is>
      </c>
      <c r="I253" s="7" t="inlineStr">
        <is>
          <t>Bench note OFF-00085 for MD-00085; needs independent corroboration.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1ZMD00000085</t>
        </is>
      </c>
      <c r="H254" s="7" t="inlineStr">
        <is>
          <t>Technician Claim</t>
        </is>
      </c>
      <c r="I254" s="7" t="inlineStr">
        <is>
          <t>Label-created milestone 1ZMD00000085 for MD-00085; proof of return still incomplete.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1ZMD00000085</t>
        </is>
      </c>
      <c r="H255" s="7" t="inlineStr">
        <is>
          <t>Confirmed Fact</t>
        </is>
      </c>
      <c r="I255" s="7" t="inlineStr">
        <is>
          <t>Acceptance scan 1ZMD00000085 advances the return path for MD-00085.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1ZMD00000085</t>
        </is>
      </c>
      <c r="H256" s="7" t="inlineStr">
        <is>
          <t>Confirmed Fact</t>
        </is>
      </c>
      <c r="I256" s="7" t="inlineStr">
        <is>
          <t>Delivery event 1ZMD00000085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1ZMD00000085</t>
        </is>
      </c>
      <c r="H257" s="7" t="inlineStr">
        <is>
          <t>Confirmed Fact</t>
        </is>
      </c>
      <c r="I257" s="7" t="inlineStr">
        <is>
          <t>Receiving scan 1ZMD00000085 for MD-00085.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Regional lead regional_IT_notes.docx: MD-00085 mentioned without supporting artifacts. Follow-up only.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IT_asset_management_policy.pdf §§4–9; ITAM_control_matrix.png</t>
        </is>
      </c>
      <c r="H259" s="7" t="inlineStr">
        <is>
          <t>Confirmed Fact</t>
        </is>
      </c>
      <c r="I259" s="7" t="inlineStr">
        <is>
          <t>Glanced at the control-matrix image while documenting MD-00085; did not treat it as clearance. Returned to source files next.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EX-0097, EX-0098</t>
        </is>
      </c>
      <c r="H260" s="7" t="inlineStr">
        <is>
          <t>Confirmed Fact</t>
        </is>
      </c>
      <c r="I260" s="7" t="inlineStr">
        <is>
          <t>Conclusion row for MD-00085 — Available at Atlanta Warehouse. Tied exceptions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PO-2022-0017</t>
        </is>
      </c>
      <c r="H261" s="7" t="inlineStr">
        <is>
          <t>Confirmed Fact</t>
        </is>
      </c>
      <c r="I261" s="7" t="inlineStr">
        <is>
          <t>Buy recorded for MD-00086 under PO-2022-0017; Fortinet FortiSwitch 148F received into inventory.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TR-00086</t>
        </is>
      </c>
      <c r="H262" s="7" t="inlineStr">
        <is>
          <t>Confirmed Fact</t>
        </is>
      </c>
      <c r="I262" s="7" t="inlineStr">
        <is>
          <t>TR file TR-00086 covers the MD-00086 relocation (approval APR-00086).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OFF-00086</t>
        </is>
      </c>
      <c r="H263" s="7" t="inlineStr">
        <is>
          <t>Technician Claim</t>
        </is>
      </c>
      <c r="I263" s="7" t="inlineStr">
        <is>
          <t>MD-00086 appears on offboarding OFF-00086; confirm register update.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OFF-00086</t>
        </is>
      </c>
      <c r="H264" s="7" t="inlineStr">
        <is>
          <t>Technician Claim</t>
        </is>
      </c>
      <c r="I264" s="7" t="inlineStr">
        <is>
          <t>Tech remark filed against MD-00086 under OFF-00086.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1ZMD00000086</t>
        </is>
      </c>
      <c r="H265" s="7" t="inlineStr">
        <is>
          <t>Technician Claim</t>
        </is>
      </c>
      <c r="I265" s="7" t="inlineStr">
        <is>
          <t>MD-00086 return paperwork starts at 1ZMD00000086 (label created).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1ZMD00000086</t>
        </is>
      </c>
      <c r="H266" s="7" t="inlineStr">
        <is>
          <t>Confirmed Fact</t>
        </is>
      </c>
      <c r="I266" s="7" t="inlineStr">
        <is>
          <t>Acceptance event 1ZMD00000086 on MD-00086.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1ZMD00000086</t>
        </is>
      </c>
      <c r="H267" s="7" t="inlineStr">
        <is>
          <t>Confirmed Fact</t>
        </is>
      </c>
      <c r="I267" s="7" t="inlineStr">
        <is>
          <t>Carrier marks MD-00086 delivered on 1ZMD00000086.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1ZMD00000086</t>
        </is>
      </c>
      <c r="H268" s="7" t="inlineStr">
        <is>
          <t>Confirmed Fact</t>
        </is>
      </c>
      <c r="I268" s="7" t="inlineStr">
        <is>
          <t>Receiving proof 1ZMD00000086 filed for MD-00086.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 lead regional_IT_notes.docx: MD-00086 mentioned without supporting artifacts. Requires independent find.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 Appendix A</t>
        </is>
      </c>
      <c r="H270" s="7" t="inlineStr">
        <is>
          <t>Confirmed Fact</t>
        </is>
      </c>
      <c r="I270" s="7" t="inlineStr">
        <is>
          <t>For MD-00086, the policy figure clarifies evidence precedence without adding new facts. Logged as multimodal lead.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EX-0099</t>
        </is>
      </c>
      <c r="H271" s="7" t="inlineStr">
        <is>
          <t>Confirmed Fact</t>
        </is>
      </c>
      <c r="I271" s="7" t="inlineStr">
        <is>
          <t>Register outcome on MD-00086: Available (Atlanta Warehouse). See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PO-2022-0017</t>
        </is>
      </c>
      <c r="H272" s="7" t="inlineStr">
        <is>
          <t>Confirmed Fact</t>
        </is>
      </c>
      <c r="I272" s="7" t="inlineStr">
        <is>
          <t>Bought MD-00087 (Cisco C9300) on PO-2022-0017 for $1,085.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TR-00087</t>
        </is>
      </c>
      <c r="H273" s="7" t="inlineStr">
        <is>
          <t>Confirmed Fact</t>
        </is>
      </c>
      <c r="I273" s="7" t="inlineStr">
        <is>
          <t>Move record TR-00087 is the assignment evidence for MD-00087.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OFF-00087</t>
        </is>
      </c>
      <c r="H274" s="7" t="inlineStr">
        <is>
          <t>Technician Claim</t>
        </is>
      </c>
      <c r="I274" s="7" t="inlineStr">
        <is>
          <t>MD-00087 appears on offboarding OFF-00087; confirm register update.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OFF-00087</t>
        </is>
      </c>
      <c r="H275" s="7" t="inlineStr">
        <is>
          <t>Technician Claim</t>
        </is>
      </c>
      <c r="I275" s="7" t="inlineStr">
        <is>
          <t>Unverified tech comment OFF-00087 linked to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1ZMD00000087</t>
        </is>
      </c>
      <c r="H276" s="7" t="inlineStr">
        <is>
          <t>Technician Claim</t>
        </is>
      </c>
      <c r="I276" s="7" t="inlineStr">
        <is>
          <t>MD-00087 return paperwork starts at 1ZMD00000087 (label created).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1ZMD00000087</t>
        </is>
      </c>
      <c r="H277" s="7" t="inlineStr">
        <is>
          <t>Confirmed Fact</t>
        </is>
      </c>
      <c r="I277" s="7" t="inlineStr">
        <is>
          <t>Acceptance scan 1ZMD00000087 advances the return path for MD-00087.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1ZMD00000087</t>
        </is>
      </c>
      <c r="H278" s="7" t="inlineStr">
        <is>
          <t>Confirmed Fact</t>
        </is>
      </c>
      <c r="I278" s="7" t="inlineStr">
        <is>
          <t>MD-00087 delivery milestone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1ZMD00000087</t>
        </is>
      </c>
      <c r="H279" s="7" t="inlineStr">
        <is>
          <t>Confirmed Fact</t>
        </is>
      </c>
      <c r="I279" s="7" t="inlineStr">
        <is>
          <t>Receiving proof 1ZMD00000087 filed for MD-00087.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 note for MD-00087 kept as an unverified lead (regional_IT_notes.docx). Needs ticket or scan before use.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Opened ITAM_control_matrix.png next to MD-00087; used only to recall control expectations. No clearance inferred.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EX-0100</t>
        </is>
      </c>
      <c r="H282" s="7" t="inlineStr">
        <is>
          <t>Confirmed Fact</t>
        </is>
      </c>
      <c r="I282" s="7" t="inlineStr">
        <is>
          <t>Reconciled MD-00087 to verified status Available / Atlanta Warehouse. Open: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PO-2022-0017</t>
        </is>
      </c>
      <c r="H283" s="7" t="inlineStr">
        <is>
          <t>Confirmed Fact</t>
        </is>
      </c>
      <c r="I283" s="7" t="inlineStr">
        <is>
          <t>Bought MD-00088 (Aruba 6300M) on PO-2022-0017 for $6,380.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TR-00088</t>
        </is>
      </c>
      <c r="H284" s="7" t="inlineStr">
        <is>
          <t>Confirmed Fact</t>
        </is>
      </c>
      <c r="I284" s="7" t="inlineStr">
        <is>
          <t>TR-00088 moved MD-00088; approval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OFF-00088</t>
        </is>
      </c>
      <c r="H285" s="7" t="inlineStr">
        <is>
          <t>Technician Claim</t>
        </is>
      </c>
      <c r="I285" s="7" t="inlineStr">
        <is>
          <t>Offboard record OFF-00088 flags MD-00088 for custodian cleanup.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OFF-00088</t>
        </is>
      </c>
      <c r="H286" s="7" t="inlineStr">
        <is>
          <t>Technician Claim</t>
        </is>
      </c>
      <c r="I286" s="7" t="inlineStr">
        <is>
          <t>Bench note OFF-00088 for MD-00088; needs independent corroboration.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1ZMD00000088</t>
        </is>
      </c>
      <c r="H287" s="7" t="inlineStr">
        <is>
          <t>Technician Claim</t>
        </is>
      </c>
      <c r="I287" s="7" t="inlineStr">
        <is>
          <t>Outbound label 1ZMD00000088 logged for MD-00088.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1ZMD00000088</t>
        </is>
      </c>
      <c r="H288" s="7" t="inlineStr">
        <is>
          <t>Confirmed Fact</t>
        </is>
      </c>
      <c r="I288" s="7" t="inlineStr">
        <is>
          <t>Carrier acceptance recorded on 1ZMD00000088 for MD-00088.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1ZMD00000088</t>
        </is>
      </c>
      <c r="H289" s="7" t="inlineStr">
        <is>
          <t>Confirmed Fact</t>
        </is>
      </c>
      <c r="I289" s="7" t="inlineStr">
        <is>
          <t>Delivery event 1ZMD00000088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1ZMD00000088</t>
        </is>
      </c>
      <c r="H290" s="7" t="inlineStr">
        <is>
          <t>Confirmed Fact</t>
        </is>
      </c>
      <c r="I290" s="7" t="inlineStr">
        <is>
          <t>Receiving scan 1ZMD00000088 for MD-00088.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Regional note for MD-00088 kept as an unverified lead (regional_IT_notes.docx). Left outside certification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IT_asset_management_policy.pdf</t>
        </is>
      </c>
      <c r="H292" s="7" t="inlineStr">
        <is>
          <t>Confirmed Fact</t>
        </is>
      </c>
      <c r="I292" s="7" t="inlineStr">
        <is>
          <t>Policy figure pass for MD-00088 completed before citing PO/TR/ticket identifiers. Left as orientation.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EX-0101, EX-0102</t>
        </is>
      </c>
      <c r="H293" s="7" t="inlineStr">
        <is>
          <t>Confirmed Fact</t>
        </is>
      </c>
      <c r="I293" s="7" t="inlineStr">
        <is>
          <t>Register outcome on MD-00088: Available (Atlanta Warehouse). See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PO-2022-0017</t>
        </is>
      </c>
      <c r="H294" s="7" t="inlineStr">
        <is>
          <t>Confirmed Fact</t>
        </is>
      </c>
      <c r="I294" s="7" t="inlineStr">
        <is>
          <t>Vendor fulfillment on PO-2022-0017 put MD-00089 on the books (Juniper EX3400).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TR-00089</t>
        </is>
      </c>
      <c r="H295" s="7" t="inlineStr">
        <is>
          <t>Confirmed Fact</t>
        </is>
      </c>
      <c r="I295" s="7" t="inlineStr">
        <is>
          <t>Hand-off for MD-00089 documented in TR-00089; site note Unknown.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OFF-00089</t>
        </is>
      </c>
      <c r="H296" s="7" t="inlineStr">
        <is>
          <t>Technician Claim</t>
        </is>
      </c>
      <c r="I296" s="7" t="inlineStr">
        <is>
          <t>Separated-employee workflow OFF-00089 includes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OFF-00089</t>
        </is>
      </c>
      <c r="H297" s="7" t="inlineStr">
        <is>
          <t>Technician Claim</t>
        </is>
      </c>
      <c r="I297" s="7" t="inlineStr">
        <is>
          <t>Tech remark filed against MD-00089 under OFF-00089.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Unconfirmed site remark for MD-00089 stored as regional_IT_notes.docx. No register update from this alone.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Saw ITAM_control_matrix.png in the MD-00089 working set; kept it marked as a lead. Kept out of disposition logic.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Assumption gap for MD-00089 recorded as Reconciliation.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EX-0103, EX-0104</t>
        </is>
      </c>
      <c r="H301" s="7" t="inlineStr">
        <is>
          <t>Unresolved Assumption</t>
        </is>
      </c>
      <c r="I301" s="7" t="inlineStr">
        <is>
          <t>Conclusion row for MD-00089 — Missing at Unknown. Tied exceptions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PO-2023-0018</t>
        </is>
      </c>
      <c r="H302" s="7" t="inlineStr">
        <is>
          <t>Confirmed Fact</t>
        </is>
      </c>
      <c r="I302" s="7" t="inlineStr">
        <is>
          <t>Bought MD-00090 (Fortinet FortiSwitch 148F) on PO-2023-0018 for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TR-00090</t>
        </is>
      </c>
      <c r="H303" s="7" t="inlineStr">
        <is>
          <t>Confirmed Fact</t>
        </is>
      </c>
      <c r="I303" s="7" t="inlineStr">
        <is>
          <t>MD-00090 changed hands under TR-00090; location context Unknown.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OFF-00090</t>
        </is>
      </c>
      <c r="H304" s="7" t="inlineStr">
        <is>
          <t>Technician Claim</t>
        </is>
      </c>
      <c r="I304" s="7" t="inlineStr">
        <is>
          <t>HR/IT offboarding OFF-00090 lists MD-00090; verify register custodian matches ticket closeout.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OFF-00090</t>
        </is>
      </c>
      <c r="H305" s="7" t="inlineStr">
        <is>
          <t>Technician Claim</t>
        </is>
      </c>
      <c r="I305" s="7" t="inlineStr">
        <is>
          <t>Tech remark filed against MD-00090 under OFF-00090.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No weight given to regional note regional_IT_notes.docx for MD-00090 beyond follow-up. Parked as tip.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Control graphic for MD-00090 is informational; chain relies on register and transfer records. Marked lead-only.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Unresolved assumption remains on MD-00090; Reconciliation does not clear custody.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EX-0105, EX-0106</t>
        </is>
      </c>
      <c r="H309" s="7" t="inlineStr">
        <is>
          <t>Unresolved Assumption</t>
        </is>
      </c>
      <c r="I309" s="7" t="inlineStr">
        <is>
          <t>Register outcome on MD-00090: Missing (Unknown). See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PO-2023-0018</t>
        </is>
      </c>
      <c r="H310" s="7" t="inlineStr">
        <is>
          <t>Confirmed Fact</t>
        </is>
      </c>
      <c r="I310" s="7" t="inlineStr">
        <is>
          <t>Buy recorded for MD-00091 under PO-2023-0018; Cisco C9300 received into inventory.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TR-00091</t>
        </is>
      </c>
      <c r="H311" s="7" t="inlineStr">
        <is>
          <t>Confirmed Fact</t>
        </is>
      </c>
      <c r="I311" s="7" t="inlineStr">
        <is>
          <t>Transfer TR-00091 relocates MD-00091 toward Unknown.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OFF-00091</t>
        </is>
      </c>
      <c r="H312" s="7" t="inlineStr">
        <is>
          <t>Technician Claim</t>
        </is>
      </c>
      <c r="I312" s="7" t="inlineStr">
        <is>
          <t>Offboard record OFF-00091 flags MD-00091 for custodian cleanup.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OFF-00091</t>
        </is>
      </c>
      <c r="H313" s="7" t="inlineStr">
        <is>
          <t>Technician Claim</t>
        </is>
      </c>
      <c r="I313" s="7" t="inlineStr">
        <is>
          <t>Bench note OFF-00091 for MD-00091; needs independent corroboration.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captures hearsay on MD-00091; not location proof. Not used for verified location.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</t>
        </is>
      </c>
      <c r="H315" s="7" t="inlineStr">
        <is>
          <t>Confirmed Fact</t>
        </is>
      </c>
      <c r="I315" s="7" t="inlineStr">
        <is>
          <t>ITAM_control_matrix.png is a lead for MD-00091; transactional proof stays outside the PNG. Kept out of disposition logic.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Do not clear MD-00091 while assumption Reconciliation is open.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EX-0107, EX-0108</t>
        </is>
      </c>
      <c r="H317" s="7" t="inlineStr">
        <is>
          <t>Unresolved Assumption</t>
        </is>
      </c>
      <c r="I317" s="7" t="inlineStr">
        <is>
          <t>Final custody call on MD-00091: keep Missing unless EX-0107, EX-0108 changes it.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PO-2023-0018</t>
        </is>
      </c>
      <c r="H318" s="7" t="inlineStr">
        <is>
          <t>Confirmed Fact</t>
        </is>
      </c>
      <c r="I318" s="7" t="inlineStr">
        <is>
          <t>Buy recorded for MD-00092 under PO-2023-0018; Aruba 6300M received into inventory.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TR-00092</t>
        </is>
      </c>
      <c r="H319" s="7" t="inlineStr">
        <is>
          <t>Confirmed Fact</t>
        </is>
      </c>
      <c r="I319" s="7" t="inlineStr">
        <is>
          <t>Logged transfer TR-00092 for MD-00092; receiving side Unknown.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OFF-00092</t>
        </is>
      </c>
      <c r="H320" s="7" t="inlineStr">
        <is>
          <t>Technician Claim</t>
        </is>
      </c>
      <c r="I320" s="7" t="inlineStr">
        <is>
          <t>Offboarding ticket OFF-00092 touches MD-00092; custodian change still required if register lags.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OFF-00092</t>
        </is>
      </c>
      <c r="H321" s="7" t="inlineStr">
        <is>
          <t>Technician Claim</t>
        </is>
      </c>
      <c r="I321" s="7" t="inlineStr">
        <is>
          <t>Unverified tech comment OFF-00092 linked to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Field claim on MD-00092 is soft intelligence only (regional_IT_notes.docx). Held as investigative crumb.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 Appendix A</t>
        </is>
      </c>
      <c r="H323" s="7" t="inlineStr">
        <is>
          <t>Confirmed Fact</t>
        </is>
      </c>
      <c r="I323" s="7" t="inlineStr">
        <is>
          <t>Matrix image confirms what proof is expected for MD-00092; it is not itself that proof. No clearance inferred.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MD-00092 still carries an unresolved assumption flagged under Reconciliation.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EX-0109, EX-0110, EX-0111</t>
        </is>
      </c>
      <c r="H325" s="7" t="inlineStr">
        <is>
          <t>Unresolved Assumption</t>
        </is>
      </c>
      <c r="I325" s="7" t="inlineStr">
        <is>
          <t>Conclusion row for MD-00092 — Missing at Unknown. Tied exceptions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PO-2023-0018</t>
        </is>
      </c>
      <c r="H326" s="7" t="inlineStr">
        <is>
          <t>Confirmed Fact</t>
        </is>
      </c>
      <c r="I326" s="7" t="inlineStr">
        <is>
          <t>MD-00093 enters inventory via PO-2023-0018; model Juniper EX3400.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TR-00093</t>
        </is>
      </c>
      <c r="H327" s="7" t="inlineStr">
        <is>
          <t>Confirmed Fact</t>
        </is>
      </c>
      <c r="I327" s="7" t="inlineStr">
        <is>
          <t>Custody hop on MD-00093 via TR-00093 (APR-00093).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OFF-00093</t>
        </is>
      </c>
      <c r="H328" s="7" t="inlineStr">
        <is>
          <t>Technician Claim</t>
        </is>
      </c>
      <c r="I328" s="7" t="inlineStr">
        <is>
          <t>HR/IT offboarding OFF-00093 lists MD-00093; verify register custodian matches ticket closeout.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OFF-00093</t>
        </is>
      </c>
      <c r="H329" s="7" t="inlineStr">
        <is>
          <t>Technician Claim</t>
        </is>
      </c>
      <c r="I329" s="7" t="inlineStr">
        <is>
          <t>Technician comment on MD-00093 retained as unverified (OFF-00093).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Note regional_IT_notes.docx mentions MD-00093 informally; corroboration required. Requires independent find.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IT_asset_management_policy.pdf</t>
        </is>
      </c>
      <c r="H331" s="7" t="inlineStr">
        <is>
          <t>Confirmed Fact</t>
        </is>
      </c>
      <c r="I331" s="7" t="inlineStr">
        <is>
          <t>Evidence-tier reminder from the matrix figure applied while reviewing MD-00093. Logged as multimodal lead.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Unresolved assumption remains on MD-00093; Reconciliation does not clear custody.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EX-0112, EX-0113</t>
        </is>
      </c>
      <c r="H333" s="7" t="inlineStr">
        <is>
          <t>Unresolved Assumption</t>
        </is>
      </c>
      <c r="I333" s="7" t="inlineStr">
        <is>
          <t>Documented end state MD-00093 → Missing, site Unknown.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PO-2023-0018</t>
        </is>
      </c>
      <c r="H334" s="7" t="inlineStr">
        <is>
          <t>Confirmed Fact</t>
        </is>
      </c>
      <c r="I334" s="7" t="inlineStr">
        <is>
          <t>Buy recorded for MD-00094 under PO-2023-0018; Cisco Meraki MS250 received into inventory.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TR-00094</t>
        </is>
      </c>
      <c r="H335" s="7" t="inlineStr">
        <is>
          <t>Confirmed Fact</t>
        </is>
      </c>
      <c r="I335" s="7" t="inlineStr">
        <is>
          <t>Assignment event TR-00094 on MD-00094 with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OFF-00094</t>
        </is>
      </c>
      <c r="H336" s="7" t="inlineStr">
        <is>
          <t>Technician Claim</t>
        </is>
      </c>
      <c r="I336" s="7" t="inlineStr">
        <is>
          <t>Offboard record OFF-00094 flags MD-00094 for custodian cleanup.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OFF-00094</t>
        </is>
      </c>
      <c r="H337" s="7" t="inlineStr">
        <is>
          <t>Technician Claim</t>
        </is>
      </c>
      <c r="I337" s="7" t="inlineStr">
        <is>
          <t>Unverified tech comment OFF-00094 linked to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 comment regional_IT_notes.docx does not place MD-00094 for certification. Needs ticket or scan before use.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IT_asset_management_policy.pdf §§4–9; ITAM_control_matrix.png</t>
        </is>
      </c>
      <c r="H339" s="7" t="inlineStr">
        <is>
          <t>Confirmed Fact</t>
        </is>
      </c>
      <c r="I339" s="7" t="inlineStr">
        <is>
          <t>Glanced at the control-matrix image while documenting MD-00094; did not treat it as clearance. Returned to source files next.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Do not clear MD-00094 while assumption Reconciliation is open.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EX-0114, EX-0115</t>
        </is>
      </c>
      <c r="H341" s="7" t="inlineStr">
        <is>
          <t>Unresolved Assumption</t>
        </is>
      </c>
      <c r="I341" s="7" t="inlineStr">
        <is>
          <t>Working end-state for MD-00094: Missing in Unknown. Exceptions: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PO-2023-0018</t>
        </is>
      </c>
      <c r="H342" s="7" t="inlineStr">
        <is>
          <t>Confirmed Fact</t>
        </is>
      </c>
      <c r="I342" s="7" t="inlineStr">
        <is>
          <t>PO line PO-2023-0018 is the acquisition spine for MD-00095 (Fortinet FortiSwitch 148F).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TR-00095</t>
        </is>
      </c>
      <c r="H343" s="7" t="inlineStr">
        <is>
          <t>Confirmed Fact</t>
        </is>
      </c>
      <c r="I343" s="7" t="inlineStr">
        <is>
          <t>TR-00095 moved MD-00095; approval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OFF-00095</t>
        </is>
      </c>
      <c r="H344" s="7" t="inlineStr">
        <is>
          <t>Technician Claim</t>
        </is>
      </c>
      <c r="I344" s="7" t="inlineStr">
        <is>
          <t>Offboarding ticket OFF-00095 touches MD-00095; custodian change still required if register lags.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OFF-00095</t>
        </is>
      </c>
      <c r="H345" s="7" t="inlineStr">
        <is>
          <t>Technician Claim</t>
        </is>
      </c>
      <c r="I345" s="7" t="inlineStr">
        <is>
          <t>Bench note OFF-00095 for MD-00095; needs independent corroboration.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 note regional_IT_notes.docx on MD-00095 remains unverified. Parked as tip.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Policy figure pass for MD-00095 completed before citing PO/TR/ticket identifiers. Logged as multimodal lead.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Assumption gap for MD-00095 recorded as Reconciliation.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EX-0116, EX-0117</t>
        </is>
      </c>
      <c r="H349" s="7" t="inlineStr">
        <is>
          <t>Unresolved Assumption</t>
        </is>
      </c>
      <c r="I349" s="7" t="inlineStr">
        <is>
          <t>Reconciled MD-00095 to verified status Missing / Unknown. Open: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PO-2023-0018</t>
        </is>
      </c>
      <c r="H350" s="7" t="inlineStr">
        <is>
          <t>Confirmed Fact</t>
        </is>
      </c>
      <c r="I350" s="7" t="inlineStr">
        <is>
          <t>MD-00096 enters inventory via PO-2023-0018; model Cisco C9300.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TR-00096</t>
        </is>
      </c>
      <c r="H351" s="7" t="inlineStr">
        <is>
          <t>Confirmed Fact</t>
        </is>
      </c>
      <c r="I351" s="7" t="inlineStr">
        <is>
          <t>MD-00096 changed hands under TR-00096; location context Unknown.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OFF-00096</t>
        </is>
      </c>
      <c r="H352" s="7" t="inlineStr">
        <is>
          <t>Technician Claim</t>
        </is>
      </c>
      <c r="I352" s="7" t="inlineStr">
        <is>
          <t>Ticket OFF-00096 is the offboarding spine for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OFF-00096</t>
        </is>
      </c>
      <c r="H353" s="7" t="inlineStr">
        <is>
          <t>Technician Claim</t>
        </is>
      </c>
      <c r="I353" s="7" t="inlineStr">
        <is>
          <t>Unverified tech comment OFF-00096 linked to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Unconfirmed site remark for MD-00096 stored as regional_IT_notes.docx. Not used for verified location.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</t>
        </is>
      </c>
      <c r="H355" s="7" t="inlineStr">
        <is>
          <t>Confirmed Fact</t>
        </is>
      </c>
      <c r="I355" s="7" t="inlineStr">
        <is>
          <t>Opened ITAM_control_matrix.png next to MD-00096; used only to recall control expectations. Left as orientation.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Assumption gap for MD-00096 recorded as Reconciliation.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EX-0118, EX-0119</t>
        </is>
      </c>
      <c r="H357" s="7" t="inlineStr">
        <is>
          <t>Unresolved Assumption</t>
        </is>
      </c>
      <c r="I357" s="7" t="inlineStr">
        <is>
          <t>Closed the chain for MD-00096 at Unknown with status Missing. Flags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PO-2023-0018</t>
        </is>
      </c>
      <c r="H358" s="7" t="inlineStr">
        <is>
          <t>Confirmed Fact</t>
        </is>
      </c>
      <c r="I358" s="7" t="inlineStr">
        <is>
          <t>PO line PO-2023-0018 is the acquisition spine for MD-00097 (Aruba 6300M).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TR-00097</t>
        </is>
      </c>
      <c r="H359" s="7" t="inlineStr">
        <is>
          <t>Confirmed Fact</t>
        </is>
      </c>
      <c r="I359" s="7" t="inlineStr">
        <is>
          <t>Assignment event TR-00097 on MD-00097 with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OFF-00097</t>
        </is>
      </c>
      <c r="H360" s="7" t="inlineStr">
        <is>
          <t>Technician Claim</t>
        </is>
      </c>
      <c r="I360" s="7" t="inlineStr">
        <is>
          <t>MD-00097 appears on offboarding OFF-00097; confirm register update.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OFF-00097</t>
        </is>
      </c>
      <c r="H361" s="7" t="inlineStr">
        <is>
          <t>Technician Claim</t>
        </is>
      </c>
      <c r="I361" s="7" t="inlineStr">
        <is>
          <t>Bench note OFF-00097 for MD-00097; needs independent corroboration.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Soft lead regional_IT_notes.docx for MD-00097 — ignore for clearance without scans/tickets. Held as investigative crumb.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 Appendix A</t>
        </is>
      </c>
      <c r="H363" s="7" t="inlineStr">
        <is>
          <t>Confirmed Fact</t>
        </is>
      </c>
      <c r="I363" s="7" t="inlineStr">
        <is>
          <t>Multimodal policy PNG referenced for MD-00097; text extracts remain authoritative. Marked lead-only.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Assumption gap for MD-00097 recorded as Reconciliation.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EX-0120, EX-0121</t>
        </is>
      </c>
      <c r="H365" s="7" t="inlineStr">
        <is>
          <t>Unresolved Assumption</t>
        </is>
      </c>
      <c r="I365" s="7" t="inlineStr">
        <is>
          <t>MD-00097 reconciliation result written as Missing / Unknown. Exception refs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PO-2024-0019</t>
        </is>
      </c>
      <c r="H366" s="7" t="inlineStr">
        <is>
          <t>Confirmed Fact</t>
        </is>
      </c>
      <c r="I366" s="7" t="inlineStr">
        <is>
          <t>Buy recorded for MD-00098 under PO-2024-0019; Juniper EX3400 received into inventory.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TR-00098</t>
        </is>
      </c>
      <c r="H367" s="7" t="inlineStr">
        <is>
          <t>Confirmed Fact</t>
        </is>
      </c>
      <c r="I367" s="7" t="inlineStr">
        <is>
          <t>TR-00098 moved MD-00098; approval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OFF-00098</t>
        </is>
      </c>
      <c r="H368" s="7" t="inlineStr">
        <is>
          <t>Technician Claim</t>
        </is>
      </c>
      <c r="I368" s="7" t="inlineStr">
        <is>
          <t>Offboarding ticket OFF-00098 touches MD-00098; custodian change still required if register lags.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OFF-00098</t>
        </is>
      </c>
      <c r="H369" s="7" t="inlineStr">
        <is>
          <t>Technician Claim</t>
        </is>
      </c>
      <c r="I369" s="7" t="inlineStr">
        <is>
          <t>Unverified tech comment OFF-00098 linked to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Technician aside about MD-00098 recorded under regional_IT_notes.docx; needs corroboration. Requires independent find.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IT_asset_management_policy.pdf</t>
        </is>
      </c>
      <c r="H371" s="7" t="inlineStr">
        <is>
          <t>Confirmed Fact</t>
        </is>
      </c>
      <c r="I371" s="7" t="inlineStr">
        <is>
          <t>Control graphic for MD-00098 is informational; chain relies on register and transfer records. Did not elevate to proof.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Assumption gap for MD-00098 recorded as Reconciliation.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EX-0122, EX-0123</t>
        </is>
      </c>
      <c r="H373" s="7" t="inlineStr">
        <is>
          <t>Unresolved Assumption</t>
        </is>
      </c>
      <c r="I373" s="7" t="inlineStr">
        <is>
          <t>Summary for MD-00098: verified Missing @ Unknown. Outstanding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PO-2024-0019</t>
        </is>
      </c>
      <c r="H374" s="7" t="inlineStr">
        <is>
          <t>Confirmed Fact</t>
        </is>
      </c>
      <c r="I374" s="7" t="inlineStr">
        <is>
          <t>PO line PO-2024-0019 is the acquisition spine for MD-00099 (Cisco Meraki MS250).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TR-00099</t>
        </is>
      </c>
      <c r="H375" s="7" t="inlineStr">
        <is>
          <t>Confirmed Fact</t>
        </is>
      </c>
      <c r="I375" s="7" t="inlineStr">
        <is>
          <t>MD-00099 changed hands under TR-00099; location context Unknown.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OFF-00099</t>
        </is>
      </c>
      <c r="H376" s="7" t="inlineStr">
        <is>
          <t>Technician Claim</t>
        </is>
      </c>
      <c r="I376" s="7" t="inlineStr">
        <is>
          <t>Ticket OFF-00099 is the offboarding spine for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OFF-00099</t>
        </is>
      </c>
      <c r="H377" s="7" t="inlineStr">
        <is>
          <t>Technician Claim</t>
        </is>
      </c>
      <c r="I377" s="7" t="inlineStr">
        <is>
          <t>Bench note OFF-00099 for MD-00099; needs independent corroboration.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 note regional_IT_notes.docx on MD-00099 remains unverified. Follow-up only.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IT_asset_management_policy.pdf §§4–9; ITAM_control_matrix.png</t>
        </is>
      </c>
      <c r="H379" s="7" t="inlineStr">
        <is>
          <t>Confirmed Fact</t>
        </is>
      </c>
      <c r="I379" s="7" t="inlineStr">
        <is>
          <t>Policy matrix figure reviewed for MD-00099 — assignment/return/disposal rows — then returned to source IDs. Marked lead-only.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Assumption gap for MD-00099 recorded as Reconciliation.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EX-0124, EX-0125</t>
        </is>
      </c>
      <c r="H381" s="7" t="inlineStr">
        <is>
          <t>Unresolved Assumption</t>
        </is>
      </c>
      <c r="I381" s="7" t="inlineStr">
        <is>
          <t>Chain closed on MD-00099 with operational reading Missing. Linked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PO-2024-0019</t>
        </is>
      </c>
      <c r="H382" s="7" t="inlineStr">
        <is>
          <t>Confirmed Fact</t>
        </is>
      </c>
      <c r="I382" s="7" t="inlineStr">
        <is>
          <t>PO-2024-0019 → MD-00100 / HP EliteBook 840 G10, basis $6,290.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TR-00100</t>
        </is>
      </c>
      <c r="H383" s="7" t="inlineStr">
        <is>
          <t>Confirmed Fact</t>
        </is>
      </c>
      <c r="I383" s="7" t="inlineStr">
        <is>
          <t>Hand-off for MD-00100 documented in TR-00100; site note Unknown.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OFF-00100</t>
        </is>
      </c>
      <c r="H384" s="7" t="inlineStr">
        <is>
          <t>Technician Claim</t>
        </is>
      </c>
      <c r="I384" s="7" t="inlineStr">
        <is>
          <t>Offboard record OFF-00100 flags MD-00100 for custodian cleanup.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OFF-00100</t>
        </is>
      </c>
      <c r="H385" s="7" t="inlineStr">
        <is>
          <t>Technician Claim</t>
        </is>
      </c>
      <c r="I385" s="7" t="inlineStr">
        <is>
          <t>Bench note OFF-00100 for MD-00100; needs independent corroboration.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Soft lead regional_IT_notes.docx for MD-00100 — ignore for clearance without scans/tickets. Held as investigative crumb.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IT_asset_management_policy.pdf</t>
        </is>
      </c>
      <c r="H387" s="7" t="inlineStr">
        <is>
          <t>Confirmed Fact</t>
        </is>
      </c>
      <c r="I387" s="7" t="inlineStr">
        <is>
          <t>Multimodal policy PNG referenced for MD-00100; text extracts remain authoritative. Did not elevate to proof.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MD-00100 still carries an unresolved assumption flagged under Reconciliation.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EX-0126, EX-0127</t>
        </is>
      </c>
      <c r="H389" s="7" t="inlineStr">
        <is>
          <t>Unresolved Assumption</t>
        </is>
      </c>
      <c r="I389" s="7" t="inlineStr">
        <is>
          <t>Conclusion row for MD-00100 — Missing at Unknown. Tied exceptions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PO-2024-0019</t>
        </is>
      </c>
      <c r="H390" s="7" t="inlineStr">
        <is>
          <t>Confirmed Fact</t>
        </is>
      </c>
      <c r="I390" s="7" t="inlineStr">
        <is>
          <t>PO line PO-2024-0019 is the acquisition spine for MD-00101 (Microsoft Surface Laptop 5).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TR-00101</t>
        </is>
      </c>
      <c r="H391" s="7" t="inlineStr">
        <is>
          <t>Confirmed Fact</t>
        </is>
      </c>
      <c r="I391" s="7" t="inlineStr">
        <is>
          <t>Logged transfer TR-00101 for MD-00101; receiving side Seattle.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RET-00101</t>
        </is>
      </c>
      <c r="H392" s="7" t="inlineStr">
        <is>
          <t>Technician Claim</t>
        </is>
      </c>
      <c r="I392" s="7" t="inlineStr">
        <is>
          <t>MD-00101 appears on offboarding RET-00101; confirm register update.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RET-00101</t>
        </is>
      </c>
      <c r="H393" s="7" t="inlineStr">
        <is>
          <t>Technician Claim</t>
        </is>
      </c>
      <c r="I393" s="7" t="inlineStr">
        <is>
          <t>Unverified tech comment RET-00101 linked to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Technician aside about MD-00101 recorded under regional_IT_notes.docx; needs corroboration. Requires independent find.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IT_asset_management_policy.pdf §§4–9; ITAM_control_matrix.png</t>
        </is>
      </c>
      <c r="H395" s="7" t="inlineStr">
        <is>
          <t>Confirmed Fact</t>
        </is>
      </c>
      <c r="I395" s="7" t="inlineStr">
        <is>
          <t>Used ITAM_control_matrix.png as a checklist reminder for MD-00101, then verified against logs. No clearance inferred.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EX-0128, EX-0129</t>
        </is>
      </c>
      <c r="H396" s="7" t="inlineStr">
        <is>
          <t>Unresolved Assumption</t>
        </is>
      </c>
      <c r="I396" s="7" t="inlineStr">
        <is>
          <t>Register outcome on MD-00101: Retired/Pending Disposal (Seattle). See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PO-2024-0019</t>
        </is>
      </c>
      <c r="H397" s="7" t="inlineStr">
        <is>
          <t>Confirmed Fact</t>
        </is>
      </c>
      <c r="I397" s="7" t="inlineStr">
        <is>
          <t>MD-00102 enters inventory via PO-2024-0019; model Lenovo ThinkPad X1 Carbon.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TR-00102</t>
        </is>
      </c>
      <c r="H398" s="7" t="inlineStr">
        <is>
          <t>Confirmed Fact</t>
        </is>
      </c>
      <c r="I398" s="7" t="inlineStr">
        <is>
          <t>MD-00102 changed hands under TR-00102; location context Atlanta.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RET-00102</t>
        </is>
      </c>
      <c r="H399" s="7" t="inlineStr">
        <is>
          <t>Technician Claim</t>
        </is>
      </c>
      <c r="I399" s="7" t="inlineStr">
        <is>
          <t>MD-00102 appears on offboarding RET-00102; confirm register update.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RET-00102</t>
        </is>
      </c>
      <c r="H400" s="7" t="inlineStr">
        <is>
          <t>Technician Claim</t>
        </is>
      </c>
      <c r="I400" s="7" t="inlineStr">
        <is>
          <t>Technician comment on MD-00102 retained as unverified (RET-00102).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Hearsay entry regional_IT_notes.docx retained for MD-00102 investigations only. Requires independent find.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</t>
        </is>
      </c>
      <c r="H402" s="7" t="inlineStr">
        <is>
          <t>Confirmed Fact</t>
        </is>
      </c>
      <c r="I402" s="7" t="inlineStr">
        <is>
          <t>Saw ITAM_control_matrix.png in the MD-00102 working set; kept it marked as a lead. Marked lead-only.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EX-0130, EX-0131, EX-0132</t>
        </is>
      </c>
      <c r="H403" s="7" t="inlineStr">
        <is>
          <t>Unresolved Assumption</t>
        </is>
      </c>
      <c r="I403" s="7" t="inlineStr">
        <is>
          <t>Reconciled MD-00102 to verified status Retired/Pending Disposal / Atlanta. Open: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PO-2024-0019</t>
        </is>
      </c>
      <c r="H404" s="7" t="inlineStr">
        <is>
          <t>Confirmed Fact</t>
        </is>
      </c>
      <c r="I404" s="7" t="inlineStr">
        <is>
          <t>MD-00103 enters inventory via PO-2024-0019; model Lenovo ThinkPad T14.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TR-00103</t>
        </is>
      </c>
      <c r="H405" s="7" t="inlineStr">
        <is>
          <t>Confirmed Fact</t>
        </is>
      </c>
      <c r="I405" s="7" t="inlineStr">
        <is>
          <t>Logged transfer TR-00103 for MD-00103; receiving side Chicago.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RET-00103</t>
        </is>
      </c>
      <c r="H406" s="7" t="inlineStr">
        <is>
          <t>Technician Claim</t>
        </is>
      </c>
      <c r="I406" s="7" t="inlineStr">
        <is>
          <t>HR/IT offboarding RET-00103 lists MD-00103; verify register custodian matches ticket closeout.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RET-00103</t>
        </is>
      </c>
      <c r="H407" s="7" t="inlineStr">
        <is>
          <t>Technician Claim</t>
        </is>
      </c>
      <c r="I407" s="7" t="inlineStr">
        <is>
          <t>Technician comment on MD-00103 retained as unverified (RET-00103).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Treat regional_IT_notes.docx as tip sheet language for MD-00103, not custody evidence. No register update from this alone.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IT_asset_management_policy.pdf</t>
        </is>
      </c>
      <c r="H409" s="7" t="inlineStr">
        <is>
          <t>Confirmed Fact</t>
        </is>
      </c>
      <c r="I409" s="7" t="inlineStr">
        <is>
          <t>Policy matrix figure reviewed for MD-00103 — assignment/return/disposal rows — then returned to source IDs. Returned to source files next.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EX-0133, EX-0134</t>
        </is>
      </c>
      <c r="H410" s="7" t="inlineStr">
        <is>
          <t>Unresolved Assumption</t>
        </is>
      </c>
      <c r="I410" s="7" t="inlineStr">
        <is>
          <t>Working end-state for MD-00103: Retired/Pending Disposal in Chicago. Exceptions: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PO-2025-0020</t>
        </is>
      </c>
      <c r="H411" s="7" t="inlineStr">
        <is>
          <t>Confirmed Fact</t>
        </is>
      </c>
      <c r="I411" s="7" t="inlineStr">
        <is>
          <t>Buy recorded for MD-00104 under PO-2025-0020; MacBook Pro 14 received into inventory.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TR-00104</t>
        </is>
      </c>
      <c r="H412" s="7" t="inlineStr">
        <is>
          <t>Confirmed Fact</t>
        </is>
      </c>
      <c r="I412" s="7" t="inlineStr">
        <is>
          <t>Logged transfer TR-00104 for MD-00104; receiving side Dallas.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RET-00104</t>
        </is>
      </c>
      <c r="H413" s="7" t="inlineStr">
        <is>
          <t>Technician Claim</t>
        </is>
      </c>
      <c r="I413" s="7" t="inlineStr">
        <is>
          <t>Separated-employee workflow RET-00104 includes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RET-00104</t>
        </is>
      </c>
      <c r="H414" s="7" t="inlineStr">
        <is>
          <t>Technician Claim</t>
        </is>
      </c>
      <c r="I414" s="7" t="inlineStr">
        <is>
          <t>Tech remark filed against MD-00104 under RET-00104.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 IT chatter on MD-00104 filed as regional_IT_notes.docx (lead only). Follow-up only.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For MD-00104, the policy figure clarifies evidence precedence without adding new facts. Did not elevate to proof.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EX-0135, EX-0136</t>
        </is>
      </c>
      <c r="H417" s="7" t="inlineStr">
        <is>
          <t>Unresolved Assumption</t>
        </is>
      </c>
      <c r="I417" s="7" t="inlineStr">
        <is>
          <t>Working end-state for MD-00104: Retired/Pending Disposal in Dallas. Exceptions: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PO-2025-0020</t>
        </is>
      </c>
      <c r="H418" s="7" t="inlineStr">
        <is>
          <t>Confirmed Fact</t>
        </is>
      </c>
      <c r="I418" s="7" t="inlineStr">
        <is>
          <t>Vendor fulfillment on PO-2025-0020 put MD-00105 on the books (Dell Latitude 7440).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TR-00105</t>
        </is>
      </c>
      <c r="H419" s="7" t="inlineStr">
        <is>
          <t>Confirmed Fact</t>
        </is>
      </c>
      <c r="I419" s="7" t="inlineStr">
        <is>
          <t>Hand-off for MD-00105 documented in TR-00105; site note Denver.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RET-00105</t>
        </is>
      </c>
      <c r="H420" s="7" t="inlineStr">
        <is>
          <t>Technician Claim</t>
        </is>
      </c>
      <c r="I420" s="7" t="inlineStr">
        <is>
          <t>Offboard record RET-00105 flags MD-00105 for custodian cleanup.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RET-00105</t>
        </is>
      </c>
      <c r="H421" s="7" t="inlineStr">
        <is>
          <t>Technician Claim</t>
        </is>
      </c>
      <c r="I421" s="7" t="inlineStr">
        <is>
          <t>Unverified tech comment RET-00105 linked to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Technician aside about MD-00105 recorded under regional_IT_notes.docx; needs corroboration. Requires independent find.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 Appendix A</t>
        </is>
      </c>
      <c r="H423" s="7" t="inlineStr">
        <is>
          <t>Confirmed Fact</t>
        </is>
      </c>
      <c r="I423" s="7" t="inlineStr">
        <is>
          <t>ITAM PNG reviewed; MD-00105 still needs ordinary source documentation. Evidence tier reminder only.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EX-0137, EX-0138</t>
        </is>
      </c>
      <c r="H424" s="7" t="inlineStr">
        <is>
          <t>Unresolved Assumption</t>
        </is>
      </c>
      <c r="I424" s="7" t="inlineStr">
        <is>
          <t>Reconciled MD-00105 to verified status Retired/Pending Disposal / Denver. Open: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PO-2025-0020</t>
        </is>
      </c>
      <c r="H425" s="7" t="inlineStr">
        <is>
          <t>Confirmed Fact</t>
        </is>
      </c>
      <c r="I425" s="7" t="inlineStr">
        <is>
          <t>Bought MD-00106 (HP EliteBook 840 G10) on PO-2025-0020 for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TR-00106</t>
        </is>
      </c>
      <c r="H426" s="7" t="inlineStr">
        <is>
          <t>Confirmed Fact</t>
        </is>
      </c>
      <c r="I426" s="7" t="inlineStr">
        <is>
          <t>MD-00106 changed hands under TR-00106; location context New York.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RET-00106</t>
        </is>
      </c>
      <c r="H427" s="7" t="inlineStr">
        <is>
          <t>Technician Claim</t>
        </is>
      </c>
      <c r="I427" s="7" t="inlineStr">
        <is>
          <t>Offboard record RET-00106 flags MD-00106 for custodian cleanup.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RET-00106</t>
        </is>
      </c>
      <c r="H428" s="7" t="inlineStr">
        <is>
          <t>Technician Claim</t>
        </is>
      </c>
      <c r="I428" s="7" t="inlineStr">
        <is>
          <t>Unverified tech comment RET-00106 linked to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Keep regional_IT_notes.docx out of the proof stack for MD-00106. No register update from this alone.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IT_asset_management_policy.pdf §§4–9; ITAM_control_matrix.png</t>
        </is>
      </c>
      <c r="H430" s="7" t="inlineStr">
        <is>
          <t>Confirmed Fact</t>
        </is>
      </c>
      <c r="I430" s="7" t="inlineStr">
        <is>
          <t>Opened ITAM_control_matrix.png next to MD-00106; used only to recall control expectations. Returned to source files next.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EX-0139, EX-0140</t>
        </is>
      </c>
      <c r="H431" s="7" t="inlineStr">
        <is>
          <t>Unresolved Assumption</t>
        </is>
      </c>
      <c r="I431" s="7" t="inlineStr">
        <is>
          <t>Final custody call on MD-00106: keep Retired/Pending Disposal unless EX-0139, EX-0140 changes it.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PO-2022-0021</t>
        </is>
      </c>
      <c r="H432" s="7" t="inlineStr">
        <is>
          <t>Confirmed Fact</t>
        </is>
      </c>
      <c r="I432" s="7" t="inlineStr">
        <is>
          <t>PO-2022-0021 → MD-00107 / Microsoft Surface Laptop 5, basis $1,040.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TR-00107</t>
        </is>
      </c>
      <c r="H433" s="7" t="inlineStr">
        <is>
          <t>Confirmed Fact</t>
        </is>
      </c>
      <c r="I433" s="7" t="inlineStr">
        <is>
          <t>Transfer TR-00107 relocates MD-00107 toward Seattle.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RET-00107</t>
        </is>
      </c>
      <c r="H434" s="7" t="inlineStr">
        <is>
          <t>Technician Claim</t>
        </is>
      </c>
      <c r="I434" s="7" t="inlineStr">
        <is>
          <t>Offboarding ticket RET-00107 touches MD-00107; custodian change still required if register lags.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RET-00107</t>
        </is>
      </c>
      <c r="H435" s="7" t="inlineStr">
        <is>
          <t>Technician Claim</t>
        </is>
      </c>
      <c r="I435" s="7" t="inlineStr">
        <is>
          <t>Bench note RET-00107 for MD-00107; needs independent corroboration.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 IT chatter on MD-00107 filed as regional_IT_notes.docx (lead only). Not used for verified location.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</t>
        </is>
      </c>
      <c r="H437" s="7" t="inlineStr">
        <is>
          <t>Confirmed Fact</t>
        </is>
      </c>
      <c r="I437" s="7" t="inlineStr">
        <is>
          <t>Used ITAM_control_matrix.png as a checklist reminder for MD-00107, then verified against logs. Left as orientation.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EX-0141, EX-0142</t>
        </is>
      </c>
      <c r="H438" s="7" t="inlineStr">
        <is>
          <t>Unresolved Assumption</t>
        </is>
      </c>
      <c r="I438" s="7" t="inlineStr">
        <is>
          <t>Documented end state MD-00107 → Retired/Pending Disposal, site Seattle.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PO-2022-0021</t>
        </is>
      </c>
      <c r="H439" s="7" t="inlineStr">
        <is>
          <t>Confirmed Fact</t>
        </is>
      </c>
      <c r="I439" s="7" t="inlineStr">
        <is>
          <t>PO line PO-2022-0021 is the acquisition spine for MD-00108 (Lenovo ThinkPad X1 Carbon).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TR-00108</t>
        </is>
      </c>
      <c r="H440" s="7" t="inlineStr">
        <is>
          <t>Confirmed Fact</t>
        </is>
      </c>
      <c r="I440" s="7" t="inlineStr">
        <is>
          <t>Logged transfer TR-00108 for MD-00108; receiving side Atlanta.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RET-00108</t>
        </is>
      </c>
      <c r="H441" s="7" t="inlineStr">
        <is>
          <t>Technician Claim</t>
        </is>
      </c>
      <c r="I441" s="7" t="inlineStr">
        <is>
          <t>HR/IT offboarding RET-00108 lists MD-00108; verify register custodian matches ticket closeout.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RET-00108</t>
        </is>
      </c>
      <c r="H442" s="7" t="inlineStr">
        <is>
          <t>Technician Claim</t>
        </is>
      </c>
      <c r="I442" s="7" t="inlineStr">
        <is>
          <t>Tech remark filed against MD-00108 under RET-00108.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Technician aside about MD-00108 recorded under regional_IT_notes.docx; needs corroboration. Parked as tip.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IT_asset_management_policy.pdf</t>
        </is>
      </c>
      <c r="H444" s="7" t="inlineStr">
        <is>
          <t>Confirmed Fact</t>
        </is>
      </c>
      <c r="I444" s="7" t="inlineStr">
        <is>
          <t>Matrix image confirms what proof is expected for MD-00108; it is not itself that proof. Logged as multimodal lead.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EX-0143, EX-0144</t>
        </is>
      </c>
      <c r="H445" s="7" t="inlineStr">
        <is>
          <t>Unresolved Assumption</t>
        </is>
      </c>
      <c r="I445" s="7" t="inlineStr">
        <is>
          <t>Summary for MD-00108: verified Retired/Pending Disposal @ Atlanta. Outstanding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PO-2022-0021</t>
        </is>
      </c>
      <c r="H446" s="7" t="inlineStr">
        <is>
          <t>Confirmed Fact</t>
        </is>
      </c>
      <c r="I446" s="7" t="inlineStr">
        <is>
          <t>Bought MD-00109 (Lenovo ThinkPad T14) on PO-2022-0021 for $2,030.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TR-00109</t>
        </is>
      </c>
      <c r="H447" s="7" t="inlineStr">
        <is>
          <t>Confirmed Fact</t>
        </is>
      </c>
      <c r="I447" s="7" t="inlineStr">
        <is>
          <t>Transfer TR-00109 relocates MD-00109 toward Chicago.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RET-00109</t>
        </is>
      </c>
      <c r="H448" s="7" t="inlineStr">
        <is>
          <t>Technician Claim</t>
        </is>
      </c>
      <c r="I448" s="7" t="inlineStr">
        <is>
          <t>HR/IT offboarding RET-00109 lists MD-00109; verify register custodian matches ticket closeout.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RET-00109</t>
        </is>
      </c>
      <c r="H449" s="7" t="inlineStr">
        <is>
          <t>Technician Claim</t>
        </is>
      </c>
      <c r="I449" s="7" t="inlineStr">
        <is>
          <t>Tech remark filed against MD-00109 under RET-00109.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Note regional_IT_notes.docx mentions MD-00109 informally; corroboration required. Needs ticket or scan before use.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Saw ITAM_control_matrix.png in the MD-00109 working set; kept it marked as a lead. No clearance inferred.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EX-0145, EX-0146</t>
        </is>
      </c>
      <c r="H452" s="7" t="inlineStr">
        <is>
          <t>Unresolved Assumption</t>
        </is>
      </c>
      <c r="I452" s="7" t="inlineStr">
        <is>
          <t>Reconciled MD-00109 to verified status Retired/Pending Disposal / Chicago. Open: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PO-2022-0021</t>
        </is>
      </c>
      <c r="H453" s="7" t="inlineStr">
        <is>
          <t>Confirmed Fact</t>
        </is>
      </c>
      <c r="I453" s="7" t="inlineStr">
        <is>
          <t>PO-2022-0021 → MD-00110 / Dell Latitude 7440, basis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TR-00110</t>
        </is>
      </c>
      <c r="H454" s="7" t="inlineStr">
        <is>
          <t>Confirmed Fact</t>
        </is>
      </c>
      <c r="I454" s="7" t="inlineStr">
        <is>
          <t>Hand-off for MD-00110 documented in TR-00110; site note Dallas.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RET-00110</t>
        </is>
      </c>
      <c r="H455" s="7" t="inlineStr">
        <is>
          <t>Technician Claim</t>
        </is>
      </c>
      <c r="I455" s="7" t="inlineStr">
        <is>
          <t>Separated-employee workflow RET-00110 includes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RET-00110</t>
        </is>
      </c>
      <c r="H456" s="7" t="inlineStr">
        <is>
          <t>Technician Claim</t>
        </is>
      </c>
      <c r="I456" s="7" t="inlineStr">
        <is>
          <t>Tech remark filed against MD-00110 under RET-00110.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Note regional_IT_notes.docx mentions MD-00110 informally; corroboration required. Held as investigative crumb.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</t>
        </is>
      </c>
      <c r="H458" s="7" t="inlineStr">
        <is>
          <t>Confirmed Fact</t>
        </is>
      </c>
      <c r="I458" s="7" t="inlineStr">
        <is>
          <t>Saw ITAM_control_matrix.png in the MD-00110 working set; kept it marked as a lead. Did not elevate to proof.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EX-0147, EX-0148</t>
        </is>
      </c>
      <c r="H459" s="7" t="inlineStr">
        <is>
          <t>Unresolved Assumption</t>
        </is>
      </c>
      <c r="I459" s="7" t="inlineStr">
        <is>
          <t>Reconciled MD-00110 to verified status Retired/Pending Disposal / Dallas. Open: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PO-2024-0024</t>
        </is>
      </c>
      <c r="H460" s="7" t="inlineStr">
        <is>
          <t>Confirmed Fact</t>
        </is>
      </c>
      <c r="I460" s="7" t="inlineStr">
        <is>
          <t>PO-2024-0024 → MD-00114 / Lenovo ThinkPad T14, basis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TR-00114</t>
        </is>
      </c>
      <c r="H461" s="7" t="inlineStr">
        <is>
          <t>Confirmed Fact</t>
        </is>
      </c>
      <c r="I461" s="7" t="inlineStr">
        <is>
          <t>Transfer TR-00114 relocates MD-00114 toward Disposed.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RET-00114</t>
        </is>
      </c>
      <c r="H462" s="7" t="inlineStr">
        <is>
          <t>Technician Claim</t>
        </is>
      </c>
      <c r="I462" s="7" t="inlineStr">
        <is>
          <t>Separated-employee workflow RET-00114 includes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RET-00114</t>
        </is>
      </c>
      <c r="H463" s="7" t="inlineStr">
        <is>
          <t>Technician Claim</t>
        </is>
      </c>
      <c r="I463" s="7" t="inlineStr">
        <is>
          <t>Technician comment on MD-00114 retained as unverified (RET-00114).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TR-00114</t>
        </is>
      </c>
      <c r="H464" s="7" t="inlineStr">
        <is>
          <t>Unresolved Assumption</t>
        </is>
      </c>
      <c r="I464" s="7" t="inlineStr">
        <is>
          <t>Disposal evidence gap on MD-00114; certificate still missing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Captured regional_IT_notes.docx against MD-00114 as a non-authoritative lead. Follow-up only.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IT_asset_management_policy.pdf §§4–9; ITAM_control_matrix.png</t>
        </is>
      </c>
      <c r="H466" s="7" t="inlineStr">
        <is>
          <t>Confirmed Fact</t>
        </is>
      </c>
      <c r="I466" s="7" t="inlineStr">
        <is>
          <t>Saw ITAM_control_matrix.png in the MD-00114 working set; kept it marked as a lead. Did not elevate to proof.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EX-0149, EX-0150</t>
        </is>
      </c>
      <c r="H467" s="7" t="inlineStr">
        <is>
          <t>Unresolved Assumption</t>
        </is>
      </c>
      <c r="I467" s="7" t="inlineStr">
        <is>
          <t>Chain closed on MD-00114 with operational reading Retired/Pending Disposal. Linked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PO-2024-0024</t>
        </is>
      </c>
      <c r="H468" s="7" t="inlineStr">
        <is>
          <t>Confirmed Fact</t>
        </is>
      </c>
      <c r="I468" s="7" t="inlineStr">
        <is>
          <t>MD-00118 enters inventory via PO-2024-0024; model Microsoft Surface Laptop 5.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TR-00118</t>
        </is>
      </c>
      <c r="H469" s="7" t="inlineStr">
        <is>
          <t>Confirmed Fact</t>
        </is>
      </c>
      <c r="I469" s="7" t="inlineStr">
        <is>
          <t>Hand-off for MD-00118 documented in TR-00118; site note Disposed.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RET-00118</t>
        </is>
      </c>
      <c r="H470" s="7" t="inlineStr">
        <is>
          <t>Technician Claim</t>
        </is>
      </c>
      <c r="I470" s="7" t="inlineStr">
        <is>
          <t>Offboard record RET-00118 flags MD-00118 for custodian cleanup.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RET-00118</t>
        </is>
      </c>
      <c r="H471" s="7" t="inlineStr">
        <is>
          <t>Technician Claim</t>
        </is>
      </c>
      <c r="I471" s="7" t="inlineStr">
        <is>
          <t>Tech remark filed against MD-00118 under RET-00118.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TR-00118</t>
        </is>
      </c>
      <c r="H472" s="7" t="inlineStr">
        <is>
          <t>Unresolved Assumption</t>
        </is>
      </c>
      <c r="I472" s="7" t="inlineStr">
        <is>
          <t>Disposal packet incomplete for MD-00118; see TR-00118.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Field tip regional_IT_notes.docx for MD-00118; still waiting on independent proof. Not used for verified location.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 Appendix A</t>
        </is>
      </c>
      <c r="H474" s="7" t="inlineStr">
        <is>
          <t>Confirmed Fact</t>
        </is>
      </c>
      <c r="I474" s="7" t="inlineStr">
        <is>
          <t>Multimodal policy PNG referenced for MD-00118; text extracts remain authoritative. Left as orientation.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EX-0151, EX-0152</t>
        </is>
      </c>
      <c r="H475" s="7" t="inlineStr">
        <is>
          <t>Unresolved Assumption</t>
        </is>
      </c>
      <c r="I475" s="7" t="inlineStr">
        <is>
          <t>Closed the chain for MD-00118 at Disposed (certificate missing) with status Retired/Pending Disposal. Flags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PO-2024-0024</t>
        </is>
      </c>
      <c r="H476" s="7" t="inlineStr">
        <is>
          <t>Confirmed Fact</t>
        </is>
      </c>
      <c r="I476" s="7" t="inlineStr">
        <is>
          <t>Buy recorded for MD-00119 under PO-2024-0024; Lenovo ThinkPad X1 Carbon received into inventory.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TR-00119</t>
        </is>
      </c>
      <c r="H477" s="7" t="inlineStr">
        <is>
          <t>Confirmed Fact</t>
        </is>
      </c>
      <c r="I477" s="7" t="inlineStr">
        <is>
          <t>MD-00119 changed hands under TR-00119; location context Disposed.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RET-00119</t>
        </is>
      </c>
      <c r="H478" s="7" t="inlineStr">
        <is>
          <t>Technician Claim</t>
        </is>
      </c>
      <c r="I478" s="7" t="inlineStr">
        <is>
          <t>MD-00119 appears on offboarding RET-00119; confirm register update.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RET-00119</t>
        </is>
      </c>
      <c r="H479" s="7" t="inlineStr">
        <is>
          <t>Technician Claim</t>
        </is>
      </c>
      <c r="I479" s="7" t="inlineStr">
        <is>
          <t>Technician comment on MD-00119 retained as unverified (RET-00119).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DC-00119</t>
        </is>
      </c>
      <c r="H480" s="7" t="inlineStr">
        <is>
          <t>Confirmed Fact</t>
        </is>
      </c>
      <c r="I480" s="7" t="inlineStr">
        <is>
          <t>MD-00119 disposal evidenced by DC-00119.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Treat regional_IT_notes.docx as tip sheet language for MD-00119, not custody evidence. Held as investigative crumb.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IT_asset_management_policy.pdf</t>
        </is>
      </c>
      <c r="H482" s="7" t="inlineStr">
        <is>
          <t>Confirmed Fact</t>
        </is>
      </c>
      <c r="I482" s="7" t="inlineStr">
        <is>
          <t>Used ITAM_control_matrix.png as a checklist reminder for MD-00119, then verified against logs. Marked lead-only.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EX-0153</t>
        </is>
      </c>
      <c r="H483" s="7" t="inlineStr">
        <is>
          <t>Confirmed Fact</t>
        </is>
      </c>
      <c r="I483" s="7" t="inlineStr">
        <is>
          <t>Reconciled MD-00119 to verified status Disposed / Disposed. Open: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PO-2022-0026</t>
        </is>
      </c>
      <c r="H484" s="7" t="inlineStr">
        <is>
          <t>Confirmed Fact</t>
        </is>
      </c>
      <c r="I484" s="7" t="inlineStr">
        <is>
          <t>Buy recorded for MD-00127 under PO-2022-0026; Dell Latitude 7440 received into inventory.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</t>
        </is>
      </c>
      <c r="H485" s="7" t="inlineStr">
        <is>
          <t>Confirmed Fact</t>
        </is>
      </c>
      <c r="I485" s="7" t="inlineStr">
        <is>
          <t>For MD-00127, the policy figure clarifies evidence precedence without adding new facts. Kept out of disposition logic.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TR-00127</t>
        </is>
      </c>
      <c r="H486" s="7" t="inlineStr">
        <is>
          <t>Unresolved Assumption</t>
        </is>
      </c>
      <c r="I486" s="7" t="inlineStr">
        <is>
          <t>Assignment event TR-00127 on MD-00127 without approval_id.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EX-0160</t>
        </is>
      </c>
      <c r="H487" s="7" t="inlineStr">
        <is>
          <t>Confirmed Fact</t>
        </is>
      </c>
      <c r="I487" s="7" t="inlineStr">
        <is>
          <t>Working end-state for MD-00127: In Use in Denver. Exceptions: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PO-2023-0023</t>
        </is>
      </c>
      <c r="H488" s="7" t="inlineStr">
        <is>
          <t>Confirmed Fact</t>
        </is>
      </c>
      <c r="I488" s="7" t="inlineStr">
        <is>
          <t>Vendor fulfillment on PO-2023-0023 put MD-00130 on the books (Lenovo ThinkPad T14).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IT_asset_management_policy.pdf</t>
        </is>
      </c>
      <c r="H489" s="7" t="inlineStr">
        <is>
          <t>Confirmed Fact</t>
        </is>
      </c>
      <c r="I489" s="7" t="inlineStr">
        <is>
          <t>Policy matrix figure reviewed for MD-00130 — assignment/return/disposal rows — then returned to source IDs. Returned to source files next.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TR-00130</t>
        </is>
      </c>
      <c r="H490" s="7" t="inlineStr">
        <is>
          <t>Confirmed Fact</t>
        </is>
      </c>
      <c r="I490" s="7" t="inlineStr">
        <is>
          <t>Hand-off for MD-00130 documented in TR-00130; site note Atlanta.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EX-0161</t>
        </is>
      </c>
      <c r="H491" s="7" t="inlineStr">
        <is>
          <t>Confirmed Fact</t>
        </is>
      </c>
      <c r="I491" s="7" t="inlineStr">
        <is>
          <t>Closed the chain for MD-00130 at Atlanta with status In Use. Flags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PO-2023-0023</t>
        </is>
      </c>
      <c r="H492" s="7" t="inlineStr">
        <is>
          <t>Confirmed Fact</t>
        </is>
      </c>
      <c r="I492" s="7" t="inlineStr">
        <is>
          <t>Vendor fulfillment on PO-2023-0023 put MD-00131 on the books (MacBook Pro 14).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TR-00131</t>
        </is>
      </c>
      <c r="H493" s="7" t="inlineStr">
        <is>
          <t>Confirmed Fact</t>
        </is>
      </c>
      <c r="I493" s="7" t="inlineStr">
        <is>
          <t>Logged transfer TR-00131 for MD-00131; receiving side Chicago.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 Appendix A</t>
        </is>
      </c>
      <c r="H494" s="7" t="inlineStr">
        <is>
          <t>Confirmed Fact</t>
        </is>
      </c>
      <c r="I494" s="7" t="inlineStr">
        <is>
          <t>Glanced at the control-matrix image while documenting MD-00131; did not treat it as clearance. No clearance inferred.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EX-0162</t>
        </is>
      </c>
      <c r="H495" s="7" t="inlineStr">
        <is>
          <t>Confirmed Fact</t>
        </is>
      </c>
      <c r="I495" s="7" t="inlineStr">
        <is>
          <t>Chain closed on MD-00131 with operational reading In Use. Linked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PO-2023-0022</t>
        </is>
      </c>
      <c r="H496" s="7" t="inlineStr">
        <is>
          <t>Confirmed Fact</t>
        </is>
      </c>
      <c r="I496" s="7" t="inlineStr">
        <is>
          <t>MD-00132 enters inventory via PO-2023-0022; model Dell Latitude 7440.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TR-00132</t>
        </is>
      </c>
      <c r="H497" s="7" t="inlineStr">
        <is>
          <t>Confirmed Fact</t>
        </is>
      </c>
      <c r="I497" s="7" t="inlineStr">
        <is>
          <t>Transfer TR-00132 relocates MD-00132 toward Dallas.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 Appendix A</t>
        </is>
      </c>
      <c r="H498" s="7" t="inlineStr">
        <is>
          <t>Confirmed Fact</t>
        </is>
      </c>
      <c r="I498" s="7" t="inlineStr">
        <is>
          <t>Used ITAM_control_matrix.png as a checklist reminder for MD-00132, then verified against logs. Did not elevate to proof.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EX-0163</t>
        </is>
      </c>
      <c r="H499" s="7" t="inlineStr">
        <is>
          <t>Confirmed Fact</t>
        </is>
      </c>
      <c r="I499" s="7" t="inlineStr">
        <is>
          <t>Closed the chain for MD-00132 at Dallas with status In Use. Flags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regional_IT_notes.docx</t>
        </is>
      </c>
      <c r="H500" t="inlineStr">
        <is>
          <t>Technician Claim</t>
        </is>
      </c>
      <c r="I500" t="inlineStr">
        <is>
          <t>Unverified claim RN-0132; regional_IT_notes.docx linked to MD-00132.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PO-2023-0022; fixed_asset_ledger.xlsx</t>
        </is>
      </c>
      <c r="H501" t="inlineStr">
        <is>
          <t>Unresolved Assumption</t>
        </is>
      </c>
      <c r="I501" t="inlineStr">
        <is>
          <t>MD-00132 capital treatment open; tracked under PO-2023-0022; fixed_asset_ledger.xlsx.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Register'!M5:M200)</f>
        <v>332115</v>
      </c>
    </row>
    <row r="6">
      <c r="A6" s="4" t="inlineStr">
        <is>
          <t>Fixed-asset ledger - sum of acquisition cost (129 assets)</t>
        </is>
      </c>
      <c r="B6" s="5">
        <f>SUM('Source Ledger'!E5:E200)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Register'!N5:N200)</f>
        <v>61526.6</v>
      </c>
    </row>
    <row r="9">
      <c r="A9" s="4" t="inlineStr">
        <is>
          <t>Ledger - net book value, Active status only</t>
        </is>
      </c>
      <c r="B9" s="5">
        <f>SUMIF('Source Ledger'!H5:H200,"Active",'Source Ledger'!G5:G200)</f>
        <v>61526.6</v>
      </c>
    </row>
    <row r="10">
      <c r="A10" s="4" t="inlineStr">
        <is>
          <t>Ledger - net book value, all statuses including Disposed</t>
        </is>
      </c>
      <c r="B10" s="5">
        <f>SUM('Source Ledger'!G5:G200)</f>
        <v>61526.6</v>
      </c>
    </row>
    <row r="11">
      <c r="A11" s="4" t="inlineStr">
        <is>
          <t>Assets with matching acquisition cost (register vs ledger)</t>
        </is>
      </c>
      <c r="B11" s="5">
        <f>COUNTIFS('Corrected Register'!T5:T200,"&lt;&gt;",'Corrected Register'!W5:W200,0)</f>
        <v>122</v>
      </c>
    </row>
    <row r="12">
      <c r="A12" s="4" t="inlineStr">
        <is>
          <t>Assets with acquisition cost mismatch</t>
        </is>
      </c>
      <c r="B12" s="5">
        <f>SUMPRODUCT(('Corrected Register'!T5:T200&lt;&gt;"")*('Corrected Register'!W5:W200&lt;&gt;0)*('Corrected Register'!W5:W200&lt;&gt;""))</f>
        <v>7</v>
      </c>
    </row>
    <row r="13">
      <c r="A13" s="4" t="inlineStr">
        <is>
          <t>Assets on inventory missing from ledger</t>
        </is>
      </c>
      <c r="B13" s="5">
        <f>SUMPRODUCT(('Corrected Register'!A5:A136&lt;&gt;"")*('Corrected Register'!T5:T136=""))</f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 Separately, FA-000119 (MD-00119, Disposed) shows accumulated depreciation $1,125 against acquisition cost $1,115 (over-depreciation $10) with NBV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 t="n">
        <v>1985</v>
      </c>
      <c r="D24" s="7" t="n">
        <v>2070</v>
      </c>
      <c r="E24" s="7">
        <f>D24-C24</f>
        <v>85</v>
      </c>
      <c r="F24" s="7" t="n">
        <v>0</v>
      </c>
      <c r="G24" s="7" t="n">
        <v>0</v>
      </c>
      <c r="H24" s="7" t="inlineStr">
        <is>
          <t>Ledger FA-000017 cost exceeds register by $85 (validate PO-2025-0004).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 t="n">
        <v>790</v>
      </c>
      <c r="D25" s="7" t="n">
        <v>930</v>
      </c>
      <c r="E25" s="7">
        <f>D25-C25</f>
        <v>140</v>
      </c>
      <c r="F25" s="7" t="n">
        <v>479.88</v>
      </c>
      <c r="G25" s="7" t="n"/>
      <c r="H25" s="7" t="inlineStr">
        <is>
          <t>Ledger FA-000034 cost exceeds register by $140. Validate against PO-2024-0007.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 t="n">
        <v>1040</v>
      </c>
      <c r="D26" s="7" t="n">
        <v>1250</v>
      </c>
      <c r="E26" s="7">
        <f>D26-C26</f>
        <v>210</v>
      </c>
      <c r="F26" s="7" t="n">
        <v>573.03</v>
      </c>
      <c r="G26" s="7" t="n">
        <v>573.03</v>
      </c>
      <c r="H26" s="7" t="inlineStr">
        <is>
          <t>Ledger FA-000051 cost exceeds register by $210. Validate against PO-2023-0010.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 t="n">
        <v>6425</v>
      </c>
      <c r="D27" s="7" t="n">
        <v>6480</v>
      </c>
      <c r="E27" s="7">
        <f>D27-C27</f>
        <v>55</v>
      </c>
      <c r="F27" s="7" t="n">
        <v>1436.28</v>
      </c>
      <c r="G27" s="7" t="n">
        <v>1436.28</v>
      </c>
      <c r="H27" s="7" t="inlineStr">
        <is>
          <t>Ledger FA-000068 cost exceeds register by $55. Validate against PO-2022-0013.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 t="n">
        <v>1895</v>
      </c>
      <c r="D28" s="7" t="n">
        <v>2090</v>
      </c>
      <c r="E28" s="7">
        <f>D28-C28</f>
        <v>195</v>
      </c>
      <c r="F28" s="7" t="n">
        <v>0</v>
      </c>
      <c r="G28" s="7" t="n">
        <v>0</v>
      </c>
      <c r="H28" s="7" t="inlineStr">
        <is>
          <t>Ledger FA-000085 cost exceeds register by $195. Validate against PO-2025-0016.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 t="n">
        <v>700</v>
      </c>
      <c r="D29" s="7" t="n">
        <v>820</v>
      </c>
      <c r="E29" s="7">
        <f>D29-C29</f>
        <v>120</v>
      </c>
      <c r="F29" s="7" t="n">
        <v>407.54</v>
      </c>
      <c r="G29" s="7" t="n">
        <v>407.54</v>
      </c>
      <c r="H29" s="7" t="inlineStr">
        <is>
          <t>Ledger FA-000102 cost exceeds register by $120. Validate against PO-2024-0019.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 t="n">
        <v>610</v>
      </c>
      <c r="D30" s="7" t="n">
        <v>610</v>
      </c>
      <c r="E30" s="7">
        <f>D30-C30</f>
        <v>0</v>
      </c>
      <c r="F30" s="7" t="n">
        <v>0</v>
      </c>
      <c r="G30" s="7" t="n"/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 t="n">
        <v>790</v>
      </c>
      <c r="D31" s="7" t="n">
        <v>790</v>
      </c>
      <c r="E31" s="7">
        <f>D31-C31</f>
        <v>0</v>
      </c>
      <c r="F31" s="7" t="n">
        <v>0</v>
      </c>
      <c r="G31" s="7" t="n"/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mismatch; FA-000119 accum dep $1,125 exceeds acq $1,115 by $10 (NBV $0)</t>
        </is>
      </c>
      <c r="C32" s="7" t="n">
        <v>950</v>
      </c>
      <c r="D32" s="7" t="n">
        <v>1115</v>
      </c>
      <c r="E32" s="7">
        <f>D32-C32</f>
        <v>165</v>
      </c>
      <c r="F32" s="7" t="n">
        <v>0</v>
      </c>
      <c r="G32" s="7" t="n">
        <v>0</v>
      </c>
      <c r="H32" s="7" t="inlineStr">
        <is>
          <t>Ledger FA-000119 cost exceeds register by $165. Validate against PO-2024-0024.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 t="n">
        <v>700</v>
      </c>
      <c r="D33" s="7" t="n"/>
      <c r="E33" s="7" t="n"/>
      <c r="F33" s="7" t="n"/>
      <c r="G33" s="7" t="n"/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 t="n">
        <v>1175</v>
      </c>
      <c r="D34" s="7" t="n"/>
      <c r="E34" s="7" t="n"/>
      <c r="F34" s="7" t="n"/>
      <c r="G34" s="7" t="n"/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 t="n">
        <v>6470</v>
      </c>
      <c r="D35" s="7" t="n"/>
      <c r="E35" s="7" t="n"/>
      <c r="F35" s="7" t="n"/>
      <c r="G35" s="7" t="n"/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  <row r="30">
      <c r="A30" t="inlineStr">
        <is>
          <t>Critical certification blockers (must clear before sign-off)</t>
        </is>
      </c>
    </row>
    <row r="31">
      <c r="A31" t="inlineStr">
        <is>
          <t>Asset Tag</t>
        </is>
      </c>
      <c r="B31" t="inlineStr">
        <is>
          <t>Blocker basis</t>
        </is>
      </c>
      <c r="C31" t="inlineStr">
        <is>
          <t>Verified status / location</t>
        </is>
      </c>
      <c r="D31" t="inlineStr">
        <is>
          <t>Exception IDs</t>
        </is>
      </c>
    </row>
    <row r="32">
      <c r="A32" t="inlineStr">
        <is>
          <t>MD-00074</t>
        </is>
      </c>
      <c r="B32" t="inlineStr">
        <is>
          <t>Critical certification blocker — Unresolved shipment serial mismatch (1ZMD00000074)</t>
        </is>
      </c>
      <c r="C32" t="inlineStr">
        <is>
          <t>In Transit - Exception / Carrier Network</t>
        </is>
      </c>
      <c r="D32" t="inlineStr">
        <is>
          <t>EX-0076</t>
        </is>
      </c>
    </row>
    <row r="33">
      <c r="A33" t="inlineStr">
        <is>
          <t>MD-00076</t>
        </is>
      </c>
      <c r="B33" t="inlineStr">
        <is>
          <t>Critical certification blocker — Unresolved shipment serial mismatch (1ZMD00000076)</t>
        </is>
      </c>
      <c r="C33" t="inlineStr">
        <is>
          <t>In Transit - Exception / Carrier Network</t>
        </is>
      </c>
      <c r="D33" t="inlineStr">
        <is>
          <t>EX-0081</t>
        </is>
      </c>
    </row>
    <row r="34">
      <c r="A34" t="inlineStr">
        <is>
          <t>MD-00082</t>
        </is>
      </c>
      <c r="B34" t="inlineStr">
        <is>
          <t>Critical certification blocker — Unresolved shipment serial mismatch (1ZMD00000082)</t>
        </is>
      </c>
      <c r="C34" t="inlineStr">
        <is>
          <t>In Transit - Exception / Carrier Network</t>
        </is>
      </c>
      <c r="D34" t="inlineStr">
        <is>
          <t>EX-0092</t>
        </is>
      </c>
    </row>
    <row r="35">
      <c r="A35" t="inlineStr">
        <is>
          <t>MD-00084</t>
        </is>
      </c>
      <c r="B35" t="inlineStr">
        <is>
          <t>Critical certification blocker — Unresolved shipment serial mismatch (1ZMD00000084)</t>
        </is>
      </c>
      <c r="C35" t="inlineStr">
        <is>
          <t>In Transit - Exception / Carrier Network</t>
        </is>
      </c>
      <c r="D35" t="inlineStr">
        <is>
          <t>EX-0095</t>
        </is>
      </c>
    </row>
    <row r="36">
      <c r="A36" t="inlineStr">
        <is>
          <t>MD-00114</t>
        </is>
      </c>
      <c r="B36" t="inlineStr">
        <is>
          <t>Critical certification blocker — Retired/Pending Disposal without verified disposal certificate</t>
        </is>
      </c>
      <c r="C36" t="inlineStr">
        <is>
          <t>Retired/Pending Disposal / Disposed (certificate missing)</t>
        </is>
      </c>
      <c r="D36" t="inlineStr">
        <is>
          <t>EX-0149, EX-0150</t>
        </is>
      </c>
    </row>
    <row r="37">
      <c r="A37" t="inlineStr">
        <is>
          <t>MD-00118</t>
        </is>
      </c>
      <c r="B37" t="inlineStr">
        <is>
          <t>Critical certification blocker — Retired/Pending Disposal without verified disposal certificate</t>
        </is>
      </c>
      <c r="C37" t="inlineStr">
        <is>
          <t>Retired/Pending Disposal / Disposed (certificate missing)</t>
        </is>
      </c>
      <c r="D37" t="inlineStr">
        <is>
          <t>EX-0151, EX-0152</t>
        </is>
      </c>
    </row>
    <row r="38">
      <c r="A38" t="inlineStr">
        <is>
          <t>MD-00132</t>
        </is>
      </c>
      <c r="B38" t="inlineStr">
        <is>
          <t>Critical certification blocker — Capital-qualifying asset missing from fixed-asset ledger</t>
        </is>
      </c>
      <c r="C38" t="inlineStr">
        <is>
          <t>Pending Redeployment / Atlanta Warehouse</t>
        </is>
      </c>
      <c r="D38" t="inlineStr">
        <is>
          <t>EX-0163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Yanou IT Asset Specialist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2026-09-11T15:53:35Z</dcterms:modified>
</cp:coreProperties>
</file>