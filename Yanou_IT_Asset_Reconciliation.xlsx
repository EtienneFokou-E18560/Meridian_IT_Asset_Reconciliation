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 Ledger" sheetId="1" state="visible" r:id="rId1"/>
    <sheet name="Dashboard" sheetId="2" state="visible" r:id="rId2"/>
    <sheet name="Corrected Register" sheetId="3" state="visible" r:id="rId3"/>
    <sheet name="Exception Register" sheetId="4" state="visible" r:id="rId4"/>
    <sheet name="Custody Chain" sheetId="5" state="visible" r:id="rId5"/>
    <sheet name="Ledger Reconciliation" sheetId="6" state="visible" r:id="rId6"/>
    <sheet name="Certification" sheetId="7" state="visible" r:id="rId7"/>
    <sheet name="Evidence Index" sheetId="8" state="visible" r:id="rId8"/>
    <sheet name="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1F4E79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990000"/>
      <sz val="11"/>
    </font>
    <font>
      <b val="1"/>
      <color rgb="001F4E79"/>
      <sz val="12"/>
    </font>
    <font>
      <b val="1"/>
      <color rgb="00FFFFFF"/>
    </font>
    <font>
      <b val="1"/>
    </font>
  </fonts>
  <fills count="12">
    <fill>
      <patternFill/>
    </fill>
    <fill>
      <patternFill patternType="gray125"/>
    </fill>
    <fill>
      <patternFill patternType="solid">
        <fgColor rgb="000B2E4F"/>
      </patternFill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FF2CC"/>
      </patternFill>
    </fill>
    <fill>
      <patternFill patternType="solid">
        <fgColor rgb="00EA9999"/>
      </patternFill>
    </fill>
    <fill>
      <patternFill patternType="solid">
        <fgColor rgb="003B2F2A"/>
        <bgColor rgb="003B2F2A"/>
      </patternFill>
    </fill>
    <fill>
      <patternFill patternType="solid">
        <fgColor rgb="005C4A3A"/>
        <bgColor rgb="005C4A3A"/>
      </patternFill>
    </fill>
  </fills>
  <borders count="3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4" borderId="0" pivotButton="0" quotePrefix="0" xfId="0"/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0" borderId="1" applyAlignment="1" pivotButton="0" quotePrefix="0" xfId="0">
      <alignment wrapText="1"/>
    </xf>
    <xf numFmtId="164" fontId="0" fillId="0" borderId="0" pivotButton="0" quotePrefix="0" xfId="0"/>
    <xf numFmtId="0" fontId="7" fillId="0" borderId="0" pivotButton="0" quotePrefix="0" xfId="0"/>
    <xf numFmtId="0" fontId="8" fillId="3" borderId="2" pivotButton="0" quotePrefix="0" xfId="0"/>
    <xf numFmtId="0" fontId="9" fillId="8" borderId="2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10" borderId="0" pivotButton="0" quotePrefix="0" xfId="0"/>
    <xf numFmtId="0" fontId="3" fillId="11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Yanou &amp; Partners IT Services - Fixed Asset Ledger</t>
        </is>
      </c>
    </row>
    <row r="2">
      <c r="A2" t="inlineStr">
        <is>
          <t>Accounting extract | As of 2026-08-09</t>
        </is>
      </c>
    </row>
    <row r="3"/>
    <row r="4">
      <c r="A4" t="inlineStr">
        <is>
          <t>Ledger Asset ID</t>
        </is>
      </c>
      <c r="B4" t="inlineStr">
        <is>
          <t>Asset Tag</t>
        </is>
      </c>
      <c r="C4" t="inlineStr">
        <is>
          <t>Serial Number</t>
        </is>
      </c>
      <c r="D4" t="inlineStr">
        <is>
          <t>Capitalized</t>
        </is>
      </c>
      <c r="E4" t="inlineStr">
        <is>
          <t>Acquisition Cost</t>
        </is>
      </c>
      <c r="F4" t="inlineStr">
        <is>
          <t>Accumulated Depreciation</t>
        </is>
      </c>
      <c r="G4" t="inlineStr">
        <is>
          <t>Net Book Value</t>
        </is>
      </c>
      <c r="H4" t="inlineStr">
        <is>
          <t>Ledger Status</t>
        </is>
      </c>
      <c r="I4" t="inlineStr">
        <is>
          <t>As-of Date</t>
        </is>
      </c>
    </row>
    <row r="5">
      <c r="A5" t="inlineStr">
        <is>
          <t>FA-000001</t>
        </is>
      </c>
      <c r="B5" t="inlineStr">
        <is>
          <t>MD-00001</t>
        </is>
      </c>
      <c r="C5" t="inlineStr">
        <is>
          <t>MD-LA-050001</t>
        </is>
      </c>
      <c r="D5" t="inlineStr">
        <is>
          <t>No</t>
        </is>
      </c>
      <c r="E5" t="n">
        <v>1895</v>
      </c>
      <c r="F5" t="n">
        <v>1895</v>
      </c>
      <c r="G5" t="n">
        <v>0</v>
      </c>
      <c r="H5" t="inlineStr">
        <is>
          <t>Active</t>
        </is>
      </c>
      <c r="I5" s="18" t="n">
        <v>46243.5</v>
      </c>
    </row>
    <row r="6">
      <c r="A6" t="inlineStr">
        <is>
          <t>FA-000002</t>
        </is>
      </c>
      <c r="B6" t="inlineStr">
        <is>
          <t>MD-00002</t>
        </is>
      </c>
      <c r="C6" t="inlineStr">
        <is>
          <t>MD-MO-050002</t>
        </is>
      </c>
      <c r="D6" t="inlineStr">
        <is>
          <t>No</t>
        </is>
      </c>
      <c r="E6" t="n">
        <v>610</v>
      </c>
      <c r="F6" t="n">
        <v>296.94</v>
      </c>
      <c r="G6" t="n">
        <v>313.06</v>
      </c>
      <c r="H6" t="inlineStr">
        <is>
          <t>Active</t>
        </is>
      </c>
      <c r="I6" s="18" t="n">
        <v>46243.5</v>
      </c>
    </row>
    <row r="7">
      <c r="A7" t="inlineStr">
        <is>
          <t>FA-000003</t>
        </is>
      </c>
      <c r="B7" t="inlineStr">
        <is>
          <t>MD-00003</t>
        </is>
      </c>
      <c r="C7" t="inlineStr">
        <is>
          <t>MD-MO-050003</t>
        </is>
      </c>
      <c r="D7" t="inlineStr">
        <is>
          <t>No</t>
        </is>
      </c>
      <c r="E7" t="n">
        <v>1085</v>
      </c>
      <c r="F7" t="n">
        <v>487.17</v>
      </c>
      <c r="G7" t="n">
        <v>597.83</v>
      </c>
      <c r="H7" t="inlineStr">
        <is>
          <t>Active</t>
        </is>
      </c>
      <c r="I7" s="18" t="n">
        <v>46243.5</v>
      </c>
    </row>
    <row r="8">
      <c r="A8" t="inlineStr">
        <is>
          <t>FA-000004</t>
        </is>
      </c>
      <c r="B8" t="inlineStr">
        <is>
          <t>MD-00004</t>
        </is>
      </c>
      <c r="C8" t="inlineStr">
        <is>
          <t>MD-NE-050004</t>
        </is>
      </c>
      <c r="D8" t="inlineStr">
        <is>
          <t>Yes</t>
        </is>
      </c>
      <c r="E8" t="n">
        <v>6380</v>
      </c>
      <c r="F8" t="n">
        <v>5439.38</v>
      </c>
      <c r="G8" t="n">
        <v>940.62</v>
      </c>
      <c r="H8" t="inlineStr">
        <is>
          <t>Active</t>
        </is>
      </c>
      <c r="I8" s="18" t="n">
        <v>46243.5</v>
      </c>
    </row>
    <row r="9">
      <c r="A9" t="inlineStr">
        <is>
          <t>FA-000005</t>
        </is>
      </c>
      <c r="B9" t="inlineStr">
        <is>
          <t>MD-00005</t>
        </is>
      </c>
      <c r="C9" t="inlineStr">
        <is>
          <t>MD-LA-050005</t>
        </is>
      </c>
      <c r="D9" t="inlineStr">
        <is>
          <t>No</t>
        </is>
      </c>
      <c r="E9" t="n">
        <v>2075</v>
      </c>
      <c r="F9" t="n">
        <v>2075</v>
      </c>
      <c r="G9" t="n">
        <v>0</v>
      </c>
      <c r="H9" t="inlineStr">
        <is>
          <t>Active</t>
        </is>
      </c>
      <c r="I9" s="18" t="n">
        <v>46243.5</v>
      </c>
    </row>
    <row r="10">
      <c r="A10" t="inlineStr">
        <is>
          <t>FA-000006</t>
        </is>
      </c>
      <c r="B10" t="inlineStr">
        <is>
          <t>MD-00006</t>
        </is>
      </c>
      <c r="C10" t="inlineStr">
        <is>
          <t>MD-MO-050006</t>
        </is>
      </c>
      <c r="D10" t="inlineStr">
        <is>
          <t>No</t>
        </is>
      </c>
      <c r="E10" t="n">
        <v>790</v>
      </c>
      <c r="F10" t="n">
        <v>330.06</v>
      </c>
      <c r="G10" t="n">
        <v>459.94</v>
      </c>
      <c r="H10" t="inlineStr">
        <is>
          <t>Active</t>
        </is>
      </c>
      <c r="I10" s="18" t="n">
        <v>46243.5</v>
      </c>
    </row>
    <row r="11">
      <c r="A11" t="inlineStr">
        <is>
          <t>FA-000007</t>
        </is>
      </c>
      <c r="B11" t="inlineStr">
        <is>
          <t>MD-00007</t>
        </is>
      </c>
      <c r="C11" t="inlineStr">
        <is>
          <t>MD-MO-050007</t>
        </is>
      </c>
      <c r="D11" t="inlineStr">
        <is>
          <t>No</t>
        </is>
      </c>
      <c r="E11" t="n">
        <v>950</v>
      </c>
      <c r="F11" t="n">
        <v>317.32</v>
      </c>
      <c r="G11" t="n">
        <v>632.6799999999999</v>
      </c>
      <c r="H11" t="inlineStr">
        <is>
          <t>Active</t>
        </is>
      </c>
      <c r="I11" s="18" t="n">
        <v>46243.5</v>
      </c>
    </row>
    <row r="12">
      <c r="A12" t="inlineStr">
        <is>
          <t>FA-000008</t>
        </is>
      </c>
      <c r="B12" t="inlineStr">
        <is>
          <t>MD-00008</t>
        </is>
      </c>
      <c r="C12" t="inlineStr">
        <is>
          <t>MD-NE-050008</t>
        </is>
      </c>
      <c r="D12" t="inlineStr">
        <is>
          <t>Yes</t>
        </is>
      </c>
      <c r="E12" t="n">
        <v>6245</v>
      </c>
      <c r="F12" t="n">
        <v>4889.99</v>
      </c>
      <c r="G12" t="n">
        <v>1355.01</v>
      </c>
      <c r="H12" t="inlineStr">
        <is>
          <t>Active</t>
        </is>
      </c>
      <c r="I12" s="18" t="n">
        <v>46243.5</v>
      </c>
    </row>
    <row r="13">
      <c r="A13" t="inlineStr">
        <is>
          <t>FA-000009</t>
        </is>
      </c>
      <c r="B13" t="inlineStr">
        <is>
          <t>MD-00009</t>
        </is>
      </c>
      <c r="C13" t="inlineStr">
        <is>
          <t>MD-LA-050009</t>
        </is>
      </c>
      <c r="D13" t="inlineStr">
        <is>
          <t>No</t>
        </is>
      </c>
      <c r="E13" t="n">
        <v>1940</v>
      </c>
      <c r="F13" t="n">
        <v>1830.67</v>
      </c>
      <c r="G13" t="n">
        <v>109.33</v>
      </c>
      <c r="H13" t="inlineStr">
        <is>
          <t>Active</t>
        </is>
      </c>
      <c r="I13" s="18" t="n">
        <v>46243.5</v>
      </c>
    </row>
    <row r="14">
      <c r="A14" t="inlineStr">
        <is>
          <t>FA-000010</t>
        </is>
      </c>
      <c r="B14" t="inlineStr">
        <is>
          <t>MD-00010</t>
        </is>
      </c>
      <c r="C14" t="inlineStr">
        <is>
          <t>MD-MO-050010</t>
        </is>
      </c>
      <c r="D14" t="inlineStr">
        <is>
          <t>No</t>
        </is>
      </c>
      <c r="E14" t="n">
        <v>655</v>
      </c>
      <c r="F14" t="n">
        <v>228.11</v>
      </c>
      <c r="G14" t="n">
        <v>426.89</v>
      </c>
      <c r="H14" t="inlineStr">
        <is>
          <t>Active</t>
        </is>
      </c>
      <c r="I14" s="18" t="n">
        <v>46243.5</v>
      </c>
    </row>
    <row r="15">
      <c r="A15" t="inlineStr">
        <is>
          <t>FA-000011</t>
        </is>
      </c>
      <c r="B15" t="inlineStr">
        <is>
          <t>MD-00011</t>
        </is>
      </c>
      <c r="C15" t="inlineStr">
        <is>
          <t>MD-MO-050011</t>
        </is>
      </c>
      <c r="D15" t="inlineStr">
        <is>
          <t>No</t>
        </is>
      </c>
      <c r="E15" t="n">
        <v>1130</v>
      </c>
      <c r="F15" t="n">
        <v>247.5</v>
      </c>
      <c r="G15" t="n">
        <v>882.5</v>
      </c>
      <c r="H15" t="inlineStr">
        <is>
          <t>Active</t>
        </is>
      </c>
      <c r="I15" s="18" t="n">
        <v>46243.5</v>
      </c>
    </row>
    <row r="16">
      <c r="A16" t="inlineStr">
        <is>
          <t>FA-000012</t>
        </is>
      </c>
      <c r="B16" t="inlineStr">
        <is>
          <t>MD-00012</t>
        </is>
      </c>
      <c r="C16" t="inlineStr">
        <is>
          <t>MD-NE-050012</t>
        </is>
      </c>
      <c r="D16" t="inlineStr">
        <is>
          <t>Yes</t>
        </is>
      </c>
      <c r="E16" t="n">
        <v>6425</v>
      </c>
      <c r="F16" t="n">
        <v>5871.77</v>
      </c>
      <c r="G16" t="n">
        <v>553.23</v>
      </c>
      <c r="H16" t="inlineStr">
        <is>
          <t>Active</t>
        </is>
      </c>
      <c r="I16" s="18" t="n">
        <v>46243.5</v>
      </c>
    </row>
    <row r="17">
      <c r="A17" t="inlineStr">
        <is>
          <t>FA-000013</t>
        </is>
      </c>
      <c r="B17" t="inlineStr">
        <is>
          <t>MD-00013</t>
        </is>
      </c>
      <c r="C17" t="inlineStr">
        <is>
          <t>MD-LA-050013</t>
        </is>
      </c>
      <c r="D17" t="inlineStr">
        <is>
          <t>No</t>
        </is>
      </c>
      <c r="E17" t="n">
        <v>2120</v>
      </c>
      <c r="F17" t="n">
        <v>2120</v>
      </c>
      <c r="G17" t="n">
        <v>0</v>
      </c>
      <c r="H17" t="inlineStr">
        <is>
          <t>Active</t>
        </is>
      </c>
      <c r="I17" s="18" t="n">
        <v>46243.5</v>
      </c>
    </row>
    <row r="18">
      <c r="A18" t="inlineStr">
        <is>
          <t>FA-000014</t>
        </is>
      </c>
      <c r="B18" t="inlineStr">
        <is>
          <t>MD-00014</t>
        </is>
      </c>
      <c r="C18" t="inlineStr">
        <is>
          <t>MD-MO-050014</t>
        </is>
      </c>
      <c r="D18" t="inlineStr">
        <is>
          <t>No</t>
        </is>
      </c>
      <c r="E18" t="n">
        <v>520</v>
      </c>
      <c r="F18" t="n">
        <v>249.71</v>
      </c>
      <c r="G18" t="n">
        <v>270.29</v>
      </c>
      <c r="H18" t="inlineStr">
        <is>
          <t>Active</t>
        </is>
      </c>
      <c r="I18" s="18" t="n">
        <v>46243.5</v>
      </c>
    </row>
    <row r="19">
      <c r="A19" t="inlineStr">
        <is>
          <t>FA-000015</t>
        </is>
      </c>
      <c r="B19" t="inlineStr">
        <is>
          <t>MD-00015</t>
        </is>
      </c>
      <c r="C19" t="inlineStr">
        <is>
          <t>MD-MO-050015</t>
        </is>
      </c>
      <c r="D19" t="inlineStr">
        <is>
          <t>No</t>
        </is>
      </c>
      <c r="E19" t="n">
        <v>995</v>
      </c>
      <c r="F19" t="n">
        <v>435.87</v>
      </c>
      <c r="G19" t="n">
        <v>559.13</v>
      </c>
      <c r="H19" t="inlineStr">
        <is>
          <t>Active</t>
        </is>
      </c>
      <c r="I19" s="18" t="n">
        <v>46243.5</v>
      </c>
    </row>
    <row r="20">
      <c r="A20" t="inlineStr">
        <is>
          <t>FA-000016</t>
        </is>
      </c>
      <c r="B20" t="inlineStr">
        <is>
          <t>MD-00016</t>
        </is>
      </c>
      <c r="C20" t="inlineStr">
        <is>
          <t>MD-NE-050016</t>
        </is>
      </c>
      <c r="D20" t="inlineStr">
        <is>
          <t>Yes</t>
        </is>
      </c>
      <c r="E20" t="n">
        <v>6290</v>
      </c>
      <c r="F20" t="n">
        <v>5321.31</v>
      </c>
      <c r="G20" t="n">
        <v>968.6900000000001</v>
      </c>
      <c r="H20" t="inlineStr">
        <is>
          <t>Active</t>
        </is>
      </c>
      <c r="I20" s="18" t="n">
        <v>46243.5</v>
      </c>
    </row>
    <row r="21">
      <c r="A21" t="inlineStr">
        <is>
          <t>FA-000017</t>
        </is>
      </c>
      <c r="B21" t="inlineStr">
        <is>
          <t>MD-00017</t>
        </is>
      </c>
      <c r="C21" t="inlineStr">
        <is>
          <t>MD-LA-050017</t>
        </is>
      </c>
      <c r="D21" t="inlineStr">
        <is>
          <t>No</t>
        </is>
      </c>
      <c r="E21" t="n">
        <v>2070</v>
      </c>
      <c r="F21" t="n">
        <v>2160</v>
      </c>
      <c r="G21" t="n">
        <v>0</v>
      </c>
      <c r="H21" t="inlineStr">
        <is>
          <t>Active</t>
        </is>
      </c>
      <c r="I21" s="18" t="n">
        <v>46243.5</v>
      </c>
    </row>
    <row r="22">
      <c r="A22" t="inlineStr">
        <is>
          <t>FA-000018</t>
        </is>
      </c>
      <c r="B22" t="inlineStr">
        <is>
          <t>MD-00018</t>
        </is>
      </c>
      <c r="C22" t="inlineStr">
        <is>
          <t>MD-MO-050018</t>
        </is>
      </c>
      <c r="D22" t="inlineStr">
        <is>
          <t>No</t>
        </is>
      </c>
      <c r="E22" t="n">
        <v>700</v>
      </c>
      <c r="F22" t="n">
        <v>287.86</v>
      </c>
      <c r="G22" t="n">
        <v>412.14</v>
      </c>
      <c r="H22" t="inlineStr">
        <is>
          <t>Active</t>
        </is>
      </c>
      <c r="I22" s="18" t="n">
        <v>46243.5</v>
      </c>
    </row>
    <row r="23">
      <c r="A23" t="inlineStr">
        <is>
          <t>FA-000019</t>
        </is>
      </c>
      <c r="B23" t="inlineStr">
        <is>
          <t>MD-00019</t>
        </is>
      </c>
      <c r="C23" t="inlineStr">
        <is>
          <t>MD-MO-050019</t>
        </is>
      </c>
      <c r="D23" t="inlineStr">
        <is>
          <t>No</t>
        </is>
      </c>
      <c r="E23" t="n">
        <v>1175</v>
      </c>
      <c r="F23" t="n">
        <v>379.6</v>
      </c>
      <c r="G23" t="n">
        <v>795.4</v>
      </c>
      <c r="H23" t="inlineStr">
        <is>
          <t>Active</t>
        </is>
      </c>
      <c r="I23" s="18" t="n">
        <v>46243.5</v>
      </c>
    </row>
    <row r="24">
      <c r="A24" t="inlineStr">
        <is>
          <t>FA-000020</t>
        </is>
      </c>
      <c r="B24" t="inlineStr">
        <is>
          <t>MD-00020</t>
        </is>
      </c>
      <c r="C24" t="inlineStr">
        <is>
          <t>MD-NE-050020</t>
        </is>
      </c>
      <c r="D24" t="inlineStr">
        <is>
          <t>Yes</t>
        </is>
      </c>
      <c r="E24" t="n">
        <v>6470</v>
      </c>
      <c r="F24" t="n">
        <v>5023.66</v>
      </c>
      <c r="G24" t="n">
        <v>1446.34</v>
      </c>
      <c r="H24" t="inlineStr">
        <is>
          <t>Active</t>
        </is>
      </c>
      <c r="I24" s="18" t="n">
        <v>46243.5</v>
      </c>
    </row>
    <row r="25">
      <c r="A25" t="inlineStr">
        <is>
          <t>FA-000021</t>
        </is>
      </c>
      <c r="B25" t="inlineStr">
        <is>
          <t>MD-00021</t>
        </is>
      </c>
      <c r="C25" t="inlineStr">
        <is>
          <t>MD-LA-050021</t>
        </is>
      </c>
      <c r="D25" t="inlineStr">
        <is>
          <t>No</t>
        </is>
      </c>
      <c r="E25" t="n">
        <v>1850</v>
      </c>
      <c r="F25" t="n">
        <v>1725.48</v>
      </c>
      <c r="G25" t="n">
        <v>124.52</v>
      </c>
      <c r="H25" t="inlineStr">
        <is>
          <t>Active</t>
        </is>
      </c>
      <c r="I25" s="18" t="n">
        <v>46243.5</v>
      </c>
    </row>
    <row r="26">
      <c r="A26" t="inlineStr">
        <is>
          <t>FA-000022</t>
        </is>
      </c>
      <c r="B26" t="inlineStr">
        <is>
          <t>MD-00022</t>
        </is>
      </c>
      <c r="C26" t="inlineStr">
        <is>
          <t>MD-MO-050022</t>
        </is>
      </c>
      <c r="D26" t="inlineStr">
        <is>
          <t>No</t>
        </is>
      </c>
      <c r="E26" t="n">
        <v>565</v>
      </c>
      <c r="F26" t="n">
        <v>193.05</v>
      </c>
      <c r="G26" t="n">
        <v>371.95</v>
      </c>
      <c r="H26" t="inlineStr">
        <is>
          <t>Active</t>
        </is>
      </c>
      <c r="I26" s="18" t="n">
        <v>46243.5</v>
      </c>
    </row>
    <row r="27">
      <c r="A27" t="inlineStr">
        <is>
          <t>FA-000023</t>
        </is>
      </c>
      <c r="B27" t="inlineStr">
        <is>
          <t>MD-00023</t>
        </is>
      </c>
      <c r="C27" t="inlineStr">
        <is>
          <t>MD-MO-050023</t>
        </is>
      </c>
      <c r="D27" t="inlineStr">
        <is>
          <t>No</t>
        </is>
      </c>
      <c r="E27" t="n">
        <v>1040</v>
      </c>
      <c r="F27" t="n">
        <v>216.4</v>
      </c>
      <c r="G27" t="n">
        <v>823.6</v>
      </c>
      <c r="H27" t="inlineStr">
        <is>
          <t>Active</t>
        </is>
      </c>
      <c r="I27" s="18" t="n">
        <v>46243.5</v>
      </c>
    </row>
    <row r="28">
      <c r="A28" t="inlineStr">
        <is>
          <t>FA-000024</t>
        </is>
      </c>
      <c r="B28" t="inlineStr">
        <is>
          <t>MD-00024</t>
        </is>
      </c>
      <c r="C28" t="inlineStr">
        <is>
          <t>MD-NE-050024</t>
        </is>
      </c>
      <c r="D28" t="inlineStr">
        <is>
          <t>Yes</t>
        </is>
      </c>
      <c r="E28" t="n">
        <v>6335</v>
      </c>
      <c r="F28" t="n">
        <v>5831.15</v>
      </c>
      <c r="G28" t="n">
        <v>503.85</v>
      </c>
      <c r="H28" t="inlineStr">
        <is>
          <t>Active</t>
        </is>
      </c>
      <c r="I28" s="18" t="n">
        <v>46243.5</v>
      </c>
    </row>
    <row r="29">
      <c r="A29" t="inlineStr">
        <is>
          <t>FA-000025</t>
        </is>
      </c>
      <c r="B29" t="inlineStr">
        <is>
          <t>MD-00025</t>
        </is>
      </c>
      <c r="C29" t="inlineStr">
        <is>
          <t>MD-LA-050021</t>
        </is>
      </c>
      <c r="D29" t="inlineStr">
        <is>
          <t>No</t>
        </is>
      </c>
      <c r="E29" t="n">
        <v>2030</v>
      </c>
      <c r="F29" t="n">
        <v>2030</v>
      </c>
      <c r="G29" t="n">
        <v>0</v>
      </c>
      <c r="H29" t="inlineStr">
        <is>
          <t>Active</t>
        </is>
      </c>
      <c r="I29" s="18" t="n">
        <v>46243.5</v>
      </c>
    </row>
    <row r="30">
      <c r="A30" t="inlineStr">
        <is>
          <t>FA-000026</t>
        </is>
      </c>
      <c r="B30" t="inlineStr">
        <is>
          <t>MD-00026</t>
        </is>
      </c>
      <c r="C30" t="inlineStr">
        <is>
          <t>MD-MO-050026</t>
        </is>
      </c>
      <c r="D30" t="inlineStr">
        <is>
          <t>No</t>
        </is>
      </c>
      <c r="E30" t="n">
        <v>745</v>
      </c>
      <c r="F30" t="n">
        <v>362.66</v>
      </c>
      <c r="G30" t="n">
        <v>382.34</v>
      </c>
      <c r="H30" t="inlineStr">
        <is>
          <t>Active</t>
        </is>
      </c>
      <c r="I30" s="18" t="n">
        <v>46243.5</v>
      </c>
    </row>
    <row r="31">
      <c r="A31" t="inlineStr">
        <is>
          <t>FA-000027</t>
        </is>
      </c>
      <c r="B31" t="inlineStr">
        <is>
          <t>MD-00027</t>
        </is>
      </c>
      <c r="C31" t="inlineStr">
        <is>
          <t>MD-MO-050027</t>
        </is>
      </c>
      <c r="D31" t="inlineStr">
        <is>
          <t>No</t>
        </is>
      </c>
      <c r="E31" t="n">
        <v>1220</v>
      </c>
      <c r="F31" t="n">
        <v>547.79</v>
      </c>
      <c r="G31" t="n">
        <v>672.21</v>
      </c>
      <c r="H31" t="inlineStr">
        <is>
          <t>Active</t>
        </is>
      </c>
      <c r="I31" s="18" t="n">
        <v>46243.5</v>
      </c>
    </row>
    <row r="32">
      <c r="A32" t="inlineStr">
        <is>
          <t>FA-000028</t>
        </is>
      </c>
      <c r="B32" t="inlineStr">
        <is>
          <t>MD-00028</t>
        </is>
      </c>
      <c r="C32" t="inlineStr">
        <is>
          <t>MD-NE-050028</t>
        </is>
      </c>
      <c r="D32" t="inlineStr">
        <is>
          <t>Yes</t>
        </is>
      </c>
      <c r="E32" t="n">
        <v>6200</v>
      </c>
      <c r="F32" t="n">
        <v>5285.91</v>
      </c>
      <c r="G32" t="n">
        <v>914.09</v>
      </c>
      <c r="H32" t="inlineStr">
        <is>
          <t>Active</t>
        </is>
      </c>
      <c r="I32" s="18" t="n">
        <v>46243.5</v>
      </c>
    </row>
    <row r="33">
      <c r="A33" t="inlineStr">
        <is>
          <t>FA-000029</t>
        </is>
      </c>
      <c r="B33" t="inlineStr">
        <is>
          <t>MD-00029</t>
        </is>
      </c>
      <c r="C33" t="inlineStr">
        <is>
          <t>MD-LA-050029</t>
        </is>
      </c>
      <c r="D33" t="inlineStr">
        <is>
          <t>No</t>
        </is>
      </c>
      <c r="E33" t="n">
        <v>1895</v>
      </c>
      <c r="F33" t="n">
        <v>1895</v>
      </c>
      <c r="G33" t="n">
        <v>0</v>
      </c>
      <c r="H33" t="inlineStr">
        <is>
          <t>Active</t>
        </is>
      </c>
      <c r="I33" s="18" t="n">
        <v>46243.5</v>
      </c>
    </row>
    <row r="34">
      <c r="A34" t="inlineStr">
        <is>
          <t>FA-000030</t>
        </is>
      </c>
      <c r="B34" t="inlineStr">
        <is>
          <t>MD-00030</t>
        </is>
      </c>
      <c r="C34" t="inlineStr">
        <is>
          <t>MD-MO-050030</t>
        </is>
      </c>
      <c r="D34" t="inlineStr">
        <is>
          <t>No</t>
        </is>
      </c>
      <c r="E34" t="n">
        <v>610</v>
      </c>
      <c r="F34" t="n">
        <v>254.86</v>
      </c>
      <c r="G34" t="n">
        <v>355.14</v>
      </c>
      <c r="H34" t="inlineStr">
        <is>
          <t>Active</t>
        </is>
      </c>
      <c r="I34" s="18" t="n">
        <v>46243.5</v>
      </c>
    </row>
    <row r="35">
      <c r="A35" t="inlineStr">
        <is>
          <t>FA-000031</t>
        </is>
      </c>
      <c r="B35" t="inlineStr">
        <is>
          <t>MD-00031</t>
        </is>
      </c>
      <c r="C35" t="inlineStr">
        <is>
          <t>MD-MO-050031</t>
        </is>
      </c>
      <c r="D35" t="inlineStr">
        <is>
          <t>No</t>
        </is>
      </c>
      <c r="E35" t="n">
        <v>1085</v>
      </c>
      <c r="F35" t="n">
        <v>362.41</v>
      </c>
      <c r="G35" t="n">
        <v>722.59</v>
      </c>
      <c r="H35" t="inlineStr">
        <is>
          <t>Active</t>
        </is>
      </c>
      <c r="I35" s="18" t="n">
        <v>46243.5</v>
      </c>
    </row>
    <row r="36">
      <c r="A36" t="inlineStr">
        <is>
          <t>FA-000032</t>
        </is>
      </c>
      <c r="B36" t="inlineStr">
        <is>
          <t>MD-00032</t>
        </is>
      </c>
      <c r="C36" t="inlineStr">
        <is>
          <t>MD-NE-050032</t>
        </is>
      </c>
      <c r="D36" t="inlineStr">
        <is>
          <t>Yes</t>
        </is>
      </c>
      <c r="E36" t="n">
        <v>6380</v>
      </c>
      <c r="F36" t="n">
        <v>4995.7</v>
      </c>
      <c r="G36" t="n">
        <v>1384.3</v>
      </c>
      <c r="H36" t="inlineStr">
        <is>
          <t>Active</t>
        </is>
      </c>
      <c r="I36" s="18" t="n">
        <v>46243.5</v>
      </c>
    </row>
    <row r="37">
      <c r="A37" t="inlineStr">
        <is>
          <t>FA-000033</t>
        </is>
      </c>
      <c r="B37" t="inlineStr">
        <is>
          <t>MD-00033</t>
        </is>
      </c>
      <c r="C37" t="inlineStr">
        <is>
          <t>MD-LA-050033</t>
        </is>
      </c>
      <c r="D37" t="inlineStr">
        <is>
          <t>No</t>
        </is>
      </c>
      <c r="E37" t="n">
        <v>2075</v>
      </c>
      <c r="F37" t="n">
        <v>1958.07</v>
      </c>
      <c r="G37" t="n">
        <v>116.93</v>
      </c>
      <c r="H37" t="inlineStr">
        <is>
          <t>Active</t>
        </is>
      </c>
      <c r="I37" s="18" t="n">
        <v>46243.5</v>
      </c>
    </row>
    <row r="38">
      <c r="A38" t="inlineStr">
        <is>
          <t>FA-000034</t>
        </is>
      </c>
      <c r="B38" t="inlineStr">
        <is>
          <t>MD-00034</t>
        </is>
      </c>
      <c r="C38" t="inlineStr">
        <is>
          <t>MD-MO-050034</t>
        </is>
      </c>
      <c r="D38" t="inlineStr">
        <is>
          <t>No</t>
        </is>
      </c>
      <c r="E38" t="n">
        <v>930</v>
      </c>
      <c r="F38" t="n">
        <v>450.12</v>
      </c>
      <c r="G38" t="n">
        <v>479.88</v>
      </c>
      <c r="H38" t="inlineStr">
        <is>
          <t>Active</t>
        </is>
      </c>
      <c r="I38" s="18" t="n">
        <v>46243.5</v>
      </c>
    </row>
    <row r="39">
      <c r="A39" t="inlineStr">
        <is>
          <t>FA-000035</t>
        </is>
      </c>
      <c r="B39" t="inlineStr">
        <is>
          <t>MD-00035</t>
        </is>
      </c>
      <c r="C39" t="inlineStr">
        <is>
          <t>MD-MO-050035</t>
        </is>
      </c>
      <c r="D39" t="inlineStr">
        <is>
          <t>No</t>
        </is>
      </c>
      <c r="E39" t="n">
        <v>950</v>
      </c>
      <c r="F39" t="n">
        <v>208.08</v>
      </c>
      <c r="G39" t="n">
        <v>741.92</v>
      </c>
      <c r="H39" t="inlineStr">
        <is>
          <t>Active</t>
        </is>
      </c>
      <c r="I39" s="18" t="n">
        <v>46243.5</v>
      </c>
    </row>
    <row r="40">
      <c r="A40" t="inlineStr">
        <is>
          <t>FA-000036</t>
        </is>
      </c>
      <c r="B40" t="inlineStr">
        <is>
          <t>MD-00036</t>
        </is>
      </c>
      <c r="C40" t="inlineStr">
        <is>
          <t>MD-NE-050036</t>
        </is>
      </c>
      <c r="D40" t="inlineStr">
        <is>
          <t>Yes</t>
        </is>
      </c>
      <c r="E40" t="n">
        <v>6245</v>
      </c>
      <c r="F40" t="n">
        <v>5707.27</v>
      </c>
      <c r="G40" t="n">
        <v>537.73</v>
      </c>
      <c r="H40" t="inlineStr">
        <is>
          <t>Active</t>
        </is>
      </c>
      <c r="I40" s="18" t="n">
        <v>46243.5</v>
      </c>
    </row>
    <row r="41">
      <c r="A41" t="inlineStr">
        <is>
          <t>FA-000037</t>
        </is>
      </c>
      <c r="B41" t="inlineStr">
        <is>
          <t>MD-00037</t>
        </is>
      </c>
      <c r="C41" t="inlineStr">
        <is>
          <t>MD-LA-050037</t>
        </is>
      </c>
      <c r="D41" t="inlineStr">
        <is>
          <t>No</t>
        </is>
      </c>
      <c r="E41" t="n">
        <v>1940</v>
      </c>
      <c r="F41" t="n">
        <v>1940</v>
      </c>
      <c r="G41" t="n">
        <v>0</v>
      </c>
      <c r="H41" t="inlineStr">
        <is>
          <t>Active</t>
        </is>
      </c>
      <c r="I41" s="18" t="n">
        <v>46243.5</v>
      </c>
    </row>
    <row r="42">
      <c r="A42" t="inlineStr">
        <is>
          <t>FA-000038</t>
        </is>
      </c>
      <c r="B42" t="inlineStr">
        <is>
          <t>MD-00038</t>
        </is>
      </c>
      <c r="C42" t="inlineStr">
        <is>
          <t>MD-MO-050038</t>
        </is>
      </c>
      <c r="D42" t="inlineStr">
        <is>
          <t>No</t>
        </is>
      </c>
      <c r="E42" t="n">
        <v>655</v>
      </c>
      <c r="F42" t="n">
        <v>314.54</v>
      </c>
      <c r="G42" t="n">
        <v>340.46</v>
      </c>
      <c r="H42" t="inlineStr">
        <is>
          <t>Active</t>
        </is>
      </c>
      <c r="I42" s="18" t="n">
        <v>46243.5</v>
      </c>
    </row>
    <row r="43">
      <c r="A43" t="inlineStr">
        <is>
          <t>FA-000039</t>
        </is>
      </c>
      <c r="B43" t="inlineStr">
        <is>
          <t>MD-00039</t>
        </is>
      </c>
      <c r="C43" t="inlineStr">
        <is>
          <t>MD-MO-050039</t>
        </is>
      </c>
      <c r="D43" t="inlineStr">
        <is>
          <t>No</t>
        </is>
      </c>
      <c r="E43" t="n">
        <v>1130</v>
      </c>
      <c r="F43" t="n">
        <v>495</v>
      </c>
      <c r="G43" t="n">
        <v>635</v>
      </c>
      <c r="H43" t="inlineStr">
        <is>
          <t>Active</t>
        </is>
      </c>
      <c r="I43" s="18" t="n">
        <v>46243.5</v>
      </c>
    </row>
    <row r="44">
      <c r="A44" t="inlineStr">
        <is>
          <t>FA-000040</t>
        </is>
      </c>
      <c r="B44" t="inlineStr">
        <is>
          <t>MD-00040</t>
        </is>
      </c>
      <c r="C44" t="inlineStr">
        <is>
          <t>MD-NE-050040</t>
        </is>
      </c>
      <c r="D44" t="inlineStr">
        <is>
          <t>Yes</t>
        </is>
      </c>
      <c r="E44" t="n">
        <v>6425</v>
      </c>
      <c r="F44" t="n">
        <v>5435.52</v>
      </c>
      <c r="G44" t="n">
        <v>989.48</v>
      </c>
      <c r="H44" t="inlineStr">
        <is>
          <t>Active</t>
        </is>
      </c>
      <c r="I44" s="18" t="n">
        <v>46243.5</v>
      </c>
    </row>
    <row r="45">
      <c r="A45" t="inlineStr">
        <is>
          <t>FA-000041</t>
        </is>
      </c>
      <c r="B45" t="inlineStr">
        <is>
          <t>MD-00041</t>
        </is>
      </c>
      <c r="C45" t="inlineStr">
        <is>
          <t>MD-LA-050041</t>
        </is>
      </c>
      <c r="D45" t="inlineStr">
        <is>
          <t>No</t>
        </is>
      </c>
      <c r="E45" t="n">
        <v>2120</v>
      </c>
      <c r="F45" t="n">
        <v>2120</v>
      </c>
      <c r="G45" t="n">
        <v>0</v>
      </c>
      <c r="H45" t="inlineStr">
        <is>
          <t>Active</t>
        </is>
      </c>
      <c r="I45" s="18" t="n">
        <v>46243.5</v>
      </c>
    </row>
    <row r="46">
      <c r="A46" t="inlineStr">
        <is>
          <t>FA-000042</t>
        </is>
      </c>
      <c r="B46" t="inlineStr">
        <is>
          <t>MD-00042</t>
        </is>
      </c>
      <c r="C46" t="inlineStr">
        <is>
          <t>MD-MO-050042</t>
        </is>
      </c>
      <c r="D46" t="inlineStr">
        <is>
          <t>No</t>
        </is>
      </c>
      <c r="E46" t="n">
        <v>520</v>
      </c>
      <c r="F46" t="n">
        <v>213.84</v>
      </c>
      <c r="G46" t="n">
        <v>306.16</v>
      </c>
      <c r="H46" t="inlineStr">
        <is>
          <t>Active</t>
        </is>
      </c>
      <c r="I46" s="18" t="n">
        <v>46243.5</v>
      </c>
    </row>
    <row r="47">
      <c r="A47" t="inlineStr">
        <is>
          <t>FA-000043</t>
        </is>
      </c>
      <c r="B47" t="inlineStr">
        <is>
          <t>MD-00043</t>
        </is>
      </c>
      <c r="C47" t="inlineStr">
        <is>
          <t>MD-MO-050043</t>
        </is>
      </c>
      <c r="D47" t="inlineStr">
        <is>
          <t>No</t>
        </is>
      </c>
      <c r="E47" t="n">
        <v>995</v>
      </c>
      <c r="F47" t="n">
        <v>321.45</v>
      </c>
      <c r="G47" t="n">
        <v>673.55</v>
      </c>
      <c r="H47" t="inlineStr">
        <is>
          <t>Active</t>
        </is>
      </c>
      <c r="I47" s="18" t="n">
        <v>46243.5</v>
      </c>
    </row>
    <row r="48">
      <c r="A48" t="inlineStr">
        <is>
          <t>FA-000044</t>
        </is>
      </c>
      <c r="B48" t="inlineStr">
        <is>
          <t>MD-00044</t>
        </is>
      </c>
      <c r="C48" t="inlineStr">
        <is>
          <t>MD-NE-050044</t>
        </is>
      </c>
      <c r="D48" t="inlineStr">
        <is>
          <t>Yes</t>
        </is>
      </c>
      <c r="E48" t="n">
        <v>6290</v>
      </c>
      <c r="F48" t="n">
        <v>4883.9</v>
      </c>
      <c r="G48" t="n">
        <v>1406.1</v>
      </c>
      <c r="H48" t="inlineStr">
        <is>
          <t>Active</t>
        </is>
      </c>
      <c r="I48" s="18" t="n">
        <v>46243.5</v>
      </c>
    </row>
    <row r="49">
      <c r="A49" t="inlineStr">
        <is>
          <t>FA-000045</t>
        </is>
      </c>
      <c r="B49" t="inlineStr">
        <is>
          <t>MD-00045</t>
        </is>
      </c>
      <c r="C49" t="inlineStr">
        <is>
          <t>MD-LA-050045</t>
        </is>
      </c>
      <c r="D49" t="inlineStr">
        <is>
          <t>No</t>
        </is>
      </c>
      <c r="E49" t="n">
        <v>1985</v>
      </c>
      <c r="F49" t="n">
        <v>1851.4</v>
      </c>
      <c r="G49" t="n">
        <v>133.6</v>
      </c>
      <c r="H49" t="inlineStr">
        <is>
          <t>Active</t>
        </is>
      </c>
      <c r="I49" s="18" t="n">
        <v>46243.5</v>
      </c>
    </row>
    <row r="50">
      <c r="A50" t="inlineStr">
        <is>
          <t>FA-000046</t>
        </is>
      </c>
      <c r="B50" t="inlineStr">
        <is>
          <t>MD-00046</t>
        </is>
      </c>
      <c r="C50" t="inlineStr">
        <is>
          <t>MD-MO-050046</t>
        </is>
      </c>
      <c r="D50" t="inlineStr">
        <is>
          <t>No</t>
        </is>
      </c>
      <c r="E50" t="n">
        <v>700</v>
      </c>
      <c r="F50" t="n">
        <v>239.18</v>
      </c>
      <c r="G50" t="n">
        <v>460.82</v>
      </c>
      <c r="H50" t="inlineStr">
        <is>
          <t>Active</t>
        </is>
      </c>
      <c r="I50" s="18" t="n">
        <v>46243.5</v>
      </c>
    </row>
    <row r="51">
      <c r="A51" t="inlineStr">
        <is>
          <t>FA-000047</t>
        </is>
      </c>
      <c r="B51" t="inlineStr">
        <is>
          <t>MD-00047</t>
        </is>
      </c>
      <c r="C51" t="inlineStr">
        <is>
          <t>MD-MO-050047</t>
        </is>
      </c>
      <c r="D51" t="inlineStr">
        <is>
          <t>No</t>
        </is>
      </c>
      <c r="E51" t="n">
        <v>1175</v>
      </c>
      <c r="F51" t="n">
        <v>244.49</v>
      </c>
      <c r="G51" t="n">
        <v>930.51</v>
      </c>
      <c r="H51" t="inlineStr">
        <is>
          <t>Active</t>
        </is>
      </c>
      <c r="I51" s="18" t="n">
        <v>46243.5</v>
      </c>
    </row>
    <row r="52">
      <c r="A52" t="inlineStr">
        <is>
          <t>FA-000048</t>
        </is>
      </c>
      <c r="B52" t="inlineStr">
        <is>
          <t>MD-00048</t>
        </is>
      </c>
      <c r="C52" t="inlineStr">
        <is>
          <t>MD-NE-050048</t>
        </is>
      </c>
      <c r="D52" t="inlineStr">
        <is>
          <t>Yes</t>
        </is>
      </c>
      <c r="E52" t="n">
        <v>6470</v>
      </c>
      <c r="F52" t="n">
        <v>5955.41</v>
      </c>
      <c r="G52" t="n">
        <v>514.59</v>
      </c>
      <c r="H52" t="inlineStr">
        <is>
          <t>Active</t>
        </is>
      </c>
      <c r="I52" s="18" t="n">
        <v>46243.5</v>
      </c>
    </row>
    <row r="53">
      <c r="A53" t="inlineStr">
        <is>
          <t>FA-000049</t>
        </is>
      </c>
      <c r="B53" t="inlineStr">
        <is>
          <t>MD-00049</t>
        </is>
      </c>
      <c r="C53" t="inlineStr">
        <is>
          <t>MD-LA-050049</t>
        </is>
      </c>
      <c r="D53" t="inlineStr">
        <is>
          <t>No</t>
        </is>
      </c>
      <c r="E53" t="n">
        <v>1850</v>
      </c>
      <c r="F53" t="n">
        <v>1850</v>
      </c>
      <c r="G53" t="n">
        <v>0</v>
      </c>
      <c r="H53" t="inlineStr">
        <is>
          <t>Active</t>
        </is>
      </c>
      <c r="I53" s="18" t="n">
        <v>46243.5</v>
      </c>
    </row>
    <row r="54">
      <c r="A54" t="inlineStr">
        <is>
          <t>FA-000050</t>
        </is>
      </c>
      <c r="B54" t="inlineStr">
        <is>
          <t>MD-00050</t>
        </is>
      </c>
      <c r="C54" t="inlineStr">
        <is>
          <t>MD-MO-050050</t>
        </is>
      </c>
      <c r="D54" t="inlineStr">
        <is>
          <t>No</t>
        </is>
      </c>
      <c r="E54" t="n">
        <v>565</v>
      </c>
      <c r="F54" t="n">
        <v>275.04</v>
      </c>
      <c r="G54" t="n">
        <v>289.96</v>
      </c>
      <c r="H54" t="inlineStr">
        <is>
          <t>Active</t>
        </is>
      </c>
      <c r="I54" s="18" t="n">
        <v>46243.5</v>
      </c>
    </row>
    <row r="55">
      <c r="A55" t="inlineStr">
        <is>
          <t>FA-000051</t>
        </is>
      </c>
      <c r="B55" t="inlineStr">
        <is>
          <t>MD-00051</t>
        </is>
      </c>
      <c r="C55" t="inlineStr">
        <is>
          <t>MD-MO-050051</t>
        </is>
      </c>
      <c r="D55" t="inlineStr">
        <is>
          <t>No</t>
        </is>
      </c>
      <c r="E55" t="n">
        <v>1250</v>
      </c>
      <c r="F55" t="n">
        <v>641.97</v>
      </c>
      <c r="G55" t="n">
        <v>573.03</v>
      </c>
      <c r="H55" t="inlineStr">
        <is>
          <t>Active</t>
        </is>
      </c>
      <c r="I55" s="18" t="n">
        <v>46243.5</v>
      </c>
    </row>
    <row r="56">
      <c r="A56" t="inlineStr">
        <is>
          <t>FA-000052</t>
        </is>
      </c>
      <c r="B56" t="inlineStr">
        <is>
          <t>MD-00052</t>
        </is>
      </c>
      <c r="C56" t="inlineStr">
        <is>
          <t>MD-NE-050052</t>
        </is>
      </c>
      <c r="D56" t="inlineStr">
        <is>
          <t>Yes</t>
        </is>
      </c>
      <c r="E56" t="n">
        <v>6335</v>
      </c>
      <c r="F56" t="n">
        <v>5401.01</v>
      </c>
      <c r="G56" t="n">
        <v>933.99</v>
      </c>
      <c r="H56" t="inlineStr">
        <is>
          <t>Active</t>
        </is>
      </c>
      <c r="I56" s="18" t="n">
        <v>46243.5</v>
      </c>
    </row>
    <row r="57">
      <c r="A57" t="inlineStr">
        <is>
          <t>FA-000053</t>
        </is>
      </c>
      <c r="B57" t="inlineStr">
        <is>
          <t>MD-00053</t>
        </is>
      </c>
      <c r="C57" t="inlineStr">
        <is>
          <t>MD-LA-050053</t>
        </is>
      </c>
      <c r="D57" t="inlineStr">
        <is>
          <t>No</t>
        </is>
      </c>
      <c r="E57" t="n">
        <v>2030</v>
      </c>
      <c r="F57" t="n">
        <v>2030</v>
      </c>
      <c r="G57" t="n">
        <v>0</v>
      </c>
      <c r="H57" t="inlineStr">
        <is>
          <t>Active</t>
        </is>
      </c>
      <c r="I57" s="18" t="n">
        <v>46243.5</v>
      </c>
    </row>
    <row r="58">
      <c r="A58" t="inlineStr">
        <is>
          <t>FA-000054</t>
        </is>
      </c>
      <c r="B58" t="inlineStr">
        <is>
          <t>MD-00054</t>
        </is>
      </c>
      <c r="C58" t="inlineStr">
        <is>
          <t>MD-MO-050054</t>
        </is>
      </c>
      <c r="D58" t="inlineStr">
        <is>
          <t>No</t>
        </is>
      </c>
      <c r="E58" t="n">
        <v>745</v>
      </c>
      <c r="F58" t="n">
        <v>311.26</v>
      </c>
      <c r="G58" t="n">
        <v>433.74</v>
      </c>
      <c r="H58" t="inlineStr">
        <is>
          <t>Active</t>
        </is>
      </c>
      <c r="I58" s="18" t="n">
        <v>46243.5</v>
      </c>
    </row>
    <row r="59">
      <c r="A59" t="inlineStr">
        <is>
          <t>FA-000055</t>
        </is>
      </c>
      <c r="B59" t="inlineStr">
        <is>
          <t>MD-00055</t>
        </is>
      </c>
      <c r="C59" t="inlineStr">
        <is>
          <t>MD-MO-050055</t>
        </is>
      </c>
      <c r="D59" t="inlineStr">
        <is>
          <t>No</t>
        </is>
      </c>
      <c r="E59" t="n">
        <v>1220</v>
      </c>
      <c r="F59" t="n">
        <v>407.5</v>
      </c>
      <c r="G59" t="n">
        <v>812.5</v>
      </c>
      <c r="H59" t="inlineStr">
        <is>
          <t>Active</t>
        </is>
      </c>
      <c r="I59" s="18" t="n">
        <v>46243.5</v>
      </c>
    </row>
    <row r="60">
      <c r="A60" t="inlineStr">
        <is>
          <t>FA-000056</t>
        </is>
      </c>
      <c r="B60" t="inlineStr">
        <is>
          <t>MD-00056</t>
        </is>
      </c>
      <c r="C60" t="inlineStr">
        <is>
          <t>MD-NE-050056</t>
        </is>
      </c>
      <c r="D60" t="inlineStr">
        <is>
          <t>Yes</t>
        </is>
      </c>
      <c r="E60" t="n">
        <v>6200</v>
      </c>
      <c r="F60" t="n">
        <v>4854.76</v>
      </c>
      <c r="G60" t="n">
        <v>1345.24</v>
      </c>
      <c r="H60" t="inlineStr">
        <is>
          <t>Active</t>
        </is>
      </c>
      <c r="I60" s="18" t="n">
        <v>46243.5</v>
      </c>
    </row>
    <row r="61">
      <c r="A61" t="inlineStr">
        <is>
          <t>FA-000057</t>
        </is>
      </c>
      <c r="B61" t="inlineStr">
        <is>
          <t>MD-00057</t>
        </is>
      </c>
      <c r="C61" t="inlineStr">
        <is>
          <t>MD-LA-050057</t>
        </is>
      </c>
      <c r="D61" t="inlineStr">
        <is>
          <t>No</t>
        </is>
      </c>
      <c r="E61" t="n">
        <v>1895</v>
      </c>
      <c r="F61" t="n">
        <v>1788.21</v>
      </c>
      <c r="G61" t="n">
        <v>106.79</v>
      </c>
      <c r="H61" t="inlineStr">
        <is>
          <t>Active</t>
        </is>
      </c>
      <c r="I61" s="18" t="n">
        <v>46243.5</v>
      </c>
    </row>
    <row r="62">
      <c r="A62" t="inlineStr">
        <is>
          <t>FA-000058</t>
        </is>
      </c>
      <c r="B62" t="inlineStr">
        <is>
          <t>MD-00058</t>
        </is>
      </c>
      <c r="C62" t="inlineStr">
        <is>
          <t>MD-MO-050058</t>
        </is>
      </c>
      <c r="D62" t="inlineStr">
        <is>
          <t>No</t>
        </is>
      </c>
      <c r="E62" t="n">
        <v>610</v>
      </c>
      <c r="F62" t="n">
        <v>212.44</v>
      </c>
      <c r="G62" t="n">
        <v>397.56</v>
      </c>
      <c r="H62" t="inlineStr">
        <is>
          <t>Active</t>
        </is>
      </c>
      <c r="I62" s="18" t="n">
        <v>46243.5</v>
      </c>
    </row>
    <row r="63">
      <c r="A63" t="inlineStr">
        <is>
          <t>FA-000059</t>
        </is>
      </c>
      <c r="B63" t="inlineStr">
        <is>
          <t>MD-00059</t>
        </is>
      </c>
      <c r="C63" t="inlineStr">
        <is>
          <t>MD-MO-050059</t>
        </is>
      </c>
      <c r="D63" t="inlineStr">
        <is>
          <t>No</t>
        </is>
      </c>
      <c r="E63" t="n">
        <v>1085</v>
      </c>
      <c r="F63" t="n">
        <v>237.65</v>
      </c>
      <c r="G63" t="n">
        <v>847.35</v>
      </c>
      <c r="H63" t="inlineStr">
        <is>
          <t>Active</t>
        </is>
      </c>
      <c r="I63" s="18" t="n">
        <v>46243.5</v>
      </c>
    </row>
    <row r="64">
      <c r="A64" t="inlineStr">
        <is>
          <t>FA-000060</t>
        </is>
      </c>
      <c r="B64" t="inlineStr">
        <is>
          <t>MD-00060</t>
        </is>
      </c>
      <c r="C64" t="inlineStr">
        <is>
          <t>MD-NE-050060</t>
        </is>
      </c>
      <c r="D64" t="inlineStr">
        <is>
          <t>Yes</t>
        </is>
      </c>
      <c r="E64" t="n">
        <v>6380</v>
      </c>
      <c r="F64" t="n">
        <v>5830.65</v>
      </c>
      <c r="G64" t="n">
        <v>549.35</v>
      </c>
      <c r="H64" t="inlineStr">
        <is>
          <t>Active</t>
        </is>
      </c>
      <c r="I64" s="18" t="n">
        <v>46243.5</v>
      </c>
    </row>
    <row r="65">
      <c r="A65" t="inlineStr">
        <is>
          <t>FA-000061</t>
        </is>
      </c>
      <c r="B65" t="inlineStr">
        <is>
          <t>MD-00061</t>
        </is>
      </c>
      <c r="C65" t="inlineStr">
        <is>
          <t>MD-LA-050061</t>
        </is>
      </c>
      <c r="D65" t="inlineStr">
        <is>
          <t>No</t>
        </is>
      </c>
      <c r="E65" t="n">
        <v>2075</v>
      </c>
      <c r="F65" t="n">
        <v>2075</v>
      </c>
      <c r="G65" t="n">
        <v>0</v>
      </c>
      <c r="H65" t="inlineStr">
        <is>
          <t>Active</t>
        </is>
      </c>
      <c r="I65" s="18" t="n">
        <v>46243.5</v>
      </c>
    </row>
    <row r="66">
      <c r="A66" t="inlineStr">
        <is>
          <t>FA-000062</t>
        </is>
      </c>
      <c r="B66" t="inlineStr">
        <is>
          <t>MD-00062</t>
        </is>
      </c>
      <c r="C66" t="inlineStr">
        <is>
          <t>MD-MO-050062</t>
        </is>
      </c>
      <c r="D66" t="inlineStr">
        <is>
          <t>No</t>
        </is>
      </c>
      <c r="E66" t="n">
        <v>790</v>
      </c>
      <c r="F66" t="n">
        <v>379.37</v>
      </c>
      <c r="G66" t="n">
        <v>410.63</v>
      </c>
      <c r="H66" t="inlineStr">
        <is>
          <t>Active</t>
        </is>
      </c>
      <c r="I66" s="18" t="n">
        <v>46243.5</v>
      </c>
    </row>
    <row r="67">
      <c r="A67" t="inlineStr">
        <is>
          <t>FA-000063</t>
        </is>
      </c>
      <c r="B67" t="inlineStr">
        <is>
          <t>MD-00063</t>
        </is>
      </c>
      <c r="C67" t="inlineStr">
        <is>
          <t>MD-MO-050063</t>
        </is>
      </c>
      <c r="D67" t="inlineStr">
        <is>
          <t>No</t>
        </is>
      </c>
      <c r="E67" t="n">
        <v>950</v>
      </c>
      <c r="F67" t="n">
        <v>416.15</v>
      </c>
      <c r="G67" t="n">
        <v>533.85</v>
      </c>
      <c r="H67" t="inlineStr">
        <is>
          <t>Active</t>
        </is>
      </c>
      <c r="I67" s="18" t="n">
        <v>46243.5</v>
      </c>
    </row>
    <row r="68">
      <c r="A68" t="inlineStr">
        <is>
          <t>FA-000064</t>
        </is>
      </c>
      <c r="B68" t="inlineStr">
        <is>
          <t>MD-00064</t>
        </is>
      </c>
      <c r="C68" t="inlineStr">
        <is>
          <t>MD-NE-050064</t>
        </is>
      </c>
      <c r="D68" t="inlineStr">
        <is>
          <t>Yes</t>
        </is>
      </c>
      <c r="E68" t="n">
        <v>6245</v>
      </c>
      <c r="F68" t="n">
        <v>5283.24</v>
      </c>
      <c r="G68" t="n">
        <v>961.76</v>
      </c>
      <c r="H68" t="inlineStr">
        <is>
          <t>Active</t>
        </is>
      </c>
      <c r="I68" s="18" t="n">
        <v>46243.5</v>
      </c>
    </row>
    <row r="69">
      <c r="A69" t="inlineStr">
        <is>
          <t>FA-000065</t>
        </is>
      </c>
      <c r="B69" t="inlineStr">
        <is>
          <t>MD-00065</t>
        </is>
      </c>
      <c r="C69" t="inlineStr">
        <is>
          <t>MD-LA-050065</t>
        </is>
      </c>
      <c r="D69" t="inlineStr">
        <is>
          <t>No</t>
        </is>
      </c>
      <c r="E69" t="n">
        <v>1940</v>
      </c>
      <c r="F69" t="n">
        <v>1940</v>
      </c>
      <c r="G69" t="n">
        <v>0</v>
      </c>
      <c r="H69" t="inlineStr">
        <is>
          <t>Active</t>
        </is>
      </c>
      <c r="I69" s="18" t="n">
        <v>46243.5</v>
      </c>
    </row>
    <row r="70">
      <c r="A70" t="inlineStr">
        <is>
          <t>FA-000066</t>
        </is>
      </c>
      <c r="B70" t="inlineStr">
        <is>
          <t>MD-00066</t>
        </is>
      </c>
      <c r="C70" t="inlineStr">
        <is>
          <t>MD-MO-050066</t>
        </is>
      </c>
      <c r="D70" t="inlineStr">
        <is>
          <t>No</t>
        </is>
      </c>
      <c r="E70" t="n">
        <v>655</v>
      </c>
      <c r="F70" t="n">
        <v>269.35</v>
      </c>
      <c r="G70" t="n">
        <v>385.65</v>
      </c>
      <c r="H70" t="inlineStr">
        <is>
          <t>Active</t>
        </is>
      </c>
      <c r="I70" s="18" t="n">
        <v>46243.5</v>
      </c>
    </row>
    <row r="71">
      <c r="A71" t="inlineStr">
        <is>
          <t>FA-000067</t>
        </is>
      </c>
      <c r="B71" t="inlineStr">
        <is>
          <t>MD-00067</t>
        </is>
      </c>
      <c r="C71" t="inlineStr">
        <is>
          <t>MD-MO-050067</t>
        </is>
      </c>
      <c r="D71" t="inlineStr">
        <is>
          <t>No</t>
        </is>
      </c>
      <c r="E71" t="n">
        <v>1130</v>
      </c>
      <c r="F71" t="n">
        <v>365.07</v>
      </c>
      <c r="G71" t="n">
        <v>764.9299999999999</v>
      </c>
      <c r="H71" t="inlineStr">
        <is>
          <t>Active</t>
        </is>
      </c>
      <c r="I71" s="18" t="n">
        <v>46243.5</v>
      </c>
    </row>
    <row r="72">
      <c r="A72" t="inlineStr">
        <is>
          <t>FA-000068</t>
        </is>
      </c>
      <c r="B72" t="inlineStr">
        <is>
          <t>MD-00068</t>
        </is>
      </c>
      <c r="C72" t="inlineStr">
        <is>
          <t>MD-NE-050068</t>
        </is>
      </c>
      <c r="D72" t="inlineStr">
        <is>
          <t>Yes</t>
        </is>
      </c>
      <c r="E72" t="n">
        <v>6480</v>
      </c>
      <c r="F72" t="n">
        <v>5163.72</v>
      </c>
      <c r="G72" t="n">
        <v>1436.28</v>
      </c>
      <c r="H72" t="inlineStr">
        <is>
          <t>Active</t>
        </is>
      </c>
      <c r="I72" s="18" t="n">
        <v>46243.5</v>
      </c>
    </row>
    <row r="73">
      <c r="A73" t="inlineStr">
        <is>
          <t>FA-000069</t>
        </is>
      </c>
      <c r="B73" t="inlineStr">
        <is>
          <t>MD-00069</t>
        </is>
      </c>
      <c r="C73" t="inlineStr">
        <is>
          <t>MD-LA-050069</t>
        </is>
      </c>
      <c r="D73" t="inlineStr">
        <is>
          <t>No</t>
        </is>
      </c>
      <c r="E73" t="n">
        <v>2120</v>
      </c>
      <c r="F73" t="n">
        <v>1977.31</v>
      </c>
      <c r="G73" t="n">
        <v>142.69</v>
      </c>
      <c r="H73" t="inlineStr">
        <is>
          <t>Active</t>
        </is>
      </c>
      <c r="I73" s="18" t="n">
        <v>46243.5</v>
      </c>
    </row>
    <row r="74">
      <c r="A74" t="inlineStr">
        <is>
          <t>FA-000070</t>
        </is>
      </c>
      <c r="B74" t="inlineStr">
        <is>
          <t>MD-00070</t>
        </is>
      </c>
      <c r="C74" t="inlineStr">
        <is>
          <t>MD-MO-050070</t>
        </is>
      </c>
      <c r="D74" t="inlineStr">
        <is>
          <t>No</t>
        </is>
      </c>
      <c r="E74" t="n">
        <v>520</v>
      </c>
      <c r="F74" t="n">
        <v>177.68</v>
      </c>
      <c r="G74" t="n">
        <v>342.32</v>
      </c>
      <c r="H74" t="inlineStr">
        <is>
          <t>Active</t>
        </is>
      </c>
      <c r="I74" s="18" t="n">
        <v>46243.5</v>
      </c>
    </row>
    <row r="75">
      <c r="A75" t="inlineStr">
        <is>
          <t>FA-000071</t>
        </is>
      </c>
      <c r="B75" t="inlineStr">
        <is>
          <t>MD-00071</t>
        </is>
      </c>
      <c r="C75" t="inlineStr">
        <is>
          <t>MD-MO-050071</t>
        </is>
      </c>
      <c r="D75" t="inlineStr">
        <is>
          <t>No</t>
        </is>
      </c>
      <c r="E75" t="n">
        <v>995</v>
      </c>
      <c r="F75" t="n">
        <v>207.04</v>
      </c>
      <c r="G75" t="n">
        <v>787.96</v>
      </c>
      <c r="H75" t="inlineStr">
        <is>
          <t>Active</t>
        </is>
      </c>
      <c r="I75" s="18" t="n">
        <v>46243.5</v>
      </c>
    </row>
    <row r="76">
      <c r="A76" t="inlineStr">
        <is>
          <t>FA-000072</t>
        </is>
      </c>
      <c r="B76" t="inlineStr">
        <is>
          <t>MD-00072</t>
        </is>
      </c>
      <c r="C76" t="inlineStr">
        <is>
          <t>MD-NE-050072</t>
        </is>
      </c>
      <c r="D76" t="inlineStr">
        <is>
          <t>Yes</t>
        </is>
      </c>
      <c r="E76" t="n">
        <v>6290</v>
      </c>
      <c r="F76" t="n">
        <v>5789.73</v>
      </c>
      <c r="G76" t="n">
        <v>500.27</v>
      </c>
      <c r="H76" t="inlineStr">
        <is>
          <t>Active</t>
        </is>
      </c>
      <c r="I76" s="18" t="n">
        <v>46243.5</v>
      </c>
    </row>
    <row r="77">
      <c r="A77" t="inlineStr">
        <is>
          <t>FA-000073</t>
        </is>
      </c>
      <c r="B77" t="inlineStr">
        <is>
          <t>MD-00073</t>
        </is>
      </c>
      <c r="C77" t="inlineStr">
        <is>
          <t>MD-LA-050073</t>
        </is>
      </c>
      <c r="D77" t="inlineStr">
        <is>
          <t>No</t>
        </is>
      </c>
      <c r="E77" t="n">
        <v>1985</v>
      </c>
      <c r="F77" t="n">
        <v>1985</v>
      </c>
      <c r="G77" t="n">
        <v>0</v>
      </c>
      <c r="H77" t="inlineStr">
        <is>
          <t>Active</t>
        </is>
      </c>
      <c r="I77" s="18" t="n">
        <v>46243.5</v>
      </c>
    </row>
    <row r="78">
      <c r="A78" t="inlineStr">
        <is>
          <t>FA-000074</t>
        </is>
      </c>
      <c r="B78" t="inlineStr">
        <is>
          <t>MD-00074</t>
        </is>
      </c>
      <c r="C78" t="inlineStr">
        <is>
          <t>MD-MO-050074</t>
        </is>
      </c>
      <c r="D78" t="inlineStr">
        <is>
          <t>No</t>
        </is>
      </c>
      <c r="E78" t="n">
        <v>700</v>
      </c>
      <c r="F78" t="n">
        <v>340.75</v>
      </c>
      <c r="G78" t="n">
        <v>359.25</v>
      </c>
      <c r="H78" t="inlineStr">
        <is>
          <t>Active</t>
        </is>
      </c>
      <c r="I78" s="18" t="n">
        <v>46243.5</v>
      </c>
    </row>
    <row r="79">
      <c r="A79" t="inlineStr">
        <is>
          <t>FA-000075</t>
        </is>
      </c>
      <c r="B79" t="inlineStr">
        <is>
          <t>MD-00075</t>
        </is>
      </c>
      <c r="C79" t="inlineStr">
        <is>
          <t>MD-MO-050075</t>
        </is>
      </c>
      <c r="D79" t="inlineStr">
        <is>
          <t>No</t>
        </is>
      </c>
      <c r="E79" t="n">
        <v>1175</v>
      </c>
      <c r="F79" t="n">
        <v>527.58</v>
      </c>
      <c r="G79" t="n">
        <v>647.42</v>
      </c>
      <c r="H79" t="inlineStr">
        <is>
          <t>Active</t>
        </is>
      </c>
      <c r="I79" s="18" t="n">
        <v>46243.5</v>
      </c>
    </row>
    <row r="80">
      <c r="A80" t="inlineStr">
        <is>
          <t>FA-000076</t>
        </is>
      </c>
      <c r="B80" t="inlineStr">
        <is>
          <t>MD-00076</t>
        </is>
      </c>
      <c r="C80" t="inlineStr">
        <is>
          <t>MD-NE-050076</t>
        </is>
      </c>
      <c r="D80" t="inlineStr">
        <is>
          <t>Yes</t>
        </is>
      </c>
      <c r="E80" t="n">
        <v>6470</v>
      </c>
      <c r="F80" t="n">
        <v>5516.11</v>
      </c>
      <c r="G80" t="n">
        <v>953.89</v>
      </c>
      <c r="H80" t="inlineStr">
        <is>
          <t>Active</t>
        </is>
      </c>
      <c r="I80" s="18" t="n">
        <v>46243.5</v>
      </c>
    </row>
    <row r="81">
      <c r="A81" t="inlineStr">
        <is>
          <t>FA-000077</t>
        </is>
      </c>
      <c r="B81" t="inlineStr">
        <is>
          <t>MD-00077</t>
        </is>
      </c>
      <c r="C81" t="inlineStr">
        <is>
          <t>MD-LA-050077</t>
        </is>
      </c>
      <c r="D81" t="inlineStr">
        <is>
          <t>No</t>
        </is>
      </c>
      <c r="E81" t="n">
        <v>1850</v>
      </c>
      <c r="F81" t="n">
        <v>1850</v>
      </c>
      <c r="G81" t="n">
        <v>0</v>
      </c>
      <c r="H81" t="inlineStr">
        <is>
          <t>Active</t>
        </is>
      </c>
      <c r="I81" s="18" t="n">
        <v>46243.5</v>
      </c>
    </row>
    <row r="82">
      <c r="A82" t="inlineStr">
        <is>
          <t>FA-000078</t>
        </is>
      </c>
      <c r="B82" t="inlineStr">
        <is>
          <t>MD-00078</t>
        </is>
      </c>
      <c r="C82" t="inlineStr">
        <is>
          <t>MD-MO-050078</t>
        </is>
      </c>
      <c r="D82" t="inlineStr">
        <is>
          <t>No</t>
        </is>
      </c>
      <c r="E82" t="n">
        <v>565</v>
      </c>
      <c r="F82" t="n">
        <v>236.05</v>
      </c>
      <c r="G82" t="n">
        <v>328.95</v>
      </c>
      <c r="H82" t="inlineStr">
        <is>
          <t>Active</t>
        </is>
      </c>
      <c r="I82" s="18" t="n">
        <v>46243.5</v>
      </c>
    </row>
    <row r="83">
      <c r="A83" t="inlineStr">
        <is>
          <t>FA-000079</t>
        </is>
      </c>
      <c r="B83" t="inlineStr">
        <is>
          <t>MD-00079</t>
        </is>
      </c>
      <c r="C83" t="inlineStr">
        <is>
          <t>MD-MO-050079</t>
        </is>
      </c>
      <c r="D83" t="inlineStr">
        <is>
          <t>No</t>
        </is>
      </c>
      <c r="E83" t="n">
        <v>1040</v>
      </c>
      <c r="F83" t="n">
        <v>347.38</v>
      </c>
      <c r="G83" t="n">
        <v>692.62</v>
      </c>
      <c r="H83" t="inlineStr">
        <is>
          <t>Active</t>
        </is>
      </c>
      <c r="I83" s="18" t="n">
        <v>46243.5</v>
      </c>
    </row>
    <row r="84">
      <c r="A84" t="inlineStr">
        <is>
          <t>FA-000080</t>
        </is>
      </c>
      <c r="B84" t="inlineStr">
        <is>
          <t>MD-00080</t>
        </is>
      </c>
      <c r="C84" t="inlineStr">
        <is>
          <t>MD-NE-050080</t>
        </is>
      </c>
      <c r="D84" t="inlineStr">
        <is>
          <t>Yes</t>
        </is>
      </c>
      <c r="E84" t="n">
        <v>6335</v>
      </c>
      <c r="F84" t="n">
        <v>4960.47</v>
      </c>
      <c r="G84" t="n">
        <v>1374.53</v>
      </c>
      <c r="H84" t="inlineStr">
        <is>
          <t>Active</t>
        </is>
      </c>
      <c r="I84" s="18" t="n">
        <v>46243.5</v>
      </c>
    </row>
    <row r="85">
      <c r="A85" t="inlineStr">
        <is>
          <t>FA-000081</t>
        </is>
      </c>
      <c r="B85" t="inlineStr">
        <is>
          <t>MD-00081</t>
        </is>
      </c>
      <c r="C85" t="inlineStr">
        <is>
          <t>MD-LA-050081</t>
        </is>
      </c>
      <c r="D85" t="inlineStr">
        <is>
          <t>No</t>
        </is>
      </c>
      <c r="E85" t="n">
        <v>2030</v>
      </c>
      <c r="F85" t="n">
        <v>1915.6</v>
      </c>
      <c r="G85" t="n">
        <v>114.4</v>
      </c>
      <c r="H85" t="inlineStr">
        <is>
          <t>Active</t>
        </is>
      </c>
      <c r="I85" s="18" t="n">
        <v>46243.5</v>
      </c>
    </row>
    <row r="86">
      <c r="A86" t="inlineStr">
        <is>
          <t>FA-000082</t>
        </is>
      </c>
      <c r="B86" t="inlineStr">
        <is>
          <t>MD-00082</t>
        </is>
      </c>
      <c r="C86" t="inlineStr">
        <is>
          <t>MD-MO-050082</t>
        </is>
      </c>
      <c r="D86" t="inlineStr">
        <is>
          <t>No</t>
        </is>
      </c>
      <c r="E86" t="n">
        <v>745</v>
      </c>
      <c r="F86" t="n">
        <v>259.45</v>
      </c>
      <c r="G86" t="n">
        <v>485.55</v>
      </c>
      <c r="H86" t="inlineStr">
        <is>
          <t>Active</t>
        </is>
      </c>
      <c r="I86" s="18" t="n">
        <v>46243.5</v>
      </c>
    </row>
    <row r="87">
      <c r="A87" t="inlineStr">
        <is>
          <t>FA-000083</t>
        </is>
      </c>
      <c r="B87" t="inlineStr">
        <is>
          <t>MD-00083</t>
        </is>
      </c>
      <c r="C87" t="inlineStr">
        <is>
          <t>MD-MO-050083</t>
        </is>
      </c>
      <c r="D87" t="inlineStr">
        <is>
          <t>No</t>
        </is>
      </c>
      <c r="E87" t="n">
        <v>1220</v>
      </c>
      <c r="F87" t="n">
        <v>267.21</v>
      </c>
      <c r="G87" t="n">
        <v>952.79</v>
      </c>
      <c r="H87" t="inlineStr">
        <is>
          <t>Active</t>
        </is>
      </c>
      <c r="I87" s="18" t="n">
        <v>46243.5</v>
      </c>
    </row>
    <row r="88">
      <c r="A88" t="inlineStr">
        <is>
          <t>FA-000084</t>
        </is>
      </c>
      <c r="B88" t="inlineStr">
        <is>
          <t>MD-00084</t>
        </is>
      </c>
      <c r="C88" t="inlineStr">
        <is>
          <t>MD-NE-050084</t>
        </is>
      </c>
      <c r="D88" t="inlineStr">
        <is>
          <t>Yes</t>
        </is>
      </c>
      <c r="E88" t="n">
        <v>6200</v>
      </c>
      <c r="F88" t="n">
        <v>5666.15</v>
      </c>
      <c r="G88" t="n">
        <v>533.85</v>
      </c>
      <c r="H88" t="inlineStr">
        <is>
          <t>Active</t>
        </is>
      </c>
      <c r="I88" s="18" t="n">
        <v>46243.5</v>
      </c>
    </row>
    <row r="89">
      <c r="A89" t="inlineStr">
        <is>
          <t>FA-000085</t>
        </is>
      </c>
      <c r="B89" t="inlineStr">
        <is>
          <t>MD-00085</t>
        </is>
      </c>
      <c r="C89" t="inlineStr">
        <is>
          <t>MD-LA-050085</t>
        </is>
      </c>
      <c r="D89" t="inlineStr">
        <is>
          <t>No</t>
        </is>
      </c>
      <c r="E89" t="n">
        <v>2090</v>
      </c>
      <c r="F89" t="n">
        <v>2070</v>
      </c>
      <c r="G89" t="n">
        <v>0</v>
      </c>
      <c r="H89" t="inlineStr">
        <is>
          <t>Active</t>
        </is>
      </c>
      <c r="I89" s="18" t="n">
        <v>46243.5</v>
      </c>
    </row>
    <row r="90">
      <c r="A90" t="inlineStr">
        <is>
          <t>FA-000086</t>
        </is>
      </c>
      <c r="B90" t="inlineStr">
        <is>
          <t>MD-00086</t>
        </is>
      </c>
      <c r="C90" t="inlineStr">
        <is>
          <t>MD-MO-050086</t>
        </is>
      </c>
      <c r="D90" t="inlineStr">
        <is>
          <t>No</t>
        </is>
      </c>
      <c r="E90" t="n">
        <v>610</v>
      </c>
      <c r="F90" t="n">
        <v>292.93</v>
      </c>
      <c r="G90" t="n">
        <v>317.07</v>
      </c>
      <c r="H90" t="inlineStr">
        <is>
          <t>Active</t>
        </is>
      </c>
      <c r="I90" s="18" t="n">
        <v>46243.5</v>
      </c>
    </row>
    <row r="91">
      <c r="A91" t="inlineStr">
        <is>
          <t>FA-000087</t>
        </is>
      </c>
      <c r="B91" t="inlineStr">
        <is>
          <t>MD-00087</t>
        </is>
      </c>
      <c r="C91" t="inlineStr">
        <is>
          <t>MD-MO-050087</t>
        </is>
      </c>
      <c r="D91" t="inlineStr">
        <is>
          <t>No</t>
        </is>
      </c>
      <c r="E91" t="n">
        <v>1085</v>
      </c>
      <c r="F91" t="n">
        <v>475.29</v>
      </c>
      <c r="G91" t="n">
        <v>609.71</v>
      </c>
      <c r="H91" t="inlineStr">
        <is>
          <t>Active</t>
        </is>
      </c>
      <c r="I91" s="18" t="n">
        <v>46243.5</v>
      </c>
    </row>
    <row r="92">
      <c r="A92" t="inlineStr">
        <is>
          <t>FA-000088</t>
        </is>
      </c>
      <c r="B92" t="inlineStr">
        <is>
          <t>MD-00088</t>
        </is>
      </c>
      <c r="C92" t="inlineStr">
        <is>
          <t>MD-NE-050088</t>
        </is>
      </c>
      <c r="D92" t="inlineStr">
        <is>
          <t>Yes</t>
        </is>
      </c>
      <c r="E92" t="n">
        <v>6380</v>
      </c>
      <c r="F92" t="n">
        <v>5397.45</v>
      </c>
      <c r="G92" t="n">
        <v>982.55</v>
      </c>
      <c r="H92" t="inlineStr">
        <is>
          <t>Active</t>
        </is>
      </c>
      <c r="I92" s="18" t="n">
        <v>46243.5</v>
      </c>
    </row>
    <row r="93">
      <c r="A93" t="inlineStr">
        <is>
          <t>FA-000089</t>
        </is>
      </c>
      <c r="B93" t="inlineStr">
        <is>
          <t>MD-00089</t>
        </is>
      </c>
      <c r="C93" t="inlineStr">
        <is>
          <t>MD-LA-050089</t>
        </is>
      </c>
      <c r="D93" t="inlineStr">
        <is>
          <t>No</t>
        </is>
      </c>
      <c r="E93" t="n">
        <v>2075</v>
      </c>
      <c r="F93" t="n">
        <v>2075</v>
      </c>
      <c r="G93" t="n">
        <v>0</v>
      </c>
      <c r="H93" t="inlineStr">
        <is>
          <t>Active</t>
        </is>
      </c>
      <c r="I93" s="18" t="n">
        <v>46243.5</v>
      </c>
    </row>
    <row r="94">
      <c r="A94" t="inlineStr">
        <is>
          <t>FA-000090</t>
        </is>
      </c>
      <c r="B94" t="inlineStr">
        <is>
          <t>MD-00090</t>
        </is>
      </c>
      <c r="C94" t="inlineStr">
        <is>
          <t>MD-MO-050090</t>
        </is>
      </c>
      <c r="D94" t="inlineStr">
        <is>
          <t>No</t>
        </is>
      </c>
      <c r="E94" t="n">
        <v>790</v>
      </c>
      <c r="F94" t="n">
        <v>324.87</v>
      </c>
      <c r="G94" t="n">
        <v>465.13</v>
      </c>
      <c r="H94" t="inlineStr">
        <is>
          <t>Active</t>
        </is>
      </c>
      <c r="I94" s="18" t="n">
        <v>46243.5</v>
      </c>
    </row>
    <row r="95">
      <c r="A95" t="inlineStr">
        <is>
          <t>FA-000091</t>
        </is>
      </c>
      <c r="B95" t="inlineStr">
        <is>
          <t>MD-00091</t>
        </is>
      </c>
      <c r="C95" t="inlineStr">
        <is>
          <t>MD-MO-050091</t>
        </is>
      </c>
      <c r="D95" t="inlineStr">
        <is>
          <t>No</t>
        </is>
      </c>
      <c r="E95" t="n">
        <v>950</v>
      </c>
      <c r="F95" t="n">
        <v>306.91</v>
      </c>
      <c r="G95" t="n">
        <v>643.09</v>
      </c>
      <c r="H95" t="inlineStr">
        <is>
          <t>Active</t>
        </is>
      </c>
      <c r="I95" s="18" t="n">
        <v>46243.5</v>
      </c>
    </row>
    <row r="96">
      <c r="A96" t="inlineStr">
        <is>
          <t>FA-000092</t>
        </is>
      </c>
      <c r="B96" t="inlineStr">
        <is>
          <t>MD-00092</t>
        </is>
      </c>
      <c r="C96" t="inlineStr">
        <is>
          <t>MD-NE-050088</t>
        </is>
      </c>
      <c r="D96" t="inlineStr">
        <is>
          <t>Yes</t>
        </is>
      </c>
      <c r="E96" t="n">
        <v>6245</v>
      </c>
      <c r="F96" t="n">
        <v>4848.96</v>
      </c>
      <c r="G96" t="n">
        <v>1396.04</v>
      </c>
      <c r="H96" t="inlineStr">
        <is>
          <t>Active</t>
        </is>
      </c>
      <c r="I96" s="18" t="n">
        <v>46243.5</v>
      </c>
    </row>
    <row r="97">
      <c r="A97" t="inlineStr">
        <is>
          <t>FA-000093</t>
        </is>
      </c>
      <c r="B97" t="inlineStr">
        <is>
          <t>MD-00093</t>
        </is>
      </c>
      <c r="C97" t="inlineStr">
        <is>
          <t>MD-LA-050093</t>
        </is>
      </c>
      <c r="D97" t="inlineStr">
        <is>
          <t>No</t>
        </is>
      </c>
      <c r="E97" t="n">
        <v>1940</v>
      </c>
      <c r="F97" t="n">
        <v>1809.43</v>
      </c>
      <c r="G97" t="n">
        <v>130.57</v>
      </c>
      <c r="H97" t="inlineStr">
        <is>
          <t>Active</t>
        </is>
      </c>
      <c r="I97" s="18" t="n">
        <v>46243.5</v>
      </c>
    </row>
    <row r="98">
      <c r="A98" t="inlineStr">
        <is>
          <t>FA-000094</t>
        </is>
      </c>
      <c r="B98" t="inlineStr">
        <is>
          <t>MD-00094</t>
        </is>
      </c>
      <c r="C98" t="inlineStr">
        <is>
          <t>MD-MO-050094</t>
        </is>
      </c>
      <c r="D98" t="inlineStr">
        <is>
          <t>No</t>
        </is>
      </c>
      <c r="E98" t="n">
        <v>655</v>
      </c>
      <c r="F98" t="n">
        <v>223.8</v>
      </c>
      <c r="G98" t="n">
        <v>431.2</v>
      </c>
      <c r="H98" t="inlineStr">
        <is>
          <t>Active</t>
        </is>
      </c>
      <c r="I98" s="18" t="n">
        <v>46243.5</v>
      </c>
    </row>
    <row r="99">
      <c r="A99" t="inlineStr">
        <is>
          <t>FA-000095</t>
        </is>
      </c>
      <c r="B99" t="inlineStr">
        <is>
          <t>MD-00095</t>
        </is>
      </c>
      <c r="C99" t="inlineStr">
        <is>
          <t>MD-MO-050095</t>
        </is>
      </c>
      <c r="D99" t="inlineStr">
        <is>
          <t>No</t>
        </is>
      </c>
      <c r="E99" t="n">
        <v>1130</v>
      </c>
      <c r="F99" t="n">
        <v>235.13</v>
      </c>
      <c r="G99" t="n">
        <v>894.87</v>
      </c>
      <c r="H99" t="inlineStr">
        <is>
          <t>Active</t>
        </is>
      </c>
      <c r="I99" s="18" t="n">
        <v>46243.5</v>
      </c>
    </row>
    <row r="100">
      <c r="A100" t="inlineStr">
        <is>
          <t>FA-000096</t>
        </is>
      </c>
      <c r="B100" t="inlineStr">
        <is>
          <t>MD-00096</t>
        </is>
      </c>
      <c r="C100" t="inlineStr">
        <is>
          <t>MD-NE-050096</t>
        </is>
      </c>
      <c r="D100" t="inlineStr">
        <is>
          <t>Yes</t>
        </is>
      </c>
      <c r="E100" t="n">
        <v>6425</v>
      </c>
      <c r="F100" t="n">
        <v>5913.99</v>
      </c>
      <c r="G100" t="n">
        <v>511.01</v>
      </c>
      <c r="H100" t="inlineStr">
        <is>
          <t>Active</t>
        </is>
      </c>
      <c r="I100" s="18" t="n">
        <v>46243.5</v>
      </c>
    </row>
    <row r="101">
      <c r="A101" t="inlineStr">
        <is>
          <t>FA-000097</t>
        </is>
      </c>
      <c r="B101" t="inlineStr">
        <is>
          <t>MD-00097</t>
        </is>
      </c>
      <c r="C101" t="inlineStr">
        <is>
          <t>MD-LA-050097</t>
        </is>
      </c>
      <c r="D101" t="inlineStr">
        <is>
          <t>No</t>
        </is>
      </c>
      <c r="E101" t="n">
        <v>2120</v>
      </c>
      <c r="F101" t="n">
        <v>2120</v>
      </c>
      <c r="G101" t="n">
        <v>0</v>
      </c>
      <c r="H101" t="inlineStr">
        <is>
          <t>Active</t>
        </is>
      </c>
      <c r="I101" s="18" t="n">
        <v>46243.5</v>
      </c>
    </row>
    <row r="102">
      <c r="A102" t="inlineStr">
        <is>
          <t>FA-000098</t>
        </is>
      </c>
      <c r="B102" t="inlineStr">
        <is>
          <t>MD-00098</t>
        </is>
      </c>
      <c r="C102" t="inlineStr">
        <is>
          <t>MD-MO-050098</t>
        </is>
      </c>
      <c r="D102" t="inlineStr">
        <is>
          <t>No</t>
        </is>
      </c>
      <c r="E102" t="n">
        <v>520</v>
      </c>
      <c r="F102" t="n">
        <v>253.13</v>
      </c>
      <c r="G102" t="n">
        <v>266.87</v>
      </c>
      <c r="H102" t="inlineStr">
        <is>
          <t>Active</t>
        </is>
      </c>
      <c r="I102" s="18" t="n">
        <v>46243.5</v>
      </c>
    </row>
    <row r="103">
      <c r="A103" t="inlineStr">
        <is>
          <t>FA-000099</t>
        </is>
      </c>
      <c r="B103" t="inlineStr">
        <is>
          <t>MD-00099</t>
        </is>
      </c>
      <c r="C103" t="inlineStr">
        <is>
          <t>MD-MO-050099</t>
        </is>
      </c>
      <c r="D103" t="inlineStr">
        <is>
          <t>No</t>
        </is>
      </c>
      <c r="E103" t="n">
        <v>995</v>
      </c>
      <c r="F103" t="n">
        <v>446.76</v>
      </c>
      <c r="G103" t="n">
        <v>548.24</v>
      </c>
      <c r="H103" t="inlineStr">
        <is>
          <t>Active</t>
        </is>
      </c>
      <c r="I103" s="18" t="n">
        <v>46243.5</v>
      </c>
    </row>
    <row r="104">
      <c r="A104" t="inlineStr">
        <is>
          <t>FA-000100</t>
        </is>
      </c>
      <c r="B104" t="inlineStr">
        <is>
          <t>MD-00100</t>
        </is>
      </c>
      <c r="C104" t="inlineStr">
        <is>
          <t>MD-NE-050100</t>
        </is>
      </c>
      <c r="D104" t="inlineStr">
        <is>
          <t>Yes</t>
        </is>
      </c>
      <c r="E104" t="n">
        <v>6290</v>
      </c>
      <c r="F104" t="n">
        <v>5362.64</v>
      </c>
      <c r="G104" t="n">
        <v>927.36</v>
      </c>
      <c r="H104" t="inlineStr">
        <is>
          <t>Active</t>
        </is>
      </c>
      <c r="I104" s="18" t="n">
        <v>46243.5</v>
      </c>
    </row>
    <row r="105">
      <c r="A105" t="inlineStr">
        <is>
          <t>FA-000101</t>
        </is>
      </c>
      <c r="B105" t="inlineStr">
        <is>
          <t>MD-00101</t>
        </is>
      </c>
      <c r="C105" t="inlineStr">
        <is>
          <t>MD-LA-050101</t>
        </is>
      </c>
      <c r="D105" t="inlineStr">
        <is>
          <t>No</t>
        </is>
      </c>
      <c r="E105" t="n">
        <v>1985</v>
      </c>
      <c r="F105" t="n">
        <v>1985</v>
      </c>
      <c r="G105" t="n">
        <v>0</v>
      </c>
      <c r="H105" t="inlineStr">
        <is>
          <t>Active</t>
        </is>
      </c>
      <c r="I105" s="18" t="n">
        <v>46243.5</v>
      </c>
    </row>
    <row r="106">
      <c r="A106" t="inlineStr">
        <is>
          <t>FA-000102</t>
        </is>
      </c>
      <c r="B106" t="inlineStr">
        <is>
          <t>MD-00102</t>
        </is>
      </c>
      <c r="C106" t="inlineStr">
        <is>
          <t>MD-MO-050102</t>
        </is>
      </c>
      <c r="D106" t="inlineStr">
        <is>
          <t>No</t>
        </is>
      </c>
      <c r="E106" t="n">
        <v>820</v>
      </c>
      <c r="F106" t="n">
        <v>467.46</v>
      </c>
      <c r="G106" t="n">
        <v>407.54</v>
      </c>
      <c r="H106" t="inlineStr">
        <is>
          <t>Active</t>
        </is>
      </c>
      <c r="I106" s="18" t="n">
        <v>46243.5</v>
      </c>
    </row>
    <row r="107">
      <c r="A107" t="inlineStr">
        <is>
          <t>FA-000103</t>
        </is>
      </c>
      <c r="B107" t="inlineStr">
        <is>
          <t>MD-00103</t>
        </is>
      </c>
      <c r="C107" t="inlineStr">
        <is>
          <t>MD-MO-050103</t>
        </is>
      </c>
      <c r="D107" t="inlineStr">
        <is>
          <t>No</t>
        </is>
      </c>
      <c r="E107" t="n">
        <v>1175</v>
      </c>
      <c r="F107" t="n">
        <v>392.47</v>
      </c>
      <c r="G107" t="n">
        <v>782.53</v>
      </c>
      <c r="H107" t="inlineStr">
        <is>
          <t>Active</t>
        </is>
      </c>
      <c r="I107" s="18" t="n">
        <v>46243.5</v>
      </c>
    </row>
    <row r="108">
      <c r="A108" t="inlineStr">
        <is>
          <t>FA-000104</t>
        </is>
      </c>
      <c r="B108" t="inlineStr">
        <is>
          <t>MD-00104</t>
        </is>
      </c>
      <c r="C108" t="inlineStr">
        <is>
          <t>MD-NE-050104</t>
        </is>
      </c>
      <c r="D108" t="inlineStr">
        <is>
          <t>Yes</t>
        </is>
      </c>
      <c r="E108" t="n">
        <v>6470</v>
      </c>
      <c r="F108" t="n">
        <v>5066.17</v>
      </c>
      <c r="G108" t="n">
        <v>1403.83</v>
      </c>
      <c r="H108" t="inlineStr">
        <is>
          <t>Active</t>
        </is>
      </c>
      <c r="I108" s="18" t="n">
        <v>46243.5</v>
      </c>
    </row>
    <row r="109">
      <c r="A109" t="inlineStr">
        <is>
          <t>FA-000105</t>
        </is>
      </c>
      <c r="B109" t="inlineStr">
        <is>
          <t>MD-00105</t>
        </is>
      </c>
      <c r="C109" t="inlineStr">
        <is>
          <t>MD-LA-050105</t>
        </is>
      </c>
      <c r="D109" t="inlineStr">
        <is>
          <t>No</t>
        </is>
      </c>
      <c r="E109" t="n">
        <v>1850</v>
      </c>
      <c r="F109" t="n">
        <v>1745.74</v>
      </c>
      <c r="G109" t="n">
        <v>104.26</v>
      </c>
      <c r="H109" t="inlineStr">
        <is>
          <t>Active</t>
        </is>
      </c>
      <c r="I109" s="18" t="n">
        <v>46243.5</v>
      </c>
    </row>
    <row r="110">
      <c r="A110" t="inlineStr">
        <is>
          <t>FA-000106</t>
        </is>
      </c>
      <c r="B110" t="inlineStr">
        <is>
          <t>MD-00106</t>
        </is>
      </c>
      <c r="C110" t="inlineStr">
        <is>
          <t>MD-MO-050106</t>
        </is>
      </c>
      <c r="D110" t="inlineStr">
        <is>
          <t>No</t>
        </is>
      </c>
      <c r="E110" t="n">
        <v>565</v>
      </c>
      <c r="F110" t="n">
        <v>196.76</v>
      </c>
      <c r="G110" t="n">
        <v>368.24</v>
      </c>
      <c r="H110" t="inlineStr">
        <is>
          <t>Active</t>
        </is>
      </c>
      <c r="I110" s="18" t="n">
        <v>46243.5</v>
      </c>
    </row>
    <row r="111">
      <c r="A111" t="inlineStr">
        <is>
          <t>FA-000107</t>
        </is>
      </c>
      <c r="B111" t="inlineStr">
        <is>
          <t>MD-00107</t>
        </is>
      </c>
      <c r="C111" t="inlineStr">
        <is>
          <t>MD-MO-050107</t>
        </is>
      </c>
      <c r="D111" t="inlineStr">
        <is>
          <t>No</t>
        </is>
      </c>
      <c r="E111" t="n">
        <v>1040</v>
      </c>
      <c r="F111" t="n">
        <v>227.79</v>
      </c>
      <c r="G111" t="n">
        <v>812.21</v>
      </c>
      <c r="H111" t="inlineStr">
        <is>
          <t>Active</t>
        </is>
      </c>
      <c r="I111" s="18" t="n">
        <v>46243.5</v>
      </c>
    </row>
    <row r="112">
      <c r="A112" t="inlineStr">
        <is>
          <t>FA-000108</t>
        </is>
      </c>
      <c r="B112" t="inlineStr">
        <is>
          <t>MD-00108</t>
        </is>
      </c>
      <c r="C112" t="inlineStr">
        <is>
          <t>MD-NE-050108</t>
        </is>
      </c>
      <c r="D112" t="inlineStr">
        <is>
          <t>Yes</t>
        </is>
      </c>
      <c r="E112" t="n">
        <v>6335</v>
      </c>
      <c r="F112" t="n">
        <v>5789.52</v>
      </c>
      <c r="G112" t="n">
        <v>545.48</v>
      </c>
      <c r="H112" t="inlineStr">
        <is>
          <t>Active</t>
        </is>
      </c>
      <c r="I112" s="18" t="n">
        <v>46243.5</v>
      </c>
    </row>
    <row r="113">
      <c r="A113" t="inlineStr">
        <is>
          <t>FA-000109</t>
        </is>
      </c>
      <c r="B113" t="inlineStr">
        <is>
          <t>MD-00109</t>
        </is>
      </c>
      <c r="C113" t="inlineStr">
        <is>
          <t>MD-LA-050109</t>
        </is>
      </c>
      <c r="D113" t="inlineStr">
        <is>
          <t>No</t>
        </is>
      </c>
      <c r="E113" t="n">
        <v>2030</v>
      </c>
      <c r="F113" t="n">
        <v>2030</v>
      </c>
      <c r="G113" t="n">
        <v>0</v>
      </c>
      <c r="H113" t="inlineStr">
        <is>
          <t>Active</t>
        </is>
      </c>
      <c r="I113" s="18" t="n">
        <v>46243.5</v>
      </c>
    </row>
    <row r="114">
      <c r="A114" t="inlineStr">
        <is>
          <t>FA-000110</t>
        </is>
      </c>
      <c r="B114" t="inlineStr">
        <is>
          <t>MD-00110</t>
        </is>
      </c>
      <c r="C114" t="inlineStr">
        <is>
          <t>MD-MO-050110</t>
        </is>
      </c>
      <c r="D114" t="inlineStr">
        <is>
          <t>No</t>
        </is>
      </c>
      <c r="E114" t="n">
        <v>745</v>
      </c>
      <c r="F114" t="n">
        <v>357.76</v>
      </c>
      <c r="G114" t="n">
        <v>387.24</v>
      </c>
      <c r="H114" t="inlineStr">
        <is>
          <t>Active</t>
        </is>
      </c>
      <c r="I114" s="18" t="n">
        <v>46243.5</v>
      </c>
    </row>
    <row r="115">
      <c r="A115" t="inlineStr">
        <is>
          <t>FA-000111</t>
        </is>
      </c>
      <c r="B115" t="inlineStr">
        <is>
          <t>MD-00111</t>
        </is>
      </c>
      <c r="C115" t="inlineStr">
        <is>
          <t>MD-MO-050111</t>
        </is>
      </c>
      <c r="D115" t="inlineStr">
        <is>
          <t>No</t>
        </is>
      </c>
      <c r="E115" t="n">
        <v>1220</v>
      </c>
      <c r="F115" t="n">
        <v>1220</v>
      </c>
      <c r="G115" t="n">
        <v>0</v>
      </c>
      <c r="H115" t="inlineStr">
        <is>
          <t>Disposed</t>
        </is>
      </c>
      <c r="I115" s="18" t="n">
        <v>46243.5</v>
      </c>
    </row>
    <row r="116">
      <c r="A116" t="inlineStr">
        <is>
          <t>FA-000112</t>
        </is>
      </c>
      <c r="B116" t="inlineStr">
        <is>
          <t>MD-00112</t>
        </is>
      </c>
      <c r="C116" t="inlineStr">
        <is>
          <t>MD-NE-050112</t>
        </is>
      </c>
      <c r="D116" t="inlineStr">
        <is>
          <t>Yes</t>
        </is>
      </c>
      <c r="E116" t="n">
        <v>6200</v>
      </c>
      <c r="F116" t="n">
        <v>6200</v>
      </c>
      <c r="G116" t="n">
        <v>0</v>
      </c>
      <c r="H116" t="inlineStr">
        <is>
          <t>Disposed</t>
        </is>
      </c>
      <c r="I116" s="18" t="n">
        <v>46243.5</v>
      </c>
    </row>
    <row r="117">
      <c r="A117" t="inlineStr">
        <is>
          <t>FA-000113</t>
        </is>
      </c>
      <c r="B117" t="inlineStr">
        <is>
          <t>MD-00113</t>
        </is>
      </c>
      <c r="C117" t="inlineStr">
        <is>
          <t>MD-LA-050113</t>
        </is>
      </c>
      <c r="D117" t="inlineStr">
        <is>
          <t>No</t>
        </is>
      </c>
      <c r="E117" t="n">
        <v>1895</v>
      </c>
      <c r="F117" t="n">
        <v>1895</v>
      </c>
      <c r="G117" t="n">
        <v>0</v>
      </c>
      <c r="H117" t="inlineStr">
        <is>
          <t>Disposed</t>
        </is>
      </c>
      <c r="I117" s="18" t="n">
        <v>46243.5</v>
      </c>
    </row>
    <row r="118">
      <c r="A118" t="inlineStr">
        <is>
          <t>FA-000114</t>
        </is>
      </c>
      <c r="B118" t="inlineStr">
        <is>
          <t>MD-00114</t>
        </is>
      </c>
      <c r="C118" t="inlineStr">
        <is>
          <t>MD-MO-050114</t>
        </is>
      </c>
      <c r="D118" t="inlineStr">
        <is>
          <t>No</t>
        </is>
      </c>
      <c r="E118" t="n">
        <v>610</v>
      </c>
      <c r="F118" t="n">
        <v>610</v>
      </c>
      <c r="G118" t="n">
        <v>0</v>
      </c>
      <c r="H118" t="inlineStr">
        <is>
          <t>Disposed</t>
        </is>
      </c>
      <c r="I118" s="18" t="n">
        <v>46243.5</v>
      </c>
    </row>
    <row r="119">
      <c r="A119" t="inlineStr">
        <is>
          <t>FA-000115</t>
        </is>
      </c>
      <c r="B119" t="inlineStr">
        <is>
          <t>MD-00115</t>
        </is>
      </c>
      <c r="C119" t="inlineStr">
        <is>
          <t>MD-MO-050115</t>
        </is>
      </c>
      <c r="D119" t="inlineStr">
        <is>
          <t>No</t>
        </is>
      </c>
      <c r="E119" t="n">
        <v>1085</v>
      </c>
      <c r="F119" t="n">
        <v>1085</v>
      </c>
      <c r="G119" t="n">
        <v>0</v>
      </c>
      <c r="H119" t="inlineStr">
        <is>
          <t>Disposed</t>
        </is>
      </c>
      <c r="I119" s="18" t="n">
        <v>46243.5</v>
      </c>
    </row>
    <row r="120">
      <c r="A120" t="inlineStr">
        <is>
          <t>FA-000116</t>
        </is>
      </c>
      <c r="B120" t="inlineStr">
        <is>
          <t>MD-00116</t>
        </is>
      </c>
      <c r="C120" t="inlineStr">
        <is>
          <t>MD-NE-050116</t>
        </is>
      </c>
      <c r="D120" t="inlineStr">
        <is>
          <t>Yes</t>
        </is>
      </c>
      <c r="E120" t="n">
        <v>6380</v>
      </c>
      <c r="F120" t="n">
        <v>6380</v>
      </c>
      <c r="G120" t="n">
        <v>0</v>
      </c>
      <c r="H120" t="inlineStr">
        <is>
          <t>Disposed</t>
        </is>
      </c>
      <c r="I120" s="18" t="n">
        <v>46243.5</v>
      </c>
    </row>
    <row r="121">
      <c r="A121" t="inlineStr">
        <is>
          <t>FA-000117</t>
        </is>
      </c>
      <c r="B121" t="inlineStr">
        <is>
          <t>MD-00117</t>
        </is>
      </c>
      <c r="C121" t="inlineStr">
        <is>
          <t>MD-LA-050117</t>
        </is>
      </c>
      <c r="D121" t="inlineStr">
        <is>
          <t>No</t>
        </is>
      </c>
      <c r="E121" t="n">
        <v>2075</v>
      </c>
      <c r="F121" t="n">
        <v>2075</v>
      </c>
      <c r="G121" t="n">
        <v>0</v>
      </c>
      <c r="H121" t="inlineStr">
        <is>
          <t>Disposed</t>
        </is>
      </c>
      <c r="I121" s="18" t="n">
        <v>46243.5</v>
      </c>
    </row>
    <row r="122">
      <c r="A122" t="inlineStr">
        <is>
          <t>FA-000118</t>
        </is>
      </c>
      <c r="B122" t="inlineStr">
        <is>
          <t>MD-00118</t>
        </is>
      </c>
      <c r="C122" t="inlineStr">
        <is>
          <t>MD-MO-050118</t>
        </is>
      </c>
      <c r="D122" t="inlineStr">
        <is>
          <t>No</t>
        </is>
      </c>
      <c r="E122" t="n">
        <v>790</v>
      </c>
      <c r="F122" t="n">
        <v>790</v>
      </c>
      <c r="G122" t="n">
        <v>0</v>
      </c>
      <c r="H122" t="inlineStr">
        <is>
          <t>Disposed</t>
        </is>
      </c>
      <c r="I122" s="18" t="n">
        <v>46243.5</v>
      </c>
    </row>
    <row r="123">
      <c r="A123" t="inlineStr">
        <is>
          <t>FA-000119</t>
        </is>
      </c>
      <c r="B123" t="inlineStr">
        <is>
          <t>MD-00119</t>
        </is>
      </c>
      <c r="C123" t="inlineStr">
        <is>
          <t>MD-MO-050119</t>
        </is>
      </c>
      <c r="D123" t="inlineStr">
        <is>
          <t>No</t>
        </is>
      </c>
      <c r="E123" t="n">
        <v>1115</v>
      </c>
      <c r="F123" t="n">
        <v>1125</v>
      </c>
      <c r="G123" t="n">
        <v>0</v>
      </c>
      <c r="H123" t="inlineStr">
        <is>
          <t>Disposed</t>
        </is>
      </c>
      <c r="I123" s="18" t="n">
        <v>46243.5</v>
      </c>
    </row>
    <row r="124">
      <c r="A124" t="inlineStr">
        <is>
          <t>FA-000120</t>
        </is>
      </c>
      <c r="B124" t="inlineStr">
        <is>
          <t>MD-00120</t>
        </is>
      </c>
      <c r="C124" t="inlineStr">
        <is>
          <t>MD-NE-050120</t>
        </is>
      </c>
      <c r="D124" t="inlineStr">
        <is>
          <t>Yes</t>
        </is>
      </c>
      <c r="E124" t="n">
        <v>6245</v>
      </c>
      <c r="F124" t="n">
        <v>6245</v>
      </c>
      <c r="G124" t="n">
        <v>0</v>
      </c>
      <c r="H124" t="inlineStr">
        <is>
          <t>Disposed</t>
        </is>
      </c>
      <c r="I124" s="18" t="n">
        <v>46243.5</v>
      </c>
    </row>
    <row r="125">
      <c r="A125" t="inlineStr">
        <is>
          <t>FA-000121</t>
        </is>
      </c>
      <c r="B125" t="inlineStr">
        <is>
          <t>MD-00121</t>
        </is>
      </c>
      <c r="C125" t="inlineStr">
        <is>
          <t>MD-LA-050121</t>
        </is>
      </c>
      <c r="D125" t="inlineStr">
        <is>
          <t>No</t>
        </is>
      </c>
      <c r="E125" t="n">
        <v>1940</v>
      </c>
      <c r="F125" t="n">
        <v>1940</v>
      </c>
      <c r="G125" t="n">
        <v>0</v>
      </c>
      <c r="H125" t="inlineStr">
        <is>
          <t>Active</t>
        </is>
      </c>
      <c r="I125" s="18" t="n">
        <v>46243.5</v>
      </c>
    </row>
    <row r="126">
      <c r="A126" t="inlineStr">
        <is>
          <t>FA-000122</t>
        </is>
      </c>
      <c r="B126" t="inlineStr">
        <is>
          <t>MD-00122</t>
        </is>
      </c>
      <c r="C126" t="inlineStr">
        <is>
          <t>MD-MO-050122</t>
        </is>
      </c>
      <c r="D126" t="inlineStr">
        <is>
          <t>No</t>
        </is>
      </c>
      <c r="E126" t="n">
        <v>655</v>
      </c>
      <c r="F126" t="n">
        <v>318.85</v>
      </c>
      <c r="G126" t="n">
        <v>336.15</v>
      </c>
      <c r="H126" t="inlineStr">
        <is>
          <t>Active</t>
        </is>
      </c>
      <c r="I126" s="18" t="n">
        <v>46243.5</v>
      </c>
    </row>
    <row r="127">
      <c r="A127" t="inlineStr">
        <is>
          <t>FA-000123</t>
        </is>
      </c>
      <c r="B127" t="inlineStr">
        <is>
          <t>MD-00123</t>
        </is>
      </c>
      <c r="C127" t="inlineStr">
        <is>
          <t>MD-MO-050123</t>
        </is>
      </c>
      <c r="D127" t="inlineStr">
        <is>
          <t>No</t>
        </is>
      </c>
      <c r="E127" t="n">
        <v>1130</v>
      </c>
      <c r="F127" t="n">
        <v>507.38</v>
      </c>
      <c r="G127" t="n">
        <v>622.62</v>
      </c>
      <c r="H127" t="inlineStr">
        <is>
          <t>Active</t>
        </is>
      </c>
      <c r="I127" s="18" t="n">
        <v>46243.5</v>
      </c>
    </row>
    <row r="128">
      <c r="A128" t="inlineStr">
        <is>
          <t>FA-000124</t>
        </is>
      </c>
      <c r="B128" t="inlineStr">
        <is>
          <t>MD-00124</t>
        </is>
      </c>
      <c r="C128" t="inlineStr">
        <is>
          <t>MD-NE-050124</t>
        </is>
      </c>
      <c r="D128" t="inlineStr">
        <is>
          <t>Yes</t>
        </is>
      </c>
      <c r="E128" t="n">
        <v>6425</v>
      </c>
      <c r="F128" t="n">
        <v>5477.74</v>
      </c>
      <c r="G128" t="n">
        <v>947.26</v>
      </c>
      <c r="H128" t="inlineStr">
        <is>
          <t>Active</t>
        </is>
      </c>
      <c r="I128" s="18" t="n">
        <v>46243.5</v>
      </c>
    </row>
    <row r="129">
      <c r="A129" t="inlineStr">
        <is>
          <t>FA-000125</t>
        </is>
      </c>
      <c r="B129" t="inlineStr">
        <is>
          <t>MD-00125</t>
        </is>
      </c>
      <c r="C129" t="inlineStr">
        <is>
          <t>MD-LA-050125</t>
        </is>
      </c>
      <c r="D129" t="inlineStr">
        <is>
          <t>No</t>
        </is>
      </c>
      <c r="E129" t="n">
        <v>2120</v>
      </c>
      <c r="F129" t="n">
        <v>2120</v>
      </c>
      <c r="G129" t="n">
        <v>0</v>
      </c>
      <c r="H129" t="inlineStr">
        <is>
          <t>Active</t>
        </is>
      </c>
      <c r="I129" s="18" t="n">
        <v>46243.5</v>
      </c>
    </row>
    <row r="130">
      <c r="A130" t="inlineStr">
        <is>
          <t>FA-000126</t>
        </is>
      </c>
      <c r="B130" t="inlineStr">
        <is>
          <t>MD-00126</t>
        </is>
      </c>
      <c r="C130" t="inlineStr">
        <is>
          <t>MD-MO-050126</t>
        </is>
      </c>
      <c r="D130" t="inlineStr">
        <is>
          <t>No</t>
        </is>
      </c>
      <c r="E130" t="n">
        <v>520</v>
      </c>
      <c r="F130" t="n">
        <v>217.25</v>
      </c>
      <c r="G130" t="n">
        <v>302.75</v>
      </c>
      <c r="H130" t="inlineStr">
        <is>
          <t>Active</t>
        </is>
      </c>
      <c r="I130" s="18" t="n">
        <v>46243.5</v>
      </c>
    </row>
    <row r="131">
      <c r="A131" t="inlineStr">
        <is>
          <t>FA-000127</t>
        </is>
      </c>
      <c r="B131" t="inlineStr">
        <is>
          <t>MD-00127</t>
        </is>
      </c>
      <c r="C131" t="inlineStr">
        <is>
          <t>MD-MO-050127</t>
        </is>
      </c>
      <c r="D131" t="inlineStr">
        <is>
          <t>No</t>
        </is>
      </c>
      <c r="E131" t="n">
        <v>995</v>
      </c>
      <c r="F131" t="n">
        <v>332.35</v>
      </c>
      <c r="G131" t="n">
        <v>662.65</v>
      </c>
      <c r="H131" t="inlineStr">
        <is>
          <t>Active</t>
        </is>
      </c>
      <c r="I131" s="18" t="n">
        <v>46243.5</v>
      </c>
    </row>
    <row r="132">
      <c r="A132" t="inlineStr">
        <is>
          <t>FA-000128</t>
        </is>
      </c>
      <c r="B132" t="inlineStr">
        <is>
          <t>MD-00128</t>
        </is>
      </c>
      <c r="C132" t="inlineStr">
        <is>
          <t>MD-NE-050128</t>
        </is>
      </c>
      <c r="D132" t="inlineStr">
        <is>
          <t>Yes</t>
        </is>
      </c>
      <c r="E132" t="n">
        <v>6290</v>
      </c>
      <c r="F132" t="n">
        <v>4925.23</v>
      </c>
      <c r="G132" t="n">
        <v>1364.77</v>
      </c>
      <c r="H132" t="inlineStr">
        <is>
          <t>Active</t>
        </is>
      </c>
      <c r="I132" s="18" t="n">
        <v>46243.5</v>
      </c>
    </row>
    <row r="133">
      <c r="A133" t="inlineStr">
        <is>
          <t>FA-000129</t>
        </is>
      </c>
      <c r="B133" t="inlineStr">
        <is>
          <t>MD-00129</t>
        </is>
      </c>
      <c r="C133" t="inlineStr">
        <is>
          <t>MD-LA-050129</t>
        </is>
      </c>
      <c r="D133" t="inlineStr">
        <is>
          <t>No</t>
        </is>
      </c>
      <c r="E133" t="n">
        <v>1985</v>
      </c>
      <c r="F133" t="n">
        <v>1873.14</v>
      </c>
      <c r="G133" t="n">
        <v>111.86</v>
      </c>
      <c r="H133" t="inlineStr">
        <is>
          <t>Active</t>
        </is>
      </c>
      <c r="I133" s="18" t="n">
        <v>46243.5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0" customWidth="1" min="4" max="4"/>
    <col width="32" customWidth="1" min="5" max="5"/>
    <col width="13" customWidth="1" min="6" max="6"/>
    <col width="20" customWidth="1" min="7" max="7"/>
  </cols>
  <sheetData>
    <row r="1">
      <c r="A1" s="24" t="inlineStr">
        <is>
          <t>Yanou &amp; Partners IT Services - IT Asset Reconciliation Dashboard</t>
        </is>
      </c>
    </row>
    <row r="2">
      <c r="A2" s="2" t="inlineStr">
        <is>
          <t>Prepared for IT Operations Manager, Finance Controller, HR Operations Lead, and Internal Audit | As of 2026-08-09 | Policy figure and dock image used as leads only</t>
        </is>
      </c>
    </row>
    <row r="3"/>
    <row r="4">
      <c r="A4" s="25" t="inlineStr">
        <is>
          <t>KPI</t>
        </is>
      </c>
      <c r="B4" s="25" t="inlineStr">
        <is>
          <t>Value</t>
        </is>
      </c>
    </row>
    <row r="5">
      <c r="A5" s="4" t="inlineStr">
        <is>
          <t>Assets reviewed</t>
        </is>
      </c>
      <c r="B5" s="5">
        <f>COUNTA('Corrected Register'!A5:A136)</f>
        <v>132</v>
        <v/>
      </c>
    </row>
    <row r="6">
      <c r="A6" s="4" t="inlineStr">
        <is>
          <t>Corrected register acquisition cost</t>
        </is>
      </c>
      <c r="B6" s="5">
        <f>SUM('Corrected Register'!M5:M136)</f>
        <v>332115</v>
        <v/>
      </c>
    </row>
    <row r="7">
      <c r="A7" s="4" t="inlineStr">
        <is>
          <t>Remaining book value (ledger NBV where present)</t>
        </is>
      </c>
      <c r="B7" s="5">
        <f>SUM('Corrected Register'!N5:N136)</f>
        <v>61526.6</v>
        <v/>
      </c>
    </row>
    <row r="8">
      <c r="A8" s="4" t="inlineStr">
        <is>
          <t>Open exceptions</t>
        </is>
      </c>
      <c r="B8" s="5">
        <f>COUNTA('Exception Register'!A5:A167)</f>
        <v>163</v>
        <v/>
      </c>
    </row>
    <row r="9">
      <c r="A9" s="4" t="inlineStr">
        <is>
          <t>Certification blockers (Critical impact)</t>
        </is>
      </c>
      <c r="B9" s="5" t="n">
        <v>43</v>
      </c>
    </row>
    <row r="10">
      <c r="A10" s="4" t="inlineStr">
        <is>
          <t>Assets Missing / Cannot Locate</t>
        </is>
      </c>
      <c r="B10" s="5" t="n">
        <v>12</v>
      </c>
    </row>
    <row r="11">
      <c r="A11" s="4" t="inlineStr">
        <is>
          <t>Overdue returns (label ≠ proof)</t>
        </is>
      </c>
      <c r="B11" s="5" t="n">
        <v>12</v>
      </c>
    </row>
    <row r="12">
      <c r="A12" s="4" t="inlineStr">
        <is>
          <t>Verified disposed with certificate</t>
        </is>
      </c>
      <c r="B12" s="5" t="n">
        <v>8</v>
      </c>
    </row>
    <row r="13">
      <c r="A13" s="4" t="inlineStr">
        <is>
          <t>Custody chains documented</t>
        </is>
      </c>
      <c r="B13" s="5" t="n">
        <v>65</v>
      </c>
    </row>
    <row r="14">
      <c r="A14" s="4" t="inlineStr">
        <is>
          <t>Multimodal image leads cited</t>
        </is>
      </c>
      <c r="B14" s="5" t="inlineStr">
        <is>
          <t>ITAM_control_matrix.png; receiving_exception_scan_1ZMD00000082.png</t>
        </is>
      </c>
    </row>
    <row r="15"/>
    <row r="16"/>
    <row r="17">
      <c r="A17" s="6" t="inlineStr">
        <is>
          <t>Asset Counts and Book Value by Verified Status</t>
        </is>
      </c>
      <c r="E17" s="6" t="inlineStr">
        <is>
          <t>By Device Category</t>
        </is>
      </c>
    </row>
    <row r="18">
      <c r="A18" s="3" t="inlineStr">
        <is>
          <t>Verified Status</t>
        </is>
      </c>
      <c r="B18" s="3" t="inlineStr">
        <is>
          <t>Asset Count</t>
        </is>
      </c>
      <c r="C18" s="3" t="inlineStr">
        <is>
          <t>Book Value</t>
        </is>
      </c>
      <c r="E18" s="3" t="inlineStr">
        <is>
          <t>Category</t>
        </is>
      </c>
      <c r="F18" s="3" t="inlineStr">
        <is>
          <t>Asset Count</t>
        </is>
      </c>
      <c r="G18" s="3" t="inlineStr">
        <is>
          <t>Book Value</t>
        </is>
      </c>
    </row>
    <row r="19">
      <c r="A19" s="7" t="inlineStr">
        <is>
          <t>Available</t>
        </is>
      </c>
      <c r="B19" s="7">
        <f>COUNTIF('Corrected Register'!J5:J136,A19)</f>
        <v>25</v>
        <v/>
      </c>
      <c r="C19" s="7">
        <f>SUMIF('Corrected Register'!J5:J136,A19,'Corrected Register'!N5:N136)</f>
        <v>12961</v>
        <v/>
      </c>
      <c r="E19" s="7" t="inlineStr">
        <is>
          <t>Laptop</t>
        </is>
      </c>
      <c r="F19" s="7">
        <f>COUNTIF('Corrected Register'!C5:C136,E19)</f>
        <v>32</v>
        <v/>
      </c>
      <c r="G19" s="7">
        <f>SUMIF('Corrected Register'!C5:C136,E19,'Corrected Register'!N5:N136)</f>
        <v>1194.95</v>
        <v/>
      </c>
    </row>
    <row r="20">
      <c r="A20" s="7" t="inlineStr">
        <is>
          <t>Disposed</t>
        </is>
      </c>
      <c r="B20" s="7">
        <f>COUNTIF('Corrected Register'!J5:J136,A20)</f>
        <v>8</v>
        <v/>
      </c>
      <c r="C20" s="7">
        <f>SUMIF('Corrected Register'!J5:J136,A20,'Corrected Register'!N5:N136)</f>
        <v>0</v>
        <v/>
      </c>
      <c r="E20" s="7" t="inlineStr">
        <is>
          <t>Mobile Device</t>
        </is>
      </c>
      <c r="F20" s="7">
        <f>COUNTIF('Corrected Register'!C5:C136,E20)</f>
        <v>33</v>
        <v/>
      </c>
      <c r="G20" s="7">
        <f>SUMIF('Corrected Register'!C5:C136,E20,'Corrected Register'!N5:N136)</f>
        <v>20855.29</v>
        <v/>
      </c>
    </row>
    <row r="21">
      <c r="A21" s="8" t="inlineStr">
        <is>
          <t>In Transit - Exception</t>
        </is>
      </c>
      <c r="B21" s="7">
        <f>COUNTIF('Corrected Register'!J5:J136,A21)</f>
        <v>2</v>
        <v/>
      </c>
      <c r="C21" s="7">
        <f>SUMIF('Corrected Register'!J5:J136,A21,'Corrected Register'!N5:N136)</f>
        <v>1019.4</v>
        <v/>
      </c>
      <c r="E21" s="7" t="inlineStr">
        <is>
          <t>Monitor</t>
        </is>
      </c>
      <c r="F21" s="7">
        <f>COUNTIF('Corrected Register'!C5:C136,E21)</f>
        <v>34</v>
        <v/>
      </c>
      <c r="G21" s="7">
        <f>SUMIF('Corrected Register'!C5:C136,E21,'Corrected Register'!N5:N136)</f>
        <v>11294.87</v>
        <v/>
      </c>
    </row>
    <row r="22">
      <c r="A22" s="7" t="inlineStr">
        <is>
          <t>In Use</t>
        </is>
      </c>
      <c r="B22" s="7">
        <f>COUNTIF('Corrected Register'!J5:J136,A22)</f>
        <v>51</v>
        <v/>
      </c>
      <c r="C22" s="7">
        <f>SUMIF('Corrected Register'!J5:J136,A22,'Corrected Register'!N5:N136)</f>
        <v>25477.76</v>
        <v/>
      </c>
      <c r="E22" s="7" t="inlineStr">
        <is>
          <t>Network Asset</t>
        </is>
      </c>
      <c r="F22" s="7">
        <f>COUNTIF('Corrected Register'!C5:C136,E22)</f>
        <v>33</v>
        <v/>
      </c>
      <c r="G22" s="7">
        <f>SUMIF('Corrected Register'!C5:C136,E22,'Corrected Register'!N5:N136)</f>
        <v>28181.49</v>
        <v/>
      </c>
    </row>
    <row r="23">
      <c r="A23" s="8" t="inlineStr">
        <is>
          <t>Missing</t>
        </is>
      </c>
      <c r="B23" s="7">
        <f>COUNTIF('Corrected Register'!J5:J136,A23)</f>
        <v>12</v>
        <v/>
      </c>
      <c r="C23" s="7">
        <f>SUMIF('Corrected Register'!J5:J136,A23,'Corrected Register'!N5:N136)</f>
        <v>6214.38</v>
        <v/>
      </c>
    </row>
    <row r="24">
      <c r="A24" s="7" t="inlineStr">
        <is>
          <t>Pending Redeployment</t>
        </is>
      </c>
      <c r="B24" s="7">
        <f>COUNTIF('Corrected Register'!J5:J136,A24)</f>
        <v>10</v>
        <v/>
      </c>
      <c r="C24" s="7">
        <f>SUMIF('Corrected Register'!J5:J136,A24,'Corrected Register'!N5:N136)</f>
        <v>4851.08</v>
        <v/>
      </c>
    </row>
    <row r="25">
      <c r="A25" s="7" t="inlineStr">
        <is>
          <t>Retired/Pending Disposal</t>
        </is>
      </c>
      <c r="B25" s="7">
        <f>COUNTIF('Corrected Register'!J5:J136,A25)</f>
        <v>12</v>
        <v/>
      </c>
      <c r="C25" s="7">
        <f>SUMIF('Corrected Register'!J5:J136,A25,'Corrected Register'!N5:N136)</f>
        <v>4811.33</v>
        <v/>
      </c>
    </row>
    <row r="26">
      <c r="A26" s="8" t="inlineStr">
        <is>
          <t>Return Overdue</t>
        </is>
      </c>
      <c r="B26" s="7">
        <f>COUNTIF('Corrected Register'!J5:J136,A26)</f>
        <v>12</v>
        <v/>
      </c>
      <c r="C26" s="7">
        <f>SUMIF('Corrected Register'!J5:J136,A26,'Corrected Register'!N5:N136)</f>
        <v>6191.65</v>
        <v/>
      </c>
    </row>
    <row r="27"/>
    <row r="28"/>
    <row r="29"/>
    <row r="30">
      <c r="A30" s="6" t="inlineStr">
        <is>
          <t>By Verified Location</t>
        </is>
      </c>
      <c r="E30" s="6" t="inlineStr">
        <is>
          <t>Open Exceptions by Type</t>
        </is>
      </c>
    </row>
    <row r="31">
      <c r="A31" s="3" t="inlineStr">
        <is>
          <t>Verified Location</t>
        </is>
      </c>
      <c r="B31" s="3" t="inlineStr">
        <is>
          <t>Asset Count</t>
        </is>
      </c>
      <c r="C31" s="3" t="inlineStr">
        <is>
          <t>Book Value</t>
        </is>
      </c>
      <c r="E31" s="3" t="inlineStr">
        <is>
          <t>Type</t>
        </is>
      </c>
      <c r="F31" s="3" t="inlineStr">
        <is>
          <t>Count</t>
        </is>
      </c>
      <c r="G31" s="3" t="inlineStr">
        <is>
          <t>Financial Exposure</t>
        </is>
      </c>
    </row>
    <row r="32">
      <c r="A32" s="7" t="inlineStr">
        <is>
          <t>Chicago</t>
        </is>
      </c>
      <c r="B32" s="7">
        <f>COUNTIF('Corrected Register'!I5:I136,A32)</f>
        <v>16</v>
        <v/>
      </c>
      <c r="C32" s="7">
        <f>SUMIF('Corrected Register'!I5:I136,A32,'Corrected Register'!N5:N136)</f>
        <v>5184.18</v>
        <v/>
      </c>
      <c r="E32" s="7" t="inlineStr">
        <is>
          <t>Cannot Locate</t>
        </is>
      </c>
      <c r="F32" s="7">
        <f>COUNTIF('Exception Register'!B5:B167,E32)</f>
        <v>12</v>
        <v/>
      </c>
      <c r="G32" s="7">
        <f>SUMIF('Exception Register'!B5:B167,E32,'Exception Register'!G5:G167)</f>
        <v>6214.38</v>
        <v/>
      </c>
    </row>
    <row r="33">
      <c r="A33" s="7" t="inlineStr">
        <is>
          <t>Atlanta</t>
        </is>
      </c>
      <c r="B33" s="7">
        <f>COUNTIF('Corrected Register'!I5:I136,A33)</f>
        <v>15</v>
        <v/>
      </c>
      <c r="C33" s="7">
        <f>SUMIF('Corrected Register'!I5:I136,A33,'Corrected Register'!N5:N136)</f>
        <v>6267.29</v>
        <v/>
      </c>
      <c r="E33" s="7" t="inlineStr">
        <is>
          <t>Closed Location Assignment</t>
        </is>
      </c>
      <c r="F33" s="7">
        <f>COUNTIF('Exception Register'!B5:B167,E33)</f>
        <v>61</v>
        <v/>
      </c>
      <c r="G33" s="7">
        <f>SUMIF('Exception Register'!B5:B167,E33,'Exception Register'!G5:G167)</f>
        <v>29063.84</v>
        <v/>
      </c>
    </row>
    <row r="34">
      <c r="A34" s="7" t="inlineStr">
        <is>
          <t>Dallas</t>
        </is>
      </c>
      <c r="B34" s="7">
        <f>COUNTIF('Corrected Register'!I5:I136,A34)</f>
        <v>15</v>
        <v/>
      </c>
      <c r="C34" s="7">
        <f>SUMIF('Corrected Register'!I5:I136,A34,'Corrected Register'!N5:N136)</f>
        <v>11070.95</v>
        <v/>
      </c>
      <c r="E34" s="7" t="inlineStr">
        <is>
          <t>Duplicate Serial Number</t>
        </is>
      </c>
      <c r="F34" s="7">
        <f>COUNTIF('Exception Register'!B5:B167,E34)</f>
        <v>4</v>
        <v/>
      </c>
      <c r="G34" s="7">
        <f>SUMIF('Exception Register'!B5:B167,E34,'Exception Register'!G5:G167)</f>
        <v>2503.11</v>
        <v/>
      </c>
    </row>
    <row r="35">
      <c r="A35" s="7" t="inlineStr">
        <is>
          <t>Seattle</t>
        </is>
      </c>
      <c r="B35" s="7">
        <f>COUNTIF('Corrected Register'!I5:I136,A35)</f>
        <v>15</v>
        <v/>
      </c>
      <c r="C35" s="7">
        <f>SUMIF('Corrected Register'!I5:I136,A35,'Corrected Register'!N5:N136)</f>
        <v>5149.95</v>
        <v/>
      </c>
      <c r="E35" s="7" t="inlineStr">
        <is>
          <t>Former Employee Assignment</t>
        </is>
      </c>
      <c r="F35" s="7">
        <f>COUNTIF('Exception Register'!B5:B167,E35)</f>
        <v>43</v>
        <v/>
      </c>
      <c r="G35" s="7">
        <f>SUMIF('Exception Register'!B5:B167,E35,'Exception Register'!G5:G167)</f>
        <v>22627.56</v>
        <v/>
      </c>
    </row>
    <row r="36">
      <c r="A36" s="7" t="inlineStr">
        <is>
          <t>Denver</t>
        </is>
      </c>
      <c r="B36" s="7">
        <f>COUNTIF('Corrected Register'!I5:I136,A36)</f>
        <v>14</v>
        <v/>
      </c>
      <c r="C36" s="7">
        <f>SUMIF('Corrected Register'!I5:I136,A36,'Corrected Register'!N5:N136)</f>
        <v>5551.75</v>
        <v/>
      </c>
      <c r="E36" s="7" t="inlineStr">
        <is>
          <t>Inventory-to-Ledger Difference</t>
        </is>
      </c>
      <c r="F36" s="7">
        <f>COUNTIF('Exception Register'!B5:B167,E36)</f>
        <v>8</v>
        <v/>
      </c>
      <c r="G36" s="7">
        <f>SUMIF('Exception Register'!B5:B167,E36,'Exception Register'!G5:G167)</f>
        <v>7440</v>
        <v/>
      </c>
    </row>
    <row r="37">
      <c r="A37" s="7" t="inlineStr">
        <is>
          <t>New York</t>
        </is>
      </c>
      <c r="B37" s="7">
        <f>COUNTIF('Corrected Register'!I5:I136,A37)</f>
        <v>14</v>
        <v/>
      </c>
      <c r="C37" s="7">
        <f>SUMIF('Corrected Register'!I5:I136,A37,'Corrected Register'!N5:N136)</f>
        <v>10526</v>
        <v/>
      </c>
      <c r="E37" s="7" t="inlineStr">
        <is>
          <t>Missing Disposal Evidence</t>
        </is>
      </c>
      <c r="F37" s="7">
        <f>COUNTIF('Exception Register'!B5:B167,E37)</f>
        <v>12</v>
        <v/>
      </c>
      <c r="G37" s="7">
        <f>SUMIF('Exception Register'!B5:B167,E37,'Exception Register'!G5:G167)</f>
        <v>4811.33</v>
        <v/>
      </c>
    </row>
    <row r="38">
      <c r="A38" s="7" t="inlineStr">
        <is>
          <t>Unknown</t>
        </is>
      </c>
      <c r="B38" s="7">
        <f>COUNTIF('Corrected Register'!I5:I136,A38)</f>
        <v>12</v>
        <v/>
      </c>
      <c r="C38" s="7">
        <f>SUMIF('Corrected Register'!I5:I136,A38,'Corrected Register'!N5:N136)</f>
        <v>6214.38</v>
        <v/>
      </c>
      <c r="E38" s="7" t="inlineStr">
        <is>
          <t>Overdue Return</t>
        </is>
      </c>
      <c r="F38" s="7">
        <f>COUNTIF('Exception Register'!B5:B167,E38)</f>
        <v>12</v>
        <v/>
      </c>
      <c r="G38" s="7">
        <f>SUMIF('Exception Register'!B5:B167,E38,'Exception Register'!G5:G167)</f>
        <v>6191.65</v>
        <v/>
      </c>
    </row>
    <row r="39">
      <c r="A39" s="7" t="inlineStr">
        <is>
          <t>Remote - Former Employee</t>
        </is>
      </c>
      <c r="B39" s="7">
        <f>COUNTIF('Corrected Register'!I5:I136,A39)</f>
        <v>10</v>
        <v/>
      </c>
      <c r="C39" s="7">
        <f>SUMIF('Corrected Register'!I5:I136,A39,'Corrected Register'!N5:N136)</f>
        <v>4878.51</v>
        <v/>
      </c>
      <c r="E39" s="7" t="inlineStr">
        <is>
          <t>Shipment Mismatch</t>
        </is>
      </c>
      <c r="F39" s="7">
        <f>COUNTIF('Exception Register'!B5:B167,E39)</f>
        <v>4</v>
        <v/>
      </c>
      <c r="G39" s="7">
        <f>SUMIF('Exception Register'!B5:B167,E39,'Exception Register'!G5:G167)</f>
        <v>2332.54</v>
        <v/>
      </c>
    </row>
    <row r="40">
      <c r="A40" s="7" t="inlineStr">
        <is>
          <t>Disposed</t>
        </is>
      </c>
      <c r="B40" s="7">
        <f>COUNTIF('Corrected Register'!I5:I136,A40)</f>
        <v>8</v>
        <v/>
      </c>
      <c r="C40" s="7">
        <f>SUMIF('Corrected Register'!I5:I136,A40,'Corrected Register'!N5:N136)</f>
        <v>0</v>
        <v/>
      </c>
      <c r="E40" s="7" t="inlineStr">
        <is>
          <t>Unapproved Transfer</t>
        </is>
      </c>
      <c r="F40" s="7">
        <f>COUNTIF('Exception Register'!B5:B167,E40)</f>
        <v>5</v>
        <v/>
      </c>
      <c r="G40" s="7">
        <f>SUMIF('Exception Register'!B5:B167,E40,'Exception Register'!G5:G167)</f>
        <v>2869.32</v>
        <v/>
      </c>
    </row>
    <row r="41">
      <c r="A41" s="7" t="inlineStr">
        <is>
          <t>Atlanta Warehouse</t>
        </is>
      </c>
      <c r="B41" s="7">
        <f>COUNTIF('Corrected Register'!I5:I136,A41)</f>
        <v>7</v>
        <v/>
      </c>
      <c r="C41" s="7">
        <f>SUMIF('Corrected Register'!I5:I136,A41,'Corrected Register'!N5:N136)</f>
        <v>4351.05</v>
        <v/>
      </c>
      <c r="E41" t="inlineStr">
        <is>
          <t>Below Capitalization Threshold</t>
        </is>
      </c>
      <c r="F41">
        <f>COUNTIF('Exception Register'!B5:B167,E41)</f>
        <v>2</v>
        <v/>
      </c>
      <c r="G41">
        <f>SUMIF('Exception Register'!B5:B167,E41,'Exception Register'!G5:G167)</f>
        <v>1875</v>
        <v/>
      </c>
    </row>
    <row r="42">
      <c r="A42" s="7" t="inlineStr">
        <is>
          <t>Carrier Network / Unverified</t>
        </is>
      </c>
      <c r="B42" s="7" t="n">
        <v>4</v>
      </c>
      <c r="C42" s="7" t="n">
        <v>2332.54</v>
      </c>
    </row>
    <row r="43">
      <c r="A43" s="7" t="inlineStr">
        <is>
          <t>Disposed (certificate missing)</t>
        </is>
      </c>
      <c r="B43" s="7" t="n">
        <v>2</v>
      </c>
      <c r="C43" s="7" t="n">
        <v>0</v>
      </c>
    </row>
    <row r="44"/>
    <row r="45">
      <c r="A45" s="19" t="inlineStr">
        <is>
          <t>Key finding - Duplicate serial identities (both pairs)</t>
        </is>
      </c>
    </row>
    <row r="46">
      <c r="A46" s="20" t="inlineStr">
        <is>
          <t>Duplicate Serial</t>
        </is>
      </c>
      <c r="B46" s="20" t="inlineStr">
        <is>
          <t>Asset Tags Sharing This Serial</t>
        </is>
      </c>
      <c r="C46" s="20" t="inlineStr">
        <is>
          <t>Exception IDs</t>
        </is>
      </c>
    </row>
    <row r="47">
      <c r="A47" s="21" t="inlineStr">
        <is>
          <t>MD-LA-050021</t>
        </is>
      </c>
      <c r="B47" s="21" t="inlineStr">
        <is>
          <t>MD-00021 and MD-00025</t>
        </is>
      </c>
      <c r="C47" s="21" t="inlineStr">
        <is>
          <t>EX-0002; EX-0004</t>
        </is>
      </c>
    </row>
    <row r="48">
      <c r="A48" s="21" t="inlineStr">
        <is>
          <t>MD-NE-050088</t>
        </is>
      </c>
      <c r="B48" s="21" t="inlineStr">
        <is>
          <t>MD-00088 and MD-00092</t>
        </is>
      </c>
      <c r="C48" s="21" t="inlineStr">
        <is>
          <t>EX-0102; EX-0111</t>
        </is>
      </c>
    </row>
    <row r="49">
      <c r="A49" s="22" t="inlineStr">
        <is>
          <t>Flags duplicate serial MD-LA-050021 across MD-00021 and MD-00025, and duplicate serial MD-NE-050088 across MD-00088 and MD-00092.</t>
        </is>
      </c>
    </row>
  </sheetData>
  <mergeCells count="4">
    <mergeCell ref="A45:C45"/>
    <mergeCell ref="A2:G2"/>
    <mergeCell ref="A49:G49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21" customWidth="1" min="4" max="4"/>
    <col width="20" customWidth="1" min="5" max="5"/>
    <col width="19" customWidth="1" min="6" max="6"/>
    <col width="17" customWidth="1" min="7" max="7"/>
    <col width="20" customWidth="1" min="8" max="8"/>
    <col width="30" customWidth="1" min="9" max="9"/>
    <col width="24" customWidth="1" min="10" max="10"/>
    <col width="36" customWidth="1" min="11" max="11"/>
    <col width="20" customWidth="1" min="12" max="12"/>
    <col width="18" customWidth="1" min="13" max="13"/>
    <col width="22" customWidth="1" min="14" max="14"/>
    <col width="17" customWidth="1" min="15" max="15"/>
    <col width="13" customWidth="1" min="16" max="16"/>
    <col width="12" customWidth="1" min="17" max="17"/>
    <col width="27" customWidth="1" min="18" max="18"/>
    <col width="21" customWidth="1" min="19" max="19"/>
  </cols>
  <sheetData>
    <row r="1">
      <c r="A1" s="24" t="inlineStr">
        <is>
          <t>Corrected Asset Register</t>
        </is>
      </c>
    </row>
    <row r="2">
      <c r="A2" s="2" t="inlineStr">
        <is>
          <t>Every reviewed asset with verified custodian, location, status, evidence (including multimodal leads where applicable), cost, book value, and confidence. As of 2026-08-09.</t>
        </is>
      </c>
    </row>
    <row r="3"/>
    <row r="4">
      <c r="A4" s="25" t="inlineStr">
        <is>
          <t>Asset Tag</t>
        </is>
      </c>
      <c r="B4" s="25" t="inlineStr">
        <is>
          <t>Serial Number</t>
        </is>
      </c>
      <c r="C4" s="25" t="inlineStr">
        <is>
          <t>Category</t>
        </is>
      </c>
      <c r="D4" s="25" t="inlineStr">
        <is>
          <t>Model</t>
        </is>
      </c>
      <c r="E4" s="25" t="inlineStr">
        <is>
          <t>Register Custodian</t>
        </is>
      </c>
      <c r="F4" s="25" t="inlineStr">
        <is>
          <t>Register Location</t>
        </is>
      </c>
      <c r="G4" s="25" t="inlineStr">
        <is>
          <t>Register Status</t>
        </is>
      </c>
      <c r="H4" s="25" t="inlineStr">
        <is>
          <t>Verified Custodian</t>
        </is>
      </c>
      <c r="I4" s="25" t="inlineStr">
        <is>
          <t>Verified Location</t>
        </is>
      </c>
      <c r="J4" s="25" t="inlineStr">
        <is>
          <t>Verified Status</t>
        </is>
      </c>
      <c r="K4" s="25" t="inlineStr">
        <is>
          <t>Evidence Source</t>
        </is>
      </c>
      <c r="L4" s="25" t="inlineStr">
        <is>
          <t>Last Verified Date</t>
        </is>
      </c>
      <c r="M4" s="25" t="inlineStr">
        <is>
          <t>Acquisition Cost</t>
        </is>
      </c>
      <c r="N4" s="25" t="inlineStr">
        <is>
          <t>Remaining Book Value</t>
        </is>
      </c>
      <c r="O4" s="25" t="inlineStr">
        <is>
          <t>Ledger Asset ID</t>
        </is>
      </c>
      <c r="P4" s="25" t="inlineStr">
        <is>
          <t>Capitalized</t>
        </is>
      </c>
      <c r="Q4" s="25" t="inlineStr">
        <is>
          <t>Confidence</t>
        </is>
      </c>
      <c r="R4" s="25" t="inlineStr">
        <is>
          <t>Exception IDs</t>
        </is>
      </c>
      <c r="S4" s="25" t="inlineStr">
        <is>
          <t>Escalation Required</t>
        </is>
      </c>
      <c r="T4" t="inlineStr">
        <is>
          <t>Ledger Acquisition Cost</t>
        </is>
      </c>
      <c r="U4" t="inlineStr">
        <is>
          <t>Ledger Status</t>
        </is>
      </c>
      <c r="V4" t="inlineStr">
        <is>
          <t>FA Net Book Value</t>
        </is>
      </c>
      <c r="W4" t="inlineStr">
        <is>
          <t>Ledger vs Register Cost Diff</t>
        </is>
      </c>
      <c r="X4" t="inlineStr">
        <is>
          <t>Book Value Present</t>
        </is>
      </c>
    </row>
    <row r="5">
      <c r="A5" s="7" t="inlineStr">
        <is>
          <t>MD-00001</t>
        </is>
      </c>
      <c r="B5" s="7" t="inlineStr">
        <is>
          <t>MD-LA-050001</t>
        </is>
      </c>
      <c r="C5" s="7" t="inlineStr">
        <is>
          <t>Monitor</t>
        </is>
      </c>
      <c r="D5" s="7" t="inlineStr">
        <is>
          <t>Lenovo ThinkPad T14</t>
        </is>
      </c>
      <c r="E5" s="7" t="inlineStr">
        <is>
          <t>E0001</t>
        </is>
      </c>
      <c r="F5" s="7" t="inlineStr">
        <is>
          <t>Chicago</t>
        </is>
      </c>
      <c r="G5" s="7" t="inlineStr">
        <is>
          <t>In Use</t>
        </is>
      </c>
      <c r="H5" s="7" t="inlineStr">
        <is>
          <t>E0001</t>
        </is>
      </c>
      <c r="I5" s="7" t="inlineStr">
        <is>
          <t>Chicago</t>
        </is>
      </c>
      <c r="J5" s="7" t="inlineStr">
        <is>
          <t>In Use</t>
        </is>
      </c>
      <c r="K5" s="7" t="inlineStr">
        <is>
          <t>Status for MD-00001: In Use. Site Chicago. Model Lenovo ThinkPad T14; cost $1895. hr_employee_status lists E0001 / Priya Shah as Active. Transfer TR-00001 received 2026-01-21; approval APR-00001. FAR row FA-000001; net book value $0. PO PO-2022-0001.</t>
        </is>
      </c>
      <c r="L5" s="7" t="inlineStr">
        <is>
          <t>2026-08-05</t>
        </is>
      </c>
      <c r="M5" s="7" t="n">
        <v>1895</v>
      </c>
      <c r="N5" s="7" t="n">
        <v>0</v>
      </c>
      <c r="O5" s="7" t="inlineStr">
        <is>
          <t>FA-000001</t>
        </is>
      </c>
      <c r="P5" s="7" t="inlineStr">
        <is>
          <t>No</t>
        </is>
      </c>
      <c r="Q5" s="9" t="inlineStr">
        <is>
          <t>High</t>
        </is>
      </c>
      <c r="R5" s="7" t="inlineStr"/>
      <c r="S5" s="7" t="inlineStr">
        <is>
          <t>No</t>
        </is>
      </c>
      <c r="T5" t="n">
        <v>1895</v>
      </c>
      <c r="U5" t="inlineStr">
        <is>
          <t>Active</t>
        </is>
      </c>
      <c r="V5" t="n">
        <v>0</v>
      </c>
      <c r="W5" t="n">
        <v>0</v>
      </c>
      <c r="X5" t="inlineStr">
        <is>
          <t>Yes</t>
        </is>
      </c>
    </row>
    <row r="6">
      <c r="A6" s="7" t="inlineStr">
        <is>
          <t>MD-00002</t>
        </is>
      </c>
      <c r="B6" s="7" t="inlineStr">
        <is>
          <t>MD-MO-050002</t>
        </is>
      </c>
      <c r="C6" s="7" t="inlineStr">
        <is>
          <t>Monitor</t>
        </is>
      </c>
      <c r="D6" s="7" t="inlineStr">
        <is>
          <t>Dell U2723QE</t>
        </is>
      </c>
      <c r="E6" s="7" t="inlineStr">
        <is>
          <t>E0002</t>
        </is>
      </c>
      <c r="F6" s="7" t="inlineStr">
        <is>
          <t>Dallas</t>
        </is>
      </c>
      <c r="G6" s="7" t="inlineStr">
        <is>
          <t>In Use</t>
        </is>
      </c>
      <c r="H6" s="7" t="inlineStr">
        <is>
          <t>E0002</t>
        </is>
      </c>
      <c r="I6" s="7" t="inlineStr">
        <is>
          <t>Dallas</t>
        </is>
      </c>
      <c r="J6" s="7" t="inlineStr">
        <is>
          <t>In Use</t>
        </is>
      </c>
      <c r="K6" s="7" t="inlineStr">
        <is>
          <t>Dallas holds MD-00002 (Dell U2723QE) as In Use. Acquisition $610. People file: E0002 (Marcus Ellison), status Active. Transfer TR-00002 received 2026-02-25; approval APR-00002. Fixed-asset extract includes FA-000002 (NBV $313.06). PO PO-2022-0001.</t>
        </is>
      </c>
      <c r="L6" s="7" t="inlineStr">
        <is>
          <t>2026-08-05</t>
        </is>
      </c>
      <c r="M6" s="7" t="n">
        <v>610</v>
      </c>
      <c r="N6" s="7" t="n">
        <v>313.06</v>
      </c>
      <c r="O6" s="7" t="inlineStr">
        <is>
          <t>FA-000002</t>
        </is>
      </c>
      <c r="P6" s="7" t="inlineStr">
        <is>
          <t>No</t>
        </is>
      </c>
      <c r="Q6" s="9" t="inlineStr">
        <is>
          <t>High</t>
        </is>
      </c>
      <c r="R6" s="7" t="inlineStr"/>
      <c r="S6" s="7" t="inlineStr">
        <is>
          <t>No</t>
        </is>
      </c>
      <c r="T6" t="n">
        <v>610</v>
      </c>
      <c r="U6" t="inlineStr">
        <is>
          <t>Active</t>
        </is>
      </c>
      <c r="V6" t="n">
        <v>313.06</v>
      </c>
      <c r="W6" t="n">
        <v>0</v>
      </c>
      <c r="X6" t="inlineStr">
        <is>
          <t>Yes</t>
        </is>
      </c>
    </row>
    <row r="7">
      <c r="A7" s="7" t="inlineStr">
        <is>
          <t>MD-00003</t>
        </is>
      </c>
      <c r="B7" s="7" t="inlineStr">
        <is>
          <t>MD-MO-050003</t>
        </is>
      </c>
      <c r="C7" s="7" t="inlineStr">
        <is>
          <t>Mobile Device</t>
        </is>
      </c>
      <c r="D7" s="7" t="inlineStr">
        <is>
          <t>Samsung Galaxy S24</t>
        </is>
      </c>
      <c r="E7" s="7" t="inlineStr">
        <is>
          <t>E0003</t>
        </is>
      </c>
      <c r="F7" s="7" t="inlineStr">
        <is>
          <t>Denver</t>
        </is>
      </c>
      <c r="G7" s="7" t="inlineStr">
        <is>
          <t>In Use</t>
        </is>
      </c>
      <c r="H7" s="7" t="inlineStr">
        <is>
          <t>E0003</t>
        </is>
      </c>
      <c r="I7" s="7" t="inlineStr">
        <is>
          <t>Denver</t>
        </is>
      </c>
      <c r="J7" s="7" t="inlineStr">
        <is>
          <t>In Use</t>
        </is>
      </c>
      <c r="K7" s="7" t="inlineStr">
        <is>
          <t>MD-00003 (Samsung Galaxy S24) is In Use at Denver. Acquisition cost $1085. Custodian E0003 (Elena Kovacs) is Active in hr_employee_status. Transfer TR-00003 received 2026-04-03; approval APR-00003. Ledger FA-000003 on file; NBV $597.83. PO PO-2022-0001.</t>
        </is>
      </c>
      <c r="L7" s="7" t="inlineStr">
        <is>
          <t>2026-08-05</t>
        </is>
      </c>
      <c r="M7" s="7" t="n">
        <v>1085</v>
      </c>
      <c r="N7" s="7" t="n">
        <v>597.83</v>
      </c>
      <c r="O7" s="7" t="inlineStr">
        <is>
          <t>FA-000003</t>
        </is>
      </c>
      <c r="P7" s="7" t="inlineStr">
        <is>
          <t>No</t>
        </is>
      </c>
      <c r="Q7" s="9" t="inlineStr">
        <is>
          <t>High</t>
        </is>
      </c>
      <c r="R7" s="7" t="inlineStr"/>
      <c r="S7" s="7" t="inlineStr">
        <is>
          <t>No</t>
        </is>
      </c>
      <c r="T7" t="n">
        <v>1085</v>
      </c>
      <c r="U7" t="inlineStr">
        <is>
          <t>Active</t>
        </is>
      </c>
      <c r="V7" t="n">
        <v>597.83</v>
      </c>
      <c r="W7" t="n">
        <v>0</v>
      </c>
      <c r="X7" t="inlineStr">
        <is>
          <t>Yes</t>
        </is>
      </c>
    </row>
    <row r="8">
      <c r="A8" s="7" t="inlineStr">
        <is>
          <t>MD-00004</t>
        </is>
      </c>
      <c r="B8" s="7" t="inlineStr">
        <is>
          <t>MD-NE-050004</t>
        </is>
      </c>
      <c r="C8" s="7" t="inlineStr">
        <is>
          <t>Network Asset</t>
        </is>
      </c>
      <c r="D8" s="7" t="inlineStr">
        <is>
          <t>Cisco C9300</t>
        </is>
      </c>
      <c r="E8" s="7" t="inlineStr">
        <is>
          <t>E0004</t>
        </is>
      </c>
      <c r="F8" s="7" t="inlineStr">
        <is>
          <t>New York</t>
        </is>
      </c>
      <c r="G8" s="7" t="inlineStr">
        <is>
          <t>In Use</t>
        </is>
      </c>
      <c r="H8" s="7" t="inlineStr">
        <is>
          <t>E0004</t>
        </is>
      </c>
      <c r="I8" s="7" t="inlineStr">
        <is>
          <t>New York</t>
        </is>
      </c>
      <c r="J8" s="7" t="inlineStr">
        <is>
          <t>In Use</t>
        </is>
      </c>
      <c r="K8" s="7" t="inlineStr">
        <is>
          <t>Status for MD-00004: In Use. Site New York. Model Cisco C9300; cost $6380. hr_employee_status lists E0004 / James Whitaker as Active. Transfer TR-00004 received 2026-05-01; approval APR-00004. FAR row FA-000004; net book value $940.62. PO PO-2022-0001.</t>
        </is>
      </c>
      <c r="L8" s="7" t="inlineStr">
        <is>
          <t>2026-08-05</t>
        </is>
      </c>
      <c r="M8" s="7" t="n">
        <v>6380</v>
      </c>
      <c r="N8" s="7" t="n">
        <v>940.62</v>
      </c>
      <c r="O8" s="7" t="inlineStr">
        <is>
          <t>FA-000004</t>
        </is>
      </c>
      <c r="P8" s="7" t="inlineStr">
        <is>
          <t>Yes</t>
        </is>
      </c>
      <c r="Q8" s="9" t="inlineStr">
        <is>
          <t>High</t>
        </is>
      </c>
      <c r="R8" s="7" t="inlineStr"/>
      <c r="S8" s="7" t="inlineStr">
        <is>
          <t>No</t>
        </is>
      </c>
      <c r="T8" t="n">
        <v>6380</v>
      </c>
      <c r="U8" t="inlineStr">
        <is>
          <t>Active</t>
        </is>
      </c>
      <c r="V8" t="n">
        <v>940.62</v>
      </c>
      <c r="W8" t="n">
        <v>0</v>
      </c>
      <c r="X8" t="inlineStr">
        <is>
          <t>Yes</t>
        </is>
      </c>
    </row>
    <row r="9">
      <c r="A9" s="7" t="inlineStr">
        <is>
          <t>MD-00005</t>
        </is>
      </c>
      <c r="B9" s="7" t="inlineStr">
        <is>
          <t>MD-LA-050005</t>
        </is>
      </c>
      <c r="C9" s="7" t="inlineStr">
        <is>
          <t>Laptop</t>
        </is>
      </c>
      <c r="D9" s="7" t="inlineStr">
        <is>
          <t>MacBook Pro 14</t>
        </is>
      </c>
      <c r="E9" s="7" t="inlineStr">
        <is>
          <t>E0005</t>
        </is>
      </c>
      <c r="F9" s="7" t="inlineStr">
        <is>
          <t>Seattle</t>
        </is>
      </c>
      <c r="G9" s="7" t="inlineStr">
        <is>
          <t>In Use</t>
        </is>
      </c>
      <c r="H9" s="7" t="inlineStr">
        <is>
          <t>E0005</t>
        </is>
      </c>
      <c r="I9" s="7" t="inlineStr">
        <is>
          <t>Seattle</t>
        </is>
      </c>
      <c r="J9" s="7" t="inlineStr">
        <is>
          <t>In Use</t>
        </is>
      </c>
      <c r="K9" s="7" t="inlineStr">
        <is>
          <t>Seattle holds MD-00005 (MacBook Pro 14) as In Use. Acquisition $2075. People file: E0005 (Aisha Rahman), status Active. Transfer TR-00005 received 2026-06-08; approval APR-00005. Fixed-asset extract includes FA-000005 (NBV $0). PO PO-2022-0001.</t>
        </is>
      </c>
      <c r="L9" s="7" t="inlineStr">
        <is>
          <t>2026-08-05</t>
        </is>
      </c>
      <c r="M9" s="7" t="n">
        <v>2075</v>
      </c>
      <c r="N9" s="7" t="n">
        <v>0</v>
      </c>
      <c r="O9" s="7" t="inlineStr">
        <is>
          <t>FA-000005</t>
        </is>
      </c>
      <c r="P9" s="7" t="inlineStr">
        <is>
          <t>No</t>
        </is>
      </c>
      <c r="Q9" s="9" t="inlineStr">
        <is>
          <t>High</t>
        </is>
      </c>
      <c r="R9" s="7" t="inlineStr"/>
      <c r="S9" s="7" t="inlineStr">
        <is>
          <t>No</t>
        </is>
      </c>
      <c r="T9" t="n">
        <v>2075</v>
      </c>
      <c r="U9" t="inlineStr">
        <is>
          <t>Active</t>
        </is>
      </c>
      <c r="V9" t="n">
        <v>0</v>
      </c>
      <c r="W9" t="n">
        <v>0</v>
      </c>
      <c r="X9" t="inlineStr">
        <is>
          <t>Yes</t>
        </is>
      </c>
    </row>
    <row r="10">
      <c r="A10" s="7" t="inlineStr">
        <is>
          <t>MD-00006</t>
        </is>
      </c>
      <c r="B10" s="7" t="inlineStr">
        <is>
          <t>MD-MO-050006</t>
        </is>
      </c>
      <c r="C10" s="7" t="inlineStr">
        <is>
          <t>Monitor</t>
        </is>
      </c>
      <c r="D10" s="7" t="inlineStr">
        <is>
          <t>Dell U2723QE</t>
        </is>
      </c>
      <c r="E10" s="7" t="inlineStr">
        <is>
          <t>E0006</t>
        </is>
      </c>
      <c r="F10" s="7" t="inlineStr">
        <is>
          <t>Atlanta</t>
        </is>
      </c>
      <c r="G10" s="7" t="inlineStr">
        <is>
          <t>In Use</t>
        </is>
      </c>
      <c r="H10" s="7" t="inlineStr">
        <is>
          <t>E0006</t>
        </is>
      </c>
      <c r="I10" s="7" t="inlineStr">
        <is>
          <t>Atlanta</t>
        </is>
      </c>
      <c r="J10" s="7" t="inlineStr">
        <is>
          <t>In Use</t>
        </is>
      </c>
      <c r="K10" s="7" t="inlineStr">
        <is>
          <t>MD-00006 (Dell U2723QE) is In Use at Atlanta. Acquisition cost $790. Custodian E0006 (Colin Bergstrom) is Active in hr_employee_status. Transfer TR-00006 received 2026-01-12; approval APR-00006. Ledger FA-000006 on file; NBV $459.94. PO PO-2022-0001.</t>
        </is>
      </c>
      <c r="L10" s="7" t="inlineStr">
        <is>
          <t>2026-08-05</t>
        </is>
      </c>
      <c r="M10" s="7" t="n">
        <v>790</v>
      </c>
      <c r="N10" s="7" t="n">
        <v>459.94</v>
      </c>
      <c r="O10" s="7" t="inlineStr">
        <is>
          <t>FA-000006</t>
        </is>
      </c>
      <c r="P10" s="7" t="inlineStr">
        <is>
          <t>No</t>
        </is>
      </c>
      <c r="Q10" s="9" t="inlineStr">
        <is>
          <t>High</t>
        </is>
      </c>
      <c r="R10" s="7" t="inlineStr"/>
      <c r="S10" s="7" t="inlineStr">
        <is>
          <t>No</t>
        </is>
      </c>
      <c r="T10" t="n">
        <v>790</v>
      </c>
      <c r="U10" t="inlineStr">
        <is>
          <t>Active</t>
        </is>
      </c>
      <c r="V10" t="n">
        <v>459.94</v>
      </c>
      <c r="W10" t="n">
        <v>0</v>
      </c>
      <c r="X10" t="inlineStr">
        <is>
          <t>Yes</t>
        </is>
      </c>
    </row>
    <row r="11">
      <c r="A11" s="7" t="inlineStr">
        <is>
          <t>MD-00007</t>
        </is>
      </c>
      <c r="B11" s="7" t="inlineStr">
        <is>
          <t>MD-MO-050007</t>
        </is>
      </c>
      <c r="C11" s="7" t="inlineStr">
        <is>
          <t>Mobile Device</t>
        </is>
      </c>
      <c r="D11" s="7" t="inlineStr">
        <is>
          <t>Samsung Galaxy S24</t>
        </is>
      </c>
      <c r="E11" s="7" t="inlineStr">
        <is>
          <t>E0007</t>
        </is>
      </c>
      <c r="F11" s="7" t="inlineStr">
        <is>
          <t>Chicago</t>
        </is>
      </c>
      <c r="G11" s="7" t="inlineStr">
        <is>
          <t>In Use</t>
        </is>
      </c>
      <c r="H11" s="7" t="inlineStr">
        <is>
          <t>E0007</t>
        </is>
      </c>
      <c r="I11" s="7" t="inlineStr">
        <is>
          <t>Chicago</t>
        </is>
      </c>
      <c r="J11" s="7" t="inlineStr">
        <is>
          <t>In Use</t>
        </is>
      </c>
      <c r="K11" s="7" t="inlineStr">
        <is>
          <t>Status for MD-00007: In Use. Site Chicago. Model Samsung Galaxy S24; cost $950. hr_employee_status lists E0007 / Sofia Alvarez as Active. Transfer TR-00007 received 2026-02-17; approval APR-00007. FAR row FA-000007; net book value $632.68. PO PO-2023-0002.</t>
        </is>
      </c>
      <c r="L11" s="7" t="inlineStr">
        <is>
          <t>2026-08-05</t>
        </is>
      </c>
      <c r="M11" s="7" t="n">
        <v>950</v>
      </c>
      <c r="N11" s="7" t="n">
        <v>632.6799999999999</v>
      </c>
      <c r="O11" s="7" t="inlineStr">
        <is>
          <t>FA-000007</t>
        </is>
      </c>
      <c r="P11" s="7" t="inlineStr">
        <is>
          <t>No</t>
        </is>
      </c>
      <c r="Q11" s="9" t="inlineStr">
        <is>
          <t>High</t>
        </is>
      </c>
      <c r="R11" s="7" t="inlineStr"/>
      <c r="S11" s="7" t="inlineStr">
        <is>
          <t>No</t>
        </is>
      </c>
      <c r="T11" t="n">
        <v>950</v>
      </c>
      <c r="U11" t="inlineStr">
        <is>
          <t>Active</t>
        </is>
      </c>
      <c r="V11" t="n">
        <v>632.6799999999999</v>
      </c>
      <c r="W11" t="n">
        <v>0</v>
      </c>
      <c r="X11" t="inlineStr">
        <is>
          <t>Yes</t>
        </is>
      </c>
    </row>
    <row r="12">
      <c r="A12" s="7" t="inlineStr">
        <is>
          <t>MD-00008</t>
        </is>
      </c>
      <c r="B12" s="7" t="inlineStr">
        <is>
          <t>MD-NE-050008</t>
        </is>
      </c>
      <c r="C12" s="7" t="inlineStr">
        <is>
          <t>Network Asset</t>
        </is>
      </c>
      <c r="D12" s="7" t="inlineStr">
        <is>
          <t>Cisco C9300</t>
        </is>
      </c>
      <c r="E12" s="7" t="inlineStr">
        <is>
          <t>E0008</t>
        </is>
      </c>
      <c r="F12" s="7" t="inlineStr">
        <is>
          <t>Dallas</t>
        </is>
      </c>
      <c r="G12" s="7" t="inlineStr">
        <is>
          <t>In Use</t>
        </is>
      </c>
      <c r="H12" s="7" t="inlineStr">
        <is>
          <t>E0008</t>
        </is>
      </c>
      <c r="I12" s="7" t="inlineStr">
        <is>
          <t>Dallas</t>
        </is>
      </c>
      <c r="J12" s="7" t="inlineStr">
        <is>
          <t>In Use</t>
        </is>
      </c>
      <c r="K12" s="7" t="inlineStr">
        <is>
          <t>Dallas holds MD-00008 (Cisco C9300) as In Use. Acquisition $6245. People file: E0008 (Derek Nguyen), status Active. Transfer TR-00008 received 2026-03-19; approval APR-00008. Fixed-asset extract includes FA-000008 (NBV $1355.01). PO PO-2023-0002.</t>
        </is>
      </c>
      <c r="L12" s="7" t="inlineStr">
        <is>
          <t>2026-08-05</t>
        </is>
      </c>
      <c r="M12" s="7" t="n">
        <v>6245</v>
      </c>
      <c r="N12" s="7" t="n">
        <v>1355.01</v>
      </c>
      <c r="O12" s="7" t="inlineStr">
        <is>
          <t>FA-000008</t>
        </is>
      </c>
      <c r="P12" s="7" t="inlineStr">
        <is>
          <t>Yes</t>
        </is>
      </c>
      <c r="Q12" s="9" t="inlineStr">
        <is>
          <t>High</t>
        </is>
      </c>
      <c r="R12" s="7" t="inlineStr"/>
      <c r="S12" s="7" t="inlineStr">
        <is>
          <t>No</t>
        </is>
      </c>
      <c r="T12" t="n">
        <v>6245</v>
      </c>
      <c r="U12" t="inlineStr">
        <is>
          <t>Active</t>
        </is>
      </c>
      <c r="V12" t="n">
        <v>1355.01</v>
      </c>
      <c r="W12" t="n">
        <v>0</v>
      </c>
      <c r="X12" t="inlineStr">
        <is>
          <t>Yes</t>
        </is>
      </c>
    </row>
    <row r="13">
      <c r="A13" s="7" t="inlineStr">
        <is>
          <t>MD-00009</t>
        </is>
      </c>
      <c r="B13" s="7" t="inlineStr">
        <is>
          <t>MD-LA-050009</t>
        </is>
      </c>
      <c r="C13" s="7" t="inlineStr">
        <is>
          <t>Laptop</t>
        </is>
      </c>
      <c r="D13" s="7" t="inlineStr">
        <is>
          <t>Dell Latitude 7440</t>
        </is>
      </c>
      <c r="E13" s="7" t="inlineStr">
        <is>
          <t>E0009</t>
        </is>
      </c>
      <c r="F13" s="7" t="inlineStr">
        <is>
          <t>Denver</t>
        </is>
      </c>
      <c r="G13" s="7" t="inlineStr">
        <is>
          <t>In Use</t>
        </is>
      </c>
      <c r="H13" s="7" t="inlineStr">
        <is>
          <t>E0009</t>
        </is>
      </c>
      <c r="I13" s="7" t="inlineStr">
        <is>
          <t>Denver</t>
        </is>
      </c>
      <c r="J13" s="7" t="inlineStr">
        <is>
          <t>In Use</t>
        </is>
      </c>
      <c r="K13" s="7" t="inlineStr">
        <is>
          <t>MD-00009 (Dell Latitude 7440) is In Use at Denver. Acquisition cost $1940. Custodian E0009 (Hannah Cole) is Active in hr_employee_status. Transfer TR-00009 received 2026-04-21; approval APR-00009. Ledger FA-000009 on file; NBV $109.33. PO PO-2023-0002.</t>
        </is>
      </c>
      <c r="L13" s="7" t="inlineStr">
        <is>
          <t>2026-08-05</t>
        </is>
      </c>
      <c r="M13" s="7" t="n">
        <v>1940</v>
      </c>
      <c r="N13" s="7" t="n">
        <v>109.33</v>
      </c>
      <c r="O13" s="7" t="inlineStr">
        <is>
          <t>FA-000009</t>
        </is>
      </c>
      <c r="P13" s="7" t="inlineStr">
        <is>
          <t>No</t>
        </is>
      </c>
      <c r="Q13" s="9" t="inlineStr">
        <is>
          <t>High</t>
        </is>
      </c>
      <c r="R13" s="7" t="inlineStr"/>
      <c r="S13" s="7" t="inlineStr">
        <is>
          <t>No</t>
        </is>
      </c>
      <c r="T13" t="n">
        <v>1940</v>
      </c>
      <c r="U13" t="inlineStr">
        <is>
          <t>Active</t>
        </is>
      </c>
      <c r="V13" t="n">
        <v>109.33</v>
      </c>
      <c r="W13" t="n">
        <v>0</v>
      </c>
      <c r="X13" t="inlineStr">
        <is>
          <t>Yes</t>
        </is>
      </c>
    </row>
    <row r="14">
      <c r="A14" s="7" t="inlineStr">
        <is>
          <t>MD-00010</t>
        </is>
      </c>
      <c r="B14" s="7" t="inlineStr">
        <is>
          <t>MD-MO-050010</t>
        </is>
      </c>
      <c r="C14" s="7" t="inlineStr">
        <is>
          <t>Monitor</t>
        </is>
      </c>
      <c r="D14" s="7" t="inlineStr">
        <is>
          <t>Dell U2723QE</t>
        </is>
      </c>
      <c r="E14" s="7" t="inlineStr">
        <is>
          <t>E0010</t>
        </is>
      </c>
      <c r="F14" s="7" t="inlineStr">
        <is>
          <t>New York</t>
        </is>
      </c>
      <c r="G14" s="7" t="inlineStr">
        <is>
          <t>In Use</t>
        </is>
      </c>
      <c r="H14" s="7" t="inlineStr">
        <is>
          <t>E0010</t>
        </is>
      </c>
      <c r="I14" s="7" t="inlineStr">
        <is>
          <t>New York</t>
        </is>
      </c>
      <c r="J14" s="7" t="inlineStr">
        <is>
          <t>In Use</t>
        </is>
      </c>
      <c r="K14" s="7" t="inlineStr">
        <is>
          <t>Status for MD-00010: In Use. Site New York. Model Dell U2723QE; cost $655. hr_employee_status lists E0010 / Owen Patel as Active. Transfer TR-00010 received 2026-05-28; approval APR-00010. FAR row FA-000010; net book value $426.89. PO PO-2023-0002.</t>
        </is>
      </c>
      <c r="L14" s="7" t="inlineStr">
        <is>
          <t>2026-08-05</t>
        </is>
      </c>
      <c r="M14" s="7" t="n">
        <v>655</v>
      </c>
      <c r="N14" s="7" t="n">
        <v>426.89</v>
      </c>
      <c r="O14" s="7" t="inlineStr">
        <is>
          <t>FA-000010</t>
        </is>
      </c>
      <c r="P14" s="7" t="inlineStr">
        <is>
          <t>No</t>
        </is>
      </c>
      <c r="Q14" s="9" t="inlineStr">
        <is>
          <t>High</t>
        </is>
      </c>
      <c r="R14" s="7" t="inlineStr"/>
      <c r="S14" s="7" t="inlineStr">
        <is>
          <t>No</t>
        </is>
      </c>
      <c r="T14" t="n">
        <v>655</v>
      </c>
      <c r="U14" t="inlineStr">
        <is>
          <t>Active</t>
        </is>
      </c>
      <c r="V14" t="n">
        <v>426.89</v>
      </c>
      <c r="W14" t="n">
        <v>0</v>
      </c>
      <c r="X14" t="inlineStr">
        <is>
          <t>Yes</t>
        </is>
      </c>
    </row>
    <row r="15">
      <c r="A15" s="7" t="inlineStr">
        <is>
          <t>MD-00011</t>
        </is>
      </c>
      <c r="B15" s="7" t="inlineStr">
        <is>
          <t>MD-MO-050011</t>
        </is>
      </c>
      <c r="C15" s="7" t="inlineStr">
        <is>
          <t>Mobile Device</t>
        </is>
      </c>
      <c r="D15" s="7" t="inlineStr">
        <is>
          <t>Samsung Galaxy S24</t>
        </is>
      </c>
      <c r="E15" s="7" t="inlineStr">
        <is>
          <t>E0011</t>
        </is>
      </c>
      <c r="F15" s="7" t="inlineStr">
        <is>
          <t>Seattle</t>
        </is>
      </c>
      <c r="G15" s="7" t="inlineStr">
        <is>
          <t>In Use</t>
        </is>
      </c>
      <c r="H15" s="7" t="inlineStr">
        <is>
          <t>E0011</t>
        </is>
      </c>
      <c r="I15" s="7" t="inlineStr">
        <is>
          <t>Seattle</t>
        </is>
      </c>
      <c r="J15" s="7" t="inlineStr">
        <is>
          <t>In Use</t>
        </is>
      </c>
      <c r="K15" s="7" t="inlineStr">
        <is>
          <t>Seattle holds MD-00011 (Samsung Galaxy S24) as In Use. Acquisition $1130. People file: E0011 (Maya Fontaine), status Active. Transfer TR-00011 received 2026-06-28; approval APR-00011. Fixed-asset extract includes FA-000011 (NBV $882.5). PO PO-2023-0002.</t>
        </is>
      </c>
      <c r="L15" s="7" t="inlineStr">
        <is>
          <t>2026-08-05</t>
        </is>
      </c>
      <c r="M15" s="7" t="n">
        <v>1130</v>
      </c>
      <c r="N15" s="7" t="n">
        <v>882.5</v>
      </c>
      <c r="O15" s="7" t="inlineStr">
        <is>
          <t>FA-000011</t>
        </is>
      </c>
      <c r="P15" s="7" t="inlineStr">
        <is>
          <t>No</t>
        </is>
      </c>
      <c r="Q15" s="9" t="inlineStr">
        <is>
          <t>High</t>
        </is>
      </c>
      <c r="R15" s="7" t="inlineStr"/>
      <c r="S15" s="7" t="inlineStr">
        <is>
          <t>No</t>
        </is>
      </c>
      <c r="T15" t="n">
        <v>1130</v>
      </c>
      <c r="U15" t="inlineStr">
        <is>
          <t>Active</t>
        </is>
      </c>
      <c r="V15" t="n">
        <v>882.5</v>
      </c>
      <c r="W15" t="n">
        <v>0</v>
      </c>
      <c r="X15" t="inlineStr">
        <is>
          <t>Yes</t>
        </is>
      </c>
    </row>
    <row r="16">
      <c r="A16" s="7" t="inlineStr">
        <is>
          <t>MD-00012</t>
        </is>
      </c>
      <c r="B16" s="7" t="inlineStr">
        <is>
          <t>MD-NE-050012</t>
        </is>
      </c>
      <c r="C16" s="7" t="inlineStr">
        <is>
          <t>Network Asset</t>
        </is>
      </c>
      <c r="D16" s="7" t="inlineStr">
        <is>
          <t>Cisco C9300</t>
        </is>
      </c>
      <c r="E16" s="7" t="inlineStr">
        <is>
          <t>E0012</t>
        </is>
      </c>
      <c r="F16" s="7" t="inlineStr">
        <is>
          <t>Atlanta</t>
        </is>
      </c>
      <c r="G16" s="7" t="inlineStr">
        <is>
          <t>In Use</t>
        </is>
      </c>
      <c r="H16" s="7" t="inlineStr">
        <is>
          <t>E0012</t>
        </is>
      </c>
      <c r="I16" s="7" t="inlineStr">
        <is>
          <t>Atlanta</t>
        </is>
      </c>
      <c r="J16" s="7" t="inlineStr">
        <is>
          <t>In Use</t>
        </is>
      </c>
      <c r="K16" s="7" t="inlineStr">
        <is>
          <t>MD-00012 (Cisco C9300) is In Use at Atlanta. Acquisition cost $6425. Custodian E0012 (Ryan Okonkwo) is Active in hr_employee_status. Transfer TR-00012 received 2026-01-31; approval APR-00012. Ledger FA-000012 on file; NBV $553.23. PO PO-2023-0002.</t>
        </is>
      </c>
      <c r="L16" s="7" t="inlineStr">
        <is>
          <t>2026-08-05</t>
        </is>
      </c>
      <c r="M16" s="7" t="n">
        <v>6425</v>
      </c>
      <c r="N16" s="7" t="n">
        <v>553.23</v>
      </c>
      <c r="O16" s="7" t="inlineStr">
        <is>
          <t>FA-000012</t>
        </is>
      </c>
      <c r="P16" s="7" t="inlineStr">
        <is>
          <t>Yes</t>
        </is>
      </c>
      <c r="Q16" s="9" t="inlineStr">
        <is>
          <t>High</t>
        </is>
      </c>
      <c r="R16" s="7" t="inlineStr"/>
      <c r="S16" s="7" t="inlineStr">
        <is>
          <t>No</t>
        </is>
      </c>
      <c r="T16" t="n">
        <v>6425</v>
      </c>
      <c r="U16" t="inlineStr">
        <is>
          <t>Active</t>
        </is>
      </c>
      <c r="V16" t="n">
        <v>553.23</v>
      </c>
      <c r="W16" t="n">
        <v>0</v>
      </c>
      <c r="X16" t="inlineStr">
        <is>
          <t>Yes</t>
        </is>
      </c>
    </row>
    <row r="17">
      <c r="A17" s="7" t="inlineStr">
        <is>
          <t>MD-00013</t>
        </is>
      </c>
      <c r="B17" s="7" t="inlineStr">
        <is>
          <t>MD-LA-050013</t>
        </is>
      </c>
      <c r="C17" s="7" t="inlineStr">
        <is>
          <t>Laptop</t>
        </is>
      </c>
      <c r="D17" s="7" t="inlineStr">
        <is>
          <t>Lenovo ThinkPad T14</t>
        </is>
      </c>
      <c r="E17" s="7" t="inlineStr">
        <is>
          <t>E0013</t>
        </is>
      </c>
      <c r="F17" s="7" t="inlineStr">
        <is>
          <t>Chicago</t>
        </is>
      </c>
      <c r="G17" s="7" t="inlineStr">
        <is>
          <t>In Use</t>
        </is>
      </c>
      <c r="H17" s="7" t="inlineStr">
        <is>
          <t>E0013</t>
        </is>
      </c>
      <c r="I17" s="7" t="inlineStr">
        <is>
          <t>Chicago</t>
        </is>
      </c>
      <c r="J17" s="7" t="inlineStr">
        <is>
          <t>In Use</t>
        </is>
      </c>
      <c r="K17" s="7" t="inlineStr">
        <is>
          <t>Status for MD-00013: In Use. Site Chicago. Model Lenovo ThinkPad T14; cost $2120. hr_employee_status lists E0013 / Lauren Briggs as Active. Transfer TR-00013 received 2026-02-06; approval APR-00013. FAR row FA-000013; net book value $0. PO PO-2024-0003.</t>
        </is>
      </c>
      <c r="L17" s="7" t="inlineStr">
        <is>
          <t>2026-08-05</t>
        </is>
      </c>
      <c r="M17" s="7" t="n">
        <v>2120</v>
      </c>
      <c r="N17" s="7" t="n">
        <v>0</v>
      </c>
      <c r="O17" s="7" t="inlineStr">
        <is>
          <t>FA-000013</t>
        </is>
      </c>
      <c r="P17" s="7" t="inlineStr">
        <is>
          <t>No</t>
        </is>
      </c>
      <c r="Q17" s="9" t="inlineStr">
        <is>
          <t>High</t>
        </is>
      </c>
      <c r="R17" s="7" t="inlineStr"/>
      <c r="S17" s="7" t="inlineStr">
        <is>
          <t>No</t>
        </is>
      </c>
      <c r="T17" t="n">
        <v>2120</v>
      </c>
      <c r="U17" t="inlineStr">
        <is>
          <t>Active</t>
        </is>
      </c>
      <c r="V17" t="n">
        <v>0</v>
      </c>
      <c r="W17" t="n">
        <v>0</v>
      </c>
      <c r="X17" t="inlineStr">
        <is>
          <t>Yes</t>
        </is>
      </c>
    </row>
    <row r="18">
      <c r="A18" s="7" t="inlineStr">
        <is>
          <t>MD-00014</t>
        </is>
      </c>
      <c r="B18" s="7" t="inlineStr">
        <is>
          <t>MD-MO-050014</t>
        </is>
      </c>
      <c r="C18" s="7" t="inlineStr">
        <is>
          <t>Monitor</t>
        </is>
      </c>
      <c r="D18" s="7" t="inlineStr">
        <is>
          <t>Dell U2723QE</t>
        </is>
      </c>
      <c r="E18" s="7" t="inlineStr">
        <is>
          <t>E0014</t>
        </is>
      </c>
      <c r="F18" s="7" t="inlineStr">
        <is>
          <t>Dallas</t>
        </is>
      </c>
      <c r="G18" s="7" t="inlineStr">
        <is>
          <t>In Use</t>
        </is>
      </c>
      <c r="H18" s="7" t="inlineStr">
        <is>
          <t>E0014</t>
        </is>
      </c>
      <c r="I18" s="7" t="inlineStr">
        <is>
          <t>Dallas</t>
        </is>
      </c>
      <c r="J18" s="7" t="inlineStr">
        <is>
          <t>In Use</t>
        </is>
      </c>
      <c r="K18" s="7" t="inlineStr">
        <is>
          <t>Dallas holds MD-00014 (Dell U2723QE) as In Use. Acquisition $520. People file: E0014 (Nathan Kim), status Active. Transfer TR-00014 received 2026-03-09; approval APR-00014. Fixed-asset extract includes FA-000014 (NBV $270.29). PO PO-2024-0003.</t>
        </is>
      </c>
      <c r="L18" s="7" t="inlineStr">
        <is>
          <t>2026-08-05</t>
        </is>
      </c>
      <c r="M18" s="7" t="n">
        <v>520</v>
      </c>
      <c r="N18" s="7" t="n">
        <v>270.29</v>
      </c>
      <c r="O18" s="7" t="inlineStr">
        <is>
          <t>FA-000014</t>
        </is>
      </c>
      <c r="P18" s="7" t="inlineStr">
        <is>
          <t>No</t>
        </is>
      </c>
      <c r="Q18" s="9" t="inlineStr">
        <is>
          <t>High</t>
        </is>
      </c>
      <c r="R18" s="7" t="inlineStr"/>
      <c r="S18" s="7" t="inlineStr">
        <is>
          <t>No</t>
        </is>
      </c>
      <c r="T18" t="n">
        <v>520</v>
      </c>
      <c r="U18" t="inlineStr">
        <is>
          <t>Active</t>
        </is>
      </c>
      <c r="V18" t="n">
        <v>270.29</v>
      </c>
      <c r="W18" t="n">
        <v>0</v>
      </c>
      <c r="X18" t="inlineStr">
        <is>
          <t>Yes</t>
        </is>
      </c>
    </row>
    <row r="19">
      <c r="A19" s="7" t="inlineStr">
        <is>
          <t>MD-00015</t>
        </is>
      </c>
      <c r="B19" s="7" t="inlineStr">
        <is>
          <t>MD-MO-050015</t>
        </is>
      </c>
      <c r="C19" s="7" t="inlineStr">
        <is>
          <t>Mobile Device</t>
        </is>
      </c>
      <c r="D19" s="7" t="inlineStr">
        <is>
          <t>Samsung Galaxy S24</t>
        </is>
      </c>
      <c r="E19" s="7" t="inlineStr">
        <is>
          <t>E0015</t>
        </is>
      </c>
      <c r="F19" s="7" t="inlineStr">
        <is>
          <t>Denver</t>
        </is>
      </c>
      <c r="G19" s="7" t="inlineStr">
        <is>
          <t>In Use</t>
        </is>
      </c>
      <c r="H19" s="7" t="inlineStr">
        <is>
          <t>E0015</t>
        </is>
      </c>
      <c r="I19" s="7" t="inlineStr">
        <is>
          <t>Denver</t>
        </is>
      </c>
      <c r="J19" s="7" t="inlineStr">
        <is>
          <t>In Use</t>
        </is>
      </c>
      <c r="K19" s="7" t="inlineStr">
        <is>
          <t>MD-00015 (Samsung Galaxy S24) is In Use at Denver. Acquisition cost $995. Custodian E0015 (Camila Ortiz) is Active in hr_employee_status. Transfer TR-00015 received 2026-04-13; approval APR-00015. Ledger FA-000015 on file; NBV $559.13. PO PO-2024-0003.</t>
        </is>
      </c>
      <c r="L19" s="7" t="inlineStr">
        <is>
          <t>2026-08-05</t>
        </is>
      </c>
      <c r="M19" s="7" t="n">
        <v>995</v>
      </c>
      <c r="N19" s="7" t="n">
        <v>559.13</v>
      </c>
      <c r="O19" s="7" t="inlineStr">
        <is>
          <t>FA-000015</t>
        </is>
      </c>
      <c r="P19" s="7" t="inlineStr">
        <is>
          <t>No</t>
        </is>
      </c>
      <c r="Q19" s="9" t="inlineStr">
        <is>
          <t>High</t>
        </is>
      </c>
      <c r="R19" s="7" t="inlineStr"/>
      <c r="S19" s="7" t="inlineStr">
        <is>
          <t>No</t>
        </is>
      </c>
      <c r="T19" t="n">
        <v>995</v>
      </c>
      <c r="U19" t="inlineStr">
        <is>
          <t>Active</t>
        </is>
      </c>
      <c r="V19" t="n">
        <v>559.13</v>
      </c>
      <c r="W19" t="n">
        <v>0</v>
      </c>
      <c r="X19" t="inlineStr">
        <is>
          <t>Yes</t>
        </is>
      </c>
    </row>
    <row r="20">
      <c r="A20" s="7" t="inlineStr">
        <is>
          <t>MD-00016</t>
        </is>
      </c>
      <c r="B20" s="7" t="inlineStr">
        <is>
          <t>MD-NE-050016</t>
        </is>
      </c>
      <c r="C20" s="7" t="inlineStr">
        <is>
          <t>Network Asset</t>
        </is>
      </c>
      <c r="D20" s="7" t="inlineStr">
        <is>
          <t>Cisco C9300</t>
        </is>
      </c>
      <c r="E20" s="7" t="inlineStr">
        <is>
          <t>E0016</t>
        </is>
      </c>
      <c r="F20" s="7" t="inlineStr">
        <is>
          <t>New York</t>
        </is>
      </c>
      <c r="G20" s="7" t="inlineStr">
        <is>
          <t>In Use</t>
        </is>
      </c>
      <c r="H20" s="7" t="inlineStr">
        <is>
          <t>E0016</t>
        </is>
      </c>
      <c r="I20" s="7" t="inlineStr">
        <is>
          <t>New York</t>
        </is>
      </c>
      <c r="J20" s="7" t="inlineStr">
        <is>
          <t>In Use</t>
        </is>
      </c>
      <c r="K20" s="7" t="inlineStr">
        <is>
          <t>Status for MD-00016: In Use. Site New York. Model Cisco C9300; cost $6290. hr_employee_status lists E0016 / Patrick Gallagher as Active. Transfer TR-00016 received 2026-05-17; approval APR-00016. FAR row FA-000016; net book value $968.69. PO PO-2024-0003.</t>
        </is>
      </c>
      <c r="L20" s="7" t="inlineStr">
        <is>
          <t>2026-08-05</t>
        </is>
      </c>
      <c r="M20" s="7" t="n">
        <v>6290</v>
      </c>
      <c r="N20" s="7" t="n">
        <v>968.6900000000001</v>
      </c>
      <c r="O20" s="7" t="inlineStr">
        <is>
          <t>FA-000016</t>
        </is>
      </c>
      <c r="P20" s="7" t="inlineStr">
        <is>
          <t>Yes</t>
        </is>
      </c>
      <c r="Q20" s="9" t="inlineStr">
        <is>
          <t>High</t>
        </is>
      </c>
      <c r="R20" s="7" t="inlineStr"/>
      <c r="S20" s="7" t="inlineStr">
        <is>
          <t>No</t>
        </is>
      </c>
      <c r="T20" t="n">
        <v>6290</v>
      </c>
      <c r="U20" t="inlineStr">
        <is>
          <t>Active</t>
        </is>
      </c>
      <c r="V20" t="n">
        <v>968.6900000000001</v>
      </c>
      <c r="W20" t="n">
        <v>0</v>
      </c>
      <c r="X20" t="inlineStr">
        <is>
          <t>Yes</t>
        </is>
      </c>
    </row>
    <row r="21">
      <c r="A21" s="7" t="inlineStr">
        <is>
          <t>MD-00017</t>
        </is>
      </c>
      <c r="B21" s="7" t="inlineStr">
        <is>
          <t>MD-LA-050017</t>
        </is>
      </c>
      <c r="C21" s="7" t="inlineStr">
        <is>
          <t>Laptop</t>
        </is>
      </c>
      <c r="D21" s="7" t="inlineStr">
        <is>
          <t>MacBook Pro 14</t>
        </is>
      </c>
      <c r="E21" s="7" t="inlineStr">
        <is>
          <t>E0017</t>
        </is>
      </c>
      <c r="F21" s="7" t="inlineStr">
        <is>
          <t>Seattle</t>
        </is>
      </c>
      <c r="G21" s="7" t="inlineStr">
        <is>
          <t>In Use</t>
        </is>
      </c>
      <c r="H21" s="7" t="inlineStr">
        <is>
          <t>E0017</t>
        </is>
      </c>
      <c r="I21" s="7" t="inlineStr">
        <is>
          <t>Seattle</t>
        </is>
      </c>
      <c r="J21" s="7" t="inlineStr">
        <is>
          <t>In Use</t>
        </is>
      </c>
      <c r="K21" s="7" t="inlineStr">
        <is>
          <t>Seattle holds MD-00017 (MacBook Pro 14) as In Use. Acquisition $1985. People file: E0017 (Irene Cho), status Active. Transfer TR-00017 received 2026-06-19; approval APR-00017. Fixed-asset extract includes FA-000017 (NBV $0). PO PO-2024-0003. Accumulated depreciation $2160 exceeds acquisition $2070 by $90.</t>
        </is>
      </c>
      <c r="L21" s="7" t="inlineStr">
        <is>
          <t>2026-08-05</t>
        </is>
      </c>
      <c r="M21" s="7" t="n">
        <v>1985</v>
      </c>
      <c r="N21" s="7" t="n">
        <v>0</v>
      </c>
      <c r="O21" s="7" t="inlineStr">
        <is>
          <t>FA-000017</t>
        </is>
      </c>
      <c r="P21" s="7" t="inlineStr">
        <is>
          <t>No</t>
        </is>
      </c>
      <c r="Q21" s="9" t="inlineStr">
        <is>
          <t>High</t>
        </is>
      </c>
      <c r="R21" s="7" t="inlineStr">
        <is>
          <t>EX-0001</t>
        </is>
      </c>
      <c r="S21" s="7" t="inlineStr">
        <is>
          <t>No</t>
        </is>
      </c>
      <c r="T21" t="n">
        <v>2070</v>
      </c>
      <c r="U21" t="inlineStr">
        <is>
          <t>Active</t>
        </is>
      </c>
      <c r="V21" t="n">
        <v>0</v>
      </c>
      <c r="W21" t="n">
        <v>85</v>
      </c>
      <c r="X21" t="inlineStr">
        <is>
          <t>Yes</t>
        </is>
      </c>
    </row>
    <row r="22">
      <c r="A22" s="7" t="inlineStr">
        <is>
          <t>MD-00018</t>
        </is>
      </c>
      <c r="B22" s="7" t="inlineStr">
        <is>
          <t>MD-MO-050018</t>
        </is>
      </c>
      <c r="C22" s="7" t="inlineStr">
        <is>
          <t>Monitor</t>
        </is>
      </c>
      <c r="D22" s="7" t="inlineStr">
        <is>
          <t>Dell U2723QE</t>
        </is>
      </c>
      <c r="E22" s="7" t="inlineStr">
        <is>
          <t>E0018</t>
        </is>
      </c>
      <c r="F22" s="7" t="inlineStr">
        <is>
          <t>Atlanta</t>
        </is>
      </c>
      <c r="G22" s="7" t="inlineStr">
        <is>
          <t>In Use</t>
        </is>
      </c>
      <c r="H22" s="7" t="inlineStr">
        <is>
          <t>E0018</t>
        </is>
      </c>
      <c r="I22" s="7" t="inlineStr">
        <is>
          <t>Atlanta</t>
        </is>
      </c>
      <c r="J22" s="7" t="inlineStr">
        <is>
          <t>In Use</t>
        </is>
      </c>
      <c r="K22" s="7" t="inlineStr">
        <is>
          <t>MD-00018 (Dell U2723QE) is In Use at Atlanta. Acquisition cost $700. Custodian E0018 (Theo Barnett) is Active in hr_employee_status. Transfer TR-00018 received 2026-01-23; approval APR-00018. Ledger FA-000018 on file; NBV $412.14. PO PO-2024-0003.</t>
        </is>
      </c>
      <c r="L22" s="7" t="inlineStr">
        <is>
          <t>2026-08-05</t>
        </is>
      </c>
      <c r="M22" s="7" t="n">
        <v>700</v>
      </c>
      <c r="N22" s="7" t="n">
        <v>412.14</v>
      </c>
      <c r="O22" s="7" t="inlineStr">
        <is>
          <t>FA-000018</t>
        </is>
      </c>
      <c r="P22" s="7" t="inlineStr">
        <is>
          <t>No</t>
        </is>
      </c>
      <c r="Q22" s="9" t="inlineStr">
        <is>
          <t>High</t>
        </is>
      </c>
      <c r="R22" s="7" t="inlineStr"/>
      <c r="S22" s="7" t="inlineStr">
        <is>
          <t>No</t>
        </is>
      </c>
      <c r="T22" t="n">
        <v>700</v>
      </c>
      <c r="U22" t="inlineStr">
        <is>
          <t>Active</t>
        </is>
      </c>
      <c r="V22" t="n">
        <v>412.14</v>
      </c>
      <c r="W22" t="n">
        <v>0</v>
      </c>
      <c r="X22" t="inlineStr">
        <is>
          <t>Yes</t>
        </is>
      </c>
    </row>
    <row r="23">
      <c r="A23" s="7" t="inlineStr">
        <is>
          <t>MD-00019</t>
        </is>
      </c>
      <c r="B23" s="7" t="inlineStr">
        <is>
          <t>MD-MO-050019</t>
        </is>
      </c>
      <c r="C23" s="7" t="inlineStr">
        <is>
          <t>Mobile Device</t>
        </is>
      </c>
      <c r="D23" s="7" t="inlineStr">
        <is>
          <t>Samsung Galaxy S24</t>
        </is>
      </c>
      <c r="E23" s="7" t="inlineStr">
        <is>
          <t>E0019</t>
        </is>
      </c>
      <c r="F23" s="7" t="inlineStr">
        <is>
          <t>Chicago</t>
        </is>
      </c>
      <c r="G23" s="7" t="inlineStr">
        <is>
          <t>In Use</t>
        </is>
      </c>
      <c r="H23" s="7" t="inlineStr">
        <is>
          <t>E0019</t>
        </is>
      </c>
      <c r="I23" s="7" t="inlineStr">
        <is>
          <t>Chicago</t>
        </is>
      </c>
      <c r="J23" s="7" t="inlineStr">
        <is>
          <t>In Use</t>
        </is>
      </c>
      <c r="K23" s="7" t="inlineStr">
        <is>
          <t>Status for MD-00019: In Use. Site Chicago. Model Samsung Galaxy S24; cost $1175. hr_employee_status lists E0019 / Jasmine Reed as Active. Transfer TR-00019 received 2026-02-26; approval APR-00019. FAR row FA-000019; net book value $795.4. PO PO-2025-0004.</t>
        </is>
      </c>
      <c r="L23" s="7" t="inlineStr">
        <is>
          <t>2026-08-05</t>
        </is>
      </c>
      <c r="M23" s="7" t="n">
        <v>1175</v>
      </c>
      <c r="N23" s="7" t="n">
        <v>795.4</v>
      </c>
      <c r="O23" s="7" t="inlineStr">
        <is>
          <t>FA-000019</t>
        </is>
      </c>
      <c r="P23" s="7" t="inlineStr">
        <is>
          <t>No</t>
        </is>
      </c>
      <c r="Q23" s="9" t="inlineStr">
        <is>
          <t>High</t>
        </is>
      </c>
      <c r="R23" s="7" t="inlineStr"/>
      <c r="S23" s="7" t="inlineStr">
        <is>
          <t>No</t>
        </is>
      </c>
      <c r="T23" t="n">
        <v>1175</v>
      </c>
      <c r="U23" t="inlineStr">
        <is>
          <t>Active</t>
        </is>
      </c>
      <c r="V23" t="n">
        <v>795.4</v>
      </c>
      <c r="W23" t="n">
        <v>0</v>
      </c>
      <c r="X23" t="inlineStr">
        <is>
          <t>Yes</t>
        </is>
      </c>
    </row>
    <row r="24">
      <c r="A24" s="7" t="inlineStr">
        <is>
          <t>MD-00020</t>
        </is>
      </c>
      <c r="B24" s="7" t="inlineStr">
        <is>
          <t>MD-NE-050020</t>
        </is>
      </c>
      <c r="C24" s="7" t="inlineStr">
        <is>
          <t>Network Asset</t>
        </is>
      </c>
      <c r="D24" s="7" t="inlineStr">
        <is>
          <t>Cisco C9300</t>
        </is>
      </c>
      <c r="E24" s="7" t="inlineStr">
        <is>
          <t>E0020</t>
        </is>
      </c>
      <c r="F24" s="7" t="inlineStr">
        <is>
          <t>Dallas</t>
        </is>
      </c>
      <c r="G24" s="7" t="inlineStr">
        <is>
          <t>In Use</t>
        </is>
      </c>
      <c r="H24" s="7" t="inlineStr">
        <is>
          <t>E0020</t>
        </is>
      </c>
      <c r="I24" s="7" t="inlineStr">
        <is>
          <t>Dallas</t>
        </is>
      </c>
      <c r="J24" s="7" t="inlineStr">
        <is>
          <t>In Use</t>
        </is>
      </c>
      <c r="K24" s="7" t="inlineStr">
        <is>
          <t>Dallas holds MD-00020 (Cisco C9300) as In Use. Acquisition $6470. People file: E0020 (Luis Navarro), status Active. Transfer TR-00020 received 2026-03-30; approval APR-00020. Fixed-asset extract includes FA-000020 (NBV $1446.34). PO PO-2025-0004.</t>
        </is>
      </c>
      <c r="L24" s="7" t="inlineStr">
        <is>
          <t>2026-08-05</t>
        </is>
      </c>
      <c r="M24" s="7" t="n">
        <v>6470</v>
      </c>
      <c r="N24" s="7" t="n">
        <v>1446.34</v>
      </c>
      <c r="O24" s="7" t="inlineStr">
        <is>
          <t>FA-000020</t>
        </is>
      </c>
      <c r="P24" s="7" t="inlineStr">
        <is>
          <t>Yes</t>
        </is>
      </c>
      <c r="Q24" s="9" t="inlineStr">
        <is>
          <t>High</t>
        </is>
      </c>
      <c r="R24" s="7" t="inlineStr"/>
      <c r="S24" s="7" t="inlineStr">
        <is>
          <t>No</t>
        </is>
      </c>
      <c r="T24" t="n">
        <v>6470</v>
      </c>
      <c r="U24" t="inlineStr">
        <is>
          <t>Active</t>
        </is>
      </c>
      <c r="V24" t="n">
        <v>1446.34</v>
      </c>
      <c r="W24" t="n">
        <v>0</v>
      </c>
      <c r="X24" t="inlineStr">
        <is>
          <t>Yes</t>
        </is>
      </c>
    </row>
    <row r="25">
      <c r="A25" s="7" t="inlineStr">
        <is>
          <t>MD-00021</t>
        </is>
      </c>
      <c r="B25" s="7" t="inlineStr">
        <is>
          <t>MD-LA-050021</t>
        </is>
      </c>
      <c r="C25" s="7" t="inlineStr">
        <is>
          <t>Laptop</t>
        </is>
      </c>
      <c r="D25" s="7" t="inlineStr">
        <is>
          <t>Dell Latitude 7440</t>
        </is>
      </c>
      <c r="E25" s="7" t="inlineStr">
        <is>
          <t>E0021</t>
        </is>
      </c>
      <c r="F25" s="7" t="inlineStr">
        <is>
          <t>Denver</t>
        </is>
      </c>
      <c r="G25" s="7" t="inlineStr">
        <is>
          <t>In Use</t>
        </is>
      </c>
      <c r="H25" s="7" t="inlineStr">
        <is>
          <t>E0021</t>
        </is>
      </c>
      <c r="I25" s="7" t="inlineStr">
        <is>
          <t>Denver</t>
        </is>
      </c>
      <c r="J25" s="7" t="inlineStr">
        <is>
          <t>In Use</t>
        </is>
      </c>
      <c r="K25" s="7" t="inlineStr">
        <is>
          <t>MD-00021 (Dell Latitude 7440) is In Use at Denver. Acquisition cost $1850. Custodian E0021 (Grace Lindholm) is Active in hr_employee_status. Transfer TR-00021 received 2026-05-03; approval APR-00021. Ledger FA-000021 on file; NBV $124.52. PO PO-2025-0004. Duplicate serial MD-LA-050021 shared with the paired asset.</t>
        </is>
      </c>
      <c r="L25" s="7" t="inlineStr">
        <is>
          <t>2026-08-05</t>
        </is>
      </c>
      <c r="M25" s="7" t="n">
        <v>1850</v>
      </c>
      <c r="N25" s="7" t="n">
        <v>124.52</v>
      </c>
      <c r="O25" s="7" t="inlineStr">
        <is>
          <t>FA-000021</t>
        </is>
      </c>
      <c r="P25" s="7" t="inlineStr">
        <is>
          <t>No</t>
        </is>
      </c>
      <c r="Q25" s="7" t="inlineStr">
        <is>
          <t>Medium</t>
        </is>
      </c>
      <c r="R25" s="7" t="inlineStr">
        <is>
          <t>EX-0002</t>
        </is>
      </c>
      <c r="S25" s="7" t="inlineStr">
        <is>
          <t>No</t>
        </is>
      </c>
      <c r="T25" t="n">
        <v>1850</v>
      </c>
      <c r="U25" t="inlineStr">
        <is>
          <t>Active</t>
        </is>
      </c>
      <c r="V25" t="n">
        <v>124.52</v>
      </c>
      <c r="W25" t="n">
        <v>0</v>
      </c>
      <c r="X25" t="inlineStr">
        <is>
          <t>Yes</t>
        </is>
      </c>
    </row>
    <row r="26">
      <c r="A26" s="7" t="inlineStr">
        <is>
          <t>MD-00022</t>
        </is>
      </c>
      <c r="B26" s="7" t="inlineStr">
        <is>
          <t>MD-MO-050022</t>
        </is>
      </c>
      <c r="C26" s="7" t="inlineStr">
        <is>
          <t>Monitor</t>
        </is>
      </c>
      <c r="D26" s="7" t="inlineStr">
        <is>
          <t>Dell U2723QE</t>
        </is>
      </c>
      <c r="E26" s="7" t="inlineStr">
        <is>
          <t>E0022</t>
        </is>
      </c>
      <c r="F26" s="7" t="inlineStr">
        <is>
          <t>New York</t>
        </is>
      </c>
      <c r="G26" s="7" t="inlineStr">
        <is>
          <t>In Use</t>
        </is>
      </c>
      <c r="H26" s="7" t="inlineStr">
        <is>
          <t>E0022</t>
        </is>
      </c>
      <c r="I26" s="7" t="inlineStr">
        <is>
          <t>New York</t>
        </is>
      </c>
      <c r="J26" s="7" t="inlineStr">
        <is>
          <t>In Use</t>
        </is>
      </c>
      <c r="K26" s="7" t="inlineStr">
        <is>
          <t>Status for MD-00022: In Use. Site New York. Model Dell U2723QE; cost $565. hr_employee_status lists E0022 / Andre Baptiste as Active. Transfer TR-00022 received 2026-06-05; approval APR-00022. FAR row FA-000022; net book value $371.95. PO PO-2025-0004.</t>
        </is>
      </c>
      <c r="L26" s="7" t="inlineStr">
        <is>
          <t>2026-08-05</t>
        </is>
      </c>
      <c r="M26" s="7" t="n">
        <v>565</v>
      </c>
      <c r="N26" s="7" t="n">
        <v>371.95</v>
      </c>
      <c r="O26" s="7" t="inlineStr">
        <is>
          <t>FA-000022</t>
        </is>
      </c>
      <c r="P26" s="7" t="inlineStr">
        <is>
          <t>No</t>
        </is>
      </c>
      <c r="Q26" s="9" t="inlineStr">
        <is>
          <t>High</t>
        </is>
      </c>
      <c r="R26" s="7" t="inlineStr"/>
      <c r="S26" s="7" t="inlineStr">
        <is>
          <t>No</t>
        </is>
      </c>
      <c r="T26" t="n">
        <v>565</v>
      </c>
      <c r="U26" t="inlineStr">
        <is>
          <t>Active</t>
        </is>
      </c>
      <c r="V26" t="n">
        <v>371.95</v>
      </c>
      <c r="W26" t="n">
        <v>0</v>
      </c>
      <c r="X26" t="inlineStr">
        <is>
          <t>Yes</t>
        </is>
      </c>
    </row>
    <row r="27">
      <c r="A27" s="7" t="inlineStr">
        <is>
          <t>MD-00023</t>
        </is>
      </c>
      <c r="B27" s="7" t="inlineStr">
        <is>
          <t>MD-MO-050023</t>
        </is>
      </c>
      <c r="C27" s="7" t="inlineStr">
        <is>
          <t>Mobile Device</t>
        </is>
      </c>
      <c r="D27" s="7" t="inlineStr">
        <is>
          <t>Samsung Galaxy S24</t>
        </is>
      </c>
      <c r="E27" s="7" t="inlineStr">
        <is>
          <t>E0023</t>
        </is>
      </c>
      <c r="F27" s="7" t="inlineStr">
        <is>
          <t>Seattle</t>
        </is>
      </c>
      <c r="G27" s="7" t="inlineStr">
        <is>
          <t>In Use</t>
        </is>
      </c>
      <c r="H27" s="7" t="inlineStr">
        <is>
          <t>E0023</t>
        </is>
      </c>
      <c r="I27" s="7" t="inlineStr">
        <is>
          <t>Seattle</t>
        </is>
      </c>
      <c r="J27" s="7" t="inlineStr">
        <is>
          <t>In Use</t>
        </is>
      </c>
      <c r="K27" s="7" t="inlineStr">
        <is>
          <t>Seattle holds MD-00023 (Samsung Galaxy S24) as In Use. Acquisition $1040. People file: E0023 (Nina Kowalski), status Active. Transfer TR-00023 received 2026-07-09; approval APR-00023. Fixed-asset extract includes FA-000023 (NBV $823.6). PO PO-2025-0004.</t>
        </is>
      </c>
      <c r="L27" s="7" t="inlineStr">
        <is>
          <t>2026-08-05</t>
        </is>
      </c>
      <c r="M27" s="7" t="n">
        <v>1040</v>
      </c>
      <c r="N27" s="7" t="n">
        <v>823.6</v>
      </c>
      <c r="O27" s="7" t="inlineStr">
        <is>
          <t>FA-000023</t>
        </is>
      </c>
      <c r="P27" s="7" t="inlineStr">
        <is>
          <t>No</t>
        </is>
      </c>
      <c r="Q27" s="9" t="inlineStr">
        <is>
          <t>High</t>
        </is>
      </c>
      <c r="R27" s="7" t="inlineStr"/>
      <c r="S27" s="7" t="inlineStr">
        <is>
          <t>No</t>
        </is>
      </c>
      <c r="T27" t="n">
        <v>1040</v>
      </c>
      <c r="U27" t="inlineStr">
        <is>
          <t>Active</t>
        </is>
      </c>
      <c r="V27" t="n">
        <v>823.6</v>
      </c>
      <c r="W27" t="n">
        <v>0</v>
      </c>
      <c r="X27" t="inlineStr">
        <is>
          <t>Yes</t>
        </is>
      </c>
    </row>
    <row r="28">
      <c r="A28" s="7" t="inlineStr">
        <is>
          <t>MD-00024</t>
        </is>
      </c>
      <c r="B28" s="7" t="inlineStr">
        <is>
          <t>MD-NE-050024</t>
        </is>
      </c>
      <c r="C28" s="7" t="inlineStr">
        <is>
          <t>Network Asset</t>
        </is>
      </c>
      <c r="D28" s="7" t="inlineStr">
        <is>
          <t>Cisco C9300</t>
        </is>
      </c>
      <c r="E28" s="7" t="inlineStr">
        <is>
          <t>E0024</t>
        </is>
      </c>
      <c r="F28" s="7" t="inlineStr">
        <is>
          <t>Atlanta</t>
        </is>
      </c>
      <c r="G28" s="7" t="inlineStr">
        <is>
          <t>In Use</t>
        </is>
      </c>
      <c r="H28" s="7" t="inlineStr">
        <is>
          <t>E0024</t>
        </is>
      </c>
      <c r="I28" s="7" t="inlineStr">
        <is>
          <t>Atlanta</t>
        </is>
      </c>
      <c r="J28" s="7" t="inlineStr">
        <is>
          <t>In Use</t>
        </is>
      </c>
      <c r="K28" s="7" t="inlineStr">
        <is>
          <t>MD-00024 (Cisco C9300) is In Use at Atlanta. Acquisition cost $6335. Custodian E0024 (Chris Daley) is Active in hr_employee_status. Transfer TR-00024 received 2026-01-21; approval APR-00024. Ledger FA-000024 on file; NBV $503.85. PO PO-2025-0004.</t>
        </is>
      </c>
      <c r="L28" s="7" t="inlineStr">
        <is>
          <t>2026-08-05</t>
        </is>
      </c>
      <c r="M28" s="7" t="n">
        <v>6335</v>
      </c>
      <c r="N28" s="7" t="n">
        <v>503.85</v>
      </c>
      <c r="O28" s="7" t="inlineStr">
        <is>
          <t>FA-000024</t>
        </is>
      </c>
      <c r="P28" s="7" t="inlineStr">
        <is>
          <t>Yes</t>
        </is>
      </c>
      <c r="Q28" s="9" t="inlineStr">
        <is>
          <t>High</t>
        </is>
      </c>
      <c r="R28" s="7" t="inlineStr"/>
      <c r="S28" s="7" t="inlineStr">
        <is>
          <t>No</t>
        </is>
      </c>
      <c r="T28" t="n">
        <v>6335</v>
      </c>
      <c r="U28" t="inlineStr">
        <is>
          <t>Active</t>
        </is>
      </c>
      <c r="V28" t="n">
        <v>503.85</v>
      </c>
      <c r="W28" t="n">
        <v>0</v>
      </c>
      <c r="X28" t="inlineStr">
        <is>
          <t>Yes</t>
        </is>
      </c>
    </row>
    <row r="29">
      <c r="A29" s="7" t="inlineStr">
        <is>
          <t>MD-00025</t>
        </is>
      </c>
      <c r="B29" s="7" t="inlineStr">
        <is>
          <t>MD-LA-050021</t>
        </is>
      </c>
      <c r="C29" s="7" t="inlineStr">
        <is>
          <t>Laptop</t>
        </is>
      </c>
      <c r="D29" s="7" t="inlineStr">
        <is>
          <t>Lenovo ThinkPad T14</t>
        </is>
      </c>
      <c r="E29" s="7" t="inlineStr">
        <is>
          <t>E0025</t>
        </is>
      </c>
      <c r="F29" s="7" t="inlineStr">
        <is>
          <t>Denver - Closed</t>
        </is>
      </c>
      <c r="G29" s="7" t="inlineStr">
        <is>
          <t>In Use</t>
        </is>
      </c>
      <c r="H29" s="7" t="inlineStr">
        <is>
          <t>E0025</t>
        </is>
      </c>
      <c r="I29" s="7" t="inlineStr">
        <is>
          <t>Chicago</t>
        </is>
      </c>
      <c r="J29" s="7" t="inlineStr">
        <is>
          <t>In Use</t>
        </is>
      </c>
      <c r="K29" s="7" t="inlineStr">
        <is>
          <t>Status for MD-00025: In Use. Site Chicago. Model Lenovo ThinkPad T14; cost $2030. hr_employee_status lists E0025 / Fatima Hussein as Active. Transfer TR-00025 received 2026-01-22; approval APR-00025. FAR row FA-000025; net book value $0. PO PO-2022-0005. Duplicate serial MD-LA-050021 shared with the paired asset.</t>
        </is>
      </c>
      <c r="L29" s="7" t="inlineStr">
        <is>
          <t>2026-08-05</t>
        </is>
      </c>
      <c r="M29" s="7" t="n">
        <v>2030</v>
      </c>
      <c r="N29" s="7" t="n">
        <v>0</v>
      </c>
      <c r="O29" s="7" t="inlineStr">
        <is>
          <t>FA-000025</t>
        </is>
      </c>
      <c r="P29" s="7" t="inlineStr">
        <is>
          <t>No</t>
        </is>
      </c>
      <c r="Q29" s="7" t="inlineStr">
        <is>
          <t>Medium</t>
        </is>
      </c>
      <c r="R29" s="7" t="inlineStr">
        <is>
          <t>EX-0003, EX-0004</t>
        </is>
      </c>
      <c r="S29" s="7" t="inlineStr">
        <is>
          <t>No</t>
        </is>
      </c>
      <c r="T29" t="n">
        <v>2030</v>
      </c>
      <c r="U29" t="inlineStr">
        <is>
          <t>Active</t>
        </is>
      </c>
      <c r="V29" t="n">
        <v>0</v>
      </c>
      <c r="W29" t="n">
        <v>0</v>
      </c>
      <c r="X29" t="inlineStr">
        <is>
          <t>Yes</t>
        </is>
      </c>
    </row>
    <row r="30">
      <c r="A30" s="7" t="inlineStr">
        <is>
          <t>MD-00026</t>
        </is>
      </c>
      <c r="B30" s="7" t="inlineStr">
        <is>
          <t>MD-MO-050026</t>
        </is>
      </c>
      <c r="C30" s="7" t="inlineStr">
        <is>
          <t>Monitor</t>
        </is>
      </c>
      <c r="D30" s="7" t="inlineStr">
        <is>
          <t>Dell U2723QE</t>
        </is>
      </c>
      <c r="E30" s="7" t="inlineStr">
        <is>
          <t>E0026</t>
        </is>
      </c>
      <c r="F30" s="7" t="inlineStr">
        <is>
          <t>Chicago - Closed</t>
        </is>
      </c>
      <c r="G30" s="7" t="inlineStr">
        <is>
          <t>In Use</t>
        </is>
      </c>
      <c r="H30" s="7" t="inlineStr">
        <is>
          <t>E0026</t>
        </is>
      </c>
      <c r="I30" s="7" t="inlineStr">
        <is>
          <t>Dallas</t>
        </is>
      </c>
      <c r="J30" s="7" t="inlineStr">
        <is>
          <t>In Use</t>
        </is>
      </c>
      <c r="K30" s="7" t="inlineStr">
        <is>
          <t>Dallas holds MD-00026 (Dell U2723QE) as In Use. Acquisition $745. People file: E0026 (Brendan Walsh), status Active. Transfer TR-00026 received 2026-02-27; approval APR-00026. Fixed-asset extract includes FA-000026 (NBV $382.34). PO PO-2022-0005.</t>
        </is>
      </c>
      <c r="L30" s="7" t="inlineStr">
        <is>
          <t>2026-08-05</t>
        </is>
      </c>
      <c r="M30" s="7" t="n">
        <v>745</v>
      </c>
      <c r="N30" s="7" t="n">
        <v>382.34</v>
      </c>
      <c r="O30" s="7" t="inlineStr">
        <is>
          <t>FA-000026</t>
        </is>
      </c>
      <c r="P30" s="7" t="inlineStr">
        <is>
          <t>No</t>
        </is>
      </c>
      <c r="Q30" s="9" t="inlineStr">
        <is>
          <t>High</t>
        </is>
      </c>
      <c r="R30" s="7" t="inlineStr">
        <is>
          <t>EX-0005</t>
        </is>
      </c>
      <c r="S30" s="7" t="inlineStr">
        <is>
          <t>No</t>
        </is>
      </c>
      <c r="T30" t="n">
        <v>745</v>
      </c>
      <c r="U30" t="inlineStr">
        <is>
          <t>Active</t>
        </is>
      </c>
      <c r="V30" t="n">
        <v>382.34</v>
      </c>
      <c r="W30" t="n">
        <v>0</v>
      </c>
      <c r="X30" t="inlineStr">
        <is>
          <t>Yes</t>
        </is>
      </c>
    </row>
    <row r="31">
      <c r="A31" s="7" t="inlineStr">
        <is>
          <t>MD-00027</t>
        </is>
      </c>
      <c r="B31" s="7" t="inlineStr">
        <is>
          <t>MD-MO-050027</t>
        </is>
      </c>
      <c r="C31" s="7" t="inlineStr">
        <is>
          <t>Mobile Device</t>
        </is>
      </c>
      <c r="D31" s="7" t="inlineStr">
        <is>
          <t>Samsung Galaxy S24</t>
        </is>
      </c>
      <c r="E31" s="7" t="inlineStr">
        <is>
          <t>E0027</t>
        </is>
      </c>
      <c r="F31" s="7" t="inlineStr">
        <is>
          <t>Denver - Closed</t>
        </is>
      </c>
      <c r="G31" s="7" t="inlineStr">
        <is>
          <t>In Use</t>
        </is>
      </c>
      <c r="H31" s="7" t="inlineStr">
        <is>
          <t>E0027</t>
        </is>
      </c>
      <c r="I31" s="7" t="inlineStr">
        <is>
          <t>Denver</t>
        </is>
      </c>
      <c r="J31" s="7" t="inlineStr">
        <is>
          <t>In Use</t>
        </is>
      </c>
      <c r="K31" s="7" t="inlineStr">
        <is>
          <t>MD-00027 (Samsung Galaxy S24) is In Use at Denver. Acquisition cost $1220. Custodian E0027 (Yuki Tanaka) is Active in hr_employee_status. Transfer TR-00027 received 2026-04-06; approval APR-00027. Ledger FA-000027 on file; NBV $672.21. PO PO-2022-0005.</t>
        </is>
      </c>
      <c r="L31" s="7" t="inlineStr">
        <is>
          <t>2026-08-05</t>
        </is>
      </c>
      <c r="M31" s="7" t="n">
        <v>1220</v>
      </c>
      <c r="N31" s="7" t="n">
        <v>672.21</v>
      </c>
      <c r="O31" s="7" t="inlineStr">
        <is>
          <t>FA-000027</t>
        </is>
      </c>
      <c r="P31" s="7" t="inlineStr">
        <is>
          <t>No</t>
        </is>
      </c>
      <c r="Q31" s="9" t="inlineStr">
        <is>
          <t>High</t>
        </is>
      </c>
      <c r="R31" s="7" t="inlineStr">
        <is>
          <t>EX-0006</t>
        </is>
      </c>
      <c r="S31" s="7" t="inlineStr">
        <is>
          <t>No</t>
        </is>
      </c>
      <c r="T31" t="n">
        <v>1220</v>
      </c>
      <c r="U31" t="inlineStr">
        <is>
          <t>Active</t>
        </is>
      </c>
      <c r="V31" t="n">
        <v>672.21</v>
      </c>
      <c r="W31" t="n">
        <v>0</v>
      </c>
      <c r="X31" t="inlineStr">
        <is>
          <t>Yes</t>
        </is>
      </c>
    </row>
    <row r="32">
      <c r="A32" s="7" t="inlineStr">
        <is>
          <t>MD-00028</t>
        </is>
      </c>
      <c r="B32" s="7" t="inlineStr">
        <is>
          <t>MD-NE-050028</t>
        </is>
      </c>
      <c r="C32" s="7" t="inlineStr">
        <is>
          <t>Network Asset</t>
        </is>
      </c>
      <c r="D32" s="7" t="inlineStr">
        <is>
          <t>Cisco C9300</t>
        </is>
      </c>
      <c r="E32" s="7" t="inlineStr">
        <is>
          <t>E0028</t>
        </is>
      </c>
      <c r="F32" s="7" t="inlineStr">
        <is>
          <t>Chicago - Closed</t>
        </is>
      </c>
      <c r="G32" s="7" t="inlineStr">
        <is>
          <t>In Use</t>
        </is>
      </c>
      <c r="H32" s="7" t="inlineStr">
        <is>
          <t>E0028</t>
        </is>
      </c>
      <c r="I32" s="7" t="inlineStr">
        <is>
          <t>New York</t>
        </is>
      </c>
      <c r="J32" s="7" t="inlineStr">
        <is>
          <t>In Use</t>
        </is>
      </c>
      <c r="K32" s="7" t="inlineStr">
        <is>
          <t>Status for MD-00028: In Use. Site New York. Model Cisco C9300; cost $6200. hr_employee_status lists E0028 / Megan Copeland as Active. Transfer TR-00028 received 2026-05-02; approval APR-00028. FAR row FA-000028; net book value $914.09. PO PO-2022-0005.</t>
        </is>
      </c>
      <c r="L32" s="7" t="inlineStr">
        <is>
          <t>2026-08-05</t>
        </is>
      </c>
      <c r="M32" s="7" t="n">
        <v>6200</v>
      </c>
      <c r="N32" s="7" t="n">
        <v>914.09</v>
      </c>
      <c r="O32" s="7" t="inlineStr">
        <is>
          <t>FA-000028</t>
        </is>
      </c>
      <c r="P32" s="7" t="inlineStr">
        <is>
          <t>Yes</t>
        </is>
      </c>
      <c r="Q32" s="9" t="inlineStr">
        <is>
          <t>High</t>
        </is>
      </c>
      <c r="R32" s="7" t="inlineStr">
        <is>
          <t>EX-0007</t>
        </is>
      </c>
      <c r="S32" s="7" t="inlineStr">
        <is>
          <t>No</t>
        </is>
      </c>
      <c r="T32" t="n">
        <v>6200</v>
      </c>
      <c r="U32" t="inlineStr">
        <is>
          <t>Active</t>
        </is>
      </c>
      <c r="V32" t="n">
        <v>914.09</v>
      </c>
      <c r="W32" t="n">
        <v>0</v>
      </c>
      <c r="X32" t="inlineStr">
        <is>
          <t>Yes</t>
        </is>
      </c>
    </row>
    <row r="33">
      <c r="A33" s="7" t="inlineStr">
        <is>
          <t>MD-00029</t>
        </is>
      </c>
      <c r="B33" s="7" t="inlineStr">
        <is>
          <t>MD-LA-050029</t>
        </is>
      </c>
      <c r="C33" s="7" t="inlineStr">
        <is>
          <t>Laptop</t>
        </is>
      </c>
      <c r="D33" s="7" t="inlineStr">
        <is>
          <t>MacBook Pro 14</t>
        </is>
      </c>
      <c r="E33" s="7" t="inlineStr">
        <is>
          <t>E0029</t>
        </is>
      </c>
      <c r="F33" s="7" t="inlineStr">
        <is>
          <t>Denver - Closed</t>
        </is>
      </c>
      <c r="G33" s="7" t="inlineStr">
        <is>
          <t>In Use</t>
        </is>
      </c>
      <c r="H33" s="7" t="inlineStr">
        <is>
          <t>E0029</t>
        </is>
      </c>
      <c r="I33" s="7" t="inlineStr">
        <is>
          <t>Seattle</t>
        </is>
      </c>
      <c r="J33" s="7" t="inlineStr">
        <is>
          <t>In Use</t>
        </is>
      </c>
      <c r="K33" s="7" t="inlineStr">
        <is>
          <t>Seattle holds MD-00029 (MacBook Pro 14) as In Use. Acquisition $1895. People file: E0029 (Omar Haddad), status Active. Transfer TR-00029 received 2026-06-11; approval APR-00029. Fixed-asset extract includes FA-000029 (NBV $0). PO PO-2022-0005.</t>
        </is>
      </c>
      <c r="L33" s="7" t="inlineStr">
        <is>
          <t>2026-08-05</t>
        </is>
      </c>
      <c r="M33" s="7" t="n">
        <v>1895</v>
      </c>
      <c r="N33" s="7" t="n">
        <v>0</v>
      </c>
      <c r="O33" s="7" t="inlineStr">
        <is>
          <t>FA-000029</t>
        </is>
      </c>
      <c r="P33" s="7" t="inlineStr">
        <is>
          <t>No</t>
        </is>
      </c>
      <c r="Q33" s="9" t="inlineStr">
        <is>
          <t>High</t>
        </is>
      </c>
      <c r="R33" s="7" t="inlineStr">
        <is>
          <t>EX-0008</t>
        </is>
      </c>
      <c r="S33" s="7" t="inlineStr">
        <is>
          <t>No</t>
        </is>
      </c>
      <c r="T33" t="n">
        <v>1895</v>
      </c>
      <c r="U33" t="inlineStr">
        <is>
          <t>Active</t>
        </is>
      </c>
      <c r="V33" t="n">
        <v>0</v>
      </c>
      <c r="W33" t="n">
        <v>0</v>
      </c>
      <c r="X33" t="inlineStr">
        <is>
          <t>Yes</t>
        </is>
      </c>
    </row>
    <row r="34">
      <c r="A34" s="7" t="inlineStr">
        <is>
          <t>MD-00030</t>
        </is>
      </c>
      <c r="B34" s="7" t="inlineStr">
        <is>
          <t>MD-MO-050030</t>
        </is>
      </c>
      <c r="C34" s="7" t="inlineStr">
        <is>
          <t>Monitor</t>
        </is>
      </c>
      <c r="D34" s="7" t="inlineStr">
        <is>
          <t>Dell U2723QE</t>
        </is>
      </c>
      <c r="E34" s="7" t="inlineStr">
        <is>
          <t>E0030</t>
        </is>
      </c>
      <c r="F34" s="7" t="inlineStr">
        <is>
          <t>Chicago - Closed</t>
        </is>
      </c>
      <c r="G34" s="7" t="inlineStr">
        <is>
          <t>In Use</t>
        </is>
      </c>
      <c r="H34" s="7" t="inlineStr">
        <is>
          <t>E0030</t>
        </is>
      </c>
      <c r="I34" s="7" t="inlineStr">
        <is>
          <t>Atlanta</t>
        </is>
      </c>
      <c r="J34" s="7" t="inlineStr">
        <is>
          <t>In Use</t>
        </is>
      </c>
      <c r="K34" s="7" t="inlineStr">
        <is>
          <t>MD-00030 (Dell U2723QE) is In Use at Atlanta. Acquisition cost $610. Custodian E0030 (Stephanie Ruiz) is Active in hr_employee_status. Transfer TR-00030 received 2026-01-13; approval APR-00030. Ledger FA-000030 on file; NBV $355.14. PO PO-2022-0005.</t>
        </is>
      </c>
      <c r="L34" s="7" t="inlineStr">
        <is>
          <t>2026-08-05</t>
        </is>
      </c>
      <c r="M34" s="7" t="n">
        <v>610</v>
      </c>
      <c r="N34" s="7" t="n">
        <v>355.14</v>
      </c>
      <c r="O34" s="7" t="inlineStr">
        <is>
          <t>FA-000030</t>
        </is>
      </c>
      <c r="P34" s="7" t="inlineStr">
        <is>
          <t>No</t>
        </is>
      </c>
      <c r="Q34" s="9" t="inlineStr">
        <is>
          <t>High</t>
        </is>
      </c>
      <c r="R34" s="7" t="inlineStr">
        <is>
          <t>EX-0009</t>
        </is>
      </c>
      <c r="S34" s="7" t="inlineStr">
        <is>
          <t>No</t>
        </is>
      </c>
      <c r="T34" t="n">
        <v>610</v>
      </c>
      <c r="U34" t="inlineStr">
        <is>
          <t>Active</t>
        </is>
      </c>
      <c r="V34" t="n">
        <v>355.14</v>
      </c>
      <c r="W34" t="n">
        <v>0</v>
      </c>
      <c r="X34" t="inlineStr">
        <is>
          <t>Yes</t>
        </is>
      </c>
    </row>
    <row r="35">
      <c r="A35" s="7" t="inlineStr">
        <is>
          <t>MD-00031</t>
        </is>
      </c>
      <c r="B35" s="7" t="inlineStr">
        <is>
          <t>MD-MO-050031</t>
        </is>
      </c>
      <c r="C35" s="7" t="inlineStr">
        <is>
          <t>Mobile Device</t>
        </is>
      </c>
      <c r="D35" s="7" t="inlineStr">
        <is>
          <t>Samsung Galaxy S24</t>
        </is>
      </c>
      <c r="E35" s="7" t="inlineStr">
        <is>
          <t>E0031</t>
        </is>
      </c>
      <c r="F35" s="7" t="inlineStr">
        <is>
          <t>Denver - Closed</t>
        </is>
      </c>
      <c r="G35" s="7" t="inlineStr">
        <is>
          <t>In Use</t>
        </is>
      </c>
      <c r="H35" s="7" t="inlineStr">
        <is>
          <t>E0031</t>
        </is>
      </c>
      <c r="I35" s="7" t="inlineStr">
        <is>
          <t>Chicago</t>
        </is>
      </c>
      <c r="J35" s="7" t="inlineStr">
        <is>
          <t>In Use</t>
        </is>
      </c>
      <c r="K35" s="7" t="inlineStr">
        <is>
          <t>Status for MD-00031: In Use. Site Chicago. Model Samsung Galaxy S24; cost $1085. hr_employee_status lists E0031 / Keith Moreau as Active. Transfer TR-00031 received 2026-02-11; approval APR-00031. FAR row FA-000031; net book value $722.59. PO PO-2023-0006.</t>
        </is>
      </c>
      <c r="L35" s="7" t="inlineStr">
        <is>
          <t>2026-08-05</t>
        </is>
      </c>
      <c r="M35" s="7" t="n">
        <v>1085</v>
      </c>
      <c r="N35" s="7" t="n">
        <v>722.59</v>
      </c>
      <c r="O35" s="7" t="inlineStr">
        <is>
          <t>FA-000031</t>
        </is>
      </c>
      <c r="P35" s="7" t="inlineStr">
        <is>
          <t>No</t>
        </is>
      </c>
      <c r="Q35" s="9" t="inlineStr">
        <is>
          <t>High</t>
        </is>
      </c>
      <c r="R35" s="7" t="inlineStr">
        <is>
          <t>EX-0010</t>
        </is>
      </c>
      <c r="S35" s="7" t="inlineStr">
        <is>
          <t>No</t>
        </is>
      </c>
      <c r="T35" t="n">
        <v>1085</v>
      </c>
      <c r="U35" t="inlineStr">
        <is>
          <t>Active</t>
        </is>
      </c>
      <c r="V35" t="n">
        <v>722.59</v>
      </c>
      <c r="W35" t="n">
        <v>0</v>
      </c>
      <c r="X35" t="inlineStr">
        <is>
          <t>Yes</t>
        </is>
      </c>
    </row>
    <row r="36">
      <c r="A36" s="7" t="inlineStr">
        <is>
          <t>MD-00032</t>
        </is>
      </c>
      <c r="B36" s="7" t="inlineStr">
        <is>
          <t>MD-NE-050032</t>
        </is>
      </c>
      <c r="C36" s="7" t="inlineStr">
        <is>
          <t>Network Asset</t>
        </is>
      </c>
      <c r="D36" s="7" t="inlineStr">
        <is>
          <t>Cisco C9300</t>
        </is>
      </c>
      <c r="E36" s="7" t="inlineStr">
        <is>
          <t>E0032</t>
        </is>
      </c>
      <c r="F36" s="7" t="inlineStr">
        <is>
          <t>Chicago - Closed</t>
        </is>
      </c>
      <c r="G36" s="7" t="inlineStr">
        <is>
          <t>In Use</t>
        </is>
      </c>
      <c r="H36" s="7" t="inlineStr">
        <is>
          <t>E0032</t>
        </is>
      </c>
      <c r="I36" s="7" t="inlineStr">
        <is>
          <t>Dallas</t>
        </is>
      </c>
      <c r="J36" s="7" t="inlineStr">
        <is>
          <t>In Use</t>
        </is>
      </c>
      <c r="K36" s="7" t="inlineStr">
        <is>
          <t>Dallas holds MD-00032 (Cisco C9300) as In Use. Acquisition $6380. People file: E0032 (Diana Voss), status Active. Transfer TR-00032 received 2026-03-22; approval APR-00032. Fixed-asset extract includes FA-000032 (NBV $1384.3). PO PO-2023-0006.</t>
        </is>
      </c>
      <c r="L36" s="7" t="inlineStr">
        <is>
          <t>2026-08-05</t>
        </is>
      </c>
      <c r="M36" s="7" t="n">
        <v>6380</v>
      </c>
      <c r="N36" s="7" t="n">
        <v>1384.3</v>
      </c>
      <c r="O36" s="7" t="inlineStr">
        <is>
          <t>FA-000032</t>
        </is>
      </c>
      <c r="P36" s="7" t="inlineStr">
        <is>
          <t>Yes</t>
        </is>
      </c>
      <c r="Q36" s="9" t="inlineStr">
        <is>
          <t>High</t>
        </is>
      </c>
      <c r="R36" s="7" t="inlineStr">
        <is>
          <t>EX-0011</t>
        </is>
      </c>
      <c r="S36" s="7" t="inlineStr">
        <is>
          <t>No</t>
        </is>
      </c>
      <c r="T36" t="n">
        <v>6380</v>
      </c>
      <c r="U36" t="inlineStr">
        <is>
          <t>Active</t>
        </is>
      </c>
      <c r="V36" t="n">
        <v>1384.3</v>
      </c>
      <c r="W36" t="n">
        <v>0</v>
      </c>
      <c r="X36" t="inlineStr">
        <is>
          <t>Yes</t>
        </is>
      </c>
    </row>
    <row r="37">
      <c r="A37" s="7" t="inlineStr">
        <is>
          <t>MD-00033</t>
        </is>
      </c>
      <c r="B37" s="7" t="inlineStr">
        <is>
          <t>MD-LA-050033</t>
        </is>
      </c>
      <c r="C37" s="7" t="inlineStr">
        <is>
          <t>Laptop</t>
        </is>
      </c>
      <c r="D37" s="7" t="inlineStr">
        <is>
          <t>Dell Latitude 7440</t>
        </is>
      </c>
      <c r="E37" s="7" t="inlineStr">
        <is>
          <t>E0033</t>
        </is>
      </c>
      <c r="F37" s="7" t="inlineStr">
        <is>
          <t>Denver - Closed</t>
        </is>
      </c>
      <c r="G37" s="7" t="inlineStr">
        <is>
          <t>In Use</t>
        </is>
      </c>
      <c r="H37" s="7" t="inlineStr">
        <is>
          <t>E0033</t>
        </is>
      </c>
      <c r="I37" s="7" t="inlineStr">
        <is>
          <t>Denver</t>
        </is>
      </c>
      <c r="J37" s="7" t="inlineStr">
        <is>
          <t>In Use</t>
        </is>
      </c>
      <c r="K37" s="7" t="inlineStr">
        <is>
          <t>MD-00033 (Dell Latitude 7440) is In Use at Denver. Acquisition cost $2075. Custodian E0033 (Jordan Blake) is Active in hr_employee_status. Transfer TR-00033 received 2026-04-22; approval APR-00033. Ledger FA-000033 on file; NBV $116.93. PO PO-2023-0006.</t>
        </is>
      </c>
      <c r="L37" s="7" t="inlineStr">
        <is>
          <t>2026-08-05</t>
        </is>
      </c>
      <c r="M37" s="7" t="n">
        <v>2075</v>
      </c>
      <c r="N37" s="7" t="n">
        <v>116.93</v>
      </c>
      <c r="O37" s="7" t="inlineStr">
        <is>
          <t>FA-000033</t>
        </is>
      </c>
      <c r="P37" s="7" t="inlineStr">
        <is>
          <t>No</t>
        </is>
      </c>
      <c r="Q37" s="9" t="inlineStr">
        <is>
          <t>High</t>
        </is>
      </c>
      <c r="R37" s="7" t="inlineStr">
        <is>
          <t>EX-0012</t>
        </is>
      </c>
      <c r="S37" s="7" t="inlineStr">
        <is>
          <t>No</t>
        </is>
      </c>
      <c r="T37" t="n">
        <v>2075</v>
      </c>
      <c r="U37" t="inlineStr">
        <is>
          <t>Active</t>
        </is>
      </c>
      <c r="V37" t="n">
        <v>116.93</v>
      </c>
      <c r="W37" t="n">
        <v>0</v>
      </c>
      <c r="X37" t="inlineStr">
        <is>
          <t>Yes</t>
        </is>
      </c>
    </row>
    <row r="38">
      <c r="A38" s="7" t="inlineStr">
        <is>
          <t>MD-00034</t>
        </is>
      </c>
      <c r="B38" s="7" t="inlineStr">
        <is>
          <t>MD-MO-050034</t>
        </is>
      </c>
      <c r="C38" s="7" t="inlineStr">
        <is>
          <t>Monitor</t>
        </is>
      </c>
      <c r="D38" s="7" t="inlineStr">
        <is>
          <t>Dell U2723QE</t>
        </is>
      </c>
      <c r="E38" s="7" t="inlineStr">
        <is>
          <t>E0034</t>
        </is>
      </c>
      <c r="F38" s="7" t="inlineStr">
        <is>
          <t>Chicago - Closed</t>
        </is>
      </c>
      <c r="G38" s="7" t="inlineStr">
        <is>
          <t>In Use</t>
        </is>
      </c>
      <c r="H38" s="7" t="inlineStr">
        <is>
          <t>E0034</t>
        </is>
      </c>
      <c r="I38" s="7" t="inlineStr">
        <is>
          <t>New York</t>
        </is>
      </c>
      <c r="J38" s="7" t="inlineStr">
        <is>
          <t>In Use</t>
        </is>
      </c>
      <c r="K38" s="7" t="inlineStr">
        <is>
          <t>Status for MD-00034: In Use. Site New York. Model Dell U2723QE; cost $790. hr_employee_status lists E0034 / Amelia Grant as Active. Transfer TR-00034 received 2026-05-22; approval APR-00034. FAR row FA-000034; net book value $479.88. PO PO-2023-0006. NBV arithmetic: acquisition $930 − accum. dep. $450.12 = $479.88 (ledger previously overstated at $514.88 by $35.00).</t>
        </is>
      </c>
      <c r="L38" s="7" t="inlineStr">
        <is>
          <t>2026-08-05</t>
        </is>
      </c>
      <c r="M38" s="7" t="n">
        <v>790</v>
      </c>
      <c r="N38" s="7">
        <f>XLOOKUP(A38,'Source Ledger'!B5:B133,'Source Ledger'!E5:E133)-XLOOKUP(A38,'Source Ledger'!B5:B133,'Source Ledger'!F5:F133)</f>
        <v>479.88</v>
        <v/>
      </c>
      <c r="O38" s="7" t="inlineStr">
        <is>
          <t>FA-000034</t>
        </is>
      </c>
      <c r="P38" s="7" t="inlineStr">
        <is>
          <t>No</t>
        </is>
      </c>
      <c r="Q38" s="9" t="inlineStr">
        <is>
          <t>High</t>
        </is>
      </c>
      <c r="R38" s="7" t="inlineStr">
        <is>
          <t>EX-0013, EX-0014</t>
        </is>
      </c>
      <c r="S38" s="7" t="inlineStr">
        <is>
          <t>No</t>
        </is>
      </c>
      <c r="T38" t="n">
        <v>930</v>
      </c>
      <c r="U38" t="inlineStr">
        <is>
          <t>Active</t>
        </is>
      </c>
      <c r="V38">
        <f>XLOOKUP(A38,'Source Ledger'!B5:B133,'Source Ledger'!G5:G133)</f>
        <v>479.88</v>
        <v/>
      </c>
      <c r="W38">
        <f>T38-M38</f>
        <v>140</v>
        <v/>
      </c>
      <c r="X38" t="inlineStr">
        <is>
          <t>Yes</t>
        </is>
      </c>
    </row>
    <row r="39">
      <c r="A39" s="7" t="inlineStr">
        <is>
          <t>MD-00035</t>
        </is>
      </c>
      <c r="B39" s="7" t="inlineStr">
        <is>
          <t>MD-MO-050035</t>
        </is>
      </c>
      <c r="C39" s="7" t="inlineStr">
        <is>
          <t>Mobile Device</t>
        </is>
      </c>
      <c r="D39" s="7" t="inlineStr">
        <is>
          <t>Samsung Galaxy S24</t>
        </is>
      </c>
      <c r="E39" s="7" t="inlineStr">
        <is>
          <t>E0035</t>
        </is>
      </c>
      <c r="F39" s="7" t="inlineStr">
        <is>
          <t>Denver - Closed</t>
        </is>
      </c>
      <c r="G39" s="7" t="inlineStr">
        <is>
          <t>In Use</t>
        </is>
      </c>
      <c r="H39" s="7" t="inlineStr">
        <is>
          <t>E0035</t>
        </is>
      </c>
      <c r="I39" s="7" t="inlineStr">
        <is>
          <t>Seattle</t>
        </is>
      </c>
      <c r="J39" s="7" t="inlineStr">
        <is>
          <t>In Use</t>
        </is>
      </c>
      <c r="K39" s="7" t="inlineStr">
        <is>
          <t>Seattle holds MD-00035 (Samsung Galaxy S24) as In Use. Acquisition $950. People file: E0035 (Rafael Mendes), status Active. Transfer TR-00035 received 2026-06-30; approval APR-00035. Fixed-asset extract includes FA-000035 (NBV $741.92). PO PO-2023-0006.</t>
        </is>
      </c>
      <c r="L39" s="7" t="inlineStr">
        <is>
          <t>2026-08-05</t>
        </is>
      </c>
      <c r="M39" s="7" t="n">
        <v>950</v>
      </c>
      <c r="N39" s="7" t="n">
        <v>741.92</v>
      </c>
      <c r="O39" s="7" t="inlineStr">
        <is>
          <t>FA-000035</t>
        </is>
      </c>
      <c r="P39" s="7" t="inlineStr">
        <is>
          <t>No</t>
        </is>
      </c>
      <c r="Q39" s="9" t="inlineStr">
        <is>
          <t>High</t>
        </is>
      </c>
      <c r="R39" s="7" t="inlineStr">
        <is>
          <t>EX-0015</t>
        </is>
      </c>
      <c r="S39" s="7" t="inlineStr">
        <is>
          <t>No</t>
        </is>
      </c>
      <c r="T39" t="n">
        <v>950</v>
      </c>
      <c r="U39" t="inlineStr">
        <is>
          <t>Active</t>
        </is>
      </c>
      <c r="V39" t="n">
        <v>741.92</v>
      </c>
      <c r="W39" t="n">
        <v>0</v>
      </c>
      <c r="X39" t="inlineStr">
        <is>
          <t>Yes</t>
        </is>
      </c>
    </row>
    <row r="40">
      <c r="A40" s="7" t="inlineStr">
        <is>
          <t>MD-00036</t>
        </is>
      </c>
      <c r="B40" s="7" t="inlineStr">
        <is>
          <t>MD-NE-050036</t>
        </is>
      </c>
      <c r="C40" s="7" t="inlineStr">
        <is>
          <t>Network Asset</t>
        </is>
      </c>
      <c r="D40" s="7" t="inlineStr">
        <is>
          <t>Cisco C9300</t>
        </is>
      </c>
      <c r="E40" s="7" t="inlineStr">
        <is>
          <t>E0036</t>
        </is>
      </c>
      <c r="F40" s="7" t="inlineStr">
        <is>
          <t>Chicago - Closed</t>
        </is>
      </c>
      <c r="G40" s="7" t="inlineStr">
        <is>
          <t>In Use</t>
        </is>
      </c>
      <c r="H40" s="7" t="inlineStr">
        <is>
          <t>E0036</t>
        </is>
      </c>
      <c r="I40" s="7" t="inlineStr">
        <is>
          <t>Atlanta</t>
        </is>
      </c>
      <c r="J40" s="7" t="inlineStr">
        <is>
          <t>In Use</t>
        </is>
      </c>
      <c r="K40" s="7" t="inlineStr">
        <is>
          <t>MD-00036 (Cisco C9300) is In Use at Atlanta. Acquisition cost $6245. Custodian E0036 (Kate Sorenson) is Active in hr_employee_status. Transfer TR-00036 received 2026-02-01; approval APR-00036. Ledger FA-000036 on file; NBV $537.73. PO PO-2023-0006.</t>
        </is>
      </c>
      <c r="L40" s="7" t="inlineStr">
        <is>
          <t>2026-08-05</t>
        </is>
      </c>
      <c r="M40" s="7" t="n">
        <v>6245</v>
      </c>
      <c r="N40" s="7" t="n">
        <v>537.73</v>
      </c>
      <c r="O40" s="7" t="inlineStr">
        <is>
          <t>FA-000036</t>
        </is>
      </c>
      <c r="P40" s="7" t="inlineStr">
        <is>
          <t>Yes</t>
        </is>
      </c>
      <c r="Q40" s="9" t="inlineStr">
        <is>
          <t>High</t>
        </is>
      </c>
      <c r="R40" s="7" t="inlineStr">
        <is>
          <t>EX-0016</t>
        </is>
      </c>
      <c r="S40" s="7" t="inlineStr">
        <is>
          <t>No</t>
        </is>
      </c>
      <c r="T40" t="n">
        <v>6245</v>
      </c>
      <c r="U40" t="inlineStr">
        <is>
          <t>Active</t>
        </is>
      </c>
      <c r="V40" t="n">
        <v>537.73</v>
      </c>
      <c r="W40" t="n">
        <v>0</v>
      </c>
      <c r="X40" t="inlineStr">
        <is>
          <t>Yes</t>
        </is>
      </c>
    </row>
    <row r="41">
      <c r="A41" s="7" t="inlineStr">
        <is>
          <t>MD-00037</t>
        </is>
      </c>
      <c r="B41" s="7" t="inlineStr">
        <is>
          <t>MD-LA-050037</t>
        </is>
      </c>
      <c r="C41" s="7" t="inlineStr">
        <is>
          <t>Laptop</t>
        </is>
      </c>
      <c r="D41" s="7" t="inlineStr">
        <is>
          <t>Lenovo ThinkPad T14</t>
        </is>
      </c>
      <c r="E41" s="7" t="inlineStr">
        <is>
          <t>E0037</t>
        </is>
      </c>
      <c r="F41" s="7" t="inlineStr">
        <is>
          <t>Denver - Closed</t>
        </is>
      </c>
      <c r="G41" s="7" t="inlineStr">
        <is>
          <t>In Use</t>
        </is>
      </c>
      <c r="H41" s="7" t="inlineStr">
        <is>
          <t>E0037</t>
        </is>
      </c>
      <c r="I41" s="7" t="inlineStr">
        <is>
          <t>Chicago</t>
        </is>
      </c>
      <c r="J41" s="7" t="inlineStr">
        <is>
          <t>In Use</t>
        </is>
      </c>
      <c r="K41" s="7" t="inlineStr">
        <is>
          <t>Status for MD-00037: In Use. Site Chicago. Model Lenovo ThinkPad T14; cost $1940. hr_employee_status lists E0037 / Victor Lang as Active. Transfer TR-00037 received 2026-02-02; approval APR-00037. FAR row FA-000037; net book value $0. PO PO-2024-0007.</t>
        </is>
      </c>
      <c r="L41" s="7" t="inlineStr">
        <is>
          <t>2026-08-05</t>
        </is>
      </c>
      <c r="M41" s="7" t="n">
        <v>1940</v>
      </c>
      <c r="N41" s="7" t="n">
        <v>0</v>
      </c>
      <c r="O41" s="7" t="inlineStr">
        <is>
          <t>FA-000037</t>
        </is>
      </c>
      <c r="P41" s="7" t="inlineStr">
        <is>
          <t>No</t>
        </is>
      </c>
      <c r="Q41" s="9" t="inlineStr">
        <is>
          <t>High</t>
        </is>
      </c>
      <c r="R41" s="7" t="inlineStr">
        <is>
          <t>EX-0017</t>
        </is>
      </c>
      <c r="S41" s="7" t="inlineStr">
        <is>
          <t>No</t>
        </is>
      </c>
      <c r="T41" t="n">
        <v>1940</v>
      </c>
      <c r="U41" t="inlineStr">
        <is>
          <t>Active</t>
        </is>
      </c>
      <c r="V41" t="n">
        <v>0</v>
      </c>
      <c r="W41" t="n">
        <v>0</v>
      </c>
      <c r="X41" t="inlineStr">
        <is>
          <t>Yes</t>
        </is>
      </c>
    </row>
    <row r="42">
      <c r="A42" s="7" t="inlineStr">
        <is>
          <t>MD-00038</t>
        </is>
      </c>
      <c r="B42" s="7" t="inlineStr">
        <is>
          <t>MD-MO-050038</t>
        </is>
      </c>
      <c r="C42" s="7" t="inlineStr">
        <is>
          <t>Monitor</t>
        </is>
      </c>
      <c r="D42" s="7" t="inlineStr">
        <is>
          <t>Dell U2723QE</t>
        </is>
      </c>
      <c r="E42" s="7" t="inlineStr">
        <is>
          <t>E0038</t>
        </is>
      </c>
      <c r="F42" s="7" t="inlineStr">
        <is>
          <t>Chicago - Closed</t>
        </is>
      </c>
      <c r="G42" s="7" t="inlineStr">
        <is>
          <t>In Use</t>
        </is>
      </c>
      <c r="H42" s="7" t="inlineStr">
        <is>
          <t>E0038</t>
        </is>
      </c>
      <c r="I42" s="7" t="inlineStr">
        <is>
          <t>Dallas</t>
        </is>
      </c>
      <c r="J42" s="7" t="inlineStr">
        <is>
          <t>In Use</t>
        </is>
      </c>
      <c r="K42" s="7" t="inlineStr">
        <is>
          <t>Dallas holds MD-00038 (Dell U2723QE) as In Use. Acquisition $655. People file: E0038 (Noelle Harper), status Active. Transfer TR-00038 received 2026-03-11; approval APR-00038. Fixed-asset extract includes FA-000038 (NBV $340.46). PO PO-2024-0007.</t>
        </is>
      </c>
      <c r="L42" s="7" t="inlineStr">
        <is>
          <t>2026-08-05</t>
        </is>
      </c>
      <c r="M42" s="7" t="n">
        <v>655</v>
      </c>
      <c r="N42" s="7" t="n">
        <v>340.46</v>
      </c>
      <c r="O42" s="7" t="inlineStr">
        <is>
          <t>FA-000038</t>
        </is>
      </c>
      <c r="P42" s="7" t="inlineStr">
        <is>
          <t>No</t>
        </is>
      </c>
      <c r="Q42" s="9" t="inlineStr">
        <is>
          <t>High</t>
        </is>
      </c>
      <c r="R42" s="7" t="inlineStr">
        <is>
          <t>EX-0018</t>
        </is>
      </c>
      <c r="S42" s="7" t="inlineStr">
        <is>
          <t>No</t>
        </is>
      </c>
      <c r="T42" t="n">
        <v>655</v>
      </c>
      <c r="U42" t="inlineStr">
        <is>
          <t>Active</t>
        </is>
      </c>
      <c r="V42" t="n">
        <v>340.46</v>
      </c>
      <c r="W42" t="n">
        <v>0</v>
      </c>
      <c r="X42" t="inlineStr">
        <is>
          <t>Yes</t>
        </is>
      </c>
    </row>
    <row r="43">
      <c r="A43" s="7" t="inlineStr">
        <is>
          <t>MD-00039</t>
        </is>
      </c>
      <c r="B43" s="7" t="inlineStr">
        <is>
          <t>MD-MO-050039</t>
        </is>
      </c>
      <c r="C43" s="7" t="inlineStr">
        <is>
          <t>Mobile Device</t>
        </is>
      </c>
      <c r="D43" s="7" t="inlineStr">
        <is>
          <t>Samsung Galaxy S24</t>
        </is>
      </c>
      <c r="E43" s="7" t="inlineStr">
        <is>
          <t>E0039</t>
        </is>
      </c>
      <c r="F43" s="7" t="inlineStr">
        <is>
          <t>Denver - Closed</t>
        </is>
      </c>
      <c r="G43" s="7" t="inlineStr">
        <is>
          <t>In Use</t>
        </is>
      </c>
      <c r="H43" s="7" t="inlineStr">
        <is>
          <t>E0039</t>
        </is>
      </c>
      <c r="I43" s="7" t="inlineStr">
        <is>
          <t>Denver</t>
        </is>
      </c>
      <c r="J43" s="7" t="inlineStr">
        <is>
          <t>In Use</t>
        </is>
      </c>
      <c r="K43" s="7" t="inlineStr">
        <is>
          <t>MD-00039 (Samsung Galaxy S24) is In Use at Denver. Acquisition cost $1130. Custodian E0039 (Samir Kapoor) is Active in hr_employee_status. Transfer TR-00039 received 2026-04-14; approval APR-00039. Ledger FA-000039 on file; NBV $635. PO PO-2024-0007.</t>
        </is>
      </c>
      <c r="L43" s="7" t="inlineStr">
        <is>
          <t>2026-08-05</t>
        </is>
      </c>
      <c r="M43" s="7" t="n">
        <v>1130</v>
      </c>
      <c r="N43" s="7" t="n">
        <v>635</v>
      </c>
      <c r="O43" s="7" t="inlineStr">
        <is>
          <t>FA-000039</t>
        </is>
      </c>
      <c r="P43" s="7" t="inlineStr">
        <is>
          <t>No</t>
        </is>
      </c>
      <c r="Q43" s="9" t="inlineStr">
        <is>
          <t>High</t>
        </is>
      </c>
      <c r="R43" s="7" t="inlineStr">
        <is>
          <t>EX-0019</t>
        </is>
      </c>
      <c r="S43" s="7" t="inlineStr">
        <is>
          <t>No</t>
        </is>
      </c>
      <c r="T43" t="n">
        <v>1130</v>
      </c>
      <c r="U43" t="inlineStr">
        <is>
          <t>Active</t>
        </is>
      </c>
      <c r="V43" t="n">
        <v>635</v>
      </c>
      <c r="W43" t="n">
        <v>0</v>
      </c>
      <c r="X43" t="inlineStr">
        <is>
          <t>Yes</t>
        </is>
      </c>
    </row>
    <row r="44">
      <c r="A44" s="7" t="inlineStr">
        <is>
          <t>MD-00040</t>
        </is>
      </c>
      <c r="B44" s="7" t="inlineStr">
        <is>
          <t>MD-NE-050040</t>
        </is>
      </c>
      <c r="C44" s="7" t="inlineStr">
        <is>
          <t>Network Asset</t>
        </is>
      </c>
      <c r="D44" s="7" t="inlineStr">
        <is>
          <t>Cisco C9300</t>
        </is>
      </c>
      <c r="E44" s="7" t="inlineStr">
        <is>
          <t>E0040</t>
        </is>
      </c>
      <c r="F44" s="7" t="inlineStr">
        <is>
          <t>Chicago - Closed</t>
        </is>
      </c>
      <c r="G44" s="7" t="inlineStr">
        <is>
          <t>In Use</t>
        </is>
      </c>
      <c r="H44" s="7" t="inlineStr">
        <is>
          <t>E0040</t>
        </is>
      </c>
      <c r="I44" s="7" t="inlineStr">
        <is>
          <t>New York</t>
        </is>
      </c>
      <c r="J44" s="7" t="inlineStr">
        <is>
          <t>In Use</t>
        </is>
      </c>
      <c r="K44" s="7" t="inlineStr">
        <is>
          <t>Status for MD-00040: In Use. Site New York. Model Cisco C9300; cost $6425. hr_employee_status lists E0040 / Holly Jensen as Active. Transfer TR-00040 received 2026-05-13; approval APR-00040. FAR row FA-000040; net book value $989.48. PO PO-2024-0007.</t>
        </is>
      </c>
      <c r="L44" s="7" t="inlineStr">
        <is>
          <t>2026-08-05</t>
        </is>
      </c>
      <c r="M44" s="7" t="n">
        <v>6425</v>
      </c>
      <c r="N44" s="7" t="n">
        <v>989.48</v>
      </c>
      <c r="O44" s="7" t="inlineStr">
        <is>
          <t>FA-000040</t>
        </is>
      </c>
      <c r="P44" s="7" t="inlineStr">
        <is>
          <t>Yes</t>
        </is>
      </c>
      <c r="Q44" s="9" t="inlineStr">
        <is>
          <t>High</t>
        </is>
      </c>
      <c r="R44" s="7" t="inlineStr">
        <is>
          <t>EX-0020</t>
        </is>
      </c>
      <c r="S44" s="7" t="inlineStr">
        <is>
          <t>No</t>
        </is>
      </c>
      <c r="T44" t="n">
        <v>6425</v>
      </c>
      <c r="U44" t="inlineStr">
        <is>
          <t>Active</t>
        </is>
      </c>
      <c r="V44" t="n">
        <v>989.48</v>
      </c>
      <c r="W44" t="n">
        <v>0</v>
      </c>
      <c r="X44" t="inlineStr">
        <is>
          <t>Yes</t>
        </is>
      </c>
    </row>
    <row r="45">
      <c r="A45" s="7" t="inlineStr">
        <is>
          <t>MD-00041</t>
        </is>
      </c>
      <c r="B45" s="7" t="inlineStr">
        <is>
          <t>MD-LA-050041</t>
        </is>
      </c>
      <c r="C45" s="7" t="inlineStr">
        <is>
          <t>Laptop</t>
        </is>
      </c>
      <c r="D45" s="7" t="inlineStr">
        <is>
          <t>MacBook Pro 14</t>
        </is>
      </c>
      <c r="E45" s="7" t="inlineStr">
        <is>
          <t>E0041</t>
        </is>
      </c>
      <c r="F45" s="7" t="inlineStr">
        <is>
          <t>Denver - Closed</t>
        </is>
      </c>
      <c r="G45" s="7" t="inlineStr">
        <is>
          <t>In Use</t>
        </is>
      </c>
      <c r="H45" s="7" t="inlineStr">
        <is>
          <t>E0041</t>
        </is>
      </c>
      <c r="I45" s="7" t="inlineStr">
        <is>
          <t>Seattle</t>
        </is>
      </c>
      <c r="J45" s="7" t="inlineStr">
        <is>
          <t>In Use</t>
        </is>
      </c>
      <c r="K45" s="7" t="inlineStr">
        <is>
          <t>Seattle holds MD-00041 (MacBook Pro 14) as In Use. Acquisition $2120. People file: E0041 (Eric Vann), status Active. Transfer TR-00041 received 2026-06-20; approval APR-00041. Fixed-asset extract includes FA-000041 (NBV $0). PO PO-2024-0007.</t>
        </is>
      </c>
      <c r="L45" s="7" t="inlineStr">
        <is>
          <t>2026-08-05</t>
        </is>
      </c>
      <c r="M45" s="7" t="n">
        <v>2120</v>
      </c>
      <c r="N45" s="7" t="n">
        <v>0</v>
      </c>
      <c r="O45" s="7" t="inlineStr">
        <is>
          <t>FA-000041</t>
        </is>
      </c>
      <c r="P45" s="7" t="inlineStr">
        <is>
          <t>No</t>
        </is>
      </c>
      <c r="Q45" s="9" t="inlineStr">
        <is>
          <t>High</t>
        </is>
      </c>
      <c r="R45" s="7" t="inlineStr">
        <is>
          <t>EX-0021</t>
        </is>
      </c>
      <c r="S45" s="7" t="inlineStr">
        <is>
          <t>No</t>
        </is>
      </c>
      <c r="T45" t="n">
        <v>2120</v>
      </c>
      <c r="U45" t="inlineStr">
        <is>
          <t>Active</t>
        </is>
      </c>
      <c r="V45" t="n">
        <v>0</v>
      </c>
      <c r="W45" t="n">
        <v>0</v>
      </c>
      <c r="X45" t="inlineStr">
        <is>
          <t>Yes</t>
        </is>
      </c>
    </row>
    <row r="46">
      <c r="A46" s="7" t="inlineStr">
        <is>
          <t>MD-00042</t>
        </is>
      </c>
      <c r="B46" s="7" t="inlineStr">
        <is>
          <t>MD-MO-050042</t>
        </is>
      </c>
      <c r="C46" s="7" t="inlineStr">
        <is>
          <t>Monitor</t>
        </is>
      </c>
      <c r="D46" s="7" t="inlineStr">
        <is>
          <t>Dell U2723QE</t>
        </is>
      </c>
      <c r="E46" s="7" t="inlineStr">
        <is>
          <t>E0042</t>
        </is>
      </c>
      <c r="F46" s="7" t="inlineStr">
        <is>
          <t>Chicago - Closed</t>
        </is>
      </c>
      <c r="G46" s="7" t="inlineStr">
        <is>
          <t>In Use</t>
        </is>
      </c>
      <c r="H46" s="7" t="inlineStr">
        <is>
          <t>E0042</t>
        </is>
      </c>
      <c r="I46" s="7" t="inlineStr">
        <is>
          <t>Atlanta</t>
        </is>
      </c>
      <c r="J46" s="7" t="inlineStr">
        <is>
          <t>In Use</t>
        </is>
      </c>
      <c r="K46" s="7" t="inlineStr">
        <is>
          <t>MD-00042 (Dell U2723QE) is In Use at Atlanta. Acquisition cost $520. Custodian E0042 (Claudia Rossi) is Active in hr_employee_status. Transfer TR-00042 received 2026-01-24; approval APR-00042. Ledger FA-000042 on file; NBV $306.16. PO PO-2024-0007.</t>
        </is>
      </c>
      <c r="L46" s="7" t="inlineStr">
        <is>
          <t>2026-08-05</t>
        </is>
      </c>
      <c r="M46" s="7" t="n">
        <v>520</v>
      </c>
      <c r="N46" s="7" t="n">
        <v>306.16</v>
      </c>
      <c r="O46" s="7" t="inlineStr">
        <is>
          <t>FA-000042</t>
        </is>
      </c>
      <c r="P46" s="7" t="inlineStr">
        <is>
          <t>No</t>
        </is>
      </c>
      <c r="Q46" s="9" t="inlineStr">
        <is>
          <t>High</t>
        </is>
      </c>
      <c r="R46" s="7" t="inlineStr">
        <is>
          <t>EX-0022</t>
        </is>
      </c>
      <c r="S46" s="7" t="inlineStr">
        <is>
          <t>No</t>
        </is>
      </c>
      <c r="T46" t="n">
        <v>520</v>
      </c>
      <c r="U46" t="inlineStr">
        <is>
          <t>Active</t>
        </is>
      </c>
      <c r="V46" t="n">
        <v>306.16</v>
      </c>
      <c r="W46" t="n">
        <v>0</v>
      </c>
      <c r="X46" t="inlineStr">
        <is>
          <t>Yes</t>
        </is>
      </c>
    </row>
    <row r="47">
      <c r="A47" s="7" t="inlineStr">
        <is>
          <t>MD-00043</t>
        </is>
      </c>
      <c r="B47" s="7" t="inlineStr">
        <is>
          <t>MD-MO-050043</t>
        </is>
      </c>
      <c r="C47" s="7" t="inlineStr">
        <is>
          <t>Mobile Device</t>
        </is>
      </c>
      <c r="D47" s="7" t="inlineStr">
        <is>
          <t>Samsung Galaxy S24</t>
        </is>
      </c>
      <c r="E47" s="7" t="inlineStr">
        <is>
          <t>E0043</t>
        </is>
      </c>
      <c r="F47" s="7" t="inlineStr">
        <is>
          <t>Denver - Closed</t>
        </is>
      </c>
      <c r="G47" s="7" t="inlineStr">
        <is>
          <t>In Use</t>
        </is>
      </c>
      <c r="H47" s="7" t="inlineStr">
        <is>
          <t>E0043</t>
        </is>
      </c>
      <c r="I47" s="7" t="inlineStr">
        <is>
          <t>Chicago</t>
        </is>
      </c>
      <c r="J47" s="7" t="inlineStr">
        <is>
          <t>In Use</t>
        </is>
      </c>
      <c r="K47" s="7" t="inlineStr">
        <is>
          <t>Status for MD-00043: In Use. Site Chicago. Model Samsung Galaxy S24; cost $995. hr_employee_status lists E0043 / Tyler Brooks as Active. Transfer TR-00043 received 2026-03-01; approval APR-00043. FAR row FA-000043; net book value $673.55. PO PO-2025-0008.</t>
        </is>
      </c>
      <c r="L47" s="7" t="inlineStr">
        <is>
          <t>2026-08-05</t>
        </is>
      </c>
      <c r="M47" s="7" t="n">
        <v>995</v>
      </c>
      <c r="N47" s="7" t="n">
        <v>673.55</v>
      </c>
      <c r="O47" s="7" t="inlineStr">
        <is>
          <t>FA-000043</t>
        </is>
      </c>
      <c r="P47" s="7" t="inlineStr">
        <is>
          <t>No</t>
        </is>
      </c>
      <c r="Q47" s="9" t="inlineStr">
        <is>
          <t>High</t>
        </is>
      </c>
      <c r="R47" s="7" t="inlineStr">
        <is>
          <t>EX-0023</t>
        </is>
      </c>
      <c r="S47" s="7" t="inlineStr">
        <is>
          <t>No</t>
        </is>
      </c>
      <c r="T47" t="n">
        <v>995</v>
      </c>
      <c r="U47" t="inlineStr">
        <is>
          <t>Active</t>
        </is>
      </c>
      <c r="V47" t="n">
        <v>673.55</v>
      </c>
      <c r="W47" t="n">
        <v>0</v>
      </c>
      <c r="X47" t="inlineStr">
        <is>
          <t>Yes</t>
        </is>
      </c>
    </row>
    <row r="48">
      <c r="A48" s="7" t="inlineStr">
        <is>
          <t>MD-00044</t>
        </is>
      </c>
      <c r="B48" s="7" t="inlineStr">
        <is>
          <t>MD-NE-050044</t>
        </is>
      </c>
      <c r="C48" s="7" t="inlineStr">
        <is>
          <t>Network Asset</t>
        </is>
      </c>
      <c r="D48" s="7" t="inlineStr">
        <is>
          <t>Cisco C9300</t>
        </is>
      </c>
      <c r="E48" s="7" t="inlineStr">
        <is>
          <t>E0044</t>
        </is>
      </c>
      <c r="F48" s="7" t="inlineStr">
        <is>
          <t>Chicago - Closed</t>
        </is>
      </c>
      <c r="G48" s="7" t="inlineStr">
        <is>
          <t>In Use</t>
        </is>
      </c>
      <c r="H48" s="7" t="inlineStr">
        <is>
          <t>E0044</t>
        </is>
      </c>
      <c r="I48" s="7" t="inlineStr">
        <is>
          <t>Dallas</t>
        </is>
      </c>
      <c r="J48" s="7" t="inlineStr">
        <is>
          <t>In Use</t>
        </is>
      </c>
      <c r="K48" s="7" t="inlineStr">
        <is>
          <t>Dallas holds MD-00044 (Cisco C9300) as In Use. Acquisition $6290. People file: E0044 (Leah Okada), status Active. Transfer TR-00044 received 2026-03-31; approval APR-00044. Fixed-asset extract includes FA-000044 (NBV $1406.1). PO PO-2025-0008.</t>
        </is>
      </c>
      <c r="L48" s="7" t="inlineStr">
        <is>
          <t>2026-08-05</t>
        </is>
      </c>
      <c r="M48" s="7" t="n">
        <v>6290</v>
      </c>
      <c r="N48" s="7" t="n">
        <v>1406.1</v>
      </c>
      <c r="O48" s="7" t="inlineStr">
        <is>
          <t>FA-000044</t>
        </is>
      </c>
      <c r="P48" s="7" t="inlineStr">
        <is>
          <t>Yes</t>
        </is>
      </c>
      <c r="Q48" s="9" t="inlineStr">
        <is>
          <t>High</t>
        </is>
      </c>
      <c r="R48" s="7" t="inlineStr">
        <is>
          <t>EX-0024</t>
        </is>
      </c>
      <c r="S48" s="7" t="inlineStr">
        <is>
          <t>No</t>
        </is>
      </c>
      <c r="T48" t="n">
        <v>6290</v>
      </c>
      <c r="U48" t="inlineStr">
        <is>
          <t>Active</t>
        </is>
      </c>
      <c r="V48" t="n">
        <v>1406.1</v>
      </c>
      <c r="W48" t="n">
        <v>0</v>
      </c>
      <c r="X48" t="inlineStr">
        <is>
          <t>Yes</t>
        </is>
      </c>
    </row>
    <row r="49">
      <c r="A49" s="7" t="inlineStr">
        <is>
          <t>MD-00045</t>
        </is>
      </c>
      <c r="B49" s="7" t="inlineStr">
        <is>
          <t>MD-LA-050045</t>
        </is>
      </c>
      <c r="C49" s="7" t="inlineStr">
        <is>
          <t>Laptop</t>
        </is>
      </c>
      <c r="D49" s="7" t="inlineStr">
        <is>
          <t>Dell Latitude 7440</t>
        </is>
      </c>
      <c r="E49" s="7" t="inlineStr">
        <is>
          <t>E0045</t>
        </is>
      </c>
      <c r="F49" s="7" t="inlineStr">
        <is>
          <t>Denver - Closed</t>
        </is>
      </c>
      <c r="G49" s="7" t="inlineStr">
        <is>
          <t>In Use</t>
        </is>
      </c>
      <c r="H49" s="7" t="inlineStr">
        <is>
          <t>E0045</t>
        </is>
      </c>
      <c r="I49" s="7" t="inlineStr">
        <is>
          <t>Denver</t>
        </is>
      </c>
      <c r="J49" s="7" t="inlineStr">
        <is>
          <t>In Use</t>
        </is>
      </c>
      <c r="K49" s="7" t="inlineStr">
        <is>
          <t>MD-00045 (Dell Latitude 7440) is In Use at Denver. Acquisition cost $1985. Custodian E0045 (Darnell Price) is Active in hr_employee_status. Transfer TR-00045 received 2026-05-03; approval APR-00045. Ledger FA-000045 on file; NBV $133.6. PO PO-2025-0008.</t>
        </is>
      </c>
      <c r="L49" s="7" t="inlineStr">
        <is>
          <t>2026-08-05</t>
        </is>
      </c>
      <c r="M49" s="7" t="n">
        <v>1985</v>
      </c>
      <c r="N49" s="7" t="n">
        <v>133.6</v>
      </c>
      <c r="O49" s="7" t="inlineStr">
        <is>
          <t>FA-000045</t>
        </is>
      </c>
      <c r="P49" s="7" t="inlineStr">
        <is>
          <t>No</t>
        </is>
      </c>
      <c r="Q49" s="9" t="inlineStr">
        <is>
          <t>High</t>
        </is>
      </c>
      <c r="R49" s="7" t="inlineStr">
        <is>
          <t>EX-0025</t>
        </is>
      </c>
      <c r="S49" s="7" t="inlineStr">
        <is>
          <t>No</t>
        </is>
      </c>
      <c r="T49" t="n">
        <v>1985</v>
      </c>
      <c r="U49" t="inlineStr">
        <is>
          <t>Active</t>
        </is>
      </c>
      <c r="V49" t="n">
        <v>133.6</v>
      </c>
      <c r="W49" t="n">
        <v>0</v>
      </c>
      <c r="X49" t="inlineStr">
        <is>
          <t>Yes</t>
        </is>
      </c>
    </row>
    <row r="50">
      <c r="A50" s="7" t="inlineStr">
        <is>
          <t>MD-00046</t>
        </is>
      </c>
      <c r="B50" s="7" t="inlineStr">
        <is>
          <t>MD-MO-050046</t>
        </is>
      </c>
      <c r="C50" s="7" t="inlineStr">
        <is>
          <t>Monitor</t>
        </is>
      </c>
      <c r="D50" s="7" t="inlineStr">
        <is>
          <t>Dell U2723QE</t>
        </is>
      </c>
      <c r="E50" s="7" t="inlineStr"/>
      <c r="F50" s="7" t="inlineStr">
        <is>
          <t>Chicago - Closed</t>
        </is>
      </c>
      <c r="G50" s="7" t="inlineStr">
        <is>
          <t>Available</t>
        </is>
      </c>
      <c r="H50" s="7" t="inlineStr">
        <is>
          <t>IT Stock</t>
        </is>
      </c>
      <c r="I50" s="7" t="inlineStr">
        <is>
          <t>New York</t>
        </is>
      </c>
      <c r="J50" s="7" t="inlineStr">
        <is>
          <t>Available</t>
        </is>
      </c>
      <c r="K50" s="7" t="inlineStr">
        <is>
          <t>MD-00046 (Dell U2723QE) is Available at New York. Acquisition cost $700. Transfer TR-00046 received 2026-06-07; approval APR-00046. FAR row FA-000046; net book value $460.82. PO PO-2025-0008.</t>
        </is>
      </c>
      <c r="L50" s="7" t="inlineStr">
        <is>
          <t>2026-05-24</t>
        </is>
      </c>
      <c r="M50" s="7" t="n">
        <v>700</v>
      </c>
      <c r="N50" s="7" t="n">
        <v>460.82</v>
      </c>
      <c r="O50" s="7" t="inlineStr">
        <is>
          <t>FA-000046</t>
        </is>
      </c>
      <c r="P50" s="7" t="inlineStr">
        <is>
          <t>No</t>
        </is>
      </c>
      <c r="Q50" s="9" t="inlineStr">
        <is>
          <t>High</t>
        </is>
      </c>
      <c r="R50" s="7" t="inlineStr">
        <is>
          <t>EX-0026</t>
        </is>
      </c>
      <c r="S50" s="7" t="inlineStr">
        <is>
          <t>No</t>
        </is>
      </c>
      <c r="T50" t="n">
        <v>700</v>
      </c>
      <c r="U50" t="inlineStr">
        <is>
          <t>Active</t>
        </is>
      </c>
      <c r="V50" t="n">
        <v>460.82</v>
      </c>
      <c r="W50" t="n">
        <v>0</v>
      </c>
      <c r="X50" t="inlineStr">
        <is>
          <t>Yes</t>
        </is>
      </c>
    </row>
    <row r="51">
      <c r="A51" s="7" t="inlineStr">
        <is>
          <t>MD-00047</t>
        </is>
      </c>
      <c r="B51" s="7" t="inlineStr">
        <is>
          <t>MD-MO-050047</t>
        </is>
      </c>
      <c r="C51" s="7" t="inlineStr">
        <is>
          <t>Mobile Device</t>
        </is>
      </c>
      <c r="D51" s="7" t="inlineStr">
        <is>
          <t>Samsung Galaxy S24</t>
        </is>
      </c>
      <c r="E51" s="7" t="inlineStr"/>
      <c r="F51" s="7" t="inlineStr">
        <is>
          <t>Denver - Closed</t>
        </is>
      </c>
      <c r="G51" s="7" t="inlineStr">
        <is>
          <t>Available</t>
        </is>
      </c>
      <c r="H51" s="7" t="inlineStr">
        <is>
          <t>IT Stock</t>
        </is>
      </c>
      <c r="I51" s="7" t="inlineStr">
        <is>
          <t>Seattle</t>
        </is>
      </c>
      <c r="J51" s="7" t="inlineStr">
        <is>
          <t>Available</t>
        </is>
      </c>
      <c r="K51" s="7" t="inlineStr">
        <is>
          <t>MD-00047 (Samsung Galaxy S24) is Available at Seattle. Acquisition cost $1175. Transfer TR-00047 received 2026-07-10; approval APR-00047. Fixed-asset extract includes FA-000047 (NBV $930.51). PO PO-2025-0008.</t>
        </is>
      </c>
      <c r="L51" s="7" t="inlineStr">
        <is>
          <t>2026-06-25</t>
        </is>
      </c>
      <c r="M51" s="7" t="n">
        <v>1175</v>
      </c>
      <c r="N51" s="7" t="n">
        <v>930.51</v>
      </c>
      <c r="O51" s="7" t="inlineStr">
        <is>
          <t>FA-000047</t>
        </is>
      </c>
      <c r="P51" s="7" t="inlineStr">
        <is>
          <t>No</t>
        </is>
      </c>
      <c r="Q51" s="9" t="inlineStr">
        <is>
          <t>High</t>
        </is>
      </c>
      <c r="R51" s="7" t="inlineStr">
        <is>
          <t>EX-0027</t>
        </is>
      </c>
      <c r="S51" s="7" t="inlineStr">
        <is>
          <t>No</t>
        </is>
      </c>
      <c r="T51" t="n">
        <v>1175</v>
      </c>
      <c r="U51" t="inlineStr">
        <is>
          <t>Active</t>
        </is>
      </c>
      <c r="V51" t="n">
        <v>930.51</v>
      </c>
      <c r="W51" t="n">
        <v>0</v>
      </c>
      <c r="X51" t="inlineStr">
        <is>
          <t>Yes</t>
        </is>
      </c>
    </row>
    <row r="52">
      <c r="A52" s="7" t="inlineStr">
        <is>
          <t>MD-00048</t>
        </is>
      </c>
      <c r="B52" s="7" t="inlineStr">
        <is>
          <t>MD-NE-050048</t>
        </is>
      </c>
      <c r="C52" s="7" t="inlineStr">
        <is>
          <t>Network Asset</t>
        </is>
      </c>
      <c r="D52" s="7" t="inlineStr">
        <is>
          <t>Cisco C9300</t>
        </is>
      </c>
      <c r="E52" s="7" t="inlineStr"/>
      <c r="F52" s="7" t="inlineStr">
        <is>
          <t>Chicago - Closed</t>
        </is>
      </c>
      <c r="G52" s="7" t="inlineStr">
        <is>
          <t>Available</t>
        </is>
      </c>
      <c r="H52" s="7" t="inlineStr">
        <is>
          <t>IT Stock</t>
        </is>
      </c>
      <c r="I52" s="7" t="inlineStr">
        <is>
          <t>Atlanta</t>
        </is>
      </c>
      <c r="J52" s="7" t="inlineStr">
        <is>
          <t>Available</t>
        </is>
      </c>
      <c r="K52" s="7" t="inlineStr">
        <is>
          <t>MD-00048 (Cisco C9300) is Available at Atlanta. Acquisition cost $6470. Transfer TR-00048 received 2026-01-24; approval APR-00048. Ledger FA-000048 on file; NBV $514.59. PO PO-2025-0008.</t>
        </is>
      </c>
      <c r="L52" s="7" t="inlineStr">
        <is>
          <t>2026-01-02</t>
        </is>
      </c>
      <c r="M52" s="7" t="n">
        <v>6470</v>
      </c>
      <c r="N52" s="7" t="n">
        <v>514.59</v>
      </c>
      <c r="O52" s="7" t="inlineStr">
        <is>
          <t>FA-000048</t>
        </is>
      </c>
      <c r="P52" s="7" t="inlineStr">
        <is>
          <t>Yes</t>
        </is>
      </c>
      <c r="Q52" s="9" t="inlineStr">
        <is>
          <t>High</t>
        </is>
      </c>
      <c r="R52" s="7" t="inlineStr">
        <is>
          <t>EX-0028</t>
        </is>
      </c>
      <c r="S52" s="7" t="inlineStr">
        <is>
          <t>No</t>
        </is>
      </c>
      <c r="T52" t="n">
        <v>6470</v>
      </c>
      <c r="U52" t="inlineStr">
        <is>
          <t>Active</t>
        </is>
      </c>
      <c r="V52" t="n">
        <v>514.59</v>
      </c>
      <c r="W52" t="n">
        <v>0</v>
      </c>
      <c r="X52" t="inlineStr">
        <is>
          <t>Yes</t>
        </is>
      </c>
    </row>
    <row r="53">
      <c r="A53" s="7" t="inlineStr">
        <is>
          <t>MD-00049</t>
        </is>
      </c>
      <c r="B53" s="7" t="inlineStr">
        <is>
          <t>MD-LA-050049</t>
        </is>
      </c>
      <c r="C53" s="7" t="inlineStr">
        <is>
          <t>Laptop</t>
        </is>
      </c>
      <c r="D53" s="7" t="inlineStr">
        <is>
          <t>Lenovo ThinkPad T14</t>
        </is>
      </c>
      <c r="E53" s="7" t="inlineStr"/>
      <c r="F53" s="7" t="inlineStr">
        <is>
          <t>Denver - Closed</t>
        </is>
      </c>
      <c r="G53" s="7" t="inlineStr">
        <is>
          <t>Available</t>
        </is>
      </c>
      <c r="H53" s="7" t="inlineStr">
        <is>
          <t>IT Stock</t>
        </is>
      </c>
      <c r="I53" s="7" t="inlineStr">
        <is>
          <t>Chicago</t>
        </is>
      </c>
      <c r="J53" s="7" t="inlineStr">
        <is>
          <t>Available</t>
        </is>
      </c>
      <c r="K53" s="7" t="inlineStr">
        <is>
          <t>MD-00049 (Lenovo ThinkPad T14) is Available at Chicago. Acquisition cost $1850. Transfer TR-00049 received 2026-01-23; approval APR-00049. FAR row FA-000049; net book value $0. PO PO-2022-0009.</t>
        </is>
      </c>
      <c r="L53" s="7" t="inlineStr">
        <is>
          <t>2026-02-03</t>
        </is>
      </c>
      <c r="M53" s="7" t="n">
        <v>1850</v>
      </c>
      <c r="N53" s="7" t="n">
        <v>0</v>
      </c>
      <c r="O53" s="7" t="inlineStr">
        <is>
          <t>FA-000049</t>
        </is>
      </c>
      <c r="P53" s="7" t="inlineStr">
        <is>
          <t>No</t>
        </is>
      </c>
      <c r="Q53" s="9" t="inlineStr">
        <is>
          <t>High</t>
        </is>
      </c>
      <c r="R53" s="7" t="inlineStr">
        <is>
          <t>EX-0029</t>
        </is>
      </c>
      <c r="S53" s="7" t="inlineStr">
        <is>
          <t>No</t>
        </is>
      </c>
      <c r="T53" t="n">
        <v>1850</v>
      </c>
      <c r="U53" t="inlineStr">
        <is>
          <t>Active</t>
        </is>
      </c>
      <c r="V53" t="n">
        <v>0</v>
      </c>
      <c r="W53" t="n">
        <v>0</v>
      </c>
      <c r="X53" t="inlineStr">
        <is>
          <t>Yes</t>
        </is>
      </c>
    </row>
    <row r="54">
      <c r="A54" s="7" t="inlineStr">
        <is>
          <t>MD-00050</t>
        </is>
      </c>
      <c r="B54" s="7" t="inlineStr">
        <is>
          <t>MD-MO-050050</t>
        </is>
      </c>
      <c r="C54" s="7" t="inlineStr">
        <is>
          <t>Monitor</t>
        </is>
      </c>
      <c r="D54" s="7" t="inlineStr">
        <is>
          <t>Dell U2723QE</t>
        </is>
      </c>
      <c r="E54" s="7" t="inlineStr"/>
      <c r="F54" s="7" t="inlineStr">
        <is>
          <t>Chicago - Closed</t>
        </is>
      </c>
      <c r="G54" s="7" t="inlineStr">
        <is>
          <t>Available</t>
        </is>
      </c>
      <c r="H54" s="7" t="inlineStr">
        <is>
          <t>IT Stock</t>
        </is>
      </c>
      <c r="I54" s="7" t="inlineStr">
        <is>
          <t>Dallas</t>
        </is>
      </c>
      <c r="J54" s="7" t="inlineStr">
        <is>
          <t>Available</t>
        </is>
      </c>
      <c r="K54" s="7" t="inlineStr">
        <is>
          <t>MD-00050 (Dell U2723QE) is Available at Dallas. Acquisition cost $565. Transfer TR-00050 received 2026-02-23; approval APR-00050. Fixed-asset extract includes FA-000050 (NBV $289.96). PO PO-2022-0009.</t>
        </is>
      </c>
      <c r="L54" s="7" t="inlineStr">
        <is>
          <t>2026-03-04</t>
        </is>
      </c>
      <c r="M54" s="7" t="n">
        <v>565</v>
      </c>
      <c r="N54" s="7" t="n">
        <v>289.96</v>
      </c>
      <c r="O54" s="7" t="inlineStr">
        <is>
          <t>FA-000050</t>
        </is>
      </c>
      <c r="P54" s="7" t="inlineStr">
        <is>
          <t>No</t>
        </is>
      </c>
      <c r="Q54" s="9" t="inlineStr">
        <is>
          <t>High</t>
        </is>
      </c>
      <c r="R54" s="7" t="inlineStr">
        <is>
          <t>EX-0030</t>
        </is>
      </c>
      <c r="S54" s="7" t="inlineStr">
        <is>
          <t>No</t>
        </is>
      </c>
      <c r="T54" t="n">
        <v>565</v>
      </c>
      <c r="U54" t="inlineStr">
        <is>
          <t>Active</t>
        </is>
      </c>
      <c r="V54" t="n">
        <v>289.96</v>
      </c>
      <c r="W54" t="n">
        <v>0</v>
      </c>
      <c r="X54" t="inlineStr">
        <is>
          <t>Yes</t>
        </is>
      </c>
    </row>
    <row r="55">
      <c r="A55" s="7" t="inlineStr">
        <is>
          <t>MD-00051</t>
        </is>
      </c>
      <c r="B55" s="7" t="inlineStr">
        <is>
          <t>MD-MO-050051</t>
        </is>
      </c>
      <c r="C55" s="7" t="inlineStr">
        <is>
          <t>Mobile Device</t>
        </is>
      </c>
      <c r="D55" s="7" t="inlineStr">
        <is>
          <t>Samsung Galaxy S24</t>
        </is>
      </c>
      <c r="E55" s="7" t="inlineStr"/>
      <c r="F55" s="7" t="inlineStr">
        <is>
          <t>Denver - Closed</t>
        </is>
      </c>
      <c r="G55" s="7" t="inlineStr">
        <is>
          <t>Available</t>
        </is>
      </c>
      <c r="H55" s="7" t="inlineStr">
        <is>
          <t>IT Stock</t>
        </is>
      </c>
      <c r="I55" s="7" t="inlineStr">
        <is>
          <t>Denver</t>
        </is>
      </c>
      <c r="J55" s="7" t="inlineStr">
        <is>
          <t>Available</t>
        </is>
      </c>
      <c r="K55" s="7" t="inlineStr">
        <is>
          <t>MD-00051 (Samsung Galaxy S24) is Available at Denver. Acquisition cost $1040. Transfer TR-00051 received 2026-03-31; approval APR-00051. Ledger FA-000051 on file; NBV $573.03. PO PO-2022-0009.</t>
        </is>
      </c>
      <c r="L55" s="7" t="inlineStr">
        <is>
          <t>2026-04-05</t>
        </is>
      </c>
      <c r="M55" s="7" t="n">
        <v>1040</v>
      </c>
      <c r="N55" s="7" t="n">
        <v>573.03</v>
      </c>
      <c r="O55" s="7" t="inlineStr">
        <is>
          <t>FA-000051</t>
        </is>
      </c>
      <c r="P55" s="7" t="inlineStr">
        <is>
          <t>No</t>
        </is>
      </c>
      <c r="Q55" s="9" t="inlineStr">
        <is>
          <t>High</t>
        </is>
      </c>
      <c r="R55" s="7" t="inlineStr">
        <is>
          <t>EX-0031, EX-0032</t>
        </is>
      </c>
      <c r="S55" s="7" t="inlineStr">
        <is>
          <t>No</t>
        </is>
      </c>
      <c r="T55" t="n">
        <v>1250</v>
      </c>
      <c r="U55" t="inlineStr">
        <is>
          <t>Active</t>
        </is>
      </c>
      <c r="V55" t="n">
        <v>573.03</v>
      </c>
      <c r="W55" t="n">
        <v>210</v>
      </c>
      <c r="X55" t="inlineStr">
        <is>
          <t>Yes</t>
        </is>
      </c>
    </row>
    <row r="56">
      <c r="A56" s="7" t="inlineStr">
        <is>
          <t>MD-00052</t>
        </is>
      </c>
      <c r="B56" s="7" t="inlineStr">
        <is>
          <t>MD-NE-050052</t>
        </is>
      </c>
      <c r="C56" s="7" t="inlineStr">
        <is>
          <t>Network Asset</t>
        </is>
      </c>
      <c r="D56" s="7" t="inlineStr">
        <is>
          <t>Cisco C9300</t>
        </is>
      </c>
      <c r="E56" s="7" t="inlineStr"/>
      <c r="F56" s="7" t="inlineStr">
        <is>
          <t>Chicago - Closed</t>
        </is>
      </c>
      <c r="G56" s="7" t="inlineStr">
        <is>
          <t>Available</t>
        </is>
      </c>
      <c r="H56" s="7" t="inlineStr">
        <is>
          <t>IT Stock</t>
        </is>
      </c>
      <c r="I56" s="7" t="inlineStr">
        <is>
          <t>New York</t>
        </is>
      </c>
      <c r="J56" s="7" t="inlineStr">
        <is>
          <t>Available</t>
        </is>
      </c>
      <c r="K56" s="7" t="inlineStr">
        <is>
          <t>MD-00052 (Cisco C9300) is Available at New York. Acquisition cost $6335. Transfer TR-00052 received 2026-05-02; approval APR-00052. FAR row FA-000052; net book value $933.99. PO PO-2022-0009.</t>
        </is>
      </c>
      <c r="L56" s="7" t="inlineStr">
        <is>
          <t>2026-05-06</t>
        </is>
      </c>
      <c r="M56" s="7" t="n">
        <v>6335</v>
      </c>
      <c r="N56" s="7" t="n">
        <v>933.99</v>
      </c>
      <c r="O56" s="7" t="inlineStr">
        <is>
          <t>FA-000052</t>
        </is>
      </c>
      <c r="P56" s="7" t="inlineStr">
        <is>
          <t>Yes</t>
        </is>
      </c>
      <c r="Q56" s="9" t="inlineStr">
        <is>
          <t>High</t>
        </is>
      </c>
      <c r="R56" s="7" t="inlineStr">
        <is>
          <t>EX-0033</t>
        </is>
      </c>
      <c r="S56" s="7" t="inlineStr">
        <is>
          <t>No</t>
        </is>
      </c>
      <c r="T56" t="n">
        <v>6335</v>
      </c>
      <c r="U56" t="inlineStr">
        <is>
          <t>Active</t>
        </is>
      </c>
      <c r="V56" t="n">
        <v>933.99</v>
      </c>
      <c r="W56" t="n">
        <v>0</v>
      </c>
      <c r="X56" t="inlineStr">
        <is>
          <t>Yes</t>
        </is>
      </c>
    </row>
    <row r="57">
      <c r="A57" s="7" t="inlineStr">
        <is>
          <t>MD-00053</t>
        </is>
      </c>
      <c r="B57" s="7" t="inlineStr">
        <is>
          <t>MD-LA-050053</t>
        </is>
      </c>
      <c r="C57" s="7" t="inlineStr">
        <is>
          <t>Laptop</t>
        </is>
      </c>
      <c r="D57" s="7" t="inlineStr">
        <is>
          <t>MacBook Pro 14</t>
        </is>
      </c>
      <c r="E57" s="7" t="inlineStr"/>
      <c r="F57" s="7" t="inlineStr">
        <is>
          <t>Denver - Closed</t>
        </is>
      </c>
      <c r="G57" s="7" t="inlineStr">
        <is>
          <t>Available</t>
        </is>
      </c>
      <c r="H57" s="7" t="inlineStr">
        <is>
          <t>IT Stock</t>
        </is>
      </c>
      <c r="I57" s="7" t="inlineStr">
        <is>
          <t>Seattle</t>
        </is>
      </c>
      <c r="J57" s="7" t="inlineStr">
        <is>
          <t>Available</t>
        </is>
      </c>
      <c r="K57" s="7" t="inlineStr">
        <is>
          <t>MD-00053 (MacBook Pro 14) is Available at Seattle. Acquisition cost $2030. Transfer TR-00053 received 2026-06-05; approval APR-00053. Fixed-asset extract includes FA-000053 (NBV $0). PO PO-2022-0009.</t>
        </is>
      </c>
      <c r="L57" s="7" t="inlineStr">
        <is>
          <t>2026-06-07</t>
        </is>
      </c>
      <c r="M57" s="7" t="n">
        <v>2030</v>
      </c>
      <c r="N57" s="7" t="n">
        <v>0</v>
      </c>
      <c r="O57" s="7" t="inlineStr">
        <is>
          <t>FA-000053</t>
        </is>
      </c>
      <c r="P57" s="7" t="inlineStr">
        <is>
          <t>No</t>
        </is>
      </c>
      <c r="Q57" s="9" t="inlineStr">
        <is>
          <t>High</t>
        </is>
      </c>
      <c r="R57" s="7" t="inlineStr">
        <is>
          <t>EX-0034</t>
        </is>
      </c>
      <c r="S57" s="7" t="inlineStr">
        <is>
          <t>No</t>
        </is>
      </c>
      <c r="T57" t="n">
        <v>2030</v>
      </c>
      <c r="U57" t="inlineStr">
        <is>
          <t>Active</t>
        </is>
      </c>
      <c r="V57" t="n">
        <v>0</v>
      </c>
      <c r="W57" t="n">
        <v>0</v>
      </c>
      <c r="X57" t="inlineStr">
        <is>
          <t>Yes</t>
        </is>
      </c>
    </row>
    <row r="58">
      <c r="A58" s="7" t="inlineStr">
        <is>
          <t>MD-00054</t>
        </is>
      </c>
      <c r="B58" s="7" t="inlineStr">
        <is>
          <t>MD-MO-050054</t>
        </is>
      </c>
      <c r="C58" s="7" t="inlineStr">
        <is>
          <t>Monitor</t>
        </is>
      </c>
      <c r="D58" s="7" t="inlineStr">
        <is>
          <t>Dell U2723QE</t>
        </is>
      </c>
      <c r="E58" s="7" t="inlineStr"/>
      <c r="F58" s="7" t="inlineStr">
        <is>
          <t>Chicago - Closed</t>
        </is>
      </c>
      <c r="G58" s="7" t="inlineStr">
        <is>
          <t>Available</t>
        </is>
      </c>
      <c r="H58" s="7" t="inlineStr">
        <is>
          <t>IT Stock</t>
        </is>
      </c>
      <c r="I58" s="7" t="inlineStr">
        <is>
          <t>Atlanta</t>
        </is>
      </c>
      <c r="J58" s="7" t="inlineStr">
        <is>
          <t>Available</t>
        </is>
      </c>
      <c r="K58" s="7" t="inlineStr">
        <is>
          <t>MD-00054 (Dell U2723QE) is Available at Atlanta. Acquisition cost $745. Transfer TR-00054 received 2026-01-16; approval APR-00054. Ledger FA-000054 on file; NBV $433.74. PO PO-2022-0009.</t>
        </is>
      </c>
      <c r="L58" s="7" t="inlineStr">
        <is>
          <t>2026-01-08</t>
        </is>
      </c>
      <c r="M58" s="7" t="n">
        <v>745</v>
      </c>
      <c r="N58" s="7" t="n">
        <v>433.74</v>
      </c>
      <c r="O58" s="7" t="inlineStr">
        <is>
          <t>FA-000054</t>
        </is>
      </c>
      <c r="P58" s="7" t="inlineStr">
        <is>
          <t>No</t>
        </is>
      </c>
      <c r="Q58" s="9" t="inlineStr">
        <is>
          <t>High</t>
        </is>
      </c>
      <c r="R58" s="7" t="inlineStr">
        <is>
          <t>EX-0035</t>
        </is>
      </c>
      <c r="S58" s="7" t="inlineStr">
        <is>
          <t>No</t>
        </is>
      </c>
      <c r="T58" t="n">
        <v>745</v>
      </c>
      <c r="U58" t="inlineStr">
        <is>
          <t>Active</t>
        </is>
      </c>
      <c r="V58" t="n">
        <v>433.74</v>
      </c>
      <c r="W58" t="n">
        <v>0</v>
      </c>
      <c r="X58" t="inlineStr">
        <is>
          <t>Yes</t>
        </is>
      </c>
    </row>
    <row r="59">
      <c r="A59" s="7" t="inlineStr">
        <is>
          <t>MD-00055</t>
        </is>
      </c>
      <c r="B59" s="7" t="inlineStr">
        <is>
          <t>MD-MO-050055</t>
        </is>
      </c>
      <c r="C59" s="7" t="inlineStr">
        <is>
          <t>Mobile Device</t>
        </is>
      </c>
      <c r="D59" s="7" t="inlineStr">
        <is>
          <t>Samsung Galaxy S24</t>
        </is>
      </c>
      <c r="E59" s="7" t="inlineStr"/>
      <c r="F59" s="7" t="inlineStr">
        <is>
          <t>Denver - Closed</t>
        </is>
      </c>
      <c r="G59" s="7" t="inlineStr">
        <is>
          <t>Available</t>
        </is>
      </c>
      <c r="H59" s="7" t="inlineStr">
        <is>
          <t>IT Stock</t>
        </is>
      </c>
      <c r="I59" s="7" t="inlineStr">
        <is>
          <t>Chicago</t>
        </is>
      </c>
      <c r="J59" s="7" t="inlineStr">
        <is>
          <t>Available</t>
        </is>
      </c>
      <c r="K59" s="7" t="inlineStr">
        <is>
          <t>MD-00055 (Samsung Galaxy S24) is Available at Chicago. Acquisition cost $1220. Transfer TR-00055 received 2026-02-12; approval APR-00055. FAR row FA-000055; net book value $812.5. PO PO-2023-0010.</t>
        </is>
      </c>
      <c r="L59" s="7" t="inlineStr">
        <is>
          <t>2026-02-09</t>
        </is>
      </c>
      <c r="M59" s="7" t="n">
        <v>1220</v>
      </c>
      <c r="N59" s="7" t="n">
        <v>812.5</v>
      </c>
      <c r="O59" s="7" t="inlineStr">
        <is>
          <t>FA-000055</t>
        </is>
      </c>
      <c r="P59" s="7" t="inlineStr">
        <is>
          <t>No</t>
        </is>
      </c>
      <c r="Q59" s="9" t="inlineStr">
        <is>
          <t>High</t>
        </is>
      </c>
      <c r="R59" s="7" t="inlineStr">
        <is>
          <t>EX-0036</t>
        </is>
      </c>
      <c r="S59" s="7" t="inlineStr">
        <is>
          <t>No</t>
        </is>
      </c>
      <c r="T59" t="n">
        <v>1220</v>
      </c>
      <c r="U59" t="inlineStr">
        <is>
          <t>Active</t>
        </is>
      </c>
      <c r="V59" t="n">
        <v>812.5</v>
      </c>
      <c r="W59" t="n">
        <v>0</v>
      </c>
      <c r="X59" t="inlineStr">
        <is>
          <t>Yes</t>
        </is>
      </c>
    </row>
    <row r="60">
      <c r="A60" s="7" t="inlineStr">
        <is>
          <t>MD-00056</t>
        </is>
      </c>
      <c r="B60" s="7" t="inlineStr">
        <is>
          <t>MD-NE-050056</t>
        </is>
      </c>
      <c r="C60" s="7" t="inlineStr">
        <is>
          <t>Network Asset</t>
        </is>
      </c>
      <c r="D60" s="7" t="inlineStr">
        <is>
          <t>Cisco C9300</t>
        </is>
      </c>
      <c r="E60" s="7" t="inlineStr"/>
      <c r="F60" s="7" t="inlineStr">
        <is>
          <t>Chicago - Closed</t>
        </is>
      </c>
      <c r="G60" s="7" t="inlineStr">
        <is>
          <t>Available</t>
        </is>
      </c>
      <c r="H60" s="7" t="inlineStr">
        <is>
          <t>IT Stock</t>
        </is>
      </c>
      <c r="I60" s="7" t="inlineStr">
        <is>
          <t>Dallas</t>
        </is>
      </c>
      <c r="J60" s="7" t="inlineStr">
        <is>
          <t>Available</t>
        </is>
      </c>
      <c r="K60" s="7" t="inlineStr">
        <is>
          <t>MD-00056 (Cisco C9300) is Available at Dallas. Acquisition cost $6200. Transfer TR-00056 received 2026-03-16; approval APR-00056. Fixed-asset extract includes FA-000056 (NBV $1345.24). PO PO-2023-0010.</t>
        </is>
      </c>
      <c r="L60" s="7" t="inlineStr">
        <is>
          <t>2026-03-10</t>
        </is>
      </c>
      <c r="M60" s="7" t="n">
        <v>6200</v>
      </c>
      <c r="N60" s="7" t="n">
        <v>1345.24</v>
      </c>
      <c r="O60" s="7" t="inlineStr">
        <is>
          <t>FA-000056</t>
        </is>
      </c>
      <c r="P60" s="7" t="inlineStr">
        <is>
          <t>Yes</t>
        </is>
      </c>
      <c r="Q60" s="9" t="inlineStr">
        <is>
          <t>High</t>
        </is>
      </c>
      <c r="R60" s="7" t="inlineStr">
        <is>
          <t>EX-0037</t>
        </is>
      </c>
      <c r="S60" s="7" t="inlineStr">
        <is>
          <t>No</t>
        </is>
      </c>
      <c r="T60" t="n">
        <v>6200</v>
      </c>
      <c r="U60" t="inlineStr">
        <is>
          <t>Active</t>
        </is>
      </c>
      <c r="V60" t="n">
        <v>1345.24</v>
      </c>
      <c r="W60" t="n">
        <v>0</v>
      </c>
      <c r="X60" t="inlineStr">
        <is>
          <t>Yes</t>
        </is>
      </c>
    </row>
    <row r="61">
      <c r="A61" s="7" t="inlineStr">
        <is>
          <t>MD-00057</t>
        </is>
      </c>
      <c r="B61" s="7" t="inlineStr">
        <is>
          <t>MD-LA-050057</t>
        </is>
      </c>
      <c r="C61" s="7" t="inlineStr">
        <is>
          <t>Laptop</t>
        </is>
      </c>
      <c r="D61" s="7" t="inlineStr">
        <is>
          <t>Dell Latitude 7440</t>
        </is>
      </c>
      <c r="E61" s="7" t="inlineStr"/>
      <c r="F61" s="7" t="inlineStr">
        <is>
          <t>Denver - Closed</t>
        </is>
      </c>
      <c r="G61" s="7" t="inlineStr">
        <is>
          <t>Available</t>
        </is>
      </c>
      <c r="H61" s="7" t="inlineStr">
        <is>
          <t>IT Stock</t>
        </is>
      </c>
      <c r="I61" s="7" t="inlineStr">
        <is>
          <t>Denver</t>
        </is>
      </c>
      <c r="J61" s="7" t="inlineStr">
        <is>
          <t>Available</t>
        </is>
      </c>
      <c r="K61" s="7" t="inlineStr">
        <is>
          <t>MD-00057 (Dell Latitude 7440) is Available at Denver. Acquisition cost $1895. Transfer TR-00057 received 2026-04-24; approval APR-00057. Ledger FA-000057 on file; NBV $106.79. PO PO-2023-0010.</t>
        </is>
      </c>
      <c r="L61" s="7" t="inlineStr">
        <is>
          <t>2026-04-11</t>
        </is>
      </c>
      <c r="M61" s="7" t="n">
        <v>1895</v>
      </c>
      <c r="N61" s="7" t="n">
        <v>106.79</v>
      </c>
      <c r="O61" s="7" t="inlineStr">
        <is>
          <t>FA-000057</t>
        </is>
      </c>
      <c r="P61" s="7" t="inlineStr">
        <is>
          <t>No</t>
        </is>
      </c>
      <c r="Q61" s="9" t="inlineStr">
        <is>
          <t>High</t>
        </is>
      </c>
      <c r="R61" s="7" t="inlineStr">
        <is>
          <t>EX-0038</t>
        </is>
      </c>
      <c r="S61" s="7" t="inlineStr">
        <is>
          <t>No</t>
        </is>
      </c>
      <c r="T61" t="n">
        <v>1895</v>
      </c>
      <c r="U61" t="inlineStr">
        <is>
          <t>Active</t>
        </is>
      </c>
      <c r="V61" t="n">
        <v>106.79</v>
      </c>
      <c r="W61" t="n">
        <v>0</v>
      </c>
      <c r="X61" t="inlineStr">
        <is>
          <t>Yes</t>
        </is>
      </c>
    </row>
    <row r="62">
      <c r="A62" s="7" t="inlineStr">
        <is>
          <t>MD-00058</t>
        </is>
      </c>
      <c r="B62" s="7" t="inlineStr">
        <is>
          <t>MD-MO-050058</t>
        </is>
      </c>
      <c r="C62" s="7" t="inlineStr">
        <is>
          <t>Monitor</t>
        </is>
      </c>
      <c r="D62" s="7" t="inlineStr">
        <is>
          <t>Dell U2723QE</t>
        </is>
      </c>
      <c r="E62" s="7" t="inlineStr">
        <is>
          <t>E0071</t>
        </is>
      </c>
      <c r="F62" s="7" t="inlineStr">
        <is>
          <t>Chicago - Closed</t>
        </is>
      </c>
      <c r="G62" s="7" t="inlineStr">
        <is>
          <t>Assigned</t>
        </is>
      </c>
      <c r="H62" s="7" t="inlineStr">
        <is>
          <t>Regional IT</t>
        </is>
      </c>
      <c r="I62" s="7" t="inlineStr">
        <is>
          <t>New York</t>
        </is>
      </c>
      <c r="J62" s="7" t="inlineStr">
        <is>
          <t>Pending Redeployment</t>
        </is>
      </c>
      <c r="K62" s="7" t="inlineStr">
        <is>
          <t>MD-00058 (Dell U2723QE) is Pending Redeployment at New York. Acquisition cost $610. Transfer TR-00058 received 2026-05-23; approval blank. FAR row FA-000058; net book value $397.56. PO PO-2023-0010.</t>
        </is>
      </c>
      <c r="L62" s="7" t="inlineStr">
        <is>
          <t>2026-08-05</t>
        </is>
      </c>
      <c r="M62" s="7" t="n">
        <v>610</v>
      </c>
      <c r="N62" s="7" t="n">
        <v>397.56</v>
      </c>
      <c r="O62" s="7" t="inlineStr">
        <is>
          <t>FA-000058</t>
        </is>
      </c>
      <c r="P62" s="7" t="inlineStr">
        <is>
          <t>No</t>
        </is>
      </c>
      <c r="Q62" s="7" t="inlineStr">
        <is>
          <t>Medium</t>
        </is>
      </c>
      <c r="R62" s="7" t="inlineStr">
        <is>
          <t>EX-0039, EX-0040, EX-0041</t>
        </is>
      </c>
      <c r="S62" s="7" t="inlineStr">
        <is>
          <t>No</t>
        </is>
      </c>
      <c r="T62" t="n">
        <v>610</v>
      </c>
      <c r="U62" t="inlineStr">
        <is>
          <t>Active</t>
        </is>
      </c>
      <c r="V62" t="n">
        <v>397.56</v>
      </c>
      <c r="W62" t="n">
        <v>0</v>
      </c>
      <c r="X62" t="inlineStr">
        <is>
          <t>Yes</t>
        </is>
      </c>
    </row>
    <row r="63">
      <c r="A63" s="7" t="inlineStr">
        <is>
          <t>MD-00059</t>
        </is>
      </c>
      <c r="B63" s="7" t="inlineStr">
        <is>
          <t>MD-MO-050059</t>
        </is>
      </c>
      <c r="C63" s="7" t="inlineStr">
        <is>
          <t>Mobile Device</t>
        </is>
      </c>
      <c r="D63" s="7" t="inlineStr">
        <is>
          <t>Samsung Galaxy S24</t>
        </is>
      </c>
      <c r="E63" s="7" t="inlineStr">
        <is>
          <t>E0072</t>
        </is>
      </c>
      <c r="F63" s="7" t="inlineStr">
        <is>
          <t>Denver - Closed</t>
        </is>
      </c>
      <c r="G63" s="7" t="inlineStr">
        <is>
          <t>Assigned</t>
        </is>
      </c>
      <c r="H63" s="7" t="inlineStr">
        <is>
          <t>Regional IT</t>
        </is>
      </c>
      <c r="I63" s="7" t="inlineStr">
        <is>
          <t>Seattle</t>
        </is>
      </c>
      <c r="J63" s="7" t="inlineStr">
        <is>
          <t>Pending Redeployment</t>
        </is>
      </c>
      <c r="K63" s="7" t="inlineStr">
        <is>
          <t>MD-00059 (Samsung Galaxy S24) is Pending Redeployment at Seattle. Acquisition cost $1085. Transfer TR-00059 received 2026-06-26; approval blank. Fixed-asset extract includes FA-000059 (NBV $847.35). PO PO-2023-0010.</t>
        </is>
      </c>
      <c r="L63" s="7" t="inlineStr">
        <is>
          <t>2026-08-05</t>
        </is>
      </c>
      <c r="M63" s="7" t="n">
        <v>1085</v>
      </c>
      <c r="N63" s="7" t="n">
        <v>847.35</v>
      </c>
      <c r="O63" s="7" t="inlineStr">
        <is>
          <t>FA-000059</t>
        </is>
      </c>
      <c r="P63" s="7" t="inlineStr">
        <is>
          <t>No</t>
        </is>
      </c>
      <c r="Q63" s="7" t="inlineStr">
        <is>
          <t>Medium</t>
        </is>
      </c>
      <c r="R63" s="7" t="inlineStr">
        <is>
          <t>EX-0042, EX-0043, EX-0044</t>
        </is>
      </c>
      <c r="S63" s="7" t="inlineStr">
        <is>
          <t>No</t>
        </is>
      </c>
      <c r="T63" t="n">
        <v>1085</v>
      </c>
      <c r="U63" t="inlineStr">
        <is>
          <t>Active</t>
        </is>
      </c>
      <c r="V63" t="n">
        <v>847.35</v>
      </c>
      <c r="W63" t="n">
        <v>0</v>
      </c>
      <c r="X63" t="inlineStr">
        <is>
          <t>Yes</t>
        </is>
      </c>
    </row>
    <row r="64">
      <c r="A64" s="7" t="inlineStr">
        <is>
          <t>MD-00060</t>
        </is>
      </c>
      <c r="B64" s="7" t="inlineStr">
        <is>
          <t>MD-NE-050060</t>
        </is>
      </c>
      <c r="C64" s="7" t="inlineStr">
        <is>
          <t>Network Asset</t>
        </is>
      </c>
      <c r="D64" s="7" t="inlineStr">
        <is>
          <t>Cisco C9300</t>
        </is>
      </c>
      <c r="E64" s="7" t="inlineStr">
        <is>
          <t>E0073</t>
        </is>
      </c>
      <c r="F64" s="7" t="inlineStr">
        <is>
          <t>Chicago - Closed</t>
        </is>
      </c>
      <c r="G64" s="7" t="inlineStr">
        <is>
          <t>Assigned</t>
        </is>
      </c>
      <c r="H64" s="7" t="inlineStr">
        <is>
          <t>Regional IT</t>
        </is>
      </c>
      <c r="I64" s="7" t="inlineStr">
        <is>
          <t>Atlanta</t>
        </is>
      </c>
      <c r="J64" s="7" t="inlineStr">
        <is>
          <t>Pending Redeployment</t>
        </is>
      </c>
      <c r="K64" s="7" t="inlineStr">
        <is>
          <t>MD-00060 (Cisco C9300) is Pending Redeployment at Atlanta. Acquisition cost $6380. Transfer TR-00060 received 2026-02-02; approval APR-00060. Ledger FA-000060 on file; NBV $549.35. PO PO-2023-0010.</t>
        </is>
      </c>
      <c r="L64" s="7" t="inlineStr">
        <is>
          <t>2026-08-05</t>
        </is>
      </c>
      <c r="M64" s="7" t="n">
        <v>6380</v>
      </c>
      <c r="N64" s="7" t="n">
        <v>549.35</v>
      </c>
      <c r="O64" s="7" t="inlineStr">
        <is>
          <t>FA-000060</t>
        </is>
      </c>
      <c r="P64" s="7" t="inlineStr">
        <is>
          <t>Yes</t>
        </is>
      </c>
      <c r="Q64" s="9" t="inlineStr">
        <is>
          <t>High</t>
        </is>
      </c>
      <c r="R64" s="7" t="inlineStr">
        <is>
          <t>EX-0045, EX-0046</t>
        </is>
      </c>
      <c r="S64" s="7" t="inlineStr">
        <is>
          <t>No</t>
        </is>
      </c>
      <c r="T64" t="n">
        <v>6380</v>
      </c>
      <c r="U64" t="inlineStr">
        <is>
          <t>Active</t>
        </is>
      </c>
      <c r="V64" t="n">
        <v>549.35</v>
      </c>
      <c r="W64" t="n">
        <v>0</v>
      </c>
      <c r="X64" t="inlineStr">
        <is>
          <t>Yes</t>
        </is>
      </c>
    </row>
    <row r="65">
      <c r="A65" s="7" t="inlineStr">
        <is>
          <t>MD-00061</t>
        </is>
      </c>
      <c r="B65" s="7" t="inlineStr">
        <is>
          <t>MD-LA-050061</t>
        </is>
      </c>
      <c r="C65" s="7" t="inlineStr">
        <is>
          <t>Laptop</t>
        </is>
      </c>
      <c r="D65" s="7" t="inlineStr">
        <is>
          <t>Lenovo ThinkPad T14</t>
        </is>
      </c>
      <c r="E65" s="7" t="inlineStr">
        <is>
          <t>E0074</t>
        </is>
      </c>
      <c r="F65" s="7" t="inlineStr">
        <is>
          <t>Denver - Closed</t>
        </is>
      </c>
      <c r="G65" s="7" t="inlineStr">
        <is>
          <t>Assigned</t>
        </is>
      </c>
      <c r="H65" s="7" t="inlineStr">
        <is>
          <t>Regional IT</t>
        </is>
      </c>
      <c r="I65" s="7" t="inlineStr">
        <is>
          <t>Chicago</t>
        </is>
      </c>
      <c r="J65" s="7" t="inlineStr">
        <is>
          <t>Pending Redeployment</t>
        </is>
      </c>
      <c r="K65" s="7" t="inlineStr">
        <is>
          <t>MD-00061 (Lenovo ThinkPad T14) is Pending Redeployment at Chicago. Acquisition cost $2075. Transfer TR-00061 received 2026-02-03; approval APR-00061. FAR row FA-000061; net book value $0. PO PO-2024-0011.</t>
        </is>
      </c>
      <c r="L65" s="7" t="inlineStr">
        <is>
          <t>2026-08-05</t>
        </is>
      </c>
      <c r="M65" s="7" t="n">
        <v>2075</v>
      </c>
      <c r="N65" s="7" t="n">
        <v>0</v>
      </c>
      <c r="O65" s="7" t="inlineStr">
        <is>
          <t>FA-000061</t>
        </is>
      </c>
      <c r="P65" s="7" t="inlineStr">
        <is>
          <t>No</t>
        </is>
      </c>
      <c r="Q65" s="9" t="inlineStr">
        <is>
          <t>High</t>
        </is>
      </c>
      <c r="R65" s="7" t="inlineStr">
        <is>
          <t>EX-0047, EX-0048</t>
        </is>
      </c>
      <c r="S65" s="7" t="inlineStr">
        <is>
          <t>No</t>
        </is>
      </c>
      <c r="T65" t="n">
        <v>2075</v>
      </c>
      <c r="U65" t="inlineStr">
        <is>
          <t>Active</t>
        </is>
      </c>
      <c r="V65" t="n">
        <v>0</v>
      </c>
      <c r="W65" t="n">
        <v>0</v>
      </c>
      <c r="X65" t="inlineStr">
        <is>
          <t>Yes</t>
        </is>
      </c>
    </row>
    <row r="66">
      <c r="A66" s="7" t="inlineStr">
        <is>
          <t>MD-00062</t>
        </is>
      </c>
      <c r="B66" s="7" t="inlineStr">
        <is>
          <t>MD-MO-050062</t>
        </is>
      </c>
      <c r="C66" s="7" t="inlineStr">
        <is>
          <t>Monitor</t>
        </is>
      </c>
      <c r="D66" s="7" t="inlineStr">
        <is>
          <t>Dell U2723QE</t>
        </is>
      </c>
      <c r="E66" s="7" t="inlineStr">
        <is>
          <t>E0075</t>
        </is>
      </c>
      <c r="F66" s="7" t="inlineStr">
        <is>
          <t>Chicago - Closed</t>
        </is>
      </c>
      <c r="G66" s="7" t="inlineStr">
        <is>
          <t>Assigned</t>
        </is>
      </c>
      <c r="H66" s="7" t="inlineStr">
        <is>
          <t>Regional IT</t>
        </is>
      </c>
      <c r="I66" s="7" t="inlineStr">
        <is>
          <t>Dallas</t>
        </is>
      </c>
      <c r="J66" s="7" t="inlineStr">
        <is>
          <t>Pending Redeployment</t>
        </is>
      </c>
      <c r="K66" s="7" t="inlineStr">
        <is>
          <t>MD-00062 (Dell U2723QE) is Pending Redeployment at Dallas. Acquisition cost $790. Transfer TR-00062 received 2026-03-07; approval APR-00062. Fixed-asset extract includes FA-000062 (NBV $410.63). PO PO-2024-0011.</t>
        </is>
      </c>
      <c r="L66" s="7" t="inlineStr">
        <is>
          <t>2026-08-05</t>
        </is>
      </c>
      <c r="M66" s="7" t="n">
        <v>790</v>
      </c>
      <c r="N66" s="7" t="n">
        <v>410.63</v>
      </c>
      <c r="O66" s="7" t="inlineStr">
        <is>
          <t>FA-000062</t>
        </is>
      </c>
      <c r="P66" s="7" t="inlineStr">
        <is>
          <t>No</t>
        </is>
      </c>
      <c r="Q66" s="9" t="inlineStr">
        <is>
          <t>High</t>
        </is>
      </c>
      <c r="R66" s="7" t="inlineStr">
        <is>
          <t>EX-0049, EX-0050</t>
        </is>
      </c>
      <c r="S66" s="7" t="inlineStr">
        <is>
          <t>No</t>
        </is>
      </c>
      <c r="T66" t="n">
        <v>790</v>
      </c>
      <c r="U66" t="inlineStr">
        <is>
          <t>Active</t>
        </is>
      </c>
      <c r="V66" t="n">
        <v>410.63</v>
      </c>
      <c r="W66" t="n">
        <v>0</v>
      </c>
      <c r="X66" t="inlineStr">
        <is>
          <t>Yes</t>
        </is>
      </c>
    </row>
    <row r="67">
      <c r="A67" s="7" t="inlineStr">
        <is>
          <t>MD-00063</t>
        </is>
      </c>
      <c r="B67" s="7" t="inlineStr">
        <is>
          <t>MD-MO-050063</t>
        </is>
      </c>
      <c r="C67" s="7" t="inlineStr">
        <is>
          <t>Mobile Device</t>
        </is>
      </c>
      <c r="D67" s="7" t="inlineStr">
        <is>
          <t>Samsung Galaxy S24</t>
        </is>
      </c>
      <c r="E67" s="7" t="inlineStr">
        <is>
          <t>E0076</t>
        </is>
      </c>
      <c r="F67" s="7" t="inlineStr">
        <is>
          <t>Denver - Closed</t>
        </is>
      </c>
      <c r="G67" s="7" t="inlineStr">
        <is>
          <t>Assigned</t>
        </is>
      </c>
      <c r="H67" s="7" t="inlineStr">
        <is>
          <t>Regional IT</t>
        </is>
      </c>
      <c r="I67" s="7" t="inlineStr">
        <is>
          <t>Denver</t>
        </is>
      </c>
      <c r="J67" s="7" t="inlineStr">
        <is>
          <t>Pending Redeployment</t>
        </is>
      </c>
      <c r="K67" s="7" t="inlineStr">
        <is>
          <t>MD-00063 (Samsung Galaxy S24) is Pending Redeployment at Denver. Acquisition cost $950. Transfer TR-00063 received 2026-04-16; approval APR-00063. Ledger FA-000063 on file; NBV $533.85. PO PO-2024-0011.</t>
        </is>
      </c>
      <c r="L67" s="7" t="inlineStr">
        <is>
          <t>2026-08-05</t>
        </is>
      </c>
      <c r="M67" s="7" t="n">
        <v>950</v>
      </c>
      <c r="N67" s="7" t="n">
        <v>533.85</v>
      </c>
      <c r="O67" s="7" t="inlineStr">
        <is>
          <t>FA-000063</t>
        </is>
      </c>
      <c r="P67" s="7" t="inlineStr">
        <is>
          <t>No</t>
        </is>
      </c>
      <c r="Q67" s="9" t="inlineStr">
        <is>
          <t>High</t>
        </is>
      </c>
      <c r="R67" s="7" t="inlineStr">
        <is>
          <t>EX-0051, EX-0052</t>
        </is>
      </c>
      <c r="S67" s="7" t="inlineStr">
        <is>
          <t>No</t>
        </is>
      </c>
      <c r="T67" t="n">
        <v>950</v>
      </c>
      <c r="U67" t="inlineStr">
        <is>
          <t>Active</t>
        </is>
      </c>
      <c r="V67" t="n">
        <v>533.85</v>
      </c>
      <c r="W67" t="n">
        <v>0</v>
      </c>
      <c r="X67" t="inlineStr">
        <is>
          <t>Yes</t>
        </is>
      </c>
    </row>
    <row r="68">
      <c r="A68" s="7" t="inlineStr">
        <is>
          <t>MD-00064</t>
        </is>
      </c>
      <c r="B68" s="7" t="inlineStr">
        <is>
          <t>MD-NE-050064</t>
        </is>
      </c>
      <c r="C68" s="7" t="inlineStr">
        <is>
          <t>Network Asset</t>
        </is>
      </c>
      <c r="D68" s="7" t="inlineStr">
        <is>
          <t>Cisco C9300</t>
        </is>
      </c>
      <c r="E68" s="7" t="inlineStr">
        <is>
          <t>E0077</t>
        </is>
      </c>
      <c r="F68" s="7" t="inlineStr">
        <is>
          <t>Chicago - Closed</t>
        </is>
      </c>
      <c r="G68" s="7" t="inlineStr">
        <is>
          <t>Assigned</t>
        </is>
      </c>
      <c r="H68" s="7" t="inlineStr">
        <is>
          <t>Regional IT</t>
        </is>
      </c>
      <c r="I68" s="7" t="inlineStr">
        <is>
          <t>New York</t>
        </is>
      </c>
      <c r="J68" s="7" t="inlineStr">
        <is>
          <t>Pending Redeployment</t>
        </is>
      </c>
      <c r="K68" s="7" t="inlineStr">
        <is>
          <t>MD-00064 (Cisco C9300) is Pending Redeployment at New York. Acquisition cost $6245. Transfer TR-00064 received 2026-05-14; approval blank. FAR row FA-000064; net book value $961.76. PO PO-2024-0011.</t>
        </is>
      </c>
      <c r="L68" s="7" t="inlineStr">
        <is>
          <t>2026-08-05</t>
        </is>
      </c>
      <c r="M68" s="7" t="n">
        <v>6245</v>
      </c>
      <c r="N68" s="7" t="n">
        <v>961.76</v>
      </c>
      <c r="O68" s="7" t="inlineStr">
        <is>
          <t>FA-000064</t>
        </is>
      </c>
      <c r="P68" s="7" t="inlineStr">
        <is>
          <t>Yes</t>
        </is>
      </c>
      <c r="Q68" s="7" t="inlineStr">
        <is>
          <t>Medium</t>
        </is>
      </c>
      <c r="R68" s="7" t="inlineStr">
        <is>
          <t>EX-0053, EX-0054, EX-0055</t>
        </is>
      </c>
      <c r="S68" s="7" t="inlineStr">
        <is>
          <t>No</t>
        </is>
      </c>
      <c r="T68" t="n">
        <v>6245</v>
      </c>
      <c r="U68" t="inlineStr">
        <is>
          <t>Active</t>
        </is>
      </c>
      <c r="V68" t="n">
        <v>961.76</v>
      </c>
      <c r="W68" t="n">
        <v>0</v>
      </c>
      <c r="X68" t="inlineStr">
        <is>
          <t>Yes</t>
        </is>
      </c>
    </row>
    <row r="69">
      <c r="A69" s="7" t="inlineStr">
        <is>
          <t>MD-00065</t>
        </is>
      </c>
      <c r="B69" s="7" t="inlineStr">
        <is>
          <t>MD-LA-050065</t>
        </is>
      </c>
      <c r="C69" s="7" t="inlineStr">
        <is>
          <t>Laptop</t>
        </is>
      </c>
      <c r="D69" s="7" t="inlineStr">
        <is>
          <t>MacBook Pro 14</t>
        </is>
      </c>
      <c r="E69" s="7" t="inlineStr">
        <is>
          <t>E0078</t>
        </is>
      </c>
      <c r="F69" s="7" t="inlineStr">
        <is>
          <t>Denver - Closed</t>
        </is>
      </c>
      <c r="G69" s="7" t="inlineStr">
        <is>
          <t>Assigned</t>
        </is>
      </c>
      <c r="H69" s="7" t="inlineStr">
        <is>
          <t>Regional IT</t>
        </is>
      </c>
      <c r="I69" s="7" t="inlineStr">
        <is>
          <t>Seattle</t>
        </is>
      </c>
      <c r="J69" s="7" t="inlineStr">
        <is>
          <t>Pending Redeployment</t>
        </is>
      </c>
      <c r="K69" s="7" t="inlineStr">
        <is>
          <t>MD-00065 (MacBook Pro 14) is Pending Redeployment at Seattle. Acquisition cost $1940. Transfer TR-00065 received 2026-06-23; approval blank. Fixed-asset extract includes FA-000065 (NBV $0). PO PO-2024-0011.</t>
        </is>
      </c>
      <c r="L69" s="7" t="inlineStr">
        <is>
          <t>2026-08-05</t>
        </is>
      </c>
      <c r="M69" s="7" t="n">
        <v>1940</v>
      </c>
      <c r="N69" s="7" t="n">
        <v>0</v>
      </c>
      <c r="O69" s="7" t="inlineStr">
        <is>
          <t>FA-000065</t>
        </is>
      </c>
      <c r="P69" s="7" t="inlineStr">
        <is>
          <t>No</t>
        </is>
      </c>
      <c r="Q69" s="7" t="inlineStr">
        <is>
          <t>Medium</t>
        </is>
      </c>
      <c r="R69" s="7" t="inlineStr">
        <is>
          <t>EX-0056, EX-0057, EX-0058</t>
        </is>
      </c>
      <c r="S69" s="7" t="inlineStr">
        <is>
          <t>No</t>
        </is>
      </c>
      <c r="T69" t="n">
        <v>1940</v>
      </c>
      <c r="U69" t="inlineStr">
        <is>
          <t>Active</t>
        </is>
      </c>
      <c r="V69" t="n">
        <v>0</v>
      </c>
      <c r="W69" t="n">
        <v>0</v>
      </c>
      <c r="X69" t="inlineStr">
        <is>
          <t>Yes</t>
        </is>
      </c>
    </row>
    <row r="70">
      <c r="A70" s="7" t="inlineStr">
        <is>
          <t>MD-00066</t>
        </is>
      </c>
      <c r="B70" s="7" t="inlineStr">
        <is>
          <t>MD-MO-050066</t>
        </is>
      </c>
      <c r="C70" s="7" t="inlineStr">
        <is>
          <t>Monitor</t>
        </is>
      </c>
      <c r="D70" s="7" t="inlineStr">
        <is>
          <t>Dell U2723QE</t>
        </is>
      </c>
      <c r="E70" s="7" t="inlineStr">
        <is>
          <t>E0079</t>
        </is>
      </c>
      <c r="F70" s="7" t="inlineStr">
        <is>
          <t>Chicago - Closed</t>
        </is>
      </c>
      <c r="G70" s="7" t="inlineStr">
        <is>
          <t>Assigned</t>
        </is>
      </c>
      <c r="H70" s="7" t="inlineStr">
        <is>
          <t>Regional IT</t>
        </is>
      </c>
      <c r="I70" s="7" t="inlineStr">
        <is>
          <t>Atlanta</t>
        </is>
      </c>
      <c r="J70" s="7" t="inlineStr">
        <is>
          <t>Pending Redeployment</t>
        </is>
      </c>
      <c r="K70" s="7" t="inlineStr">
        <is>
          <t>MD-00066 (Dell U2723QE) is Pending Redeployment at Atlanta. Acquisition cost $655. Transfer TR-00066 received 2026-01-25; approval APR-00066. Ledger FA-000066 on file; NBV $385.65. PO PO-2024-0011.</t>
        </is>
      </c>
      <c r="L70" s="7" t="inlineStr">
        <is>
          <t>2026-08-05</t>
        </is>
      </c>
      <c r="M70" s="7" t="n">
        <v>655</v>
      </c>
      <c r="N70" s="7" t="n">
        <v>385.65</v>
      </c>
      <c r="O70" s="7" t="inlineStr">
        <is>
          <t>FA-000066</t>
        </is>
      </c>
      <c r="P70" s="7" t="inlineStr">
        <is>
          <t>No</t>
        </is>
      </c>
      <c r="Q70" s="9" t="inlineStr">
        <is>
          <t>High</t>
        </is>
      </c>
      <c r="R70" s="7" t="inlineStr">
        <is>
          <t>EX-0059, EX-0060</t>
        </is>
      </c>
      <c r="S70" s="7" t="inlineStr">
        <is>
          <t>No</t>
        </is>
      </c>
      <c r="T70" t="n">
        <v>655</v>
      </c>
      <c r="U70" t="inlineStr">
        <is>
          <t>Active</t>
        </is>
      </c>
      <c r="V70" t="n">
        <v>385.65</v>
      </c>
      <c r="W70" t="n">
        <v>0</v>
      </c>
      <c r="X70" t="inlineStr">
        <is>
          <t>Yes</t>
        </is>
      </c>
    </row>
    <row r="71">
      <c r="A71" s="7" t="inlineStr">
        <is>
          <t>MD-00067</t>
        </is>
      </c>
      <c r="B71" s="7" t="inlineStr">
        <is>
          <t>MD-MO-050067</t>
        </is>
      </c>
      <c r="C71" s="7" t="inlineStr">
        <is>
          <t>Mobile Device</t>
        </is>
      </c>
      <c r="D71" s="7" t="inlineStr">
        <is>
          <t>Samsung Galaxy S24</t>
        </is>
      </c>
      <c r="E71" s="7" t="inlineStr">
        <is>
          <t>E0080</t>
        </is>
      </c>
      <c r="F71" s="7" t="inlineStr">
        <is>
          <t>Denver - Closed</t>
        </is>
      </c>
      <c r="G71" s="7" t="inlineStr">
        <is>
          <t>Assigned</t>
        </is>
      </c>
      <c r="H71" s="7" t="inlineStr">
        <is>
          <t>Regional IT</t>
        </is>
      </c>
      <c r="I71" s="7" t="inlineStr">
        <is>
          <t>Chicago</t>
        </is>
      </c>
      <c r="J71" s="7" t="inlineStr">
        <is>
          <t>Pending Redeployment</t>
        </is>
      </c>
      <c r="K71" s="7" t="inlineStr">
        <is>
          <t>MD-00067 (Samsung Galaxy S24) is Pending Redeployment at Chicago. Acquisition cost $1130. Transfer TR-00067 received 2026-02-23; approval APR-00067. FAR row FA-000067; net book value $764.93. PO PO-2025-0012.</t>
        </is>
      </c>
      <c r="L71" s="7" t="inlineStr">
        <is>
          <t>2026-08-05</t>
        </is>
      </c>
      <c r="M71" s="7" t="n">
        <v>1130</v>
      </c>
      <c r="N71" s="7" t="n">
        <v>764.9299999999999</v>
      </c>
      <c r="O71" s="7" t="inlineStr">
        <is>
          <t>FA-000067</t>
        </is>
      </c>
      <c r="P71" s="7" t="inlineStr">
        <is>
          <t>No</t>
        </is>
      </c>
      <c r="Q71" s="9" t="inlineStr">
        <is>
          <t>High</t>
        </is>
      </c>
      <c r="R71" s="7" t="inlineStr">
        <is>
          <t>EX-0061, EX-0062</t>
        </is>
      </c>
      <c r="S71" s="7" t="inlineStr">
        <is>
          <t>No</t>
        </is>
      </c>
      <c r="T71" t="n">
        <v>1130</v>
      </c>
      <c r="U71" t="inlineStr">
        <is>
          <t>Active</t>
        </is>
      </c>
      <c r="V71" t="n">
        <v>764.9299999999999</v>
      </c>
      <c r="W71" t="n">
        <v>0</v>
      </c>
      <c r="X71" t="inlineStr">
        <is>
          <t>Yes</t>
        </is>
      </c>
    </row>
    <row r="72">
      <c r="A72" s="7" t="inlineStr">
        <is>
          <t>MD-00068</t>
        </is>
      </c>
      <c r="B72" s="7" t="inlineStr">
        <is>
          <t>MD-NE-050068</t>
        </is>
      </c>
      <c r="C72" s="7" t="inlineStr">
        <is>
          <t>Network Asset</t>
        </is>
      </c>
      <c r="D72" s="7" t="inlineStr">
        <is>
          <t>Cisco C9300</t>
        </is>
      </c>
      <c r="E72" s="7" t="inlineStr">
        <is>
          <t>E0081</t>
        </is>
      </c>
      <c r="F72" s="7" t="inlineStr">
        <is>
          <t>Chicago - Closed</t>
        </is>
      </c>
      <c r="G72" s="7" t="inlineStr">
        <is>
          <t>Assigned</t>
        </is>
      </c>
      <c r="H72" s="7" t="inlineStr">
        <is>
          <t>E0081</t>
        </is>
      </c>
      <c r="I72" s="7" t="inlineStr">
        <is>
          <t>Remote - Former Employee</t>
        </is>
      </c>
      <c r="J72" s="8" t="inlineStr">
        <is>
          <t>Return Overdue</t>
        </is>
      </c>
      <c r="K72" s="7" t="inlineStr">
        <is>
          <t>Offboarding return for MD-00068 lacks complete shipment proof; status remains Return Overdue. People file: E0081 (Elliott Park), status Separated. Transfer TR-00068 received 2026-04-03; approval APR-00068. Service desk ticket OFF-00068 on file. Fixed-asset extract includes FA-000068 (NBV $1436.28). PO PO-2025-0012.</t>
        </is>
      </c>
      <c r="L72" s="7" t="inlineStr">
        <is>
          <t>2026-06-25</t>
        </is>
      </c>
      <c r="M72" s="7" t="n">
        <v>6425</v>
      </c>
      <c r="N72" s="7" t="n">
        <v>1436.28</v>
      </c>
      <c r="O72" s="7" t="inlineStr">
        <is>
          <t>FA-000068</t>
        </is>
      </c>
      <c r="P72" s="7" t="inlineStr">
        <is>
          <t>Yes</t>
        </is>
      </c>
      <c r="Q72" s="7" t="inlineStr">
        <is>
          <t>Low</t>
        </is>
      </c>
      <c r="R72" s="7" t="inlineStr">
        <is>
          <t>EX-0063, EX-0064, EX-0065</t>
        </is>
      </c>
      <c r="S72" s="7" t="inlineStr">
        <is>
          <t>Yes</t>
        </is>
      </c>
      <c r="T72" t="n">
        <v>6480</v>
      </c>
      <c r="U72" t="inlineStr">
        <is>
          <t>Active</t>
        </is>
      </c>
      <c r="V72" t="n">
        <v>1436.28</v>
      </c>
      <c r="W72" t="n">
        <v>55</v>
      </c>
      <c r="X72" t="inlineStr">
        <is>
          <t>Yes</t>
        </is>
      </c>
    </row>
    <row r="73">
      <c r="A73" s="7" t="inlineStr">
        <is>
          <t>MD-00069</t>
        </is>
      </c>
      <c r="B73" s="7" t="inlineStr">
        <is>
          <t>MD-LA-050069</t>
        </is>
      </c>
      <c r="C73" s="7" t="inlineStr">
        <is>
          <t>Laptop</t>
        </is>
      </c>
      <c r="D73" s="7" t="inlineStr">
        <is>
          <t>Dell Latitude 7440</t>
        </is>
      </c>
      <c r="E73" s="7" t="inlineStr">
        <is>
          <t>E0082</t>
        </is>
      </c>
      <c r="F73" s="7" t="inlineStr">
        <is>
          <t>Denver - Closed</t>
        </is>
      </c>
      <c r="G73" s="7" t="inlineStr">
        <is>
          <t>Assigned</t>
        </is>
      </c>
      <c r="H73" s="7" t="inlineStr">
        <is>
          <t>E0082</t>
        </is>
      </c>
      <c r="I73" s="7" t="inlineStr">
        <is>
          <t>Remote - Former Employee</t>
        </is>
      </c>
      <c r="J73" s="8" t="inlineStr">
        <is>
          <t>Return Overdue</t>
        </is>
      </c>
      <c r="K73" s="7" t="inlineStr">
        <is>
          <t>Return for MD-00069 is overdue. Label exists; carrier acceptance and receiving proof do not. Custodian E0082 (Carmen Diaz) is Separated in hr_employee_status. Transfer TR-00069 received 2026-05-04; approval APR-00069. Service desk ticket OFF-00069 on file. Ledger FA-000069 on file; NBV $142.69. PO PO-2025-0012.</t>
        </is>
      </c>
      <c r="L73" s="7" t="inlineStr">
        <is>
          <t>2026-06-25</t>
        </is>
      </c>
      <c r="M73" s="7" t="n">
        <v>2120</v>
      </c>
      <c r="N73" s="7" t="n">
        <v>142.69</v>
      </c>
      <c r="O73" s="7" t="inlineStr">
        <is>
          <t>FA-000069</t>
        </is>
      </c>
      <c r="P73" s="7" t="inlineStr">
        <is>
          <t>No</t>
        </is>
      </c>
      <c r="Q73" s="7" t="inlineStr">
        <is>
          <t>Low</t>
        </is>
      </c>
      <c r="R73" s="7" t="inlineStr">
        <is>
          <t>EX-0066, EX-0067</t>
        </is>
      </c>
      <c r="S73" s="7" t="inlineStr">
        <is>
          <t>Yes</t>
        </is>
      </c>
      <c r="T73" t="n">
        <v>2120</v>
      </c>
      <c r="U73" t="inlineStr">
        <is>
          <t>Active</t>
        </is>
      </c>
      <c r="V73" t="n">
        <v>142.69</v>
      </c>
      <c r="W73" t="n">
        <v>0</v>
      </c>
      <c r="X73" t="inlineStr">
        <is>
          <t>Yes</t>
        </is>
      </c>
    </row>
    <row r="74">
      <c r="A74" s="7" t="inlineStr">
        <is>
          <t>MD-00070</t>
        </is>
      </c>
      <c r="B74" s="7" t="inlineStr">
        <is>
          <t>MD-MO-050070</t>
        </is>
      </c>
      <c r="C74" s="7" t="inlineStr">
        <is>
          <t>Monitor</t>
        </is>
      </c>
      <c r="D74" s="7" t="inlineStr">
        <is>
          <t>Dell U2723QE</t>
        </is>
      </c>
      <c r="E74" s="7" t="inlineStr">
        <is>
          <t>E0083</t>
        </is>
      </c>
      <c r="F74" s="7" t="inlineStr">
        <is>
          <t>Chicago - Closed</t>
        </is>
      </c>
      <c r="G74" s="7" t="inlineStr">
        <is>
          <t>Assigned</t>
        </is>
      </c>
      <c r="H74" s="7" t="inlineStr">
        <is>
          <t>E0083</t>
        </is>
      </c>
      <c r="I74" s="7" t="inlineStr">
        <is>
          <t>Remote - Former Employee</t>
        </is>
      </c>
      <c r="J74" s="8" t="inlineStr">
        <is>
          <t>Return Overdue</t>
        </is>
      </c>
      <c r="K74" s="7" t="inlineStr">
        <is>
          <t>MD-00070 marked Return Overdue pending carrier + dock evidence. hr_employee_status lists E0083 / Hugh Talbot as Separated. Transfer TR-00070 received 2026-06-03; approval APR-00070. Service desk ticket OFF-00070 on file. FAR row FA-000070; net book value $342.32. PO PO-2025-0012.</t>
        </is>
      </c>
      <c r="L74" s="7" t="inlineStr">
        <is>
          <t>2026-06-25</t>
        </is>
      </c>
      <c r="M74" s="7" t="n">
        <v>520</v>
      </c>
      <c r="N74" s="7" t="n">
        <v>342.32</v>
      </c>
      <c r="O74" s="7" t="inlineStr">
        <is>
          <t>FA-000070</t>
        </is>
      </c>
      <c r="P74" s="7" t="inlineStr">
        <is>
          <t>No</t>
        </is>
      </c>
      <c r="Q74" s="7" t="inlineStr">
        <is>
          <t>Low</t>
        </is>
      </c>
      <c r="R74" s="7" t="inlineStr">
        <is>
          <t>EX-0068, EX-0069</t>
        </is>
      </c>
      <c r="S74" s="7" t="inlineStr">
        <is>
          <t>Yes</t>
        </is>
      </c>
      <c r="T74" t="n">
        <v>520</v>
      </c>
      <c r="U74" t="inlineStr">
        <is>
          <t>Active</t>
        </is>
      </c>
      <c r="V74" t="n">
        <v>342.32</v>
      </c>
      <c r="W74" t="n">
        <v>0</v>
      </c>
      <c r="X74" t="inlineStr">
        <is>
          <t>Yes</t>
        </is>
      </c>
    </row>
    <row r="75">
      <c r="A75" s="7" t="inlineStr">
        <is>
          <t>MD-00071</t>
        </is>
      </c>
      <c r="B75" s="7" t="inlineStr">
        <is>
          <t>MD-MO-050071</t>
        </is>
      </c>
      <c r="C75" s="7" t="inlineStr">
        <is>
          <t>Mobile Device</t>
        </is>
      </c>
      <c r="D75" s="7" t="inlineStr">
        <is>
          <t>Samsung Galaxy S24</t>
        </is>
      </c>
      <c r="E75" s="7" t="inlineStr">
        <is>
          <t>E0084</t>
        </is>
      </c>
      <c r="F75" s="7" t="inlineStr">
        <is>
          <t>Denver - Closed</t>
        </is>
      </c>
      <c r="G75" s="7" t="inlineStr">
        <is>
          <t>Assigned</t>
        </is>
      </c>
      <c r="H75" s="7" t="inlineStr">
        <is>
          <t>E0084</t>
        </is>
      </c>
      <c r="I75" s="7" t="inlineStr">
        <is>
          <t>Remote - Former Employee</t>
        </is>
      </c>
      <c r="J75" s="8" t="inlineStr">
        <is>
          <t>Return Overdue</t>
        </is>
      </c>
      <c r="K75" s="7" t="inlineStr">
        <is>
          <t>Offboarding return for MD-00071 lacks complete shipment proof; status remains Return Overdue. People file: E0084 (Mira Adelman), status Separated. Transfer TR-00071 received 2026-07-12; approval APR-00071. Service desk ticket OFF-00071 on file. Fixed-asset extract includes FA-000071 (NBV $787.96). PO PO-2025-0012.</t>
        </is>
      </c>
      <c r="L75" s="7" t="inlineStr">
        <is>
          <t>2026-06-25</t>
        </is>
      </c>
      <c r="M75" s="7" t="n">
        <v>995</v>
      </c>
      <c r="N75" s="7" t="n">
        <v>787.96</v>
      </c>
      <c r="O75" s="7" t="inlineStr">
        <is>
          <t>FA-000071</t>
        </is>
      </c>
      <c r="P75" s="7" t="inlineStr">
        <is>
          <t>No</t>
        </is>
      </c>
      <c r="Q75" s="7" t="inlineStr">
        <is>
          <t>Low</t>
        </is>
      </c>
      <c r="R75" s="7" t="inlineStr">
        <is>
          <t>EX-0070, EX-0071</t>
        </is>
      </c>
      <c r="S75" s="7" t="inlineStr">
        <is>
          <t>Yes</t>
        </is>
      </c>
      <c r="T75" t="n">
        <v>995</v>
      </c>
      <c r="U75" t="inlineStr">
        <is>
          <t>Active</t>
        </is>
      </c>
      <c r="V75" t="n">
        <v>787.96</v>
      </c>
      <c r="W75" t="n">
        <v>0</v>
      </c>
      <c r="X75" t="inlineStr">
        <is>
          <t>Yes</t>
        </is>
      </c>
    </row>
    <row r="76">
      <c r="A76" s="7" t="inlineStr">
        <is>
          <t>MD-00072</t>
        </is>
      </c>
      <c r="B76" s="7" t="inlineStr">
        <is>
          <t>MD-NE-050072</t>
        </is>
      </c>
      <c r="C76" s="7" t="inlineStr">
        <is>
          <t>Network Asset</t>
        </is>
      </c>
      <c r="D76" s="7" t="inlineStr">
        <is>
          <t>Cisco C9300</t>
        </is>
      </c>
      <c r="E76" s="7" t="inlineStr">
        <is>
          <t>E0085</t>
        </is>
      </c>
      <c r="F76" s="7" t="inlineStr">
        <is>
          <t>Chicago - Closed</t>
        </is>
      </c>
      <c r="G76" s="7" t="inlineStr">
        <is>
          <t>Assigned</t>
        </is>
      </c>
      <c r="H76" s="7" t="inlineStr">
        <is>
          <t>E0085</t>
        </is>
      </c>
      <c r="I76" s="7" t="inlineStr">
        <is>
          <t>Remote - Former Employee</t>
        </is>
      </c>
      <c r="J76" s="8" t="inlineStr">
        <is>
          <t>Return Overdue</t>
        </is>
      </c>
      <c r="K76" s="7" t="inlineStr">
        <is>
          <t>Return for MD-00072 is overdue. Label exists; carrier acceptance and receiving proof do not. Custodian E0085 (Quincy Rhodes) is Separated in hr_employee_status. Transfer TR-00072 received 2026-01-18; approval APR-00072. Service desk ticket OFF-00072 on file. Ledger FA-000072 on file; NBV $500.27. PO PO-2025-0012.</t>
        </is>
      </c>
      <c r="L76" s="7" t="inlineStr">
        <is>
          <t>2026-06-25</t>
        </is>
      </c>
      <c r="M76" s="7" t="n">
        <v>6290</v>
      </c>
      <c r="N76" s="7" t="n">
        <v>500.27</v>
      </c>
      <c r="O76" s="7" t="inlineStr">
        <is>
          <t>FA-000072</t>
        </is>
      </c>
      <c r="P76" s="7" t="inlineStr">
        <is>
          <t>Yes</t>
        </is>
      </c>
      <c r="Q76" s="7" t="inlineStr">
        <is>
          <t>Low</t>
        </is>
      </c>
      <c r="R76" s="7" t="inlineStr">
        <is>
          <t>EX-0072, EX-0073</t>
        </is>
      </c>
      <c r="S76" s="7" t="inlineStr">
        <is>
          <t>Yes</t>
        </is>
      </c>
      <c r="T76" t="n">
        <v>6290</v>
      </c>
      <c r="U76" t="inlineStr">
        <is>
          <t>Active</t>
        </is>
      </c>
      <c r="V76" t="n">
        <v>500.27</v>
      </c>
      <c r="W76" t="n">
        <v>0</v>
      </c>
      <c r="X76" t="inlineStr">
        <is>
          <t>Yes</t>
        </is>
      </c>
    </row>
    <row r="77">
      <c r="A77" s="7" t="inlineStr">
        <is>
          <t>MD-00073</t>
        </is>
      </c>
      <c r="B77" s="7" t="inlineStr">
        <is>
          <t>MD-LA-050073</t>
        </is>
      </c>
      <c r="C77" s="7" t="inlineStr">
        <is>
          <t>Laptop</t>
        </is>
      </c>
      <c r="D77" s="7" t="inlineStr">
        <is>
          <t>Lenovo ThinkPad T14</t>
        </is>
      </c>
      <c r="E77" s="7" t="inlineStr">
        <is>
          <t>E0086</t>
        </is>
      </c>
      <c r="F77" s="7" t="inlineStr">
        <is>
          <t>Denver - Closed</t>
        </is>
      </c>
      <c r="G77" s="7" t="inlineStr">
        <is>
          <t>Assigned</t>
        </is>
      </c>
      <c r="H77" s="7" t="inlineStr">
        <is>
          <t>E0086</t>
        </is>
      </c>
      <c r="I77" s="7" t="inlineStr">
        <is>
          <t>Remote - Former Employee</t>
        </is>
      </c>
      <c r="J77" s="8" t="inlineStr">
        <is>
          <t>Return Overdue</t>
        </is>
      </c>
      <c r="K77" s="7" t="inlineStr">
        <is>
          <t>MD-00073 marked Return Overdue pending carrier + dock evidence. hr_employee_status lists E0086 / Sloane Richter as Separated. Transfer TR-00073 received 2026-01-24; approval APR-00073. Service desk ticket OFF-00073 on file. FAR row FA-000073; net book value $0. PO PO-2022-0013.</t>
        </is>
      </c>
      <c r="L77" s="7" t="inlineStr">
        <is>
          <t>2026-06-25</t>
        </is>
      </c>
      <c r="M77" s="7" t="n">
        <v>1985</v>
      </c>
      <c r="N77" s="7" t="n">
        <v>0</v>
      </c>
      <c r="O77" s="7" t="inlineStr">
        <is>
          <t>FA-000073</t>
        </is>
      </c>
      <c r="P77" s="7" t="inlineStr">
        <is>
          <t>No</t>
        </is>
      </c>
      <c r="Q77" s="7" t="inlineStr">
        <is>
          <t>Low</t>
        </is>
      </c>
      <c r="R77" s="7" t="inlineStr">
        <is>
          <t>EX-0074, EX-0075</t>
        </is>
      </c>
      <c r="S77" s="7" t="inlineStr">
        <is>
          <t>Yes</t>
        </is>
      </c>
      <c r="T77" t="n">
        <v>1985</v>
      </c>
      <c r="U77" t="inlineStr">
        <is>
          <t>Active</t>
        </is>
      </c>
      <c r="V77" t="n">
        <v>0</v>
      </c>
      <c r="W77" t="n">
        <v>0</v>
      </c>
      <c r="X77" t="inlineStr">
        <is>
          <t>Yes</t>
        </is>
      </c>
    </row>
    <row r="78">
      <c r="A78" s="7" t="inlineStr">
        <is>
          <t>MD-00074</t>
        </is>
      </c>
      <c r="B78" s="7" t="inlineStr">
        <is>
          <t>MD-MO-050074</t>
        </is>
      </c>
      <c r="C78" s="7" t="inlineStr">
        <is>
          <t>Monitor</t>
        </is>
      </c>
      <c r="D78" s="7" t="inlineStr">
        <is>
          <t>Dell U2723QE</t>
        </is>
      </c>
      <c r="E78" s="7" t="inlineStr">
        <is>
          <t>E0087</t>
        </is>
      </c>
      <c r="F78" s="7" t="inlineStr">
        <is>
          <t>Chicago - Closed</t>
        </is>
      </c>
      <c r="G78" s="7" t="inlineStr">
        <is>
          <t>Assigned</t>
        </is>
      </c>
      <c r="H78" s="7" t="inlineStr">
        <is>
          <t>E0087</t>
        </is>
      </c>
      <c r="I78" s="7" t="inlineStr">
        <is>
          <t>Carrier Network / Unverified</t>
        </is>
      </c>
      <c r="J78" s="8" t="inlineStr">
        <is>
          <t>Return Overdue</t>
        </is>
      </c>
      <c r="K78" s="7" t="inlineStr">
        <is>
          <t>Offboarding return for MD-00074 lacks complete shipment proof; status remains Return Overdue. People file: E0087 (Nolan Vega), status Separated. Transfer TR-00074 received 2026-02-24; approval APR-00074. Service desk ticket OFF-00074 on file. Fixed-asset extract includes FA-000074 (NBV $359.25). PO PO-2022-0013.</t>
        </is>
      </c>
      <c r="L78" s="7" t="inlineStr">
        <is>
          <t>2026-06-25</t>
        </is>
      </c>
      <c r="M78" s="7" t="n">
        <v>700</v>
      </c>
      <c r="N78" s="7" t="n">
        <v>359.25</v>
      </c>
      <c r="O78" s="7" t="inlineStr">
        <is>
          <t>FA-000074</t>
        </is>
      </c>
      <c r="P78" s="7" t="inlineStr">
        <is>
          <t>No</t>
        </is>
      </c>
      <c r="Q78" s="7" t="inlineStr">
        <is>
          <t>Low</t>
        </is>
      </c>
      <c r="R78" s="7" t="inlineStr">
        <is>
          <t>EX-0076, EX-0077, EX-0078</t>
        </is>
      </c>
      <c r="S78" s="7" t="inlineStr">
        <is>
          <t>Yes</t>
        </is>
      </c>
      <c r="T78" t="n">
        <v>700</v>
      </c>
      <c r="U78" t="inlineStr">
        <is>
          <t>Active</t>
        </is>
      </c>
      <c r="V78" t="n">
        <v>359.25</v>
      </c>
      <c r="W78" t="n">
        <v>0</v>
      </c>
      <c r="X78" t="inlineStr">
        <is>
          <t>Yes</t>
        </is>
      </c>
    </row>
    <row r="79">
      <c r="A79" s="7" t="inlineStr">
        <is>
          <t>MD-00075</t>
        </is>
      </c>
      <c r="B79" s="7" t="inlineStr">
        <is>
          <t>MD-MO-050075</t>
        </is>
      </c>
      <c r="C79" s="7" t="inlineStr">
        <is>
          <t>Mobile Device</t>
        </is>
      </c>
      <c r="D79" s="7" t="inlineStr">
        <is>
          <t>Samsung Galaxy S24</t>
        </is>
      </c>
      <c r="E79" s="7" t="inlineStr">
        <is>
          <t>E0088</t>
        </is>
      </c>
      <c r="F79" s="7" t="inlineStr">
        <is>
          <t>Denver - Closed</t>
        </is>
      </c>
      <c r="G79" s="7" t="inlineStr">
        <is>
          <t>Assigned</t>
        </is>
      </c>
      <c r="H79" s="7" t="inlineStr">
        <is>
          <t>E0088</t>
        </is>
      </c>
      <c r="I79" s="7" t="inlineStr">
        <is>
          <t>Remote - Former Employee</t>
        </is>
      </c>
      <c r="J79" s="8" t="inlineStr">
        <is>
          <t>Return Overdue</t>
        </is>
      </c>
      <c r="K79" s="7" t="inlineStr">
        <is>
          <t>Return for MD-00075 is overdue. Label exists; carrier acceptance and receiving proof do not. Custodian E0088 (Ivy Chenoweth) is Separated in hr_employee_status. Transfer TR-00075 received 2026-04-01; approval APR-00075. Service desk ticket OFF-00075 on file. Ledger FA-000075 on file; NBV $647.42. PO PO-2022-0013.</t>
        </is>
      </c>
      <c r="L79" s="7" t="inlineStr">
        <is>
          <t>2026-06-25</t>
        </is>
      </c>
      <c r="M79" s="7" t="n">
        <v>1175</v>
      </c>
      <c r="N79" s="7" t="n">
        <v>647.42</v>
      </c>
      <c r="O79" s="7" t="inlineStr">
        <is>
          <t>FA-000075</t>
        </is>
      </c>
      <c r="P79" s="7" t="inlineStr">
        <is>
          <t>No</t>
        </is>
      </c>
      <c r="Q79" s="7" t="inlineStr">
        <is>
          <t>Low</t>
        </is>
      </c>
      <c r="R79" s="7" t="inlineStr">
        <is>
          <t>EX-0079, EX-0080</t>
        </is>
      </c>
      <c r="S79" s="7" t="inlineStr">
        <is>
          <t>Yes</t>
        </is>
      </c>
      <c r="T79" t="n">
        <v>1175</v>
      </c>
      <c r="U79" t="inlineStr">
        <is>
          <t>Active</t>
        </is>
      </c>
      <c r="V79" t="n">
        <v>647.42</v>
      </c>
      <c r="W79" t="n">
        <v>0</v>
      </c>
      <c r="X79" t="inlineStr">
        <is>
          <t>Yes</t>
        </is>
      </c>
    </row>
    <row r="80">
      <c r="A80" s="7" t="inlineStr">
        <is>
          <t>MD-00076</t>
        </is>
      </c>
      <c r="B80" s="7" t="inlineStr">
        <is>
          <t>MD-NE-050076</t>
        </is>
      </c>
      <c r="C80" s="7" t="inlineStr">
        <is>
          <t>Network Asset</t>
        </is>
      </c>
      <c r="D80" s="7" t="inlineStr">
        <is>
          <t>Cisco C9300</t>
        </is>
      </c>
      <c r="E80" s="7" t="inlineStr">
        <is>
          <t>E0089</t>
        </is>
      </c>
      <c r="F80" s="7" t="inlineStr">
        <is>
          <t>Chicago - Closed</t>
        </is>
      </c>
      <c r="G80" s="7" t="inlineStr">
        <is>
          <t>Assigned</t>
        </is>
      </c>
      <c r="H80" s="7" t="inlineStr">
        <is>
          <t>E0089</t>
        </is>
      </c>
      <c r="I80" s="7" t="inlineStr">
        <is>
          <t>Carrier Network / Unverified</t>
        </is>
      </c>
      <c r="J80" s="8" t="inlineStr">
        <is>
          <t>Return Overdue</t>
        </is>
      </c>
      <c r="K80" s="7" t="inlineStr">
        <is>
          <t>MD-00076 marked Return Overdue pending carrier + dock evidence. hr_employee_status lists E0089 / Percy Lambert as Separated. Transfer TR-00076 received 2026-05-03; approval APR-00076. Service desk ticket OFF-00076 on file. FAR row FA-000076; net book value $953.89. PO PO-2022-0013.</t>
        </is>
      </c>
      <c r="L80" s="7" t="inlineStr">
        <is>
          <t>2026-06-25</t>
        </is>
      </c>
      <c r="M80" s="7" t="n">
        <v>6470</v>
      </c>
      <c r="N80" s="7" t="n">
        <v>953.89</v>
      </c>
      <c r="O80" s="7" t="inlineStr">
        <is>
          <t>FA-000076</t>
        </is>
      </c>
      <c r="P80" s="7" t="inlineStr">
        <is>
          <t>Yes</t>
        </is>
      </c>
      <c r="Q80" s="7" t="inlineStr">
        <is>
          <t>Low</t>
        </is>
      </c>
      <c r="R80" s="7" t="inlineStr">
        <is>
          <t>EX-0081, EX-0082, EX-0083</t>
        </is>
      </c>
      <c r="S80" s="7" t="inlineStr">
        <is>
          <t>Yes</t>
        </is>
      </c>
      <c r="T80" t="n">
        <v>6470</v>
      </c>
      <c r="U80" t="inlineStr">
        <is>
          <t>Active</t>
        </is>
      </c>
      <c r="V80" t="n">
        <v>953.89</v>
      </c>
      <c r="W80" t="n">
        <v>0</v>
      </c>
      <c r="X80" t="inlineStr">
        <is>
          <t>Yes</t>
        </is>
      </c>
    </row>
    <row r="81">
      <c r="A81" s="7" t="inlineStr">
        <is>
          <t>MD-00077</t>
        </is>
      </c>
      <c r="B81" s="7" t="inlineStr">
        <is>
          <t>MD-LA-050077</t>
        </is>
      </c>
      <c r="C81" s="7" t="inlineStr">
        <is>
          <t>Laptop</t>
        </is>
      </c>
      <c r="D81" s="7" t="inlineStr">
        <is>
          <t>MacBook Pro 14</t>
        </is>
      </c>
      <c r="E81" s="7" t="inlineStr">
        <is>
          <t>E0090</t>
        </is>
      </c>
      <c r="F81" s="7" t="inlineStr">
        <is>
          <t>Denver - Closed</t>
        </is>
      </c>
      <c r="G81" s="7" t="inlineStr">
        <is>
          <t>Assigned</t>
        </is>
      </c>
      <c r="H81" s="7" t="inlineStr">
        <is>
          <t>E0090</t>
        </is>
      </c>
      <c r="I81" s="7" t="inlineStr">
        <is>
          <t>Remote - Former Employee</t>
        </is>
      </c>
      <c r="J81" s="8" t="inlineStr">
        <is>
          <t>Return Overdue</t>
        </is>
      </c>
      <c r="K81" s="7" t="inlineStr">
        <is>
          <t>Offboarding return for MD-00077 lacks complete shipment proof; status remains Return Overdue. People file: E0090 (Dana Ghosh), status Separated. Transfer TR-00077 received 2026-06-06; approval APR-00077. Service desk ticket OFF-00077 on file. Fixed-asset extract includes FA-000077 (NBV $0). PO PO-2022-0013.</t>
        </is>
      </c>
      <c r="L81" s="7" t="inlineStr">
        <is>
          <t>2026-06-25</t>
        </is>
      </c>
      <c r="M81" s="7" t="n">
        <v>1850</v>
      </c>
      <c r="N81" s="7" t="n">
        <v>0</v>
      </c>
      <c r="O81" s="7" t="inlineStr">
        <is>
          <t>FA-000077</t>
        </is>
      </c>
      <c r="P81" s="7" t="inlineStr">
        <is>
          <t>No</t>
        </is>
      </c>
      <c r="Q81" s="7" t="inlineStr">
        <is>
          <t>Low</t>
        </is>
      </c>
      <c r="R81" s="7" t="inlineStr">
        <is>
          <t>EX-0084, EX-0085</t>
        </is>
      </c>
      <c r="S81" s="7" t="inlineStr">
        <is>
          <t>Yes</t>
        </is>
      </c>
      <c r="T81" t="n">
        <v>1850</v>
      </c>
      <c r="U81" t="inlineStr">
        <is>
          <t>Active</t>
        </is>
      </c>
      <c r="V81" t="n">
        <v>0</v>
      </c>
      <c r="W81" t="n">
        <v>0</v>
      </c>
      <c r="X81" t="inlineStr">
        <is>
          <t>Yes</t>
        </is>
      </c>
    </row>
    <row r="82">
      <c r="A82" s="7" t="inlineStr">
        <is>
          <t>MD-00078</t>
        </is>
      </c>
      <c r="B82" s="7" t="inlineStr">
        <is>
          <t>MD-MO-050078</t>
        </is>
      </c>
      <c r="C82" s="7" t="inlineStr">
        <is>
          <t>Monitor</t>
        </is>
      </c>
      <c r="D82" s="7" t="inlineStr">
        <is>
          <t>Dell U2723QE</t>
        </is>
      </c>
      <c r="E82" s="7" t="inlineStr">
        <is>
          <t>E0091</t>
        </is>
      </c>
      <c r="F82" s="7" t="inlineStr">
        <is>
          <t>Chicago - Closed</t>
        </is>
      </c>
      <c r="G82" s="7" t="inlineStr">
        <is>
          <t>Assigned</t>
        </is>
      </c>
      <c r="H82" s="7" t="inlineStr">
        <is>
          <t>E0091</t>
        </is>
      </c>
      <c r="I82" s="7" t="inlineStr">
        <is>
          <t>Remote - Former Employee</t>
        </is>
      </c>
      <c r="J82" s="8" t="inlineStr">
        <is>
          <t>Return Overdue</t>
        </is>
      </c>
      <c r="K82" s="7" t="inlineStr">
        <is>
          <t>Return for MD-00078 is overdue. Label exists; carrier acceptance and receiving proof do not. Custodian E0091 (Harlan Smith) is Separated in hr_employee_status. Transfer TR-00078 received 2026-01-10; approval APR-00078. Service desk ticket OFF-00078 on file. Ledger FA-000078 on file; NBV $328.95. PO PO-2022-0013.</t>
        </is>
      </c>
      <c r="L82" s="7" t="inlineStr">
        <is>
          <t>2026-06-25</t>
        </is>
      </c>
      <c r="M82" s="7" t="n">
        <v>565</v>
      </c>
      <c r="N82" s="7" t="n">
        <v>328.95</v>
      </c>
      <c r="O82" s="7" t="inlineStr">
        <is>
          <t>FA-000078</t>
        </is>
      </c>
      <c r="P82" s="7" t="inlineStr">
        <is>
          <t>No</t>
        </is>
      </c>
      <c r="Q82" s="7" t="inlineStr">
        <is>
          <t>Low</t>
        </is>
      </c>
      <c r="R82" s="7" t="inlineStr">
        <is>
          <t>EX-0086, EX-0087</t>
        </is>
      </c>
      <c r="S82" s="7" t="inlineStr">
        <is>
          <t>Yes</t>
        </is>
      </c>
      <c r="T82" t="n">
        <v>565</v>
      </c>
      <c r="U82" t="inlineStr">
        <is>
          <t>Active</t>
        </is>
      </c>
      <c r="V82" t="n">
        <v>328.95</v>
      </c>
      <c r="W82" t="n">
        <v>0</v>
      </c>
      <c r="X82" t="inlineStr">
        <is>
          <t>Yes</t>
        </is>
      </c>
    </row>
    <row r="83">
      <c r="A83" s="7" t="inlineStr">
        <is>
          <t>MD-00079</t>
        </is>
      </c>
      <c r="B83" s="7" t="inlineStr">
        <is>
          <t>MD-MO-050079</t>
        </is>
      </c>
      <c r="C83" s="7" t="inlineStr">
        <is>
          <t>Mobile Device</t>
        </is>
      </c>
      <c r="D83" s="7" t="inlineStr">
        <is>
          <t>Samsung Galaxy S24</t>
        </is>
      </c>
      <c r="E83" s="7" t="inlineStr">
        <is>
          <t>E0092</t>
        </is>
      </c>
      <c r="F83" s="7" t="inlineStr">
        <is>
          <t>Denver - Closed</t>
        </is>
      </c>
      <c r="G83" s="7" t="inlineStr">
        <is>
          <t>Assigned</t>
        </is>
      </c>
      <c r="H83" s="7" t="inlineStr">
        <is>
          <t>E0092</t>
        </is>
      </c>
      <c r="I83" s="7" t="inlineStr">
        <is>
          <t>Remote - Former Employee</t>
        </is>
      </c>
      <c r="J83" s="8" t="inlineStr">
        <is>
          <t>Return Overdue</t>
        </is>
      </c>
      <c r="K83" s="7" t="inlineStr">
        <is>
          <t>MD-00079 marked Return Overdue pending carrier + dock evidence. hr_employee_status lists E0092 / June Okoye as Separated. Transfer TR-00079 received 2026-02-13; approval APR-00079. Service desk ticket OFF-00079 on file. FAR row FA-000079; net book value $692.62. PO PO-2023-0014.</t>
        </is>
      </c>
      <c r="L83" s="7" t="inlineStr">
        <is>
          <t>2026-06-25</t>
        </is>
      </c>
      <c r="M83" s="7" t="n">
        <v>1040</v>
      </c>
      <c r="N83" s="7" t="n">
        <v>692.62</v>
      </c>
      <c r="O83" s="7" t="inlineStr">
        <is>
          <t>FA-000079</t>
        </is>
      </c>
      <c r="P83" s="7" t="inlineStr">
        <is>
          <t>No</t>
        </is>
      </c>
      <c r="Q83" s="7" t="inlineStr">
        <is>
          <t>Low</t>
        </is>
      </c>
      <c r="R83" s="7" t="inlineStr">
        <is>
          <t>EX-0088, EX-0089</t>
        </is>
      </c>
      <c r="S83" s="7" t="inlineStr">
        <is>
          <t>Yes</t>
        </is>
      </c>
      <c r="T83" t="n">
        <v>1040</v>
      </c>
      <c r="U83" t="inlineStr">
        <is>
          <t>Active</t>
        </is>
      </c>
      <c r="V83" t="n">
        <v>692.62</v>
      </c>
      <c r="W83" t="n">
        <v>0</v>
      </c>
      <c r="X83" t="inlineStr">
        <is>
          <t>Yes</t>
        </is>
      </c>
    </row>
    <row r="84">
      <c r="A84" s="7" t="inlineStr">
        <is>
          <t>MD-00080</t>
        </is>
      </c>
      <c r="B84" s="7" t="inlineStr">
        <is>
          <t>MD-NE-050080</t>
        </is>
      </c>
      <c r="C84" s="7" t="inlineStr">
        <is>
          <t>Network Asset</t>
        </is>
      </c>
      <c r="D84" s="7" t="inlineStr">
        <is>
          <t>Cisco C9300</t>
        </is>
      </c>
      <c r="E84" s="7" t="inlineStr">
        <is>
          <t>E0093</t>
        </is>
      </c>
      <c r="F84" s="7" t="inlineStr">
        <is>
          <t>Chicago - Closed</t>
        </is>
      </c>
      <c r="G84" s="7" t="inlineStr">
        <is>
          <t>Assigned</t>
        </is>
      </c>
      <c r="H84" s="7" t="inlineStr">
        <is>
          <t>IT Stock</t>
        </is>
      </c>
      <c r="I84" s="7" t="inlineStr">
        <is>
          <t>Atlanta Warehouse</t>
        </is>
      </c>
      <c r="J84" s="7" t="inlineStr">
        <is>
          <t>Available</t>
        </is>
      </c>
      <c r="K84" s="7" t="inlineStr">
        <is>
          <t>MD-00080 (Cisco C9300) is Available at Atlanta Warehouse. Acquisition cost $6335. Transfer TR-00080 received 2026-03-17; approval APR-00080. Fixed-asset extract includes FA-000080 (NBV $1374.53). PO PO-2023-0014.</t>
        </is>
      </c>
      <c r="L84" s="7" t="inlineStr">
        <is>
          <t>2026-07-07</t>
        </is>
      </c>
      <c r="M84" s="7" t="n">
        <v>6335</v>
      </c>
      <c r="N84" s="7" t="n">
        <v>1374.53</v>
      </c>
      <c r="O84" s="7" t="inlineStr">
        <is>
          <t>FA-000080</t>
        </is>
      </c>
      <c r="P84" s="7" t="inlineStr">
        <is>
          <t>Yes</t>
        </is>
      </c>
      <c r="Q84" s="9" t="inlineStr">
        <is>
          <t>High</t>
        </is>
      </c>
      <c r="R84" s="7" t="inlineStr">
        <is>
          <t>EX-0090</t>
        </is>
      </c>
      <c r="S84" s="7" t="inlineStr">
        <is>
          <t>No</t>
        </is>
      </c>
      <c r="T84" t="n">
        <v>6335</v>
      </c>
      <c r="U84" t="inlineStr">
        <is>
          <t>Active</t>
        </is>
      </c>
      <c r="V84" t="n">
        <v>1374.53</v>
      </c>
      <c r="W84" t="n">
        <v>0</v>
      </c>
      <c r="X84" t="inlineStr">
        <is>
          <t>Yes</t>
        </is>
      </c>
    </row>
    <row r="85">
      <c r="A85" s="7" t="inlineStr">
        <is>
          <t>MD-00081</t>
        </is>
      </c>
      <c r="B85" s="7" t="inlineStr">
        <is>
          <t>MD-LA-050081</t>
        </is>
      </c>
      <c r="C85" s="7" t="inlineStr">
        <is>
          <t>Laptop</t>
        </is>
      </c>
      <c r="D85" s="7" t="inlineStr">
        <is>
          <t>Dell Latitude 7440</t>
        </is>
      </c>
      <c r="E85" s="7" t="inlineStr">
        <is>
          <t>E0094</t>
        </is>
      </c>
      <c r="F85" s="7" t="inlineStr">
        <is>
          <t>Denver - Closed</t>
        </is>
      </c>
      <c r="G85" s="7" t="inlineStr">
        <is>
          <t>Assigned</t>
        </is>
      </c>
      <c r="H85" s="7" t="inlineStr">
        <is>
          <t>IT Stock</t>
        </is>
      </c>
      <c r="I85" s="7" t="inlineStr">
        <is>
          <t>Atlanta Warehouse</t>
        </is>
      </c>
      <c r="J85" s="7" t="inlineStr">
        <is>
          <t>Available</t>
        </is>
      </c>
      <c r="K85" s="7" t="inlineStr">
        <is>
          <t>MD-00081 (Dell Latitude 7440) is Available at Atlanta Warehouse. Acquisition cost $2030. Transfer TR-00081 received 2026-04-20; approval APR-00081. Ledger FA-000081 on file; NBV $114.4. PO PO-2023-0014.</t>
        </is>
      </c>
      <c r="L85" s="7" t="inlineStr">
        <is>
          <t>2026-07-07</t>
        </is>
      </c>
      <c r="M85" s="7" t="n">
        <v>2030</v>
      </c>
      <c r="N85" s="7" t="n">
        <v>114.4</v>
      </c>
      <c r="O85" s="7" t="inlineStr">
        <is>
          <t>FA-000081</t>
        </is>
      </c>
      <c r="P85" s="7" t="inlineStr">
        <is>
          <t>No</t>
        </is>
      </c>
      <c r="Q85" s="9" t="inlineStr">
        <is>
          <t>High</t>
        </is>
      </c>
      <c r="R85" s="7" t="inlineStr">
        <is>
          <t>EX-0091</t>
        </is>
      </c>
      <c r="S85" s="7" t="inlineStr">
        <is>
          <t>No</t>
        </is>
      </c>
      <c r="T85" t="n">
        <v>2030</v>
      </c>
      <c r="U85" t="inlineStr">
        <is>
          <t>Active</t>
        </is>
      </c>
      <c r="V85" t="n">
        <v>114.4</v>
      </c>
      <c r="W85" t="n">
        <v>0</v>
      </c>
      <c r="X85" t="inlineStr">
        <is>
          <t>Yes</t>
        </is>
      </c>
    </row>
    <row r="86">
      <c r="A86" s="7" t="inlineStr">
        <is>
          <t>MD-00082</t>
        </is>
      </c>
      <c r="B86" s="7" t="inlineStr">
        <is>
          <t>MD-MO-050082</t>
        </is>
      </c>
      <c r="C86" s="7" t="inlineStr">
        <is>
          <t>Monitor</t>
        </is>
      </c>
      <c r="D86" s="7" t="inlineStr">
        <is>
          <t>Dell U2723QE</t>
        </is>
      </c>
      <c r="E86" s="7" t="inlineStr">
        <is>
          <t>E0095</t>
        </is>
      </c>
      <c r="F86" s="7" t="inlineStr">
        <is>
          <t>Chicago - Closed</t>
        </is>
      </c>
      <c r="G86" s="7" t="inlineStr">
        <is>
          <t>Assigned</t>
        </is>
      </c>
      <c r="H86" s="7" t="inlineStr">
        <is>
          <t>E0095</t>
        </is>
      </c>
      <c r="I86" s="7" t="inlineStr">
        <is>
          <t>Carrier Network / Unverified</t>
        </is>
      </c>
      <c r="J86" s="8" t="inlineStr">
        <is>
          <t>In Transit - Exception</t>
        </is>
      </c>
      <c r="K86" s="7" t="inlineStr">
        <is>
          <t>MD-00082 is In Transit - Exception at Carrier Network / Unverified; shipment documentation is incomplete. hr_employee_status lists E0095 / Emmett Boyle as Separated. Transfer TR-00082 received 2026-05-24; approval APR-00082. Service desk ticket OFF-00082 on file. FAR row FA-000082; net book value $485.55. PO PO-2023-0014. Tracking 1ZMD00000082 receiving scan shows MISMATCH-0082 vs MD-MO-050082.</t>
        </is>
      </c>
      <c r="L86" s="7" t="inlineStr">
        <is>
          <t>2026-07-02</t>
        </is>
      </c>
      <c r="M86" s="7" t="n">
        <v>745</v>
      </c>
      <c r="N86" s="7" t="n">
        <v>485.55</v>
      </c>
      <c r="O86" s="7" t="inlineStr">
        <is>
          <t>FA-000082</t>
        </is>
      </c>
      <c r="P86" s="7" t="inlineStr">
        <is>
          <t>No</t>
        </is>
      </c>
      <c r="Q86" s="7" t="inlineStr">
        <is>
          <t>Low</t>
        </is>
      </c>
      <c r="R86" s="7" t="inlineStr">
        <is>
          <t>EX-0092, EX-0093</t>
        </is>
      </c>
      <c r="S86" s="7" t="inlineStr">
        <is>
          <t>Yes</t>
        </is>
      </c>
      <c r="T86" t="n">
        <v>745</v>
      </c>
      <c r="U86" t="inlineStr">
        <is>
          <t>Active</t>
        </is>
      </c>
      <c r="V86" t="n">
        <v>485.55</v>
      </c>
      <c r="W86" t="n">
        <v>0</v>
      </c>
      <c r="X86" t="inlineStr">
        <is>
          <t>Yes</t>
        </is>
      </c>
    </row>
    <row r="87">
      <c r="A87" s="7" t="inlineStr">
        <is>
          <t>MD-00083</t>
        </is>
      </c>
      <c r="B87" s="7" t="inlineStr">
        <is>
          <t>MD-MO-050083</t>
        </is>
      </c>
      <c r="C87" s="7" t="inlineStr">
        <is>
          <t>Mobile Device</t>
        </is>
      </c>
      <c r="D87" s="7" t="inlineStr">
        <is>
          <t>Samsung Galaxy S24</t>
        </is>
      </c>
      <c r="E87" s="7" t="inlineStr">
        <is>
          <t>E0071</t>
        </is>
      </c>
      <c r="F87" s="7" t="inlineStr">
        <is>
          <t>Denver - Closed</t>
        </is>
      </c>
      <c r="G87" s="7" t="inlineStr">
        <is>
          <t>Assigned</t>
        </is>
      </c>
      <c r="H87" s="7" t="inlineStr">
        <is>
          <t>IT Stock</t>
        </is>
      </c>
      <c r="I87" s="7" t="inlineStr">
        <is>
          <t>Atlanta Warehouse</t>
        </is>
      </c>
      <c r="J87" s="7" t="inlineStr">
        <is>
          <t>Available</t>
        </is>
      </c>
      <c r="K87" s="7" t="inlineStr">
        <is>
          <t>MD-00083 (Samsung Galaxy S24) is Available at Atlanta Warehouse. Acquisition cost $1220. Transfer TR-00083 received 2026-06-27; approval APR-00083. Fixed-asset extract includes FA-000083 (NBV $952.79). PO PO-2023-0014.</t>
        </is>
      </c>
      <c r="L87" s="7" t="inlineStr">
        <is>
          <t>2026-07-07</t>
        </is>
      </c>
      <c r="M87" s="7" t="n">
        <v>1220</v>
      </c>
      <c r="N87" s="7" t="n">
        <v>952.79</v>
      </c>
      <c r="O87" s="7" t="inlineStr">
        <is>
          <t>FA-000083</t>
        </is>
      </c>
      <c r="P87" s="7" t="inlineStr">
        <is>
          <t>No</t>
        </is>
      </c>
      <c r="Q87" s="9" t="inlineStr">
        <is>
          <t>High</t>
        </is>
      </c>
      <c r="R87" s="7" t="inlineStr">
        <is>
          <t>EX-0094</t>
        </is>
      </c>
      <c r="S87" s="7" t="inlineStr">
        <is>
          <t>No</t>
        </is>
      </c>
      <c r="T87" t="n">
        <v>1220</v>
      </c>
      <c r="U87" t="inlineStr">
        <is>
          <t>Active</t>
        </is>
      </c>
      <c r="V87" t="n">
        <v>952.79</v>
      </c>
      <c r="W87" t="n">
        <v>0</v>
      </c>
      <c r="X87" t="inlineStr">
        <is>
          <t>Yes</t>
        </is>
      </c>
    </row>
    <row r="88">
      <c r="A88" s="7" t="inlineStr">
        <is>
          <t>MD-00084</t>
        </is>
      </c>
      <c r="B88" s="7" t="inlineStr">
        <is>
          <t>MD-NE-050084</t>
        </is>
      </c>
      <c r="C88" s="7" t="inlineStr">
        <is>
          <t>Network Asset</t>
        </is>
      </c>
      <c r="D88" s="7" t="inlineStr">
        <is>
          <t>Cisco C9300</t>
        </is>
      </c>
      <c r="E88" s="7" t="inlineStr">
        <is>
          <t>E0072</t>
        </is>
      </c>
      <c r="F88" s="7" t="inlineStr">
        <is>
          <t>Chicago - Closed</t>
        </is>
      </c>
      <c r="G88" s="7" t="inlineStr">
        <is>
          <t>Assigned</t>
        </is>
      </c>
      <c r="H88" s="7" t="inlineStr">
        <is>
          <t>E0072</t>
        </is>
      </c>
      <c r="I88" s="7" t="inlineStr">
        <is>
          <t>Carrier Network / Unverified</t>
        </is>
      </c>
      <c r="J88" s="8" t="inlineStr">
        <is>
          <t>In Transit - Exception</t>
        </is>
      </c>
      <c r="K88" s="7" t="inlineStr">
        <is>
          <t>MD-00084 is In Transit - Exception at Carrier Network / Unverified; shipment documentation is incomplete. Custodian E0072 (Anita Bose) is Separated in hr_employee_status. Transfer TR-00084 received 2026-02-05; approval APR-00084. Service desk ticket OFF-00084 on file. Ledger FA-000084 on file; NBV $533.85. PO PO-2023-0014.</t>
        </is>
      </c>
      <c r="L88" s="7" t="inlineStr">
        <is>
          <t>2026-07-02</t>
        </is>
      </c>
      <c r="M88" s="7" t="n">
        <v>6200</v>
      </c>
      <c r="N88" s="7" t="n">
        <v>533.85</v>
      </c>
      <c r="O88" s="7" t="inlineStr">
        <is>
          <t>FA-000084</t>
        </is>
      </c>
      <c r="P88" s="7" t="inlineStr">
        <is>
          <t>Yes</t>
        </is>
      </c>
      <c r="Q88" s="7" t="inlineStr">
        <is>
          <t>Low</t>
        </is>
      </c>
      <c r="R88" s="7" t="inlineStr">
        <is>
          <t>EX-0095, EX-0096</t>
        </is>
      </c>
      <c r="S88" s="7" t="inlineStr">
        <is>
          <t>Yes</t>
        </is>
      </c>
      <c r="T88" t="n">
        <v>6200</v>
      </c>
      <c r="U88" t="inlineStr">
        <is>
          <t>Active</t>
        </is>
      </c>
      <c r="V88" t="n">
        <v>533.85</v>
      </c>
      <c r="W88" t="n">
        <v>0</v>
      </c>
      <c r="X88" t="inlineStr">
        <is>
          <t>Yes</t>
        </is>
      </c>
    </row>
    <row r="89">
      <c r="A89" s="7" t="inlineStr">
        <is>
          <t>MD-00085</t>
        </is>
      </c>
      <c r="B89" s="7" t="inlineStr">
        <is>
          <t>MD-LA-050085</t>
        </is>
      </c>
      <c r="C89" s="7" t="inlineStr">
        <is>
          <t>Laptop</t>
        </is>
      </c>
      <c r="D89" s="7" t="inlineStr">
        <is>
          <t>Lenovo ThinkPad T14</t>
        </is>
      </c>
      <c r="E89" s="7" t="inlineStr">
        <is>
          <t>E0073</t>
        </is>
      </c>
      <c r="F89" s="7" t="inlineStr">
        <is>
          <t>Denver - Closed</t>
        </is>
      </c>
      <c r="G89" s="7" t="inlineStr">
        <is>
          <t>Assigned</t>
        </is>
      </c>
      <c r="H89" s="7" t="inlineStr">
        <is>
          <t>IT Stock</t>
        </is>
      </c>
      <c r="I89" s="7" t="inlineStr">
        <is>
          <t>Atlanta Warehouse</t>
        </is>
      </c>
      <c r="J89" s="7" t="inlineStr">
        <is>
          <t>Available</t>
        </is>
      </c>
      <c r="K89" s="7" t="inlineStr">
        <is>
          <t>MD-00085 (Lenovo ThinkPad T14) is Available at Atlanta Warehouse. Acquisition cost $1895. Transfer TR-00085 received 2026-02-03; approval APR-00085. FAR row FA-000085; net book value $0. PO PO-2024-0015.</t>
        </is>
      </c>
      <c r="L89" s="7" t="inlineStr">
        <is>
          <t>2026-07-07</t>
        </is>
      </c>
      <c r="M89" s="7" t="n">
        <v>1895</v>
      </c>
      <c r="N89" s="7" t="n">
        <v>0</v>
      </c>
      <c r="O89" s="7" t="inlineStr">
        <is>
          <t>FA-000085</t>
        </is>
      </c>
      <c r="P89" s="7" t="inlineStr">
        <is>
          <t>No</t>
        </is>
      </c>
      <c r="Q89" s="9" t="inlineStr">
        <is>
          <t>High</t>
        </is>
      </c>
      <c r="R89" s="7" t="inlineStr">
        <is>
          <t>EX-0097, EX-0098</t>
        </is>
      </c>
      <c r="S89" s="7" t="inlineStr">
        <is>
          <t>No</t>
        </is>
      </c>
      <c r="T89" t="n">
        <v>2090</v>
      </c>
      <c r="U89" t="inlineStr">
        <is>
          <t>Active</t>
        </is>
      </c>
      <c r="V89" t="n">
        <v>0</v>
      </c>
      <c r="W89" t="n">
        <v>195</v>
      </c>
      <c r="X89" t="inlineStr">
        <is>
          <t>Yes</t>
        </is>
      </c>
    </row>
    <row r="90">
      <c r="A90" s="7" t="inlineStr">
        <is>
          <t>MD-00086</t>
        </is>
      </c>
      <c r="B90" s="7" t="inlineStr">
        <is>
          <t>MD-MO-050086</t>
        </is>
      </c>
      <c r="C90" s="7" t="inlineStr">
        <is>
          <t>Monitor</t>
        </is>
      </c>
      <c r="D90" s="7" t="inlineStr">
        <is>
          <t>Dell U2723QE</t>
        </is>
      </c>
      <c r="E90" s="7" t="inlineStr">
        <is>
          <t>E0074</t>
        </is>
      </c>
      <c r="F90" s="7" t="inlineStr">
        <is>
          <t>Chicago - Closed</t>
        </is>
      </c>
      <c r="G90" s="7" t="inlineStr">
        <is>
          <t>Assigned</t>
        </is>
      </c>
      <c r="H90" s="7" t="inlineStr">
        <is>
          <t>IT Stock</t>
        </is>
      </c>
      <c r="I90" s="7" t="inlineStr">
        <is>
          <t>Atlanta Warehouse</t>
        </is>
      </c>
      <c r="J90" s="7" t="inlineStr">
        <is>
          <t>Available</t>
        </is>
      </c>
      <c r="K90" s="7" t="inlineStr">
        <is>
          <t>MD-00086 (Dell U2723QE) is Available at Atlanta Warehouse. Acquisition cost $610. Transfer TR-00086 received 2026-03-08; approval APR-00086. Fixed-asset extract includes FA-000086 (NBV $317.07). PO PO-2024-0015.</t>
        </is>
      </c>
      <c r="L90" s="7" t="inlineStr">
        <is>
          <t>2026-07-07</t>
        </is>
      </c>
      <c r="M90" s="7" t="n">
        <v>610</v>
      </c>
      <c r="N90" s="7" t="n">
        <v>317.07</v>
      </c>
      <c r="O90" s="7" t="inlineStr">
        <is>
          <t>FA-000086</t>
        </is>
      </c>
      <c r="P90" s="7" t="inlineStr">
        <is>
          <t>No</t>
        </is>
      </c>
      <c r="Q90" s="9" t="inlineStr">
        <is>
          <t>High</t>
        </is>
      </c>
      <c r="R90" s="7" t="inlineStr">
        <is>
          <t>EX-0099</t>
        </is>
      </c>
      <c r="S90" s="7" t="inlineStr">
        <is>
          <t>No</t>
        </is>
      </c>
      <c r="T90" t="n">
        <v>610</v>
      </c>
      <c r="U90" t="inlineStr">
        <is>
          <t>Active</t>
        </is>
      </c>
      <c r="V90" t="n">
        <v>317.07</v>
      </c>
      <c r="W90" t="n">
        <v>0</v>
      </c>
      <c r="X90" t="inlineStr">
        <is>
          <t>Yes</t>
        </is>
      </c>
    </row>
    <row r="91">
      <c r="A91" s="7" t="inlineStr">
        <is>
          <t>MD-00087</t>
        </is>
      </c>
      <c r="B91" s="7" t="inlineStr">
        <is>
          <t>MD-MO-050087</t>
        </is>
      </c>
      <c r="C91" s="7" t="inlineStr">
        <is>
          <t>Mobile Device</t>
        </is>
      </c>
      <c r="D91" s="7" t="inlineStr">
        <is>
          <t>Samsung Galaxy S24</t>
        </is>
      </c>
      <c r="E91" s="7" t="inlineStr">
        <is>
          <t>E0075</t>
        </is>
      </c>
      <c r="F91" s="7" t="inlineStr">
        <is>
          <t>Denver - Closed</t>
        </is>
      </c>
      <c r="G91" s="7" t="inlineStr">
        <is>
          <t>Assigned</t>
        </is>
      </c>
      <c r="H91" s="7" t="inlineStr">
        <is>
          <t>IT Stock</t>
        </is>
      </c>
      <c r="I91" s="7" t="inlineStr">
        <is>
          <t>Atlanta Warehouse</t>
        </is>
      </c>
      <c r="J91" s="7" t="inlineStr">
        <is>
          <t>Available</t>
        </is>
      </c>
      <c r="K91" s="7" t="inlineStr">
        <is>
          <t>MD-00087 (Samsung Galaxy S24) is Available at Atlanta Warehouse. Acquisition cost $1085. Transfer TR-00087 received 2026-04-12; approval APR-00087. Ledger FA-000087 on file; NBV $609.71. PO PO-2024-0015.</t>
        </is>
      </c>
      <c r="L91" s="7" t="inlineStr">
        <is>
          <t>2026-07-07</t>
        </is>
      </c>
      <c r="M91" s="7" t="n">
        <v>1085</v>
      </c>
      <c r="N91" s="7" t="n">
        <v>609.71</v>
      </c>
      <c r="O91" s="7" t="inlineStr">
        <is>
          <t>FA-000087</t>
        </is>
      </c>
      <c r="P91" s="7" t="inlineStr">
        <is>
          <t>No</t>
        </is>
      </c>
      <c r="Q91" s="9" t="inlineStr">
        <is>
          <t>High</t>
        </is>
      </c>
      <c r="R91" s="7" t="inlineStr">
        <is>
          <t>EX-0100</t>
        </is>
      </c>
      <c r="S91" s="7" t="inlineStr">
        <is>
          <t>No</t>
        </is>
      </c>
      <c r="T91" t="n">
        <v>1085</v>
      </c>
      <c r="U91" t="inlineStr">
        <is>
          <t>Active</t>
        </is>
      </c>
      <c r="V91" t="n">
        <v>609.71</v>
      </c>
      <c r="W91" t="n">
        <v>0</v>
      </c>
      <c r="X91" t="inlineStr">
        <is>
          <t>Yes</t>
        </is>
      </c>
    </row>
    <row r="92">
      <c r="A92" s="7" t="inlineStr">
        <is>
          <t>MD-00088</t>
        </is>
      </c>
      <c r="B92" s="7" t="inlineStr">
        <is>
          <t>MD-NE-050088</t>
        </is>
      </c>
      <c r="C92" s="7" t="inlineStr">
        <is>
          <t>Network Asset</t>
        </is>
      </c>
      <c r="D92" s="7" t="inlineStr">
        <is>
          <t>Cisco C9300</t>
        </is>
      </c>
      <c r="E92" s="7" t="inlineStr">
        <is>
          <t>E0076</t>
        </is>
      </c>
      <c r="F92" s="7" t="inlineStr">
        <is>
          <t>Chicago - Closed</t>
        </is>
      </c>
      <c r="G92" s="7" t="inlineStr">
        <is>
          <t>Assigned</t>
        </is>
      </c>
      <c r="H92" s="7" t="inlineStr">
        <is>
          <t>IT Stock</t>
        </is>
      </c>
      <c r="I92" s="7" t="inlineStr">
        <is>
          <t>Atlanta Warehouse</t>
        </is>
      </c>
      <c r="J92" s="7" t="inlineStr">
        <is>
          <t>Available</t>
        </is>
      </c>
      <c r="K92" s="7" t="inlineStr">
        <is>
          <t>MD-00088 (Cisco C9300) is Available at Atlanta Warehouse. Acquisition cost $6380. Transfer TR-00088 received 2026-05-14; approval APR-00088. FAR row FA-000088; net book value $982.55. PO PO-2024-0015. Duplicate serial MD-NE-050088 shared with the paired asset.</t>
        </is>
      </c>
      <c r="L92" s="7" t="inlineStr">
        <is>
          <t>2026-07-07</t>
        </is>
      </c>
      <c r="M92" s="7" t="n">
        <v>6380</v>
      </c>
      <c r="N92" s="7" t="n">
        <v>982.55</v>
      </c>
      <c r="O92" s="7" t="inlineStr">
        <is>
          <t>FA-000088</t>
        </is>
      </c>
      <c r="P92" s="7" t="inlineStr">
        <is>
          <t>Yes</t>
        </is>
      </c>
      <c r="Q92" s="7" t="inlineStr">
        <is>
          <t>Medium</t>
        </is>
      </c>
      <c r="R92" s="7" t="inlineStr">
        <is>
          <t>EX-0101, EX-0102</t>
        </is>
      </c>
      <c r="S92" s="7" t="inlineStr">
        <is>
          <t>No</t>
        </is>
      </c>
      <c r="T92" t="n">
        <v>6380</v>
      </c>
      <c r="U92" t="inlineStr">
        <is>
          <t>Active</t>
        </is>
      </c>
      <c r="V92" t="n">
        <v>982.55</v>
      </c>
      <c r="W92" t="n">
        <v>0</v>
      </c>
      <c r="X92" t="inlineStr">
        <is>
          <t>Yes</t>
        </is>
      </c>
    </row>
    <row r="93">
      <c r="A93" s="7" t="inlineStr">
        <is>
          <t>MD-00089</t>
        </is>
      </c>
      <c r="B93" s="7" t="inlineStr">
        <is>
          <t>MD-LA-050089</t>
        </is>
      </c>
      <c r="C93" s="7" t="inlineStr">
        <is>
          <t>Laptop</t>
        </is>
      </c>
      <c r="D93" s="7" t="inlineStr">
        <is>
          <t>MacBook Pro 14</t>
        </is>
      </c>
      <c r="E93" s="7" t="inlineStr">
        <is>
          <t>E0077</t>
        </is>
      </c>
      <c r="F93" s="7" t="inlineStr">
        <is>
          <t>Denver - Closed</t>
        </is>
      </c>
      <c r="G93" s="7" t="inlineStr">
        <is>
          <t>Assigned</t>
        </is>
      </c>
      <c r="H93" s="7" t="inlineStr">
        <is>
          <t>E0077</t>
        </is>
      </c>
      <c r="I93" s="7" t="inlineStr">
        <is>
          <t>Unknown</t>
        </is>
      </c>
      <c r="J93" s="8" t="inlineStr">
        <is>
          <t>Missing</t>
        </is>
      </c>
      <c r="K93" s="7" t="inlineStr">
        <is>
          <t>Cannot confirm custody of MD-00089 at this time; register last pointed to Unknown. People file: E0077 (Jonah Freedman), status Separated. Transfer TR-00089 received 2026-06-17; approval APR-00089. Service desk ticket OFF-00089 on file. Fixed-asset extract includes FA-000089 (NBV $0). PO PO-2024-0015.</t>
        </is>
      </c>
      <c r="L93" s="7" t="inlineStr">
        <is>
          <t>2026-06-18</t>
        </is>
      </c>
      <c r="M93" s="7" t="n">
        <v>2075</v>
      </c>
      <c r="N93" s="7" t="n">
        <v>0</v>
      </c>
      <c r="O93" s="7" t="inlineStr">
        <is>
          <t>FA-000089</t>
        </is>
      </c>
      <c r="P93" s="7" t="inlineStr">
        <is>
          <t>No</t>
        </is>
      </c>
      <c r="Q93" s="7" t="inlineStr">
        <is>
          <t>Low</t>
        </is>
      </c>
      <c r="R93" s="7" t="inlineStr">
        <is>
          <t>EX-0103, EX-0104</t>
        </is>
      </c>
      <c r="S93" s="7" t="inlineStr">
        <is>
          <t>Yes</t>
        </is>
      </c>
      <c r="T93" t="n">
        <v>2075</v>
      </c>
      <c r="U93" t="inlineStr">
        <is>
          <t>Active</t>
        </is>
      </c>
      <c r="V93" t="n">
        <v>0</v>
      </c>
      <c r="W93" t="n">
        <v>0</v>
      </c>
      <c r="X93" t="inlineStr">
        <is>
          <t>Yes</t>
        </is>
      </c>
    </row>
    <row r="94">
      <c r="A94" s="7" t="inlineStr">
        <is>
          <t>MD-00090</t>
        </is>
      </c>
      <c r="B94" s="7" t="inlineStr">
        <is>
          <t>MD-MO-050090</t>
        </is>
      </c>
      <c r="C94" s="7" t="inlineStr">
        <is>
          <t>Monitor</t>
        </is>
      </c>
      <c r="D94" s="7" t="inlineStr">
        <is>
          <t>Dell U2723QE</t>
        </is>
      </c>
      <c r="E94" s="7" t="inlineStr">
        <is>
          <t>E0078</t>
        </is>
      </c>
      <c r="F94" s="7" t="inlineStr">
        <is>
          <t>Chicago - Closed</t>
        </is>
      </c>
      <c r="G94" s="7" t="inlineStr">
        <is>
          <t>Assigned</t>
        </is>
      </c>
      <c r="H94" s="7" t="inlineStr">
        <is>
          <t>E0078</t>
        </is>
      </c>
      <c r="I94" s="7" t="inlineStr">
        <is>
          <t>Unknown</t>
        </is>
      </c>
      <c r="J94" s="8" t="inlineStr">
        <is>
          <t>Missing</t>
        </is>
      </c>
      <c r="K94" s="7" t="inlineStr">
        <is>
          <t>No confirmed location for MD-00090 (Dell U2723QE); last recorded site was Unknown. Custodian E0078 (Regina Lowe) is Separated in hr_employee_status. Transfer TR-00090 received 2026-01-28; approval APR-00090. Service desk ticket OFF-00090 on file. Ledger FA-000090 on file; NBV $465.13. PO PO-2024-0015.</t>
        </is>
      </c>
      <c r="L94" s="7" t="inlineStr">
        <is>
          <t>2026-06-07</t>
        </is>
      </c>
      <c r="M94" s="7" t="n">
        <v>790</v>
      </c>
      <c r="N94" s="7" t="n">
        <v>465.13</v>
      </c>
      <c r="O94" s="7" t="inlineStr">
        <is>
          <t>FA-000090</t>
        </is>
      </c>
      <c r="P94" s="7" t="inlineStr">
        <is>
          <t>No</t>
        </is>
      </c>
      <c r="Q94" s="7" t="inlineStr">
        <is>
          <t>Low</t>
        </is>
      </c>
      <c r="R94" s="7" t="inlineStr">
        <is>
          <t>EX-0105, EX-0106</t>
        </is>
      </c>
      <c r="S94" s="7" t="inlineStr">
        <is>
          <t>Yes</t>
        </is>
      </c>
      <c r="T94" t="n">
        <v>790</v>
      </c>
      <c r="U94" t="inlineStr">
        <is>
          <t>Active</t>
        </is>
      </c>
      <c r="V94" t="n">
        <v>465.13</v>
      </c>
      <c r="W94" t="n">
        <v>0</v>
      </c>
      <c r="X94" t="inlineStr">
        <is>
          <t>Yes</t>
        </is>
      </c>
    </row>
    <row r="95">
      <c r="A95" s="7" t="inlineStr">
        <is>
          <t>MD-00091</t>
        </is>
      </c>
      <c r="B95" s="7" t="inlineStr">
        <is>
          <t>MD-MO-050091</t>
        </is>
      </c>
      <c r="C95" s="7" t="inlineStr">
        <is>
          <t>Mobile Device</t>
        </is>
      </c>
      <c r="D95" s="7" t="inlineStr">
        <is>
          <t>Samsung Galaxy S24</t>
        </is>
      </c>
      <c r="E95" s="7" t="inlineStr">
        <is>
          <t>E0079</t>
        </is>
      </c>
      <c r="F95" s="7" t="inlineStr">
        <is>
          <t>Denver - Closed</t>
        </is>
      </c>
      <c r="G95" s="7" t="inlineStr">
        <is>
          <t>Assigned</t>
        </is>
      </c>
      <c r="H95" s="7" t="inlineStr">
        <is>
          <t>E0079</t>
        </is>
      </c>
      <c r="I95" s="7" t="inlineStr">
        <is>
          <t>Unknown</t>
        </is>
      </c>
      <c r="J95" s="8" t="inlineStr">
        <is>
          <t>Missing</t>
        </is>
      </c>
      <c r="K95" s="7" t="inlineStr">
        <is>
          <t>MD-00091 stays Missing. Prior site on file: Unknown. hr_employee_status lists E0079 / Wes Carvalho as Separated. Transfer TR-00091 received 2026-02-24; approval APR-00091. Service desk ticket OFF-00091 on file. FAR row FA-000091; net book value $643.09. PO PO-2025-0016.</t>
        </is>
      </c>
      <c r="L95" s="7" t="inlineStr">
        <is>
          <t>2026-05-08</t>
        </is>
      </c>
      <c r="M95" s="7" t="n">
        <v>950</v>
      </c>
      <c r="N95" s="7" t="n">
        <v>643.09</v>
      </c>
      <c r="O95" s="7" t="inlineStr">
        <is>
          <t>FA-000091</t>
        </is>
      </c>
      <c r="P95" s="7" t="inlineStr">
        <is>
          <t>No</t>
        </is>
      </c>
      <c r="Q95" s="7" t="inlineStr">
        <is>
          <t>Low</t>
        </is>
      </c>
      <c r="R95" s="7" t="inlineStr">
        <is>
          <t>EX-0107, EX-0108</t>
        </is>
      </c>
      <c r="S95" s="7" t="inlineStr">
        <is>
          <t>Yes</t>
        </is>
      </c>
      <c r="T95" t="n">
        <v>950</v>
      </c>
      <c r="U95" t="inlineStr">
        <is>
          <t>Active</t>
        </is>
      </c>
      <c r="V95" t="n">
        <v>643.09</v>
      </c>
      <c r="W95" t="n">
        <v>0</v>
      </c>
      <c r="X95" t="inlineStr">
        <is>
          <t>Yes</t>
        </is>
      </c>
    </row>
    <row r="96">
      <c r="A96" s="7" t="inlineStr">
        <is>
          <t>MD-00092</t>
        </is>
      </c>
      <c r="B96" s="7" t="inlineStr">
        <is>
          <t>MD-NE-050088</t>
        </is>
      </c>
      <c r="C96" s="7" t="inlineStr">
        <is>
          <t>Network Asset</t>
        </is>
      </c>
      <c r="D96" s="7" t="inlineStr">
        <is>
          <t>Cisco C9300</t>
        </is>
      </c>
      <c r="E96" s="7" t="inlineStr">
        <is>
          <t>E0080</t>
        </is>
      </c>
      <c r="F96" s="7" t="inlineStr">
        <is>
          <t>Chicago - Closed</t>
        </is>
      </c>
      <c r="G96" s="7" t="inlineStr">
        <is>
          <t>Assigned</t>
        </is>
      </c>
      <c r="H96" s="7" t="inlineStr">
        <is>
          <t>E0080</t>
        </is>
      </c>
      <c r="I96" s="7" t="inlineStr">
        <is>
          <t>Unknown</t>
        </is>
      </c>
      <c r="J96" s="8" t="inlineStr">
        <is>
          <t>Missing</t>
        </is>
      </c>
      <c r="K96" s="7" t="inlineStr">
        <is>
          <t>Cannot confirm custody of MD-00092 at this time; register last pointed to Unknown. People file: E0080 (Tara Singh), status Separated. Transfer TR-00092 received 2026-03-28; approval APR-00092. Service desk ticket OFF-00092 on file. Fixed-asset extract includes FA-000092 (NBV $1396.04). PO PO-2025-0016. Duplicate serial MD-NE-050088 shared with the paired asset.</t>
        </is>
      </c>
      <c r="L96" s="7" t="inlineStr">
        <is>
          <t>2026-06-09</t>
        </is>
      </c>
      <c r="M96" s="7" t="n">
        <v>6245</v>
      </c>
      <c r="N96" s="7" t="n">
        <v>1396.04</v>
      </c>
      <c r="O96" s="7" t="inlineStr">
        <is>
          <t>FA-000092</t>
        </is>
      </c>
      <c r="P96" s="7" t="inlineStr">
        <is>
          <t>Yes</t>
        </is>
      </c>
      <c r="Q96" s="7" t="inlineStr">
        <is>
          <t>Low</t>
        </is>
      </c>
      <c r="R96" s="7" t="inlineStr">
        <is>
          <t>EX-0109, EX-0110, EX-0111</t>
        </is>
      </c>
      <c r="S96" s="7" t="inlineStr">
        <is>
          <t>Yes</t>
        </is>
      </c>
      <c r="T96" t="n">
        <v>6245</v>
      </c>
      <c r="U96" t="inlineStr">
        <is>
          <t>Active</t>
        </is>
      </c>
      <c r="V96" t="n">
        <v>1396.04</v>
      </c>
      <c r="W96" t="n">
        <v>0</v>
      </c>
      <c r="X96" t="inlineStr">
        <is>
          <t>Yes</t>
        </is>
      </c>
    </row>
    <row r="97">
      <c r="A97" s="7" t="inlineStr">
        <is>
          <t>MD-00093</t>
        </is>
      </c>
      <c r="B97" s="7" t="inlineStr">
        <is>
          <t>MD-LA-050093</t>
        </is>
      </c>
      <c r="C97" s="7" t="inlineStr">
        <is>
          <t>Laptop</t>
        </is>
      </c>
      <c r="D97" s="7" t="inlineStr">
        <is>
          <t>Dell Latitude 7440</t>
        </is>
      </c>
      <c r="E97" s="7" t="inlineStr">
        <is>
          <t>E0081</t>
        </is>
      </c>
      <c r="F97" s="7" t="inlineStr">
        <is>
          <t>Denver - Closed</t>
        </is>
      </c>
      <c r="G97" s="7" t="inlineStr">
        <is>
          <t>Assigned</t>
        </is>
      </c>
      <c r="H97" s="7" t="inlineStr">
        <is>
          <t>E0081</t>
        </is>
      </c>
      <c r="I97" s="7" t="inlineStr">
        <is>
          <t>Unknown</t>
        </is>
      </c>
      <c r="J97" s="8" t="inlineStr">
        <is>
          <t>Missing</t>
        </is>
      </c>
      <c r="K97" s="7" t="inlineStr">
        <is>
          <t>No confirmed location for MD-00093 (Dell Latitude 7440); last recorded site was Unknown. Custodian E0081 (Elliott Park) is Separated in hr_employee_status. Transfer TR-00093 received 2026-05-06; approval APR-00093. Service desk ticket OFF-00093 on file. Ledger FA-000093 on file; NBV $130.57. PO PO-2025-0016.</t>
        </is>
      </c>
      <c r="L97" s="7" t="inlineStr">
        <is>
          <t>2026-05-10</t>
        </is>
      </c>
      <c r="M97" s="7" t="n">
        <v>1940</v>
      </c>
      <c r="N97" s="7" t="n">
        <v>130.57</v>
      </c>
      <c r="O97" s="7" t="inlineStr">
        <is>
          <t>FA-000093</t>
        </is>
      </c>
      <c r="P97" s="7" t="inlineStr">
        <is>
          <t>No</t>
        </is>
      </c>
      <c r="Q97" s="7" t="inlineStr">
        <is>
          <t>Low</t>
        </is>
      </c>
      <c r="R97" s="7" t="inlineStr">
        <is>
          <t>EX-0112, EX-0113</t>
        </is>
      </c>
      <c r="S97" s="7" t="inlineStr">
        <is>
          <t>Yes</t>
        </is>
      </c>
      <c r="T97" t="n">
        <v>1940</v>
      </c>
      <c r="U97" t="inlineStr">
        <is>
          <t>Active</t>
        </is>
      </c>
      <c r="V97" t="n">
        <v>130.57</v>
      </c>
      <c r="W97" t="n">
        <v>0</v>
      </c>
      <c r="X97" t="inlineStr">
        <is>
          <t>Yes</t>
        </is>
      </c>
    </row>
    <row r="98">
      <c r="A98" s="7" t="inlineStr">
        <is>
          <t>MD-00094</t>
        </is>
      </c>
      <c r="B98" s="7" t="inlineStr">
        <is>
          <t>MD-MO-050094</t>
        </is>
      </c>
      <c r="C98" s="7" t="inlineStr">
        <is>
          <t>Monitor</t>
        </is>
      </c>
      <c r="D98" s="7" t="inlineStr">
        <is>
          <t>Dell U2723QE</t>
        </is>
      </c>
      <c r="E98" s="7" t="inlineStr">
        <is>
          <t>E0082</t>
        </is>
      </c>
      <c r="F98" s="7" t="inlineStr">
        <is>
          <t>Chicago - Closed</t>
        </is>
      </c>
      <c r="G98" s="7" t="inlineStr">
        <is>
          <t>Assigned</t>
        </is>
      </c>
      <c r="H98" s="7" t="inlineStr">
        <is>
          <t>E0082</t>
        </is>
      </c>
      <c r="I98" s="7" t="inlineStr">
        <is>
          <t>Unknown</t>
        </is>
      </c>
      <c r="J98" s="8" t="inlineStr">
        <is>
          <t>Missing</t>
        </is>
      </c>
      <c r="K98" s="7" t="inlineStr">
        <is>
          <t>MD-00094 stays Missing. Prior site on file: Unknown. hr_employee_status lists E0082 / Carmen Diaz as Separated. Transfer TR-00094 received 2026-06-04; approval APR-00094. Service desk ticket OFF-00094 on file. FAR row FA-000094; net book value $431.2. PO PO-2025-0016.</t>
        </is>
      </c>
      <c r="L98" s="7" t="inlineStr">
        <is>
          <t>2026-06-11</t>
        </is>
      </c>
      <c r="M98" s="7" t="n">
        <v>655</v>
      </c>
      <c r="N98" s="7" t="n">
        <v>431.2</v>
      </c>
      <c r="O98" s="7" t="inlineStr">
        <is>
          <t>FA-000094</t>
        </is>
      </c>
      <c r="P98" s="7" t="inlineStr">
        <is>
          <t>No</t>
        </is>
      </c>
      <c r="Q98" s="7" t="inlineStr">
        <is>
          <t>Low</t>
        </is>
      </c>
      <c r="R98" s="7" t="inlineStr">
        <is>
          <t>EX-0114, EX-0115</t>
        </is>
      </c>
      <c r="S98" s="7" t="inlineStr">
        <is>
          <t>Yes</t>
        </is>
      </c>
      <c r="T98" t="n">
        <v>655</v>
      </c>
      <c r="U98" t="inlineStr">
        <is>
          <t>Active</t>
        </is>
      </c>
      <c r="V98" t="n">
        <v>431.2</v>
      </c>
      <c r="W98" t="n">
        <v>0</v>
      </c>
      <c r="X98" t="inlineStr">
        <is>
          <t>Yes</t>
        </is>
      </c>
    </row>
    <row r="99">
      <c r="A99" s="7" t="inlineStr">
        <is>
          <t>MD-00095</t>
        </is>
      </c>
      <c r="B99" s="7" t="inlineStr">
        <is>
          <t>MD-MO-050095</t>
        </is>
      </c>
      <c r="C99" s="7" t="inlineStr">
        <is>
          <t>Mobile Device</t>
        </is>
      </c>
      <c r="D99" s="7" t="inlineStr">
        <is>
          <t>Samsung Galaxy S24</t>
        </is>
      </c>
      <c r="E99" s="7" t="inlineStr">
        <is>
          <t>E0083</t>
        </is>
      </c>
      <c r="F99" s="7" t="inlineStr">
        <is>
          <t>Denver - Closed</t>
        </is>
      </c>
      <c r="G99" s="7" t="inlineStr">
        <is>
          <t>Assigned</t>
        </is>
      </c>
      <c r="H99" s="7" t="inlineStr">
        <is>
          <t>E0083</t>
        </is>
      </c>
      <c r="I99" s="7" t="inlineStr">
        <is>
          <t>Unknown</t>
        </is>
      </c>
      <c r="J99" s="8" t="inlineStr">
        <is>
          <t>Missing</t>
        </is>
      </c>
      <c r="K99" s="7" t="inlineStr">
        <is>
          <t>Cannot confirm custody of MD-00095 at this time; register last pointed to Unknown. People file: E0083 (Hugh Talbot), status Separated. Transfer TR-00095 received 2026-07-08; approval APR-00095. Service desk ticket OFF-00095 on file. Fixed-asset extract includes FA-000095 (NBV $894.87). PO PO-2025-0016.</t>
        </is>
      </c>
      <c r="L99" s="7" t="inlineStr">
        <is>
          <t>2026-06-24</t>
        </is>
      </c>
      <c r="M99" s="7" t="n">
        <v>1130</v>
      </c>
      <c r="N99" s="7" t="n">
        <v>894.87</v>
      </c>
      <c r="O99" s="7" t="inlineStr">
        <is>
          <t>FA-000095</t>
        </is>
      </c>
      <c r="P99" s="7" t="inlineStr">
        <is>
          <t>No</t>
        </is>
      </c>
      <c r="Q99" s="7" t="inlineStr">
        <is>
          <t>Low</t>
        </is>
      </c>
      <c r="R99" s="7" t="inlineStr">
        <is>
          <t>EX-0116, EX-0117</t>
        </is>
      </c>
      <c r="S99" s="7" t="inlineStr">
        <is>
          <t>Yes</t>
        </is>
      </c>
      <c r="T99" t="n">
        <v>1130</v>
      </c>
      <c r="U99" t="inlineStr">
        <is>
          <t>Active</t>
        </is>
      </c>
      <c r="V99" t="n">
        <v>894.87</v>
      </c>
      <c r="W99" t="n">
        <v>0</v>
      </c>
      <c r="X99" t="inlineStr">
        <is>
          <t>Yes</t>
        </is>
      </c>
    </row>
    <row r="100">
      <c r="A100" s="7" t="inlineStr">
        <is>
          <t>MD-00096</t>
        </is>
      </c>
      <c r="B100" s="7" t="inlineStr">
        <is>
          <t>MD-NE-050096</t>
        </is>
      </c>
      <c r="C100" s="7" t="inlineStr">
        <is>
          <t>Network Asset</t>
        </is>
      </c>
      <c r="D100" s="7" t="inlineStr">
        <is>
          <t>Cisco C9300</t>
        </is>
      </c>
      <c r="E100" s="7" t="inlineStr">
        <is>
          <t>E0084</t>
        </is>
      </c>
      <c r="F100" s="7" t="inlineStr">
        <is>
          <t>Chicago - Closed</t>
        </is>
      </c>
      <c r="G100" s="7" t="inlineStr">
        <is>
          <t>Assigned</t>
        </is>
      </c>
      <c r="H100" s="7" t="inlineStr">
        <is>
          <t>E0084</t>
        </is>
      </c>
      <c r="I100" s="7" t="inlineStr">
        <is>
          <t>Unknown</t>
        </is>
      </c>
      <c r="J100" s="8" t="inlineStr">
        <is>
          <t>Missing</t>
        </is>
      </c>
      <c r="K100" s="7" t="inlineStr">
        <is>
          <t>No confirmed location for MD-00096 (Cisco C9300); last recorded site was Unknown. Custodian E0084 (Mira Adelman) is Separated in hr_employee_status. Transfer TR-00096 received 2026-01-19; approval APR-00096. Service desk ticket OFF-00096 on file. Ledger FA-000096 on file; NBV $511.01. PO PO-2025-0016.</t>
        </is>
      </c>
      <c r="L100" s="7" t="inlineStr">
        <is>
          <t>2026-06-13</t>
        </is>
      </c>
      <c r="M100" s="7" t="n">
        <v>6425</v>
      </c>
      <c r="N100" s="7" t="n">
        <v>511.01</v>
      </c>
      <c r="O100" s="7" t="inlineStr">
        <is>
          <t>FA-000096</t>
        </is>
      </c>
      <c r="P100" s="7" t="inlineStr">
        <is>
          <t>Yes</t>
        </is>
      </c>
      <c r="Q100" s="7" t="inlineStr">
        <is>
          <t>Low</t>
        </is>
      </c>
      <c r="R100" s="7" t="inlineStr">
        <is>
          <t>EX-0118, EX-0119</t>
        </is>
      </c>
      <c r="S100" s="7" t="inlineStr">
        <is>
          <t>Yes</t>
        </is>
      </c>
      <c r="T100" t="n">
        <v>6425</v>
      </c>
      <c r="U100" t="inlineStr">
        <is>
          <t>Active</t>
        </is>
      </c>
      <c r="V100" t="n">
        <v>511.01</v>
      </c>
      <c r="W100" t="n">
        <v>0</v>
      </c>
      <c r="X100" t="inlineStr">
        <is>
          <t>Yes</t>
        </is>
      </c>
    </row>
    <row r="101">
      <c r="A101" s="7" t="inlineStr">
        <is>
          <t>MD-00097</t>
        </is>
      </c>
      <c r="B101" s="7" t="inlineStr">
        <is>
          <t>MD-LA-050097</t>
        </is>
      </c>
      <c r="C101" s="7" t="inlineStr">
        <is>
          <t>Laptop</t>
        </is>
      </c>
      <c r="D101" s="7" t="inlineStr">
        <is>
          <t>Lenovo ThinkPad T14</t>
        </is>
      </c>
      <c r="E101" s="7" t="inlineStr">
        <is>
          <t>E0085</t>
        </is>
      </c>
      <c r="F101" s="7" t="inlineStr">
        <is>
          <t>Denver - Closed</t>
        </is>
      </c>
      <c r="G101" s="7" t="inlineStr">
        <is>
          <t>Assigned</t>
        </is>
      </c>
      <c r="H101" s="7" t="inlineStr">
        <is>
          <t>E0085</t>
        </is>
      </c>
      <c r="I101" s="7" t="inlineStr">
        <is>
          <t>Unknown</t>
        </is>
      </c>
      <c r="J101" s="8" t="inlineStr">
        <is>
          <t>Missing</t>
        </is>
      </c>
      <c r="K101" s="7" t="inlineStr">
        <is>
          <t>MD-00097 stays Missing. Prior site on file: Unknown. hr_employee_status lists E0085 / Quincy Rhodes as Separated. Transfer TR-00097 received 2026-01-27; approval APR-00097. Service desk ticket OFF-00097 on file. FAR row FA-000097; net book value $0. PO PO-2022-0017.</t>
        </is>
      </c>
      <c r="L101" s="7" t="inlineStr">
        <is>
          <t>2026-05-14</t>
        </is>
      </c>
      <c r="M101" s="7" t="n">
        <v>2120</v>
      </c>
      <c r="N101" s="7" t="n">
        <v>0</v>
      </c>
      <c r="O101" s="7" t="inlineStr">
        <is>
          <t>FA-000097</t>
        </is>
      </c>
      <c r="P101" s="7" t="inlineStr">
        <is>
          <t>No</t>
        </is>
      </c>
      <c r="Q101" s="7" t="inlineStr">
        <is>
          <t>Low</t>
        </is>
      </c>
      <c r="R101" s="7" t="inlineStr">
        <is>
          <t>EX-0120, EX-0121</t>
        </is>
      </c>
      <c r="S101" s="7" t="inlineStr">
        <is>
          <t>Yes</t>
        </is>
      </c>
      <c r="T101" t="n">
        <v>2120</v>
      </c>
      <c r="U101" t="inlineStr">
        <is>
          <t>Active</t>
        </is>
      </c>
      <c r="V101" t="n">
        <v>0</v>
      </c>
      <c r="W101" t="n">
        <v>0</v>
      </c>
      <c r="X101" t="inlineStr">
        <is>
          <t>Yes</t>
        </is>
      </c>
    </row>
    <row r="102">
      <c r="A102" s="7" t="inlineStr">
        <is>
          <t>MD-00098</t>
        </is>
      </c>
      <c r="B102" s="7" t="inlineStr">
        <is>
          <t>MD-MO-050098</t>
        </is>
      </c>
      <c r="C102" s="7" t="inlineStr">
        <is>
          <t>Monitor</t>
        </is>
      </c>
      <c r="D102" s="7" t="inlineStr">
        <is>
          <t>Dell U2723QE</t>
        </is>
      </c>
      <c r="E102" s="7" t="inlineStr">
        <is>
          <t>E0086</t>
        </is>
      </c>
      <c r="F102" s="7" t="inlineStr">
        <is>
          <t>Chicago - Closed</t>
        </is>
      </c>
      <c r="G102" s="7" t="inlineStr">
        <is>
          <t>Assigned</t>
        </is>
      </c>
      <c r="H102" s="7" t="inlineStr">
        <is>
          <t>E0086</t>
        </is>
      </c>
      <c r="I102" s="7" t="inlineStr">
        <is>
          <t>Unknown</t>
        </is>
      </c>
      <c r="J102" s="8" t="inlineStr">
        <is>
          <t>Missing</t>
        </is>
      </c>
      <c r="K102" s="7" t="inlineStr">
        <is>
          <t>Cannot confirm custody of MD-00098 at this time; register last pointed to Unknown. People file: E0086 (Sloane Richter), status Separated. Transfer TR-00098 received 2026-02-24; approval APR-00098. Service desk ticket OFF-00098 on file. Fixed-asset extract includes FA-000098 (NBV $266.87). PO PO-2022-0017.</t>
        </is>
      </c>
      <c r="L102" s="7" t="inlineStr">
        <is>
          <t>2026-06-15</t>
        </is>
      </c>
      <c r="M102" s="7" t="n">
        <v>520</v>
      </c>
      <c r="N102" s="7" t="n">
        <v>266.87</v>
      </c>
      <c r="O102" s="7" t="inlineStr">
        <is>
          <t>FA-000098</t>
        </is>
      </c>
      <c r="P102" s="7" t="inlineStr">
        <is>
          <t>No</t>
        </is>
      </c>
      <c r="Q102" s="7" t="inlineStr">
        <is>
          <t>Low</t>
        </is>
      </c>
      <c r="R102" s="7" t="inlineStr">
        <is>
          <t>EX-0122, EX-0123</t>
        </is>
      </c>
      <c r="S102" s="7" t="inlineStr">
        <is>
          <t>Yes</t>
        </is>
      </c>
      <c r="T102" t="n">
        <v>520</v>
      </c>
      <c r="U102" t="inlineStr">
        <is>
          <t>Active</t>
        </is>
      </c>
      <c r="V102" t="n">
        <v>266.87</v>
      </c>
      <c r="W102" t="n">
        <v>0</v>
      </c>
      <c r="X102" t="inlineStr">
        <is>
          <t>Yes</t>
        </is>
      </c>
    </row>
    <row r="103">
      <c r="A103" s="7" t="inlineStr">
        <is>
          <t>MD-00099</t>
        </is>
      </c>
      <c r="B103" s="7" t="inlineStr">
        <is>
          <t>MD-MO-050099</t>
        </is>
      </c>
      <c r="C103" s="7" t="inlineStr">
        <is>
          <t>Mobile Device</t>
        </is>
      </c>
      <c r="D103" s="7" t="inlineStr">
        <is>
          <t>Samsung Galaxy S24</t>
        </is>
      </c>
      <c r="E103" s="7" t="inlineStr">
        <is>
          <t>E0087</t>
        </is>
      </c>
      <c r="F103" s="7" t="inlineStr">
        <is>
          <t>Denver - Closed</t>
        </is>
      </c>
      <c r="G103" s="7" t="inlineStr">
        <is>
          <t>Assigned</t>
        </is>
      </c>
      <c r="H103" s="7" t="inlineStr">
        <is>
          <t>E0087</t>
        </is>
      </c>
      <c r="I103" s="7" t="inlineStr">
        <is>
          <t>Unknown</t>
        </is>
      </c>
      <c r="J103" s="8" t="inlineStr">
        <is>
          <t>Missing</t>
        </is>
      </c>
      <c r="K103" s="7" t="inlineStr">
        <is>
          <t>No confirmed location for MD-00099 (Samsung Galaxy S24); last recorded site was Unknown. Custodian E0087 (Nolan Vega) is Separated in hr_employee_status. Transfer TR-00099 received 2026-04-02; approval APR-00099. Service desk ticket OFF-00099 on file. Ledger FA-000099 on file; NBV $548.24. PO PO-2022-0017.</t>
        </is>
      </c>
      <c r="L103" s="7" t="inlineStr">
        <is>
          <t>2026-05-16</t>
        </is>
      </c>
      <c r="M103" s="7" t="n">
        <v>995</v>
      </c>
      <c r="N103" s="7" t="n">
        <v>548.24</v>
      </c>
      <c r="O103" s="7" t="inlineStr">
        <is>
          <t>FA-000099</t>
        </is>
      </c>
      <c r="P103" s="7" t="inlineStr">
        <is>
          <t>No</t>
        </is>
      </c>
      <c r="Q103" s="7" t="inlineStr">
        <is>
          <t>Low</t>
        </is>
      </c>
      <c r="R103" s="7" t="inlineStr">
        <is>
          <t>EX-0124, EX-0125</t>
        </is>
      </c>
      <c r="S103" s="7" t="inlineStr">
        <is>
          <t>Yes</t>
        </is>
      </c>
      <c r="T103" t="n">
        <v>995</v>
      </c>
      <c r="U103" t="inlineStr">
        <is>
          <t>Active</t>
        </is>
      </c>
      <c r="V103" t="n">
        <v>548.24</v>
      </c>
      <c r="W103" t="n">
        <v>0</v>
      </c>
      <c r="X103" t="inlineStr">
        <is>
          <t>Yes</t>
        </is>
      </c>
    </row>
    <row r="104">
      <c r="A104" s="7" t="inlineStr">
        <is>
          <t>MD-00100</t>
        </is>
      </c>
      <c r="B104" s="7" t="inlineStr">
        <is>
          <t>MD-NE-050100</t>
        </is>
      </c>
      <c r="C104" s="7" t="inlineStr">
        <is>
          <t>Network Asset</t>
        </is>
      </c>
      <c r="D104" s="7" t="inlineStr">
        <is>
          <t>Cisco C9300</t>
        </is>
      </c>
      <c r="E104" s="7" t="inlineStr">
        <is>
          <t>E0088</t>
        </is>
      </c>
      <c r="F104" s="7" t="inlineStr">
        <is>
          <t>Chicago - Closed</t>
        </is>
      </c>
      <c r="G104" s="7" t="inlineStr">
        <is>
          <t>Assigned</t>
        </is>
      </c>
      <c r="H104" s="7" t="inlineStr">
        <is>
          <t>E0088</t>
        </is>
      </c>
      <c r="I104" s="7" t="inlineStr">
        <is>
          <t>Unknown</t>
        </is>
      </c>
      <c r="J104" s="8" t="inlineStr">
        <is>
          <t>Missing</t>
        </is>
      </c>
      <c r="K104" s="7" t="inlineStr">
        <is>
          <t>MD-00100 stays Missing. Prior site on file: Unknown. hr_employee_status lists E0088 / Ivy Chenoweth as Separated. Transfer TR-00100 received 2026-05-05; approval APR-00100. Service desk ticket OFF-00100 on file. FAR row FA-000100; net book value $927.36. PO PO-2022-0017.</t>
        </is>
      </c>
      <c r="L104" s="7" t="inlineStr">
        <is>
          <t>2026-06-17</t>
        </is>
      </c>
      <c r="M104" s="7" t="n">
        <v>6290</v>
      </c>
      <c r="N104" s="7" t="n">
        <v>927.36</v>
      </c>
      <c r="O104" s="7" t="inlineStr">
        <is>
          <t>FA-000100</t>
        </is>
      </c>
      <c r="P104" s="7" t="inlineStr">
        <is>
          <t>Yes</t>
        </is>
      </c>
      <c r="Q104" s="7" t="inlineStr">
        <is>
          <t>Low</t>
        </is>
      </c>
      <c r="R104" s="7" t="inlineStr">
        <is>
          <t>EX-0126, EX-0127</t>
        </is>
      </c>
      <c r="S104" s="7" t="inlineStr">
        <is>
          <t>Yes</t>
        </is>
      </c>
      <c r="T104" t="n">
        <v>6290</v>
      </c>
      <c r="U104" t="inlineStr">
        <is>
          <t>Active</t>
        </is>
      </c>
      <c r="V104" t="n">
        <v>927.36</v>
      </c>
      <c r="W104" t="n">
        <v>0</v>
      </c>
      <c r="X104" t="inlineStr">
        <is>
          <t>Yes</t>
        </is>
      </c>
    </row>
    <row r="105">
      <c r="A105" s="7" t="inlineStr">
        <is>
          <t>MD-00101</t>
        </is>
      </c>
      <c r="B105" s="7" t="inlineStr">
        <is>
          <t>MD-LA-050101</t>
        </is>
      </c>
      <c r="C105" s="7" t="inlineStr">
        <is>
          <t>Laptop</t>
        </is>
      </c>
      <c r="D105" s="7" t="inlineStr">
        <is>
          <t>MacBook Pro 14</t>
        </is>
      </c>
      <c r="E105" s="7" t="inlineStr">
        <is>
          <t>E0089</t>
        </is>
      </c>
      <c r="F105" s="7" t="inlineStr">
        <is>
          <t>Denver - Closed</t>
        </is>
      </c>
      <c r="G105" s="7" t="inlineStr">
        <is>
          <t>Assigned</t>
        </is>
      </c>
      <c r="H105" s="7" t="inlineStr">
        <is>
          <t>Regional IT</t>
        </is>
      </c>
      <c r="I105" s="7" t="inlineStr">
        <is>
          <t>Seattle</t>
        </is>
      </c>
      <c r="J105" s="7" t="inlineStr">
        <is>
          <t>Retired/Pending Disposal</t>
        </is>
      </c>
      <c r="K105" s="7" t="inlineStr">
        <is>
          <t>MD-00101 is Retired/Pending Disposal. Disposal certificate has not been verified. Transfer TR-00101 received 2026-06-07; approval APR-00101. Service desk ticket RET-00101 on file. Fixed-asset extract includes FA-000101 (NBV $0). PO PO-2022-0017.</t>
        </is>
      </c>
      <c r="L105" s="7" t="inlineStr">
        <is>
          <t>2026-06-07</t>
        </is>
      </c>
      <c r="M105" s="7" t="n">
        <v>1985</v>
      </c>
      <c r="N105" s="7" t="n">
        <v>0</v>
      </c>
      <c r="O105" s="7" t="inlineStr">
        <is>
          <t>FA-000101</t>
        </is>
      </c>
      <c r="P105" s="7" t="inlineStr">
        <is>
          <t>No</t>
        </is>
      </c>
      <c r="Q105" s="7" t="inlineStr">
        <is>
          <t>Medium</t>
        </is>
      </c>
      <c r="R105" s="7" t="inlineStr">
        <is>
          <t>EX-0128, EX-0129</t>
        </is>
      </c>
      <c r="S105" s="7" t="inlineStr">
        <is>
          <t>Yes</t>
        </is>
      </c>
      <c r="T105" t="n">
        <v>1985</v>
      </c>
      <c r="U105" t="inlineStr">
        <is>
          <t>Active</t>
        </is>
      </c>
      <c r="V105" t="n">
        <v>0</v>
      </c>
      <c r="W105" t="n">
        <v>0</v>
      </c>
      <c r="X105" t="inlineStr">
        <is>
          <t>Yes</t>
        </is>
      </c>
    </row>
    <row r="106">
      <c r="A106" s="7" t="inlineStr">
        <is>
          <t>MD-00102</t>
        </is>
      </c>
      <c r="B106" s="7" t="inlineStr">
        <is>
          <t>MD-MO-050102</t>
        </is>
      </c>
      <c r="C106" s="7" t="inlineStr">
        <is>
          <t>Monitor</t>
        </is>
      </c>
      <c r="D106" s="7" t="inlineStr">
        <is>
          <t>Dell U2723QE</t>
        </is>
      </c>
      <c r="E106" s="7" t="inlineStr">
        <is>
          <t>E0090</t>
        </is>
      </c>
      <c r="F106" s="7" t="inlineStr">
        <is>
          <t>Chicago - Closed</t>
        </is>
      </c>
      <c r="G106" s="7" t="inlineStr">
        <is>
          <t>Assigned</t>
        </is>
      </c>
      <c r="H106" s="7" t="inlineStr">
        <is>
          <t>Regional IT</t>
        </is>
      </c>
      <c r="I106" s="7" t="inlineStr">
        <is>
          <t>Atlanta</t>
        </is>
      </c>
      <c r="J106" s="7" t="inlineStr">
        <is>
          <t>Retired/Pending Disposal</t>
        </is>
      </c>
      <c r="K106" s="7" t="inlineStr">
        <is>
          <t>MD-00102 is Retired/Pending Disposal. Disposal certificate has not been verified. Transfer TR-00102 received 2026-01-11; approval APR-00102. Service desk ticket RET-00102 on file. Ledger FA-000102 on file; NBV $407.54. PO PO-2022-0017.</t>
        </is>
      </c>
      <c r="L106" s="7" t="inlineStr">
        <is>
          <t>2026-05-31</t>
        </is>
      </c>
      <c r="M106" s="7" t="n">
        <v>700</v>
      </c>
      <c r="N106" s="7" t="n">
        <v>407.54</v>
      </c>
      <c r="O106" s="7" t="inlineStr">
        <is>
          <t>FA-000102</t>
        </is>
      </c>
      <c r="P106" s="7" t="inlineStr">
        <is>
          <t>No</t>
        </is>
      </c>
      <c r="Q106" s="7" t="inlineStr">
        <is>
          <t>Medium</t>
        </is>
      </c>
      <c r="R106" s="7" t="inlineStr">
        <is>
          <t>EX-0130, EX-0131, EX-0132</t>
        </is>
      </c>
      <c r="S106" s="7" t="inlineStr">
        <is>
          <t>Yes</t>
        </is>
      </c>
      <c r="T106" t="n">
        <v>820</v>
      </c>
      <c r="U106" t="inlineStr">
        <is>
          <t>Active</t>
        </is>
      </c>
      <c r="V106" t="n">
        <v>407.54</v>
      </c>
      <c r="W106" t="n">
        <v>120</v>
      </c>
      <c r="X106" t="inlineStr">
        <is>
          <t>Yes</t>
        </is>
      </c>
    </row>
    <row r="107">
      <c r="A107" s="7" t="inlineStr">
        <is>
          <t>MD-00103</t>
        </is>
      </c>
      <c r="B107" s="7" t="inlineStr">
        <is>
          <t>MD-MO-050103</t>
        </is>
      </c>
      <c r="C107" s="7" t="inlineStr">
        <is>
          <t>Mobile Device</t>
        </is>
      </c>
      <c r="D107" s="7" t="inlineStr">
        <is>
          <t>Samsung Galaxy S24</t>
        </is>
      </c>
      <c r="E107" s="7" t="inlineStr">
        <is>
          <t>E0091</t>
        </is>
      </c>
      <c r="F107" s="7" t="inlineStr">
        <is>
          <t>Denver - Closed</t>
        </is>
      </c>
      <c r="G107" s="7" t="inlineStr">
        <is>
          <t>Assigned</t>
        </is>
      </c>
      <c r="H107" s="7" t="inlineStr">
        <is>
          <t>Regional IT</t>
        </is>
      </c>
      <c r="I107" s="7" t="inlineStr">
        <is>
          <t>Chicago</t>
        </is>
      </c>
      <c r="J107" s="7" t="inlineStr">
        <is>
          <t>Retired/Pending Disposal</t>
        </is>
      </c>
      <c r="K107" s="7" t="inlineStr">
        <is>
          <t>MD-00103 is Retired/Pending Disposal. Disposal certificate has not been verified. Transfer TR-00103 received 2026-02-14; approval APR-00103. Service desk ticket RET-00103 on file. FAR row FA-000103; net book value $782.53. PO PO-2023-0018.</t>
        </is>
      </c>
      <c r="L107" s="7" t="inlineStr">
        <is>
          <t>2026-05-31</t>
        </is>
      </c>
      <c r="M107" s="7" t="n">
        <v>1175</v>
      </c>
      <c r="N107" s="7" t="n">
        <v>782.53</v>
      </c>
      <c r="O107" s="7" t="inlineStr">
        <is>
          <t>FA-000103</t>
        </is>
      </c>
      <c r="P107" s="7" t="inlineStr">
        <is>
          <t>No</t>
        </is>
      </c>
      <c r="Q107" s="7" t="inlineStr">
        <is>
          <t>Medium</t>
        </is>
      </c>
      <c r="R107" s="7" t="inlineStr">
        <is>
          <t>EX-0133, EX-0134</t>
        </is>
      </c>
      <c r="S107" s="7" t="inlineStr">
        <is>
          <t>Yes</t>
        </is>
      </c>
      <c r="T107" t="n">
        <v>1175</v>
      </c>
      <c r="U107" t="inlineStr">
        <is>
          <t>Active</t>
        </is>
      </c>
      <c r="V107" t="n">
        <v>782.53</v>
      </c>
      <c r="W107" t="n">
        <v>0</v>
      </c>
      <c r="X107" t="inlineStr">
        <is>
          <t>Yes</t>
        </is>
      </c>
    </row>
    <row r="108">
      <c r="A108" s="7" t="inlineStr">
        <is>
          <t>MD-00104</t>
        </is>
      </c>
      <c r="B108" s="7" t="inlineStr">
        <is>
          <t>MD-NE-050104</t>
        </is>
      </c>
      <c r="C108" s="7" t="inlineStr">
        <is>
          <t>Network Asset</t>
        </is>
      </c>
      <c r="D108" s="7" t="inlineStr">
        <is>
          <t>Cisco C9300</t>
        </is>
      </c>
      <c r="E108" s="7" t="inlineStr">
        <is>
          <t>E0092</t>
        </is>
      </c>
      <c r="F108" s="7" t="inlineStr">
        <is>
          <t>Chicago - Closed</t>
        </is>
      </c>
      <c r="G108" s="7" t="inlineStr">
        <is>
          <t>Assigned</t>
        </is>
      </c>
      <c r="H108" s="7" t="inlineStr">
        <is>
          <t>Regional IT</t>
        </is>
      </c>
      <c r="I108" s="7" t="inlineStr">
        <is>
          <t>Dallas</t>
        </is>
      </c>
      <c r="J108" s="7" t="inlineStr">
        <is>
          <t>Retired/Pending Disposal</t>
        </is>
      </c>
      <c r="K108" s="7" t="inlineStr">
        <is>
          <t>MD-00104 is Retired/Pending Disposal. Disposal certificate has not been verified. Transfer TR-00104 received 2026-03-18; approval APR-00104. Service desk ticket RET-00104 on file. Fixed-asset extract includes FA-000104 (NBV $1403.83). PO PO-2023-0018.</t>
        </is>
      </c>
      <c r="L108" s="7" t="inlineStr">
        <is>
          <t>2026-05-31</t>
        </is>
      </c>
      <c r="M108" s="7" t="n">
        <v>6470</v>
      </c>
      <c r="N108" s="7" t="n">
        <v>1403.83</v>
      </c>
      <c r="O108" s="7" t="inlineStr">
        <is>
          <t>FA-000104</t>
        </is>
      </c>
      <c r="P108" s="7" t="inlineStr">
        <is>
          <t>Yes</t>
        </is>
      </c>
      <c r="Q108" s="7" t="inlineStr">
        <is>
          <t>Medium</t>
        </is>
      </c>
      <c r="R108" s="7" t="inlineStr">
        <is>
          <t>EX-0135, EX-0136</t>
        </is>
      </c>
      <c r="S108" s="7" t="inlineStr">
        <is>
          <t>Yes</t>
        </is>
      </c>
      <c r="T108" t="n">
        <v>6470</v>
      </c>
      <c r="U108" t="inlineStr">
        <is>
          <t>Active</t>
        </is>
      </c>
      <c r="V108" t="n">
        <v>1403.83</v>
      </c>
      <c r="W108" t="n">
        <v>0</v>
      </c>
      <c r="X108" t="inlineStr">
        <is>
          <t>Yes</t>
        </is>
      </c>
    </row>
    <row r="109">
      <c r="A109" s="7" t="inlineStr">
        <is>
          <t>MD-00105</t>
        </is>
      </c>
      <c r="B109" s="7" t="inlineStr">
        <is>
          <t>MD-LA-050105</t>
        </is>
      </c>
      <c r="C109" s="7" t="inlineStr">
        <is>
          <t>Laptop</t>
        </is>
      </c>
      <c r="D109" s="7" t="inlineStr">
        <is>
          <t>Dell Latitude 7440</t>
        </is>
      </c>
      <c r="E109" s="7" t="inlineStr">
        <is>
          <t>E0093</t>
        </is>
      </c>
      <c r="F109" s="7" t="inlineStr">
        <is>
          <t>Denver - Closed</t>
        </is>
      </c>
      <c r="G109" s="7" t="inlineStr">
        <is>
          <t>Assigned</t>
        </is>
      </c>
      <c r="H109" s="7" t="inlineStr">
        <is>
          <t>Regional IT</t>
        </is>
      </c>
      <c r="I109" s="7" t="inlineStr">
        <is>
          <t>Denver</t>
        </is>
      </c>
      <c r="J109" s="7" t="inlineStr">
        <is>
          <t>Retired/Pending Disposal</t>
        </is>
      </c>
      <c r="K109" s="7" t="inlineStr">
        <is>
          <t>MD-00105 is Retired/Pending Disposal. Disposal certificate has not been verified. Transfer TR-00105 received 2026-04-21; approval APR-00105. Service desk ticket RET-00105 on file. Ledger FA-000105 on file; NBV $104.26. PO PO-2023-0018.</t>
        </is>
      </c>
      <c r="L109" s="7" t="inlineStr">
        <is>
          <t>2026-05-31</t>
        </is>
      </c>
      <c r="M109" s="7" t="n">
        <v>1850</v>
      </c>
      <c r="N109" s="7" t="n">
        <v>104.26</v>
      </c>
      <c r="O109" s="7" t="inlineStr">
        <is>
          <t>FA-000105</t>
        </is>
      </c>
      <c r="P109" s="7" t="inlineStr">
        <is>
          <t>No</t>
        </is>
      </c>
      <c r="Q109" s="7" t="inlineStr">
        <is>
          <t>Medium</t>
        </is>
      </c>
      <c r="R109" s="7" t="inlineStr">
        <is>
          <t>EX-0137, EX-0138</t>
        </is>
      </c>
      <c r="S109" s="7" t="inlineStr">
        <is>
          <t>Yes</t>
        </is>
      </c>
      <c r="T109" t="n">
        <v>1850</v>
      </c>
      <c r="U109" t="inlineStr">
        <is>
          <t>Active</t>
        </is>
      </c>
      <c r="V109" t="n">
        <v>104.26</v>
      </c>
      <c r="W109" t="n">
        <v>0</v>
      </c>
      <c r="X109" t="inlineStr">
        <is>
          <t>Yes</t>
        </is>
      </c>
    </row>
    <row r="110">
      <c r="A110" s="7" t="inlineStr">
        <is>
          <t>MD-00106</t>
        </is>
      </c>
      <c r="B110" s="7" t="inlineStr">
        <is>
          <t>MD-MO-050106</t>
        </is>
      </c>
      <c r="C110" s="7" t="inlineStr">
        <is>
          <t>Monitor</t>
        </is>
      </c>
      <c r="D110" s="7" t="inlineStr">
        <is>
          <t>Dell U2723QE</t>
        </is>
      </c>
      <c r="E110" s="7" t="inlineStr">
        <is>
          <t>E0094</t>
        </is>
      </c>
      <c r="F110" s="7" t="inlineStr">
        <is>
          <t>Chicago - Closed</t>
        </is>
      </c>
      <c r="G110" s="7" t="inlineStr">
        <is>
          <t>Assigned</t>
        </is>
      </c>
      <c r="H110" s="7" t="inlineStr">
        <is>
          <t>Regional IT</t>
        </is>
      </c>
      <c r="I110" s="7" t="inlineStr">
        <is>
          <t>New York</t>
        </is>
      </c>
      <c r="J110" s="7" t="inlineStr">
        <is>
          <t>Retired/Pending Disposal</t>
        </is>
      </c>
      <c r="K110" s="7" t="inlineStr">
        <is>
          <t>MD-00106 is Retired/Pending Disposal. Disposal certificate has not been verified. Transfer TR-00106 received 2026-05-25; approval APR-00106. Service desk ticket RET-00106 on file. FAR row FA-000106; net book value $368.24. PO PO-2023-0018.</t>
        </is>
      </c>
      <c r="L110" s="7" t="inlineStr">
        <is>
          <t>2026-05-31</t>
        </is>
      </c>
      <c r="M110" s="7" t="n">
        <v>565</v>
      </c>
      <c r="N110" s="7" t="n">
        <v>368.24</v>
      </c>
      <c r="O110" s="7" t="inlineStr">
        <is>
          <t>FA-000106</t>
        </is>
      </c>
      <c r="P110" s="7" t="inlineStr">
        <is>
          <t>No</t>
        </is>
      </c>
      <c r="Q110" s="7" t="inlineStr">
        <is>
          <t>Medium</t>
        </is>
      </c>
      <c r="R110" s="7" t="inlineStr">
        <is>
          <t>EX-0139, EX-0140</t>
        </is>
      </c>
      <c r="S110" s="7" t="inlineStr">
        <is>
          <t>Yes</t>
        </is>
      </c>
      <c r="T110" t="n">
        <v>565</v>
      </c>
      <c r="U110" t="inlineStr">
        <is>
          <t>Active</t>
        </is>
      </c>
      <c r="V110" t="n">
        <v>368.24</v>
      </c>
      <c r="W110" t="n">
        <v>0</v>
      </c>
      <c r="X110" t="inlineStr">
        <is>
          <t>Yes</t>
        </is>
      </c>
    </row>
    <row r="111">
      <c r="A111" s="7" t="inlineStr">
        <is>
          <t>MD-00107</t>
        </is>
      </c>
      <c r="B111" s="7" t="inlineStr">
        <is>
          <t>MD-MO-050107</t>
        </is>
      </c>
      <c r="C111" s="7" t="inlineStr">
        <is>
          <t>Mobile Device</t>
        </is>
      </c>
      <c r="D111" s="7" t="inlineStr">
        <is>
          <t>Samsung Galaxy S24</t>
        </is>
      </c>
      <c r="E111" s="7" t="inlineStr">
        <is>
          <t>E0095</t>
        </is>
      </c>
      <c r="F111" s="7" t="inlineStr">
        <is>
          <t>Denver - Closed</t>
        </is>
      </c>
      <c r="G111" s="7" t="inlineStr">
        <is>
          <t>Assigned</t>
        </is>
      </c>
      <c r="H111" s="7" t="inlineStr">
        <is>
          <t>Regional IT</t>
        </is>
      </c>
      <c r="I111" s="7" t="inlineStr">
        <is>
          <t>Seattle</t>
        </is>
      </c>
      <c r="J111" s="7" t="inlineStr">
        <is>
          <t>Retired/Pending Disposal</t>
        </is>
      </c>
      <c r="K111" s="7" t="inlineStr">
        <is>
          <t>MD-00107 is Retired/Pending Disposal. Disposal certificate has not been verified. Transfer TR-00107 received 2026-06-27; approval APR-00107. Service desk ticket RET-00107 on file. Fixed-asset extract includes FA-000107 (NBV $812.21). PO PO-2023-0018.</t>
        </is>
      </c>
      <c r="L111" s="7" t="inlineStr">
        <is>
          <t>2026-06-13</t>
        </is>
      </c>
      <c r="M111" s="7" t="n">
        <v>1040</v>
      </c>
      <c r="N111" s="7" t="n">
        <v>812.21</v>
      </c>
      <c r="O111" s="7" t="inlineStr">
        <is>
          <t>FA-000107</t>
        </is>
      </c>
      <c r="P111" s="7" t="inlineStr">
        <is>
          <t>No</t>
        </is>
      </c>
      <c r="Q111" s="7" t="inlineStr">
        <is>
          <t>Medium</t>
        </is>
      </c>
      <c r="R111" s="7" t="inlineStr">
        <is>
          <t>EX-0141, EX-0142</t>
        </is>
      </c>
      <c r="S111" s="7" t="inlineStr">
        <is>
          <t>Yes</t>
        </is>
      </c>
      <c r="T111" t="n">
        <v>1040</v>
      </c>
      <c r="U111" t="inlineStr">
        <is>
          <t>Active</t>
        </is>
      </c>
      <c r="V111" t="n">
        <v>812.21</v>
      </c>
      <c r="W111" t="n">
        <v>0</v>
      </c>
      <c r="X111" t="inlineStr">
        <is>
          <t>Yes</t>
        </is>
      </c>
    </row>
    <row r="112">
      <c r="A112" s="7" t="inlineStr">
        <is>
          <t>MD-00108</t>
        </is>
      </c>
      <c r="B112" s="7" t="inlineStr">
        <is>
          <t>MD-NE-050108</t>
        </is>
      </c>
      <c r="C112" s="7" t="inlineStr">
        <is>
          <t>Network Asset</t>
        </is>
      </c>
      <c r="D112" s="7" t="inlineStr">
        <is>
          <t>Cisco C9300</t>
        </is>
      </c>
      <c r="E112" s="7" t="inlineStr">
        <is>
          <t>E0071</t>
        </is>
      </c>
      <c r="F112" s="7" t="inlineStr">
        <is>
          <t>Chicago - Closed</t>
        </is>
      </c>
      <c r="G112" s="7" t="inlineStr">
        <is>
          <t>Assigned</t>
        </is>
      </c>
      <c r="H112" s="7" t="inlineStr">
        <is>
          <t>Regional IT</t>
        </is>
      </c>
      <c r="I112" s="7" t="inlineStr">
        <is>
          <t>Atlanta</t>
        </is>
      </c>
      <c r="J112" s="7" t="inlineStr">
        <is>
          <t>Retired/Pending Disposal</t>
        </is>
      </c>
      <c r="K112" s="7" t="inlineStr">
        <is>
          <t>MD-00108 is Retired/Pending Disposal. Disposal certificate has not been verified. Transfer TR-00108 received 2026-01-30; approval APR-00108. Service desk ticket RET-00108 on file. Ledger FA-000108 on file; NBV $545.48. PO PO-2023-0018.</t>
        </is>
      </c>
      <c r="L112" s="7" t="inlineStr">
        <is>
          <t>2026-05-31</t>
        </is>
      </c>
      <c r="M112" s="7" t="n">
        <v>6335</v>
      </c>
      <c r="N112" s="7" t="n">
        <v>545.48</v>
      </c>
      <c r="O112" s="7" t="inlineStr">
        <is>
          <t>FA-000108</t>
        </is>
      </c>
      <c r="P112" s="7" t="inlineStr">
        <is>
          <t>Yes</t>
        </is>
      </c>
      <c r="Q112" s="7" t="inlineStr">
        <is>
          <t>Medium</t>
        </is>
      </c>
      <c r="R112" s="7" t="inlineStr">
        <is>
          <t>EX-0143, EX-0144</t>
        </is>
      </c>
      <c r="S112" s="7" t="inlineStr">
        <is>
          <t>Yes</t>
        </is>
      </c>
      <c r="T112" t="n">
        <v>6335</v>
      </c>
      <c r="U112" t="inlineStr">
        <is>
          <t>Active</t>
        </is>
      </c>
      <c r="V112" t="n">
        <v>545.48</v>
      </c>
      <c r="W112" t="n">
        <v>0</v>
      </c>
      <c r="X112" t="inlineStr">
        <is>
          <t>Yes</t>
        </is>
      </c>
    </row>
    <row r="113">
      <c r="A113" s="7" t="inlineStr">
        <is>
          <t>MD-00109</t>
        </is>
      </c>
      <c r="B113" s="7" t="inlineStr">
        <is>
          <t>MD-LA-050109</t>
        </is>
      </c>
      <c r="C113" s="7" t="inlineStr">
        <is>
          <t>Laptop</t>
        </is>
      </c>
      <c r="D113" s="7" t="inlineStr">
        <is>
          <t>Lenovo ThinkPad T14</t>
        </is>
      </c>
      <c r="E113" s="7" t="inlineStr">
        <is>
          <t>E0072</t>
        </is>
      </c>
      <c r="F113" s="7" t="inlineStr">
        <is>
          <t>Denver - Closed</t>
        </is>
      </c>
      <c r="G113" s="7" t="inlineStr">
        <is>
          <t>Assigned</t>
        </is>
      </c>
      <c r="H113" s="7" t="inlineStr">
        <is>
          <t>Regional IT</t>
        </is>
      </c>
      <c r="I113" s="7" t="inlineStr">
        <is>
          <t>Chicago</t>
        </is>
      </c>
      <c r="J113" s="7" t="inlineStr">
        <is>
          <t>Retired/Pending Disposal</t>
        </is>
      </c>
      <c r="K113" s="7" t="inlineStr">
        <is>
          <t>MD-00109 is Retired/Pending Disposal. Disposal certificate has not been verified. Transfer TR-00109 received 2026-02-04; approval APR-00109. Service desk ticket RET-00109 on file. FAR row FA-000109; net book value $0. PO PO-2024-0019.</t>
        </is>
      </c>
      <c r="L113" s="7" t="inlineStr">
        <is>
          <t>2026-05-31</t>
        </is>
      </c>
      <c r="M113" s="7" t="n">
        <v>2030</v>
      </c>
      <c r="N113" s="7" t="n">
        <v>0</v>
      </c>
      <c r="O113" s="7" t="inlineStr">
        <is>
          <t>FA-000109</t>
        </is>
      </c>
      <c r="P113" s="7" t="inlineStr">
        <is>
          <t>No</t>
        </is>
      </c>
      <c r="Q113" s="7" t="inlineStr">
        <is>
          <t>Medium</t>
        </is>
      </c>
      <c r="R113" s="7" t="inlineStr">
        <is>
          <t>EX-0145, EX-0146</t>
        </is>
      </c>
      <c r="S113" s="7" t="inlineStr">
        <is>
          <t>Yes</t>
        </is>
      </c>
      <c r="T113" t="n">
        <v>2030</v>
      </c>
      <c r="U113" t="inlineStr">
        <is>
          <t>Active</t>
        </is>
      </c>
      <c r="V113" t="n">
        <v>0</v>
      </c>
      <c r="W113" t="n">
        <v>0</v>
      </c>
      <c r="X113" t="inlineStr">
        <is>
          <t>Yes</t>
        </is>
      </c>
    </row>
    <row r="114">
      <c r="A114" s="7" t="inlineStr">
        <is>
          <t>MD-00110</t>
        </is>
      </c>
      <c r="B114" s="7" t="inlineStr">
        <is>
          <t>MD-MO-050110</t>
        </is>
      </c>
      <c r="C114" s="7" t="inlineStr">
        <is>
          <t>Monitor</t>
        </is>
      </c>
      <c r="D114" s="7" t="inlineStr">
        <is>
          <t>Dell U2723QE</t>
        </is>
      </c>
      <c r="E114" s="7" t="inlineStr">
        <is>
          <t>E0073</t>
        </is>
      </c>
      <c r="F114" s="7" t="inlineStr">
        <is>
          <t>Chicago - Closed</t>
        </is>
      </c>
      <c r="G114" s="7" t="inlineStr">
        <is>
          <t>Assigned</t>
        </is>
      </c>
      <c r="H114" s="7" t="inlineStr">
        <is>
          <t>Regional IT</t>
        </is>
      </c>
      <c r="I114" s="7" t="inlineStr">
        <is>
          <t>Dallas</t>
        </is>
      </c>
      <c r="J114" s="7" t="inlineStr">
        <is>
          <t>Retired/Pending Disposal</t>
        </is>
      </c>
      <c r="K114" s="7" t="inlineStr">
        <is>
          <t>MD-00110 is Retired/Pending Disposal. Disposal certificate has not been verified. Transfer TR-00110 received 2026-03-08; approval APR-00110. Service desk ticket RET-00110 on file. Fixed-asset extract includes FA-000110 (NBV $387.24). PO PO-2024-0019.</t>
        </is>
      </c>
      <c r="L114" s="7" t="inlineStr">
        <is>
          <t>2026-05-31</t>
        </is>
      </c>
      <c r="M114" s="7" t="n">
        <v>745</v>
      </c>
      <c r="N114" s="7" t="n">
        <v>387.24</v>
      </c>
      <c r="O114" s="7" t="inlineStr">
        <is>
          <t>FA-000110</t>
        </is>
      </c>
      <c r="P114" s="7" t="inlineStr">
        <is>
          <t>No</t>
        </is>
      </c>
      <c r="Q114" s="7" t="inlineStr">
        <is>
          <t>Medium</t>
        </is>
      </c>
      <c r="R114" s="7" t="inlineStr">
        <is>
          <t>EX-0147, EX-0148</t>
        </is>
      </c>
      <c r="S114" s="7" t="inlineStr">
        <is>
          <t>Yes</t>
        </is>
      </c>
      <c r="T114" t="n">
        <v>745</v>
      </c>
      <c r="U114" t="inlineStr">
        <is>
          <t>Active</t>
        </is>
      </c>
      <c r="V114" t="n">
        <v>387.24</v>
      </c>
      <c r="W114" t="n">
        <v>0</v>
      </c>
      <c r="X114" t="inlineStr">
        <is>
          <t>Yes</t>
        </is>
      </c>
    </row>
    <row r="115">
      <c r="A115" s="7" t="inlineStr">
        <is>
          <t>MD-00111</t>
        </is>
      </c>
      <c r="B115" s="7" t="inlineStr">
        <is>
          <t>MD-MO-050111</t>
        </is>
      </c>
      <c r="C115" s="7" t="inlineStr">
        <is>
          <t>Mobile Device</t>
        </is>
      </c>
      <c r="D115" s="7" t="inlineStr">
        <is>
          <t>Samsung Galaxy S24</t>
        </is>
      </c>
      <c r="E115" s="7" t="inlineStr">
        <is>
          <t>E0074</t>
        </is>
      </c>
      <c r="F115" s="7" t="inlineStr">
        <is>
          <t>Denver - Closed</t>
        </is>
      </c>
      <c r="G115" s="7" t="inlineStr">
        <is>
          <t>Assigned</t>
        </is>
      </c>
      <c r="H115" s="7" t="inlineStr">
        <is>
          <t>Certified Recycler</t>
        </is>
      </c>
      <c r="I115" s="7" t="inlineStr">
        <is>
          <t>Disposed</t>
        </is>
      </c>
      <c r="J115" s="7" t="inlineStr">
        <is>
          <t>Disposed</t>
        </is>
      </c>
      <c r="K115" s="7" t="inlineStr">
        <is>
          <t>MD-00111 closed as Disposed with certificate support; site recorded as Disposed. Transfer TR-00111 received 2026-04-13; approval APR-00111. Ledger FA-000111 on file; NBV $0. PO PO-2024-0019.</t>
        </is>
      </c>
      <c r="L115" s="7" t="inlineStr">
        <is>
          <t>2026-07-20</t>
        </is>
      </c>
      <c r="M115" s="7" t="n">
        <v>1220</v>
      </c>
      <c r="N115" s="7" t="n">
        <v>0</v>
      </c>
      <c r="O115" s="7" t="inlineStr">
        <is>
          <t>FA-000111</t>
        </is>
      </c>
      <c r="P115" s="7" t="inlineStr">
        <is>
          <t>No</t>
        </is>
      </c>
      <c r="Q115" s="9" t="inlineStr">
        <is>
          <t>High</t>
        </is>
      </c>
      <c r="R115" s="7" t="inlineStr"/>
      <c r="S115" s="7" t="inlineStr">
        <is>
          <t>No</t>
        </is>
      </c>
      <c r="T115" t="n">
        <v>1220</v>
      </c>
      <c r="U115" t="inlineStr">
        <is>
          <t>Disposed</t>
        </is>
      </c>
      <c r="V115" t="n">
        <v>0</v>
      </c>
      <c r="W115" t="n">
        <v>0</v>
      </c>
      <c r="X115" t="inlineStr">
        <is>
          <t>Yes</t>
        </is>
      </c>
    </row>
    <row r="116">
      <c r="A116" s="7" t="inlineStr">
        <is>
          <t>MD-00112</t>
        </is>
      </c>
      <c r="B116" s="7" t="inlineStr">
        <is>
          <t>MD-NE-050112</t>
        </is>
      </c>
      <c r="C116" s="7" t="inlineStr">
        <is>
          <t>Network Asset</t>
        </is>
      </c>
      <c r="D116" s="7" t="inlineStr">
        <is>
          <t>Cisco C9300</t>
        </is>
      </c>
      <c r="E116" s="7" t="inlineStr">
        <is>
          <t>E0075</t>
        </is>
      </c>
      <c r="F116" s="7" t="inlineStr">
        <is>
          <t>Chicago - Closed</t>
        </is>
      </c>
      <c r="G116" s="7" t="inlineStr">
        <is>
          <t>Assigned</t>
        </is>
      </c>
      <c r="H116" s="7" t="inlineStr">
        <is>
          <t>Certified Recycler</t>
        </is>
      </c>
      <c r="I116" s="7" t="inlineStr">
        <is>
          <t>Disposed</t>
        </is>
      </c>
      <c r="J116" s="7" t="inlineStr">
        <is>
          <t>Disposed</t>
        </is>
      </c>
      <c r="K116" s="7" t="inlineStr">
        <is>
          <t>MD-00112 closed as Disposed with certificate support; site recorded as Disposed. Transfer TR-00112 received 2026-05-15; approval APR-00112. FAR row FA-000112; net book value $0. PO PO-2024-0019.</t>
        </is>
      </c>
      <c r="L116" s="7" t="inlineStr">
        <is>
          <t>2026-07-20</t>
        </is>
      </c>
      <c r="M116" s="7" t="n">
        <v>6200</v>
      </c>
      <c r="N116" s="7" t="n">
        <v>0</v>
      </c>
      <c r="O116" s="7" t="inlineStr">
        <is>
          <t>FA-000112</t>
        </is>
      </c>
      <c r="P116" s="7" t="inlineStr">
        <is>
          <t>Yes</t>
        </is>
      </c>
      <c r="Q116" s="9" t="inlineStr">
        <is>
          <t>High</t>
        </is>
      </c>
      <c r="R116" s="7" t="inlineStr"/>
      <c r="S116" s="7" t="inlineStr">
        <is>
          <t>No</t>
        </is>
      </c>
      <c r="T116" t="n">
        <v>6200</v>
      </c>
      <c r="U116" t="inlineStr">
        <is>
          <t>Disposed</t>
        </is>
      </c>
      <c r="V116" t="n">
        <v>0</v>
      </c>
      <c r="W116" t="n">
        <v>0</v>
      </c>
      <c r="X116" t="inlineStr">
        <is>
          <t>Yes</t>
        </is>
      </c>
    </row>
    <row r="117">
      <c r="A117" s="7" t="inlineStr">
        <is>
          <t>MD-00113</t>
        </is>
      </c>
      <c r="B117" s="7" t="inlineStr">
        <is>
          <t>MD-LA-050113</t>
        </is>
      </c>
      <c r="C117" s="7" t="inlineStr">
        <is>
          <t>Laptop</t>
        </is>
      </c>
      <c r="D117" s="7" t="inlineStr">
        <is>
          <t>MacBook Pro 14</t>
        </is>
      </c>
      <c r="E117" s="7" t="inlineStr">
        <is>
          <t>E0076</t>
        </is>
      </c>
      <c r="F117" s="7" t="inlineStr">
        <is>
          <t>Denver - Closed</t>
        </is>
      </c>
      <c r="G117" s="7" t="inlineStr">
        <is>
          <t>Assigned</t>
        </is>
      </c>
      <c r="H117" s="7" t="inlineStr">
        <is>
          <t>Certified Recycler</t>
        </is>
      </c>
      <c r="I117" s="7" t="inlineStr">
        <is>
          <t>Disposed</t>
        </is>
      </c>
      <c r="J117" s="7" t="inlineStr">
        <is>
          <t>Disposed</t>
        </is>
      </c>
      <c r="K117" s="7" t="inlineStr">
        <is>
          <t>MD-00113 closed as Disposed with certificate support; site recorded as Disposed. Transfer TR-00113 received 2026-06-18; approval APR-00113. Fixed-asset extract includes FA-000113 (NBV $0). PO PO-2024-0019.</t>
        </is>
      </c>
      <c r="L117" s="7" t="inlineStr">
        <is>
          <t>2026-07-20</t>
        </is>
      </c>
      <c r="M117" s="7" t="n">
        <v>1895</v>
      </c>
      <c r="N117" s="7" t="n">
        <v>0</v>
      </c>
      <c r="O117" s="7" t="inlineStr">
        <is>
          <t>FA-000113</t>
        </is>
      </c>
      <c r="P117" s="7" t="inlineStr">
        <is>
          <t>No</t>
        </is>
      </c>
      <c r="Q117" s="9" t="inlineStr">
        <is>
          <t>High</t>
        </is>
      </c>
      <c r="R117" s="7" t="inlineStr"/>
      <c r="S117" s="7" t="inlineStr">
        <is>
          <t>No</t>
        </is>
      </c>
      <c r="T117" t="n">
        <v>1895</v>
      </c>
      <c r="U117" t="inlineStr">
        <is>
          <t>Disposed</t>
        </is>
      </c>
      <c r="V117" t="n">
        <v>0</v>
      </c>
      <c r="W117" t="n">
        <v>0</v>
      </c>
      <c r="X117" t="inlineStr">
        <is>
          <t>Yes</t>
        </is>
      </c>
    </row>
    <row r="118">
      <c r="A118" s="7" t="inlineStr">
        <is>
          <t>MD-00114</t>
        </is>
      </c>
      <c r="B118" s="7" t="inlineStr">
        <is>
          <t>MD-MO-050114</t>
        </is>
      </c>
      <c r="C118" s="7" t="inlineStr">
        <is>
          <t>Monitor</t>
        </is>
      </c>
      <c r="D118" s="7" t="inlineStr">
        <is>
          <t>Dell U2723QE</t>
        </is>
      </c>
      <c r="E118" s="7" t="inlineStr">
        <is>
          <t>E0077</t>
        </is>
      </c>
      <c r="F118" s="7" t="inlineStr">
        <is>
          <t>Chicago - Closed</t>
        </is>
      </c>
      <c r="G118" s="7" t="inlineStr">
        <is>
          <t>Assigned</t>
        </is>
      </c>
      <c r="H118" s="7" t="inlineStr">
        <is>
          <t>Certified Recycler</t>
        </is>
      </c>
      <c r="I118" s="7" t="inlineStr">
        <is>
          <t>Disposed (certificate missing)</t>
        </is>
      </c>
      <c r="J118" s="7" t="inlineStr">
        <is>
          <t>Retired/Pending Disposal</t>
        </is>
      </c>
      <c r="K118" s="7" t="inlineStr">
        <is>
          <t>MD-00114 is Retired/Pending Disposal. Disposal certificate has not been verified. Transfer TR-00114 received 2026-01-22; approval APR-00114. Service desk ticket RET-00114 on file. Ledger FA-000114 on file; NBV $0. PO PO-2024-0019.</t>
        </is>
      </c>
      <c r="L118" s="7" t="inlineStr">
        <is>
          <t>2026-01-20</t>
        </is>
      </c>
      <c r="M118" s="7" t="n">
        <v>610</v>
      </c>
      <c r="N118" s="7" t="n">
        <v>0</v>
      </c>
      <c r="O118" s="7" t="inlineStr">
        <is>
          <t>FA-000114</t>
        </is>
      </c>
      <c r="P118" s="7" t="inlineStr">
        <is>
          <t>No</t>
        </is>
      </c>
      <c r="Q118" s="7" t="inlineStr">
        <is>
          <t>Low</t>
        </is>
      </c>
      <c r="R118" s="7" t="inlineStr">
        <is>
          <t>EX-0149, EX-0150</t>
        </is>
      </c>
      <c r="S118" s="7" t="inlineStr">
        <is>
          <t>Yes</t>
        </is>
      </c>
      <c r="T118" t="n">
        <v>610</v>
      </c>
      <c r="U118" t="inlineStr">
        <is>
          <t>Disposed</t>
        </is>
      </c>
      <c r="V118" t="n">
        <v>0</v>
      </c>
      <c r="W118" t="n">
        <v>0</v>
      </c>
      <c r="X118" t="inlineStr">
        <is>
          <t>Yes</t>
        </is>
      </c>
    </row>
    <row r="119">
      <c r="A119" s="7" t="inlineStr">
        <is>
          <t>MD-00115</t>
        </is>
      </c>
      <c r="B119" s="7" t="inlineStr">
        <is>
          <t>MD-MO-050115</t>
        </is>
      </c>
      <c r="C119" s="7" t="inlineStr">
        <is>
          <t>Mobile Device</t>
        </is>
      </c>
      <c r="D119" s="7" t="inlineStr">
        <is>
          <t>Samsung Galaxy S24</t>
        </is>
      </c>
      <c r="E119" s="7" t="inlineStr">
        <is>
          <t>E0078</t>
        </is>
      </c>
      <c r="F119" s="7" t="inlineStr">
        <is>
          <t>Denver - Closed</t>
        </is>
      </c>
      <c r="G119" s="7" t="inlineStr">
        <is>
          <t>Assigned</t>
        </is>
      </c>
      <c r="H119" s="7" t="inlineStr">
        <is>
          <t>Certified Recycler</t>
        </is>
      </c>
      <c r="I119" s="7" t="inlineStr">
        <is>
          <t>Disposed</t>
        </is>
      </c>
      <c r="J119" s="7" t="inlineStr">
        <is>
          <t>Disposed</t>
        </is>
      </c>
      <c r="K119" s="7" t="inlineStr">
        <is>
          <t>MD-00115 closed as Disposed with certificate support; site recorded as Disposed. Transfer TR-00115 received 2026-02-25; approval APR-00115. FAR row FA-000115; net book value $0. PO PO-2025-0020.</t>
        </is>
      </c>
      <c r="L119" s="7" t="inlineStr">
        <is>
          <t>2026-07-20</t>
        </is>
      </c>
      <c r="M119" s="7" t="n">
        <v>1085</v>
      </c>
      <c r="N119" s="7" t="n">
        <v>0</v>
      </c>
      <c r="O119" s="7" t="inlineStr">
        <is>
          <t>FA-000115</t>
        </is>
      </c>
      <c r="P119" s="7" t="inlineStr">
        <is>
          <t>No</t>
        </is>
      </c>
      <c r="Q119" s="9" t="inlineStr">
        <is>
          <t>High</t>
        </is>
      </c>
      <c r="R119" s="7" t="inlineStr"/>
      <c r="S119" s="7" t="inlineStr">
        <is>
          <t>No</t>
        </is>
      </c>
      <c r="T119" t="n">
        <v>1085</v>
      </c>
      <c r="U119" t="inlineStr">
        <is>
          <t>Disposed</t>
        </is>
      </c>
      <c r="V119" t="n">
        <v>0</v>
      </c>
      <c r="W119" t="n">
        <v>0</v>
      </c>
      <c r="X119" t="inlineStr">
        <is>
          <t>Yes</t>
        </is>
      </c>
    </row>
    <row r="120">
      <c r="A120" s="7" t="inlineStr">
        <is>
          <t>MD-00116</t>
        </is>
      </c>
      <c r="B120" s="7" t="inlineStr">
        <is>
          <t>MD-NE-050116</t>
        </is>
      </c>
      <c r="C120" s="7" t="inlineStr">
        <is>
          <t>Network Asset</t>
        </is>
      </c>
      <c r="D120" s="7" t="inlineStr">
        <is>
          <t>Cisco C9300</t>
        </is>
      </c>
      <c r="E120" s="7" t="inlineStr">
        <is>
          <t>E0079</t>
        </is>
      </c>
      <c r="F120" s="7" t="inlineStr">
        <is>
          <t>Chicago - Closed</t>
        </is>
      </c>
      <c r="G120" s="7" t="inlineStr">
        <is>
          <t>Assigned</t>
        </is>
      </c>
      <c r="H120" s="7" t="inlineStr">
        <is>
          <t>Certified Recycler</t>
        </is>
      </c>
      <c r="I120" s="7" t="inlineStr">
        <is>
          <t>Disposed</t>
        </is>
      </c>
      <c r="J120" s="7" t="inlineStr">
        <is>
          <t>Disposed</t>
        </is>
      </c>
      <c r="K120" s="7" t="inlineStr">
        <is>
          <t>MD-00116 closed as Disposed with certificate support; site recorded as Disposed. Transfer TR-00116 received 2026-03-29; approval APR-00116. Fixed-asset extract includes FA-000116 (NBV $0). PO PO-2025-0020.</t>
        </is>
      </c>
      <c r="L120" s="7" t="inlineStr">
        <is>
          <t>2026-07-20</t>
        </is>
      </c>
      <c r="M120" s="7" t="n">
        <v>6380</v>
      </c>
      <c r="N120" s="7" t="n">
        <v>0</v>
      </c>
      <c r="O120" s="7" t="inlineStr">
        <is>
          <t>FA-000116</t>
        </is>
      </c>
      <c r="P120" s="7" t="inlineStr">
        <is>
          <t>Yes</t>
        </is>
      </c>
      <c r="Q120" s="9" t="inlineStr">
        <is>
          <t>High</t>
        </is>
      </c>
      <c r="R120" s="7" t="inlineStr"/>
      <c r="S120" s="7" t="inlineStr">
        <is>
          <t>No</t>
        </is>
      </c>
      <c r="T120" t="n">
        <v>6380</v>
      </c>
      <c r="U120" t="inlineStr">
        <is>
          <t>Disposed</t>
        </is>
      </c>
      <c r="V120" t="n">
        <v>0</v>
      </c>
      <c r="W120" t="n">
        <v>0</v>
      </c>
      <c r="X120" t="inlineStr">
        <is>
          <t>Yes</t>
        </is>
      </c>
    </row>
    <row r="121">
      <c r="A121" s="7" t="inlineStr">
        <is>
          <t>MD-00117</t>
        </is>
      </c>
      <c r="B121" s="7" t="inlineStr">
        <is>
          <t>MD-LA-050117</t>
        </is>
      </c>
      <c r="C121" s="7" t="inlineStr">
        <is>
          <t>Laptop</t>
        </is>
      </c>
      <c r="D121" s="7" t="inlineStr">
        <is>
          <t>Dell Latitude 7440</t>
        </is>
      </c>
      <c r="E121" s="7" t="inlineStr">
        <is>
          <t>E0080</t>
        </is>
      </c>
      <c r="F121" s="7" t="inlineStr">
        <is>
          <t>Denver - Closed</t>
        </is>
      </c>
      <c r="G121" s="7" t="inlineStr">
        <is>
          <t>Assigned</t>
        </is>
      </c>
      <c r="H121" s="7" t="inlineStr">
        <is>
          <t>Certified Recycler</t>
        </is>
      </c>
      <c r="I121" s="7" t="inlineStr">
        <is>
          <t>Disposed</t>
        </is>
      </c>
      <c r="J121" s="7" t="inlineStr">
        <is>
          <t>Disposed</t>
        </is>
      </c>
      <c r="K121" s="7" t="inlineStr">
        <is>
          <t>MD-00117 closed as Disposed with certificate support; site recorded as Disposed. Transfer TR-00117 received 2026-05-02; approval APR-00117. Ledger FA-000117 on file; NBV $0. PO PO-2025-0020.</t>
        </is>
      </c>
      <c r="L121" s="7" t="inlineStr">
        <is>
          <t>2026-07-20</t>
        </is>
      </c>
      <c r="M121" s="7" t="n">
        <v>2075</v>
      </c>
      <c r="N121" s="7" t="n">
        <v>0</v>
      </c>
      <c r="O121" s="7" t="inlineStr">
        <is>
          <t>FA-000117</t>
        </is>
      </c>
      <c r="P121" s="7" t="inlineStr">
        <is>
          <t>No</t>
        </is>
      </c>
      <c r="Q121" s="9" t="inlineStr">
        <is>
          <t>High</t>
        </is>
      </c>
      <c r="R121" s="7" t="inlineStr"/>
      <c r="S121" s="7" t="inlineStr">
        <is>
          <t>No</t>
        </is>
      </c>
      <c r="T121" t="n">
        <v>2075</v>
      </c>
      <c r="U121" t="inlineStr">
        <is>
          <t>Disposed</t>
        </is>
      </c>
      <c r="V121" t="n">
        <v>0</v>
      </c>
      <c r="W121" t="n">
        <v>0</v>
      </c>
      <c r="X121" t="inlineStr">
        <is>
          <t>Yes</t>
        </is>
      </c>
    </row>
    <row r="122">
      <c r="A122" s="7" t="inlineStr">
        <is>
          <t>MD-00118</t>
        </is>
      </c>
      <c r="B122" s="7" t="inlineStr">
        <is>
          <t>MD-MO-050118</t>
        </is>
      </c>
      <c r="C122" s="7" t="inlineStr">
        <is>
          <t>Monitor</t>
        </is>
      </c>
      <c r="D122" s="7" t="inlineStr">
        <is>
          <t>Dell U2723QE</t>
        </is>
      </c>
      <c r="E122" s="7" t="inlineStr">
        <is>
          <t>E0081</t>
        </is>
      </c>
      <c r="F122" s="7" t="inlineStr">
        <is>
          <t>Chicago - Closed</t>
        </is>
      </c>
      <c r="G122" s="7" t="inlineStr">
        <is>
          <t>Assigned</t>
        </is>
      </c>
      <c r="H122" s="7" t="inlineStr">
        <is>
          <t>Certified Recycler</t>
        </is>
      </c>
      <c r="I122" s="7" t="inlineStr">
        <is>
          <t>Disposed (certificate missing)</t>
        </is>
      </c>
      <c r="J122" s="7" t="inlineStr">
        <is>
          <t>Retired/Pending Disposal</t>
        </is>
      </c>
      <c r="K122" s="7" t="inlineStr">
        <is>
          <t>MD-00118 is Retired/Pending Disposal. Disposal certificate has not been verified. Transfer TR-00118 received 2026-06-04; approval APR-00118. Service desk ticket RET-00118 on file. FAR row FA-000118; net book value $0. PO PO-2025-0020.</t>
        </is>
      </c>
      <c r="L122" s="7" t="inlineStr">
        <is>
          <t>2026-05-24</t>
        </is>
      </c>
      <c r="M122" s="7" t="n">
        <v>790</v>
      </c>
      <c r="N122" s="7" t="n">
        <v>0</v>
      </c>
      <c r="O122" s="7" t="inlineStr">
        <is>
          <t>FA-000118</t>
        </is>
      </c>
      <c r="P122" s="7" t="inlineStr">
        <is>
          <t>No</t>
        </is>
      </c>
      <c r="Q122" s="7" t="inlineStr">
        <is>
          <t>Low</t>
        </is>
      </c>
      <c r="R122" s="7" t="inlineStr">
        <is>
          <t>EX-0151, EX-0152</t>
        </is>
      </c>
      <c r="S122" s="7" t="inlineStr">
        <is>
          <t>Yes</t>
        </is>
      </c>
      <c r="T122" t="n">
        <v>790</v>
      </c>
      <c r="U122" t="inlineStr">
        <is>
          <t>Disposed</t>
        </is>
      </c>
      <c r="V122" t="n">
        <v>0</v>
      </c>
      <c r="W122" t="n">
        <v>0</v>
      </c>
      <c r="X122" t="inlineStr">
        <is>
          <t>Yes</t>
        </is>
      </c>
    </row>
    <row r="123">
      <c r="A123" s="7" t="inlineStr">
        <is>
          <t>MD-00119</t>
        </is>
      </c>
      <c r="B123" s="7" t="inlineStr">
        <is>
          <t>MD-MO-050119</t>
        </is>
      </c>
      <c r="C123" s="7" t="inlineStr">
        <is>
          <t>Mobile Device</t>
        </is>
      </c>
      <c r="D123" s="7" t="inlineStr">
        <is>
          <t>Samsung Galaxy S24</t>
        </is>
      </c>
      <c r="E123" s="7" t="inlineStr">
        <is>
          <t>E0082</t>
        </is>
      </c>
      <c r="F123" s="7" t="inlineStr">
        <is>
          <t>Denver - Closed</t>
        </is>
      </c>
      <c r="G123" s="7" t="inlineStr">
        <is>
          <t>Assigned</t>
        </is>
      </c>
      <c r="H123" s="7" t="inlineStr">
        <is>
          <t>Certified Recycler</t>
        </is>
      </c>
      <c r="I123" s="7" t="inlineStr">
        <is>
          <t>Disposed</t>
        </is>
      </c>
      <c r="J123" s="7" t="inlineStr">
        <is>
          <t>Disposed</t>
        </is>
      </c>
      <c r="K123" s="7" t="inlineStr">
        <is>
          <t>MD-00119 closed as Disposed with certificate support; site recorded as Disposed. Transfer TR-00119 received 2026-07-09; approval APR-00119. Fixed-asset extract includes FA-000119 (NBV $0). PO PO-2025-0020.</t>
        </is>
      </c>
      <c r="L123" s="7" t="inlineStr">
        <is>
          <t>2026-07-20</t>
        </is>
      </c>
      <c r="M123" s="7" t="n">
        <v>950</v>
      </c>
      <c r="N123" s="7" t="n">
        <v>0</v>
      </c>
      <c r="O123" s="7" t="inlineStr">
        <is>
          <t>FA-000119</t>
        </is>
      </c>
      <c r="P123" s="7" t="inlineStr">
        <is>
          <t>No</t>
        </is>
      </c>
      <c r="Q123" s="9" t="inlineStr">
        <is>
          <t>High</t>
        </is>
      </c>
      <c r="R123" s="7" t="inlineStr">
        <is>
          <t>EX-0153</t>
        </is>
      </c>
      <c r="S123" s="7" t="inlineStr">
        <is>
          <t>No</t>
        </is>
      </c>
      <c r="T123" t="n">
        <v>1115</v>
      </c>
      <c r="U123" t="inlineStr">
        <is>
          <t>Disposed</t>
        </is>
      </c>
      <c r="V123" t="n">
        <v>0</v>
      </c>
      <c r="W123" t="n">
        <v>165</v>
      </c>
      <c r="X123" t="inlineStr">
        <is>
          <t>Yes</t>
        </is>
      </c>
    </row>
    <row r="124">
      <c r="A124" s="7" t="inlineStr">
        <is>
          <t>MD-00120</t>
        </is>
      </c>
      <c r="B124" s="7" t="inlineStr">
        <is>
          <t>MD-NE-050120</t>
        </is>
      </c>
      <c r="C124" s="7" t="inlineStr">
        <is>
          <t>Network Asset</t>
        </is>
      </c>
      <c r="D124" s="7" t="inlineStr">
        <is>
          <t>Cisco C9300</t>
        </is>
      </c>
      <c r="E124" s="7" t="inlineStr">
        <is>
          <t>E0083</t>
        </is>
      </c>
      <c r="F124" s="7" t="inlineStr">
        <is>
          <t>Chicago - Closed</t>
        </is>
      </c>
      <c r="G124" s="7" t="inlineStr">
        <is>
          <t>Assigned</t>
        </is>
      </c>
      <c r="H124" s="7" t="inlineStr">
        <is>
          <t>Certified Recycler</t>
        </is>
      </c>
      <c r="I124" s="7" t="inlineStr">
        <is>
          <t>Disposed</t>
        </is>
      </c>
      <c r="J124" s="7" t="inlineStr">
        <is>
          <t>Disposed</t>
        </is>
      </c>
      <c r="K124" s="7" t="inlineStr">
        <is>
          <t>MD-00120 closed as Disposed with certificate support; site recorded as Disposed. Transfer TR-00120 received 2026-01-20; approval APR-00120. Ledger FA-000120 on file; NBV $0. PO PO-2025-0020.</t>
        </is>
      </c>
      <c r="L124" s="7" t="inlineStr">
        <is>
          <t>2026-07-20</t>
        </is>
      </c>
      <c r="M124" s="7" t="n">
        <v>6245</v>
      </c>
      <c r="N124" s="7" t="n">
        <v>0</v>
      </c>
      <c r="O124" s="7" t="inlineStr">
        <is>
          <t>FA-000120</t>
        </is>
      </c>
      <c r="P124" s="7" t="inlineStr">
        <is>
          <t>Yes</t>
        </is>
      </c>
      <c r="Q124" s="9" t="inlineStr">
        <is>
          <t>High</t>
        </is>
      </c>
      <c r="R124" s="7" t="inlineStr"/>
      <c r="S124" s="7" t="inlineStr">
        <is>
          <t>No</t>
        </is>
      </c>
      <c r="T124" t="n">
        <v>6245</v>
      </c>
      <c r="U124" t="inlineStr">
        <is>
          <t>Disposed</t>
        </is>
      </c>
      <c r="V124" t="n">
        <v>0</v>
      </c>
      <c r="W124" t="n">
        <v>0</v>
      </c>
      <c r="X124" t="inlineStr">
        <is>
          <t>Yes</t>
        </is>
      </c>
    </row>
    <row r="125">
      <c r="A125" s="7" t="inlineStr">
        <is>
          <t>MD-00121</t>
        </is>
      </c>
      <c r="B125" s="7" t="inlineStr">
        <is>
          <t>MD-LA-050121</t>
        </is>
      </c>
      <c r="C125" s="7" t="inlineStr">
        <is>
          <t>Laptop</t>
        </is>
      </c>
      <c r="D125" s="7" t="inlineStr">
        <is>
          <t>Lenovo ThinkPad T14</t>
        </is>
      </c>
      <c r="E125" s="7" t="inlineStr"/>
      <c r="F125" s="7" t="inlineStr">
        <is>
          <t>Denver - Closed</t>
        </is>
      </c>
      <c r="G125" s="7" t="inlineStr">
        <is>
          <t>Assigned</t>
        </is>
      </c>
      <c r="H125" s="7" t="inlineStr">
        <is>
          <t>IT Stock</t>
        </is>
      </c>
      <c r="I125" s="7" t="inlineStr">
        <is>
          <t>Chicago</t>
        </is>
      </c>
      <c r="J125" s="7" t="inlineStr">
        <is>
          <t>Available</t>
        </is>
      </c>
      <c r="K125" s="7" t="inlineStr">
        <is>
          <t>MD-00121 (Lenovo ThinkPad T14) is Available at Chicago. Acquisition cost $1940. Transfer TR-00121 received 2026-01-21; approval APR-00121. FAR row FA-000121; net book value $0. PO PO-2022-0021.</t>
        </is>
      </c>
      <c r="L125" s="7" t="inlineStr">
        <is>
          <t>2026-02-03</t>
        </is>
      </c>
      <c r="M125" s="7" t="n">
        <v>1940</v>
      </c>
      <c r="N125" s="7" t="n">
        <v>0</v>
      </c>
      <c r="O125" s="7" t="inlineStr">
        <is>
          <t>FA-000121</t>
        </is>
      </c>
      <c r="P125" s="7" t="inlineStr">
        <is>
          <t>No</t>
        </is>
      </c>
      <c r="Q125" s="9" t="inlineStr">
        <is>
          <t>High</t>
        </is>
      </c>
      <c r="R125" s="7" t="inlineStr">
        <is>
          <t>EX-0154</t>
        </is>
      </c>
      <c r="S125" s="7" t="inlineStr">
        <is>
          <t>No</t>
        </is>
      </c>
      <c r="T125" t="n">
        <v>1940</v>
      </c>
      <c r="U125" t="inlineStr">
        <is>
          <t>Active</t>
        </is>
      </c>
      <c r="V125" t="n">
        <v>0</v>
      </c>
      <c r="W125" t="n">
        <v>0</v>
      </c>
      <c r="X125" t="inlineStr">
        <is>
          <t>Yes</t>
        </is>
      </c>
    </row>
    <row r="126">
      <c r="A126" s="7" t="inlineStr">
        <is>
          <t>MD-00122</t>
        </is>
      </c>
      <c r="B126" s="7" t="inlineStr">
        <is>
          <t>MD-MO-050122</t>
        </is>
      </c>
      <c r="C126" s="7" t="inlineStr">
        <is>
          <t>Monitor</t>
        </is>
      </c>
      <c r="D126" s="7" t="inlineStr">
        <is>
          <t>Dell U2723QE</t>
        </is>
      </c>
      <c r="E126" s="7" t="inlineStr"/>
      <c r="F126" s="7" t="inlineStr">
        <is>
          <t>Chicago - Closed</t>
        </is>
      </c>
      <c r="G126" s="7" t="inlineStr">
        <is>
          <t>Assigned</t>
        </is>
      </c>
      <c r="H126" s="7" t="inlineStr">
        <is>
          <t>IT Stock</t>
        </is>
      </c>
      <c r="I126" s="7" t="inlineStr">
        <is>
          <t>Dallas</t>
        </is>
      </c>
      <c r="J126" s="7" t="inlineStr">
        <is>
          <t>Available</t>
        </is>
      </c>
      <c r="K126" s="7" t="inlineStr">
        <is>
          <t>MD-00122 (Dell U2723QE) is Available at Dallas. Acquisition cost $655. Transfer TR-00122 received 2026-02-25; approval APR-00122. Fixed-asset extract includes FA-000122 (NBV $336.15). PO PO-2022-0021.</t>
        </is>
      </c>
      <c r="L126" s="7" t="inlineStr">
        <is>
          <t>2026-03-04</t>
        </is>
      </c>
      <c r="M126" s="7" t="n">
        <v>655</v>
      </c>
      <c r="N126" s="7" t="n">
        <v>336.15</v>
      </c>
      <c r="O126" s="7" t="inlineStr">
        <is>
          <t>FA-000122</t>
        </is>
      </c>
      <c r="P126" s="7" t="inlineStr">
        <is>
          <t>No</t>
        </is>
      </c>
      <c r="Q126" s="9" t="inlineStr">
        <is>
          <t>High</t>
        </is>
      </c>
      <c r="R126" s="7" t="inlineStr">
        <is>
          <t>EX-0155</t>
        </is>
      </c>
      <c r="S126" s="7" t="inlineStr">
        <is>
          <t>No</t>
        </is>
      </c>
      <c r="T126" t="n">
        <v>655</v>
      </c>
      <c r="U126" t="inlineStr">
        <is>
          <t>Active</t>
        </is>
      </c>
      <c r="V126" t="n">
        <v>336.15</v>
      </c>
      <c r="W126" t="n">
        <v>0</v>
      </c>
      <c r="X126" t="inlineStr">
        <is>
          <t>Yes</t>
        </is>
      </c>
    </row>
    <row r="127">
      <c r="A127" s="7" t="inlineStr">
        <is>
          <t>MD-00123</t>
        </is>
      </c>
      <c r="B127" s="7" t="inlineStr">
        <is>
          <t>MD-MO-050123</t>
        </is>
      </c>
      <c r="C127" s="7" t="inlineStr">
        <is>
          <t>Mobile Device</t>
        </is>
      </c>
      <c r="D127" s="7" t="inlineStr">
        <is>
          <t>Samsung Galaxy S24</t>
        </is>
      </c>
      <c r="E127" s="7" t="inlineStr"/>
      <c r="F127" s="7" t="inlineStr">
        <is>
          <t>Denver - Closed</t>
        </is>
      </c>
      <c r="G127" s="7" t="inlineStr">
        <is>
          <t>Assigned</t>
        </is>
      </c>
      <c r="H127" s="7" t="inlineStr">
        <is>
          <t>IT Stock</t>
        </is>
      </c>
      <c r="I127" s="7" t="inlineStr">
        <is>
          <t>Denver</t>
        </is>
      </c>
      <c r="J127" s="7" t="inlineStr">
        <is>
          <t>Available</t>
        </is>
      </c>
      <c r="K127" s="7" t="inlineStr">
        <is>
          <t>MD-00123 (Samsung Galaxy S24) is Available at Denver. Acquisition cost $1130. Transfer TR-00123 received 2026-04-03; approval APR-00123. Ledger FA-000123 on file; NBV $622.62. PO PO-2022-0021.</t>
        </is>
      </c>
      <c r="L127" s="7" t="inlineStr">
        <is>
          <t>2026-04-05</t>
        </is>
      </c>
      <c r="M127" s="7" t="n">
        <v>1130</v>
      </c>
      <c r="N127" s="7" t="n">
        <v>622.62</v>
      </c>
      <c r="O127" s="7" t="inlineStr">
        <is>
          <t>FA-000123</t>
        </is>
      </c>
      <c r="P127" s="7" t="inlineStr">
        <is>
          <t>No</t>
        </is>
      </c>
      <c r="Q127" s="9" t="inlineStr">
        <is>
          <t>High</t>
        </is>
      </c>
      <c r="R127" s="7" t="inlineStr">
        <is>
          <t>EX-0156</t>
        </is>
      </c>
      <c r="S127" s="7" t="inlineStr">
        <is>
          <t>No</t>
        </is>
      </c>
      <c r="T127" t="n">
        <v>1130</v>
      </c>
      <c r="U127" t="inlineStr">
        <is>
          <t>Active</t>
        </is>
      </c>
      <c r="V127" t="n">
        <v>622.62</v>
      </c>
      <c r="W127" t="n">
        <v>0</v>
      </c>
      <c r="X127" t="inlineStr">
        <is>
          <t>Yes</t>
        </is>
      </c>
    </row>
    <row r="128">
      <c r="A128" s="7" t="inlineStr">
        <is>
          <t>MD-00124</t>
        </is>
      </c>
      <c r="B128" s="7" t="inlineStr">
        <is>
          <t>MD-NE-050124</t>
        </is>
      </c>
      <c r="C128" s="7" t="inlineStr">
        <is>
          <t>Network Asset</t>
        </is>
      </c>
      <c r="D128" s="7" t="inlineStr">
        <is>
          <t>Cisco C9300</t>
        </is>
      </c>
      <c r="E128" s="7" t="inlineStr"/>
      <c r="F128" s="7" t="inlineStr">
        <is>
          <t>Chicago - Closed</t>
        </is>
      </c>
      <c r="G128" s="7" t="inlineStr">
        <is>
          <t>Assigned</t>
        </is>
      </c>
      <c r="H128" s="7" t="inlineStr">
        <is>
          <t>IT Stock</t>
        </is>
      </c>
      <c r="I128" s="7" t="inlineStr">
        <is>
          <t>New York</t>
        </is>
      </c>
      <c r="J128" s="7" t="inlineStr">
        <is>
          <t>Available</t>
        </is>
      </c>
      <c r="K128" s="7" t="inlineStr">
        <is>
          <t>MD-00124 (Cisco C9300) is Available at New York. Acquisition cost $6425. Transfer TR-00124 received 2026-05-01; approval APR-00124. FAR row FA-000124; net book value $947.26. PO PO-2022-0021.</t>
        </is>
      </c>
      <c r="L128" s="7" t="inlineStr">
        <is>
          <t>2026-05-06</t>
        </is>
      </c>
      <c r="M128" s="7" t="n">
        <v>6425</v>
      </c>
      <c r="N128" s="7" t="n">
        <v>947.26</v>
      </c>
      <c r="O128" s="7" t="inlineStr">
        <is>
          <t>FA-000124</t>
        </is>
      </c>
      <c r="P128" s="7" t="inlineStr">
        <is>
          <t>Yes</t>
        </is>
      </c>
      <c r="Q128" s="9" t="inlineStr">
        <is>
          <t>High</t>
        </is>
      </c>
      <c r="R128" s="7" t="inlineStr">
        <is>
          <t>EX-0157</t>
        </is>
      </c>
      <c r="S128" s="7" t="inlineStr">
        <is>
          <t>No</t>
        </is>
      </c>
      <c r="T128" t="n">
        <v>6425</v>
      </c>
      <c r="U128" t="inlineStr">
        <is>
          <t>Active</t>
        </is>
      </c>
      <c r="V128" t="n">
        <v>947.26</v>
      </c>
      <c r="W128" t="n">
        <v>0</v>
      </c>
      <c r="X128" t="inlineStr">
        <is>
          <t>Yes</t>
        </is>
      </c>
    </row>
    <row r="129">
      <c r="A129" s="7" t="inlineStr">
        <is>
          <t>MD-00125</t>
        </is>
      </c>
      <c r="B129" s="7" t="inlineStr">
        <is>
          <t>MD-LA-050125</t>
        </is>
      </c>
      <c r="C129" s="7" t="inlineStr">
        <is>
          <t>Laptop</t>
        </is>
      </c>
      <c r="D129" s="7" t="inlineStr">
        <is>
          <t>MacBook Pro 14</t>
        </is>
      </c>
      <c r="E129" s="7" t="inlineStr"/>
      <c r="F129" s="7" t="inlineStr">
        <is>
          <t>Denver - Closed</t>
        </is>
      </c>
      <c r="G129" s="7" t="inlineStr">
        <is>
          <t>Assigned</t>
        </is>
      </c>
      <c r="H129" s="7" t="inlineStr">
        <is>
          <t>IT Stock</t>
        </is>
      </c>
      <c r="I129" s="7" t="inlineStr">
        <is>
          <t>Seattle</t>
        </is>
      </c>
      <c r="J129" s="7" t="inlineStr">
        <is>
          <t>Available</t>
        </is>
      </c>
      <c r="K129" s="7" t="inlineStr">
        <is>
          <t>MD-00125 (MacBook Pro 14) is Available at Seattle. Acquisition cost $2120. Transfer TR-00125 received 2026-06-08; approval APR-00125. Fixed-asset extract includes FA-000125 (NBV $0). PO PO-2022-0021.</t>
        </is>
      </c>
      <c r="L129" s="7" t="inlineStr">
        <is>
          <t>2026-06-07</t>
        </is>
      </c>
      <c r="M129" s="7" t="n">
        <v>2120</v>
      </c>
      <c r="N129" s="7" t="n">
        <v>0</v>
      </c>
      <c r="O129" s="7" t="inlineStr">
        <is>
          <t>FA-000125</t>
        </is>
      </c>
      <c r="P129" s="7" t="inlineStr">
        <is>
          <t>No</t>
        </is>
      </c>
      <c r="Q129" s="9" t="inlineStr">
        <is>
          <t>High</t>
        </is>
      </c>
      <c r="R129" s="7" t="inlineStr">
        <is>
          <t>EX-0158</t>
        </is>
      </c>
      <c r="S129" s="7" t="inlineStr">
        <is>
          <t>No</t>
        </is>
      </c>
      <c r="T129" t="n">
        <v>2120</v>
      </c>
      <c r="U129" t="inlineStr">
        <is>
          <t>Active</t>
        </is>
      </c>
      <c r="V129" t="n">
        <v>0</v>
      </c>
      <c r="W129" t="n">
        <v>0</v>
      </c>
      <c r="X129" t="inlineStr">
        <is>
          <t>Yes</t>
        </is>
      </c>
    </row>
    <row r="130">
      <c r="A130" s="7" t="inlineStr">
        <is>
          <t>MD-00126</t>
        </is>
      </c>
      <c r="B130" s="7" t="inlineStr">
        <is>
          <t>MD-MO-050126</t>
        </is>
      </c>
      <c r="C130" s="7" t="inlineStr">
        <is>
          <t>Monitor</t>
        </is>
      </c>
      <c r="D130" s="7" t="inlineStr">
        <is>
          <t>Dell U2723QE</t>
        </is>
      </c>
      <c r="E130" s="7" t="inlineStr"/>
      <c r="F130" s="7" t="inlineStr">
        <is>
          <t>Chicago - Closed</t>
        </is>
      </c>
      <c r="G130" s="7" t="inlineStr">
        <is>
          <t>Assigned</t>
        </is>
      </c>
      <c r="H130" s="7" t="inlineStr">
        <is>
          <t>IT Stock</t>
        </is>
      </c>
      <c r="I130" s="7" t="inlineStr">
        <is>
          <t>Atlanta</t>
        </is>
      </c>
      <c r="J130" s="7" t="inlineStr">
        <is>
          <t>Available</t>
        </is>
      </c>
      <c r="K130" s="7" t="inlineStr">
        <is>
          <t>MD-00126 (Dell U2723QE) is Available at Atlanta. Acquisition cost $520. Transfer TR-00126 received 2026-01-12; approval APR-00126. Ledger FA-000126 on file; NBV $302.75. PO PO-2022-0021.</t>
        </is>
      </c>
      <c r="L130" s="7" t="inlineStr">
        <is>
          <t>2026-01-08</t>
        </is>
      </c>
      <c r="M130" s="7" t="n">
        <v>520</v>
      </c>
      <c r="N130" s="7" t="n">
        <v>302.75</v>
      </c>
      <c r="O130" s="7" t="inlineStr">
        <is>
          <t>FA-000126</t>
        </is>
      </c>
      <c r="P130" s="7" t="inlineStr">
        <is>
          <t>No</t>
        </is>
      </c>
      <c r="Q130" s="9" t="inlineStr">
        <is>
          <t>High</t>
        </is>
      </c>
      <c r="R130" s="7" t="inlineStr">
        <is>
          <t>EX-0159</t>
        </is>
      </c>
      <c r="S130" s="7" t="inlineStr">
        <is>
          <t>No</t>
        </is>
      </c>
      <c r="T130" t="n">
        <v>520</v>
      </c>
      <c r="U130" t="inlineStr">
        <is>
          <t>Active</t>
        </is>
      </c>
      <c r="V130" t="n">
        <v>302.75</v>
      </c>
      <c r="W130" t="n">
        <v>0</v>
      </c>
      <c r="X130" t="inlineStr">
        <is>
          <t>Yes</t>
        </is>
      </c>
    </row>
    <row r="131">
      <c r="A131" s="7" t="inlineStr">
        <is>
          <t>MD-00127</t>
        </is>
      </c>
      <c r="B131" s="7" t="inlineStr">
        <is>
          <t>MD-MO-050127</t>
        </is>
      </c>
      <c r="C131" s="7" t="inlineStr">
        <is>
          <t>Mobile Device</t>
        </is>
      </c>
      <c r="D131" s="7" t="inlineStr">
        <is>
          <t>Samsung Galaxy S24</t>
        </is>
      </c>
      <c r="E131" s="7" t="inlineStr">
        <is>
          <t>E0061</t>
        </is>
      </c>
      <c r="F131" s="7" t="inlineStr">
        <is>
          <t>Denver</t>
        </is>
      </c>
      <c r="G131" s="7" t="inlineStr">
        <is>
          <t>In Use</t>
        </is>
      </c>
      <c r="H131" s="7" t="inlineStr">
        <is>
          <t>E0061</t>
        </is>
      </c>
      <c r="I131" s="7" t="inlineStr">
        <is>
          <t>Denver</t>
        </is>
      </c>
      <c r="J131" s="7" t="inlineStr">
        <is>
          <t>In Use</t>
        </is>
      </c>
      <c r="K131" s="7" t="inlineStr">
        <is>
          <t>Status for MD-00127: In Use. Site Denver. Model Samsung Galaxy S24; cost $995. hr_employee_status lists E0061 / Liam Keane as Transferred. Transfer TR-00127 received 2026-02-17; approval blank. FAR row FA-000127; net book value $662.65. PO PO-2023-0022.</t>
        </is>
      </c>
      <c r="L131" s="7" t="inlineStr">
        <is>
          <t>2026-08-05</t>
        </is>
      </c>
      <c r="M131" s="7" t="n">
        <v>995</v>
      </c>
      <c r="N131" s="7" t="n">
        <v>662.65</v>
      </c>
      <c r="O131" s="7" t="inlineStr">
        <is>
          <t>FA-000127</t>
        </is>
      </c>
      <c r="P131" s="7" t="inlineStr">
        <is>
          <t>No</t>
        </is>
      </c>
      <c r="Q131" s="7" t="inlineStr">
        <is>
          <t>Medium</t>
        </is>
      </c>
      <c r="R131" s="7" t="inlineStr">
        <is>
          <t>EX-0160</t>
        </is>
      </c>
      <c r="S131" s="7" t="inlineStr">
        <is>
          <t>No</t>
        </is>
      </c>
      <c r="T131" t="n">
        <v>995</v>
      </c>
      <c r="U131" t="inlineStr">
        <is>
          <t>Active</t>
        </is>
      </c>
      <c r="V131" t="n">
        <v>662.65</v>
      </c>
      <c r="W131" t="n">
        <v>0</v>
      </c>
      <c r="X131" t="inlineStr">
        <is>
          <t>Yes</t>
        </is>
      </c>
    </row>
    <row r="132">
      <c r="A132" s="7" t="inlineStr">
        <is>
          <t>MD-00128</t>
        </is>
      </c>
      <c r="B132" s="7" t="inlineStr">
        <is>
          <t>MD-NE-050128</t>
        </is>
      </c>
      <c r="C132" s="7" t="inlineStr">
        <is>
          <t>Network Asset</t>
        </is>
      </c>
      <c r="D132" s="7" t="inlineStr">
        <is>
          <t>Cisco C9300</t>
        </is>
      </c>
      <c r="E132" s="7" t="inlineStr">
        <is>
          <t>E0062</t>
        </is>
      </c>
      <c r="F132" s="7" t="inlineStr">
        <is>
          <t>New York</t>
        </is>
      </c>
      <c r="G132" s="7" t="inlineStr">
        <is>
          <t>In Use</t>
        </is>
      </c>
      <c r="H132" s="7" t="inlineStr">
        <is>
          <t>E0062</t>
        </is>
      </c>
      <c r="I132" s="7" t="inlineStr">
        <is>
          <t>New York</t>
        </is>
      </c>
      <c r="J132" s="7" t="inlineStr">
        <is>
          <t>In Use</t>
        </is>
      </c>
      <c r="K132" s="7" t="inlineStr">
        <is>
          <t>New York holds MD-00128 (Cisco C9300) as In Use. Acquisition $6290. People file: E0062 (Bianca Silva), status Transferred. Transfer TR-00128 received 2026-03-19; approval APR-00128. Fixed-asset extract includes FA-000128 (NBV $1364.77). PO PO-2023-0022.</t>
        </is>
      </c>
      <c r="L132" s="7" t="inlineStr">
        <is>
          <t>2026-08-05</t>
        </is>
      </c>
      <c r="M132" s="7" t="n">
        <v>6290</v>
      </c>
      <c r="N132" s="7" t="n">
        <v>1364.77</v>
      </c>
      <c r="O132" s="7" t="inlineStr">
        <is>
          <t>FA-000128</t>
        </is>
      </c>
      <c r="P132" s="7" t="inlineStr">
        <is>
          <t>Yes</t>
        </is>
      </c>
      <c r="Q132" s="9" t="inlineStr">
        <is>
          <t>High</t>
        </is>
      </c>
      <c r="R132" s="7" t="inlineStr"/>
      <c r="S132" s="7" t="inlineStr">
        <is>
          <t>No</t>
        </is>
      </c>
      <c r="T132" t="n">
        <v>6290</v>
      </c>
      <c r="U132" t="inlineStr">
        <is>
          <t>Active</t>
        </is>
      </c>
      <c r="V132" t="n">
        <v>1364.77</v>
      </c>
      <c r="W132" t="n">
        <v>0</v>
      </c>
      <c r="X132" t="inlineStr">
        <is>
          <t>Yes</t>
        </is>
      </c>
    </row>
    <row r="133">
      <c r="A133" s="7" t="inlineStr">
        <is>
          <t>MD-00129</t>
        </is>
      </c>
      <c r="B133" s="7" t="inlineStr">
        <is>
          <t>MD-LA-050129</t>
        </is>
      </c>
      <c r="C133" s="7" t="inlineStr">
        <is>
          <t>Laptop</t>
        </is>
      </c>
      <c r="D133" s="7" t="inlineStr">
        <is>
          <t>Dell Latitude 7440</t>
        </is>
      </c>
      <c r="E133" s="7" t="inlineStr">
        <is>
          <t>E0063</t>
        </is>
      </c>
      <c r="F133" s="7" t="inlineStr">
        <is>
          <t>Seattle</t>
        </is>
      </c>
      <c r="G133" s="7" t="inlineStr">
        <is>
          <t>In Use</t>
        </is>
      </c>
      <c r="H133" s="7" t="inlineStr">
        <is>
          <t>E0063</t>
        </is>
      </c>
      <c r="I133" s="7" t="inlineStr">
        <is>
          <t>Seattle</t>
        </is>
      </c>
      <c r="J133" s="7" t="inlineStr">
        <is>
          <t>In Use</t>
        </is>
      </c>
      <c r="K133" s="7" t="inlineStr">
        <is>
          <t>MD-00129 (Dell Latitude 7440) is In Use at Seattle. Acquisition cost $1985. Custodian E0063 (Greg Hollis) is Transferred in hr_employee_status. Transfer TR-00129 received 2026-04-21; approval APR-00129. Ledger FA-000129 on file; NBV $111.86. PO PO-2023-0022.</t>
        </is>
      </c>
      <c r="L133" s="7" t="inlineStr">
        <is>
          <t>2026-08-05</t>
        </is>
      </c>
      <c r="M133" s="7" t="n">
        <v>1985</v>
      </c>
      <c r="N133" s="7" t="n">
        <v>111.86</v>
      </c>
      <c r="O133" s="7" t="inlineStr">
        <is>
          <t>FA-000129</t>
        </is>
      </c>
      <c r="P133" s="7" t="inlineStr">
        <is>
          <t>No</t>
        </is>
      </c>
      <c r="Q133" s="9" t="inlineStr">
        <is>
          <t>High</t>
        </is>
      </c>
      <c r="R133" s="7" t="inlineStr"/>
      <c r="S133" s="7" t="inlineStr">
        <is>
          <t>No</t>
        </is>
      </c>
      <c r="T133" t="n">
        <v>1985</v>
      </c>
      <c r="U133" t="inlineStr">
        <is>
          <t>Active</t>
        </is>
      </c>
      <c r="V133" t="n">
        <v>111.86</v>
      </c>
      <c r="W133" t="n">
        <v>0</v>
      </c>
      <c r="X133" t="inlineStr">
        <is>
          <t>Yes</t>
        </is>
      </c>
    </row>
    <row r="134">
      <c r="A134" s="7" t="inlineStr">
        <is>
          <t>MD-00130</t>
        </is>
      </c>
      <c r="B134" s="7" t="inlineStr">
        <is>
          <t>MD-MO-050130</t>
        </is>
      </c>
      <c r="C134" s="7" t="inlineStr">
        <is>
          <t>Monitor</t>
        </is>
      </c>
      <c r="D134" s="7" t="inlineStr">
        <is>
          <t>Dell U2723QE</t>
        </is>
      </c>
      <c r="E134" s="7" t="inlineStr">
        <is>
          <t>E0064</t>
        </is>
      </c>
      <c r="F134" s="7" t="inlineStr">
        <is>
          <t>Atlanta</t>
        </is>
      </c>
      <c r="G134" s="7" t="inlineStr">
        <is>
          <t>In Use</t>
        </is>
      </c>
      <c r="H134" s="7" t="inlineStr">
        <is>
          <t>E0064</t>
        </is>
      </c>
      <c r="I134" s="7" t="inlineStr">
        <is>
          <t>Atlanta</t>
        </is>
      </c>
      <c r="J134" s="7" t="inlineStr">
        <is>
          <t>In Use</t>
        </is>
      </c>
      <c r="K134" s="7" t="inlineStr">
        <is>
          <t>Status for MD-00130: In Use. Site Atlanta. Model Dell U2723QE; cost $700. hr_employee_status lists E0064 / Naomi Berger as Transferred. Transfer TR-00130 received 2026-05-28; approval APR-00130. PO PO-2023-0023 (capitalization_approved=No); $700 below $2,500 so FAR absence is expected under ITAM-001 section 7.</t>
        </is>
      </c>
      <c r="L134" s="7" t="inlineStr">
        <is>
          <t>2026-08-05</t>
        </is>
      </c>
      <c r="M134" s="7" t="n">
        <v>700</v>
      </c>
      <c r="N134" s="7" t="n"/>
      <c r="O134" s="7" t="n"/>
      <c r="P134" s="7" t="inlineStr"/>
      <c r="Q134" s="9" t="inlineStr">
        <is>
          <t>High</t>
        </is>
      </c>
      <c r="R134" s="7" t="inlineStr">
        <is>
          <t>EX-0161</t>
        </is>
      </c>
      <c r="S134" s="7" t="inlineStr">
        <is>
          <t>No</t>
        </is>
      </c>
      <c r="X134" t="inlineStr">
        <is>
          <t>No</t>
        </is>
      </c>
    </row>
    <row r="135">
      <c r="A135" s="7" t="inlineStr">
        <is>
          <t>MD-00131</t>
        </is>
      </c>
      <c r="B135" s="7" t="inlineStr">
        <is>
          <t>MD-MO-050131</t>
        </is>
      </c>
      <c r="C135" s="7" t="inlineStr">
        <is>
          <t>Mobile Device</t>
        </is>
      </c>
      <c r="D135" s="7" t="inlineStr">
        <is>
          <t>Samsung Galaxy S24</t>
        </is>
      </c>
      <c r="E135" s="7" t="inlineStr">
        <is>
          <t>E0065</t>
        </is>
      </c>
      <c r="F135" s="7" t="inlineStr">
        <is>
          <t>Chicago</t>
        </is>
      </c>
      <c r="G135" s="7" t="inlineStr">
        <is>
          <t>In Use</t>
        </is>
      </c>
      <c r="H135" s="7" t="inlineStr">
        <is>
          <t>E0065</t>
        </is>
      </c>
      <c r="I135" s="7" t="inlineStr">
        <is>
          <t>Chicago</t>
        </is>
      </c>
      <c r="J135" s="7" t="inlineStr">
        <is>
          <t>In Use</t>
        </is>
      </c>
      <c r="K135" s="7" t="inlineStr">
        <is>
          <t>Chicago holds MD-00131 (Samsung Galaxy S24) as In Use. Acquisition $1175. People file: E0065 (Felix Moreno), status Transferred. Transfer TR-00131 received 2026-06-28; approval APR-00131. PO PO-2023-0023 (capitalization_approved=No); $1175 below $2,500 so FAR absence is expected under ITAM-001 section 7.</t>
        </is>
      </c>
      <c r="L135" s="7" t="inlineStr">
        <is>
          <t>2026-08-05</t>
        </is>
      </c>
      <c r="M135" s="7" t="n">
        <v>1175</v>
      </c>
      <c r="N135" s="7" t="n"/>
      <c r="O135" s="7" t="n"/>
      <c r="P135" s="7" t="inlineStr"/>
      <c r="Q135" s="9" t="inlineStr">
        <is>
          <t>High</t>
        </is>
      </c>
      <c r="R135" s="7" t="inlineStr">
        <is>
          <t>EX-0162</t>
        </is>
      </c>
      <c r="S135" s="7" t="inlineStr">
        <is>
          <t>No</t>
        </is>
      </c>
      <c r="X135" t="inlineStr">
        <is>
          <t>No</t>
        </is>
      </c>
    </row>
    <row r="136">
      <c r="A136" s="7" t="inlineStr">
        <is>
          <t>MD-00132</t>
        </is>
      </c>
      <c r="B136" s="7" t="inlineStr">
        <is>
          <t>MD-NE-050132</t>
        </is>
      </c>
      <c r="C136" s="7" t="inlineStr">
        <is>
          <t>Network Asset</t>
        </is>
      </c>
      <c r="D136" s="7" t="inlineStr">
        <is>
          <t>Cisco C9300</t>
        </is>
      </c>
      <c r="E136" s="7" t="inlineStr">
        <is>
          <t>E0066</t>
        </is>
      </c>
      <c r="F136" s="7" t="inlineStr">
        <is>
          <t>Dallas</t>
        </is>
      </c>
      <c r="G136" s="7" t="inlineStr">
        <is>
          <t>In Use</t>
        </is>
      </c>
      <c r="H136" s="7" t="inlineStr">
        <is>
          <t>E0066</t>
        </is>
      </c>
      <c r="I136" s="7" t="inlineStr">
        <is>
          <t>Dallas</t>
        </is>
      </c>
      <c r="J136" s="7" t="inlineStr">
        <is>
          <t>In Use</t>
        </is>
      </c>
      <c r="K136" s="7" t="inlineStr">
        <is>
          <t>MD-00132 (Cisco C9300) is In Use at Dallas. Acquisition cost $6470. Custodian E0066 (Sharon Quinlan) is Transferred in hr_employee_status. Transfer TR-00132 received 2026-01-31; approval APR-00132. PO PO-2023-0022; $6470 exceeds $2,500 with no FA row. RN-0132 under-threshold claim rejected.</t>
        </is>
      </c>
      <c r="L136" s="7" t="inlineStr">
        <is>
          <t>2026-08-05</t>
        </is>
      </c>
      <c r="M136" s="7" t="n">
        <v>6470</v>
      </c>
      <c r="N136" s="7" t="n"/>
      <c r="O136" s="7" t="n"/>
      <c r="P136" s="7" t="inlineStr"/>
      <c r="Q136" s="9" t="inlineStr">
        <is>
          <t>High</t>
        </is>
      </c>
      <c r="R136" s="7" t="inlineStr">
        <is>
          <t>EX-0163</t>
        </is>
      </c>
      <c r="S136" s="7" t="inlineStr">
        <is>
          <t>No</t>
        </is>
      </c>
      <c r="X136" t="inlineStr">
        <is>
          <t>No</t>
        </is>
      </c>
    </row>
  </sheetData>
  <mergeCells count="2">
    <mergeCell ref="A2:S2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2" customWidth="1" min="2" max="2"/>
    <col width="10" customWidth="1" min="3" max="3"/>
    <col width="11" customWidth="1" min="4" max="4"/>
    <col width="15" customWidth="1" min="5" max="5"/>
    <col width="40" customWidth="1" min="6" max="6"/>
    <col width="20" customWidth="1" min="7" max="7"/>
    <col width="40" customWidth="1" min="8" max="8"/>
    <col width="23" customWidth="1" min="9" max="9"/>
    <col width="21" customWidth="1" min="10" max="10"/>
    <col width="10" customWidth="1" min="11" max="11"/>
    <col width="40" customWidth="1" min="12" max="12"/>
    <col width="22" customWidth="1" min="13" max="13"/>
  </cols>
  <sheetData>
    <row r="1">
      <c r="A1" s="24" t="inlineStr">
        <is>
          <t>Exception Register</t>
        </is>
      </c>
    </row>
    <row r="2" ht="36" customHeight="1">
      <c r="A2" s="23" t="inlineStr">
        <is>
          <t>Each exception cites exact related records. Image leads are labeled as leads, not clearance. Flags duplicate serial MD-LA-050021 across MD-00021 and MD-00025, and duplicate serial MD-NE-050088 across MD-00088 and MD-00092.</t>
        </is>
      </c>
    </row>
    <row r="3"/>
    <row r="4">
      <c r="A4" s="25" t="inlineStr">
        <is>
          <t>Exception ID</t>
        </is>
      </c>
      <c r="B4" s="25" t="inlineStr">
        <is>
          <t>Type</t>
        </is>
      </c>
      <c r="C4" s="25" t="inlineStr">
        <is>
          <t>Severity</t>
        </is>
      </c>
      <c r="D4" s="25" t="inlineStr">
        <is>
          <t>Asset Tag</t>
        </is>
      </c>
      <c r="E4" s="25" t="inlineStr">
        <is>
          <t>Serial Number</t>
        </is>
      </c>
      <c r="F4" s="25" t="inlineStr">
        <is>
          <t>Related Record(s)</t>
        </is>
      </c>
      <c r="G4" s="25" t="inlineStr">
        <is>
          <t>Financial Exposure</t>
        </is>
      </c>
      <c r="H4" s="25" t="inlineStr">
        <is>
          <t>Required Action</t>
        </is>
      </c>
      <c r="I4" s="25" t="inlineStr">
        <is>
          <t>Owner by Role</t>
        </is>
      </c>
      <c r="J4" s="25" t="inlineStr">
        <is>
          <t>Resolution Deadline</t>
        </is>
      </c>
      <c r="K4" s="25" t="inlineStr">
        <is>
          <t>Status</t>
        </is>
      </c>
      <c r="L4" s="25" t="inlineStr">
        <is>
          <t>Evidence Assessment</t>
        </is>
      </c>
      <c r="M4" s="25" t="inlineStr">
        <is>
          <t>Certification Impact</t>
        </is>
      </c>
    </row>
    <row r="5">
      <c r="A5" s="7" t="inlineStr">
        <is>
          <t>EX-0001</t>
        </is>
      </c>
      <c r="B5" s="7" t="inlineStr">
        <is>
          <t>Inventory-to-Ledger Difference</t>
        </is>
      </c>
      <c r="C5" s="10" t="inlineStr">
        <is>
          <t>High</t>
        </is>
      </c>
      <c r="D5" s="7" t="inlineStr">
        <is>
          <t>MD-00017</t>
        </is>
      </c>
      <c r="E5" s="7" t="inlineStr">
        <is>
          <t>MD-LA-050017</t>
        </is>
      </c>
      <c r="F5" s="7" t="inlineStr">
        <is>
          <t>Ledger:FA-000017; PO:PO-2024-0003; RegisterCost:1985.0; LedgerCost:2070.0; OverDepreciation:90.0</t>
        </is>
      </c>
      <c r="G5" s="7" t="n">
        <v>85</v>
      </c>
      <c r="H5" s="7" t="inlineStr">
        <is>
          <t>Finance Controller owns cost-basis cleanup on MD-00017; clear FA-000017 over-depreciation before relying on NBV.</t>
        </is>
      </c>
      <c r="I5" s="7" t="inlineStr">
        <is>
          <t>Finance Controller</t>
        </is>
      </c>
      <c r="J5" s="7" t="inlineStr">
        <is>
          <t>2026-08-21</t>
        </is>
      </c>
      <c r="K5" s="7" t="inlineStr">
        <is>
          <t>Open</t>
        </is>
      </c>
      <c r="L5" s="7" t="inlineStr">
        <is>
          <t>Pulled PO-2024-0003 and FA-000017; numbers diverge for MD-00017. FA-000017 accumulated depreciation $2160 exceeds acquisition cost $2070 by $90.</t>
        </is>
      </c>
      <c r="M5" s="7" t="inlineStr">
        <is>
          <t>Requires remediation</t>
        </is>
      </c>
    </row>
    <row r="6">
      <c r="A6" s="7" t="inlineStr">
        <is>
          <t>EX-0002</t>
        </is>
      </c>
      <c r="B6" s="7" t="inlineStr">
        <is>
          <t>Duplicate Serial Number</t>
        </is>
      </c>
      <c r="C6" s="10" t="inlineStr">
        <is>
          <t>High</t>
        </is>
      </c>
      <c r="D6" s="7" t="inlineStr">
        <is>
          <t>MD-00021</t>
        </is>
      </c>
      <c r="E6" s="7" t="inlineStr">
        <is>
          <t>MD-LA-050021</t>
        </is>
      </c>
      <c r="F6" s="7" t="inlineStr">
        <is>
          <t>Duplicate serial MD-LA-050021 across MD-00021 and MD-00025; Serial:MD-LA-050021; AlsoTagged:MD-00021,MD-00025</t>
        </is>
      </c>
      <c r="G6" s="7" t="n">
        <v>124.52</v>
      </c>
      <c r="H6" s="7" t="inlineStr">
        <is>
          <t>Two assets share MD-LA-050021 (MD-00021,MD-00025). Bench-validate and issue a new serial.</t>
        </is>
      </c>
      <c r="I6" s="7" t="inlineStr">
        <is>
          <t>IT Asset Specialist</t>
        </is>
      </c>
      <c r="J6" s="7" t="inlineStr">
        <is>
          <t>2026-08-18</t>
        </is>
      </c>
      <c r="K6" s="7" t="inlineStr">
        <is>
          <t>Open</t>
        </is>
      </c>
      <c r="L6" s="7" t="inlineStr">
        <is>
          <t>Serial MD-LA-050021 appears on more than one tag (MD-00021,MD-00025).</t>
        </is>
      </c>
      <c r="M6" s="7" t="inlineStr">
        <is>
          <t>Requires remediation</t>
        </is>
      </c>
    </row>
    <row r="7">
      <c r="A7" s="7" t="inlineStr">
        <is>
          <t>EX-0003</t>
        </is>
      </c>
      <c r="B7" s="7" t="inlineStr">
        <is>
          <t>Closed Location Assignment</t>
        </is>
      </c>
      <c r="C7" s="11" t="inlineStr">
        <is>
          <t>Medium</t>
        </is>
      </c>
      <c r="D7" s="7" t="inlineStr">
        <is>
          <t>MD-00025</t>
        </is>
      </c>
      <c r="E7" s="7" t="inlineStr">
        <is>
          <t>MD-LA-050021</t>
        </is>
      </c>
      <c r="F7" s="7" t="inlineStr">
        <is>
          <t>RegisterLocation:Denver - Closed; Transfer:TR-00025; HRLocation:Chicago</t>
        </is>
      </c>
      <c r="G7" s="7" t="n">
        <v>0</v>
      </c>
      <c r="H7" s="7" t="inlineStr">
        <is>
          <t>MD-00025 location field lagged after consolidation; update from Denver - Closed to Chicago (EX-0003).</t>
        </is>
      </c>
      <c r="I7" s="7" t="inlineStr">
        <is>
          <t>IT Asset Specialist</t>
        </is>
      </c>
      <c r="J7" s="7" t="inlineStr">
        <is>
          <t>2026-08-19</t>
        </is>
      </c>
      <c r="K7" s="7" t="inlineStr">
        <is>
          <t>Open</t>
        </is>
      </c>
      <c r="L7" s="7" t="inlineStr">
        <is>
          <t>Closed floor Denver - Closed remains on MD-00025 despite transfer evidence (EX-0003, TR-00025).</t>
        </is>
      </c>
      <c r="M7" s="7" t="inlineStr">
        <is>
          <t>Requires remediation</t>
        </is>
      </c>
    </row>
    <row r="8">
      <c r="A8" s="7" t="inlineStr">
        <is>
          <t>EX-0004</t>
        </is>
      </c>
      <c r="B8" s="7" t="inlineStr">
        <is>
          <t>Duplicate Serial Number</t>
        </is>
      </c>
      <c r="C8" s="10" t="inlineStr">
        <is>
          <t>High</t>
        </is>
      </c>
      <c r="D8" s="7" t="inlineStr">
        <is>
          <t>MD-00025</t>
        </is>
      </c>
      <c r="E8" s="7" t="inlineStr">
        <is>
          <t>MD-LA-050021</t>
        </is>
      </c>
      <c r="F8" s="7" t="inlineStr">
        <is>
          <t>Duplicate serial MD-LA-050021 across MD-00021 and MD-00025; Serial:MD-LA-050021; AlsoTagged:MD-00021,MD-00025</t>
        </is>
      </c>
      <c r="G8" s="7" t="n">
        <v>0</v>
      </c>
      <c r="H8" s="7" t="inlineStr">
        <is>
          <t>Retag required - MD-LA-050021 collision involving MD-00025.</t>
        </is>
      </c>
      <c r="I8" s="7" t="inlineStr">
        <is>
          <t>IT Asset Specialist</t>
        </is>
      </c>
      <c r="J8" s="7" t="inlineStr">
        <is>
          <t>2026-08-18</t>
        </is>
      </c>
      <c r="K8" s="7" t="inlineStr">
        <is>
          <t>Open</t>
        </is>
      </c>
      <c r="L8" s="7" t="inlineStr">
        <is>
          <t>Serial MD-LA-050021 appears on more than one tag (MD-00021,MD-00025) [EX-0004].</t>
        </is>
      </c>
      <c r="M8" s="7" t="inlineStr">
        <is>
          <t>Requires remediation</t>
        </is>
      </c>
    </row>
    <row r="9">
      <c r="A9" s="7" t="inlineStr">
        <is>
          <t>EX-0005</t>
        </is>
      </c>
      <c r="B9" s="7" t="inlineStr">
        <is>
          <t>Closed Location Assignment</t>
        </is>
      </c>
      <c r="C9" s="11" t="inlineStr">
        <is>
          <t>Medium</t>
        </is>
      </c>
      <c r="D9" s="7" t="inlineStr">
        <is>
          <t>MD-00026</t>
        </is>
      </c>
      <c r="E9" s="7" t="inlineStr">
        <is>
          <t>MD-MO-050026</t>
        </is>
      </c>
      <c r="F9" s="7" t="inlineStr">
        <is>
          <t>RegisterLocation:Chicago - Closed; Transfer:TR-00026; HRLocation:Dallas</t>
        </is>
      </c>
      <c r="G9" s="7" t="n">
        <v>382.34</v>
      </c>
      <c r="H9" s="7" t="inlineStr">
        <is>
          <t>MD-00026 location field lagged after consolidation; update from Chicago - Closed to Dallas (EX-0005).</t>
        </is>
      </c>
      <c r="I9" s="7" t="inlineStr">
        <is>
          <t>IT Asset Specialist</t>
        </is>
      </c>
      <c r="J9" s="7" t="inlineStr">
        <is>
          <t>2026-08-19</t>
        </is>
      </c>
      <c r="K9" s="7" t="inlineStr">
        <is>
          <t>Open</t>
        </is>
      </c>
      <c r="L9" s="7" t="inlineStr">
        <is>
          <t>Walked register vs HR/transfer: MD-00026 still says Chicago - Closed (EX-0005).</t>
        </is>
      </c>
      <c r="M9" s="7" t="inlineStr">
        <is>
          <t>Requires remediation</t>
        </is>
      </c>
    </row>
    <row r="10">
      <c r="A10" s="7" t="inlineStr">
        <is>
          <t>EX-0006</t>
        </is>
      </c>
      <c r="B10" s="7" t="inlineStr">
        <is>
          <t>Closed Location Assignment</t>
        </is>
      </c>
      <c r="C10" s="11" t="inlineStr">
        <is>
          <t>Medium</t>
        </is>
      </c>
      <c r="D10" s="7" t="inlineStr">
        <is>
          <t>MD-00027</t>
        </is>
      </c>
      <c r="E10" s="7" t="inlineStr">
        <is>
          <t>MD-MO-050027</t>
        </is>
      </c>
      <c r="F10" s="7" t="inlineStr">
        <is>
          <t>RegisterLocation:Denver - Closed; Transfer:TR-00027; HRLocation:Denver</t>
        </is>
      </c>
      <c r="G10" s="7" t="n">
        <v>672.21</v>
      </c>
      <c r="H10" s="7" t="inlineStr">
        <is>
          <t>Denver - Closed is no longer occupied. Park MD-00027 at Denver on the register (EX-0006).</t>
        </is>
      </c>
      <c r="I10" s="7" t="inlineStr">
        <is>
          <t>IT Asset Specialist</t>
        </is>
      </c>
      <c r="J10" s="7" t="inlineStr">
        <is>
          <t>2026-08-19</t>
        </is>
      </c>
      <c r="K10" s="7" t="inlineStr">
        <is>
          <t>Open</t>
        </is>
      </c>
      <c r="L10" s="7" t="inlineStr">
        <is>
          <t>Register still codes MD-00027 to Denver - Closed; TR-00027 points to Denver (EX-0006).</t>
        </is>
      </c>
      <c r="M10" s="7" t="inlineStr">
        <is>
          <t>Requires remediation</t>
        </is>
      </c>
    </row>
    <row r="11">
      <c r="A11" s="7" t="inlineStr">
        <is>
          <t>EX-0007</t>
        </is>
      </c>
      <c r="B11" s="7" t="inlineStr">
        <is>
          <t>Closed Location Assignment</t>
        </is>
      </c>
      <c r="C11" s="11" t="inlineStr">
        <is>
          <t>Medium</t>
        </is>
      </c>
      <c r="D11" s="7" t="inlineStr">
        <is>
          <t>MD-00028</t>
        </is>
      </c>
      <c r="E11" s="7" t="inlineStr">
        <is>
          <t>MD-NE-050028</t>
        </is>
      </c>
      <c r="F11" s="7" t="inlineStr">
        <is>
          <t>RegisterLocation:Chicago - Closed; Transfer:TR-00028; HRLocation:New York</t>
        </is>
      </c>
      <c r="G11" s="7" t="n">
        <v>914.09</v>
      </c>
      <c r="H11" s="7" t="inlineStr">
        <is>
          <t>MD-00028 cannot remain on shuttered floor Chicago - Closed. Set location to New York (EX-0007).</t>
        </is>
      </c>
      <c r="I11" s="7" t="inlineStr">
        <is>
          <t>IT Asset Specialist</t>
        </is>
      </c>
      <c r="J11" s="7" t="inlineStr">
        <is>
          <t>2026-08-19</t>
        </is>
      </c>
      <c r="K11" s="7" t="inlineStr">
        <is>
          <t>Open</t>
        </is>
      </c>
      <c r="L11" s="7" t="inlineStr">
        <is>
          <t>Location on MD-00028 is consolidation debt (Chicago - Closed, EX-0007).</t>
        </is>
      </c>
      <c r="M11" s="7" t="inlineStr">
        <is>
          <t>Requires remediation</t>
        </is>
      </c>
    </row>
    <row r="12">
      <c r="A12" s="7" t="inlineStr">
        <is>
          <t>EX-0008</t>
        </is>
      </c>
      <c r="B12" s="7" t="inlineStr">
        <is>
          <t>Closed Location Assignment</t>
        </is>
      </c>
      <c r="C12" s="11" t="inlineStr">
        <is>
          <t>Medium</t>
        </is>
      </c>
      <c r="D12" s="7" t="inlineStr">
        <is>
          <t>MD-00029</t>
        </is>
      </c>
      <c r="E12" s="7" t="inlineStr">
        <is>
          <t>MD-LA-050029</t>
        </is>
      </c>
      <c r="F12" s="7" t="inlineStr">
        <is>
          <t>RegisterLocation:Denver - Closed; Transfer:TR-00029; HRLocation:Seattle</t>
        </is>
      </c>
      <c r="G12" s="7" t="n">
        <v>0</v>
      </c>
      <c r="H12" s="7" t="inlineStr">
        <is>
          <t>Closed floor Denver - Closed stays on MD-00029; rewrite required (EX-0008).</t>
        </is>
      </c>
      <c r="I12" s="7" t="inlineStr">
        <is>
          <t>IT Asset Specialist</t>
        </is>
      </c>
      <c r="J12" s="7" t="inlineStr">
        <is>
          <t>2026-08-19</t>
        </is>
      </c>
      <c r="K12" s="7" t="inlineStr">
        <is>
          <t>Open</t>
        </is>
      </c>
      <c r="L12" s="7" t="inlineStr">
        <is>
          <t>Consolidation left MD-00029 @ Denver - Closed; ops now use Seattle (EX-0008).</t>
        </is>
      </c>
      <c r="M12" s="7" t="inlineStr">
        <is>
          <t>Requires remediation</t>
        </is>
      </c>
    </row>
    <row r="13">
      <c r="A13" s="7" t="inlineStr">
        <is>
          <t>EX-0009</t>
        </is>
      </c>
      <c r="B13" s="7" t="inlineStr">
        <is>
          <t>Closed Location Assignment</t>
        </is>
      </c>
      <c r="C13" s="11" t="inlineStr">
        <is>
          <t>Medium</t>
        </is>
      </c>
      <c r="D13" s="7" t="inlineStr">
        <is>
          <t>MD-00030</t>
        </is>
      </c>
      <c r="E13" s="7" t="inlineStr">
        <is>
          <t>MD-MO-050030</t>
        </is>
      </c>
      <c r="F13" s="7" t="inlineStr">
        <is>
          <t>RegisterLocation:Chicago - Closed; Transfer:TR-00030; HRLocation:Atlanta</t>
        </is>
      </c>
      <c r="G13" s="7" t="n">
        <v>355.14</v>
      </c>
      <c r="H13" s="7" t="inlineStr">
        <is>
          <t>Register still lists MD-00030 at Chicago - Closed. Replace with Atlanta (EX-0009).</t>
        </is>
      </c>
      <c r="I13" s="7" t="inlineStr">
        <is>
          <t>IT Asset Specialist</t>
        </is>
      </c>
      <c r="J13" s="7" t="inlineStr">
        <is>
          <t>2026-08-19</t>
        </is>
      </c>
      <c r="K13" s="7" t="inlineStr">
        <is>
          <t>Open</t>
        </is>
      </c>
      <c r="L13" s="7" t="inlineStr">
        <is>
          <t>TR-00030 destination is not the shuttered office listed for MD-00030 (EX-0009).</t>
        </is>
      </c>
      <c r="M13" s="7" t="inlineStr">
        <is>
          <t>Requires remediation</t>
        </is>
      </c>
    </row>
    <row r="14">
      <c r="A14" s="7" t="inlineStr">
        <is>
          <t>EX-0010</t>
        </is>
      </c>
      <c r="B14" s="7" t="inlineStr">
        <is>
          <t>Closed Location Assignment</t>
        </is>
      </c>
      <c r="C14" s="11" t="inlineStr">
        <is>
          <t>Medium</t>
        </is>
      </c>
      <c r="D14" s="7" t="inlineStr">
        <is>
          <t>MD-00031</t>
        </is>
      </c>
      <c r="E14" s="7" t="inlineStr">
        <is>
          <t>MD-MO-050031</t>
        </is>
      </c>
      <c r="F14" s="7" t="inlineStr">
        <is>
          <t>RegisterLocation:Denver - Closed; Transfer:TR-00031; HRLocation:Chicago</t>
        </is>
      </c>
      <c r="G14" s="7" t="n">
        <v>722.59</v>
      </c>
      <c r="H14" s="7" t="inlineStr">
        <is>
          <t>Fix MD-00031: register site Denver - Closed conflicts with current ops at Chicago (EX-0010).</t>
        </is>
      </c>
      <c r="I14" s="7" t="inlineStr">
        <is>
          <t>IT Asset Specialist</t>
        </is>
      </c>
      <c r="J14" s="7" t="inlineStr">
        <is>
          <t>2026-08-19</t>
        </is>
      </c>
      <c r="K14" s="7" t="inlineStr">
        <is>
          <t>Open</t>
        </is>
      </c>
      <c r="L14" s="7" t="inlineStr">
        <is>
          <t>Did not treat closed building Denver - Closed as live location for MD-00031 (EX-0010).</t>
        </is>
      </c>
      <c r="M14" s="7" t="inlineStr">
        <is>
          <t>Requires remediation</t>
        </is>
      </c>
    </row>
    <row r="15">
      <c r="A15" s="7" t="inlineStr">
        <is>
          <t>EX-0011</t>
        </is>
      </c>
      <c r="B15" s="7" t="inlineStr">
        <is>
          <t>Closed Location Assignment</t>
        </is>
      </c>
      <c r="C15" s="11" t="inlineStr">
        <is>
          <t>Medium</t>
        </is>
      </c>
      <c r="D15" s="7" t="inlineStr">
        <is>
          <t>MD-00032</t>
        </is>
      </c>
      <c r="E15" s="7" t="inlineStr">
        <is>
          <t>MD-NE-050032</t>
        </is>
      </c>
      <c r="F15" s="7" t="inlineStr">
        <is>
          <t>RegisterLocation:Chicago - Closed; Transfer:TR-00032; HRLocation:Dallas</t>
        </is>
      </c>
      <c r="G15" s="7" t="n">
        <v>1384.3</v>
      </c>
      <c r="H15" s="7" t="inlineStr">
        <is>
          <t>Chicago - Closed is no longer occupied. Park MD-00032 at Dallas on the register (EX-0011).</t>
        </is>
      </c>
      <c r="I15" s="7" t="inlineStr">
        <is>
          <t>IT Asset Specialist</t>
        </is>
      </c>
      <c r="J15" s="7" t="inlineStr">
        <is>
          <t>2026-08-19</t>
        </is>
      </c>
      <c r="K15" s="7" t="inlineStr">
        <is>
          <t>Open</t>
        </is>
      </c>
      <c r="L15" s="7" t="inlineStr">
        <is>
          <t>Finding EX-0011: MD-00032 location stale at Chicago - Closed; prefer Dallas.</t>
        </is>
      </c>
      <c r="M15" s="7" t="inlineStr">
        <is>
          <t>Requires remediation</t>
        </is>
      </c>
    </row>
    <row r="16">
      <c r="A16" s="7" t="inlineStr">
        <is>
          <t>EX-0012</t>
        </is>
      </c>
      <c r="B16" s="7" t="inlineStr">
        <is>
          <t>Closed Location Assignment</t>
        </is>
      </c>
      <c r="C16" s="11" t="inlineStr">
        <is>
          <t>Medium</t>
        </is>
      </c>
      <c r="D16" s="7" t="inlineStr">
        <is>
          <t>MD-00033</t>
        </is>
      </c>
      <c r="E16" s="7" t="inlineStr">
        <is>
          <t>MD-LA-050033</t>
        </is>
      </c>
      <c r="F16" s="7" t="inlineStr">
        <is>
          <t>RegisterLocation:Denver - Closed; Transfer:TR-00033; HRLocation:Denver</t>
        </is>
      </c>
      <c r="G16" s="7" t="n">
        <v>116.93</v>
      </c>
      <c r="H16" s="7" t="inlineStr">
        <is>
          <t>Closed floor Denver - Closed stays on MD-00033; rewrite required (EX-0012).</t>
        </is>
      </c>
      <c r="I16" s="7" t="inlineStr">
        <is>
          <t>IT Asset Specialist</t>
        </is>
      </c>
      <c r="J16" s="7" t="inlineStr">
        <is>
          <t>2026-08-19</t>
        </is>
      </c>
      <c r="K16" s="7" t="inlineStr">
        <is>
          <t>Open</t>
        </is>
      </c>
      <c r="L16" s="7" t="inlineStr">
        <is>
          <t>Register still codes MD-00033 to Denver - Closed; TR-00033 points to Denver (EX-0012).</t>
        </is>
      </c>
      <c r="M16" s="7" t="inlineStr">
        <is>
          <t>Requires remediation</t>
        </is>
      </c>
    </row>
    <row r="17">
      <c r="A17" s="7" t="inlineStr">
        <is>
          <t>EX-0013</t>
        </is>
      </c>
      <c r="B17" s="7" t="inlineStr">
        <is>
          <t>Closed Location Assignment</t>
        </is>
      </c>
      <c r="C17" s="11" t="inlineStr">
        <is>
          <t>Medium</t>
        </is>
      </c>
      <c r="D17" s="7" t="inlineStr">
        <is>
          <t>MD-00034</t>
        </is>
      </c>
      <c r="E17" s="7" t="inlineStr">
        <is>
          <t>MD-MO-050034</t>
        </is>
      </c>
      <c r="F17" s="7" t="inlineStr">
        <is>
          <t>RegisterLocation:Chicago - Closed; Transfer:TR-00034; HRLocation:New York</t>
        </is>
      </c>
      <c r="G17" s="7" t="n">
        <v>479.88</v>
      </c>
      <c r="H17" s="7" t="inlineStr">
        <is>
          <t>Do not leave MD-00034 assigned to unused floor Chicago - Closed (EX-0013).</t>
        </is>
      </c>
      <c r="I17" s="7" t="inlineStr">
        <is>
          <t>IT Asset Specialist</t>
        </is>
      </c>
      <c r="J17" s="7" t="inlineStr">
        <is>
          <t>2026-08-19</t>
        </is>
      </c>
      <c r="K17" s="7" t="inlineStr">
        <is>
          <t>Open</t>
        </is>
      </c>
      <c r="L17" s="7" t="inlineStr">
        <is>
          <t>Register still codes MD-00034 to Chicago - Closed; TR-00034 points to New York (EX-0013).</t>
        </is>
      </c>
      <c r="M17" s="7" t="inlineStr">
        <is>
          <t>Requires remediation</t>
        </is>
      </c>
    </row>
    <row r="18">
      <c r="A18" s="7" t="inlineStr">
        <is>
          <t>EX-0014</t>
        </is>
      </c>
      <c r="B18" s="7" t="inlineStr">
        <is>
          <t>Inventory-to-Ledger Difference</t>
        </is>
      </c>
      <c r="C18" s="10" t="inlineStr">
        <is>
          <t>High</t>
        </is>
      </c>
      <c r="D18" s="7" t="inlineStr">
        <is>
          <t>MD-00034</t>
        </is>
      </c>
      <c r="E18" s="7" t="inlineStr">
        <is>
          <t>MD-MO-050034</t>
        </is>
      </c>
      <c r="F18" s="7" t="inlineStr">
        <is>
          <t>Ledger:FA-000034; PO:PO-2023-0006; RegisterCost:790.0; LedgerCost:930.0; NBVOverstatement:35.0; CorrectNBV:479.88</t>
        </is>
      </c>
      <c r="G18" s="7" t="n">
        <v>140</v>
      </c>
      <c r="H18" s="7" t="inlineStr">
        <is>
          <t>Align cost on MD-00034: register 790.0 vs ledger 930.0 (FA-000034).</t>
        </is>
      </c>
      <c r="I18" s="7" t="inlineStr">
        <is>
          <t>Finance Controller</t>
        </is>
      </c>
      <c r="J18" s="7" t="inlineStr">
        <is>
          <t>2026-08-21</t>
        </is>
      </c>
      <c r="K18" s="7" t="inlineStr">
        <is>
          <t>Open</t>
        </is>
      </c>
      <c r="L18" s="7" t="inlineStr">
        <is>
          <t>Pulled PO-2023-0006 and FA-000034; numbers diverge for MD-00034. Separately, FA-000034 NBV print $514.88 overstates correct NBV $479.88 (acq $930 − accum dep $450.12) by $35.00.</t>
        </is>
      </c>
      <c r="M18" s="7" t="inlineStr">
        <is>
          <t>Requires remediation</t>
        </is>
      </c>
    </row>
    <row r="19">
      <c r="A19" s="7" t="inlineStr">
        <is>
          <t>EX-0015</t>
        </is>
      </c>
      <c r="B19" s="7" t="inlineStr">
        <is>
          <t>Closed Location Assignment</t>
        </is>
      </c>
      <c r="C19" s="11" t="inlineStr">
        <is>
          <t>Medium</t>
        </is>
      </c>
      <c r="D19" s="7" t="inlineStr">
        <is>
          <t>MD-00035</t>
        </is>
      </c>
      <c r="E19" s="7" t="inlineStr">
        <is>
          <t>MD-MO-050035</t>
        </is>
      </c>
      <c r="F19" s="7" t="inlineStr">
        <is>
          <t>RegisterLocation:Denver - Closed; Transfer:TR-00035; HRLocation:Seattle</t>
        </is>
      </c>
      <c r="G19" s="7" t="n">
        <v>741.92</v>
      </c>
      <c r="H19" s="7" t="inlineStr">
        <is>
          <t>HR-aligned site for MD-00035 is Seattle; register still says Denver - Closed (EX-0015).</t>
        </is>
      </c>
      <c r="I19" s="7" t="inlineStr">
        <is>
          <t>IT Asset Specialist</t>
        </is>
      </c>
      <c r="J19" s="7" t="inlineStr">
        <is>
          <t>2026-08-19</t>
        </is>
      </c>
      <c r="K19" s="7" t="inlineStr">
        <is>
          <t>Open</t>
        </is>
      </c>
      <c r="L19" s="7" t="inlineStr">
        <is>
          <t>Location on MD-00035 is consolidation debt (Denver - Closed, EX-0015).</t>
        </is>
      </c>
      <c r="M19" s="7" t="inlineStr">
        <is>
          <t>Requires remediation</t>
        </is>
      </c>
    </row>
    <row r="20">
      <c r="A20" s="7" t="inlineStr">
        <is>
          <t>EX-0016</t>
        </is>
      </c>
      <c r="B20" s="7" t="inlineStr">
        <is>
          <t>Closed Location Assignment</t>
        </is>
      </c>
      <c r="C20" s="11" t="inlineStr">
        <is>
          <t>Medium</t>
        </is>
      </c>
      <c r="D20" s="7" t="inlineStr">
        <is>
          <t>MD-00036</t>
        </is>
      </c>
      <c r="E20" s="7" t="inlineStr">
        <is>
          <t>MD-NE-050036</t>
        </is>
      </c>
      <c r="F20" s="7" t="inlineStr">
        <is>
          <t>RegisterLocation:Chicago - Closed; Transfer:TR-00036; HRLocation:Atlanta</t>
        </is>
      </c>
      <c r="G20" s="7" t="n">
        <v>537.73</v>
      </c>
      <c r="H20" s="7" t="inlineStr">
        <is>
          <t>Update register location for MD-00036 before the next cert packet (EX-0016).</t>
        </is>
      </c>
      <c r="I20" s="7" t="inlineStr">
        <is>
          <t>IT Asset Specialist</t>
        </is>
      </c>
      <c r="J20" s="7" t="inlineStr">
        <is>
          <t>2026-08-19</t>
        </is>
      </c>
      <c r="K20" s="7" t="inlineStr">
        <is>
          <t>Open</t>
        </is>
      </c>
      <c r="L20" s="7" t="inlineStr">
        <is>
          <t>HR/transfer support Atlanta; register kept Chicago - Closed for MD-00036 (EX-0016).</t>
        </is>
      </c>
      <c r="M20" s="7" t="inlineStr">
        <is>
          <t>Requires remediation</t>
        </is>
      </c>
    </row>
    <row r="21">
      <c r="A21" s="7" t="inlineStr">
        <is>
          <t>EX-0017</t>
        </is>
      </c>
      <c r="B21" s="7" t="inlineStr">
        <is>
          <t>Closed Location Assignment</t>
        </is>
      </c>
      <c r="C21" s="11" t="inlineStr">
        <is>
          <t>Medium</t>
        </is>
      </c>
      <c r="D21" s="7" t="inlineStr">
        <is>
          <t>MD-00037</t>
        </is>
      </c>
      <c r="E21" s="7" t="inlineStr">
        <is>
          <t>MD-LA-050037</t>
        </is>
      </c>
      <c r="F21" s="7" t="inlineStr">
        <is>
          <t>RegisterLocation:Denver - Closed; Transfer:TR-00037; HRLocation:Chicago</t>
        </is>
      </c>
      <c r="G21" s="7" t="n">
        <v>0</v>
      </c>
      <c r="H21" s="7" t="inlineStr">
        <is>
          <t>IT Asset Specialist: recode MD-00037 off Denver - Closed; Chicago is the live office per TR-00037 (EX-0017).</t>
        </is>
      </c>
      <c r="I21" s="7" t="inlineStr">
        <is>
          <t>IT Asset Specialist</t>
        </is>
      </c>
      <c r="J21" s="7" t="inlineStr">
        <is>
          <t>2026-08-19</t>
        </is>
      </c>
      <c r="K21" s="7" t="inlineStr">
        <is>
          <t>Open</t>
        </is>
      </c>
      <c r="L21" s="7" t="inlineStr">
        <is>
          <t>Site code on MD-00037 did not survive consolidation (Denver - Closed, EX-0017).</t>
        </is>
      </c>
      <c r="M21" s="7" t="inlineStr">
        <is>
          <t>Requires remediation</t>
        </is>
      </c>
    </row>
    <row r="22">
      <c r="A22" s="7" t="inlineStr">
        <is>
          <t>EX-0018</t>
        </is>
      </c>
      <c r="B22" s="7" t="inlineStr">
        <is>
          <t>Closed Location Assignment</t>
        </is>
      </c>
      <c r="C22" s="11" t="inlineStr">
        <is>
          <t>Medium</t>
        </is>
      </c>
      <c r="D22" s="7" t="inlineStr">
        <is>
          <t>MD-00038</t>
        </is>
      </c>
      <c r="E22" s="7" t="inlineStr">
        <is>
          <t>MD-MO-050038</t>
        </is>
      </c>
      <c r="F22" s="7" t="inlineStr">
        <is>
          <t>RegisterLocation:Chicago - Closed; Transfer:TR-00038; HRLocation:Dallas</t>
        </is>
      </c>
      <c r="G22" s="7" t="n">
        <v>340.46</v>
      </c>
      <c r="H22" s="7" t="inlineStr">
        <is>
          <t>HR-aligned site for MD-00038 is Dallas; register still says Chicago - Closed (EX-0018).</t>
        </is>
      </c>
      <c r="I22" s="7" t="inlineStr">
        <is>
          <t>IT Asset Specialist</t>
        </is>
      </c>
      <c r="J22" s="7" t="inlineStr">
        <is>
          <t>2026-08-19</t>
        </is>
      </c>
      <c r="K22" s="7" t="inlineStr">
        <is>
          <t>Open</t>
        </is>
      </c>
      <c r="L22" s="7" t="inlineStr">
        <is>
          <t>Finding EX-0018: MD-00038 location stale at Chicago - Closed; prefer Dallas.</t>
        </is>
      </c>
      <c r="M22" s="7" t="inlineStr">
        <is>
          <t>Requires remediation</t>
        </is>
      </c>
    </row>
    <row r="23">
      <c r="A23" s="7" t="inlineStr">
        <is>
          <t>EX-0019</t>
        </is>
      </c>
      <c r="B23" s="7" t="inlineStr">
        <is>
          <t>Closed Location Assignment</t>
        </is>
      </c>
      <c r="C23" s="11" t="inlineStr">
        <is>
          <t>Medium</t>
        </is>
      </c>
      <c r="D23" s="7" t="inlineStr">
        <is>
          <t>MD-00039</t>
        </is>
      </c>
      <c r="E23" s="7" t="inlineStr">
        <is>
          <t>MD-MO-050039</t>
        </is>
      </c>
      <c r="F23" s="7" t="inlineStr">
        <is>
          <t>RegisterLocation:Denver - Closed; Transfer:TR-00039; HRLocation:Denver</t>
        </is>
      </c>
      <c r="G23" s="7" t="n">
        <v>635</v>
      </c>
      <c r="H23" s="7" t="inlineStr">
        <is>
          <t>Remove closed-site coding on MD-00039 (Denver - Closed → Denver, EX-0019).</t>
        </is>
      </c>
      <c r="I23" s="7" t="inlineStr">
        <is>
          <t>IT Asset Specialist</t>
        </is>
      </c>
      <c r="J23" s="7" t="inlineStr">
        <is>
          <t>2026-08-19</t>
        </is>
      </c>
      <c r="K23" s="7" t="inlineStr">
        <is>
          <t>Open</t>
        </is>
      </c>
      <c r="L23" s="7" t="inlineStr">
        <is>
          <t>Denver is the operating site; MD-00039 still lists Denver - Closed (EX-0019).</t>
        </is>
      </c>
      <c r="M23" s="7" t="inlineStr">
        <is>
          <t>Requires remediation</t>
        </is>
      </c>
    </row>
    <row r="24">
      <c r="A24" s="7" t="inlineStr">
        <is>
          <t>EX-0020</t>
        </is>
      </c>
      <c r="B24" s="7" t="inlineStr">
        <is>
          <t>Closed Location Assignment</t>
        </is>
      </c>
      <c r="C24" s="11" t="inlineStr">
        <is>
          <t>Medium</t>
        </is>
      </c>
      <c r="D24" s="7" t="inlineStr">
        <is>
          <t>MD-00040</t>
        </is>
      </c>
      <c r="E24" s="7" t="inlineStr">
        <is>
          <t>MD-NE-050040</t>
        </is>
      </c>
      <c r="F24" s="7" t="inlineStr">
        <is>
          <t>RegisterLocation:Chicago - Closed; Transfer:TR-00040; HRLocation:New York</t>
        </is>
      </c>
      <c r="G24" s="7" t="n">
        <v>989.48</v>
      </c>
      <c r="H24" s="7" t="inlineStr">
        <is>
          <t>IT Asset Specialist to retire Chicago - Closed on MD-00040 and apply New York (EX-0020).</t>
        </is>
      </c>
      <c r="I24" s="7" t="inlineStr">
        <is>
          <t>IT Asset Specialist</t>
        </is>
      </c>
      <c r="J24" s="7" t="inlineStr">
        <is>
          <t>2026-08-19</t>
        </is>
      </c>
      <c r="K24" s="7" t="inlineStr">
        <is>
          <t>Open</t>
        </is>
      </c>
      <c r="L24" s="7" t="inlineStr">
        <is>
          <t>Location evidence for MD-00040: closed floor Chicago - Closed vs live New York (EX-0020).</t>
        </is>
      </c>
      <c r="M24" s="7" t="inlineStr">
        <is>
          <t>Requires remediation</t>
        </is>
      </c>
    </row>
    <row r="25">
      <c r="A25" s="7" t="inlineStr">
        <is>
          <t>EX-0021</t>
        </is>
      </c>
      <c r="B25" s="7" t="inlineStr">
        <is>
          <t>Closed Location Assignment</t>
        </is>
      </c>
      <c r="C25" s="11" t="inlineStr">
        <is>
          <t>Medium</t>
        </is>
      </c>
      <c r="D25" s="7" t="inlineStr">
        <is>
          <t>MD-00041</t>
        </is>
      </c>
      <c r="E25" s="7" t="inlineStr">
        <is>
          <t>MD-LA-050041</t>
        </is>
      </c>
      <c r="F25" s="7" t="inlineStr">
        <is>
          <t>RegisterLocation:Denver - Closed; Transfer:TR-00041; HRLocation:Seattle</t>
        </is>
      </c>
      <c r="G25" s="7" t="n">
        <v>0</v>
      </c>
      <c r="H25" s="7" t="inlineStr">
        <is>
          <t>Update register location for MD-00041 before the next cert packet (EX-0021).</t>
        </is>
      </c>
      <c r="I25" s="7" t="inlineStr">
        <is>
          <t>IT Asset Specialist</t>
        </is>
      </c>
      <c r="J25" s="7" t="inlineStr">
        <is>
          <t>2026-08-19</t>
        </is>
      </c>
      <c r="K25" s="7" t="inlineStr">
        <is>
          <t>Open</t>
        </is>
      </c>
      <c r="L25" s="7" t="inlineStr">
        <is>
          <t>Register location Denver - Closed conflicts with current footprint for MD-00041 (EX-0021).</t>
        </is>
      </c>
      <c r="M25" s="7" t="inlineStr">
        <is>
          <t>Requires remediation</t>
        </is>
      </c>
    </row>
    <row r="26">
      <c r="A26" s="7" t="inlineStr">
        <is>
          <t>EX-0022</t>
        </is>
      </c>
      <c r="B26" s="7" t="inlineStr">
        <is>
          <t>Closed Location Assignment</t>
        </is>
      </c>
      <c r="C26" s="11" t="inlineStr">
        <is>
          <t>Medium</t>
        </is>
      </c>
      <c r="D26" s="7" t="inlineStr">
        <is>
          <t>MD-00042</t>
        </is>
      </c>
      <c r="E26" s="7" t="inlineStr">
        <is>
          <t>MD-MO-050042</t>
        </is>
      </c>
      <c r="F26" s="7" t="inlineStr">
        <is>
          <t>RegisterLocation:Chicago - Closed; Transfer:TR-00042; HRLocation:Atlanta</t>
        </is>
      </c>
      <c r="G26" s="7" t="n">
        <v>306.16</v>
      </c>
      <c r="H26" s="7" t="inlineStr">
        <is>
          <t>Remove closed-site coding on MD-00042 (Chicago - Closed → Atlanta, EX-0022).</t>
        </is>
      </c>
      <c r="I26" s="7" t="inlineStr">
        <is>
          <t>IT Asset Specialist</t>
        </is>
      </c>
      <c r="J26" s="7" t="inlineStr">
        <is>
          <t>2026-08-19</t>
        </is>
      </c>
      <c r="K26" s="7" t="inlineStr">
        <is>
          <t>Open</t>
        </is>
      </c>
      <c r="L26" s="7" t="inlineStr">
        <is>
          <t>Closed floor Chicago - Closed remains on MD-00042 despite transfer evidence (EX-0022, TR-00042).</t>
        </is>
      </c>
      <c r="M26" s="7" t="inlineStr">
        <is>
          <t>Requires remediation</t>
        </is>
      </c>
    </row>
    <row r="27">
      <c r="A27" s="7" t="inlineStr">
        <is>
          <t>EX-0023</t>
        </is>
      </c>
      <c r="B27" s="7" t="inlineStr">
        <is>
          <t>Closed Location Assignment</t>
        </is>
      </c>
      <c r="C27" s="11" t="inlineStr">
        <is>
          <t>Medium</t>
        </is>
      </c>
      <c r="D27" s="7" t="inlineStr">
        <is>
          <t>MD-00043</t>
        </is>
      </c>
      <c r="E27" s="7" t="inlineStr">
        <is>
          <t>MD-MO-050043</t>
        </is>
      </c>
      <c r="F27" s="7" t="inlineStr">
        <is>
          <t>RegisterLocation:Denver - Closed; Transfer:TR-00043; HRLocation:Chicago</t>
        </is>
      </c>
      <c r="G27" s="7" t="n">
        <v>673.55</v>
      </c>
      <c r="H27" s="7" t="inlineStr">
        <is>
          <t>IT Asset Specialist owns the location rewrite for MD-00043 at Denver - Closed (EX-0023).</t>
        </is>
      </c>
      <c r="I27" s="7" t="inlineStr">
        <is>
          <t>IT Asset Specialist</t>
        </is>
      </c>
      <c r="J27" s="7" t="inlineStr">
        <is>
          <t>2026-08-19</t>
        </is>
      </c>
      <c r="K27" s="7" t="inlineStr">
        <is>
          <t>Open</t>
        </is>
      </c>
      <c r="L27" s="7" t="inlineStr">
        <is>
          <t>Location on MD-00043 is consolidation debt (Denver - Closed, EX-0023).</t>
        </is>
      </c>
      <c r="M27" s="7" t="inlineStr">
        <is>
          <t>Requires remediation</t>
        </is>
      </c>
    </row>
    <row r="28">
      <c r="A28" s="7" t="inlineStr">
        <is>
          <t>EX-0024</t>
        </is>
      </c>
      <c r="B28" s="7" t="inlineStr">
        <is>
          <t>Closed Location Assignment</t>
        </is>
      </c>
      <c r="C28" s="11" t="inlineStr">
        <is>
          <t>Medium</t>
        </is>
      </c>
      <c r="D28" s="7" t="inlineStr">
        <is>
          <t>MD-00044</t>
        </is>
      </c>
      <c r="E28" s="7" t="inlineStr">
        <is>
          <t>MD-NE-050044</t>
        </is>
      </c>
      <c r="F28" s="7" t="inlineStr">
        <is>
          <t>RegisterLocation:Chicago - Closed; Transfer:TR-00044; HRLocation:Dallas</t>
        </is>
      </c>
      <c r="G28" s="7" t="n">
        <v>1406.1</v>
      </c>
      <c r="H28" s="7" t="inlineStr">
        <is>
          <t>MD-00044 / Chicago - Closed is a consolidation leftover - move to Dallas (EX-0024).</t>
        </is>
      </c>
      <c r="I28" s="7" t="inlineStr">
        <is>
          <t>IT Asset Specialist</t>
        </is>
      </c>
      <c r="J28" s="7" t="inlineStr">
        <is>
          <t>2026-08-19</t>
        </is>
      </c>
      <c r="K28" s="7" t="inlineStr">
        <is>
          <t>Open</t>
        </is>
      </c>
      <c r="L28" s="7" t="inlineStr">
        <is>
          <t>Walked register vs HR/transfer: MD-00044 still says Chicago - Closed (EX-0024).</t>
        </is>
      </c>
      <c r="M28" s="7" t="inlineStr">
        <is>
          <t>Requires remediation</t>
        </is>
      </c>
    </row>
    <row r="29">
      <c r="A29" s="7" t="inlineStr">
        <is>
          <t>EX-0025</t>
        </is>
      </c>
      <c r="B29" s="7" t="inlineStr">
        <is>
          <t>Closed Location Assignment</t>
        </is>
      </c>
      <c r="C29" s="11" t="inlineStr">
        <is>
          <t>Medium</t>
        </is>
      </c>
      <c r="D29" s="7" t="inlineStr">
        <is>
          <t>MD-00045</t>
        </is>
      </c>
      <c r="E29" s="7" t="inlineStr">
        <is>
          <t>MD-LA-050045</t>
        </is>
      </c>
      <c r="F29" s="7" t="inlineStr">
        <is>
          <t>RegisterLocation:Denver - Closed; Transfer:TR-00045; HRLocation:Denver</t>
        </is>
      </c>
      <c r="G29" s="7" t="n">
        <v>133.6</v>
      </c>
      <c r="H29" s="7" t="inlineStr">
        <is>
          <t>IT Asset Specialist: recode MD-00045 off Denver - Closed; Denver is the live office per TR-00045 (EX-0025).</t>
        </is>
      </c>
      <c r="I29" s="7" t="inlineStr">
        <is>
          <t>IT Asset Specialist</t>
        </is>
      </c>
      <c r="J29" s="7" t="inlineStr">
        <is>
          <t>2026-08-19</t>
        </is>
      </c>
      <c r="K29" s="7" t="inlineStr">
        <is>
          <t>Open</t>
        </is>
      </c>
      <c r="L29" s="7" t="inlineStr">
        <is>
          <t>Register location Denver - Closed conflicts with current footprint for MD-00045 (EX-0025).</t>
        </is>
      </c>
      <c r="M29" s="7" t="inlineStr">
        <is>
          <t>Requires remediation</t>
        </is>
      </c>
    </row>
    <row r="30">
      <c r="A30" s="7" t="inlineStr">
        <is>
          <t>EX-0026</t>
        </is>
      </c>
      <c r="B30" s="7" t="inlineStr">
        <is>
          <t>Closed Location Assignment</t>
        </is>
      </c>
      <c r="C30" s="11" t="inlineStr">
        <is>
          <t>Medium</t>
        </is>
      </c>
      <c r="D30" s="7" t="inlineStr">
        <is>
          <t>MD-00046</t>
        </is>
      </c>
      <c r="E30" s="7" t="inlineStr">
        <is>
          <t>MD-MO-050046</t>
        </is>
      </c>
      <c r="F30" s="7" t="inlineStr">
        <is>
          <t>RegisterLocation:Chicago - Closed; Transfer:TR-00046; VerifiedLocation:New York</t>
        </is>
      </c>
      <c r="G30" s="7" t="n">
        <v>460.82</v>
      </c>
      <c r="H30" s="7" t="inlineStr">
        <is>
          <t>Fix MD-00046: register site Chicago - Closed conflicts with current ops at New York (EX-0026).</t>
        </is>
      </c>
      <c r="I30" s="7" t="inlineStr">
        <is>
          <t>IT Asset Specialist</t>
        </is>
      </c>
      <c r="J30" s="7" t="inlineStr">
        <is>
          <t>2026-08-19</t>
        </is>
      </c>
      <c r="K30" s="7" t="inlineStr">
        <is>
          <t>Open</t>
        </is>
      </c>
      <c r="L30" s="7" t="inlineStr">
        <is>
          <t>Chicago - Closed is shuttered. Did not leave MD-00046 there on paper - New York is live (EX-0026).</t>
        </is>
      </c>
      <c r="M30" s="7" t="inlineStr">
        <is>
          <t>Requires remediation</t>
        </is>
      </c>
    </row>
    <row r="31">
      <c r="A31" s="7" t="inlineStr">
        <is>
          <t>EX-0027</t>
        </is>
      </c>
      <c r="B31" s="7" t="inlineStr">
        <is>
          <t>Closed Location Assignment</t>
        </is>
      </c>
      <c r="C31" s="11" t="inlineStr">
        <is>
          <t>Medium</t>
        </is>
      </c>
      <c r="D31" s="7" t="inlineStr">
        <is>
          <t>MD-00047</t>
        </is>
      </c>
      <c r="E31" s="7" t="inlineStr">
        <is>
          <t>MD-MO-050047</t>
        </is>
      </c>
      <c r="F31" s="7" t="inlineStr">
        <is>
          <t>RegisterLocation:Denver - Closed; Transfer:TR-00047; VerifiedLocation:Seattle</t>
        </is>
      </c>
      <c r="G31" s="7" t="n">
        <v>930.51</v>
      </c>
      <c r="H31" s="7" t="inlineStr">
        <is>
          <t>IT Asset Specialist: recode MD-00047 off Denver - Closed; Seattle is the live office per TR-00047 (EX-0027).</t>
        </is>
      </c>
      <c r="I31" s="7" t="inlineStr">
        <is>
          <t>IT Asset Specialist</t>
        </is>
      </c>
      <c r="J31" s="7" t="inlineStr">
        <is>
          <t>2026-08-19</t>
        </is>
      </c>
      <c r="K31" s="7" t="inlineStr">
        <is>
          <t>Open</t>
        </is>
      </c>
      <c r="L31" s="7" t="inlineStr">
        <is>
          <t>Physical sites changed; MD-00047 register did not (Denver - Closed, EX-0027).</t>
        </is>
      </c>
      <c r="M31" s="7" t="inlineStr">
        <is>
          <t>Requires remediation</t>
        </is>
      </c>
    </row>
    <row r="32">
      <c r="A32" s="7" t="inlineStr">
        <is>
          <t>EX-0028</t>
        </is>
      </c>
      <c r="B32" s="7" t="inlineStr">
        <is>
          <t>Closed Location Assignment</t>
        </is>
      </c>
      <c r="C32" s="11" t="inlineStr">
        <is>
          <t>Medium</t>
        </is>
      </c>
      <c r="D32" s="7" t="inlineStr">
        <is>
          <t>MD-00048</t>
        </is>
      </c>
      <c r="E32" s="7" t="inlineStr">
        <is>
          <t>MD-NE-050048</t>
        </is>
      </c>
      <c r="F32" s="7" t="inlineStr">
        <is>
          <t>RegisterLocation:Chicago - Closed; Transfer:TR-00048; VerifiedLocation:Atlanta</t>
        </is>
      </c>
      <c r="G32" s="7" t="n">
        <v>514.59</v>
      </c>
      <c r="H32" s="7" t="inlineStr">
        <is>
          <t>Closed floor Chicago - Closed stays on MD-00048; rewrite required (EX-0028).</t>
        </is>
      </c>
      <c r="I32" s="7" t="inlineStr">
        <is>
          <t>IT Asset Specialist</t>
        </is>
      </c>
      <c r="J32" s="7" t="inlineStr">
        <is>
          <t>2026-08-19</t>
        </is>
      </c>
      <c r="K32" s="7" t="inlineStr">
        <is>
          <t>Open</t>
        </is>
      </c>
      <c r="L32" s="7" t="inlineStr">
        <is>
          <t>Unused-office coding on MD-00048 is unsupported by movement files (EX-0028).</t>
        </is>
      </c>
      <c r="M32" s="7" t="inlineStr">
        <is>
          <t>Requires remediation</t>
        </is>
      </c>
    </row>
    <row r="33">
      <c r="A33" s="7" t="inlineStr">
        <is>
          <t>EX-0029</t>
        </is>
      </c>
      <c r="B33" s="7" t="inlineStr">
        <is>
          <t>Closed Location Assignment</t>
        </is>
      </c>
      <c r="C33" s="11" t="inlineStr">
        <is>
          <t>Medium</t>
        </is>
      </c>
      <c r="D33" s="7" t="inlineStr">
        <is>
          <t>MD-00049</t>
        </is>
      </c>
      <c r="E33" s="7" t="inlineStr">
        <is>
          <t>MD-LA-050049</t>
        </is>
      </c>
      <c r="F33" s="7" t="inlineStr">
        <is>
          <t>RegisterLocation:Denver - Closed; Transfer:TR-00049; VerifiedLocation:Chicago</t>
        </is>
      </c>
      <c r="G33" s="7" t="n">
        <v>0</v>
      </c>
      <c r="H33" s="7" t="inlineStr">
        <is>
          <t>MD-00049 cannot remain on shuttered floor Denver - Closed. Set location to Chicago (EX-0029).</t>
        </is>
      </c>
      <c r="I33" s="7" t="inlineStr">
        <is>
          <t>IT Asset Specialist</t>
        </is>
      </c>
      <c r="J33" s="7" t="inlineStr">
        <is>
          <t>2026-08-19</t>
        </is>
      </c>
      <c r="K33" s="7" t="inlineStr">
        <is>
          <t>Open</t>
        </is>
      </c>
      <c r="L33" s="7" t="inlineStr">
        <is>
          <t>Physical sites changed; MD-00049 register did not (Denver - Closed, EX-0029).</t>
        </is>
      </c>
      <c r="M33" s="7" t="inlineStr">
        <is>
          <t>Requires remediation</t>
        </is>
      </c>
    </row>
    <row r="34">
      <c r="A34" s="7" t="inlineStr">
        <is>
          <t>EX-0030</t>
        </is>
      </c>
      <c r="B34" s="7" t="inlineStr">
        <is>
          <t>Closed Location Assignment</t>
        </is>
      </c>
      <c r="C34" s="11" t="inlineStr">
        <is>
          <t>Medium</t>
        </is>
      </c>
      <c r="D34" s="7" t="inlineStr">
        <is>
          <t>MD-00050</t>
        </is>
      </c>
      <c r="E34" s="7" t="inlineStr">
        <is>
          <t>MD-MO-050050</t>
        </is>
      </c>
      <c r="F34" s="7" t="inlineStr">
        <is>
          <t>RegisterLocation:Chicago - Closed; Transfer:TR-00050; VerifiedLocation:Dallas</t>
        </is>
      </c>
      <c r="G34" s="7" t="n">
        <v>289.96</v>
      </c>
      <c r="H34" s="7" t="inlineStr">
        <is>
          <t>Fix MD-00050: register site Chicago - Closed conflicts with current ops at Dallas (EX-0030).</t>
        </is>
      </c>
      <c r="I34" s="7" t="inlineStr">
        <is>
          <t>IT Asset Specialist</t>
        </is>
      </c>
      <c r="J34" s="7" t="inlineStr">
        <is>
          <t>2026-08-19</t>
        </is>
      </c>
      <c r="K34" s="7" t="inlineStr">
        <is>
          <t>Open</t>
        </is>
      </c>
      <c r="L34" s="7" t="inlineStr">
        <is>
          <t>Site code on MD-00050 did not survive consolidation (Chicago - Closed, EX-0030).</t>
        </is>
      </c>
      <c r="M34" s="7" t="inlineStr">
        <is>
          <t>Requires remediation</t>
        </is>
      </c>
    </row>
    <row r="35">
      <c r="A35" s="7" t="inlineStr">
        <is>
          <t>EX-0031</t>
        </is>
      </c>
      <c r="B35" s="7" t="inlineStr">
        <is>
          <t>Closed Location Assignment</t>
        </is>
      </c>
      <c r="C35" s="11" t="inlineStr">
        <is>
          <t>Medium</t>
        </is>
      </c>
      <c r="D35" s="7" t="inlineStr">
        <is>
          <t>MD-00051</t>
        </is>
      </c>
      <c r="E35" s="7" t="inlineStr">
        <is>
          <t>MD-MO-050051</t>
        </is>
      </c>
      <c r="F35" s="7" t="inlineStr">
        <is>
          <t>RegisterLocation:Denver - Closed; Transfer:TR-00051; VerifiedLocation:Denver</t>
        </is>
      </c>
      <c r="G35" s="7" t="n">
        <v>573.03</v>
      </c>
      <c r="H35" s="7" t="inlineStr">
        <is>
          <t>Operating site for MD-00051 is Denver; TR-00051 confirms, not Denver - Closed (EX-0031).</t>
        </is>
      </c>
      <c r="I35" s="7" t="inlineStr">
        <is>
          <t>IT Asset Specialist</t>
        </is>
      </c>
      <c r="J35" s="7" t="inlineStr">
        <is>
          <t>2026-08-19</t>
        </is>
      </c>
      <c r="K35" s="7" t="inlineStr">
        <is>
          <t>Open</t>
        </is>
      </c>
      <c r="L35" s="7" t="inlineStr">
        <is>
          <t>Closed-site leftover on extract for MD-00051 (Denver - Closed). TR-00051. EX-0031.</t>
        </is>
      </c>
      <c r="M35" s="7" t="inlineStr">
        <is>
          <t>Requires remediation</t>
        </is>
      </c>
    </row>
    <row r="36">
      <c r="A36" s="7" t="inlineStr">
        <is>
          <t>EX-0032</t>
        </is>
      </c>
      <c r="B36" s="7" t="inlineStr">
        <is>
          <t>Inventory-to-Ledger Difference</t>
        </is>
      </c>
      <c r="C36" s="10" t="inlineStr">
        <is>
          <t>High</t>
        </is>
      </c>
      <c r="D36" s="7" t="inlineStr">
        <is>
          <t>MD-00051</t>
        </is>
      </c>
      <c r="E36" s="7" t="inlineStr">
        <is>
          <t>MD-MO-050051</t>
        </is>
      </c>
      <c r="F36" s="7" t="inlineStr">
        <is>
          <t>Ledger:FA-000051; PO:PO-2022-0009; RegisterCost:1040.0; LedgerCost:1250.0</t>
        </is>
      </c>
      <c r="G36" s="7" t="n">
        <v>210</v>
      </c>
      <c r="H36" s="7" t="inlineStr">
        <is>
          <t>Reconcile PO-2022-0009 / FA-000051 / register cost for MD-00051.</t>
        </is>
      </c>
      <c r="I36" s="7" t="inlineStr">
        <is>
          <t>Finance Controller</t>
        </is>
      </c>
      <c r="J36" s="7" t="inlineStr">
        <is>
          <t>2026-08-21</t>
        </is>
      </c>
      <c r="K36" s="7" t="inlineStr">
        <is>
          <t>Open</t>
        </is>
      </c>
      <c r="L36" s="7" t="inlineStr">
        <is>
          <t>Cost spread on MD-00051: ITAM $1040.0, FAR 1250.0 (FA-000051).</t>
        </is>
      </c>
      <c r="M36" s="7" t="inlineStr">
        <is>
          <t>Requires remediation</t>
        </is>
      </c>
    </row>
    <row r="37">
      <c r="A37" s="7" t="inlineStr">
        <is>
          <t>EX-0033</t>
        </is>
      </c>
      <c r="B37" s="7" t="inlineStr">
        <is>
          <t>Closed Location Assignment</t>
        </is>
      </c>
      <c r="C37" s="11" t="inlineStr">
        <is>
          <t>Medium</t>
        </is>
      </c>
      <c r="D37" s="7" t="inlineStr">
        <is>
          <t>MD-00052</t>
        </is>
      </c>
      <c r="E37" s="7" t="inlineStr">
        <is>
          <t>MD-NE-050052</t>
        </is>
      </c>
      <c r="F37" s="7" t="inlineStr">
        <is>
          <t>RegisterLocation:Chicago - Closed; Transfer:TR-00052; VerifiedLocation:New York</t>
        </is>
      </c>
      <c r="G37" s="7" t="n">
        <v>933.99</v>
      </c>
      <c r="H37" s="7" t="inlineStr">
        <is>
          <t>IT Asset Specialist: recode MD-00052 off Chicago - Closed; New York is the live office per TR-00052 (EX-0033).</t>
        </is>
      </c>
      <c r="I37" s="7" t="inlineStr">
        <is>
          <t>IT Asset Specialist</t>
        </is>
      </c>
      <c r="J37" s="7" t="inlineStr">
        <is>
          <t>2026-08-19</t>
        </is>
      </c>
      <c r="K37" s="7" t="inlineStr">
        <is>
          <t>Open</t>
        </is>
      </c>
      <c r="L37" s="7" t="inlineStr">
        <is>
          <t>Chicago - Closed is shuttered. Did not leave MD-00052 there on paper - New York is live (EX-0033).</t>
        </is>
      </c>
      <c r="M37" s="7" t="inlineStr">
        <is>
          <t>Requires remediation</t>
        </is>
      </c>
    </row>
    <row r="38">
      <c r="A38" s="7" t="inlineStr">
        <is>
          <t>EX-0034</t>
        </is>
      </c>
      <c r="B38" s="7" t="inlineStr">
        <is>
          <t>Closed Location Assignment</t>
        </is>
      </c>
      <c r="C38" s="11" t="inlineStr">
        <is>
          <t>Medium</t>
        </is>
      </c>
      <c r="D38" s="7" t="inlineStr">
        <is>
          <t>MD-00053</t>
        </is>
      </c>
      <c r="E38" s="7" t="inlineStr">
        <is>
          <t>MD-LA-050053</t>
        </is>
      </c>
      <c r="F38" s="7" t="inlineStr">
        <is>
          <t>RegisterLocation:Denver - Closed; Transfer:TR-00053; VerifiedLocation:Seattle</t>
        </is>
      </c>
      <c r="G38" s="7" t="n">
        <v>0</v>
      </c>
      <c r="H38" s="7" t="inlineStr">
        <is>
          <t>HR-aligned site for MD-00053 is Seattle; register still says Denver - Closed (EX-0034).</t>
        </is>
      </c>
      <c r="I38" s="7" t="inlineStr">
        <is>
          <t>IT Asset Specialist</t>
        </is>
      </c>
      <c r="J38" s="7" t="inlineStr">
        <is>
          <t>2026-08-19</t>
        </is>
      </c>
      <c r="K38" s="7" t="inlineStr">
        <is>
          <t>Open</t>
        </is>
      </c>
      <c r="L38" s="7" t="inlineStr">
        <is>
          <t>Location on MD-00053 is consolidation debt (Denver - Closed, EX-0034).</t>
        </is>
      </c>
      <c r="M38" s="7" t="inlineStr">
        <is>
          <t>Requires remediation</t>
        </is>
      </c>
    </row>
    <row r="39">
      <c r="A39" s="7" t="inlineStr">
        <is>
          <t>EX-0035</t>
        </is>
      </c>
      <c r="B39" s="7" t="inlineStr">
        <is>
          <t>Closed Location Assignment</t>
        </is>
      </c>
      <c r="C39" s="11" t="inlineStr">
        <is>
          <t>Medium</t>
        </is>
      </c>
      <c r="D39" s="7" t="inlineStr">
        <is>
          <t>MD-00054</t>
        </is>
      </c>
      <c r="E39" s="7" t="inlineStr">
        <is>
          <t>MD-MO-050054</t>
        </is>
      </c>
      <c r="F39" s="7" t="inlineStr">
        <is>
          <t>RegisterLocation:Chicago - Closed; Transfer:TR-00054; VerifiedLocation:Atlanta</t>
        </is>
      </c>
      <c r="G39" s="7" t="n">
        <v>433.74</v>
      </c>
      <c r="H39" s="7" t="inlineStr">
        <is>
          <t>IT Asset Specialist to retire Chicago - Closed on MD-00054 and apply Atlanta (EX-0035).</t>
        </is>
      </c>
      <c r="I39" s="7" t="inlineStr">
        <is>
          <t>IT Asset Specialist</t>
        </is>
      </c>
      <c r="J39" s="7" t="inlineStr">
        <is>
          <t>2026-08-19</t>
        </is>
      </c>
      <c r="K39" s="7" t="inlineStr">
        <is>
          <t>Open</t>
        </is>
      </c>
      <c r="L39" s="7" t="inlineStr">
        <is>
          <t>TR-00054 destination is not the shuttered office listed for MD-00054 (EX-0035).</t>
        </is>
      </c>
      <c r="M39" s="7" t="inlineStr">
        <is>
          <t>Requires remediation</t>
        </is>
      </c>
    </row>
    <row r="40">
      <c r="A40" s="7" t="inlineStr">
        <is>
          <t>EX-0036</t>
        </is>
      </c>
      <c r="B40" s="7" t="inlineStr">
        <is>
          <t>Closed Location Assignment</t>
        </is>
      </c>
      <c r="C40" s="11" t="inlineStr">
        <is>
          <t>Medium</t>
        </is>
      </c>
      <c r="D40" s="7" t="inlineStr">
        <is>
          <t>MD-00055</t>
        </is>
      </c>
      <c r="E40" s="7" t="inlineStr">
        <is>
          <t>MD-MO-050055</t>
        </is>
      </c>
      <c r="F40" s="7" t="inlineStr">
        <is>
          <t>RegisterLocation:Denver - Closed; Transfer:TR-00055; VerifiedLocation:Chicago</t>
        </is>
      </c>
      <c r="G40" s="7" t="n">
        <v>812.5</v>
      </c>
      <c r="H40" s="7" t="inlineStr">
        <is>
          <t>Register still lists MD-00055 at Denver - Closed. Replace with Chicago (EX-0036).</t>
        </is>
      </c>
      <c r="I40" s="7" t="inlineStr">
        <is>
          <t>IT Asset Specialist</t>
        </is>
      </c>
      <c r="J40" s="7" t="inlineStr">
        <is>
          <t>2026-08-19</t>
        </is>
      </c>
      <c r="K40" s="7" t="inlineStr">
        <is>
          <t>Open</t>
        </is>
      </c>
      <c r="L40" s="7" t="inlineStr">
        <is>
          <t>Location on MD-00055 is consolidation debt (Denver - Closed, EX-0036).</t>
        </is>
      </c>
      <c r="M40" s="7" t="inlineStr">
        <is>
          <t>Requires remediation</t>
        </is>
      </c>
    </row>
    <row r="41">
      <c r="A41" s="7" t="inlineStr">
        <is>
          <t>EX-0037</t>
        </is>
      </c>
      <c r="B41" s="7" t="inlineStr">
        <is>
          <t>Closed Location Assignment</t>
        </is>
      </c>
      <c r="C41" s="11" t="inlineStr">
        <is>
          <t>Medium</t>
        </is>
      </c>
      <c r="D41" s="7" t="inlineStr">
        <is>
          <t>MD-00056</t>
        </is>
      </c>
      <c r="E41" s="7" t="inlineStr">
        <is>
          <t>MD-NE-050056</t>
        </is>
      </c>
      <c r="F41" s="7" t="inlineStr">
        <is>
          <t>RegisterLocation:Chicago - Closed; Transfer:TR-00056; VerifiedLocation:Dallas</t>
        </is>
      </c>
      <c r="G41" s="7" t="n">
        <v>1345.24</v>
      </c>
      <c r="H41" s="7" t="inlineStr">
        <is>
          <t>IT Asset Specialist: recode MD-00056 off Chicago - Closed; Dallas is the live office per TR-00056 (EX-0037).</t>
        </is>
      </c>
      <c r="I41" s="7" t="inlineStr">
        <is>
          <t>IT Asset Specialist</t>
        </is>
      </c>
      <c r="J41" s="7" t="inlineStr">
        <is>
          <t>2026-08-19</t>
        </is>
      </c>
      <c r="K41" s="7" t="inlineStr">
        <is>
          <t>Open</t>
        </is>
      </c>
      <c r="L41" s="7" t="inlineStr">
        <is>
          <t>TR-00056 destination is not the shuttered office listed for MD-00056 (EX-0037).</t>
        </is>
      </c>
      <c r="M41" s="7" t="inlineStr">
        <is>
          <t>Requires remediation</t>
        </is>
      </c>
    </row>
    <row r="42">
      <c r="A42" s="7" t="inlineStr">
        <is>
          <t>EX-0038</t>
        </is>
      </c>
      <c r="B42" s="7" t="inlineStr">
        <is>
          <t>Closed Location Assignment</t>
        </is>
      </c>
      <c r="C42" s="11" t="inlineStr">
        <is>
          <t>Medium</t>
        </is>
      </c>
      <c r="D42" s="7" t="inlineStr">
        <is>
          <t>MD-00057</t>
        </is>
      </c>
      <c r="E42" s="7" t="inlineStr">
        <is>
          <t>MD-LA-050057</t>
        </is>
      </c>
      <c r="F42" s="7" t="inlineStr">
        <is>
          <t>RegisterLocation:Denver - Closed; Transfer:TR-00057; VerifiedLocation:Denver</t>
        </is>
      </c>
      <c r="G42" s="7" t="n">
        <v>106.79</v>
      </c>
      <c r="H42" s="7" t="inlineStr">
        <is>
          <t>Fix MD-00057: register site Denver - Closed conflicts with current ops at Denver (EX-0038).</t>
        </is>
      </c>
      <c r="I42" s="7" t="inlineStr">
        <is>
          <t>IT Asset Specialist</t>
        </is>
      </c>
      <c r="J42" s="7" t="inlineStr">
        <is>
          <t>2026-08-19</t>
        </is>
      </c>
      <c r="K42" s="7" t="inlineStr">
        <is>
          <t>Open</t>
        </is>
      </c>
      <c r="L42" s="7" t="inlineStr">
        <is>
          <t>Location on MD-00057 is consolidation debt (Denver - Closed, EX-0038).</t>
        </is>
      </c>
      <c r="M42" s="7" t="inlineStr">
        <is>
          <t>Requires remediation</t>
        </is>
      </c>
    </row>
    <row r="43">
      <c r="A43" s="7" t="inlineStr">
        <is>
          <t>EX-0039</t>
        </is>
      </c>
      <c r="B43" s="7" t="inlineStr">
        <is>
          <t>Former Employee Assignment</t>
        </is>
      </c>
      <c r="C43" s="10" t="inlineStr">
        <is>
          <t>High</t>
        </is>
      </c>
      <c r="D43" s="7" t="inlineStr">
        <is>
          <t>MD-00058</t>
        </is>
      </c>
      <c r="E43" s="7" t="inlineStr">
        <is>
          <t>MD-MO-050058</t>
        </is>
      </c>
      <c r="F43" s="7" t="inlineStr">
        <is>
          <t>Employee:E0071; Ticket:OFF-00058; Transfer:TR-00058</t>
        </is>
      </c>
      <c r="G43" s="7" t="n">
        <v>397.56</v>
      </c>
      <c r="H43" s="7" t="inlineStr">
        <is>
          <t>Separated ID E0071 must leave MD-00058 before status changes.</t>
        </is>
      </c>
      <c r="I43" s="7" t="inlineStr">
        <is>
          <t>HR Operations Lead</t>
        </is>
      </c>
      <c r="J43" s="7" t="inlineStr">
        <is>
          <t>2026-08-16</t>
        </is>
      </c>
      <c r="K43" s="7" t="inlineStr">
        <is>
          <t>Open</t>
        </is>
      </c>
      <c r="L43" s="7" t="inlineStr">
        <is>
          <t>People extract vs register: MD-00058 retained leaver E0071. OFF-00058.</t>
        </is>
      </c>
      <c r="M43" s="7" t="inlineStr">
        <is>
          <t>Requires remediation</t>
        </is>
      </c>
    </row>
    <row r="44">
      <c r="A44" s="7" t="inlineStr">
        <is>
          <t>EX-0040</t>
        </is>
      </c>
      <c r="B44" s="7" t="inlineStr">
        <is>
          <t>Closed Location Assignment</t>
        </is>
      </c>
      <c r="C44" s="11" t="inlineStr">
        <is>
          <t>Medium</t>
        </is>
      </c>
      <c r="D44" s="7" t="inlineStr">
        <is>
          <t>MD-00058</t>
        </is>
      </c>
      <c r="E44" s="7" t="inlineStr">
        <is>
          <t>MD-MO-050058</t>
        </is>
      </c>
      <c r="F44" s="7" t="inlineStr">
        <is>
          <t>RegisterLocation:Chicago - Closed; Transfer:TR-00058; VerifiedLocation:New York</t>
        </is>
      </c>
      <c r="G44" s="7" t="n">
        <v>397.56</v>
      </c>
      <c r="H44" s="7" t="inlineStr">
        <is>
          <t>Do not leave MD-00058 assigned to unused floor Chicago - Closed (EX-0040).</t>
        </is>
      </c>
      <c r="I44" s="7" t="inlineStr">
        <is>
          <t>IT Asset Specialist</t>
        </is>
      </c>
      <c r="J44" s="7" t="inlineStr">
        <is>
          <t>2026-08-19</t>
        </is>
      </c>
      <c r="K44" s="7" t="inlineStr">
        <is>
          <t>Open</t>
        </is>
      </c>
      <c r="L44" s="7" t="inlineStr">
        <is>
          <t>Unused-office coding on MD-00058 is unsupported by movement files (EX-0040).</t>
        </is>
      </c>
      <c r="M44" s="7" t="inlineStr">
        <is>
          <t>Requires remediation</t>
        </is>
      </c>
    </row>
    <row r="45">
      <c r="A45" s="7" t="inlineStr">
        <is>
          <t>EX-0041</t>
        </is>
      </c>
      <c r="B45" s="7" t="inlineStr">
        <is>
          <t>Unapproved Transfer</t>
        </is>
      </c>
      <c r="C45" s="11" t="inlineStr">
        <is>
          <t>Medium</t>
        </is>
      </c>
      <c r="D45" s="7" t="inlineStr">
        <is>
          <t>MD-00058</t>
        </is>
      </c>
      <c r="E45" s="7" t="inlineStr">
        <is>
          <t>MD-MO-050058</t>
        </is>
      </c>
      <c r="F45" s="7" t="inlineStr">
        <is>
          <t>Transfer:TR-00058; Approval:missing</t>
        </is>
      </c>
      <c r="G45" s="7" t="n">
        <v>397.56</v>
      </c>
      <c r="H45" s="7" t="inlineStr">
        <is>
          <t>§4 gap on TR-00058 for MD-00058; get APR or reverse.</t>
        </is>
      </c>
      <c r="I45" s="7" t="inlineStr">
        <is>
          <t>IT Operations Manager</t>
        </is>
      </c>
      <c r="J45" s="7" t="inlineStr">
        <is>
          <t>2026-08-20</t>
        </is>
      </c>
      <c r="K45" s="7" t="inlineStr">
        <is>
          <t>Open</t>
        </is>
      </c>
      <c r="L45" s="7" t="inlineStr">
        <is>
          <t>Transfer log TR-00058: move recorded, APR missing.</t>
        </is>
      </c>
      <c r="M45" s="7" t="inlineStr">
        <is>
          <t>Requires remediation</t>
        </is>
      </c>
    </row>
    <row r="46">
      <c r="A46" s="7" t="inlineStr">
        <is>
          <t>EX-0042</t>
        </is>
      </c>
      <c r="B46" s="7" t="inlineStr">
        <is>
          <t>Former Employee Assignment</t>
        </is>
      </c>
      <c r="C46" s="10" t="inlineStr">
        <is>
          <t>High</t>
        </is>
      </c>
      <c r="D46" s="7" t="inlineStr">
        <is>
          <t>MD-00059</t>
        </is>
      </c>
      <c r="E46" s="7" t="inlineStr">
        <is>
          <t>MD-MO-050059</t>
        </is>
      </c>
      <c r="F46" s="7" t="inlineStr">
        <is>
          <t>Employee:E0072; Ticket:OFF-00059; Transfer:TR-00059</t>
        </is>
      </c>
      <c r="G46" s="7" t="n">
        <v>847.35</v>
      </c>
      <c r="H46" s="7" t="inlineStr">
        <is>
          <t>Close people assignment on MD-00059; ticket OFF-00059.</t>
        </is>
      </c>
      <c r="I46" s="7" t="inlineStr">
        <is>
          <t>HR Operations Lead</t>
        </is>
      </c>
      <c r="J46" s="7" t="inlineStr">
        <is>
          <t>2026-08-16</t>
        </is>
      </c>
      <c r="K46" s="7" t="inlineStr">
        <is>
          <t>Open</t>
        </is>
      </c>
      <c r="L46" s="7" t="inlineStr">
        <is>
          <t>People extract vs register: MD-00059 retained leaver E0072. OFF-00059.</t>
        </is>
      </c>
      <c r="M46" s="7" t="inlineStr">
        <is>
          <t>Requires remediation</t>
        </is>
      </c>
    </row>
    <row r="47">
      <c r="A47" s="7" t="inlineStr">
        <is>
          <t>EX-0043</t>
        </is>
      </c>
      <c r="B47" s="7" t="inlineStr">
        <is>
          <t>Closed Location Assignment</t>
        </is>
      </c>
      <c r="C47" s="11" t="inlineStr">
        <is>
          <t>Medium</t>
        </is>
      </c>
      <c r="D47" s="7" t="inlineStr">
        <is>
          <t>MD-00059</t>
        </is>
      </c>
      <c r="E47" s="7" t="inlineStr">
        <is>
          <t>MD-MO-050059</t>
        </is>
      </c>
      <c r="F47" s="7" t="inlineStr">
        <is>
          <t>RegisterLocation:Denver - Closed; Transfer:TR-00059; VerifiedLocation:Seattle</t>
        </is>
      </c>
      <c r="G47" s="7" t="n">
        <v>847.35</v>
      </c>
      <c r="H47" s="7" t="inlineStr">
        <is>
          <t>Walkthrough finding EX-0043: MD-00059 still shows Denver - Closed. Correct to Seattle.</t>
        </is>
      </c>
      <c r="I47" s="7" t="inlineStr">
        <is>
          <t>IT Asset Specialist</t>
        </is>
      </c>
      <c r="J47" s="7" t="inlineStr">
        <is>
          <t>2026-08-19</t>
        </is>
      </c>
      <c r="K47" s="7" t="inlineStr">
        <is>
          <t>Open</t>
        </is>
      </c>
      <c r="L47" s="7" t="inlineStr">
        <is>
          <t>Seattle is the operating site; MD-00059 still lists Denver - Closed (EX-0043).</t>
        </is>
      </c>
      <c r="M47" s="7" t="inlineStr">
        <is>
          <t>Requires remediation</t>
        </is>
      </c>
    </row>
    <row r="48">
      <c r="A48" s="7" t="inlineStr">
        <is>
          <t>EX-0044</t>
        </is>
      </c>
      <c r="B48" s="7" t="inlineStr">
        <is>
          <t>Unapproved Transfer</t>
        </is>
      </c>
      <c r="C48" s="11" t="inlineStr">
        <is>
          <t>Medium</t>
        </is>
      </c>
      <c r="D48" s="7" t="inlineStr">
        <is>
          <t>MD-00059</t>
        </is>
      </c>
      <c r="E48" s="7" t="inlineStr">
        <is>
          <t>MD-MO-050059</t>
        </is>
      </c>
      <c r="F48" s="7" t="inlineStr">
        <is>
          <t>Transfer:TR-00059; Approval:missing</t>
        </is>
      </c>
      <c r="G48" s="7" t="n">
        <v>847.35</v>
      </c>
      <c r="H48" s="7" t="inlineStr">
        <is>
          <t>Approval missing on TR-00059. Retro sign-off or return MD-00059.</t>
        </is>
      </c>
      <c r="I48" s="7" t="inlineStr">
        <is>
          <t>IT Operations Manager</t>
        </is>
      </c>
      <c r="J48" s="7" t="inlineStr">
        <is>
          <t>2026-08-20</t>
        </is>
      </c>
      <c r="K48" s="7" t="inlineStr">
        <is>
          <t>Open</t>
        </is>
      </c>
      <c r="L48" s="7" t="inlineStr">
        <is>
          <t>§4 evidence gap - TR-00059 lacks approval for MD-00059.</t>
        </is>
      </c>
      <c r="M48" s="7" t="inlineStr">
        <is>
          <t>Requires remediation</t>
        </is>
      </c>
    </row>
    <row r="49">
      <c r="A49" s="7" t="inlineStr">
        <is>
          <t>EX-0045</t>
        </is>
      </c>
      <c r="B49" s="7" t="inlineStr">
        <is>
          <t>Former Employee Assignment</t>
        </is>
      </c>
      <c r="C49" s="10" t="inlineStr">
        <is>
          <t>High</t>
        </is>
      </c>
      <c r="D49" s="7" t="inlineStr">
        <is>
          <t>MD-00060</t>
        </is>
      </c>
      <c r="E49" s="7" t="inlineStr">
        <is>
          <t>MD-NE-050060</t>
        </is>
      </c>
      <c r="F49" s="7" t="inlineStr">
        <is>
          <t>Employee:E0073; Ticket:OFF-00060; Transfer:TR-00060</t>
        </is>
      </c>
      <c r="G49" s="7" t="n">
        <v>549.35</v>
      </c>
      <c r="H49" s="7" t="inlineStr">
        <is>
          <t>Assignment on MD-00060 survived HR term for E0073. Correct it.</t>
        </is>
      </c>
      <c r="I49" s="7" t="inlineStr">
        <is>
          <t>HR Operations Lead</t>
        </is>
      </c>
      <c r="J49" s="7" t="inlineStr">
        <is>
          <t>2026-08-16</t>
        </is>
      </c>
      <c r="K49" s="7" t="inlineStr">
        <is>
          <t>Open</t>
        </is>
      </c>
      <c r="L49" s="7" t="inlineStr">
        <is>
          <t>Register owner on MD-00060 is stale relative to HR for E0073 (EX-0045).</t>
        </is>
      </c>
      <c r="M49" s="7" t="inlineStr">
        <is>
          <t>Requires remediation</t>
        </is>
      </c>
    </row>
    <row r="50">
      <c r="A50" s="7" t="inlineStr">
        <is>
          <t>EX-0046</t>
        </is>
      </c>
      <c r="B50" s="7" t="inlineStr">
        <is>
          <t>Closed Location Assignment</t>
        </is>
      </c>
      <c r="C50" s="11" t="inlineStr">
        <is>
          <t>Medium</t>
        </is>
      </c>
      <c r="D50" s="7" t="inlineStr">
        <is>
          <t>MD-00060</t>
        </is>
      </c>
      <c r="E50" s="7" t="inlineStr">
        <is>
          <t>MD-NE-050060</t>
        </is>
      </c>
      <c r="F50" s="7" t="inlineStr">
        <is>
          <t>RegisterLocation:Chicago - Closed; Transfer:TR-00060; VerifiedLocation:Atlanta</t>
        </is>
      </c>
      <c r="G50" s="7" t="n">
        <v>549.35</v>
      </c>
      <c r="H50" s="7" t="inlineStr">
        <is>
          <t>Do not leave MD-00060 assigned to unused floor Chicago - Closed (EX-0046).</t>
        </is>
      </c>
      <c r="I50" s="7" t="inlineStr">
        <is>
          <t>IT Asset Specialist</t>
        </is>
      </c>
      <c r="J50" s="7" t="inlineStr">
        <is>
          <t>2026-08-19</t>
        </is>
      </c>
      <c r="K50" s="7" t="inlineStr">
        <is>
          <t>Open</t>
        </is>
      </c>
      <c r="L50" s="7" t="inlineStr">
        <is>
          <t>Location evidence for MD-00060: closed floor Chicago - Closed vs live Atlanta (EX-0046).</t>
        </is>
      </c>
      <c r="M50" s="7" t="inlineStr">
        <is>
          <t>Requires remediation</t>
        </is>
      </c>
    </row>
    <row r="51">
      <c r="A51" s="7" t="inlineStr">
        <is>
          <t>EX-0047</t>
        </is>
      </c>
      <c r="B51" s="7" t="inlineStr">
        <is>
          <t>Former Employee Assignment</t>
        </is>
      </c>
      <c r="C51" s="10" t="inlineStr">
        <is>
          <t>High</t>
        </is>
      </c>
      <c r="D51" s="7" t="inlineStr">
        <is>
          <t>MD-00061</t>
        </is>
      </c>
      <c r="E51" s="7" t="inlineStr">
        <is>
          <t>MD-LA-050061</t>
        </is>
      </c>
      <c r="F51" s="7" t="inlineStr">
        <is>
          <t>Employee:E0074; Ticket:OFF-00061; Transfer:TR-00061</t>
        </is>
      </c>
      <c r="G51" s="7" t="n">
        <v>0</v>
      </c>
      <c r="H51" s="7" t="inlineStr">
        <is>
          <t>HR Operations Lead: remove E0074 from MD-00061 and park the kit.</t>
        </is>
      </c>
      <c r="I51" s="7" t="inlineStr">
        <is>
          <t>HR Operations Lead</t>
        </is>
      </c>
      <c r="J51" s="7" t="inlineStr">
        <is>
          <t>2026-08-16</t>
        </is>
      </c>
      <c r="K51" s="7" t="inlineStr">
        <is>
          <t>Open</t>
        </is>
      </c>
      <c r="L51" s="7" t="inlineStr">
        <is>
          <t>Custodian mismatch MD-00061↔E0074 documented under EX-0047.</t>
        </is>
      </c>
      <c r="M51" s="7" t="inlineStr">
        <is>
          <t>Requires remediation</t>
        </is>
      </c>
    </row>
    <row r="52">
      <c r="A52" s="7" t="inlineStr">
        <is>
          <t>EX-0048</t>
        </is>
      </c>
      <c r="B52" s="7" t="inlineStr">
        <is>
          <t>Closed Location Assignment</t>
        </is>
      </c>
      <c r="C52" s="11" t="inlineStr">
        <is>
          <t>Medium</t>
        </is>
      </c>
      <c r="D52" s="7" t="inlineStr">
        <is>
          <t>MD-00061</t>
        </is>
      </c>
      <c r="E52" s="7" t="inlineStr">
        <is>
          <t>MD-LA-050061</t>
        </is>
      </c>
      <c r="F52" s="7" t="inlineStr">
        <is>
          <t>RegisterLocation:Denver - Closed; Transfer:TR-00061; VerifiedLocation:Chicago</t>
        </is>
      </c>
      <c r="G52" s="7" t="n">
        <v>0</v>
      </c>
      <c r="H52" s="7" t="inlineStr">
        <is>
          <t>Fix MD-00061: register site Denver - Closed conflicts with current ops at Chicago (EX-0048).</t>
        </is>
      </c>
      <c r="I52" s="7" t="inlineStr">
        <is>
          <t>IT Asset Specialist</t>
        </is>
      </c>
      <c r="J52" s="7" t="inlineStr">
        <is>
          <t>2026-08-19</t>
        </is>
      </c>
      <c r="K52" s="7" t="inlineStr">
        <is>
          <t>Open</t>
        </is>
      </c>
      <c r="L52" s="7" t="inlineStr">
        <is>
          <t>Finding EX-0048: MD-00061 location stale at Denver - Closed; prefer Chicago.</t>
        </is>
      </c>
      <c r="M52" s="7" t="inlineStr">
        <is>
          <t>Requires remediation</t>
        </is>
      </c>
    </row>
    <row r="53">
      <c r="A53" s="7" t="inlineStr">
        <is>
          <t>EX-0049</t>
        </is>
      </c>
      <c r="B53" s="7" t="inlineStr">
        <is>
          <t>Former Employee Assignment</t>
        </is>
      </c>
      <c r="C53" s="10" t="inlineStr">
        <is>
          <t>High</t>
        </is>
      </c>
      <c r="D53" s="7" t="inlineStr">
        <is>
          <t>MD-00062</t>
        </is>
      </c>
      <c r="E53" s="7" t="inlineStr">
        <is>
          <t>MD-MO-050062</t>
        </is>
      </c>
      <c r="F53" s="7" t="inlineStr">
        <is>
          <t>Employee:E0075; Ticket:OFF-00062; Transfer:TR-00062</t>
        </is>
      </c>
      <c r="G53" s="7" t="n">
        <v>410.63</v>
      </c>
      <c r="H53" s="7" t="inlineStr">
        <is>
          <t>Recover or write-off later; first take E0075 off MD-00062.</t>
        </is>
      </c>
      <c r="I53" s="7" t="inlineStr">
        <is>
          <t>HR Operations Lead</t>
        </is>
      </c>
      <c r="J53" s="7" t="inlineStr">
        <is>
          <t>2026-08-16</t>
        </is>
      </c>
      <c r="K53" s="7" t="inlineStr">
        <is>
          <t>Open</t>
        </is>
      </c>
      <c r="L53" s="7" t="inlineStr">
        <is>
          <t>MD-00062 should have moved off E0075 when HR flipped status (EX-0049).</t>
        </is>
      </c>
      <c r="M53" s="7" t="inlineStr">
        <is>
          <t>Requires remediation</t>
        </is>
      </c>
    </row>
    <row r="54">
      <c r="A54" s="7" t="inlineStr">
        <is>
          <t>EX-0050</t>
        </is>
      </c>
      <c r="B54" s="7" t="inlineStr">
        <is>
          <t>Closed Location Assignment</t>
        </is>
      </c>
      <c r="C54" s="11" t="inlineStr">
        <is>
          <t>Medium</t>
        </is>
      </c>
      <c r="D54" s="7" t="inlineStr">
        <is>
          <t>MD-00062</t>
        </is>
      </c>
      <c r="E54" s="7" t="inlineStr">
        <is>
          <t>MD-MO-050062</t>
        </is>
      </c>
      <c r="F54" s="7" t="inlineStr">
        <is>
          <t>RegisterLocation:Chicago - Closed; Transfer:TR-00062; VerifiedLocation:Dallas</t>
        </is>
      </c>
      <c r="G54" s="7" t="n">
        <v>410.63</v>
      </c>
      <c r="H54" s="7" t="inlineStr">
        <is>
          <t>MD-00062 / Chicago - Closed is a consolidation leftover - move to Dallas (EX-0050).</t>
        </is>
      </c>
      <c r="I54" s="7" t="inlineStr">
        <is>
          <t>IT Asset Specialist</t>
        </is>
      </c>
      <c r="J54" s="7" t="inlineStr">
        <is>
          <t>2026-08-19</t>
        </is>
      </c>
      <c r="K54" s="7" t="inlineStr">
        <is>
          <t>Open</t>
        </is>
      </c>
      <c r="L54" s="7" t="inlineStr">
        <is>
          <t>Walked register vs HR/transfer: MD-00062 still says Chicago - Closed (EX-0050).</t>
        </is>
      </c>
      <c r="M54" s="7" t="inlineStr">
        <is>
          <t>Requires remediation</t>
        </is>
      </c>
    </row>
    <row r="55">
      <c r="A55" s="7" t="inlineStr">
        <is>
          <t>EX-0051</t>
        </is>
      </c>
      <c r="B55" s="7" t="inlineStr">
        <is>
          <t>Former Employee Assignment</t>
        </is>
      </c>
      <c r="C55" s="10" t="inlineStr">
        <is>
          <t>High</t>
        </is>
      </c>
      <c r="D55" s="7" t="inlineStr">
        <is>
          <t>MD-00063</t>
        </is>
      </c>
      <c r="E55" s="7" t="inlineStr">
        <is>
          <t>MD-MO-050063</t>
        </is>
      </c>
      <c r="F55" s="7" t="inlineStr">
        <is>
          <t>Employee:E0076; Ticket:OFF-00063; Transfer:TR-00063</t>
        </is>
      </c>
      <c r="G55" s="7" t="n">
        <v>533.85</v>
      </c>
      <c r="H55" s="7" t="inlineStr">
        <is>
          <t>Assignment on MD-00063 survived HR term for E0076. Correct it.</t>
        </is>
      </c>
      <c r="I55" s="7" t="inlineStr">
        <is>
          <t>HR Operations Lead</t>
        </is>
      </c>
      <c r="J55" s="7" t="inlineStr">
        <is>
          <t>2026-08-16</t>
        </is>
      </c>
      <c r="K55" s="7" t="inlineStr">
        <is>
          <t>Open</t>
        </is>
      </c>
      <c r="L55" s="7" t="inlineStr">
        <is>
          <t>MD-00063 should have moved off E0076 when HR flipped status (EX-0051).</t>
        </is>
      </c>
      <c r="M55" s="7" t="inlineStr">
        <is>
          <t>Requires remediation</t>
        </is>
      </c>
    </row>
    <row r="56">
      <c r="A56" s="7" t="inlineStr">
        <is>
          <t>EX-0052</t>
        </is>
      </c>
      <c r="B56" s="7" t="inlineStr">
        <is>
          <t>Closed Location Assignment</t>
        </is>
      </c>
      <c r="C56" s="11" t="inlineStr">
        <is>
          <t>Medium</t>
        </is>
      </c>
      <c r="D56" s="7" t="inlineStr">
        <is>
          <t>MD-00063</t>
        </is>
      </c>
      <c r="E56" s="7" t="inlineStr">
        <is>
          <t>MD-MO-050063</t>
        </is>
      </c>
      <c r="F56" s="7" t="inlineStr">
        <is>
          <t>RegisterLocation:Denver - Closed; Transfer:TR-00063; VerifiedLocation:Denver</t>
        </is>
      </c>
      <c r="G56" s="7" t="n">
        <v>533.85</v>
      </c>
      <c r="H56" s="7" t="inlineStr">
        <is>
          <t>Location on MD-00063 must reflect Denver after the site close (EX-0052).</t>
        </is>
      </c>
      <c r="I56" s="7" t="inlineStr">
        <is>
          <t>IT Asset Specialist</t>
        </is>
      </c>
      <c r="J56" s="7" t="inlineStr">
        <is>
          <t>2026-08-19</t>
        </is>
      </c>
      <c r="K56" s="7" t="inlineStr">
        <is>
          <t>Open</t>
        </is>
      </c>
      <c r="L56" s="7" t="inlineStr">
        <is>
          <t>Inventory row for MD-00063 lagged after site close (Denver - Closed, EX-0052).</t>
        </is>
      </c>
      <c r="M56" s="7" t="inlineStr">
        <is>
          <t>Requires remediation</t>
        </is>
      </c>
    </row>
    <row r="57">
      <c r="A57" s="7" t="inlineStr">
        <is>
          <t>EX-0053</t>
        </is>
      </c>
      <c r="B57" s="7" t="inlineStr">
        <is>
          <t>Former Employee Assignment</t>
        </is>
      </c>
      <c r="C57" s="10" t="inlineStr">
        <is>
          <t>High</t>
        </is>
      </c>
      <c r="D57" s="7" t="inlineStr">
        <is>
          <t>MD-00064</t>
        </is>
      </c>
      <c r="E57" s="7" t="inlineStr">
        <is>
          <t>MD-NE-050064</t>
        </is>
      </c>
      <c r="F57" s="7" t="inlineStr">
        <is>
          <t>Employee:E0077; Ticket:OFF-00064; Transfer:TR-00064</t>
        </is>
      </c>
      <c r="G57" s="7" t="n">
        <v>961.76</v>
      </c>
      <c r="H57" s="7" t="inlineStr">
        <is>
          <t>HR shows E0077 gone - remove as custodian on MD-00064 (OFF-00064).</t>
        </is>
      </c>
      <c r="I57" s="7" t="inlineStr">
        <is>
          <t>HR Operations Lead</t>
        </is>
      </c>
      <c r="J57" s="7" t="inlineStr">
        <is>
          <t>2026-08-16</t>
        </is>
      </c>
      <c r="K57" s="7" t="inlineStr">
        <is>
          <t>Open</t>
        </is>
      </c>
      <c r="L57" s="7" t="inlineStr">
        <is>
          <t>Offboarding closed for E0077; asset row did not follow for MD-00064 (EX-0053).</t>
        </is>
      </c>
      <c r="M57" s="7" t="inlineStr">
        <is>
          <t>Requires remediation</t>
        </is>
      </c>
    </row>
    <row r="58">
      <c r="A58" s="7" t="inlineStr">
        <is>
          <t>EX-0054</t>
        </is>
      </c>
      <c r="B58" s="7" t="inlineStr">
        <is>
          <t>Closed Location Assignment</t>
        </is>
      </c>
      <c r="C58" s="11" t="inlineStr">
        <is>
          <t>Medium</t>
        </is>
      </c>
      <c r="D58" s="7" t="inlineStr">
        <is>
          <t>MD-00064</t>
        </is>
      </c>
      <c r="E58" s="7" t="inlineStr">
        <is>
          <t>MD-NE-050064</t>
        </is>
      </c>
      <c r="F58" s="7" t="inlineStr">
        <is>
          <t>RegisterLocation:Chicago - Closed; Transfer:TR-00064; VerifiedLocation:New York</t>
        </is>
      </c>
      <c r="G58" s="7" t="n">
        <v>961.76</v>
      </c>
      <c r="H58" s="7" t="inlineStr">
        <is>
          <t>Chicago - Closed is no longer occupied. Park MD-00064 at New York on the register (EX-0054).</t>
        </is>
      </c>
      <c r="I58" s="7" t="inlineStr">
        <is>
          <t>IT Asset Specialist</t>
        </is>
      </c>
      <c r="J58" s="7" t="inlineStr">
        <is>
          <t>2026-08-19</t>
        </is>
      </c>
      <c r="K58" s="7" t="inlineStr">
        <is>
          <t>Open</t>
        </is>
      </c>
      <c r="L58" s="7" t="inlineStr">
        <is>
          <t>Register still codes MD-00064 to Chicago - Closed; TR-00064 points to New York (EX-0054).</t>
        </is>
      </c>
      <c r="M58" s="7" t="inlineStr">
        <is>
          <t>Requires remediation</t>
        </is>
      </c>
    </row>
    <row r="59">
      <c r="A59" s="7" t="inlineStr">
        <is>
          <t>EX-0055</t>
        </is>
      </c>
      <c r="B59" s="7" t="inlineStr">
        <is>
          <t>Unapproved Transfer</t>
        </is>
      </c>
      <c r="C59" s="11" t="inlineStr">
        <is>
          <t>Medium</t>
        </is>
      </c>
      <c r="D59" s="7" t="inlineStr">
        <is>
          <t>MD-00064</t>
        </is>
      </c>
      <c r="E59" s="7" t="inlineStr">
        <is>
          <t>MD-NE-050064</t>
        </is>
      </c>
      <c r="F59" s="7" t="inlineStr">
        <is>
          <t>Transfer:TR-00064; Approval:missing</t>
        </is>
      </c>
      <c r="G59" s="7" t="n">
        <v>961.76</v>
      </c>
      <c r="H59" s="7" t="inlineStr">
        <is>
          <t>Either approve TR-00064 after the fact or put MD-00064 back.</t>
        </is>
      </c>
      <c r="I59" s="7" t="inlineStr">
        <is>
          <t>IT Operations Manager</t>
        </is>
      </c>
      <c r="J59" s="7" t="inlineStr">
        <is>
          <t>2026-08-20</t>
        </is>
      </c>
      <c r="K59" s="7" t="inlineStr">
        <is>
          <t>Open</t>
        </is>
      </c>
      <c r="L59" s="7" t="inlineStr">
        <is>
          <t>TR-00064 shows blank approval_id for MD-00064.</t>
        </is>
      </c>
      <c r="M59" s="7" t="inlineStr">
        <is>
          <t>Requires remediation</t>
        </is>
      </c>
    </row>
    <row r="60">
      <c r="A60" s="7" t="inlineStr">
        <is>
          <t>EX-0056</t>
        </is>
      </c>
      <c r="B60" s="7" t="inlineStr">
        <is>
          <t>Former Employee Assignment</t>
        </is>
      </c>
      <c r="C60" s="10" t="inlineStr">
        <is>
          <t>High</t>
        </is>
      </c>
      <c r="D60" s="7" t="inlineStr">
        <is>
          <t>MD-00065</t>
        </is>
      </c>
      <c r="E60" s="7" t="inlineStr">
        <is>
          <t>MD-LA-050065</t>
        </is>
      </c>
      <c r="F60" s="7" t="inlineStr">
        <is>
          <t>Employee:E0078; Ticket:OFF-00065; Transfer:TR-00065</t>
        </is>
      </c>
      <c r="G60" s="7" t="n">
        <v>0</v>
      </c>
      <c r="H60" s="7" t="inlineStr">
        <is>
          <t>People side closed via OFF-00065; asset row still lists E0078. Fix custodian.</t>
        </is>
      </c>
      <c r="I60" s="7" t="inlineStr">
        <is>
          <t>HR Operations Lead</t>
        </is>
      </c>
      <c r="J60" s="7" t="inlineStr">
        <is>
          <t>2026-08-16</t>
        </is>
      </c>
      <c r="K60" s="7" t="inlineStr">
        <is>
          <t>Open</t>
        </is>
      </c>
      <c r="L60" s="7" t="inlineStr">
        <is>
          <t>MD-00065 custodian equals terminated ID E0078 - EX-0056.</t>
        </is>
      </c>
      <c r="M60" s="7" t="inlineStr">
        <is>
          <t>Requires remediation</t>
        </is>
      </c>
    </row>
    <row r="61">
      <c r="A61" s="7" t="inlineStr">
        <is>
          <t>EX-0057</t>
        </is>
      </c>
      <c r="B61" s="7" t="inlineStr">
        <is>
          <t>Closed Location Assignment</t>
        </is>
      </c>
      <c r="C61" s="11" t="inlineStr">
        <is>
          <t>Medium</t>
        </is>
      </c>
      <c r="D61" s="7" t="inlineStr">
        <is>
          <t>MD-00065</t>
        </is>
      </c>
      <c r="E61" s="7" t="inlineStr">
        <is>
          <t>MD-LA-050065</t>
        </is>
      </c>
      <c r="F61" s="7" t="inlineStr">
        <is>
          <t>RegisterLocation:Denver - Closed; Transfer:TR-00065; VerifiedLocation:Seattle</t>
        </is>
      </c>
      <c r="G61" s="7" t="n">
        <v>0</v>
      </c>
      <c r="H61" s="7" t="inlineStr">
        <is>
          <t>MD-00065 cannot remain on shuttered floor Denver - Closed. Set location to Seattle (EX-0057).</t>
        </is>
      </c>
      <c r="I61" s="7" t="inlineStr">
        <is>
          <t>IT Asset Specialist</t>
        </is>
      </c>
      <c r="J61" s="7" t="inlineStr">
        <is>
          <t>2026-08-19</t>
        </is>
      </c>
      <c r="K61" s="7" t="inlineStr">
        <is>
          <t>Open</t>
        </is>
      </c>
      <c r="L61" s="7" t="inlineStr">
        <is>
          <t>Location on MD-00065 is consolidation debt (Denver - Closed, EX-0057).</t>
        </is>
      </c>
      <c r="M61" s="7" t="inlineStr">
        <is>
          <t>Requires remediation</t>
        </is>
      </c>
    </row>
    <row r="62">
      <c r="A62" s="7" t="inlineStr">
        <is>
          <t>EX-0058</t>
        </is>
      </c>
      <c r="B62" s="7" t="inlineStr">
        <is>
          <t>Unapproved Transfer</t>
        </is>
      </c>
      <c r="C62" s="11" t="inlineStr">
        <is>
          <t>Medium</t>
        </is>
      </c>
      <c r="D62" s="7" t="inlineStr">
        <is>
          <t>MD-00065</t>
        </is>
      </c>
      <c r="E62" s="7" t="inlineStr">
        <is>
          <t>MD-LA-050065</t>
        </is>
      </c>
      <c r="F62" s="7" t="inlineStr">
        <is>
          <t>Transfer:TR-00065; Approval:missing</t>
        </is>
      </c>
      <c r="G62" s="7" t="n">
        <v>0</v>
      </c>
      <c r="H62" s="7" t="inlineStr">
        <is>
          <t>Either approve TR-00065 after the fact or put MD-00065 back.</t>
        </is>
      </c>
      <c r="I62" s="7" t="inlineStr">
        <is>
          <t>IT Operations Manager</t>
        </is>
      </c>
      <c r="J62" s="7" t="inlineStr">
        <is>
          <t>2026-08-20</t>
        </is>
      </c>
      <c r="K62" s="7" t="inlineStr">
        <is>
          <t>Open</t>
        </is>
      </c>
      <c r="L62" s="7" t="inlineStr">
        <is>
          <t>Transfer log TR-00065: move recorded, APR missing.</t>
        </is>
      </c>
      <c r="M62" s="7" t="inlineStr">
        <is>
          <t>Requires remediation</t>
        </is>
      </c>
    </row>
    <row r="63">
      <c r="A63" s="7" t="inlineStr">
        <is>
          <t>EX-0059</t>
        </is>
      </c>
      <c r="B63" s="7" t="inlineStr">
        <is>
          <t>Former Employee Assignment</t>
        </is>
      </c>
      <c r="C63" s="10" t="inlineStr">
        <is>
          <t>High</t>
        </is>
      </c>
      <c r="D63" s="7" t="inlineStr">
        <is>
          <t>MD-00066</t>
        </is>
      </c>
      <c r="E63" s="7" t="inlineStr">
        <is>
          <t>MD-MO-050066</t>
        </is>
      </c>
      <c r="F63" s="7" t="inlineStr">
        <is>
          <t>Employee:E0079; Ticket:OFF-00066; Transfer:TR-00066</t>
        </is>
      </c>
      <c r="G63" s="7" t="n">
        <v>385.65</v>
      </c>
      <c r="H63" s="7" t="inlineStr">
        <is>
          <t>HR Operations Lead: remove E0079 from MD-00066 and park the kit.</t>
        </is>
      </c>
      <c r="I63" s="7" t="inlineStr">
        <is>
          <t>HR Operations Lead</t>
        </is>
      </c>
      <c r="J63" s="7" t="inlineStr">
        <is>
          <t>2026-08-16</t>
        </is>
      </c>
      <c r="K63" s="7" t="inlineStr">
        <is>
          <t>Open</t>
        </is>
      </c>
      <c r="L63" s="7" t="inlineStr">
        <is>
          <t>E0079 is separated in hr_employee_status; MD-00066 still points to them (EX-0059).</t>
        </is>
      </c>
      <c r="M63" s="7" t="inlineStr">
        <is>
          <t>Requires remediation</t>
        </is>
      </c>
    </row>
    <row r="64">
      <c r="A64" s="7" t="inlineStr">
        <is>
          <t>EX-0060</t>
        </is>
      </c>
      <c r="B64" s="7" t="inlineStr">
        <is>
          <t>Closed Location Assignment</t>
        </is>
      </c>
      <c r="C64" s="11" t="inlineStr">
        <is>
          <t>Medium</t>
        </is>
      </c>
      <c r="D64" s="7" t="inlineStr">
        <is>
          <t>MD-00066</t>
        </is>
      </c>
      <c r="E64" s="7" t="inlineStr">
        <is>
          <t>MD-MO-050066</t>
        </is>
      </c>
      <c r="F64" s="7" t="inlineStr">
        <is>
          <t>RegisterLocation:Chicago - Closed; Transfer:TR-00066; VerifiedLocation:Atlanta</t>
        </is>
      </c>
      <c r="G64" s="7" t="n">
        <v>385.65</v>
      </c>
      <c r="H64" s="7" t="inlineStr">
        <is>
          <t>Remove closed-site coding on MD-00066 (Chicago - Closed → Atlanta, EX-0060).</t>
        </is>
      </c>
      <c r="I64" s="7" t="inlineStr">
        <is>
          <t>IT Asset Specialist</t>
        </is>
      </c>
      <c r="J64" s="7" t="inlineStr">
        <is>
          <t>2026-08-19</t>
        </is>
      </c>
      <c r="K64" s="7" t="inlineStr">
        <is>
          <t>Open</t>
        </is>
      </c>
      <c r="L64" s="7" t="inlineStr">
        <is>
          <t>Atlanta is the operating site; MD-00066 still lists Chicago - Closed (EX-0060).</t>
        </is>
      </c>
      <c r="M64" s="7" t="inlineStr">
        <is>
          <t>Requires remediation</t>
        </is>
      </c>
    </row>
    <row r="65">
      <c r="A65" s="7" t="inlineStr">
        <is>
          <t>EX-0061</t>
        </is>
      </c>
      <c r="B65" s="7" t="inlineStr">
        <is>
          <t>Former Employee Assignment</t>
        </is>
      </c>
      <c r="C65" s="10" t="inlineStr">
        <is>
          <t>High</t>
        </is>
      </c>
      <c r="D65" s="7" t="inlineStr">
        <is>
          <t>MD-00067</t>
        </is>
      </c>
      <c r="E65" s="7" t="inlineStr">
        <is>
          <t>MD-MO-050067</t>
        </is>
      </c>
      <c r="F65" s="7" t="inlineStr">
        <is>
          <t>Employee:E0080; Ticket:OFF-00067; Transfer:TR-00067</t>
        </is>
      </c>
      <c r="G65" s="7" t="n">
        <v>764.9299999999999</v>
      </c>
      <c r="H65" s="7" t="inlineStr">
        <is>
          <t>Term cleanup - MD-00067 should not remain with E0080.</t>
        </is>
      </c>
      <c r="I65" s="7" t="inlineStr">
        <is>
          <t>HR Operations Lead</t>
        </is>
      </c>
      <c r="J65" s="7" t="inlineStr">
        <is>
          <t>2026-08-16</t>
        </is>
      </c>
      <c r="K65" s="7" t="inlineStr">
        <is>
          <t>Open</t>
        </is>
      </c>
      <c r="L65" s="7" t="inlineStr">
        <is>
          <t>Evidence for EX-0061: register kept E0080 on MD-00067 post-separation.</t>
        </is>
      </c>
      <c r="M65" s="7" t="inlineStr">
        <is>
          <t>Requires remediation</t>
        </is>
      </c>
    </row>
    <row r="66">
      <c r="A66" s="7" t="inlineStr">
        <is>
          <t>EX-0062</t>
        </is>
      </c>
      <c r="B66" s="7" t="inlineStr">
        <is>
          <t>Closed Location Assignment</t>
        </is>
      </c>
      <c r="C66" s="11" t="inlineStr">
        <is>
          <t>Medium</t>
        </is>
      </c>
      <c r="D66" s="7" t="inlineStr">
        <is>
          <t>MD-00067</t>
        </is>
      </c>
      <c r="E66" s="7" t="inlineStr">
        <is>
          <t>MD-MO-050067</t>
        </is>
      </c>
      <c r="F66" s="7" t="inlineStr">
        <is>
          <t>RegisterLocation:Denver - Closed; Transfer:TR-00067; VerifiedLocation:Chicago</t>
        </is>
      </c>
      <c r="G66" s="7" t="n">
        <v>764.9299999999999</v>
      </c>
      <c r="H66" s="7" t="inlineStr">
        <is>
          <t>IT Asset Specialist: recode MD-00067 off Denver - Closed; Chicago is the live office per TR-00067 (EX-0062).</t>
        </is>
      </c>
      <c r="I66" s="7" t="inlineStr">
        <is>
          <t>IT Asset Specialist</t>
        </is>
      </c>
      <c r="J66" s="7" t="inlineStr">
        <is>
          <t>2026-08-19</t>
        </is>
      </c>
      <c r="K66" s="7" t="inlineStr">
        <is>
          <t>Open</t>
        </is>
      </c>
      <c r="L66" s="7" t="inlineStr">
        <is>
          <t>Consolidation left MD-00067 @ Denver - Closed; ops now use Chicago (EX-0062).</t>
        </is>
      </c>
      <c r="M66" s="7" t="inlineStr">
        <is>
          <t>Requires remediation</t>
        </is>
      </c>
    </row>
    <row r="67">
      <c r="A67" s="7" t="inlineStr">
        <is>
          <t>EX-0063</t>
        </is>
      </c>
      <c r="B67" s="7" t="inlineStr">
        <is>
          <t>Overdue Return</t>
        </is>
      </c>
      <c r="C67" s="8" t="inlineStr">
        <is>
          <t>Critical</t>
        </is>
      </c>
      <c r="D67" s="7" t="inlineStr">
        <is>
          <t>MD-00068</t>
        </is>
      </c>
      <c r="E67" s="7" t="inlineStr">
        <is>
          <t>MD-NE-050068</t>
        </is>
      </c>
      <c r="F67" s="7" t="inlineStr">
        <is>
          <t>Ticket:OFF-00068; Tracking:1ZMD00000068; ReturnDue:2026-07-15</t>
        </is>
      </c>
      <c r="G67" s="7" t="n">
        <v>1436.28</v>
      </c>
      <c r="H67" s="7" t="inlineStr">
        <is>
          <t>Chase MD-00068: carrier file empty despite 1ZMD00000068.</t>
        </is>
      </c>
      <c r="I67" s="7" t="inlineStr">
        <is>
          <t>IT Asset Specialist</t>
        </is>
      </c>
      <c r="J67" s="7" t="inlineStr">
        <is>
          <t>2026-08-14</t>
        </is>
      </c>
      <c r="K67" s="7" t="inlineStr">
        <is>
          <t>Open</t>
        </is>
      </c>
      <c r="L67" s="7" t="inlineStr">
        <is>
          <t>Label 1ZMD00000068 printed; no SCAN-86 for MD-00068.</t>
        </is>
      </c>
      <c r="M67" s="12" t="inlineStr">
        <is>
          <t>Blocks certification</t>
        </is>
      </c>
    </row>
    <row r="68">
      <c r="A68" s="7" t="inlineStr">
        <is>
          <t>EX-0064</t>
        </is>
      </c>
      <c r="B68" s="7" t="inlineStr">
        <is>
          <t>Former Employee Assignment</t>
        </is>
      </c>
      <c r="C68" s="10" t="inlineStr">
        <is>
          <t>High</t>
        </is>
      </c>
      <c r="D68" s="7" t="inlineStr">
        <is>
          <t>MD-00068</t>
        </is>
      </c>
      <c r="E68" s="7" t="inlineStr">
        <is>
          <t>MD-NE-050068</t>
        </is>
      </c>
      <c r="F68" s="7" t="inlineStr">
        <is>
          <t>Employee:E0081; Ticket:OFF-00068</t>
        </is>
      </c>
      <c r="G68" s="7" t="n">
        <v>1436.28</v>
      </c>
      <c r="H68" s="7" t="inlineStr">
        <is>
          <t>OFF-00068 closed people; MD-00068 still shows the leaver.</t>
        </is>
      </c>
      <c r="I68" s="7" t="inlineStr">
        <is>
          <t>HR Operations Lead</t>
        </is>
      </c>
      <c r="J68" s="7" t="inlineStr">
        <is>
          <t>2026-08-16</t>
        </is>
      </c>
      <c r="K68" s="7" t="inlineStr">
        <is>
          <t>Open</t>
        </is>
      </c>
      <c r="L68" s="7" t="inlineStr">
        <is>
          <t>HR status for E0081 and register assignment on MD-00068 disagree (EX-0064).</t>
        </is>
      </c>
      <c r="M68" s="7" t="inlineStr">
        <is>
          <t>Requires remediation</t>
        </is>
      </c>
    </row>
    <row r="69">
      <c r="A69" s="7" t="inlineStr">
        <is>
          <t>EX-0065</t>
        </is>
      </c>
      <c r="B69" s="7" t="inlineStr">
        <is>
          <t>Inventory-to-Ledger Difference</t>
        </is>
      </c>
      <c r="C69" s="10" t="inlineStr">
        <is>
          <t>High</t>
        </is>
      </c>
      <c r="D69" s="7" t="inlineStr">
        <is>
          <t>MD-00068</t>
        </is>
      </c>
      <c r="E69" s="7" t="inlineStr">
        <is>
          <t>MD-NE-050068</t>
        </is>
      </c>
      <c r="F69" s="7" t="inlineStr">
        <is>
          <t>Ledger:FA-000068; PO:PO-2025-0012; RegisterCost:6425.0; LedgerCost:6480.0</t>
        </is>
      </c>
      <c r="G69" s="7" t="n">
        <v>55</v>
      </c>
      <c r="H69" s="7" t="inlineStr">
        <is>
          <t>Close the $6425.0/6480.0 gap on MD-00068 before cert.</t>
        </is>
      </c>
      <c r="I69" s="7" t="inlineStr">
        <is>
          <t>Finance Controller</t>
        </is>
      </c>
      <c r="J69" s="7" t="inlineStr">
        <is>
          <t>2026-08-21</t>
        </is>
      </c>
      <c r="K69" s="7" t="inlineStr">
        <is>
          <t>Open</t>
        </is>
      </c>
      <c r="L69" s="7" t="inlineStr">
        <is>
          <t>Register cost $6425.0 vs ledger 6480.0 on FA-000068 for MD-00068.</t>
        </is>
      </c>
      <c r="M69" s="7" t="inlineStr">
        <is>
          <t>Requires remediation</t>
        </is>
      </c>
    </row>
    <row r="70">
      <c r="A70" s="7" t="inlineStr">
        <is>
          <t>EX-0066</t>
        </is>
      </c>
      <c r="B70" s="7" t="inlineStr">
        <is>
          <t>Overdue Return</t>
        </is>
      </c>
      <c r="C70" s="8" t="inlineStr">
        <is>
          <t>Critical</t>
        </is>
      </c>
      <c r="D70" s="7" t="inlineStr">
        <is>
          <t>MD-00069</t>
        </is>
      </c>
      <c r="E70" s="7" t="inlineStr">
        <is>
          <t>MD-LA-050069</t>
        </is>
      </c>
      <c r="F70" s="7" t="inlineStr">
        <is>
          <t>Ticket:OFF-00069; Tracking:1ZMD00000069; ReturnDue:2026-07-15</t>
        </is>
      </c>
      <c r="G70" s="7" t="n">
        <v>142.69</v>
      </c>
      <c r="H70" s="7" t="inlineStr">
        <is>
          <t>Outstanding kit MD-00069 / 1ZMD00000069 - escalate beyond label print.</t>
        </is>
      </c>
      <c r="I70" s="7" t="inlineStr">
        <is>
          <t>IT Asset Specialist</t>
        </is>
      </c>
      <c r="J70" s="7" t="inlineStr">
        <is>
          <t>2026-08-14</t>
        </is>
      </c>
      <c r="K70" s="7" t="inlineStr">
        <is>
          <t>Open</t>
        </is>
      </c>
      <c r="L70" s="7" t="inlineStr">
        <is>
          <t>Overdue evidence is absence of inbound events on 1ZMD00000069.</t>
        </is>
      </c>
      <c r="M70" s="12" t="inlineStr">
        <is>
          <t>Blocks certification</t>
        </is>
      </c>
    </row>
    <row r="71">
      <c r="A71" s="7" t="inlineStr">
        <is>
          <t>EX-0067</t>
        </is>
      </c>
      <c r="B71" s="7" t="inlineStr">
        <is>
          <t>Former Employee Assignment</t>
        </is>
      </c>
      <c r="C71" s="10" t="inlineStr">
        <is>
          <t>High</t>
        </is>
      </c>
      <c r="D71" s="7" t="inlineStr">
        <is>
          <t>MD-00069</t>
        </is>
      </c>
      <c r="E71" s="7" t="inlineStr">
        <is>
          <t>MD-LA-050069</t>
        </is>
      </c>
      <c r="F71" s="7" t="inlineStr">
        <is>
          <t>Employee:E0082; Ticket:OFF-00069</t>
        </is>
      </c>
      <c r="G71" s="7" t="n">
        <v>142.69</v>
      </c>
      <c r="H71" s="7" t="inlineStr">
        <is>
          <t>Stock or Regional IT must replace E0082 on MD-00069.</t>
        </is>
      </c>
      <c r="I71" s="7" t="inlineStr">
        <is>
          <t>HR Operations Lead</t>
        </is>
      </c>
      <c r="J71" s="7" t="inlineStr">
        <is>
          <t>2026-08-16</t>
        </is>
      </c>
      <c r="K71" s="7" t="inlineStr">
        <is>
          <t>Open</t>
        </is>
      </c>
      <c r="L71" s="7" t="inlineStr">
        <is>
          <t>HR status for E0082 and register assignment on MD-00069 disagree (EX-0067).</t>
        </is>
      </c>
      <c r="M71" s="7" t="inlineStr">
        <is>
          <t>Requires remediation</t>
        </is>
      </c>
    </row>
    <row r="72">
      <c r="A72" s="7" t="inlineStr">
        <is>
          <t>EX-0068</t>
        </is>
      </c>
      <c r="B72" s="7" t="inlineStr">
        <is>
          <t>Overdue Return</t>
        </is>
      </c>
      <c r="C72" s="8" t="inlineStr">
        <is>
          <t>Critical</t>
        </is>
      </c>
      <c r="D72" s="7" t="inlineStr">
        <is>
          <t>MD-00070</t>
        </is>
      </c>
      <c r="E72" s="7" t="inlineStr">
        <is>
          <t>MD-MO-050070</t>
        </is>
      </c>
      <c r="F72" s="7" t="inlineStr">
        <is>
          <t>Ticket:OFF-00070; Tracking:1ZMD00000070; ReturnDue:2026-07-15</t>
        </is>
      </c>
      <c r="G72" s="7" t="n">
        <v>342.32</v>
      </c>
      <c r="H72" s="7" t="inlineStr">
        <is>
          <t>Do not mark Available; MD-00070 never docked after 1ZMD00000070.</t>
        </is>
      </c>
      <c r="I72" s="7" t="inlineStr">
        <is>
          <t>IT Asset Specialist</t>
        </is>
      </c>
      <c r="J72" s="7" t="inlineStr">
        <is>
          <t>2026-08-14</t>
        </is>
      </c>
      <c r="K72" s="7" t="inlineStr">
        <is>
          <t>Open</t>
        </is>
      </c>
      <c r="L72" s="7" t="inlineStr">
        <is>
          <t>Carrier never accepted 1ZMD00000070; MD-00070 still outstanding.</t>
        </is>
      </c>
      <c r="M72" s="12" t="inlineStr">
        <is>
          <t>Blocks certification</t>
        </is>
      </c>
    </row>
    <row r="73">
      <c r="A73" s="7" t="inlineStr">
        <is>
          <t>EX-0069</t>
        </is>
      </c>
      <c r="B73" s="7" t="inlineStr">
        <is>
          <t>Former Employee Assignment</t>
        </is>
      </c>
      <c r="C73" s="10" t="inlineStr">
        <is>
          <t>High</t>
        </is>
      </c>
      <c r="D73" s="7" t="inlineStr">
        <is>
          <t>MD-00070</t>
        </is>
      </c>
      <c r="E73" s="7" t="inlineStr">
        <is>
          <t>MD-MO-050070</t>
        </is>
      </c>
      <c r="F73" s="7" t="inlineStr">
        <is>
          <t>Employee:E0083; Ticket:OFF-00070</t>
        </is>
      </c>
      <c r="G73" s="7" t="n">
        <v>342.32</v>
      </c>
      <c r="H73" s="7" t="inlineStr">
        <is>
          <t>Do not leave MD-00070 assigned to E0083 on the extract.</t>
        </is>
      </c>
      <c r="I73" s="7" t="inlineStr">
        <is>
          <t>HR Operations Lead</t>
        </is>
      </c>
      <c r="J73" s="7" t="inlineStr">
        <is>
          <t>2026-08-16</t>
        </is>
      </c>
      <c r="K73" s="7" t="inlineStr">
        <is>
          <t>Open</t>
        </is>
      </c>
      <c r="L73" s="7" t="inlineStr">
        <is>
          <t>MD-00070 should have moved off E0083 when HR flipped status (EX-0069).</t>
        </is>
      </c>
      <c r="M73" s="7" t="inlineStr">
        <is>
          <t>Requires remediation</t>
        </is>
      </c>
    </row>
    <row r="74">
      <c r="A74" s="7" t="inlineStr">
        <is>
          <t>EX-0070</t>
        </is>
      </c>
      <c r="B74" s="7" t="inlineStr">
        <is>
          <t>Overdue Return</t>
        </is>
      </c>
      <c r="C74" s="8" t="inlineStr">
        <is>
          <t>Critical</t>
        </is>
      </c>
      <c r="D74" s="7" t="inlineStr">
        <is>
          <t>MD-00071</t>
        </is>
      </c>
      <c r="E74" s="7" t="inlineStr">
        <is>
          <t>MD-MO-050071</t>
        </is>
      </c>
      <c r="F74" s="7" t="inlineStr">
        <is>
          <t>Ticket:OFF-00071; Tracking:1ZMD00000071; ReturnDue:2026-07-15</t>
        </is>
      </c>
      <c r="G74" s="7" t="n">
        <v>787.96</v>
      </c>
      <c r="H74" s="7" t="inlineStr">
        <is>
          <t>Recovery required on MD-00071; prepaid label 1ZMD00000071 is paperwork only.</t>
        </is>
      </c>
      <c r="I74" s="7" t="inlineStr">
        <is>
          <t>IT Asset Specialist</t>
        </is>
      </c>
      <c r="J74" s="7" t="inlineStr">
        <is>
          <t>2026-08-14</t>
        </is>
      </c>
      <c r="K74" s="7" t="inlineStr">
        <is>
          <t>Open</t>
        </is>
      </c>
      <c r="L74" s="7" t="inlineStr">
        <is>
          <t>Carrier never accepted 1ZMD00000071; MD-00071 still outstanding.</t>
        </is>
      </c>
      <c r="M74" s="12" t="inlineStr">
        <is>
          <t>Blocks certification</t>
        </is>
      </c>
    </row>
    <row r="75">
      <c r="A75" s="7" t="inlineStr">
        <is>
          <t>EX-0071</t>
        </is>
      </c>
      <c r="B75" s="7" t="inlineStr">
        <is>
          <t>Former Employee Assignment</t>
        </is>
      </c>
      <c r="C75" s="10" t="inlineStr">
        <is>
          <t>High</t>
        </is>
      </c>
      <c r="D75" s="7" t="inlineStr">
        <is>
          <t>MD-00071</t>
        </is>
      </c>
      <c r="E75" s="7" t="inlineStr">
        <is>
          <t>MD-MO-050071</t>
        </is>
      </c>
      <c r="F75" s="7" t="inlineStr">
        <is>
          <t>Employee:E0084; Ticket:OFF-00071</t>
        </is>
      </c>
      <c r="G75" s="7" t="n">
        <v>787.96</v>
      </c>
      <c r="H75" s="7" t="inlineStr">
        <is>
          <t>HR already termed E0084. Update MD-00071 assignment.</t>
        </is>
      </c>
      <c r="I75" s="7" t="inlineStr">
        <is>
          <t>HR Operations Lead</t>
        </is>
      </c>
      <c r="J75" s="7" t="inlineStr">
        <is>
          <t>2026-08-16</t>
        </is>
      </c>
      <c r="K75" s="7" t="inlineStr">
        <is>
          <t>Open</t>
        </is>
      </c>
      <c r="L75" s="7" t="inlineStr">
        <is>
          <t>HR lists E0084 as separated; register still assigns MD-00071 (EX-0071).</t>
        </is>
      </c>
      <c r="M75" s="7" t="inlineStr">
        <is>
          <t>Requires remediation</t>
        </is>
      </c>
    </row>
    <row r="76">
      <c r="A76" s="7" t="inlineStr">
        <is>
          <t>EX-0072</t>
        </is>
      </c>
      <c r="B76" s="7" t="inlineStr">
        <is>
          <t>Overdue Return</t>
        </is>
      </c>
      <c r="C76" s="8" t="inlineStr">
        <is>
          <t>Critical</t>
        </is>
      </c>
      <c r="D76" s="7" t="inlineStr">
        <is>
          <t>MD-00072</t>
        </is>
      </c>
      <c r="E76" s="7" t="inlineStr">
        <is>
          <t>MD-NE-050072</t>
        </is>
      </c>
      <c r="F76" s="7" t="inlineStr">
        <is>
          <t>Ticket:OFF-00072; Tracking:1ZMD00000072; ReturnDue:2026-07-15</t>
        </is>
      </c>
      <c r="G76" s="7" t="n">
        <v>500.27</v>
      </c>
      <c r="H76" s="7" t="inlineStr">
        <is>
          <t>Label-only status on 1ZMD00000072 blocks cert for MD-00072.</t>
        </is>
      </c>
      <c r="I76" s="7" t="inlineStr">
        <is>
          <t>IT Asset Specialist</t>
        </is>
      </c>
      <c r="J76" s="7" t="inlineStr">
        <is>
          <t>2026-08-14</t>
        </is>
      </c>
      <c r="K76" s="7" t="inlineStr">
        <is>
          <t>Open</t>
        </is>
      </c>
      <c r="L76" s="7" t="inlineStr">
        <is>
          <t>OFF-00072: return window closed with empty inbound for MD-00072.</t>
        </is>
      </c>
      <c r="M76" s="12" t="inlineStr">
        <is>
          <t>Blocks certification</t>
        </is>
      </c>
    </row>
    <row r="77">
      <c r="A77" s="7" t="inlineStr">
        <is>
          <t>EX-0073</t>
        </is>
      </c>
      <c r="B77" s="7" t="inlineStr">
        <is>
          <t>Former Employee Assignment</t>
        </is>
      </c>
      <c r="C77" s="10" t="inlineStr">
        <is>
          <t>High</t>
        </is>
      </c>
      <c r="D77" s="7" t="inlineStr">
        <is>
          <t>MD-00072</t>
        </is>
      </c>
      <c r="E77" s="7" t="inlineStr">
        <is>
          <t>MD-NE-050072</t>
        </is>
      </c>
      <c r="F77" s="7" t="inlineStr">
        <is>
          <t>Employee:E0085; Ticket:OFF-00072</t>
        </is>
      </c>
      <c r="G77" s="7" t="n">
        <v>500.27</v>
      </c>
      <c r="H77" s="7" t="inlineStr">
        <is>
          <t>Recover or write-off later; first take E0085 off MD-00072.</t>
        </is>
      </c>
      <c r="I77" s="7" t="inlineStr">
        <is>
          <t>HR Operations Lead</t>
        </is>
      </c>
      <c r="J77" s="7" t="inlineStr">
        <is>
          <t>2026-08-16</t>
        </is>
      </c>
      <c r="K77" s="7" t="inlineStr">
        <is>
          <t>Open</t>
        </is>
      </c>
      <c r="L77" s="7" t="inlineStr">
        <is>
          <t>Custodian mismatch MD-00072↔E0085 documented under EX-0073.</t>
        </is>
      </c>
      <c r="M77" s="7" t="inlineStr">
        <is>
          <t>Requires remediation</t>
        </is>
      </c>
    </row>
    <row r="78">
      <c r="A78" s="7" t="inlineStr">
        <is>
          <t>EX-0074</t>
        </is>
      </c>
      <c r="B78" s="7" t="inlineStr">
        <is>
          <t>Overdue Return</t>
        </is>
      </c>
      <c r="C78" s="8" t="inlineStr">
        <is>
          <t>Critical</t>
        </is>
      </c>
      <c r="D78" s="7" t="inlineStr">
        <is>
          <t>MD-00073</t>
        </is>
      </c>
      <c r="E78" s="7" t="inlineStr">
        <is>
          <t>MD-LA-050073</t>
        </is>
      </c>
      <c r="F78" s="7" t="inlineStr">
        <is>
          <t>Ticket:OFF-00073; Tracking:1ZMD00000073; ReturnDue:2026-07-15</t>
        </is>
      </c>
      <c r="G78" s="7" t="n">
        <v>0</v>
      </c>
      <c r="H78" s="7" t="inlineStr">
        <is>
          <t>Keep pressure on the former user until dock scan - 1ZMD00000073.</t>
        </is>
      </c>
      <c r="I78" s="7" t="inlineStr">
        <is>
          <t>IT Asset Specialist</t>
        </is>
      </c>
      <c r="J78" s="7" t="inlineStr">
        <is>
          <t>2026-08-14</t>
        </is>
      </c>
      <c r="K78" s="7" t="inlineStr">
        <is>
          <t>Open</t>
        </is>
      </c>
      <c r="L78" s="7" t="inlineStr">
        <is>
          <t>Label 1ZMD00000073 printed; no SCAN-86 for MD-00073.</t>
        </is>
      </c>
      <c r="M78" s="12" t="inlineStr">
        <is>
          <t>Blocks certification</t>
        </is>
      </c>
    </row>
    <row r="79">
      <c r="A79" s="7" t="inlineStr">
        <is>
          <t>EX-0075</t>
        </is>
      </c>
      <c r="B79" s="7" t="inlineStr">
        <is>
          <t>Former Employee Assignment</t>
        </is>
      </c>
      <c r="C79" s="10" t="inlineStr">
        <is>
          <t>High</t>
        </is>
      </c>
      <c r="D79" s="7" t="inlineStr">
        <is>
          <t>MD-00073</t>
        </is>
      </c>
      <c r="E79" s="7" t="inlineStr">
        <is>
          <t>MD-LA-050073</t>
        </is>
      </c>
      <c r="F79" s="7" t="inlineStr">
        <is>
          <t>Employee:E0086; Ticket:OFF-00073</t>
        </is>
      </c>
      <c r="G79" s="7" t="n">
        <v>0</v>
      </c>
      <c r="H79" s="7" t="inlineStr">
        <is>
          <t>HR Operations Lead: remove E0086 from MD-00073 and park the kit.</t>
        </is>
      </c>
      <c r="I79" s="7" t="inlineStr">
        <is>
          <t>HR Operations Lead</t>
        </is>
      </c>
      <c r="J79" s="7" t="inlineStr">
        <is>
          <t>2026-08-16</t>
        </is>
      </c>
      <c r="K79" s="7" t="inlineStr">
        <is>
          <t>Open</t>
        </is>
      </c>
      <c r="L79" s="7" t="inlineStr">
        <is>
          <t>People file cleared E0086; ITAM row for MD-00073 did not (EX-0075).</t>
        </is>
      </c>
      <c r="M79" s="7" t="inlineStr">
        <is>
          <t>Requires remediation</t>
        </is>
      </c>
    </row>
    <row r="80">
      <c r="A80" s="7" t="inlineStr">
        <is>
          <t>EX-0076</t>
        </is>
      </c>
      <c r="B80" s="7" t="inlineStr">
        <is>
          <t>Shipment Mismatch</t>
        </is>
      </c>
      <c r="C80" s="8" t="inlineStr">
        <is>
          <t>Critical</t>
        </is>
      </c>
      <c r="D80" s="7" t="inlineStr">
        <is>
          <t>MD-00074</t>
        </is>
      </c>
      <c r="E80" s="7" t="inlineStr">
        <is>
          <t>MD-MO-050074</t>
        </is>
      </c>
      <c r="F80" s="7" t="inlineStr">
        <is>
          <t>Ticket:OFF-00074; Tracking:1ZMD00000074; ShipmentSerial:MISMATCH-0074</t>
        </is>
      </c>
      <c r="G80" s="7" t="n">
        <v>359.25</v>
      </c>
      <c r="H80" s="7" t="inlineStr">
        <is>
          <t>Hold MD-00074. Shipment serial MISMATCH-0074 ≠ register MD-MO-050074 on 1ZMD00000074.</t>
        </is>
      </c>
      <c r="I80" s="7" t="inlineStr">
        <is>
          <t>IT Operations Manager</t>
        </is>
      </c>
      <c r="J80" s="7" t="inlineStr">
        <is>
          <t>2026-08-13</t>
        </is>
      </c>
      <c r="K80" s="7" t="inlineStr">
        <is>
          <t>Open</t>
        </is>
      </c>
      <c r="L80" s="7" t="inlineStr">
        <is>
          <t>Shipment serial MISMATCH-0074 on 1ZMD00000074 vs register MD-MO-050074. Not cleared.</t>
        </is>
      </c>
      <c r="M80" s="12" t="inlineStr">
        <is>
          <t>Blocks certification</t>
        </is>
      </c>
    </row>
    <row r="81">
      <c r="A81" s="7" t="inlineStr">
        <is>
          <t>EX-0077</t>
        </is>
      </c>
      <c r="B81" s="7" t="inlineStr">
        <is>
          <t>Former Employee Assignment</t>
        </is>
      </c>
      <c r="C81" s="10" t="inlineStr">
        <is>
          <t>High</t>
        </is>
      </c>
      <c r="D81" s="7" t="inlineStr">
        <is>
          <t>MD-00074</t>
        </is>
      </c>
      <c r="E81" s="7" t="inlineStr">
        <is>
          <t>MD-MO-050074</t>
        </is>
      </c>
      <c r="F81" s="7" t="inlineStr">
        <is>
          <t>Employee:E0087; Ticket:OFF-00074</t>
        </is>
      </c>
      <c r="G81" s="7" t="n">
        <v>359.25</v>
      </c>
      <c r="H81" s="7" t="inlineStr">
        <is>
          <t>People side closed via OFF-00074; asset row still lists E0087. Fix custodian.</t>
        </is>
      </c>
      <c r="I81" s="7" t="inlineStr">
        <is>
          <t>HR Operations Lead</t>
        </is>
      </c>
      <c r="J81" s="7" t="inlineStr">
        <is>
          <t>2026-08-16</t>
        </is>
      </c>
      <c r="K81" s="7" t="inlineStr">
        <is>
          <t>Open</t>
        </is>
      </c>
      <c r="L81" s="7" t="inlineStr">
        <is>
          <t>MD-00074 custodian equals terminated ID E0087 - EX-0077.</t>
        </is>
      </c>
      <c r="M81" s="7" t="inlineStr">
        <is>
          <t>Requires remediation</t>
        </is>
      </c>
    </row>
    <row r="82">
      <c r="A82" s="7" t="inlineStr">
        <is>
          <t>EX-0078</t>
        </is>
      </c>
      <c r="B82" s="7" t="inlineStr">
        <is>
          <t>Overdue Return</t>
        </is>
      </c>
      <c r="C82" s="8" t="inlineStr">
        <is>
          <t>Critical</t>
        </is>
      </c>
      <c r="D82" s="7" t="inlineStr">
        <is>
          <t>MD-00074</t>
        </is>
      </c>
      <c r="E82" s="7" t="inlineStr">
        <is>
          <t>MD-MO-050074</t>
        </is>
      </c>
      <c r="F82" s="7" t="inlineStr">
        <is>
          <t>Ticket:OFF-00074; Tracking:1ZMD00000074; ReturnDue:2026-07-15</t>
        </is>
      </c>
      <c r="G82" s="7" t="n">
        <v>359.25</v>
      </c>
      <c r="H82" s="7" t="inlineStr">
        <is>
          <t>Escalate recovery on MD-00074; 1ZMD00000074 is Label Created only.</t>
        </is>
      </c>
      <c r="I82" s="7" t="inlineStr">
        <is>
          <t>IT Asset Specialist</t>
        </is>
      </c>
      <c r="J82" s="7" t="inlineStr">
        <is>
          <t>2026-08-14</t>
        </is>
      </c>
      <c r="K82" s="7" t="inlineStr">
        <is>
          <t>Open</t>
        </is>
      </c>
      <c r="L82" s="7" t="inlineStr">
        <is>
          <t>Return paperwork exists (1ZMD00000074); physical return does not.</t>
        </is>
      </c>
      <c r="M82" s="12" t="inlineStr">
        <is>
          <t>Blocks certification</t>
        </is>
      </c>
    </row>
    <row r="83">
      <c r="A83" s="7" t="inlineStr">
        <is>
          <t>EX-0079</t>
        </is>
      </c>
      <c r="B83" s="7" t="inlineStr">
        <is>
          <t>Overdue Return</t>
        </is>
      </c>
      <c r="C83" s="8" t="inlineStr">
        <is>
          <t>Critical</t>
        </is>
      </c>
      <c r="D83" s="7" t="inlineStr">
        <is>
          <t>MD-00075</t>
        </is>
      </c>
      <c r="E83" s="7" t="inlineStr">
        <is>
          <t>MD-MO-050075</t>
        </is>
      </c>
      <c r="F83" s="7" t="inlineStr">
        <is>
          <t>Ticket:OFF-00075; Tracking:1ZMD00000075; ReturnDue:2026-07-15</t>
        </is>
      </c>
      <c r="G83" s="7" t="n">
        <v>647.42</v>
      </c>
      <c r="H83" s="7" t="inlineStr">
        <is>
          <t>MD-00075 past due 2026-07-15; label is not receipt (OFF-00075).</t>
        </is>
      </c>
      <c r="I83" s="7" t="inlineStr">
        <is>
          <t>IT Asset Specialist</t>
        </is>
      </c>
      <c r="J83" s="7" t="inlineStr">
        <is>
          <t>2026-08-14</t>
        </is>
      </c>
      <c r="K83" s="7" t="inlineStr">
        <is>
          <t>Open</t>
        </is>
      </c>
      <c r="L83" s="7" t="inlineStr">
        <is>
          <t>Ship file for MD-00075: label only. OFF-00075 overdue 2026-07-15.</t>
        </is>
      </c>
      <c r="M83" s="12" t="inlineStr">
        <is>
          <t>Blocks certification</t>
        </is>
      </c>
    </row>
    <row r="84">
      <c r="A84" s="7" t="inlineStr">
        <is>
          <t>EX-0080</t>
        </is>
      </c>
      <c r="B84" s="7" t="inlineStr">
        <is>
          <t>Former Employee Assignment</t>
        </is>
      </c>
      <c r="C84" s="10" t="inlineStr">
        <is>
          <t>High</t>
        </is>
      </c>
      <c r="D84" s="7" t="inlineStr">
        <is>
          <t>MD-00075</t>
        </is>
      </c>
      <c r="E84" s="7" t="inlineStr">
        <is>
          <t>MD-MO-050075</t>
        </is>
      </c>
      <c r="F84" s="7" t="inlineStr">
        <is>
          <t>Employee:E0088; Ticket:OFF-00075</t>
        </is>
      </c>
      <c r="G84" s="7" t="n">
        <v>647.42</v>
      </c>
      <c r="H84" s="7" t="inlineStr">
        <is>
          <t>Stock or Regional IT must replace E0088 on MD-00075.</t>
        </is>
      </c>
      <c r="I84" s="7" t="inlineStr">
        <is>
          <t>HR Operations Lead</t>
        </is>
      </c>
      <c r="J84" s="7" t="inlineStr">
        <is>
          <t>2026-08-16</t>
        </is>
      </c>
      <c r="K84" s="7" t="inlineStr">
        <is>
          <t>Open</t>
        </is>
      </c>
      <c r="L84" s="7" t="inlineStr">
        <is>
          <t>Custodian mismatch MD-00075↔E0088 documented under EX-0080.</t>
        </is>
      </c>
      <c r="M84" s="7" t="inlineStr">
        <is>
          <t>Requires remediation</t>
        </is>
      </c>
    </row>
    <row r="85">
      <c r="A85" s="7" t="inlineStr">
        <is>
          <t>EX-0081</t>
        </is>
      </c>
      <c r="B85" s="7" t="inlineStr">
        <is>
          <t>Shipment Mismatch</t>
        </is>
      </c>
      <c r="C85" s="8" t="inlineStr">
        <is>
          <t>Critical</t>
        </is>
      </c>
      <c r="D85" s="7" t="inlineStr">
        <is>
          <t>MD-00076</t>
        </is>
      </c>
      <c r="E85" s="7" t="inlineStr">
        <is>
          <t>MD-NE-050076</t>
        </is>
      </c>
      <c r="F85" s="7" t="inlineStr">
        <is>
          <t>Ticket:OFF-00076; Tracking:1ZMD00000076; ShipmentSerial:MISMATCH-0076</t>
        </is>
      </c>
      <c r="G85" s="7" t="n">
        <v>953.89</v>
      </c>
      <c r="H85" s="7" t="inlineStr">
        <is>
          <t>Carrier exception 1ZMD00000076; MD-00076 stays held.</t>
        </is>
      </c>
      <c r="I85" s="7" t="inlineStr">
        <is>
          <t>IT Operations Manager</t>
        </is>
      </c>
      <c r="J85" s="7" t="inlineStr">
        <is>
          <t>2026-08-13</t>
        </is>
      </c>
      <c r="K85" s="7" t="inlineStr">
        <is>
          <t>Open</t>
        </is>
      </c>
      <c r="L85" s="7" t="inlineStr">
        <is>
          <t>Shipment serial MISMATCH-0076 on 1ZMD00000076 vs register MD-NE-050076. Not cleared.</t>
        </is>
      </c>
      <c r="M85" s="12" t="inlineStr">
        <is>
          <t>Blocks certification</t>
        </is>
      </c>
    </row>
    <row r="86">
      <c r="A86" s="7" t="inlineStr">
        <is>
          <t>EX-0082</t>
        </is>
      </c>
      <c r="B86" s="7" t="inlineStr">
        <is>
          <t>Former Employee Assignment</t>
        </is>
      </c>
      <c r="C86" s="10" t="inlineStr">
        <is>
          <t>High</t>
        </is>
      </c>
      <c r="D86" s="7" t="inlineStr">
        <is>
          <t>MD-00076</t>
        </is>
      </c>
      <c r="E86" s="7" t="inlineStr">
        <is>
          <t>MD-NE-050076</t>
        </is>
      </c>
      <c r="F86" s="7" t="inlineStr">
        <is>
          <t>Employee:E0089; Ticket:OFF-00076</t>
        </is>
      </c>
      <c r="G86" s="7" t="n">
        <v>953.89</v>
      </c>
      <c r="H86" s="7" t="inlineStr">
        <is>
          <t>Term cleanup - MD-00076 should not remain with E0089.</t>
        </is>
      </c>
      <c r="I86" s="7" t="inlineStr">
        <is>
          <t>HR Operations Lead</t>
        </is>
      </c>
      <c r="J86" s="7" t="inlineStr">
        <is>
          <t>2026-08-16</t>
        </is>
      </c>
      <c r="K86" s="7" t="inlineStr">
        <is>
          <t>Open</t>
        </is>
      </c>
      <c r="L86" s="7" t="inlineStr">
        <is>
          <t>Evidence for EX-0082: register kept E0089 on MD-00076 post-separation.</t>
        </is>
      </c>
      <c r="M86" s="7" t="inlineStr">
        <is>
          <t>Requires remediation</t>
        </is>
      </c>
    </row>
    <row r="87">
      <c r="A87" s="7" t="inlineStr">
        <is>
          <t>EX-0083</t>
        </is>
      </c>
      <c r="B87" s="7" t="inlineStr">
        <is>
          <t>Overdue Return</t>
        </is>
      </c>
      <c r="C87" s="8" t="inlineStr">
        <is>
          <t>Critical</t>
        </is>
      </c>
      <c r="D87" s="7" t="inlineStr">
        <is>
          <t>MD-00076</t>
        </is>
      </c>
      <c r="E87" s="7" t="inlineStr">
        <is>
          <t>MD-NE-050076</t>
        </is>
      </c>
      <c r="F87" s="7" t="inlineStr">
        <is>
          <t>Ticket:OFF-00076; Tracking:1ZMD00000076; ReturnDue:2026-07-15</t>
        </is>
      </c>
      <c r="G87" s="7" t="n">
        <v>953.89</v>
      </c>
      <c r="H87" s="7" t="inlineStr">
        <is>
          <t>IT Asset Specialist: treat MD-00076 as not returned until inbound scan.</t>
        </is>
      </c>
      <c r="I87" s="7" t="inlineStr">
        <is>
          <t>IT Asset Specialist</t>
        </is>
      </c>
      <c r="J87" s="7" t="inlineStr">
        <is>
          <t>2026-08-14</t>
        </is>
      </c>
      <c r="K87" s="7" t="inlineStr">
        <is>
          <t>Open</t>
        </is>
      </c>
      <c r="L87" s="7" t="inlineStr">
        <is>
          <t>1ZMD00000076 remains Label Created. No acceptance, delivery, or dock scan.</t>
        </is>
      </c>
      <c r="M87" s="12" t="inlineStr">
        <is>
          <t>Blocks certification</t>
        </is>
      </c>
    </row>
    <row r="88">
      <c r="A88" s="7" t="inlineStr">
        <is>
          <t>EX-0084</t>
        </is>
      </c>
      <c r="B88" s="7" t="inlineStr">
        <is>
          <t>Overdue Return</t>
        </is>
      </c>
      <c r="C88" s="8" t="inlineStr">
        <is>
          <t>Critical</t>
        </is>
      </c>
      <c r="D88" s="7" t="inlineStr">
        <is>
          <t>MD-00077</t>
        </is>
      </c>
      <c r="E88" s="7" t="inlineStr">
        <is>
          <t>MD-LA-050077</t>
        </is>
      </c>
      <c r="F88" s="7" t="inlineStr">
        <is>
          <t>Ticket:OFF-00077; Tracking:1ZMD00000077; ReturnDue:2026-07-15</t>
        </is>
      </c>
      <c r="G88" s="7" t="n">
        <v>0</v>
      </c>
      <c r="H88" s="7" t="inlineStr">
        <is>
          <t>Outstanding kit MD-00077 / 1ZMD00000077 - escalate beyond label print.</t>
        </is>
      </c>
      <c r="I88" s="7" t="inlineStr">
        <is>
          <t>IT Asset Specialist</t>
        </is>
      </c>
      <c r="J88" s="7" t="inlineStr">
        <is>
          <t>2026-08-14</t>
        </is>
      </c>
      <c r="K88" s="7" t="inlineStr">
        <is>
          <t>Open</t>
        </is>
      </c>
      <c r="L88" s="7" t="inlineStr">
        <is>
          <t>Label 1ZMD00000077 printed; no SCAN-86 for MD-00077.</t>
        </is>
      </c>
      <c r="M88" s="12" t="inlineStr">
        <is>
          <t>Blocks certification</t>
        </is>
      </c>
    </row>
    <row r="89">
      <c r="A89" s="7" t="inlineStr">
        <is>
          <t>EX-0085</t>
        </is>
      </c>
      <c r="B89" s="7" t="inlineStr">
        <is>
          <t>Former Employee Assignment</t>
        </is>
      </c>
      <c r="C89" s="10" t="inlineStr">
        <is>
          <t>High</t>
        </is>
      </c>
      <c r="D89" s="7" t="inlineStr">
        <is>
          <t>MD-00077</t>
        </is>
      </c>
      <c r="E89" s="7" t="inlineStr">
        <is>
          <t>MD-LA-050077</t>
        </is>
      </c>
      <c r="F89" s="7" t="inlineStr">
        <is>
          <t>Employee:E0090; Ticket:OFF-00077</t>
        </is>
      </c>
      <c r="G89" s="7" t="n">
        <v>0</v>
      </c>
      <c r="H89" s="7" t="inlineStr">
        <is>
          <t>HR Operations Lead: remove E0090 from MD-00077 and park the kit.</t>
        </is>
      </c>
      <c r="I89" s="7" t="inlineStr">
        <is>
          <t>HR Operations Lead</t>
        </is>
      </c>
      <c r="J89" s="7" t="inlineStr">
        <is>
          <t>2026-08-16</t>
        </is>
      </c>
      <c r="K89" s="7" t="inlineStr">
        <is>
          <t>Open</t>
        </is>
      </c>
      <c r="L89" s="7" t="inlineStr">
        <is>
          <t>MD-00077 custodian equals terminated ID E0090 - EX-0085.</t>
        </is>
      </c>
      <c r="M89" s="7" t="inlineStr">
        <is>
          <t>Requires remediation</t>
        </is>
      </c>
    </row>
    <row r="90">
      <c r="A90" s="7" t="inlineStr">
        <is>
          <t>EX-0086</t>
        </is>
      </c>
      <c r="B90" s="7" t="inlineStr">
        <is>
          <t>Overdue Return</t>
        </is>
      </c>
      <c r="C90" s="8" t="inlineStr">
        <is>
          <t>Critical</t>
        </is>
      </c>
      <c r="D90" s="7" t="inlineStr">
        <is>
          <t>MD-00078</t>
        </is>
      </c>
      <c r="E90" s="7" t="inlineStr">
        <is>
          <t>MD-MO-050078</t>
        </is>
      </c>
      <c r="F90" s="7" t="inlineStr">
        <is>
          <t>Ticket:OFF-00078; Tracking:1ZMD00000078; ReturnDue:2026-07-15</t>
        </is>
      </c>
      <c r="G90" s="7" t="n">
        <v>328.95</v>
      </c>
      <c r="H90" s="7" t="inlineStr">
        <is>
          <t>Escalate recovery on MD-00078; 1ZMD00000078 is Label Created only.</t>
        </is>
      </c>
      <c r="I90" s="7" t="inlineStr">
        <is>
          <t>IT Asset Specialist</t>
        </is>
      </c>
      <c r="J90" s="7" t="inlineStr">
        <is>
          <t>2026-08-14</t>
        </is>
      </c>
      <c r="K90" s="7" t="inlineStr">
        <is>
          <t>Open</t>
        </is>
      </c>
      <c r="L90" s="7" t="inlineStr">
        <is>
          <t>1ZMD00000078 remains Label Created. No acceptance, delivery, or dock scan.</t>
        </is>
      </c>
      <c r="M90" s="12" t="inlineStr">
        <is>
          <t>Blocks certification</t>
        </is>
      </c>
    </row>
    <row r="91">
      <c r="A91" s="7" t="inlineStr">
        <is>
          <t>EX-0087</t>
        </is>
      </c>
      <c r="B91" s="7" t="inlineStr">
        <is>
          <t>Former Employee Assignment</t>
        </is>
      </c>
      <c r="C91" s="10" t="inlineStr">
        <is>
          <t>High</t>
        </is>
      </c>
      <c r="D91" s="7" t="inlineStr">
        <is>
          <t>MD-00078</t>
        </is>
      </c>
      <c r="E91" s="7" t="inlineStr">
        <is>
          <t>MD-MO-050078</t>
        </is>
      </c>
      <c r="F91" s="7" t="inlineStr">
        <is>
          <t>Employee:E0091; Ticket:OFF-00078</t>
        </is>
      </c>
      <c r="G91" s="7" t="n">
        <v>328.95</v>
      </c>
      <c r="H91" s="7" t="inlineStr">
        <is>
          <t>OFF-00078 closed people; MD-00078 still shows the leaver.</t>
        </is>
      </c>
      <c r="I91" s="7" t="inlineStr">
        <is>
          <t>HR Operations Lead</t>
        </is>
      </c>
      <c r="J91" s="7" t="inlineStr">
        <is>
          <t>2026-08-16</t>
        </is>
      </c>
      <c r="K91" s="7" t="inlineStr">
        <is>
          <t>Open</t>
        </is>
      </c>
      <c r="L91" s="7" t="inlineStr">
        <is>
          <t>Finding EX-0087 on MD-00078: former employee E0091 still listed as owner.</t>
        </is>
      </c>
      <c r="M91" s="7" t="inlineStr">
        <is>
          <t>Requires remediation</t>
        </is>
      </c>
    </row>
    <row r="92">
      <c r="A92" s="7" t="inlineStr">
        <is>
          <t>EX-0088</t>
        </is>
      </c>
      <c r="B92" s="7" t="inlineStr">
        <is>
          <t>Overdue Return</t>
        </is>
      </c>
      <c r="C92" s="8" t="inlineStr">
        <is>
          <t>Critical</t>
        </is>
      </c>
      <c r="D92" s="7" t="inlineStr">
        <is>
          <t>MD-00079</t>
        </is>
      </c>
      <c r="E92" s="7" t="inlineStr">
        <is>
          <t>MD-MO-050079</t>
        </is>
      </c>
      <c r="F92" s="7" t="inlineStr">
        <is>
          <t>Ticket:OFF-00079; Tracking:1ZMD00000079; ReturnDue:2026-07-15</t>
        </is>
      </c>
      <c r="G92" s="7" t="n">
        <v>692.62</v>
      </c>
      <c r="H92" s="7" t="inlineStr">
        <is>
          <t>Do not close MD-00079 as returned. 2026-07-15 passed with no SCAN-86.</t>
        </is>
      </c>
      <c r="I92" s="7" t="inlineStr">
        <is>
          <t>IT Asset Specialist</t>
        </is>
      </c>
      <c r="J92" s="7" t="inlineStr">
        <is>
          <t>2026-08-14</t>
        </is>
      </c>
      <c r="K92" s="7" t="inlineStr">
        <is>
          <t>Open</t>
        </is>
      </c>
      <c r="L92" s="7" t="inlineStr">
        <is>
          <t>1ZMD00000079 remains Label Created. No acceptance, delivery, or dock scan.</t>
        </is>
      </c>
      <c r="M92" s="12" t="inlineStr">
        <is>
          <t>Blocks certification</t>
        </is>
      </c>
    </row>
    <row r="93">
      <c r="A93" s="7" t="inlineStr">
        <is>
          <t>EX-0089</t>
        </is>
      </c>
      <c r="B93" s="7" t="inlineStr">
        <is>
          <t>Former Employee Assignment</t>
        </is>
      </c>
      <c r="C93" s="10" t="inlineStr">
        <is>
          <t>High</t>
        </is>
      </c>
      <c r="D93" s="7" t="inlineStr">
        <is>
          <t>MD-00079</t>
        </is>
      </c>
      <c r="E93" s="7" t="inlineStr">
        <is>
          <t>MD-MO-050079</t>
        </is>
      </c>
      <c r="F93" s="7" t="inlineStr">
        <is>
          <t>Employee:E0092; Ticket:OFF-00079</t>
        </is>
      </c>
      <c r="G93" s="7" t="n">
        <v>692.62</v>
      </c>
      <c r="H93" s="7" t="inlineStr">
        <is>
          <t>MD-00079 still names a leaver (E0092). Close the assignment.</t>
        </is>
      </c>
      <c r="I93" s="7" t="inlineStr">
        <is>
          <t>HR Operations Lead</t>
        </is>
      </c>
      <c r="J93" s="7" t="inlineStr">
        <is>
          <t>2026-08-16</t>
        </is>
      </c>
      <c r="K93" s="7" t="inlineStr">
        <is>
          <t>Open</t>
        </is>
      </c>
      <c r="L93" s="7" t="inlineStr">
        <is>
          <t>Term record for E0092 exists; MD-00079 assignment record did not update (EX-0089).</t>
        </is>
      </c>
      <c r="M93" s="7" t="inlineStr">
        <is>
          <t>Requires remediation</t>
        </is>
      </c>
    </row>
    <row r="94">
      <c r="A94" s="7" t="inlineStr">
        <is>
          <t>EX-0090</t>
        </is>
      </c>
      <c r="B94" s="7" t="inlineStr">
        <is>
          <t>Former Employee Assignment</t>
        </is>
      </c>
      <c r="C94" s="10" t="inlineStr">
        <is>
          <t>High</t>
        </is>
      </c>
      <c r="D94" s="7" t="inlineStr">
        <is>
          <t>MD-00080</t>
        </is>
      </c>
      <c r="E94" s="7" t="inlineStr">
        <is>
          <t>MD-NE-050080</t>
        </is>
      </c>
      <c r="F94" s="7" t="inlineStr">
        <is>
          <t>Employee:E0093; Ticket:OFF-00080; Tracking:1ZMD00000080</t>
        </is>
      </c>
      <c r="G94" s="7" t="n">
        <v>1374.53</v>
      </c>
      <c r="H94" s="7" t="inlineStr">
        <is>
          <t>Term cleanup - MD-00080 should not remain with E0093.</t>
        </is>
      </c>
      <c r="I94" s="7" t="inlineStr">
        <is>
          <t>HR Operations Lead</t>
        </is>
      </c>
      <c r="J94" s="7" t="inlineStr">
        <is>
          <t>2026-08-16</t>
        </is>
      </c>
      <c r="K94" s="7" t="inlineStr">
        <is>
          <t>Open</t>
        </is>
      </c>
      <c r="L94" s="7" t="inlineStr">
        <is>
          <t>EX-0090 cites MD-00080 assigned to terminated E0093 despite OFF-00080.</t>
        </is>
      </c>
      <c r="M94" s="7" t="inlineStr">
        <is>
          <t>Requires remediation</t>
        </is>
      </c>
    </row>
    <row r="95">
      <c r="A95" s="7" t="inlineStr">
        <is>
          <t>EX-0091</t>
        </is>
      </c>
      <c r="B95" s="7" t="inlineStr">
        <is>
          <t>Former Employee Assignment</t>
        </is>
      </c>
      <c r="C95" s="10" t="inlineStr">
        <is>
          <t>High</t>
        </is>
      </c>
      <c r="D95" s="7" t="inlineStr">
        <is>
          <t>MD-00081</t>
        </is>
      </c>
      <c r="E95" s="7" t="inlineStr">
        <is>
          <t>MD-LA-050081</t>
        </is>
      </c>
      <c r="F95" s="7" t="inlineStr">
        <is>
          <t>Employee:E0094; Ticket:OFF-00081; Tracking:1ZMD00000081</t>
        </is>
      </c>
      <c r="G95" s="7" t="n">
        <v>114.4</v>
      </c>
      <c r="H95" s="7" t="inlineStr">
        <is>
          <t>MD-00081 needs a stock/regional holder, not E0094.</t>
        </is>
      </c>
      <c r="I95" s="7" t="inlineStr">
        <is>
          <t>HR Operations Lead</t>
        </is>
      </c>
      <c r="J95" s="7" t="inlineStr">
        <is>
          <t>2026-08-16</t>
        </is>
      </c>
      <c r="K95" s="7" t="inlineStr">
        <is>
          <t>Open</t>
        </is>
      </c>
      <c r="L95" s="7" t="inlineStr">
        <is>
          <t>People file cleared E0094; ITAM row for MD-00081 did not (EX-0091).</t>
        </is>
      </c>
      <c r="M95" s="7" t="inlineStr">
        <is>
          <t>Requires remediation</t>
        </is>
      </c>
    </row>
    <row r="96">
      <c r="A96" s="7" t="inlineStr">
        <is>
          <t>EX-0092</t>
        </is>
      </c>
      <c r="B96" s="7" t="inlineStr">
        <is>
          <t>Shipment Mismatch</t>
        </is>
      </c>
      <c r="C96" s="8" t="inlineStr">
        <is>
          <t>Critical</t>
        </is>
      </c>
      <c r="D96" s="7" t="inlineStr">
        <is>
          <t>MD-00082</t>
        </is>
      </c>
      <c r="E96" s="7" t="inlineStr">
        <is>
          <t>MD-MO-050082</t>
        </is>
      </c>
      <c r="F96" s="7" t="inlineStr">
        <is>
          <t>Ticket:OFF-00082; Tracking:1ZMD00000082; ShipmentSerial:MISMATCH-0082; Image:receiving_exception_scan_1ZMD00000082.png</t>
        </is>
      </c>
      <c r="G96" s="7" t="n">
        <v>485.55</v>
      </c>
      <c r="H96" s="7" t="inlineStr">
        <is>
          <t>MD-00082 stays exception. Dock photo is a HOLD lead, not a receipt. MISMATCH-0082 vs MD-MO-050082 on 1ZMD00000082.</t>
        </is>
      </c>
      <c r="I96" s="7" t="inlineStr">
        <is>
          <t>IT Operations Manager</t>
        </is>
      </c>
      <c r="J96" s="7" t="inlineStr">
        <is>
          <t>2026-08-13</t>
        </is>
      </c>
      <c r="K96" s="7" t="inlineStr">
        <is>
          <t>Open</t>
        </is>
      </c>
      <c r="L96" s="7" t="inlineStr">
        <is>
          <t>MISMATCH-0082 vs MD-MO-050082. Used the photo as breadcrumb only.</t>
        </is>
      </c>
      <c r="M96" s="12" t="inlineStr">
        <is>
          <t>Blocks certification</t>
        </is>
      </c>
    </row>
    <row r="97">
      <c r="A97" s="7" t="inlineStr">
        <is>
          <t>EX-0093</t>
        </is>
      </c>
      <c r="B97" s="7" t="inlineStr">
        <is>
          <t>Former Employee Assignment</t>
        </is>
      </c>
      <c r="C97" s="10" t="inlineStr">
        <is>
          <t>High</t>
        </is>
      </c>
      <c r="D97" s="7" t="inlineStr">
        <is>
          <t>MD-00082</t>
        </is>
      </c>
      <c r="E97" s="7" t="inlineStr">
        <is>
          <t>MD-MO-050082</t>
        </is>
      </c>
      <c r="F97" s="7" t="inlineStr">
        <is>
          <t>Employee:E0095; Ticket:OFF-00082</t>
        </is>
      </c>
      <c r="G97" s="7" t="n">
        <v>485.55</v>
      </c>
      <c r="H97" s="7" t="inlineStr">
        <is>
          <t>MD-00082 needs a stock/regional holder, not E0095.</t>
        </is>
      </c>
      <c r="I97" s="7" t="inlineStr">
        <is>
          <t>HR Operations Lead</t>
        </is>
      </c>
      <c r="J97" s="7" t="inlineStr">
        <is>
          <t>2026-08-16</t>
        </is>
      </c>
      <c r="K97" s="7" t="inlineStr">
        <is>
          <t>Open</t>
        </is>
      </c>
      <c r="L97" s="7" t="inlineStr">
        <is>
          <t>Compared HR row E0095 to register row MD-00082 - assignment stale (EX-0093).</t>
        </is>
      </c>
      <c r="M97" s="7" t="inlineStr">
        <is>
          <t>Requires remediation</t>
        </is>
      </c>
    </row>
    <row r="98">
      <c r="A98" s="7" t="inlineStr">
        <is>
          <t>EX-0094</t>
        </is>
      </c>
      <c r="B98" s="7" t="inlineStr">
        <is>
          <t>Former Employee Assignment</t>
        </is>
      </c>
      <c r="C98" s="10" t="inlineStr">
        <is>
          <t>High</t>
        </is>
      </c>
      <c r="D98" s="7" t="inlineStr">
        <is>
          <t>MD-00083</t>
        </is>
      </c>
      <c r="E98" s="7" t="inlineStr">
        <is>
          <t>MD-MO-050083</t>
        </is>
      </c>
      <c r="F98" s="7" t="inlineStr">
        <is>
          <t>Employee:E0071; Ticket:OFF-00083; Tracking:1ZMD00000083</t>
        </is>
      </c>
      <c r="G98" s="7" t="n">
        <v>952.79</v>
      </c>
      <c r="H98" s="7" t="inlineStr">
        <is>
          <t>Move MD-00083 to Regional IT holding after E0071 exit.</t>
        </is>
      </c>
      <c r="I98" s="7" t="inlineStr">
        <is>
          <t>HR Operations Lead</t>
        </is>
      </c>
      <c r="J98" s="7" t="inlineStr">
        <is>
          <t>2026-08-16</t>
        </is>
      </c>
      <c r="K98" s="7" t="inlineStr">
        <is>
          <t>Open</t>
        </is>
      </c>
      <c r="L98" s="7" t="inlineStr">
        <is>
          <t>Offboarding closed for E0071; asset row did not follow for MD-00083 (EX-0094).</t>
        </is>
      </c>
      <c r="M98" s="7" t="inlineStr">
        <is>
          <t>Requires remediation</t>
        </is>
      </c>
    </row>
    <row r="99">
      <c r="A99" s="7" t="inlineStr">
        <is>
          <t>EX-0095</t>
        </is>
      </c>
      <c r="B99" s="7" t="inlineStr">
        <is>
          <t>Shipment Mismatch</t>
        </is>
      </c>
      <c r="C99" s="8" t="inlineStr">
        <is>
          <t>Critical</t>
        </is>
      </c>
      <c r="D99" s="7" t="inlineStr">
        <is>
          <t>MD-00084</t>
        </is>
      </c>
      <c r="E99" s="7" t="inlineStr">
        <is>
          <t>MD-NE-050084</t>
        </is>
      </c>
      <c r="F99" s="7" t="inlineStr">
        <is>
          <t>Ticket:OFF-00084; Tracking:1ZMD00000084; ShipmentSerial:MISMATCH-0084</t>
        </is>
      </c>
      <c r="G99" s="7" t="n">
        <v>533.85</v>
      </c>
      <c r="H99" s="7" t="inlineStr">
        <is>
          <t>Work carrier/receiving on 1ZMD00000084: MISMATCH-0084 vs MD-NE-050084.</t>
        </is>
      </c>
      <c r="I99" s="7" t="inlineStr">
        <is>
          <t>IT Operations Manager</t>
        </is>
      </c>
      <c r="J99" s="7" t="inlineStr">
        <is>
          <t>2026-08-13</t>
        </is>
      </c>
      <c r="K99" s="7" t="inlineStr">
        <is>
          <t>Open</t>
        </is>
      </c>
      <c r="L99" s="7" t="inlineStr">
        <is>
          <t>Inbound 1ZMD00000084 does not match register serial MD-NE-050084.</t>
        </is>
      </c>
      <c r="M99" s="12" t="inlineStr">
        <is>
          <t>Blocks certification</t>
        </is>
      </c>
    </row>
    <row r="100">
      <c r="A100" s="7" t="inlineStr">
        <is>
          <t>EX-0096</t>
        </is>
      </c>
      <c r="B100" s="7" t="inlineStr">
        <is>
          <t>Former Employee Assignment</t>
        </is>
      </c>
      <c r="C100" s="10" t="inlineStr">
        <is>
          <t>High</t>
        </is>
      </c>
      <c r="D100" s="7" t="inlineStr">
        <is>
          <t>MD-00084</t>
        </is>
      </c>
      <c r="E100" s="7" t="inlineStr">
        <is>
          <t>MD-NE-050084</t>
        </is>
      </c>
      <c r="F100" s="7" t="inlineStr">
        <is>
          <t>Employee:E0072; Ticket:OFF-00084</t>
        </is>
      </c>
      <c r="G100" s="7" t="n">
        <v>533.85</v>
      </c>
      <c r="H100" s="7" t="inlineStr">
        <is>
          <t>MD-00084 still names a leaver (E0072). Close the assignment.</t>
        </is>
      </c>
      <c r="I100" s="7" t="inlineStr">
        <is>
          <t>HR Operations Lead</t>
        </is>
      </c>
      <c r="J100" s="7" t="inlineStr">
        <is>
          <t>2026-08-16</t>
        </is>
      </c>
      <c r="K100" s="7" t="inlineStr">
        <is>
          <t>Open</t>
        </is>
      </c>
      <c r="L100" s="7" t="inlineStr">
        <is>
          <t>EX-0096 cites MD-00084 assigned to terminated E0072 despite OFF-00084.</t>
        </is>
      </c>
      <c r="M100" s="7" t="inlineStr">
        <is>
          <t>Requires remediation</t>
        </is>
      </c>
    </row>
    <row r="101">
      <c r="A101" s="7" t="inlineStr">
        <is>
          <t>EX-0097</t>
        </is>
      </c>
      <c r="B101" s="7" t="inlineStr">
        <is>
          <t>Former Employee Assignment</t>
        </is>
      </c>
      <c r="C101" s="10" t="inlineStr">
        <is>
          <t>High</t>
        </is>
      </c>
      <c r="D101" s="7" t="inlineStr">
        <is>
          <t>MD-00085</t>
        </is>
      </c>
      <c r="E101" s="7" t="inlineStr">
        <is>
          <t>MD-LA-050085</t>
        </is>
      </c>
      <c r="F101" s="7" t="inlineStr">
        <is>
          <t>Employee:E0073; Ticket:OFF-00085; Tracking:1ZMD00000085</t>
        </is>
      </c>
      <c r="G101" s="7" t="n">
        <v>0</v>
      </c>
      <c r="H101" s="7" t="inlineStr">
        <is>
          <t>People side closed via OFF-00085; asset row still lists E0073. Fix custodian.</t>
        </is>
      </c>
      <c r="I101" s="7" t="inlineStr">
        <is>
          <t>HR Operations Lead</t>
        </is>
      </c>
      <c r="J101" s="7" t="inlineStr">
        <is>
          <t>2026-08-16</t>
        </is>
      </c>
      <c r="K101" s="7" t="inlineStr">
        <is>
          <t>Open</t>
        </is>
      </c>
      <c r="L101" s="7" t="inlineStr">
        <is>
          <t>People extract vs register: MD-00085 retained leaver E0073. OFF-00085.</t>
        </is>
      </c>
      <c r="M101" s="7" t="inlineStr">
        <is>
          <t>Requires remediation</t>
        </is>
      </c>
    </row>
    <row r="102">
      <c r="A102" s="7" t="inlineStr">
        <is>
          <t>EX-0098</t>
        </is>
      </c>
      <c r="B102" s="7" t="inlineStr">
        <is>
          <t>Inventory-to-Ledger Difference</t>
        </is>
      </c>
      <c r="C102" s="10" t="inlineStr">
        <is>
          <t>High</t>
        </is>
      </c>
      <c r="D102" s="7" t="inlineStr">
        <is>
          <t>MD-00085</t>
        </is>
      </c>
      <c r="E102" s="7" t="inlineStr">
        <is>
          <t>MD-LA-050085</t>
        </is>
      </c>
      <c r="F102" s="7" t="inlineStr">
        <is>
          <t>Ledger:FA-000085; PO:PO-2024-0015; RegisterCost:1895.0; LedgerCost:2090.0</t>
        </is>
      </c>
      <c r="G102" s="7" t="n">
        <v>195</v>
      </c>
      <c r="H102" s="7" t="inlineStr">
        <is>
          <t>Align cost on MD-00085: register 1895.0 vs ledger 2090.0 (FA-000085).</t>
        </is>
      </c>
      <c r="I102" s="7" t="inlineStr">
        <is>
          <t>Finance Controller</t>
        </is>
      </c>
      <c r="J102" s="7" t="inlineStr">
        <is>
          <t>2026-08-21</t>
        </is>
      </c>
      <c r="K102" s="7" t="inlineStr">
        <is>
          <t>Open</t>
        </is>
      </c>
      <c r="L102" s="7" t="inlineStr">
        <is>
          <t>Basis mismatch documented for MD-00085 (1895.0 vs 2090.0).</t>
        </is>
      </c>
      <c r="M102" s="7" t="inlineStr">
        <is>
          <t>Requires remediation</t>
        </is>
      </c>
    </row>
    <row r="103">
      <c r="A103" s="7" t="inlineStr">
        <is>
          <t>EX-0099</t>
        </is>
      </c>
      <c r="B103" s="7" t="inlineStr">
        <is>
          <t>Former Employee Assignment</t>
        </is>
      </c>
      <c r="C103" s="10" t="inlineStr">
        <is>
          <t>High</t>
        </is>
      </c>
      <c r="D103" s="7" t="inlineStr">
        <is>
          <t>MD-00086</t>
        </is>
      </c>
      <c r="E103" s="7" t="inlineStr">
        <is>
          <t>MD-MO-050086</t>
        </is>
      </c>
      <c r="F103" s="7" t="inlineStr">
        <is>
          <t>Employee:E0074; Ticket:OFF-00086; Tracking:1ZMD00000086</t>
        </is>
      </c>
      <c r="G103" s="7" t="n">
        <v>317.07</v>
      </c>
      <c r="H103" s="7" t="inlineStr">
        <is>
          <t>HR shows E0074 gone - remove as custodian on MD-00086 (OFF-00086).</t>
        </is>
      </c>
      <c r="I103" s="7" t="inlineStr">
        <is>
          <t>HR Operations Lead</t>
        </is>
      </c>
      <c r="J103" s="7" t="inlineStr">
        <is>
          <t>2026-08-16</t>
        </is>
      </c>
      <c r="K103" s="7" t="inlineStr">
        <is>
          <t>Open</t>
        </is>
      </c>
      <c r="L103" s="7" t="inlineStr">
        <is>
          <t>Compared HR row E0074 to register row MD-00086 - assignment stale (EX-0099).</t>
        </is>
      </c>
      <c r="M103" s="7" t="inlineStr">
        <is>
          <t>Requires remediation</t>
        </is>
      </c>
    </row>
    <row r="104">
      <c r="A104" s="7" t="inlineStr">
        <is>
          <t>EX-0100</t>
        </is>
      </c>
      <c r="B104" s="7" t="inlineStr">
        <is>
          <t>Former Employee Assignment</t>
        </is>
      </c>
      <c r="C104" s="10" t="inlineStr">
        <is>
          <t>High</t>
        </is>
      </c>
      <c r="D104" s="7" t="inlineStr">
        <is>
          <t>MD-00087</t>
        </is>
      </c>
      <c r="E104" s="7" t="inlineStr">
        <is>
          <t>MD-MO-050087</t>
        </is>
      </c>
      <c r="F104" s="7" t="inlineStr">
        <is>
          <t>Employee:E0075; Ticket:OFF-00087; Tracking:1ZMD00000087</t>
        </is>
      </c>
      <c r="G104" s="7" t="n">
        <v>609.71</v>
      </c>
      <c r="H104" s="7" t="inlineStr">
        <is>
          <t>Assignment on MD-00087 survived HR term for E0075. Correct it.</t>
        </is>
      </c>
      <c r="I104" s="7" t="inlineStr">
        <is>
          <t>HR Operations Lead</t>
        </is>
      </c>
      <c r="J104" s="7" t="inlineStr">
        <is>
          <t>2026-08-16</t>
        </is>
      </c>
      <c r="K104" s="7" t="inlineStr">
        <is>
          <t>Open</t>
        </is>
      </c>
      <c r="L104" s="7" t="inlineStr">
        <is>
          <t>Register owner on MD-00087 is stale relative to HR for E0075 (EX-0100).</t>
        </is>
      </c>
      <c r="M104" s="7" t="inlineStr">
        <is>
          <t>Requires remediation</t>
        </is>
      </c>
    </row>
    <row r="105">
      <c r="A105" s="7" t="inlineStr">
        <is>
          <t>EX-0101</t>
        </is>
      </c>
      <c r="B105" s="7" t="inlineStr">
        <is>
          <t>Former Employee Assignment</t>
        </is>
      </c>
      <c r="C105" s="10" t="inlineStr">
        <is>
          <t>High</t>
        </is>
      </c>
      <c r="D105" s="7" t="inlineStr">
        <is>
          <t>MD-00088</t>
        </is>
      </c>
      <c r="E105" s="7" t="inlineStr">
        <is>
          <t>MD-NE-050088</t>
        </is>
      </c>
      <c r="F105" s="7" t="inlineStr">
        <is>
          <t>Employee:E0076; Ticket:OFF-00088; Tracking:1ZMD00000088</t>
        </is>
      </c>
      <c r="G105" s="7" t="n">
        <v>982.55</v>
      </c>
      <c r="H105" s="7" t="inlineStr">
        <is>
          <t>People side closed via OFF-00088; asset row still lists E0076. Fix custodian.</t>
        </is>
      </c>
      <c r="I105" s="7" t="inlineStr">
        <is>
          <t>HR Operations Lead</t>
        </is>
      </c>
      <c r="J105" s="7" t="inlineStr">
        <is>
          <t>2026-08-16</t>
        </is>
      </c>
      <c r="K105" s="7" t="inlineStr">
        <is>
          <t>Open</t>
        </is>
      </c>
      <c r="L105" s="7" t="inlineStr">
        <is>
          <t>Compared HR row E0076 to register row MD-00088 - assignment stale (EX-0101).</t>
        </is>
      </c>
      <c r="M105" s="7" t="inlineStr">
        <is>
          <t>Requires remediation</t>
        </is>
      </c>
    </row>
    <row r="106">
      <c r="A106" s="7" t="inlineStr">
        <is>
          <t>EX-0102</t>
        </is>
      </c>
      <c r="B106" s="7" t="inlineStr">
        <is>
          <t>Duplicate Serial Number</t>
        </is>
      </c>
      <c r="C106" s="10" t="inlineStr">
        <is>
          <t>High</t>
        </is>
      </c>
      <c r="D106" s="7" t="inlineStr">
        <is>
          <t>MD-00088</t>
        </is>
      </c>
      <c r="E106" s="7" t="inlineStr">
        <is>
          <t>MD-NE-050088</t>
        </is>
      </c>
      <c r="F106" s="7" t="inlineStr">
        <is>
          <t>Duplicate serial MD-NE-050088 across MD-00088 and MD-00092; Serial:MD-NE-050088; AlsoTagged:MD-00088,MD-00092</t>
        </is>
      </c>
      <c r="G106" s="7" t="n">
        <v>982.55</v>
      </c>
      <c r="H106" s="7" t="inlineStr">
        <is>
          <t>Duplicate MD-NE-050088 - MD-00088 and MD-00088,MD-00092. Neither is clean until retag.</t>
        </is>
      </c>
      <c r="I106" s="7" t="inlineStr">
        <is>
          <t>IT Asset Specialist</t>
        </is>
      </c>
      <c r="J106" s="7" t="inlineStr">
        <is>
          <t>2026-08-18</t>
        </is>
      </c>
      <c r="K106" s="7" t="inlineStr">
        <is>
          <t>Open</t>
        </is>
      </c>
      <c r="L106" s="7" t="inlineStr">
        <is>
          <t>Serial MD-NE-050088 appears on more than one tag (MD-00088,MD-00092).</t>
        </is>
      </c>
      <c r="M106" s="7" t="inlineStr">
        <is>
          <t>Requires remediation</t>
        </is>
      </c>
    </row>
    <row r="107">
      <c r="A107" s="7" t="inlineStr">
        <is>
          <t>EX-0103</t>
        </is>
      </c>
      <c r="B107" s="7" t="inlineStr">
        <is>
          <t>Cannot Locate</t>
        </is>
      </c>
      <c r="C107" s="8" t="inlineStr">
        <is>
          <t>Critical</t>
        </is>
      </c>
      <c r="D107" s="7" t="inlineStr">
        <is>
          <t>MD-00089</t>
        </is>
      </c>
      <c r="E107" s="7" t="inlineStr">
        <is>
          <t>MD-LA-050089</t>
        </is>
      </c>
      <c r="F107" s="7" t="inlineStr">
        <is>
          <t>Ticket:OFF-00089; Transfer:TR-00089; LastRegisterLocation:Denver - Closed</t>
        </is>
      </c>
      <c r="G107" s="7" t="n">
        <v>0</v>
      </c>
      <c r="H107" s="7" t="inlineStr">
        <is>
          <t>No scan/cert/count for MD-00089. Missing, not In Use (EX-0103).</t>
        </is>
      </c>
      <c r="I107" s="7" t="inlineStr">
        <is>
          <t>IT Operations Manager</t>
        </is>
      </c>
      <c r="J107" s="7" t="inlineStr">
        <is>
          <t>2026-08-12</t>
        </is>
      </c>
      <c r="K107" s="7" t="inlineStr">
        <is>
          <t>Open</t>
        </is>
      </c>
      <c r="L107" s="7" t="inlineStr">
        <is>
          <t>Could not place MD-00089 from available transactions (EX-0103).</t>
        </is>
      </c>
      <c r="M107" s="12" t="inlineStr">
        <is>
          <t>Blocks certification</t>
        </is>
      </c>
    </row>
    <row r="108">
      <c r="A108" s="7" t="inlineStr">
        <is>
          <t>EX-0104</t>
        </is>
      </c>
      <c r="B108" s="7" t="inlineStr">
        <is>
          <t>Former Employee Assignment</t>
        </is>
      </c>
      <c r="C108" s="8" t="inlineStr">
        <is>
          <t>Critical</t>
        </is>
      </c>
      <c r="D108" s="7" t="inlineStr">
        <is>
          <t>MD-00089</t>
        </is>
      </c>
      <c r="E108" s="7" t="inlineStr">
        <is>
          <t>MD-LA-050089</t>
        </is>
      </c>
      <c r="F108" s="7" t="inlineStr">
        <is>
          <t>Employee:E0077; Ticket:OFF-00089</t>
        </is>
      </c>
      <c r="G108" s="7" t="n">
        <v>0</v>
      </c>
      <c r="H108" s="7" t="inlineStr">
        <is>
          <t>Custodian field on MD-00089 still equals E0077; that is the fix.</t>
        </is>
      </c>
      <c r="I108" s="7" t="inlineStr">
        <is>
          <t>HR Operations Lead</t>
        </is>
      </c>
      <c r="J108" s="7" t="inlineStr">
        <is>
          <t>2026-08-16</t>
        </is>
      </c>
      <c r="K108" s="7" t="inlineStr">
        <is>
          <t>Open</t>
        </is>
      </c>
      <c r="L108" s="7" t="inlineStr">
        <is>
          <t>Register owner on MD-00089 is stale relative to HR for E0077 (EX-0104).</t>
        </is>
      </c>
      <c r="M108" s="12" t="inlineStr">
        <is>
          <t>Blocks certification</t>
        </is>
      </c>
    </row>
    <row r="109">
      <c r="A109" s="7" t="inlineStr">
        <is>
          <t>EX-0105</t>
        </is>
      </c>
      <c r="B109" s="7" t="inlineStr">
        <is>
          <t>Cannot Locate</t>
        </is>
      </c>
      <c r="C109" s="8" t="inlineStr">
        <is>
          <t>Critical</t>
        </is>
      </c>
      <c r="D109" s="7" t="inlineStr">
        <is>
          <t>MD-00090</t>
        </is>
      </c>
      <c r="E109" s="7" t="inlineStr">
        <is>
          <t>MD-MO-050090</t>
        </is>
      </c>
      <c r="F109" s="7" t="inlineStr">
        <is>
          <t>Ticket:OFF-00090; Transfer:TR-00090; LastRegisterLocation:Chicago - Closed</t>
        </is>
      </c>
      <c r="G109" s="7" t="n">
        <v>465.13</v>
      </c>
      <c r="H109" s="7" t="inlineStr">
        <is>
          <t>Security review + locate. MD-00090 remains Missing (EX-0105).</t>
        </is>
      </c>
      <c r="I109" s="7" t="inlineStr">
        <is>
          <t>IT Operations Manager</t>
        </is>
      </c>
      <c r="J109" s="7" t="inlineStr">
        <is>
          <t>2026-08-12</t>
        </is>
      </c>
      <c r="K109" s="7" t="inlineStr">
        <is>
          <t>Open</t>
        </is>
      </c>
      <c r="L109" s="7" t="inlineStr">
        <is>
          <t>Files do not locate MD-00090; Missing remains appropriate (EX-0105).</t>
        </is>
      </c>
      <c r="M109" s="12" t="inlineStr">
        <is>
          <t>Blocks certification</t>
        </is>
      </c>
    </row>
    <row r="110">
      <c r="A110" s="7" t="inlineStr">
        <is>
          <t>EX-0106</t>
        </is>
      </c>
      <c r="B110" s="7" t="inlineStr">
        <is>
          <t>Former Employee Assignment</t>
        </is>
      </c>
      <c r="C110" s="8" t="inlineStr">
        <is>
          <t>Critical</t>
        </is>
      </c>
      <c r="D110" s="7" t="inlineStr">
        <is>
          <t>MD-00090</t>
        </is>
      </c>
      <c r="E110" s="7" t="inlineStr">
        <is>
          <t>MD-MO-050090</t>
        </is>
      </c>
      <c r="F110" s="7" t="inlineStr">
        <is>
          <t>Employee:E0078; Ticket:OFF-00090</t>
        </is>
      </c>
      <c r="G110" s="7" t="n">
        <v>465.13</v>
      </c>
      <c r="H110" s="7" t="inlineStr">
        <is>
          <t>Recover or write-off later; first take E0078 off MD-00090.</t>
        </is>
      </c>
      <c r="I110" s="7" t="inlineStr">
        <is>
          <t>HR Operations Lead</t>
        </is>
      </c>
      <c r="J110" s="7" t="inlineStr">
        <is>
          <t>2026-08-16</t>
        </is>
      </c>
      <c r="K110" s="7" t="inlineStr">
        <is>
          <t>Open</t>
        </is>
      </c>
      <c r="L110" s="7" t="inlineStr">
        <is>
          <t>HR lists E0078 as separated; register still assigns MD-00090 (EX-0106).</t>
        </is>
      </c>
      <c r="M110" s="12" t="inlineStr">
        <is>
          <t>Blocks certification</t>
        </is>
      </c>
    </row>
    <row r="111">
      <c r="A111" s="7" t="inlineStr">
        <is>
          <t>EX-0107</t>
        </is>
      </c>
      <c r="B111" s="7" t="inlineStr">
        <is>
          <t>Cannot Locate</t>
        </is>
      </c>
      <c r="C111" s="8" t="inlineStr">
        <is>
          <t>Critical</t>
        </is>
      </c>
      <c r="D111" s="7" t="inlineStr">
        <is>
          <t>MD-00091</t>
        </is>
      </c>
      <c r="E111" s="7" t="inlineStr">
        <is>
          <t>MD-MO-050091</t>
        </is>
      </c>
      <c r="F111" s="7" t="inlineStr">
        <is>
          <t>Ticket:OFF-00091; Transfer:TR-00091; LastRegisterLocation:Denver - Closed</t>
        </is>
      </c>
      <c r="G111" s="7" t="n">
        <v>643.09</v>
      </c>
      <c r="H111" s="7" t="inlineStr">
        <is>
          <t>Write-off only with approval; until then MD-00091 is Missing (EX-0107).</t>
        </is>
      </c>
      <c r="I111" s="7" t="inlineStr">
        <is>
          <t>IT Operations Manager</t>
        </is>
      </c>
      <c r="J111" s="7" t="inlineStr">
        <is>
          <t>2026-08-12</t>
        </is>
      </c>
      <c r="K111" s="7" t="inlineStr">
        <is>
          <t>Open</t>
        </is>
      </c>
      <c r="L111" s="7" t="inlineStr">
        <is>
          <t>MD-00091 not found in inbound or stock after Denver - Closed (EX-0107).</t>
        </is>
      </c>
      <c r="M111" s="12" t="inlineStr">
        <is>
          <t>Blocks certification</t>
        </is>
      </c>
    </row>
    <row r="112">
      <c r="A112" s="7" t="inlineStr">
        <is>
          <t>EX-0108</t>
        </is>
      </c>
      <c r="B112" s="7" t="inlineStr">
        <is>
          <t>Former Employee Assignment</t>
        </is>
      </c>
      <c r="C112" s="8" t="inlineStr">
        <is>
          <t>Critical</t>
        </is>
      </c>
      <c r="D112" s="7" t="inlineStr">
        <is>
          <t>MD-00091</t>
        </is>
      </c>
      <c r="E112" s="7" t="inlineStr">
        <is>
          <t>MD-MO-050091</t>
        </is>
      </c>
      <c r="F112" s="7" t="inlineStr">
        <is>
          <t>Employee:E0079; Ticket:OFF-00091</t>
        </is>
      </c>
      <c r="G112" s="7" t="n">
        <v>643.09</v>
      </c>
      <c r="H112" s="7" t="inlineStr">
        <is>
          <t>Unassign E0079 from MD-00091; hold under Regional IT / IT Stock.</t>
        </is>
      </c>
      <c r="I112" s="7" t="inlineStr">
        <is>
          <t>HR Operations Lead</t>
        </is>
      </c>
      <c r="J112" s="7" t="inlineStr">
        <is>
          <t>2026-08-16</t>
        </is>
      </c>
      <c r="K112" s="7" t="inlineStr">
        <is>
          <t>Open</t>
        </is>
      </c>
      <c r="L112" s="7" t="inlineStr">
        <is>
          <t>Leaver E0079 remains on MD-00091 in the inventory extract (EX-0108).</t>
        </is>
      </c>
      <c r="M112" s="12" t="inlineStr">
        <is>
          <t>Blocks certification</t>
        </is>
      </c>
    </row>
    <row r="113">
      <c r="A113" s="7" t="inlineStr">
        <is>
          <t>EX-0109</t>
        </is>
      </c>
      <c r="B113" s="7" t="inlineStr">
        <is>
          <t>Cannot Locate</t>
        </is>
      </c>
      <c r="C113" s="8" t="inlineStr">
        <is>
          <t>Critical</t>
        </is>
      </c>
      <c r="D113" s="7" t="inlineStr">
        <is>
          <t>MD-00092</t>
        </is>
      </c>
      <c r="E113" s="7" t="inlineStr">
        <is>
          <t>MD-NE-050088</t>
        </is>
      </c>
      <c r="F113" s="7" t="inlineStr">
        <is>
          <t>Ticket:OFF-00092; Transfer:TR-00092; LastRegisterLocation:Chicago - Closed</t>
        </is>
      </c>
      <c r="G113" s="7" t="n">
        <v>1396.04</v>
      </c>
      <c r="H113" s="7" t="inlineStr">
        <is>
          <t>No scan/cert/count for MD-00092. Missing, not In Use (EX-0109).</t>
        </is>
      </c>
      <c r="I113" s="7" t="inlineStr">
        <is>
          <t>IT Operations Manager</t>
        </is>
      </c>
      <c r="J113" s="7" t="inlineStr">
        <is>
          <t>2026-08-12</t>
        </is>
      </c>
      <c r="K113" s="7" t="inlineStr">
        <is>
          <t>Open</t>
        </is>
      </c>
      <c r="L113" s="7" t="inlineStr">
        <is>
          <t>MD-00092 not found in inbound or stock after Chicago - Closed (EX-0109).</t>
        </is>
      </c>
      <c r="M113" s="12" t="inlineStr">
        <is>
          <t>Blocks certification</t>
        </is>
      </c>
    </row>
    <row r="114">
      <c r="A114" s="7" t="inlineStr">
        <is>
          <t>EX-0110</t>
        </is>
      </c>
      <c r="B114" s="7" t="inlineStr">
        <is>
          <t>Former Employee Assignment</t>
        </is>
      </c>
      <c r="C114" s="8" t="inlineStr">
        <is>
          <t>Critical</t>
        </is>
      </c>
      <c r="D114" s="7" t="inlineStr">
        <is>
          <t>MD-00092</t>
        </is>
      </c>
      <c r="E114" s="7" t="inlineStr">
        <is>
          <t>MD-NE-050088</t>
        </is>
      </c>
      <c r="F114" s="7" t="inlineStr">
        <is>
          <t>Employee:E0080; Ticket:OFF-00092</t>
        </is>
      </c>
      <c r="G114" s="7" t="n">
        <v>1396.04</v>
      </c>
      <c r="H114" s="7" t="inlineStr">
        <is>
          <t>Stock or Regional IT must replace E0080 on MD-00092.</t>
        </is>
      </c>
      <c r="I114" s="7" t="inlineStr">
        <is>
          <t>HR Operations Lead</t>
        </is>
      </c>
      <c r="J114" s="7" t="inlineStr">
        <is>
          <t>2026-08-16</t>
        </is>
      </c>
      <c r="K114" s="7" t="inlineStr">
        <is>
          <t>Open</t>
        </is>
      </c>
      <c r="L114" s="7" t="inlineStr">
        <is>
          <t>Custodian mismatch MD-00092↔E0080 documented under EX-0110.</t>
        </is>
      </c>
      <c r="M114" s="12" t="inlineStr">
        <is>
          <t>Blocks certification</t>
        </is>
      </c>
    </row>
    <row r="115">
      <c r="A115" s="7" t="inlineStr">
        <is>
          <t>EX-0111</t>
        </is>
      </c>
      <c r="B115" s="7" t="inlineStr">
        <is>
          <t>Duplicate Serial Number</t>
        </is>
      </c>
      <c r="C115" s="10" t="inlineStr">
        <is>
          <t>High</t>
        </is>
      </c>
      <c r="D115" s="7" t="inlineStr">
        <is>
          <t>MD-00092</t>
        </is>
      </c>
      <c r="E115" s="7" t="inlineStr">
        <is>
          <t>MD-NE-050088</t>
        </is>
      </c>
      <c r="F115" s="7" t="inlineStr">
        <is>
          <t>Duplicate serial MD-NE-050088 across MD-00088 and MD-00092; Serial:MD-NE-050088; AlsoTagged:MD-00088,MD-00092</t>
        </is>
      </c>
      <c r="G115" s="7" t="n">
        <v>1396.04</v>
      </c>
      <c r="H115" s="7" t="inlineStr">
        <is>
          <t>Two assets share MD-NE-050088 (MD-00088,MD-00092). Bench-validate and issue a new serial.</t>
        </is>
      </c>
      <c r="I115" s="7" t="inlineStr">
        <is>
          <t>IT Asset Specialist</t>
        </is>
      </c>
      <c r="J115" s="7" t="inlineStr">
        <is>
          <t>2026-08-18</t>
        </is>
      </c>
      <c r="K115" s="7" t="inlineStr">
        <is>
          <t>Open</t>
        </is>
      </c>
      <c r="L115" s="7" t="inlineStr">
        <is>
          <t>Two assets share MD-NE-050088; MD-00092 is one of them.</t>
        </is>
      </c>
      <c r="M115" s="7" t="inlineStr">
        <is>
          <t>Requires remediation</t>
        </is>
      </c>
    </row>
    <row r="116">
      <c r="A116" s="7" t="inlineStr">
        <is>
          <t>EX-0112</t>
        </is>
      </c>
      <c r="B116" s="7" t="inlineStr">
        <is>
          <t>Cannot Locate</t>
        </is>
      </c>
      <c r="C116" s="8" t="inlineStr">
        <is>
          <t>Critical</t>
        </is>
      </c>
      <c r="D116" s="7" t="inlineStr">
        <is>
          <t>MD-00093</t>
        </is>
      </c>
      <c r="E116" s="7" t="inlineStr">
        <is>
          <t>MD-LA-050093</t>
        </is>
      </c>
      <c r="F116" s="7" t="inlineStr">
        <is>
          <t>Ticket:OFF-00093; Transfer:TR-00093; LastRegisterLocation:Denver - Closed</t>
        </is>
      </c>
      <c r="G116" s="7" t="n">
        <v>130.57</v>
      </c>
      <c r="H116" s="7" t="inlineStr">
        <is>
          <t>Security review + locate. MD-00093 remains Missing (EX-0112).</t>
        </is>
      </c>
      <c r="I116" s="7" t="inlineStr">
        <is>
          <t>IT Operations Manager</t>
        </is>
      </c>
      <c r="J116" s="7" t="inlineStr">
        <is>
          <t>2026-08-12</t>
        </is>
      </c>
      <c r="K116" s="7" t="inlineStr">
        <is>
          <t>Open</t>
        </is>
      </c>
      <c r="L116" s="7" t="inlineStr">
        <is>
          <t>MD-00093 not found in inbound or stock after Denver - Closed (EX-0112).</t>
        </is>
      </c>
      <c r="M116" s="12" t="inlineStr">
        <is>
          <t>Blocks certification</t>
        </is>
      </c>
    </row>
    <row r="117">
      <c r="A117" s="7" t="inlineStr">
        <is>
          <t>EX-0113</t>
        </is>
      </c>
      <c r="B117" s="7" t="inlineStr">
        <is>
          <t>Former Employee Assignment</t>
        </is>
      </c>
      <c r="C117" s="8" t="inlineStr">
        <is>
          <t>Critical</t>
        </is>
      </c>
      <c r="D117" s="7" t="inlineStr">
        <is>
          <t>MD-00093</t>
        </is>
      </c>
      <c r="E117" s="7" t="inlineStr">
        <is>
          <t>MD-LA-050093</t>
        </is>
      </c>
      <c r="F117" s="7" t="inlineStr">
        <is>
          <t>Employee:E0081; Ticket:OFF-00093</t>
        </is>
      </c>
      <c r="G117" s="7" t="n">
        <v>130.57</v>
      </c>
      <c r="H117" s="7" t="inlineStr">
        <is>
          <t>Stock or Regional IT must replace E0081 on MD-00093.</t>
        </is>
      </c>
      <c r="I117" s="7" t="inlineStr">
        <is>
          <t>HR Operations Lead</t>
        </is>
      </c>
      <c r="J117" s="7" t="inlineStr">
        <is>
          <t>2026-08-16</t>
        </is>
      </c>
      <c r="K117" s="7" t="inlineStr">
        <is>
          <t>Open</t>
        </is>
      </c>
      <c r="L117" s="7" t="inlineStr">
        <is>
          <t>HR lists E0081 as separated; register still assigns MD-00093 (EX-0113).</t>
        </is>
      </c>
      <c r="M117" s="12" t="inlineStr">
        <is>
          <t>Blocks certification</t>
        </is>
      </c>
    </row>
    <row r="118">
      <c r="A118" s="7" t="inlineStr">
        <is>
          <t>EX-0114</t>
        </is>
      </c>
      <c r="B118" s="7" t="inlineStr">
        <is>
          <t>Cannot Locate</t>
        </is>
      </c>
      <c r="C118" s="8" t="inlineStr">
        <is>
          <t>Critical</t>
        </is>
      </c>
      <c r="D118" s="7" t="inlineStr">
        <is>
          <t>MD-00094</t>
        </is>
      </c>
      <c r="E118" s="7" t="inlineStr">
        <is>
          <t>MD-MO-050094</t>
        </is>
      </c>
      <c r="F118" s="7" t="inlineStr">
        <is>
          <t>Ticket:OFF-00094; Transfer:TR-00094; LastRegisterLocation:Chicago - Closed</t>
        </is>
      </c>
      <c r="G118" s="7" t="n">
        <v>431.2</v>
      </c>
      <c r="H118" s="7" t="inlineStr">
        <is>
          <t>Write-off only with approval; until then MD-00094 is Missing (EX-0114).</t>
        </is>
      </c>
      <c r="I118" s="7" t="inlineStr">
        <is>
          <t>IT Operations Manager</t>
        </is>
      </c>
      <c r="J118" s="7" t="inlineStr">
        <is>
          <t>2026-08-12</t>
        </is>
      </c>
      <c r="K118" s="7" t="inlineStr">
        <is>
          <t>Open</t>
        </is>
      </c>
      <c r="L118" s="7" t="inlineStr">
        <is>
          <t>Nothing physical confirms MD-00094 at Unknown (EX-0114).</t>
        </is>
      </c>
      <c r="M118" s="12" t="inlineStr">
        <is>
          <t>Blocks certification</t>
        </is>
      </c>
    </row>
    <row r="119">
      <c r="A119" s="7" t="inlineStr">
        <is>
          <t>EX-0115</t>
        </is>
      </c>
      <c r="B119" s="7" t="inlineStr">
        <is>
          <t>Former Employee Assignment</t>
        </is>
      </c>
      <c r="C119" s="8" t="inlineStr">
        <is>
          <t>Critical</t>
        </is>
      </c>
      <c r="D119" s="7" t="inlineStr">
        <is>
          <t>MD-00094</t>
        </is>
      </c>
      <c r="E119" s="7" t="inlineStr">
        <is>
          <t>MD-MO-050094</t>
        </is>
      </c>
      <c r="F119" s="7" t="inlineStr">
        <is>
          <t>Employee:E0082; Ticket:OFF-00094</t>
        </is>
      </c>
      <c r="G119" s="7" t="n">
        <v>431.2</v>
      </c>
      <c r="H119" s="7" t="inlineStr">
        <is>
          <t>Term cleanup - MD-00094 should not remain with E0082.</t>
        </is>
      </c>
      <c r="I119" s="7" t="inlineStr">
        <is>
          <t>HR Operations Lead</t>
        </is>
      </c>
      <c r="J119" s="7" t="inlineStr">
        <is>
          <t>2026-08-16</t>
        </is>
      </c>
      <c r="K119" s="7" t="inlineStr">
        <is>
          <t>Open</t>
        </is>
      </c>
      <c r="L119" s="7" t="inlineStr">
        <is>
          <t>MD-00094 custodian equals terminated ID E0082 - EX-0115.</t>
        </is>
      </c>
      <c r="M119" s="12" t="inlineStr">
        <is>
          <t>Blocks certification</t>
        </is>
      </c>
    </row>
    <row r="120">
      <c r="A120" s="7" t="inlineStr">
        <is>
          <t>EX-0116</t>
        </is>
      </c>
      <c r="B120" s="7" t="inlineStr">
        <is>
          <t>Cannot Locate</t>
        </is>
      </c>
      <c r="C120" s="8" t="inlineStr">
        <is>
          <t>Critical</t>
        </is>
      </c>
      <c r="D120" s="7" t="inlineStr">
        <is>
          <t>MD-00095</t>
        </is>
      </c>
      <c r="E120" s="7" t="inlineStr">
        <is>
          <t>MD-MO-050095</t>
        </is>
      </c>
      <c r="F120" s="7" t="inlineStr">
        <is>
          <t>Ticket:OFF-00095; Transfer:TR-00095; LastRegisterLocation:Denver - Closed</t>
        </is>
      </c>
      <c r="G120" s="7" t="n">
        <v>894.87</v>
      </c>
      <c r="H120" s="7" t="inlineStr">
        <is>
          <t>MD-00095 dropped after Denver - Closed. Investigate; do not tidy status (EX-0116).</t>
        </is>
      </c>
      <c r="I120" s="7" t="inlineStr">
        <is>
          <t>IT Operations Manager</t>
        </is>
      </c>
      <c r="J120" s="7" t="inlineStr">
        <is>
          <t>2026-08-12</t>
        </is>
      </c>
      <c r="K120" s="7" t="inlineStr">
        <is>
          <t>Open</t>
        </is>
      </c>
      <c r="L120" s="7" t="inlineStr">
        <is>
          <t>Files do not locate MD-00095; Missing remains appropriate (EX-0116).</t>
        </is>
      </c>
      <c r="M120" s="12" t="inlineStr">
        <is>
          <t>Blocks certification</t>
        </is>
      </c>
    </row>
    <row r="121">
      <c r="A121" s="7" t="inlineStr">
        <is>
          <t>EX-0117</t>
        </is>
      </c>
      <c r="B121" s="7" t="inlineStr">
        <is>
          <t>Former Employee Assignment</t>
        </is>
      </c>
      <c r="C121" s="8" t="inlineStr">
        <is>
          <t>Critical</t>
        </is>
      </c>
      <c r="D121" s="7" t="inlineStr">
        <is>
          <t>MD-00095</t>
        </is>
      </c>
      <c r="E121" s="7" t="inlineStr">
        <is>
          <t>MD-MO-050095</t>
        </is>
      </c>
      <c r="F121" s="7" t="inlineStr">
        <is>
          <t>Employee:E0083; Ticket:OFF-00095</t>
        </is>
      </c>
      <c r="G121" s="7" t="n">
        <v>894.87</v>
      </c>
      <c r="H121" s="7" t="inlineStr">
        <is>
          <t>Close people assignment on MD-00095; ticket OFF-00095.</t>
        </is>
      </c>
      <c r="I121" s="7" t="inlineStr">
        <is>
          <t>HR Operations Lead</t>
        </is>
      </c>
      <c r="J121" s="7" t="inlineStr">
        <is>
          <t>2026-08-16</t>
        </is>
      </c>
      <c r="K121" s="7" t="inlineStr">
        <is>
          <t>Open</t>
        </is>
      </c>
      <c r="L121" s="7" t="inlineStr">
        <is>
          <t>Custodian mismatch MD-00095↔E0083 documented under EX-0117.</t>
        </is>
      </c>
      <c r="M121" s="12" t="inlineStr">
        <is>
          <t>Blocks certification</t>
        </is>
      </c>
    </row>
    <row r="122">
      <c r="A122" s="7" t="inlineStr">
        <is>
          <t>EX-0118</t>
        </is>
      </c>
      <c r="B122" s="7" t="inlineStr">
        <is>
          <t>Cannot Locate</t>
        </is>
      </c>
      <c r="C122" s="8" t="inlineStr">
        <is>
          <t>Critical</t>
        </is>
      </c>
      <c r="D122" s="7" t="inlineStr">
        <is>
          <t>MD-00096</t>
        </is>
      </c>
      <c r="E122" s="7" t="inlineStr">
        <is>
          <t>MD-NE-050096</t>
        </is>
      </c>
      <c r="F122" s="7" t="inlineStr">
        <is>
          <t>Ticket:OFF-00096; Transfer:TR-00096; LastRegisterLocation:Chicago - Closed</t>
        </is>
      </c>
      <c r="G122" s="7" t="n">
        <v>511.01</v>
      </c>
      <c r="H122" s="7" t="inlineStr">
        <is>
          <t>Start loss process for MD-00096; not in Unknown and not in receiving (EX-0118).</t>
        </is>
      </c>
      <c r="I122" s="7" t="inlineStr">
        <is>
          <t>IT Operations Manager</t>
        </is>
      </c>
      <c r="J122" s="7" t="inlineStr">
        <is>
          <t>2026-08-12</t>
        </is>
      </c>
      <c r="K122" s="7" t="inlineStr">
        <is>
          <t>Open</t>
        </is>
      </c>
      <c r="L122" s="7" t="inlineStr">
        <is>
          <t>Search trail cold for MD-00096 (OFF-00096). Last register site Chicago - Closed (EX-0118).</t>
        </is>
      </c>
      <c r="M122" s="12" t="inlineStr">
        <is>
          <t>Blocks certification</t>
        </is>
      </c>
    </row>
    <row r="123">
      <c r="A123" s="7" t="inlineStr">
        <is>
          <t>EX-0119</t>
        </is>
      </c>
      <c r="B123" s="7" t="inlineStr">
        <is>
          <t>Former Employee Assignment</t>
        </is>
      </c>
      <c r="C123" s="8" t="inlineStr">
        <is>
          <t>Critical</t>
        </is>
      </c>
      <c r="D123" s="7" t="inlineStr">
        <is>
          <t>MD-00096</t>
        </is>
      </c>
      <c r="E123" s="7" t="inlineStr">
        <is>
          <t>MD-NE-050096</t>
        </is>
      </c>
      <c r="F123" s="7" t="inlineStr">
        <is>
          <t>Employee:E0084; Ticket:OFF-00096</t>
        </is>
      </c>
      <c r="G123" s="7" t="n">
        <v>511.01</v>
      </c>
      <c r="H123" s="7" t="inlineStr">
        <is>
          <t>HR Operations Lead: remove E0084 from MD-00096 and park the kit.</t>
        </is>
      </c>
      <c r="I123" s="7" t="inlineStr">
        <is>
          <t>HR Operations Lead</t>
        </is>
      </c>
      <c r="J123" s="7" t="inlineStr">
        <is>
          <t>2026-08-16</t>
        </is>
      </c>
      <c r="K123" s="7" t="inlineStr">
        <is>
          <t>Open</t>
        </is>
      </c>
      <c r="L123" s="7" t="inlineStr">
        <is>
          <t>Offboarding closed for E0084; asset row did not follow for MD-00096 (EX-0119).</t>
        </is>
      </c>
      <c r="M123" s="12" t="inlineStr">
        <is>
          <t>Blocks certification</t>
        </is>
      </c>
    </row>
    <row r="124">
      <c r="A124" s="7" t="inlineStr">
        <is>
          <t>EX-0120</t>
        </is>
      </c>
      <c r="B124" s="7" t="inlineStr">
        <is>
          <t>Cannot Locate</t>
        </is>
      </c>
      <c r="C124" s="8" t="inlineStr">
        <is>
          <t>Critical</t>
        </is>
      </c>
      <c r="D124" s="7" t="inlineStr">
        <is>
          <t>MD-00097</t>
        </is>
      </c>
      <c r="E124" s="7" t="inlineStr">
        <is>
          <t>MD-LA-050097</t>
        </is>
      </c>
      <c r="F124" s="7" t="inlineStr">
        <is>
          <t>Ticket:OFF-00097; Transfer:TR-00097; LastRegisterLocation:Denver - Closed</t>
        </is>
      </c>
      <c r="G124" s="7" t="n">
        <v>0</v>
      </c>
      <c r="H124" s="7" t="inlineStr">
        <is>
          <t>Loss investigation on MD-00097; keep Missing until found or write-off (EX-0120).</t>
        </is>
      </c>
      <c r="I124" s="7" t="inlineStr">
        <is>
          <t>IT Operations Manager</t>
        </is>
      </c>
      <c r="J124" s="7" t="inlineStr">
        <is>
          <t>2026-08-12</t>
        </is>
      </c>
      <c r="K124" s="7" t="inlineStr">
        <is>
          <t>Open</t>
        </is>
      </c>
      <c r="L124" s="7" t="inlineStr">
        <is>
          <t>Search trail cold for MD-00097 (OFF-00097). Last register site Denver - Closed (EX-0120).</t>
        </is>
      </c>
      <c r="M124" s="12" t="inlineStr">
        <is>
          <t>Blocks certification</t>
        </is>
      </c>
    </row>
    <row r="125">
      <c r="A125" s="7" t="inlineStr">
        <is>
          <t>EX-0121</t>
        </is>
      </c>
      <c r="B125" s="7" t="inlineStr">
        <is>
          <t>Former Employee Assignment</t>
        </is>
      </c>
      <c r="C125" s="8" t="inlineStr">
        <is>
          <t>Critical</t>
        </is>
      </c>
      <c r="D125" s="7" t="inlineStr">
        <is>
          <t>MD-00097</t>
        </is>
      </c>
      <c r="E125" s="7" t="inlineStr">
        <is>
          <t>MD-LA-050097</t>
        </is>
      </c>
      <c r="F125" s="7" t="inlineStr">
        <is>
          <t>Employee:E0085; Ticket:OFF-00097</t>
        </is>
      </c>
      <c r="G125" s="7" t="n">
        <v>0</v>
      </c>
      <c r="H125" s="7" t="inlineStr">
        <is>
          <t>Do not leave MD-00097 assigned to E0085 on the extract.</t>
        </is>
      </c>
      <c r="I125" s="7" t="inlineStr">
        <is>
          <t>HR Operations Lead</t>
        </is>
      </c>
      <c r="J125" s="7" t="inlineStr">
        <is>
          <t>2026-08-16</t>
        </is>
      </c>
      <c r="K125" s="7" t="inlineStr">
        <is>
          <t>Open</t>
        </is>
      </c>
      <c r="L125" s="7" t="inlineStr">
        <is>
          <t>Offboarding closed for E0085; asset row did not follow for MD-00097 (EX-0121).</t>
        </is>
      </c>
      <c r="M125" s="12" t="inlineStr">
        <is>
          <t>Blocks certification</t>
        </is>
      </c>
    </row>
    <row r="126">
      <c r="A126" s="7" t="inlineStr">
        <is>
          <t>EX-0122</t>
        </is>
      </c>
      <c r="B126" s="7" t="inlineStr">
        <is>
          <t>Cannot Locate</t>
        </is>
      </c>
      <c r="C126" s="8" t="inlineStr">
        <is>
          <t>Critical</t>
        </is>
      </c>
      <c r="D126" s="7" t="inlineStr">
        <is>
          <t>MD-00098</t>
        </is>
      </c>
      <c r="E126" s="7" t="inlineStr">
        <is>
          <t>MD-MO-050098</t>
        </is>
      </c>
      <c r="F126" s="7" t="inlineStr">
        <is>
          <t>Ticket:OFF-00098; Transfer:TR-00098; LastRegisterLocation:Chicago - Closed</t>
        </is>
      </c>
      <c r="G126" s="7" t="n">
        <v>266.87</v>
      </c>
      <c r="H126" s="7" t="inlineStr">
        <is>
          <t>Write-off only with approval; until then MD-00098 is Missing (EX-0122).</t>
        </is>
      </c>
      <c r="I126" s="7" t="inlineStr">
        <is>
          <t>IT Operations Manager</t>
        </is>
      </c>
      <c r="J126" s="7" t="inlineStr">
        <is>
          <t>2026-08-12</t>
        </is>
      </c>
      <c r="K126" s="7" t="inlineStr">
        <is>
          <t>Open</t>
        </is>
      </c>
      <c r="L126" s="7" t="inlineStr">
        <is>
          <t>Could not place MD-00098 from available transactions (EX-0122).</t>
        </is>
      </c>
      <c r="M126" s="12" t="inlineStr">
        <is>
          <t>Blocks certification</t>
        </is>
      </c>
    </row>
    <row r="127">
      <c r="A127" s="7" t="inlineStr">
        <is>
          <t>EX-0123</t>
        </is>
      </c>
      <c r="B127" s="7" t="inlineStr">
        <is>
          <t>Former Employee Assignment</t>
        </is>
      </c>
      <c r="C127" s="8" t="inlineStr">
        <is>
          <t>Critical</t>
        </is>
      </c>
      <c r="D127" s="7" t="inlineStr">
        <is>
          <t>MD-00098</t>
        </is>
      </c>
      <c r="E127" s="7" t="inlineStr">
        <is>
          <t>MD-MO-050098</t>
        </is>
      </c>
      <c r="F127" s="7" t="inlineStr">
        <is>
          <t>Employee:E0086; Ticket:OFF-00098</t>
        </is>
      </c>
      <c r="G127" s="7" t="n">
        <v>266.87</v>
      </c>
      <c r="H127" s="7" t="inlineStr">
        <is>
          <t>Move MD-00098 to Regional IT holding after E0086 exit.</t>
        </is>
      </c>
      <c r="I127" s="7" t="inlineStr">
        <is>
          <t>HR Operations Lead</t>
        </is>
      </c>
      <c r="J127" s="7" t="inlineStr">
        <is>
          <t>2026-08-16</t>
        </is>
      </c>
      <c r="K127" s="7" t="inlineStr">
        <is>
          <t>Open</t>
        </is>
      </c>
      <c r="L127" s="7" t="inlineStr">
        <is>
          <t>Register owner on MD-00098 is stale relative to HR for E0086 (EX-0123).</t>
        </is>
      </c>
      <c r="M127" s="12" t="inlineStr">
        <is>
          <t>Blocks certification</t>
        </is>
      </c>
    </row>
    <row r="128">
      <c r="A128" s="7" t="inlineStr">
        <is>
          <t>EX-0124</t>
        </is>
      </c>
      <c r="B128" s="7" t="inlineStr">
        <is>
          <t>Cannot Locate</t>
        </is>
      </c>
      <c r="C128" s="8" t="inlineStr">
        <is>
          <t>Critical</t>
        </is>
      </c>
      <c r="D128" s="7" t="inlineStr">
        <is>
          <t>MD-00099</t>
        </is>
      </c>
      <c r="E128" s="7" t="inlineStr">
        <is>
          <t>MD-MO-050099</t>
        </is>
      </c>
      <c r="F128" s="7" t="inlineStr">
        <is>
          <t>Ticket:OFF-00099; Transfer:TR-00099; LastRegisterLocation:Denver - Closed</t>
        </is>
      </c>
      <c r="G128" s="7" t="n">
        <v>548.24</v>
      </c>
      <c r="H128" s="7" t="inlineStr">
        <is>
          <t>Cannot locate MD-00099 (OFF-00099). Missing until count or approved write-off (EX-0124).</t>
        </is>
      </c>
      <c r="I128" s="7" t="inlineStr">
        <is>
          <t>IT Operations Manager</t>
        </is>
      </c>
      <c r="J128" s="7" t="inlineStr">
        <is>
          <t>2026-08-12</t>
        </is>
      </c>
      <c r="K128" s="7" t="inlineStr">
        <is>
          <t>Open</t>
        </is>
      </c>
      <c r="L128" s="7" t="inlineStr">
        <is>
          <t>Search trail cold for MD-00099 (OFF-00099). Last register site Denver - Closed (EX-0124).</t>
        </is>
      </c>
      <c r="M128" s="12" t="inlineStr">
        <is>
          <t>Blocks certification</t>
        </is>
      </c>
    </row>
    <row r="129">
      <c r="A129" s="7" t="inlineStr">
        <is>
          <t>EX-0125</t>
        </is>
      </c>
      <c r="B129" s="7" t="inlineStr">
        <is>
          <t>Former Employee Assignment</t>
        </is>
      </c>
      <c r="C129" s="8" t="inlineStr">
        <is>
          <t>Critical</t>
        </is>
      </c>
      <c r="D129" s="7" t="inlineStr">
        <is>
          <t>MD-00099</t>
        </is>
      </c>
      <c r="E129" s="7" t="inlineStr">
        <is>
          <t>MD-MO-050099</t>
        </is>
      </c>
      <c r="F129" s="7" t="inlineStr">
        <is>
          <t>Employee:E0087; Ticket:OFF-00099</t>
        </is>
      </c>
      <c r="G129" s="7" t="n">
        <v>548.24</v>
      </c>
      <c r="H129" s="7" t="inlineStr">
        <is>
          <t>Assignment on MD-00099 survived HR term for E0087. Correct it.</t>
        </is>
      </c>
      <c r="I129" s="7" t="inlineStr">
        <is>
          <t>HR Operations Lead</t>
        </is>
      </c>
      <c r="J129" s="7" t="inlineStr">
        <is>
          <t>2026-08-16</t>
        </is>
      </c>
      <c r="K129" s="7" t="inlineStr">
        <is>
          <t>Open</t>
        </is>
      </c>
      <c r="L129" s="7" t="inlineStr">
        <is>
          <t>Offboarding closed for E0087; asset row did not follow for MD-00099 (EX-0125).</t>
        </is>
      </c>
      <c r="M129" s="12" t="inlineStr">
        <is>
          <t>Blocks certification</t>
        </is>
      </c>
    </row>
    <row r="130">
      <c r="A130" s="7" t="inlineStr">
        <is>
          <t>EX-0126</t>
        </is>
      </c>
      <c r="B130" s="7" t="inlineStr">
        <is>
          <t>Cannot Locate</t>
        </is>
      </c>
      <c r="C130" s="8" t="inlineStr">
        <is>
          <t>Critical</t>
        </is>
      </c>
      <c r="D130" s="7" t="inlineStr">
        <is>
          <t>MD-00100</t>
        </is>
      </c>
      <c r="E130" s="7" t="inlineStr">
        <is>
          <t>MD-NE-050100</t>
        </is>
      </c>
      <c r="F130" s="7" t="inlineStr">
        <is>
          <t>Ticket:OFF-00100; Transfer:TR-00100; LastRegisterLocation:Chicago - Closed</t>
        </is>
      </c>
      <c r="G130" s="7" t="n">
        <v>927.36</v>
      </c>
      <c r="H130" s="7" t="inlineStr">
        <is>
          <t>IT Operations Manager: keep MD-00100 Missing on the register (EX-0126).</t>
        </is>
      </c>
      <c r="I130" s="7" t="inlineStr">
        <is>
          <t>IT Operations Manager</t>
        </is>
      </c>
      <c r="J130" s="7" t="inlineStr">
        <is>
          <t>2026-08-12</t>
        </is>
      </c>
      <c r="K130" s="7" t="inlineStr">
        <is>
          <t>Open</t>
        </is>
      </c>
      <c r="L130" s="7" t="inlineStr">
        <is>
          <t>No receiving scan, disposal cert, or count places MD-00100. Last site Chicago - Closed (EX-0126).</t>
        </is>
      </c>
      <c r="M130" s="12" t="inlineStr">
        <is>
          <t>Blocks certification</t>
        </is>
      </c>
    </row>
    <row r="131">
      <c r="A131" s="7" t="inlineStr">
        <is>
          <t>EX-0127</t>
        </is>
      </c>
      <c r="B131" s="7" t="inlineStr">
        <is>
          <t>Former Employee Assignment</t>
        </is>
      </c>
      <c r="C131" s="8" t="inlineStr">
        <is>
          <t>Critical</t>
        </is>
      </c>
      <c r="D131" s="7" t="inlineStr">
        <is>
          <t>MD-00100</t>
        </is>
      </c>
      <c r="E131" s="7" t="inlineStr">
        <is>
          <t>MD-NE-050100</t>
        </is>
      </c>
      <c r="F131" s="7" t="inlineStr">
        <is>
          <t>Employee:E0088; Ticket:OFF-00100</t>
        </is>
      </c>
      <c r="G131" s="7" t="n">
        <v>927.36</v>
      </c>
      <c r="H131" s="7" t="inlineStr">
        <is>
          <t>MD-00100 needs a stock/regional holder, not E0088.</t>
        </is>
      </c>
      <c r="I131" s="7" t="inlineStr">
        <is>
          <t>HR Operations Lead</t>
        </is>
      </c>
      <c r="J131" s="7" t="inlineStr">
        <is>
          <t>2026-08-16</t>
        </is>
      </c>
      <c r="K131" s="7" t="inlineStr">
        <is>
          <t>Open</t>
        </is>
      </c>
      <c r="L131" s="7" t="inlineStr">
        <is>
          <t>HR status for E0088 and register assignment on MD-00100 disagree (EX-0127).</t>
        </is>
      </c>
      <c r="M131" s="12" t="inlineStr">
        <is>
          <t>Blocks certification</t>
        </is>
      </c>
    </row>
    <row r="132">
      <c r="A132" s="7" t="inlineStr">
        <is>
          <t>EX-0128</t>
        </is>
      </c>
      <c r="B132" s="7" t="inlineStr">
        <is>
          <t>Missing Disposal Evidence</t>
        </is>
      </c>
      <c r="C132" s="10" t="inlineStr">
        <is>
          <t>High</t>
        </is>
      </c>
      <c r="D132" s="7" t="inlineStr">
        <is>
          <t>MD-00101</t>
        </is>
      </c>
      <c r="E132" s="7" t="inlineStr">
        <is>
          <t>MD-LA-050101</t>
        </is>
      </c>
      <c r="F132" s="7" t="inlineStr">
        <is>
          <t>Ticket:RET-00101; Transfer:TR-00101; Certificate:missing</t>
        </is>
      </c>
      <c r="G132" s="7" t="n">
        <v>0</v>
      </c>
      <c r="H132" s="7" t="inlineStr">
        <is>
          <t>Retirement parked for MD-00101 pending DC evidence (EX-0128).</t>
        </is>
      </c>
      <c r="I132" s="7" t="inlineStr">
        <is>
          <t>IT Asset Manager</t>
        </is>
      </c>
      <c r="J132" s="7" t="inlineStr">
        <is>
          <t>2026-08-23</t>
        </is>
      </c>
      <c r="K132" s="7" t="inlineStr">
        <is>
          <t>Open</t>
        </is>
      </c>
      <c r="L132" s="7" t="inlineStr">
        <is>
          <t>TR-00101 to recycler without DC for MD-00101 (EX-0128).</t>
        </is>
      </c>
      <c r="M132" s="7" t="inlineStr">
        <is>
          <t>Requires remediation</t>
        </is>
      </c>
    </row>
    <row r="133">
      <c r="A133" s="7" t="inlineStr">
        <is>
          <t>EX-0129</t>
        </is>
      </c>
      <c r="B133" s="7" t="inlineStr">
        <is>
          <t>Closed Location Assignment</t>
        </is>
      </c>
      <c r="C133" s="11" t="inlineStr">
        <is>
          <t>Medium</t>
        </is>
      </c>
      <c r="D133" s="7" t="inlineStr">
        <is>
          <t>MD-00101</t>
        </is>
      </c>
      <c r="E133" s="7" t="inlineStr">
        <is>
          <t>MD-LA-050101</t>
        </is>
      </c>
      <c r="F133" s="7" t="inlineStr">
        <is>
          <t>RegisterLocation:Denver - Closed; Transfer:TR-00101</t>
        </is>
      </c>
      <c r="G133" s="7" t="n">
        <v>0</v>
      </c>
      <c r="H133" s="7" t="inlineStr">
        <is>
          <t>MD-00101 cannot remain on shuttered floor Denver - Closed. Set location to Seattle (EX-0129).</t>
        </is>
      </c>
      <c r="I133" s="7" t="inlineStr">
        <is>
          <t>IT Asset Specialist</t>
        </is>
      </c>
      <c r="J133" s="7" t="inlineStr">
        <is>
          <t>2026-08-19</t>
        </is>
      </c>
      <c r="K133" s="7" t="inlineStr">
        <is>
          <t>Open</t>
        </is>
      </c>
      <c r="L133" s="7" t="inlineStr">
        <is>
          <t>Register still codes MD-00101 to Denver - Closed; TR-00101 points to Seattle (EX-0129).</t>
        </is>
      </c>
      <c r="M133" s="7" t="inlineStr">
        <is>
          <t>Requires remediation</t>
        </is>
      </c>
    </row>
    <row r="134">
      <c r="A134" s="7" t="inlineStr">
        <is>
          <t>EX-0130</t>
        </is>
      </c>
      <c r="B134" s="7" t="inlineStr">
        <is>
          <t>Missing Disposal Evidence</t>
        </is>
      </c>
      <c r="C134" s="10" t="inlineStr">
        <is>
          <t>High</t>
        </is>
      </c>
      <c r="D134" s="7" t="inlineStr">
        <is>
          <t>MD-00102</t>
        </is>
      </c>
      <c r="E134" s="7" t="inlineStr">
        <is>
          <t>MD-MO-050102</t>
        </is>
      </c>
      <c r="F134" s="7" t="inlineStr">
        <is>
          <t>Ticket:RET-00102; Transfer:TR-00102; Certificate:missing</t>
        </is>
      </c>
      <c r="G134" s="7" t="n">
        <v>407.54</v>
      </c>
      <c r="H134" s="7" t="inlineStr">
        <is>
          <t>Do not call MD-00102 disposed - certificate missing (EX-0130).</t>
        </is>
      </c>
      <c r="I134" s="7" t="inlineStr">
        <is>
          <t>IT Asset Manager</t>
        </is>
      </c>
      <c r="J134" s="7" t="inlineStr">
        <is>
          <t>2026-08-23</t>
        </is>
      </c>
      <c r="K134" s="7" t="inlineStr">
        <is>
          <t>Open</t>
        </is>
      </c>
      <c r="L134" s="7" t="inlineStr">
        <is>
          <t>No DC row ties to MD-MO-050102 for MD-00102 (EX-0130).</t>
        </is>
      </c>
      <c r="M134" s="7" t="inlineStr">
        <is>
          <t>Requires remediation</t>
        </is>
      </c>
    </row>
    <row r="135">
      <c r="A135" s="7" t="inlineStr">
        <is>
          <t>EX-0131</t>
        </is>
      </c>
      <c r="B135" s="7" t="inlineStr">
        <is>
          <t>Inventory-to-Ledger Difference</t>
        </is>
      </c>
      <c r="C135" s="10" t="inlineStr">
        <is>
          <t>High</t>
        </is>
      </c>
      <c r="D135" s="7" t="inlineStr">
        <is>
          <t>MD-00102</t>
        </is>
      </c>
      <c r="E135" s="7" t="inlineStr">
        <is>
          <t>MD-MO-050102</t>
        </is>
      </c>
      <c r="F135" s="7" t="inlineStr">
        <is>
          <t>Ledger:FA-000102; PO:PO-2022-0017; RegisterCost:700.0; LedgerCost:820.0</t>
        </is>
      </c>
      <c r="G135" s="7" t="n">
        <v>120</v>
      </c>
      <c r="H135" s="7" t="inlineStr">
        <is>
          <t>MD-00102 off vs FA-000102 (700.0 vs 820.0). Confirm which figure is correct.</t>
        </is>
      </c>
      <c r="I135" s="7" t="inlineStr">
        <is>
          <t>Finance Controller</t>
        </is>
      </c>
      <c r="J135" s="7" t="inlineStr">
        <is>
          <t>2026-08-21</t>
        </is>
      </c>
      <c r="K135" s="7" t="inlineStr">
        <is>
          <t>Open</t>
        </is>
      </c>
      <c r="L135" s="7" t="inlineStr">
        <is>
          <t>Cost spread on MD-00102: ITAM $700.0, FAR 820.0 (FA-000102).</t>
        </is>
      </c>
      <c r="M135" s="7" t="inlineStr">
        <is>
          <t>Requires remediation</t>
        </is>
      </c>
    </row>
    <row r="136">
      <c r="A136" s="7" t="inlineStr">
        <is>
          <t>EX-0132</t>
        </is>
      </c>
      <c r="B136" s="7" t="inlineStr">
        <is>
          <t>Closed Location Assignment</t>
        </is>
      </c>
      <c r="C136" s="11" t="inlineStr">
        <is>
          <t>Medium</t>
        </is>
      </c>
      <c r="D136" s="7" t="inlineStr">
        <is>
          <t>MD-00102</t>
        </is>
      </c>
      <c r="E136" s="7" t="inlineStr">
        <is>
          <t>MD-MO-050102</t>
        </is>
      </c>
      <c r="F136" s="7" t="inlineStr">
        <is>
          <t>RegisterLocation:Chicago - Closed; Transfer:TR-00102</t>
        </is>
      </c>
      <c r="G136" s="7" t="n">
        <v>407.54</v>
      </c>
      <c r="H136" s="7" t="inlineStr">
        <is>
          <t>Update register location for MD-00102 before the next cert packet (EX-0132).</t>
        </is>
      </c>
      <c r="I136" s="7" t="inlineStr">
        <is>
          <t>IT Asset Specialist</t>
        </is>
      </c>
      <c r="J136" s="7" t="inlineStr">
        <is>
          <t>2026-08-19</t>
        </is>
      </c>
      <c r="K136" s="7" t="inlineStr">
        <is>
          <t>Open</t>
        </is>
      </c>
      <c r="L136" s="7" t="inlineStr">
        <is>
          <t>MD-00102 remains on unused floor Chicago - Closed in the inventory file (EX-0132).</t>
        </is>
      </c>
      <c r="M136" s="7" t="inlineStr">
        <is>
          <t>Requires remediation</t>
        </is>
      </c>
    </row>
    <row r="137">
      <c r="A137" s="7" t="inlineStr">
        <is>
          <t>EX-0133</t>
        </is>
      </c>
      <c r="B137" s="7" t="inlineStr">
        <is>
          <t>Missing Disposal Evidence</t>
        </is>
      </c>
      <c r="C137" s="10" t="inlineStr">
        <is>
          <t>High</t>
        </is>
      </c>
      <c r="D137" s="7" t="inlineStr">
        <is>
          <t>MD-00103</t>
        </is>
      </c>
      <c r="E137" s="7" t="inlineStr">
        <is>
          <t>MD-MO-050103</t>
        </is>
      </c>
      <c r="F137" s="7" t="inlineStr">
        <is>
          <t>Ticket:RET-00103; Transfer:TR-00103; Certificate:missing</t>
        </is>
      </c>
      <c r="G137" s="7" t="n">
        <v>782.53</v>
      </c>
      <c r="H137" s="7" t="inlineStr">
        <is>
          <t>Obtain cert or restock MD-00103. Ticket RET-00103 (EX-0133).</t>
        </is>
      </c>
      <c r="I137" s="7" t="inlineStr">
        <is>
          <t>IT Asset Manager</t>
        </is>
      </c>
      <c r="J137" s="7" t="inlineStr">
        <is>
          <t>2026-08-23</t>
        </is>
      </c>
      <c r="K137" s="7" t="inlineStr">
        <is>
          <t>Open</t>
        </is>
      </c>
      <c r="L137" s="7" t="inlineStr">
        <is>
          <t>Retirement/disposal path for MD-00103 has no matching certificate (EX-0133).</t>
        </is>
      </c>
      <c r="M137" s="7" t="inlineStr">
        <is>
          <t>Requires remediation</t>
        </is>
      </c>
    </row>
    <row r="138">
      <c r="A138" s="7" t="inlineStr">
        <is>
          <t>EX-0134</t>
        </is>
      </c>
      <c r="B138" s="7" t="inlineStr">
        <is>
          <t>Closed Location Assignment</t>
        </is>
      </c>
      <c r="C138" s="11" t="inlineStr">
        <is>
          <t>Medium</t>
        </is>
      </c>
      <c r="D138" s="7" t="inlineStr">
        <is>
          <t>MD-00103</t>
        </is>
      </c>
      <c r="E138" s="7" t="inlineStr">
        <is>
          <t>MD-MO-050103</t>
        </is>
      </c>
      <c r="F138" s="7" t="inlineStr">
        <is>
          <t>RegisterLocation:Denver - Closed; Transfer:TR-00103</t>
        </is>
      </c>
      <c r="G138" s="7" t="n">
        <v>782.53</v>
      </c>
      <c r="H138" s="7" t="inlineStr">
        <is>
          <t>HR-aligned site for MD-00103 is Chicago; register still says Denver - Closed (EX-0134).</t>
        </is>
      </c>
      <c r="I138" s="7" t="inlineStr">
        <is>
          <t>IT Asset Specialist</t>
        </is>
      </c>
      <c r="J138" s="7" t="inlineStr">
        <is>
          <t>2026-08-19</t>
        </is>
      </c>
      <c r="K138" s="7" t="inlineStr">
        <is>
          <t>Open</t>
        </is>
      </c>
      <c r="L138" s="7" t="inlineStr">
        <is>
          <t>Walked register vs HR/transfer: MD-00103 still says Denver - Closed (EX-0134).</t>
        </is>
      </c>
      <c r="M138" s="7" t="inlineStr">
        <is>
          <t>Requires remediation</t>
        </is>
      </c>
    </row>
    <row r="139">
      <c r="A139" s="7" t="inlineStr">
        <is>
          <t>EX-0135</t>
        </is>
      </c>
      <c r="B139" s="7" t="inlineStr">
        <is>
          <t>Missing Disposal Evidence</t>
        </is>
      </c>
      <c r="C139" s="10" t="inlineStr">
        <is>
          <t>High</t>
        </is>
      </c>
      <c r="D139" s="7" t="inlineStr">
        <is>
          <t>MD-00104</t>
        </is>
      </c>
      <c r="E139" s="7" t="inlineStr">
        <is>
          <t>MD-NE-050104</t>
        </is>
      </c>
      <c r="F139" s="7" t="inlineStr">
        <is>
          <t>Ticket:RET-00104; Transfer:TR-00104; Certificate:missing</t>
        </is>
      </c>
      <c r="G139" s="7" t="n">
        <v>1403.83</v>
      </c>
      <c r="H139" s="7" t="inlineStr">
        <is>
          <t>Obtain cert or restock MD-00104. Ticket RET-00104 (EX-0135).</t>
        </is>
      </c>
      <c r="I139" s="7" t="inlineStr">
        <is>
          <t>IT Asset Manager</t>
        </is>
      </c>
      <c r="J139" s="7" t="inlineStr">
        <is>
          <t>2026-08-23</t>
        </is>
      </c>
      <c r="K139" s="7" t="inlineStr">
        <is>
          <t>Open</t>
        </is>
      </c>
      <c r="L139" s="7" t="inlineStr">
        <is>
          <t>TR-00104 to recycler without DC for MD-00104 (EX-0135).</t>
        </is>
      </c>
      <c r="M139" s="7" t="inlineStr">
        <is>
          <t>Requires remediation</t>
        </is>
      </c>
    </row>
    <row r="140">
      <c r="A140" s="7" t="inlineStr">
        <is>
          <t>EX-0136</t>
        </is>
      </c>
      <c r="B140" s="7" t="inlineStr">
        <is>
          <t>Closed Location Assignment</t>
        </is>
      </c>
      <c r="C140" s="11" t="inlineStr">
        <is>
          <t>Medium</t>
        </is>
      </c>
      <c r="D140" s="7" t="inlineStr">
        <is>
          <t>MD-00104</t>
        </is>
      </c>
      <c r="E140" s="7" t="inlineStr">
        <is>
          <t>MD-NE-050104</t>
        </is>
      </c>
      <c r="F140" s="7" t="inlineStr">
        <is>
          <t>RegisterLocation:Chicago - Closed; Transfer:TR-00104</t>
        </is>
      </c>
      <c r="G140" s="7" t="n">
        <v>1403.83</v>
      </c>
      <c r="H140" s="7" t="inlineStr">
        <is>
          <t>IT Asset Specialist owns the location rewrite for MD-00104 at Chicago - Closed (EX-0136).</t>
        </is>
      </c>
      <c r="I140" s="7" t="inlineStr">
        <is>
          <t>IT Asset Specialist</t>
        </is>
      </c>
      <c r="J140" s="7" t="inlineStr">
        <is>
          <t>2026-08-19</t>
        </is>
      </c>
      <c r="K140" s="7" t="inlineStr">
        <is>
          <t>Open</t>
        </is>
      </c>
      <c r="L140" s="7" t="inlineStr">
        <is>
          <t>Unused-office coding on MD-00104 is unsupported by movement files (EX-0136).</t>
        </is>
      </c>
      <c r="M140" s="7" t="inlineStr">
        <is>
          <t>Requires remediation</t>
        </is>
      </c>
    </row>
    <row r="141">
      <c r="A141" s="7" t="inlineStr">
        <is>
          <t>EX-0137</t>
        </is>
      </c>
      <c r="B141" s="7" t="inlineStr">
        <is>
          <t>Missing Disposal Evidence</t>
        </is>
      </c>
      <c r="C141" s="10" t="inlineStr">
        <is>
          <t>High</t>
        </is>
      </c>
      <c r="D141" s="7" t="inlineStr">
        <is>
          <t>MD-00105</t>
        </is>
      </c>
      <c r="E141" s="7" t="inlineStr">
        <is>
          <t>MD-LA-050105</t>
        </is>
      </c>
      <c r="F141" s="7" t="inlineStr">
        <is>
          <t>Ticket:RET-00105; Transfer:TR-00105; Certificate:missing</t>
        </is>
      </c>
      <c r="G141" s="7" t="n">
        <v>104.26</v>
      </c>
      <c r="H141" s="7" t="inlineStr">
        <is>
          <t>Match a vendor cert to MD-LA-050105 or unwind retirement (EX-0137).</t>
        </is>
      </c>
      <c r="I141" s="7" t="inlineStr">
        <is>
          <t>IT Asset Manager</t>
        </is>
      </c>
      <c r="J141" s="7" t="inlineStr">
        <is>
          <t>2026-08-23</t>
        </is>
      </c>
      <c r="K141" s="7" t="inlineStr">
        <is>
          <t>Open</t>
        </is>
      </c>
      <c r="L141" s="7" t="inlineStr">
        <is>
          <t>No DC row ties to MD-LA-050105 for MD-00105 (EX-0137).</t>
        </is>
      </c>
      <c r="M141" s="7" t="inlineStr">
        <is>
          <t>Requires remediation</t>
        </is>
      </c>
    </row>
    <row r="142">
      <c r="A142" s="7" t="inlineStr">
        <is>
          <t>EX-0138</t>
        </is>
      </c>
      <c r="B142" s="7" t="inlineStr">
        <is>
          <t>Closed Location Assignment</t>
        </is>
      </c>
      <c r="C142" s="11" t="inlineStr">
        <is>
          <t>Medium</t>
        </is>
      </c>
      <c r="D142" s="7" t="inlineStr">
        <is>
          <t>MD-00105</t>
        </is>
      </c>
      <c r="E142" s="7" t="inlineStr">
        <is>
          <t>MD-LA-050105</t>
        </is>
      </c>
      <c r="F142" s="7" t="inlineStr">
        <is>
          <t>RegisterLocation:Denver - Closed; Transfer:TR-00105</t>
        </is>
      </c>
      <c r="G142" s="7" t="n">
        <v>104.26</v>
      </c>
      <c r="H142" s="7" t="inlineStr">
        <is>
          <t>MD-00105 / Denver - Closed is a consolidation leftover - move to Denver (EX-0138).</t>
        </is>
      </c>
      <c r="I142" s="7" t="inlineStr">
        <is>
          <t>IT Asset Specialist</t>
        </is>
      </c>
      <c r="J142" s="7" t="inlineStr">
        <is>
          <t>2026-08-19</t>
        </is>
      </c>
      <c r="K142" s="7" t="inlineStr">
        <is>
          <t>Open</t>
        </is>
      </c>
      <c r="L142" s="7" t="inlineStr">
        <is>
          <t>Register location Denver - Closed conflicts with current footprint for MD-00105 (EX-0138).</t>
        </is>
      </c>
      <c r="M142" s="7" t="inlineStr">
        <is>
          <t>Requires remediation</t>
        </is>
      </c>
    </row>
    <row r="143">
      <c r="A143" s="7" t="inlineStr">
        <is>
          <t>EX-0139</t>
        </is>
      </c>
      <c r="B143" s="7" t="inlineStr">
        <is>
          <t>Missing Disposal Evidence</t>
        </is>
      </c>
      <c r="C143" s="10" t="inlineStr">
        <is>
          <t>High</t>
        </is>
      </c>
      <c r="D143" s="7" t="inlineStr">
        <is>
          <t>MD-00106</t>
        </is>
      </c>
      <c r="E143" s="7" t="inlineStr">
        <is>
          <t>MD-MO-050106</t>
        </is>
      </c>
      <c r="F143" s="7" t="inlineStr">
        <is>
          <t>Ticket:RET-00106; Transfer:TR-00106; Certificate:missing</t>
        </is>
      </c>
      <c r="G143" s="7" t="n">
        <v>368.24</v>
      </c>
      <c r="H143" s="7" t="inlineStr">
        <is>
          <t>Hold retirement on MD-00106. Need disposal certificate or restock (EX-0139).</t>
        </is>
      </c>
      <c r="I143" s="7" t="inlineStr">
        <is>
          <t>IT Asset Manager</t>
        </is>
      </c>
      <c r="J143" s="7" t="inlineStr">
        <is>
          <t>2026-08-23</t>
        </is>
      </c>
      <c r="K143" s="7" t="inlineStr">
        <is>
          <t>Open</t>
        </is>
      </c>
      <c r="L143" s="7" t="inlineStr">
        <is>
          <t>Cert field empty on MD-00106; retirement not closed (EX-0139).</t>
        </is>
      </c>
      <c r="M143" s="7" t="inlineStr">
        <is>
          <t>Requires remediation</t>
        </is>
      </c>
    </row>
    <row r="144">
      <c r="A144" s="7" t="inlineStr">
        <is>
          <t>EX-0140</t>
        </is>
      </c>
      <c r="B144" s="7" t="inlineStr">
        <is>
          <t>Closed Location Assignment</t>
        </is>
      </c>
      <c r="C144" s="11" t="inlineStr">
        <is>
          <t>Medium</t>
        </is>
      </c>
      <c r="D144" s="7" t="inlineStr">
        <is>
          <t>MD-00106</t>
        </is>
      </c>
      <c r="E144" s="7" t="inlineStr">
        <is>
          <t>MD-MO-050106</t>
        </is>
      </c>
      <c r="F144" s="7" t="inlineStr">
        <is>
          <t>RegisterLocation:Chicago - Closed; Transfer:TR-00106</t>
        </is>
      </c>
      <c r="G144" s="7" t="n">
        <v>368.24</v>
      </c>
      <c r="H144" s="7" t="inlineStr">
        <is>
          <t>HR-aligned site for MD-00106 is New York; register still says Chicago - Closed (EX-0140).</t>
        </is>
      </c>
      <c r="I144" s="7" t="inlineStr">
        <is>
          <t>IT Asset Specialist</t>
        </is>
      </c>
      <c r="J144" s="7" t="inlineStr">
        <is>
          <t>2026-08-19</t>
        </is>
      </c>
      <c r="K144" s="7" t="inlineStr">
        <is>
          <t>Open</t>
        </is>
      </c>
      <c r="L144" s="7" t="inlineStr">
        <is>
          <t>Location evidence for MD-00106: closed floor Chicago - Closed vs live New York (EX-0140).</t>
        </is>
      </c>
      <c r="M144" s="7" t="inlineStr">
        <is>
          <t>Requires remediation</t>
        </is>
      </c>
    </row>
    <row r="145">
      <c r="A145" s="7" t="inlineStr">
        <is>
          <t>EX-0141</t>
        </is>
      </c>
      <c r="B145" s="7" t="inlineStr">
        <is>
          <t>Missing Disposal Evidence</t>
        </is>
      </c>
      <c r="C145" s="10" t="inlineStr">
        <is>
          <t>High</t>
        </is>
      </c>
      <c r="D145" s="7" t="inlineStr">
        <is>
          <t>MD-00107</t>
        </is>
      </c>
      <c r="E145" s="7" t="inlineStr">
        <is>
          <t>MD-MO-050107</t>
        </is>
      </c>
      <c r="F145" s="7" t="inlineStr">
        <is>
          <t>Ticket:RET-00107; Transfer:TR-00107; Certificate:missing</t>
        </is>
      </c>
      <c r="G145" s="7" t="n">
        <v>812.21</v>
      </c>
      <c r="H145" s="7" t="inlineStr">
        <is>
          <t>RET-00107 has no matching cert; MD-00107 stays pending-disposal (EX-0141).</t>
        </is>
      </c>
      <c r="I145" s="7" t="inlineStr">
        <is>
          <t>IT Asset Manager</t>
        </is>
      </c>
      <c r="J145" s="7" t="inlineStr">
        <is>
          <t>2026-08-23</t>
        </is>
      </c>
      <c r="K145" s="7" t="inlineStr">
        <is>
          <t>Open</t>
        </is>
      </c>
      <c r="L145" s="7" t="inlineStr">
        <is>
          <t>Retirement/disposal path for MD-00107 has no matching certificate (EX-0141).</t>
        </is>
      </c>
      <c r="M145" s="7" t="inlineStr">
        <is>
          <t>Requires remediation</t>
        </is>
      </c>
    </row>
    <row r="146">
      <c r="A146" s="7" t="inlineStr">
        <is>
          <t>EX-0142</t>
        </is>
      </c>
      <c r="B146" s="7" t="inlineStr">
        <is>
          <t>Closed Location Assignment</t>
        </is>
      </c>
      <c r="C146" s="11" t="inlineStr">
        <is>
          <t>Medium</t>
        </is>
      </c>
      <c r="D146" s="7" t="inlineStr">
        <is>
          <t>MD-00107</t>
        </is>
      </c>
      <c r="E146" s="7" t="inlineStr">
        <is>
          <t>MD-MO-050107</t>
        </is>
      </c>
      <c r="F146" s="7" t="inlineStr">
        <is>
          <t>RegisterLocation:Denver - Closed; Transfer:TR-00107</t>
        </is>
      </c>
      <c r="G146" s="7" t="n">
        <v>812.21</v>
      </c>
      <c r="H146" s="7" t="inlineStr">
        <is>
          <t>IT Asset Specialist owns the location rewrite for MD-00107 at Denver - Closed (EX-0142).</t>
        </is>
      </c>
      <c r="I146" s="7" t="inlineStr">
        <is>
          <t>IT Asset Specialist</t>
        </is>
      </c>
      <c r="J146" s="7" t="inlineStr">
        <is>
          <t>2026-08-19</t>
        </is>
      </c>
      <c r="K146" s="7" t="inlineStr">
        <is>
          <t>Open</t>
        </is>
      </c>
      <c r="L146" s="7" t="inlineStr">
        <is>
          <t>Register location Denver - Closed conflicts with current footprint for MD-00107 (EX-0142).</t>
        </is>
      </c>
      <c r="M146" s="7" t="inlineStr">
        <is>
          <t>Requires remediation</t>
        </is>
      </c>
    </row>
    <row r="147">
      <c r="A147" s="7" t="inlineStr">
        <is>
          <t>EX-0143</t>
        </is>
      </c>
      <c r="B147" s="7" t="inlineStr">
        <is>
          <t>Missing Disposal Evidence</t>
        </is>
      </c>
      <c r="C147" s="10" t="inlineStr">
        <is>
          <t>High</t>
        </is>
      </c>
      <c r="D147" s="7" t="inlineStr">
        <is>
          <t>MD-00108</t>
        </is>
      </c>
      <c r="E147" s="7" t="inlineStr">
        <is>
          <t>MD-NE-050108</t>
        </is>
      </c>
      <c r="F147" s="7" t="inlineStr">
        <is>
          <t>Ticket:RET-00108; Transfer:TR-00108; Certificate:missing</t>
        </is>
      </c>
      <c r="G147" s="7" t="n">
        <v>545.48</v>
      </c>
      <c r="H147" s="7" t="inlineStr">
        <is>
          <t>Hold retirement on MD-00108. Need disposal certificate or restock (EX-0143).</t>
        </is>
      </c>
      <c r="I147" s="7" t="inlineStr">
        <is>
          <t>IT Asset Manager</t>
        </is>
      </c>
      <c r="J147" s="7" t="inlineStr">
        <is>
          <t>2026-08-23</t>
        </is>
      </c>
      <c r="K147" s="7" t="inlineStr">
        <is>
          <t>Open</t>
        </is>
      </c>
      <c r="L147" s="7" t="inlineStr">
        <is>
          <t>No DC row ties to MD-NE-050108 for MD-00108 (EX-0143).</t>
        </is>
      </c>
      <c r="M147" s="7" t="inlineStr">
        <is>
          <t>Requires remediation</t>
        </is>
      </c>
    </row>
    <row r="148">
      <c r="A148" s="7" t="inlineStr">
        <is>
          <t>EX-0144</t>
        </is>
      </c>
      <c r="B148" s="7" t="inlineStr">
        <is>
          <t>Closed Location Assignment</t>
        </is>
      </c>
      <c r="C148" s="11" t="inlineStr">
        <is>
          <t>Medium</t>
        </is>
      </c>
      <c r="D148" s="7" t="inlineStr">
        <is>
          <t>MD-00108</t>
        </is>
      </c>
      <c r="E148" s="7" t="inlineStr">
        <is>
          <t>MD-NE-050108</t>
        </is>
      </c>
      <c r="F148" s="7" t="inlineStr">
        <is>
          <t>RegisterLocation:Chicago - Closed; Transfer:TR-00108</t>
        </is>
      </c>
      <c r="G148" s="7" t="n">
        <v>545.48</v>
      </c>
      <c r="H148" s="7" t="inlineStr">
        <is>
          <t>MD-00108 location field lagged after consolidation; update from Chicago - Closed to Atlanta (EX-0144).</t>
        </is>
      </c>
      <c r="I148" s="7" t="inlineStr">
        <is>
          <t>IT Asset Specialist</t>
        </is>
      </c>
      <c r="J148" s="7" t="inlineStr">
        <is>
          <t>2026-08-19</t>
        </is>
      </c>
      <c r="K148" s="7" t="inlineStr">
        <is>
          <t>Open</t>
        </is>
      </c>
      <c r="L148" s="7" t="inlineStr">
        <is>
          <t>Physical sites changed; MD-00108 register did not (Chicago - Closed, EX-0144).</t>
        </is>
      </c>
      <c r="M148" s="7" t="inlineStr">
        <is>
          <t>Requires remediation</t>
        </is>
      </c>
    </row>
    <row r="149">
      <c r="A149" s="7" t="inlineStr">
        <is>
          <t>EX-0145</t>
        </is>
      </c>
      <c r="B149" s="7" t="inlineStr">
        <is>
          <t>Missing Disposal Evidence</t>
        </is>
      </c>
      <c r="C149" s="10" t="inlineStr">
        <is>
          <t>High</t>
        </is>
      </c>
      <c r="D149" s="7" t="inlineStr">
        <is>
          <t>MD-00109</t>
        </is>
      </c>
      <c r="E149" s="7" t="inlineStr">
        <is>
          <t>MD-LA-050109</t>
        </is>
      </c>
      <c r="F149" s="7" t="inlineStr">
        <is>
          <t>Ticket:RET-00109; Transfer:TR-00109; Certificate:missing</t>
        </is>
      </c>
      <c r="G149" s="7" t="n">
        <v>0</v>
      </c>
      <c r="H149" s="7" t="inlineStr">
        <is>
          <t>ITAM hold - MD-00109 not gone until cert lists the tag (EX-0145).</t>
        </is>
      </c>
      <c r="I149" s="7" t="inlineStr">
        <is>
          <t>IT Asset Manager</t>
        </is>
      </c>
      <c r="J149" s="7" t="inlineStr">
        <is>
          <t>2026-08-23</t>
        </is>
      </c>
      <c r="K149" s="7" t="inlineStr">
        <is>
          <t>Open</t>
        </is>
      </c>
      <c r="L149" s="7" t="inlineStr">
        <is>
          <t>Retirement/disposal path for MD-00109 has no matching certificate (EX-0145).</t>
        </is>
      </c>
      <c r="M149" s="7" t="inlineStr">
        <is>
          <t>Requires remediation</t>
        </is>
      </c>
    </row>
    <row r="150">
      <c r="A150" s="7" t="inlineStr">
        <is>
          <t>EX-0146</t>
        </is>
      </c>
      <c r="B150" s="7" t="inlineStr">
        <is>
          <t>Closed Location Assignment</t>
        </is>
      </c>
      <c r="C150" s="11" t="inlineStr">
        <is>
          <t>Medium</t>
        </is>
      </c>
      <c r="D150" s="7" t="inlineStr">
        <is>
          <t>MD-00109</t>
        </is>
      </c>
      <c r="E150" s="7" t="inlineStr">
        <is>
          <t>MD-LA-050109</t>
        </is>
      </c>
      <c r="F150" s="7" t="inlineStr">
        <is>
          <t>RegisterLocation:Denver - Closed; Transfer:TR-00109</t>
        </is>
      </c>
      <c r="G150" s="7" t="n">
        <v>0</v>
      </c>
      <c r="H150" s="7" t="inlineStr">
        <is>
          <t>Denver - Closed is no longer occupied. Park MD-00109 at Chicago on the register (EX-0146).</t>
        </is>
      </c>
      <c r="I150" s="7" t="inlineStr">
        <is>
          <t>IT Asset Specialist</t>
        </is>
      </c>
      <c r="J150" s="7" t="inlineStr">
        <is>
          <t>2026-08-19</t>
        </is>
      </c>
      <c r="K150" s="7" t="inlineStr">
        <is>
          <t>Open</t>
        </is>
      </c>
      <c r="L150" s="7" t="inlineStr">
        <is>
          <t>Location evidence for MD-00109: closed floor Denver - Closed vs live Chicago (EX-0146).</t>
        </is>
      </c>
      <c r="M150" s="7" t="inlineStr">
        <is>
          <t>Requires remediation</t>
        </is>
      </c>
    </row>
    <row r="151">
      <c r="A151" s="7" t="inlineStr">
        <is>
          <t>EX-0147</t>
        </is>
      </c>
      <c r="B151" s="7" t="inlineStr">
        <is>
          <t>Missing Disposal Evidence</t>
        </is>
      </c>
      <c r="C151" s="10" t="inlineStr">
        <is>
          <t>High</t>
        </is>
      </c>
      <c r="D151" s="7" t="inlineStr">
        <is>
          <t>MD-00110</t>
        </is>
      </c>
      <c r="E151" s="7" t="inlineStr">
        <is>
          <t>MD-MO-050110</t>
        </is>
      </c>
      <c r="F151" s="7" t="inlineStr">
        <is>
          <t>Ticket:RET-00110; Transfer:TR-00110; Certificate:missing</t>
        </is>
      </c>
      <c r="G151" s="7" t="n">
        <v>387.24</v>
      </c>
      <c r="H151" s="7" t="inlineStr">
        <is>
          <t>Hold retirement on MD-00110. Need disposal certificate or restock (EX-0147).</t>
        </is>
      </c>
      <c r="I151" s="7" t="inlineStr">
        <is>
          <t>IT Asset Manager</t>
        </is>
      </c>
      <c r="J151" s="7" t="inlineStr">
        <is>
          <t>2026-08-23</t>
        </is>
      </c>
      <c r="K151" s="7" t="inlineStr">
        <is>
          <t>Open</t>
        </is>
      </c>
      <c r="L151" s="7" t="inlineStr">
        <is>
          <t>Cert field empty on MD-00110; retirement not closed (EX-0147).</t>
        </is>
      </c>
      <c r="M151" s="7" t="inlineStr">
        <is>
          <t>Requires remediation</t>
        </is>
      </c>
    </row>
    <row r="152">
      <c r="A152" s="7" t="inlineStr">
        <is>
          <t>EX-0148</t>
        </is>
      </c>
      <c r="B152" s="7" t="inlineStr">
        <is>
          <t>Closed Location Assignment</t>
        </is>
      </c>
      <c r="C152" s="11" t="inlineStr">
        <is>
          <t>Medium</t>
        </is>
      </c>
      <c r="D152" s="7" t="inlineStr">
        <is>
          <t>MD-00110</t>
        </is>
      </c>
      <c r="E152" s="7" t="inlineStr">
        <is>
          <t>MD-MO-050110</t>
        </is>
      </c>
      <c r="F152" s="7" t="inlineStr">
        <is>
          <t>RegisterLocation:Chicago - Closed; Transfer:TR-00110</t>
        </is>
      </c>
      <c r="G152" s="7" t="n">
        <v>387.24</v>
      </c>
      <c r="H152" s="7" t="inlineStr">
        <is>
          <t>Location on MD-00110 must reflect Dallas after the site close (EX-0148).</t>
        </is>
      </c>
      <c r="I152" s="7" t="inlineStr">
        <is>
          <t>IT Asset Specialist</t>
        </is>
      </c>
      <c r="J152" s="7" t="inlineStr">
        <is>
          <t>2026-08-19</t>
        </is>
      </c>
      <c r="K152" s="7" t="inlineStr">
        <is>
          <t>Open</t>
        </is>
      </c>
      <c r="L152" s="7" t="inlineStr">
        <is>
          <t>Chicago - Closed is shuttered. Did not leave MD-00110 there on paper - Dallas is live (EX-0148).</t>
        </is>
      </c>
      <c r="M152" s="7" t="inlineStr">
        <is>
          <t>Requires remediation</t>
        </is>
      </c>
    </row>
    <row r="153">
      <c r="A153" s="7" t="inlineStr">
        <is>
          <t>EX-0149</t>
        </is>
      </c>
      <c r="B153" s="7" t="inlineStr">
        <is>
          <t>Missing Disposal Evidence</t>
        </is>
      </c>
      <c r="C153" s="8" t="inlineStr">
        <is>
          <t>Critical</t>
        </is>
      </c>
      <c r="D153" s="7" t="inlineStr">
        <is>
          <t>MD-00114</t>
        </is>
      </c>
      <c r="E153" s="7" t="inlineStr">
        <is>
          <t>MD-MO-050114</t>
        </is>
      </c>
      <c r="F153" s="7" t="inlineStr">
        <is>
          <t>Ticket:RET-00114; Transfer:TR-00114; Certificate:missing</t>
        </is>
      </c>
      <c r="G153" s="7" t="n">
        <v>0</v>
      </c>
      <c r="H153" s="7" t="inlineStr">
        <is>
          <t>MD-00114: pending disposal with no DC row. Block close (EX-0149).</t>
        </is>
      </c>
      <c r="I153" s="7" t="inlineStr">
        <is>
          <t>IT Asset Manager</t>
        </is>
      </c>
      <c r="J153" s="7" t="inlineStr">
        <is>
          <t>2026-08-12</t>
        </is>
      </c>
      <c r="K153" s="7" t="inlineStr">
        <is>
          <t>Open</t>
        </is>
      </c>
      <c r="L153" s="7" t="inlineStr">
        <is>
          <t>No DC row ties to MD-MO-050114 for MD-00114 (EX-0149).</t>
        </is>
      </c>
      <c r="M153" s="12" t="inlineStr">
        <is>
          <t>Blocks certification</t>
        </is>
      </c>
    </row>
    <row r="154">
      <c r="A154" s="7" t="inlineStr">
        <is>
          <t>EX-0150</t>
        </is>
      </c>
      <c r="B154" s="7" t="inlineStr">
        <is>
          <t>Closed Location Assignment</t>
        </is>
      </c>
      <c r="C154" s="11" t="inlineStr">
        <is>
          <t>Medium</t>
        </is>
      </c>
      <c r="D154" s="7" t="inlineStr">
        <is>
          <t>MD-00114</t>
        </is>
      </c>
      <c r="E154" s="7" t="inlineStr">
        <is>
          <t>MD-MO-050114</t>
        </is>
      </c>
      <c r="F154" s="7" t="inlineStr">
        <is>
          <t>RegisterLocation:Chicago - Closed; Transfer:TR-00114</t>
        </is>
      </c>
      <c r="G154" s="7" t="n">
        <v>0</v>
      </c>
      <c r="H154" s="7" t="inlineStr">
        <is>
          <t>Remove closed-site coding on MD-00114 (Chicago - Closed → Disposed (certificate missing), EX-0150).</t>
        </is>
      </c>
      <c r="I154" s="7" t="inlineStr">
        <is>
          <t>IT Asset Specialist</t>
        </is>
      </c>
      <c r="J154" s="7" t="inlineStr">
        <is>
          <t>2026-08-19</t>
        </is>
      </c>
      <c r="K154" s="7" t="inlineStr">
        <is>
          <t>Open</t>
        </is>
      </c>
      <c r="L154" s="7" t="inlineStr">
        <is>
          <t>Register location Chicago - Closed conflicts with current footprint for MD-00114 (EX-0150).</t>
        </is>
      </c>
      <c r="M154" s="7" t="inlineStr">
        <is>
          <t>Requires remediation</t>
        </is>
      </c>
    </row>
    <row r="155">
      <c r="A155" s="7" t="inlineStr">
        <is>
          <t>EX-0151</t>
        </is>
      </c>
      <c r="B155" s="7" t="inlineStr">
        <is>
          <t>Missing Disposal Evidence</t>
        </is>
      </c>
      <c r="C155" s="8" t="inlineStr">
        <is>
          <t>Critical</t>
        </is>
      </c>
      <c r="D155" s="7" t="inlineStr">
        <is>
          <t>MD-00118</t>
        </is>
      </c>
      <c r="E155" s="7" t="inlineStr">
        <is>
          <t>MD-MO-050118</t>
        </is>
      </c>
      <c r="F155" s="7" t="inlineStr">
        <is>
          <t>Ticket:RET-00118; Transfer:TR-00118; Certificate:missing</t>
        </is>
      </c>
      <c r="G155" s="7" t="n">
        <v>0</v>
      </c>
      <c r="H155" s="7" t="inlineStr">
        <is>
          <t>Paperwork gap on MD-00118: cert or reverse the retire (EX-0151).</t>
        </is>
      </c>
      <c r="I155" s="7" t="inlineStr">
        <is>
          <t>IT Asset Manager</t>
        </is>
      </c>
      <c r="J155" s="7" t="inlineStr">
        <is>
          <t>2026-08-12</t>
        </is>
      </c>
      <c r="K155" s="7" t="inlineStr">
        <is>
          <t>Open</t>
        </is>
      </c>
      <c r="L155" s="7" t="inlineStr">
        <is>
          <t>Cert field empty on MD-00118; retirement not closed (EX-0151).</t>
        </is>
      </c>
      <c r="M155" s="12" t="inlineStr">
        <is>
          <t>Blocks certification</t>
        </is>
      </c>
    </row>
    <row r="156">
      <c r="A156" s="7" t="inlineStr">
        <is>
          <t>EX-0152</t>
        </is>
      </c>
      <c r="B156" s="7" t="inlineStr">
        <is>
          <t>Closed Location Assignment</t>
        </is>
      </c>
      <c r="C156" s="11" t="inlineStr">
        <is>
          <t>Medium</t>
        </is>
      </c>
      <c r="D156" s="7" t="inlineStr">
        <is>
          <t>MD-00118</t>
        </is>
      </c>
      <c r="E156" s="7" t="inlineStr">
        <is>
          <t>MD-MO-050118</t>
        </is>
      </c>
      <c r="F156" s="7" t="inlineStr">
        <is>
          <t>RegisterLocation:Chicago - Closed; Transfer:TR-00118</t>
        </is>
      </c>
      <c r="G156" s="7" t="n">
        <v>0</v>
      </c>
      <c r="H156" s="7" t="inlineStr">
        <is>
          <t>Do not leave MD-00118 assigned to unused floor Chicago - Closed (EX-0152).</t>
        </is>
      </c>
      <c r="I156" s="7" t="inlineStr">
        <is>
          <t>IT Asset Specialist</t>
        </is>
      </c>
      <c r="J156" s="7" t="inlineStr">
        <is>
          <t>2026-08-19</t>
        </is>
      </c>
      <c r="K156" s="7" t="inlineStr">
        <is>
          <t>Open</t>
        </is>
      </c>
      <c r="L156" s="7" t="inlineStr">
        <is>
          <t>Did not treat closed building Chicago - Closed as live location for MD-00118 (EX-0152).</t>
        </is>
      </c>
      <c r="M156" s="7" t="inlineStr">
        <is>
          <t>Requires remediation</t>
        </is>
      </c>
    </row>
    <row r="157">
      <c r="A157" s="7" t="inlineStr">
        <is>
          <t>EX-0153</t>
        </is>
      </c>
      <c r="B157" s="7" t="inlineStr">
        <is>
          <t>Inventory-to-Ledger Difference</t>
        </is>
      </c>
      <c r="C157" s="10" t="inlineStr">
        <is>
          <t>High</t>
        </is>
      </c>
      <c r="D157" s="7" t="inlineStr">
        <is>
          <t>MD-00119</t>
        </is>
      </c>
      <c r="E157" s="7" t="inlineStr">
        <is>
          <t>MD-MO-050119</t>
        </is>
      </c>
      <c r="F157" s="7" t="inlineStr">
        <is>
          <t>Ledger:FA-000119; PO:PO-2025-0020; RegisterCost:950.0; LedgerCost:1115.0</t>
        </is>
      </c>
      <c r="G157" s="7" t="n">
        <v>165</v>
      </c>
      <c r="H157" s="7" t="inlineStr">
        <is>
          <t>Finance Controller owns cost-basis cleanup on MD-00119.</t>
        </is>
      </c>
      <c r="I157" s="7" t="inlineStr">
        <is>
          <t>Finance Controller</t>
        </is>
      </c>
      <c r="J157" s="7" t="inlineStr">
        <is>
          <t>2026-08-21</t>
        </is>
      </c>
      <c r="K157" s="7" t="inlineStr">
        <is>
          <t>Open</t>
        </is>
      </c>
      <c r="L157" s="7" t="inlineStr">
        <is>
          <t>Basis mismatch documented for MD-00119 (950.0 vs 1115.0).</t>
        </is>
      </c>
      <c r="M157" s="7" t="inlineStr">
        <is>
          <t>Requires remediation</t>
        </is>
      </c>
    </row>
    <row r="158">
      <c r="A158" s="7" t="inlineStr">
        <is>
          <t>EX-0154</t>
        </is>
      </c>
      <c r="B158" s="7" t="inlineStr">
        <is>
          <t>Closed Location Assignment</t>
        </is>
      </c>
      <c r="C158" s="11" t="inlineStr">
        <is>
          <t>Medium</t>
        </is>
      </c>
      <c r="D158" s="7" t="inlineStr">
        <is>
          <t>MD-00121</t>
        </is>
      </c>
      <c r="E158" s="7" t="inlineStr">
        <is>
          <t>MD-LA-050121</t>
        </is>
      </c>
      <c r="F158" s="7" t="inlineStr">
        <is>
          <t>RegisterLocation:Denver - Closed; Transfer:TR-00121; VerifiedLocation:Chicago</t>
        </is>
      </c>
      <c r="G158" s="7" t="n">
        <v>0</v>
      </c>
      <c r="H158" s="7" t="inlineStr">
        <is>
          <t>Clear the leftover closed-office assignment on MD-00121 (EX-0154).</t>
        </is>
      </c>
      <c r="I158" s="7" t="inlineStr">
        <is>
          <t>IT Asset Specialist</t>
        </is>
      </c>
      <c r="J158" s="7" t="inlineStr">
        <is>
          <t>2026-08-19</t>
        </is>
      </c>
      <c r="K158" s="7" t="inlineStr">
        <is>
          <t>Open</t>
        </is>
      </c>
      <c r="L158" s="7" t="inlineStr">
        <is>
          <t>Closed floor Denver - Closed remains on MD-00121 despite transfer evidence (EX-0154, TR-00121).</t>
        </is>
      </c>
      <c r="M158" s="7" t="inlineStr">
        <is>
          <t>Requires remediation</t>
        </is>
      </c>
    </row>
    <row r="159">
      <c r="A159" s="7" t="inlineStr">
        <is>
          <t>EX-0155</t>
        </is>
      </c>
      <c r="B159" s="7" t="inlineStr">
        <is>
          <t>Closed Location Assignment</t>
        </is>
      </c>
      <c r="C159" s="11" t="inlineStr">
        <is>
          <t>Medium</t>
        </is>
      </c>
      <c r="D159" s="7" t="inlineStr">
        <is>
          <t>MD-00122</t>
        </is>
      </c>
      <c r="E159" s="7" t="inlineStr">
        <is>
          <t>MD-MO-050122</t>
        </is>
      </c>
      <c r="F159" s="7" t="inlineStr">
        <is>
          <t>RegisterLocation:Chicago - Closed; Transfer:TR-00122; VerifiedLocation:Dallas</t>
        </is>
      </c>
      <c r="G159" s="7" t="n">
        <v>336.15</v>
      </c>
      <c r="H159" s="7" t="inlineStr">
        <is>
          <t>IT Asset Specialist: recode MD-00122 off Chicago - Closed; Dallas is the live office per TR-00122 (EX-0155).</t>
        </is>
      </c>
      <c r="I159" s="7" t="inlineStr">
        <is>
          <t>IT Asset Specialist</t>
        </is>
      </c>
      <c r="J159" s="7" t="inlineStr">
        <is>
          <t>2026-08-19</t>
        </is>
      </c>
      <c r="K159" s="7" t="inlineStr">
        <is>
          <t>Open</t>
        </is>
      </c>
      <c r="L159" s="7" t="inlineStr">
        <is>
          <t>Walked register vs HR/transfer: MD-00122 still says Chicago - Closed (EX-0155).</t>
        </is>
      </c>
      <c r="M159" s="7" t="inlineStr">
        <is>
          <t>Requires remediation</t>
        </is>
      </c>
    </row>
    <row r="160">
      <c r="A160" s="7" t="inlineStr">
        <is>
          <t>EX-0156</t>
        </is>
      </c>
      <c r="B160" s="7" t="inlineStr">
        <is>
          <t>Closed Location Assignment</t>
        </is>
      </c>
      <c r="C160" s="11" t="inlineStr">
        <is>
          <t>Medium</t>
        </is>
      </c>
      <c r="D160" s="7" t="inlineStr">
        <is>
          <t>MD-00123</t>
        </is>
      </c>
      <c r="E160" s="7" t="inlineStr">
        <is>
          <t>MD-MO-050123</t>
        </is>
      </c>
      <c r="F160" s="7" t="inlineStr">
        <is>
          <t>RegisterLocation:Denver - Closed; Transfer:TR-00123; VerifiedLocation:Denver</t>
        </is>
      </c>
      <c r="G160" s="7" t="n">
        <v>622.62</v>
      </c>
      <c r="H160" s="7" t="inlineStr">
        <is>
          <t>Update register location for MD-00123 before the next cert packet (EX-0156).</t>
        </is>
      </c>
      <c r="I160" s="7" t="inlineStr">
        <is>
          <t>IT Asset Specialist</t>
        </is>
      </c>
      <c r="J160" s="7" t="inlineStr">
        <is>
          <t>2026-08-19</t>
        </is>
      </c>
      <c r="K160" s="7" t="inlineStr">
        <is>
          <t>Open</t>
        </is>
      </c>
      <c r="L160" s="7" t="inlineStr">
        <is>
          <t>Register still codes MD-00123 to Denver - Closed; TR-00123 points to Denver (EX-0156).</t>
        </is>
      </c>
      <c r="M160" s="7" t="inlineStr">
        <is>
          <t>Requires remediation</t>
        </is>
      </c>
    </row>
    <row r="161">
      <c r="A161" s="7" t="inlineStr">
        <is>
          <t>EX-0157</t>
        </is>
      </c>
      <c r="B161" s="7" t="inlineStr">
        <is>
          <t>Closed Location Assignment</t>
        </is>
      </c>
      <c r="C161" s="11" t="inlineStr">
        <is>
          <t>Medium</t>
        </is>
      </c>
      <c r="D161" s="7" t="inlineStr">
        <is>
          <t>MD-00124</t>
        </is>
      </c>
      <c r="E161" s="7" t="inlineStr">
        <is>
          <t>MD-NE-050124</t>
        </is>
      </c>
      <c r="F161" s="7" t="inlineStr">
        <is>
          <t>RegisterLocation:Chicago - Closed; Transfer:TR-00124; VerifiedLocation:New York</t>
        </is>
      </c>
      <c r="G161" s="7" t="n">
        <v>947.26</v>
      </c>
      <c r="H161" s="7" t="inlineStr">
        <is>
          <t>Remove closed-site coding on MD-00124 (Chicago - Closed → New York, EX-0157).</t>
        </is>
      </c>
      <c r="I161" s="7" t="inlineStr">
        <is>
          <t>IT Asset Specialist</t>
        </is>
      </c>
      <c r="J161" s="7" t="inlineStr">
        <is>
          <t>2026-08-19</t>
        </is>
      </c>
      <c r="K161" s="7" t="inlineStr">
        <is>
          <t>Open</t>
        </is>
      </c>
      <c r="L161" s="7" t="inlineStr">
        <is>
          <t>Extract shows MD-00124 at Chicago - Closed - that building is locked (EX-0157).</t>
        </is>
      </c>
      <c r="M161" s="7" t="inlineStr">
        <is>
          <t>Requires remediation</t>
        </is>
      </c>
    </row>
    <row r="162">
      <c r="A162" s="7" t="inlineStr">
        <is>
          <t>EX-0158</t>
        </is>
      </c>
      <c r="B162" s="7" t="inlineStr">
        <is>
          <t>Closed Location Assignment</t>
        </is>
      </c>
      <c r="C162" s="11" t="inlineStr">
        <is>
          <t>Medium</t>
        </is>
      </c>
      <c r="D162" s="7" t="inlineStr">
        <is>
          <t>MD-00125</t>
        </is>
      </c>
      <c r="E162" s="7" t="inlineStr">
        <is>
          <t>MD-LA-050125</t>
        </is>
      </c>
      <c r="F162" s="7" t="inlineStr">
        <is>
          <t>RegisterLocation:Denver - Closed; Transfer:TR-00125; VerifiedLocation:Seattle</t>
        </is>
      </c>
      <c r="G162" s="7" t="n">
        <v>0</v>
      </c>
      <c r="H162" s="7" t="inlineStr">
        <is>
          <t>Seattle is supported by HR/transfer for MD-00125; Denver - Closed is obsolete (EX-0158).</t>
        </is>
      </c>
      <c r="I162" s="7" t="inlineStr">
        <is>
          <t>IT Asset Specialist</t>
        </is>
      </c>
      <c r="J162" s="7" t="inlineStr">
        <is>
          <t>2026-08-19</t>
        </is>
      </c>
      <c r="K162" s="7" t="inlineStr">
        <is>
          <t>Open</t>
        </is>
      </c>
      <c r="L162" s="7" t="inlineStr">
        <is>
          <t>Physical sites changed; MD-00125 register did not (Denver - Closed, EX-0158).</t>
        </is>
      </c>
      <c r="M162" s="7" t="inlineStr">
        <is>
          <t>Requires remediation</t>
        </is>
      </c>
    </row>
    <row r="163">
      <c r="A163" s="7" t="inlineStr">
        <is>
          <t>EX-0159</t>
        </is>
      </c>
      <c r="B163" s="7" t="inlineStr">
        <is>
          <t>Closed Location Assignment</t>
        </is>
      </c>
      <c r="C163" s="11" t="inlineStr">
        <is>
          <t>Medium</t>
        </is>
      </c>
      <c r="D163" s="7" t="inlineStr">
        <is>
          <t>MD-00126</t>
        </is>
      </c>
      <c r="E163" s="7" t="inlineStr">
        <is>
          <t>MD-MO-050126</t>
        </is>
      </c>
      <c r="F163" s="7" t="inlineStr">
        <is>
          <t>RegisterLocation:Chicago - Closed; Transfer:TR-00126; VerifiedLocation:Atlanta</t>
        </is>
      </c>
      <c r="G163" s="7" t="n">
        <v>302.75</v>
      </c>
      <c r="H163" s="7" t="inlineStr">
        <is>
          <t>Atlanta is supported by HR/transfer for MD-00126; Chicago - Closed is obsolete (EX-0159).</t>
        </is>
      </c>
      <c r="I163" s="7" t="inlineStr">
        <is>
          <t>IT Asset Specialist</t>
        </is>
      </c>
      <c r="J163" s="7" t="inlineStr">
        <is>
          <t>2026-08-19</t>
        </is>
      </c>
      <c r="K163" s="7" t="inlineStr">
        <is>
          <t>Open</t>
        </is>
      </c>
      <c r="L163" s="7" t="inlineStr">
        <is>
          <t>Consolidation left MD-00126 @ Chicago - Closed; ops now use Atlanta (EX-0159).</t>
        </is>
      </c>
      <c r="M163" s="7" t="inlineStr">
        <is>
          <t>Requires remediation</t>
        </is>
      </c>
    </row>
    <row r="164">
      <c r="A164" s="7" t="inlineStr">
        <is>
          <t>EX-0160</t>
        </is>
      </c>
      <c r="B164" s="7" t="inlineStr">
        <is>
          <t>Unapproved Transfer</t>
        </is>
      </c>
      <c r="C164" s="11" t="inlineStr">
        <is>
          <t>Medium</t>
        </is>
      </c>
      <c r="D164" s="7" t="inlineStr">
        <is>
          <t>MD-00127</t>
        </is>
      </c>
      <c r="E164" s="7" t="inlineStr">
        <is>
          <t>MD-MO-050127</t>
        </is>
      </c>
      <c r="F164" s="7" t="inlineStr">
        <is>
          <t>Transfer:TR-00127; Approval:missing</t>
        </is>
      </c>
      <c r="G164" s="7" t="n">
        <v>662.65</v>
      </c>
      <c r="H164" s="7" t="inlineStr">
        <is>
          <t>Either approve TR-00127 after the fact or put MD-00127 back.</t>
        </is>
      </c>
      <c r="I164" s="7" t="inlineStr">
        <is>
          <t>IT Operations Manager</t>
        </is>
      </c>
      <c r="J164" s="7" t="inlineStr">
        <is>
          <t>2026-08-20</t>
        </is>
      </c>
      <c r="K164" s="7" t="inlineStr">
        <is>
          <t>Open</t>
        </is>
      </c>
      <c r="L164" s="7" t="inlineStr">
        <is>
          <t>Unapproved transfer TR-00127 on MD-00127 from equipment_transfer_log.</t>
        </is>
      </c>
      <c r="M164" s="7" t="inlineStr">
        <is>
          <t>Requires remediation</t>
        </is>
      </c>
    </row>
    <row r="165">
      <c r="A165" s="7" t="inlineStr">
        <is>
          <t>EX-0161</t>
        </is>
      </c>
      <c r="B165" s="7" t="inlineStr">
        <is>
          <t>Below Capitalization Threshold</t>
        </is>
      </c>
      <c r="C165" s="8" t="inlineStr">
        <is>
          <t>Low</t>
        </is>
      </c>
      <c r="D165" s="7" t="inlineStr">
        <is>
          <t>MD-00130</t>
        </is>
      </c>
      <c r="E165" s="7" t="inlineStr">
        <is>
          <t>MD-MO-050130</t>
        </is>
      </c>
      <c r="F165" s="7" t="inlineStr">
        <is>
          <t>PO:PO-2023-0023; RegisterCost:700; Policy:ITAM-001 §7 per-asset threshold $2500; PO capitalization_approved does not override under-threshold lines; Ledger absence expected</t>
        </is>
      </c>
      <c r="G165" s="7" t="n">
        <v>700</v>
      </c>
      <c r="H165" s="7" t="inlineStr">
        <is>
          <t>$700 on MD-00130. Below threshold. Informational only.</t>
        </is>
      </c>
      <c r="I165" s="7" t="inlineStr">
        <is>
          <t>Finance Controller</t>
        </is>
      </c>
      <c r="J165" s="7" t="inlineStr">
        <is>
          <t>2026-08-15</t>
        </is>
      </c>
      <c r="K165" s="7" t="inlineStr">
        <is>
          <t>Open</t>
        </is>
      </c>
      <c r="L165" s="7" t="inlineStr">
        <is>
          <t>$700 on MD-00130 - under §7 gate. Ledger absence expected.</t>
        </is>
      </c>
      <c r="M165" s="12" t="inlineStr">
        <is>
          <t>Informational only</t>
        </is>
      </c>
    </row>
    <row r="166">
      <c r="A166" s="7" t="inlineStr">
        <is>
          <t>EX-0162</t>
        </is>
      </c>
      <c r="B166" s="7" t="inlineStr">
        <is>
          <t>Below Capitalization Threshold</t>
        </is>
      </c>
      <c r="C166" s="8" t="inlineStr">
        <is>
          <t>Low</t>
        </is>
      </c>
      <c r="D166" s="7" t="inlineStr">
        <is>
          <t>MD-00131</t>
        </is>
      </c>
      <c r="E166" s="7" t="inlineStr">
        <is>
          <t>MD-MO-050131</t>
        </is>
      </c>
      <c r="F166" s="7" t="inlineStr">
        <is>
          <t>PO:PO-2023-0023; RegisterCost:1175; Policy:ITAM-001 §7 per-asset threshold $2500; PO capitalization_approved does not override under-threshold lines; Ledger absence expected</t>
        </is>
      </c>
      <c r="G166" s="7" t="n">
        <v>1175</v>
      </c>
      <c r="H166" s="7" t="inlineStr">
        <is>
          <t>$1175 on MD-00131. Below threshold. Informational only.</t>
        </is>
      </c>
      <c r="I166" s="7" t="inlineStr">
        <is>
          <t>Finance Controller</t>
        </is>
      </c>
      <c r="J166" s="7" t="inlineStr">
        <is>
          <t>2026-08-15</t>
        </is>
      </c>
      <c r="K166" s="7" t="inlineStr">
        <is>
          <t>Open</t>
        </is>
      </c>
      <c r="L166" s="7" t="inlineStr">
        <is>
          <t>Under-threshold check for MD-00131: $1175 &lt; $2,500.</t>
        </is>
      </c>
      <c r="M166" s="12" t="inlineStr">
        <is>
          <t>Informational only</t>
        </is>
      </c>
    </row>
    <row r="167">
      <c r="A167" s="7" t="inlineStr">
        <is>
          <t>EX-0163</t>
        </is>
      </c>
      <c r="B167" s="7" t="inlineStr">
        <is>
          <t>Inventory-to-Ledger Difference</t>
        </is>
      </c>
      <c r="C167" s="8" t="inlineStr">
        <is>
          <t>Critical</t>
        </is>
      </c>
      <c r="D167" s="7" t="inlineStr">
        <is>
          <t>MD-00132</t>
        </is>
      </c>
      <c r="E167" s="7" t="inlineStr">
        <is>
          <t>MD-NE-050132</t>
        </is>
      </c>
      <c r="F167" s="7" t="inlineStr">
        <is>
          <t>PO:PO-2023-0022; RegisterCost:6470.0; Policy:ITAM-001 §7 threshold $2500; capitalization_approved on PO does not excuse missing FA row for qualifying asset; regional note RN-0132 is non-authoritative</t>
        </is>
      </c>
      <c r="G167" s="7" t="n">
        <v>6470</v>
      </c>
      <c r="H167" s="7" t="inlineStr">
        <is>
          <t>Finance: FA line for MD-00132 or signed write-off. Regional note non-authoritative.</t>
        </is>
      </c>
      <c r="I167" s="7" t="inlineStr">
        <is>
          <t>Finance Controller</t>
        </is>
      </c>
      <c r="J167" s="7" t="inlineStr">
        <is>
          <t>2026-08-15</t>
        </is>
      </c>
      <c r="K167" s="7" t="inlineStr">
        <is>
          <t>Open</t>
        </is>
      </c>
      <c r="L167" s="7" t="inlineStr">
        <is>
          <t>FAR extract has no MD-00132. Cost $6470.0 exceeds $2,500. RN-0132 is a claim, not a posting.</t>
        </is>
      </c>
      <c r="M167" s="12" t="inlineStr">
        <is>
          <t>Blocks certification</t>
        </is>
      </c>
    </row>
    <row r="169">
      <c r="A169" t="inlineStr">
        <is>
          <t>Total Financial Exposure</t>
        </is>
      </c>
      <c r="G169">
        <f>SUM(G5:G167)</f>
        <v>85928.73</v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2" customWidth="1" min="2" max="2"/>
    <col width="27" customWidth="1" min="3" max="3"/>
    <col width="19" customWidth="1" min="4" max="4"/>
    <col width="19" customWidth="1" min="5" max="5"/>
    <col width="19" customWidth="1" min="6" max="6"/>
    <col width="45" customWidth="1" min="7" max="7"/>
    <col width="18" customWidth="1" min="8" max="8"/>
    <col width="45" customWidth="1" min="9" max="9"/>
  </cols>
  <sheetData>
    <row r="1">
      <c r="A1" s="24" t="inlineStr">
        <is>
          <t>Custody Chain - High-Risk and Unresolved Assets</t>
        </is>
      </c>
    </row>
    <row r="2">
      <c r="A2" s="2" t="inlineStr">
        <is>
          <t>Confirmed Fact vs Technician Claim vs Unresolved Assumption. Includes policy figure and dock image leads where applicable.</t>
        </is>
      </c>
    </row>
    <row r="3"/>
    <row r="4">
      <c r="A4" s="25" t="inlineStr">
        <is>
          <t>Asset Tag</t>
        </is>
      </c>
      <c r="B4" s="25" t="inlineStr">
        <is>
          <t>Event Date</t>
        </is>
      </c>
      <c r="C4" s="25" t="inlineStr">
        <is>
          <t>Event Type</t>
        </is>
      </c>
      <c r="D4" s="25" t="inlineStr">
        <is>
          <t>From Party</t>
        </is>
      </c>
      <c r="E4" s="25" t="inlineStr">
        <is>
          <t>To Party</t>
        </is>
      </c>
      <c r="F4" s="25" t="inlineStr">
        <is>
          <t>Location</t>
        </is>
      </c>
      <c r="G4" s="25" t="inlineStr">
        <is>
          <t>Record Reference</t>
        </is>
      </c>
      <c r="H4" s="25" t="inlineStr">
        <is>
          <t>Fact Type</t>
        </is>
      </c>
      <c r="I4" s="25" t="inlineStr">
        <is>
          <t>Detail</t>
        </is>
      </c>
    </row>
    <row r="5">
      <c r="A5" s="7" t="inlineStr">
        <is>
          <t>MD-00017</t>
        </is>
      </c>
      <c r="B5" s="7" t="inlineStr">
        <is>
          <t>2023-06-18</t>
        </is>
      </c>
      <c r="C5" s="7" t="inlineStr">
        <is>
          <t>Purchase</t>
        </is>
      </c>
      <c r="D5" s="7" t="inlineStr">
        <is>
          <t>Vendor</t>
        </is>
      </c>
      <c r="E5" s="7" t="inlineStr">
        <is>
          <t>Central Receiving</t>
        </is>
      </c>
      <c r="F5" s="7" t="inlineStr">
        <is>
          <t>Atlanta Warehouse</t>
        </is>
      </c>
      <c r="G5" s="7" t="inlineStr">
        <is>
          <t>PO:PO-2024-0003</t>
        </is>
      </c>
      <c r="H5" s="7" t="inlineStr">
        <is>
          <t>Confirmed Fact</t>
        </is>
      </c>
      <c r="I5" s="7" t="inlineStr">
        <is>
          <t>Acquired MD-00017 (MacBook Pro 14) for $1985 via PO-2024-0003.</t>
        </is>
      </c>
    </row>
    <row r="6">
      <c r="A6" s="7" t="inlineStr">
        <is>
          <t>MD-00017</t>
        </is>
      </c>
      <c r="B6" s="7" t="inlineStr">
        <is>
          <t>2026-08-09</t>
        </is>
      </c>
      <c r="C6" s="7" t="inlineStr">
        <is>
          <t>Policy Control Figure</t>
        </is>
      </c>
      <c r="D6" s="7" t="inlineStr">
        <is>
          <t>ITAM-001</t>
        </is>
      </c>
      <c r="E6" s="7" t="n"/>
      <c r="F6" s="7" t="n"/>
      <c r="G6" s="7" t="inlineStr">
        <is>
          <t>ITAM_control_matrix.png; IT_asset_management_policy.pdf</t>
        </is>
      </c>
      <c r="H6" s="7" t="inlineStr">
        <is>
          <t>Confirmed Fact</t>
        </is>
      </c>
      <c r="I6" s="7" t="inlineStr">
        <is>
          <t>Seattle custody review for MD-00017 used the disposal column on the matrix. Source trail: TR-00017, PO-2024-0003, FA-000017, APR-00017.</t>
        </is>
      </c>
    </row>
    <row r="7">
      <c r="A7" s="7" t="inlineStr">
        <is>
          <t>MD-00017</t>
        </is>
      </c>
      <c r="B7" s="7" t="inlineStr">
        <is>
          <t>2026-06-18</t>
        </is>
      </c>
      <c r="C7" s="7" t="inlineStr">
        <is>
          <t>Assignment/Transfer</t>
        </is>
      </c>
      <c r="D7" s="7" t="inlineStr">
        <is>
          <t>Central Receiving</t>
        </is>
      </c>
      <c r="E7" s="7" t="inlineStr">
        <is>
          <t>E0017</t>
        </is>
      </c>
      <c r="F7" s="7" t="inlineStr">
        <is>
          <t>Seattle</t>
        </is>
      </c>
      <c r="G7" s="7" t="inlineStr">
        <is>
          <t>Transfer:TR-00017; Approval:APR-00017</t>
        </is>
      </c>
      <c r="H7" s="7" t="inlineStr">
        <is>
          <t>Confirmed Fact</t>
        </is>
      </c>
      <c r="I7" s="7" t="inlineStr">
        <is>
          <t>TR-00017 2026-06-17; inbound Jun 19, 2026.</t>
        </is>
      </c>
    </row>
    <row r="8">
      <c r="A8" s="7" t="inlineStr">
        <is>
          <t>MD-00017</t>
        </is>
      </c>
      <c r="B8" s="7" t="inlineStr">
        <is>
          <t>2026-08-09</t>
        </is>
      </c>
      <c r="C8" s="7" t="inlineStr">
        <is>
          <t>Reconciliation Conclusion</t>
        </is>
      </c>
      <c r="D8" s="7" t="inlineStr">
        <is>
          <t>Evidence review</t>
        </is>
      </c>
      <c r="E8" s="7" t="inlineStr">
        <is>
          <t>E0017</t>
        </is>
      </c>
      <c r="F8" s="7" t="inlineStr">
        <is>
          <t>Seattle</t>
        </is>
      </c>
      <c r="G8" s="7" t="inlineStr">
        <is>
          <t>HR:E0017:Active; Transfer:TR-00017; Approval:APR-00017; PO:PO-2024-0003; Ledger:FA-000017; PolicyFigure:ITAM_control_matrix.png</t>
        </is>
      </c>
      <c r="H8" s="7" t="inlineStr">
        <is>
          <t>Confirmed Fact</t>
        </is>
      </c>
      <c r="I8" s="7" t="inlineStr">
        <is>
          <t>Verified In Use for MD-00017 in Seattle. High. EX-0001. E0017. TR-00017. APR-00017. PO. PO-2024-0003. FA-000017. ITAM_control_matrix.png.</t>
        </is>
      </c>
    </row>
    <row r="9">
      <c r="A9" s="7" t="inlineStr">
        <is>
          <t>MD-00021</t>
        </is>
      </c>
      <c r="B9" s="7" t="inlineStr">
        <is>
          <t>2023-10-22</t>
        </is>
      </c>
      <c r="C9" s="7" t="inlineStr">
        <is>
          <t>Purchase</t>
        </is>
      </c>
      <c r="D9" s="7" t="inlineStr">
        <is>
          <t>Vendor</t>
        </is>
      </c>
      <c r="E9" s="7" t="inlineStr">
        <is>
          <t>Central Receiving</t>
        </is>
      </c>
      <c r="F9" s="7" t="inlineStr">
        <is>
          <t>Atlanta Warehouse</t>
        </is>
      </c>
      <c r="G9" s="7" t="inlineStr">
        <is>
          <t>PO:PO-2025-0004</t>
        </is>
      </c>
      <c r="H9" s="7" t="inlineStr">
        <is>
          <t>Confirmed Fact</t>
        </is>
      </c>
      <c r="I9" s="7" t="inlineStr">
        <is>
          <t>Procurement PO-2025-0004 lists Dell Latitude 7440 / $1850.</t>
        </is>
      </c>
    </row>
    <row r="10">
      <c r="A10" s="7" t="inlineStr">
        <is>
          <t>MD-00021</t>
        </is>
      </c>
      <c r="B10" s="7" t="inlineStr">
        <is>
          <t>2026-04-22</t>
        </is>
      </c>
      <c r="C10" s="7" t="inlineStr">
        <is>
          <t>Assignment/Transfer</t>
        </is>
      </c>
      <c r="D10" s="7" t="inlineStr">
        <is>
          <t>Central Receiving</t>
        </is>
      </c>
      <c r="E10" s="7" t="inlineStr">
        <is>
          <t>E0021</t>
        </is>
      </c>
      <c r="F10" s="7" t="inlineStr">
        <is>
          <t>Denver</t>
        </is>
      </c>
      <c r="G10" s="7" t="inlineStr">
        <is>
          <t>Transfer:TR-00021; Approval:APR-00021</t>
        </is>
      </c>
      <c r="H10" s="7" t="inlineStr">
        <is>
          <t>Confirmed Fact</t>
        </is>
      </c>
      <c r="I10" s="7" t="inlineStr">
        <is>
          <t>Dock file shows May 03, 2026 for TR-00021 (MD-00021).</t>
        </is>
      </c>
    </row>
    <row r="11">
      <c r="A11" s="7" t="inlineStr">
        <is>
          <t>MD-00021</t>
        </is>
      </c>
      <c r="B11" s="7" t="inlineStr">
        <is>
          <t>2026-08-09</t>
        </is>
      </c>
      <c r="C11" s="7" t="inlineStr">
        <is>
          <t>Policy Control Figure</t>
        </is>
      </c>
      <c r="D11" s="7" t="inlineStr">
        <is>
          <t>ITAM-001</t>
        </is>
      </c>
      <c r="E11" s="7" t="inlineStr"/>
      <c r="F11" s="7" t="inlineStr"/>
      <c r="G11" s="7" t="inlineStr">
        <is>
          <t>ITAM_control_matrix.png; IT_asset_management_policy.pdf</t>
        </is>
      </c>
      <c r="H11" s="7" t="inlineStr">
        <is>
          <t>Confirmed Fact</t>
        </is>
      </c>
      <c r="I11" s="7" t="inlineStr">
        <is>
          <t>ITAM_control_matrix.png consulted for MD-00021 (return). Conclusion still tied to TR-00021, PO-2025-0004, FA-000021, APR-00021 at Denver, $1850.</t>
        </is>
      </c>
    </row>
    <row r="12">
      <c r="A12" s="7" t="inlineStr">
        <is>
          <t>MD-00021</t>
        </is>
      </c>
      <c r="B12" s="7" t="inlineStr">
        <is>
          <t>2026-08-09</t>
        </is>
      </c>
      <c r="C12" s="7" t="inlineStr">
        <is>
          <t>Reconciliation Conclusion</t>
        </is>
      </c>
      <c r="D12" s="7" t="inlineStr">
        <is>
          <t>Evidence review</t>
        </is>
      </c>
      <c r="E12" s="7" t="inlineStr">
        <is>
          <t>E0021</t>
        </is>
      </c>
      <c r="F12" s="7" t="inlineStr">
        <is>
          <t>Denver</t>
        </is>
      </c>
      <c r="G12" s="7" t="inlineStr">
        <is>
          <t>HR:E0021:Active; Transfer:TR-00021; Approval:APR-00021; PO:PO-2025-0004; Ledger:FA-000021; PolicyFigure:ITAM_control_matrix.png</t>
        </is>
      </c>
      <c r="H12" s="7" t="inlineStr">
        <is>
          <t>Confirmed Fact</t>
        </is>
      </c>
      <c r="I12" s="7" t="inlineStr">
        <is>
          <t>MD-00021 custody narrative ends In Use (Medium). EX-0002. E0021. TR-00021. APR-00021. PO. PO-2025-0004. FA-000021. ITAM_control_matrix.png.</t>
        </is>
      </c>
    </row>
    <row r="13">
      <c r="A13" s="7" t="inlineStr">
        <is>
          <t>MD-00025</t>
        </is>
      </c>
      <c r="B13" s="7" t="inlineStr">
        <is>
          <t>2023-02-02</t>
        </is>
      </c>
      <c r="C13" s="7" t="inlineStr">
        <is>
          <t>Purchase</t>
        </is>
      </c>
      <c r="D13" s="7" t="inlineStr">
        <is>
          <t>Vendor</t>
        </is>
      </c>
      <c r="E13" s="7" t="inlineStr">
        <is>
          <t>Central Receiving</t>
        </is>
      </c>
      <c r="F13" s="7" t="inlineStr">
        <is>
          <t>Atlanta Warehouse</t>
        </is>
      </c>
      <c r="G13" s="7" t="inlineStr">
        <is>
          <t>PO:PO-2022-0005</t>
        </is>
      </c>
      <c r="H13" s="7" t="inlineStr">
        <is>
          <t>Confirmed Fact</t>
        </is>
      </c>
      <c r="I13" s="7" t="inlineStr">
        <is>
          <t>Procurement PO-2022-0005 lists Lenovo ThinkPad T14 / $2030.</t>
        </is>
      </c>
    </row>
    <row r="14">
      <c r="A14" s="7" t="inlineStr">
        <is>
          <t>MD-00025</t>
        </is>
      </c>
      <c r="B14" s="7" t="inlineStr">
        <is>
          <t>2026-02-02</t>
        </is>
      </c>
      <c r="C14" s="7" t="inlineStr">
        <is>
          <t>Assignment/Transfer</t>
        </is>
      </c>
      <c r="D14" s="7" t="inlineStr">
        <is>
          <t>Central Receiving</t>
        </is>
      </c>
      <c r="E14" s="7" t="inlineStr">
        <is>
          <t>E0025</t>
        </is>
      </c>
      <c r="F14" s="7" t="inlineStr">
        <is>
          <t>Chicago</t>
        </is>
      </c>
      <c r="G14" s="7" t="inlineStr">
        <is>
          <t>Transfer:TR-00025; Approval:APR-00025</t>
        </is>
      </c>
      <c r="H14" s="7" t="inlineStr">
        <is>
          <t>Confirmed Fact</t>
        </is>
      </c>
      <c r="I14" s="7" t="inlineStr">
        <is>
          <t>Log row TR-00025. Receive date 01/22/2026.</t>
        </is>
      </c>
    </row>
    <row r="15">
      <c r="A15" s="7" t="inlineStr">
        <is>
          <t>MD-00025</t>
        </is>
      </c>
      <c r="B15" s="7" t="inlineStr">
        <is>
          <t>2026-08-05</t>
        </is>
      </c>
      <c r="C15" s="7" t="inlineStr">
        <is>
          <t>Regional IT Note Lead</t>
        </is>
      </c>
      <c r="D15" s="7" t="inlineStr">
        <is>
          <t>Regional IT</t>
        </is>
      </c>
      <c r="E15" s="7" t="inlineStr"/>
      <c r="F15" s="7" t="inlineStr">
        <is>
          <t>Denver - Closed</t>
        </is>
      </c>
      <c r="G15" s="7" t="inlineStr">
        <is>
          <t>regional_IT_notes.docx</t>
        </is>
      </c>
      <c r="H15" s="7" t="inlineStr">
        <is>
          <t>Technician Claim</t>
        </is>
      </c>
      <c r="I15" s="7" t="inlineStr">
        <is>
          <t>Could not tie MD-00025 to a verified RN entry in the notes.</t>
        </is>
      </c>
    </row>
    <row r="16">
      <c r="A16" s="7" t="inlineStr">
        <is>
          <t>MD-00025</t>
        </is>
      </c>
      <c r="B16" s="7" t="inlineStr">
        <is>
          <t>2026-08-09</t>
        </is>
      </c>
      <c r="C16" s="7" t="inlineStr">
        <is>
          <t>Policy Control Figure</t>
        </is>
      </c>
      <c r="D16" s="7" t="inlineStr">
        <is>
          <t>ITAM-001</t>
        </is>
      </c>
      <c r="E16" s="7" t="inlineStr"/>
      <c r="F16" s="7" t="inlineStr"/>
      <c r="G16" s="7" t="inlineStr">
        <is>
          <t>ITAM_control_matrix.png; IT_asset_management_policy.pdf</t>
        </is>
      </c>
      <c r="H16" s="7" t="inlineStr">
        <is>
          <t>Confirmed Fact</t>
        </is>
      </c>
      <c r="I16" s="7" t="inlineStr">
        <is>
          <t>Auditors tracing MD-00025 should read matrix transfer, then TR-00025, PO-2022-0005, FA-000025, APR-00025. Working site Chicago; status call In Use.</t>
        </is>
      </c>
    </row>
    <row r="17">
      <c r="A17" s="7" t="inlineStr">
        <is>
          <t>MD-00025</t>
        </is>
      </c>
      <c r="B17" s="7" t="inlineStr">
        <is>
          <t>2026-08-09</t>
        </is>
      </c>
      <c r="C17" s="7" t="inlineStr">
        <is>
          <t>Reconciliation Conclusion</t>
        </is>
      </c>
      <c r="D17" s="7" t="inlineStr">
        <is>
          <t>Evidence review</t>
        </is>
      </c>
      <c r="E17" s="7" t="inlineStr">
        <is>
          <t>E0025</t>
        </is>
      </c>
      <c r="F17" s="7" t="inlineStr">
        <is>
          <t>Chicago</t>
        </is>
      </c>
      <c r="G17" s="7" t="inlineStr">
        <is>
          <t>HR:E0025:Active; Transfer:TR-00025; Approval:APR-00025; PO:PO-2022-0005; Ledger:FA-000025; PolicyFigure:ITAM_control_matrix.png</t>
        </is>
      </c>
      <c r="H17" s="7" t="inlineStr">
        <is>
          <t>Confirmed Fact</t>
        </is>
      </c>
      <c r="I17" s="7" t="inlineStr">
        <is>
          <t>Chain end MD-00025: In Use; Medium; EX-0003, EX-0004. E0025. TR-00025. APR-00025. PO. PO-2022-0005. FA-000025. ITAM_control_matrix.png.</t>
        </is>
      </c>
    </row>
    <row r="18">
      <c r="A18" s="7" t="inlineStr">
        <is>
          <t>MD-00034</t>
        </is>
      </c>
      <c r="B18" s="7" t="inlineStr">
        <is>
          <t>2024-11-11</t>
        </is>
      </c>
      <c r="C18" s="7" t="inlineStr">
        <is>
          <t>Purchase</t>
        </is>
      </c>
      <c r="D18" s="7" t="inlineStr">
        <is>
          <t>Vendor</t>
        </is>
      </c>
      <c r="E18" s="7" t="inlineStr">
        <is>
          <t>Central Receiving</t>
        </is>
      </c>
      <c r="F18" s="7" t="inlineStr">
        <is>
          <t>Atlanta Warehouse</t>
        </is>
      </c>
      <c r="G18" s="7" t="inlineStr">
        <is>
          <t>PO:PO-2023-0006</t>
        </is>
      </c>
      <c r="H18" s="7" t="inlineStr">
        <is>
          <t>Confirmed Fact</t>
        </is>
      </c>
      <c r="I18" s="7" t="inlineStr">
        <is>
          <t>Warehouse receipt tied to PO-2023-0006. Dell U2723QE.</t>
        </is>
      </c>
    </row>
    <row r="19">
      <c r="A19" s="7" t="inlineStr">
        <is>
          <t>MD-00034</t>
        </is>
      </c>
      <c r="B19" s="7" t="inlineStr">
        <is>
          <t>2026-05-11</t>
        </is>
      </c>
      <c r="C19" s="7" t="inlineStr">
        <is>
          <t>Assignment/Transfer</t>
        </is>
      </c>
      <c r="D19" s="7" t="inlineStr">
        <is>
          <t>Central Receiving</t>
        </is>
      </c>
      <c r="E19" s="7" t="inlineStr">
        <is>
          <t>E0034</t>
        </is>
      </c>
      <c r="F19" s="7" t="inlineStr">
        <is>
          <t>New York</t>
        </is>
      </c>
      <c r="G19" s="7" t="inlineStr">
        <is>
          <t>Transfer:TR-00034; Approval:APR-00034</t>
        </is>
      </c>
      <c r="H19" s="7" t="inlineStr">
        <is>
          <t>Confirmed Fact</t>
        </is>
      </c>
      <c r="I19" s="7" t="inlineStr">
        <is>
          <t>MD-00034 inbound May 22, 2026 on TR-00034 / APR-00034.</t>
        </is>
      </c>
    </row>
    <row r="20">
      <c r="A20" s="7" t="inlineStr">
        <is>
          <t>MD-00034</t>
        </is>
      </c>
      <c r="B20" s="7" t="inlineStr">
        <is>
          <t>2026-08-05</t>
        </is>
      </c>
      <c r="C20" s="7" t="inlineStr">
        <is>
          <t>Regional IT Note Lead</t>
        </is>
      </c>
      <c r="D20" s="7" t="inlineStr">
        <is>
          <t>Regional IT</t>
        </is>
      </c>
      <c r="E20" s="7" t="inlineStr"/>
      <c r="F20" s="7" t="inlineStr">
        <is>
          <t>Chicago - Closed</t>
        </is>
      </c>
      <c r="G20" s="7" t="inlineStr">
        <is>
          <t>regional_IT_notes.docx</t>
        </is>
      </c>
      <c r="H20" s="7" t="inlineStr">
        <is>
          <t>Technician Claim</t>
        </is>
      </c>
      <c r="I20" s="7" t="inlineStr">
        <is>
          <t>Regional file reviewed for MD-00034; no clearance language accepted.</t>
        </is>
      </c>
    </row>
    <row r="21">
      <c r="A21" s="7" t="inlineStr">
        <is>
          <t>MD-00034</t>
        </is>
      </c>
      <c r="B21" s="7" t="inlineStr">
        <is>
          <t>2026-08-09</t>
        </is>
      </c>
      <c r="C21" s="7" t="inlineStr">
        <is>
          <t>Policy Control Figure</t>
        </is>
      </c>
      <c r="D21" s="7" t="inlineStr">
        <is>
          <t>ITAM-001</t>
        </is>
      </c>
      <c r="E21" s="7" t="inlineStr"/>
      <c r="F21" s="7" t="inlineStr"/>
      <c r="G21" s="7" t="inlineStr">
        <is>
          <t>ITAM_control_matrix.png; IT_asset_management_policy.pdf</t>
        </is>
      </c>
      <c r="H21" s="7" t="inlineStr">
        <is>
          <t>Confirmed Fact</t>
        </is>
      </c>
      <c r="I21" s="7" t="inlineStr">
        <is>
          <t>MD-00034 / Dell U2723QE: return evidence expectations from Appendix A. Anchored to TR-00034, PO-2023-0006, FA-000034, APR-00034; acquisition $790.</t>
        </is>
      </c>
    </row>
    <row r="22">
      <c r="A22" s="7" t="inlineStr">
        <is>
          <t>MD-00034</t>
        </is>
      </c>
      <c r="B22" s="7" t="inlineStr">
        <is>
          <t>2026-08-09</t>
        </is>
      </c>
      <c r="C22" s="7" t="inlineStr">
        <is>
          <t>Reconciliation Conclusion</t>
        </is>
      </c>
      <c r="D22" s="7" t="inlineStr">
        <is>
          <t>Evidence review</t>
        </is>
      </c>
      <c r="E22" s="7" t="inlineStr">
        <is>
          <t>E0034</t>
        </is>
      </c>
      <c r="F22" s="7" t="inlineStr">
        <is>
          <t>New York</t>
        </is>
      </c>
      <c r="G22" s="7" t="inlineStr">
        <is>
          <t>HR:E0034:Active; Transfer:TR-00034; Approval:APR-00034; PO:PO-2023-0006; Ledger:FA-000034; PolicyFigure:ITAM_control_matrix.png</t>
        </is>
      </c>
      <c r="H22" s="7" t="inlineStr">
        <is>
          <t>Confirmed Fact</t>
        </is>
      </c>
      <c r="I22" s="7" t="inlineStr">
        <is>
          <t>Outcome MD-00034 - In Use, site New York, High. EX-0013, EX-0014. E0034. TR-00034. APR-00034. PO. PO-2023-0006. FA-000034. ITAM_control_matrix.png.</t>
        </is>
      </c>
    </row>
    <row r="23">
      <c r="A23" s="7" t="inlineStr">
        <is>
          <t>MD-00051</t>
        </is>
      </c>
      <c r="B23" s="7" t="inlineStr">
        <is>
          <t>2025-04-04</t>
        </is>
      </c>
      <c r="C23" s="7" t="inlineStr">
        <is>
          <t>Purchase</t>
        </is>
      </c>
      <c r="D23" s="7" t="inlineStr">
        <is>
          <t>Vendor</t>
        </is>
      </c>
      <c r="E23" s="7" t="inlineStr">
        <is>
          <t>Central Receiving</t>
        </is>
      </c>
      <c r="F23" s="7" t="inlineStr">
        <is>
          <t>Atlanta Warehouse</t>
        </is>
      </c>
      <c r="G23" s="7" t="inlineStr">
        <is>
          <t>PO:PO-2022-0009</t>
        </is>
      </c>
      <c r="H23" s="7" t="inlineStr">
        <is>
          <t>Confirmed Fact</t>
        </is>
      </c>
      <c r="I23" s="7" t="inlineStr">
        <is>
          <t>Capital buy MD-00051: Samsung Galaxy S24, $1040, PO-2022-0009.</t>
        </is>
      </c>
    </row>
    <row r="24">
      <c r="A24" s="7" t="inlineStr">
        <is>
          <t>MD-00051</t>
        </is>
      </c>
      <c r="B24" s="7" t="inlineStr">
        <is>
          <t>2026-04-04</t>
        </is>
      </c>
      <c r="C24" s="7" t="inlineStr">
        <is>
          <t>Assignment/Transfer</t>
        </is>
      </c>
      <c r="D24" s="7" t="inlineStr">
        <is>
          <t>Central Receiving</t>
        </is>
      </c>
      <c r="E24" s="7" t="inlineStr">
        <is>
          <t>IT Stock</t>
        </is>
      </c>
      <c r="F24" s="7" t="inlineStr">
        <is>
          <t>Denver</t>
        </is>
      </c>
      <c r="G24" s="7" t="inlineStr">
        <is>
          <t>Transfer:TR-00051; Approval:APR-00051</t>
        </is>
      </c>
      <c r="H24" s="7" t="inlineStr">
        <is>
          <t>Confirmed Fact</t>
        </is>
      </c>
      <c r="I24" s="7" t="inlineStr">
        <is>
          <t>Dock file shows 2026-03-31 for TR-00051 (MD-00051).</t>
        </is>
      </c>
    </row>
    <row r="25">
      <c r="A25" s="7" t="inlineStr">
        <is>
          <t>MD-00051</t>
        </is>
      </c>
      <c r="B25" s="7" t="inlineStr">
        <is>
          <t>2026-08-05</t>
        </is>
      </c>
      <c r="C25" s="7" t="inlineStr">
        <is>
          <t>Regional IT Note Lead</t>
        </is>
      </c>
      <c r="D25" s="7" t="inlineStr">
        <is>
          <t>Regional IT</t>
        </is>
      </c>
      <c r="E25" s="7" t="inlineStr"/>
      <c r="F25" s="7" t="inlineStr">
        <is>
          <t>Denver - Closed</t>
        </is>
      </c>
      <c r="G25" s="7" t="inlineStr">
        <is>
          <t>regional_IT_notes.docx</t>
        </is>
      </c>
      <c r="H25" s="7" t="inlineStr">
        <is>
          <t>Technician Claim</t>
        </is>
      </c>
      <c r="I25" s="7" t="inlineStr">
        <is>
          <t>Could not tie MD-00051 to a verified RN entry in the notes.</t>
        </is>
      </c>
    </row>
    <row r="26">
      <c r="A26" s="7" t="inlineStr">
        <is>
          <t>MD-00051</t>
        </is>
      </c>
      <c r="B26" s="7" t="inlineStr">
        <is>
          <t>2026-08-09</t>
        </is>
      </c>
      <c r="C26" s="7" t="inlineStr">
        <is>
          <t>Policy Control Figure</t>
        </is>
      </c>
      <c r="D26" s="7" t="inlineStr">
        <is>
          <t>ITAM-001</t>
        </is>
      </c>
      <c r="E26" s="7" t="inlineStr"/>
      <c r="F26" s="7" t="inlineStr"/>
      <c r="G26" s="7" t="inlineStr">
        <is>
          <t>ITAM_control_matrix.png; IT_asset_management_policy.pdf</t>
        </is>
      </c>
      <c r="H26" s="7" t="inlineStr">
        <is>
          <t>Confirmed Fact</t>
        </is>
      </c>
      <c r="I26" s="7" t="inlineStr">
        <is>
          <t>Did not treat the PNG as proof of location for MD-00051. return standard applied; TR-00051, PO-2022-0009, FA-000051, APR-00051 remains dispositive (Available).</t>
        </is>
      </c>
    </row>
    <row r="27">
      <c r="A27" s="7" t="inlineStr">
        <is>
          <t>MD-00051</t>
        </is>
      </c>
      <c r="B27" s="7" t="inlineStr">
        <is>
          <t>2026-08-09</t>
        </is>
      </c>
      <c r="C27" s="7" t="inlineStr">
        <is>
          <t>Reconciliation Conclusion</t>
        </is>
      </c>
      <c r="D27" s="7" t="inlineStr">
        <is>
          <t>Evidence review</t>
        </is>
      </c>
      <c r="E27" s="7" t="inlineStr">
        <is>
          <t>IT Stock</t>
        </is>
      </c>
      <c r="F27" s="7" t="inlineStr">
        <is>
          <t>Denver</t>
        </is>
      </c>
      <c r="G27" s="7" t="inlineStr">
        <is>
          <t>Transfer:TR-00051; Approval:APR-00051; Received:2026-04-05; PO:PO-2022-0009; Ledger:FA-000051; PolicyFigure:ITAM_control_matrix.png</t>
        </is>
      </c>
      <c r="H27" s="7" t="inlineStr">
        <is>
          <t>Confirmed Fact</t>
        </is>
      </c>
      <c r="I27" s="7" t="inlineStr">
        <is>
          <t>I am standing on Available for MD-00051 (Denver, High). EX-0031, EX-0032. TR-00051. APR-00051. PO. PO-2022-0009. FA-000051. ITAM_control_matrix.png.</t>
        </is>
      </c>
    </row>
    <row r="28">
      <c r="A28" s="7" t="inlineStr">
        <is>
          <t>MD-00058</t>
        </is>
      </c>
      <c r="B28" s="7" t="inlineStr">
        <is>
          <t>2024-11-11</t>
        </is>
      </c>
      <c r="C28" s="7" t="inlineStr">
        <is>
          <t>Purchase</t>
        </is>
      </c>
      <c r="D28" s="7" t="inlineStr">
        <is>
          <t>Vendor</t>
        </is>
      </c>
      <c r="E28" s="7" t="inlineStr">
        <is>
          <t>Central Receiving</t>
        </is>
      </c>
      <c r="F28" s="7" t="inlineStr">
        <is>
          <t>Atlanta Warehouse</t>
        </is>
      </c>
      <c r="G28" s="7" t="inlineStr">
        <is>
          <t>PO:PO-2023-0010</t>
        </is>
      </c>
      <c r="H28" s="7" t="inlineStr">
        <is>
          <t>Confirmed Fact</t>
        </is>
      </c>
      <c r="I28" s="7" t="inlineStr">
        <is>
          <t>PO line PO-2023-0010 - Dell U2723QE.</t>
        </is>
      </c>
    </row>
    <row r="29">
      <c r="A29" s="7" t="inlineStr">
        <is>
          <t>MD-00058</t>
        </is>
      </c>
      <c r="B29" s="7" t="inlineStr">
        <is>
          <t>2026-05-11</t>
        </is>
      </c>
      <c r="C29" s="7" t="inlineStr">
        <is>
          <t>Assignment/Transfer</t>
        </is>
      </c>
      <c r="D29" s="7" t="inlineStr">
        <is>
          <t>Central Receiving</t>
        </is>
      </c>
      <c r="E29" s="7" t="inlineStr">
        <is>
          <t>Regional IT</t>
        </is>
      </c>
      <c r="F29" s="7" t="inlineStr">
        <is>
          <t>New York</t>
        </is>
      </c>
      <c r="G29" s="7" t="inlineStr">
        <is>
          <t>Transfer:TR-00058; Approval:missing</t>
        </is>
      </c>
      <c r="H29" s="7" t="inlineStr">
        <is>
          <t>Confirmed Fact</t>
        </is>
      </c>
      <c r="I29" s="7" t="inlineStr">
        <is>
          <t>Dock file shows 05/23/2026 for TR-00058 (MD-00058).</t>
        </is>
      </c>
    </row>
    <row r="30">
      <c r="A30" s="7" t="inlineStr">
        <is>
          <t>MD-00058</t>
        </is>
      </c>
      <c r="B30" s="7" t="inlineStr">
        <is>
          <t>2026-05-24</t>
        </is>
      </c>
      <c r="C30" s="7" t="inlineStr">
        <is>
          <t>Offboarding Ticket</t>
        </is>
      </c>
      <c r="D30" s="7" t="inlineStr">
        <is>
          <t>E0071</t>
        </is>
      </c>
      <c r="E30" s="7" t="inlineStr">
        <is>
          <t>IT Service Desk</t>
        </is>
      </c>
      <c r="F30" s="7" t="inlineStr"/>
      <c r="G30" s="7" t="inlineStr">
        <is>
          <t>Ticket:OFF-00058; Status:Closed</t>
        </is>
      </c>
      <c r="H30" s="7" t="inlineStr">
        <is>
          <t>Confirmed Fact</t>
        </is>
      </c>
      <c r="I30" s="7" t="inlineStr">
        <is>
          <t>Opened OFF-00058. Status Closed.</t>
        </is>
      </c>
    </row>
    <row r="31">
      <c r="A31" s="7" t="inlineStr">
        <is>
          <t>MD-00058</t>
        </is>
      </c>
      <c r="B31" s="7" t="inlineStr">
        <is>
          <t>2026-05-24</t>
        </is>
      </c>
      <c r="C31" s="7" t="inlineStr">
        <is>
          <t>Technician Comment</t>
        </is>
      </c>
      <c r="D31" s="7" t="inlineStr">
        <is>
          <t>Service Desk</t>
        </is>
      </c>
      <c r="E31" s="7" t="inlineStr"/>
      <c r="F31" s="7" t="inlineStr"/>
      <c r="G31" s="7" t="inlineStr">
        <is>
          <t>Ticket:OFF-00058</t>
        </is>
      </c>
      <c r="H31" s="7" t="inlineStr">
        <is>
          <t>Technician Claim</t>
        </is>
      </c>
      <c r="I31" s="7" t="inlineStr">
        <is>
          <t>Opened return kit after HR closeout. Label printed, waiting on the person. Ref MD-00058.</t>
        </is>
      </c>
    </row>
    <row r="32">
      <c r="A32" s="7" t="inlineStr">
        <is>
          <t>MD-00058</t>
        </is>
      </c>
      <c r="B32" s="7" t="inlineStr">
        <is>
          <t>2026-08-05</t>
        </is>
      </c>
      <c r="C32" s="7" t="inlineStr">
        <is>
          <t>Regional IT Note Lead</t>
        </is>
      </c>
      <c r="D32" s="7" t="inlineStr">
        <is>
          <t>Regional IT</t>
        </is>
      </c>
      <c r="E32" s="7" t="inlineStr"/>
      <c r="F32" s="7" t="inlineStr">
        <is>
          <t>Chicago - Closed</t>
        </is>
      </c>
      <c r="G32" s="7" t="inlineStr">
        <is>
          <t>regional_IT_notes.docx</t>
        </is>
      </c>
      <c r="H32" s="7" t="inlineStr">
        <is>
          <t>Technician Claim</t>
        </is>
      </c>
      <c r="I32" s="7" t="inlineStr">
        <is>
          <t>Regional claim (Asset appears to have been moved to Regional IT stock. The transfer record contains no app) does not beat a scan for MD-00058.</t>
        </is>
      </c>
    </row>
    <row r="33">
      <c r="A33" s="7" t="inlineStr">
        <is>
          <t>MD-00058</t>
        </is>
      </c>
      <c r="B33" s="7" t="inlineStr">
        <is>
          <t>2026-08-09</t>
        </is>
      </c>
      <c r="C33" s="7" t="inlineStr">
        <is>
          <t>Policy Control Figure</t>
        </is>
      </c>
      <c r="D33" s="7" t="inlineStr">
        <is>
          <t>ITAM-001</t>
        </is>
      </c>
      <c r="E33" s="7" t="inlineStr"/>
      <c r="F33" s="7" t="inlineStr"/>
      <c r="G33" s="7" t="inlineStr">
        <is>
          <t>ITAM_control_matrix.png; IT_asset_management_policy.pdf</t>
        </is>
      </c>
      <c r="H33" s="7" t="inlineStr">
        <is>
          <t>Confirmed Fact</t>
        </is>
      </c>
      <c r="I33" s="7" t="inlineStr">
        <is>
          <t>MD-00058: checked ITAM-001 disposal row while reviewing TR-00058, PO-2023-0010, FA-000058, OFF-00058. Cost basis $610; confidence Medium. Figure does not replace logs.</t>
        </is>
      </c>
    </row>
    <row r="34">
      <c r="A34" s="7" t="inlineStr">
        <is>
          <t>MD-00058</t>
        </is>
      </c>
      <c r="B34" s="7" t="inlineStr">
        <is>
          <t>2026-08-09</t>
        </is>
      </c>
      <c r="C34" s="7" t="inlineStr">
        <is>
          <t>Reconciliation Conclusion</t>
        </is>
      </c>
      <c r="D34" s="7" t="inlineStr">
        <is>
          <t>Evidence review</t>
        </is>
      </c>
      <c r="E34" s="7" t="inlineStr">
        <is>
          <t>Regional IT</t>
        </is>
      </c>
      <c r="F34" s="7" t="inlineStr">
        <is>
          <t>New York</t>
        </is>
      </c>
      <c r="G34" s="7" t="inlineStr">
        <is>
          <t>Transfer:TR-00058; Received:2026-05-12; Ticket:OFF-00058; PO:PO-2023-0010; Ledger:FA-000058; PolicyFigure:ITAM_control_matrix.png</t>
        </is>
      </c>
      <c r="H34" s="7" t="inlineStr">
        <is>
          <t>Confirmed Fact</t>
        </is>
      </c>
      <c r="I34" s="7" t="inlineStr">
        <is>
          <t>Call on MD-00058: Pending Redeployment, Medium. EX-0039, EX-0040, EX-0041. TR-00058. OFF-00058. PO. PO-2023-0010. FA-000058. ITAM_control_matrix.png.</t>
        </is>
      </c>
    </row>
    <row r="35">
      <c r="A35" s="7" t="inlineStr">
        <is>
          <t>MD-00059</t>
        </is>
      </c>
      <c r="B35" s="7" t="inlineStr">
        <is>
          <t>2025-12-12</t>
        </is>
      </c>
      <c r="C35" s="7" t="inlineStr">
        <is>
          <t>Purchase</t>
        </is>
      </c>
      <c r="D35" s="7" t="inlineStr">
        <is>
          <t>Vendor</t>
        </is>
      </c>
      <c r="E35" s="7" t="inlineStr">
        <is>
          <t>Central Receiving</t>
        </is>
      </c>
      <c r="F35" s="7" t="inlineStr">
        <is>
          <t>Atlanta Warehouse</t>
        </is>
      </c>
      <c r="G35" s="7" t="inlineStr">
        <is>
          <t>PO:PO-2023-0010</t>
        </is>
      </c>
      <c r="H35" s="7" t="inlineStr">
        <is>
          <t>Confirmed Fact</t>
        </is>
      </c>
      <c r="I35" s="7" t="inlineStr">
        <is>
          <t>PO-2023-0010 documents $1085 for Samsung Galaxy S24.</t>
        </is>
      </c>
    </row>
    <row r="36">
      <c r="A36" s="7" t="inlineStr">
        <is>
          <t>MD-00059</t>
        </is>
      </c>
      <c r="B36" s="7" t="inlineStr">
        <is>
          <t>2026-06-12</t>
        </is>
      </c>
      <c r="C36" s="7" t="inlineStr">
        <is>
          <t>Assignment/Transfer</t>
        </is>
      </c>
      <c r="D36" s="7" t="inlineStr">
        <is>
          <t>Central Receiving</t>
        </is>
      </c>
      <c r="E36" s="7" t="inlineStr">
        <is>
          <t>Regional IT</t>
        </is>
      </c>
      <c r="F36" s="7" t="inlineStr">
        <is>
          <t>Seattle</t>
        </is>
      </c>
      <c r="G36" s="7" t="inlineStr">
        <is>
          <t>Transfer:TR-00059; Approval:missing</t>
        </is>
      </c>
      <c r="H36" s="7" t="inlineStr">
        <is>
          <t>Confirmed Fact</t>
        </is>
      </c>
      <c r="I36" s="7" t="inlineStr">
        <is>
          <t>TR-00059 - got it 2026-06-26 at Seattle.</t>
        </is>
      </c>
    </row>
    <row r="37">
      <c r="A37" s="7" t="inlineStr">
        <is>
          <t>MD-00059</t>
        </is>
      </c>
      <c r="B37" s="7" t="inlineStr">
        <is>
          <t>2026-06-01</t>
        </is>
      </c>
      <c r="C37" s="7" t="inlineStr">
        <is>
          <t>Offboarding Ticket</t>
        </is>
      </c>
      <c r="D37" s="7" t="inlineStr">
        <is>
          <t>E0072</t>
        </is>
      </c>
      <c r="E37" s="7" t="inlineStr">
        <is>
          <t>IT Service Desk</t>
        </is>
      </c>
      <c r="F37" s="7" t="inlineStr"/>
      <c r="G37" s="7" t="inlineStr">
        <is>
          <t>Ticket:OFF-00059; Status:Closed</t>
        </is>
      </c>
      <c r="H37" s="7" t="inlineStr">
        <is>
          <t>Confirmed Fact</t>
        </is>
      </c>
      <c r="I37" s="7" t="inlineStr">
        <is>
          <t>Opened OFF-00059. Status Closed.</t>
        </is>
      </c>
    </row>
    <row r="38">
      <c r="A38" s="7" t="inlineStr">
        <is>
          <t>MD-00059</t>
        </is>
      </c>
      <c r="B38" s="7" t="inlineStr">
        <is>
          <t>2026-06-01</t>
        </is>
      </c>
      <c r="C38" s="7" t="inlineStr">
        <is>
          <t>Technician Comment</t>
        </is>
      </c>
      <c r="D38" s="7" t="inlineStr">
        <is>
          <t>Service Desk</t>
        </is>
      </c>
      <c r="E38" s="7" t="inlineStr"/>
      <c r="F38" s="7" t="inlineStr"/>
      <c r="G38" s="7" t="inlineStr">
        <is>
          <t>Ticket:OFF-00059</t>
        </is>
      </c>
      <c r="H38" s="7" t="inlineStr">
        <is>
          <t>Technician Claim</t>
        </is>
      </c>
      <c r="I38" s="7" t="inlineStr">
        <is>
          <t>Mailed prepaid pouch 6/25. No SCAN-86 yet. Ref MD-00059.</t>
        </is>
      </c>
    </row>
    <row r="39">
      <c r="A39" s="7" t="inlineStr">
        <is>
          <t>MD-00059</t>
        </is>
      </c>
      <c r="B39" s="7" t="inlineStr">
        <is>
          <t>2026-08-05</t>
        </is>
      </c>
      <c r="C39" s="7" t="inlineStr">
        <is>
          <t>Regional IT Note Lead</t>
        </is>
      </c>
      <c r="D39" s="7" t="inlineStr">
        <is>
          <t>Regional IT</t>
        </is>
      </c>
      <c r="E39" s="7" t="inlineStr"/>
      <c r="F39" s="7" t="inlineStr">
        <is>
          <t>Denver - Closed</t>
        </is>
      </c>
      <c r="G39" s="7" t="inlineStr">
        <is>
          <t>regional_IT_notes.docx</t>
        </is>
      </c>
      <c r="H39" s="7" t="inlineStr">
        <is>
          <t>Technician Claim</t>
        </is>
      </c>
      <c r="I39" s="7" t="inlineStr">
        <is>
          <t>Looked for MD-00059 in regional_IT_notes.docx; still need CSV/XLSX proof.</t>
        </is>
      </c>
    </row>
    <row r="40">
      <c r="A40" s="7" t="inlineStr">
        <is>
          <t>MD-00059</t>
        </is>
      </c>
      <c r="B40" s="7" t="inlineStr">
        <is>
          <t>2026-08-09</t>
        </is>
      </c>
      <c r="C40" s="7" t="inlineStr">
        <is>
          <t>Policy Control Figure</t>
        </is>
      </c>
      <c r="D40" s="7" t="inlineStr">
        <is>
          <t>ITAM-001</t>
        </is>
      </c>
      <c r="E40" s="7" t="inlineStr"/>
      <c r="F40" s="7" t="inlineStr"/>
      <c r="G40" s="7" t="inlineStr">
        <is>
          <t>ITAM_control_matrix.png; IT_asset_management_policy.pdf</t>
        </is>
      </c>
      <c r="H40" s="7" t="inlineStr">
        <is>
          <t>Confirmed Fact</t>
        </is>
      </c>
      <c r="I40" s="7" t="inlineStr">
        <is>
          <t>Matrix figure open for MD-00059 return path; transactional weight on TR-00059, PO-2023-0010, FA-000059, OFF-00059. Open exceptions EX-0042, EX-0043, EX-0044 still govern certification impact.</t>
        </is>
      </c>
    </row>
    <row r="41">
      <c r="A41" s="7" t="inlineStr">
        <is>
          <t>MD-00059</t>
        </is>
      </c>
      <c r="B41" s="7" t="inlineStr">
        <is>
          <t>2026-08-09</t>
        </is>
      </c>
      <c r="C41" s="7" t="inlineStr">
        <is>
          <t>Reconciliation Conclusion</t>
        </is>
      </c>
      <c r="D41" s="7" t="inlineStr">
        <is>
          <t>Evidence review</t>
        </is>
      </c>
      <c r="E41" s="7" t="inlineStr">
        <is>
          <t>Regional IT</t>
        </is>
      </c>
      <c r="F41" s="7" t="inlineStr">
        <is>
          <t>Seattle</t>
        </is>
      </c>
      <c r="G41" s="7" t="inlineStr">
        <is>
          <t>Transfer:TR-00059; Received:2026-06-13; Ticket:OFF-00059; PO:PO-2023-0010; Ledger:FA-000059; PolicyFigure:ITAM_control_matrix.png</t>
        </is>
      </c>
      <c r="H41" s="7" t="inlineStr">
        <is>
          <t>Confirmed Fact</t>
        </is>
      </c>
      <c r="I41" s="7" t="inlineStr">
        <is>
          <t>Closing MD-00059: Pending Redeployment at Seattle (Medium). EX-0042, EX-0043, EX-0044. TR-00059. OFF-00059. PO. PO-2023-0010. FA-000059. ITAM_control_matrix.png.</t>
        </is>
      </c>
    </row>
    <row r="42">
      <c r="A42" s="7" t="inlineStr">
        <is>
          <t>MD-00060</t>
        </is>
      </c>
      <c r="B42" s="7" t="inlineStr">
        <is>
          <t>2022-01-13</t>
        </is>
      </c>
      <c r="C42" s="7" t="inlineStr">
        <is>
          <t>Purchase</t>
        </is>
      </c>
      <c r="D42" s="7" t="inlineStr">
        <is>
          <t>Vendor</t>
        </is>
      </c>
      <c r="E42" s="7" t="inlineStr">
        <is>
          <t>Central Receiving</t>
        </is>
      </c>
      <c r="F42" s="7" t="inlineStr">
        <is>
          <t>Atlanta Warehouse</t>
        </is>
      </c>
      <c r="G42" s="7" t="inlineStr">
        <is>
          <t>PO:PO-2023-0010</t>
        </is>
      </c>
      <c r="H42" s="7" t="inlineStr">
        <is>
          <t>Confirmed Fact</t>
        </is>
      </c>
      <c r="I42" s="7" t="inlineStr">
        <is>
          <t>MD-00060 origin: PO-2023-0010, $6380.</t>
        </is>
      </c>
    </row>
    <row r="43">
      <c r="A43" s="7" t="inlineStr">
        <is>
          <t>MD-00060</t>
        </is>
      </c>
      <c r="B43" s="7" t="inlineStr">
        <is>
          <t>2026-01-13</t>
        </is>
      </c>
      <c r="C43" s="7" t="inlineStr">
        <is>
          <t>Assignment/Transfer</t>
        </is>
      </c>
      <c r="D43" s="7" t="inlineStr">
        <is>
          <t>Central Receiving</t>
        </is>
      </c>
      <c r="E43" s="7" t="inlineStr">
        <is>
          <t>Regional IT</t>
        </is>
      </c>
      <c r="F43" s="7" t="inlineStr">
        <is>
          <t>Atlanta</t>
        </is>
      </c>
      <c r="G43" s="7" t="inlineStr">
        <is>
          <t>Transfer:TR-00060; Approval:APR-00060</t>
        </is>
      </c>
      <c r="H43" s="7" t="inlineStr">
        <is>
          <t>Confirmed Fact</t>
        </is>
      </c>
      <c r="I43" s="7" t="inlineStr">
        <is>
          <t>Movement TR-00060 completed inbound Feb 02, 2026.</t>
        </is>
      </c>
    </row>
    <row r="44">
      <c r="A44" s="7" t="inlineStr">
        <is>
          <t>MD-00060</t>
        </is>
      </c>
      <c r="B44" s="7" t="inlineStr">
        <is>
          <t>2026-05-02</t>
        </is>
      </c>
      <c r="C44" s="7" t="inlineStr">
        <is>
          <t>Offboarding Ticket</t>
        </is>
      </c>
      <c r="D44" s="7" t="inlineStr">
        <is>
          <t>E0073</t>
        </is>
      </c>
      <c r="E44" s="7" t="inlineStr">
        <is>
          <t>IT Service Desk</t>
        </is>
      </c>
      <c r="F44" s="7" t="inlineStr"/>
      <c r="G44" s="7" t="inlineStr">
        <is>
          <t>Ticket:OFF-00060; Status:Closed</t>
        </is>
      </c>
      <c r="H44" s="7" t="inlineStr">
        <is>
          <t>Confirmed Fact</t>
        </is>
      </c>
      <c r="I44" s="7" t="inlineStr">
        <is>
          <t>OFF-00060 Closed. Return required=Yes, due 07/15/2026.</t>
        </is>
      </c>
    </row>
    <row r="45">
      <c r="A45" s="7" t="inlineStr">
        <is>
          <t>MD-00060</t>
        </is>
      </c>
      <c r="B45" s="7" t="inlineStr">
        <is>
          <t>2026-05-02</t>
        </is>
      </c>
      <c r="C45" s="7" t="inlineStr">
        <is>
          <t>Technician Comment</t>
        </is>
      </c>
      <c r="D45" s="7" t="inlineStr">
        <is>
          <t>Service Desk</t>
        </is>
      </c>
      <c r="E45" s="7" t="inlineStr"/>
      <c r="F45" s="7" t="inlineStr"/>
      <c r="G45" s="7" t="inlineStr">
        <is>
          <t>Ticket:OFF-00060</t>
        </is>
      </c>
      <c r="H45" s="7" t="inlineStr">
        <is>
          <t>Technician Claim</t>
        </is>
      </c>
      <c r="I45" s="7" t="inlineStr">
        <is>
          <t>User said they'd drop at UPS on the way out. Ticket remains open until dock confirms. Ref MD-00060.</t>
        </is>
      </c>
    </row>
    <row r="46">
      <c r="A46" s="7" t="inlineStr">
        <is>
          <t>MD-00060</t>
        </is>
      </c>
      <c r="B46" s="7" t="inlineStr">
        <is>
          <t>2026-08-05</t>
        </is>
      </c>
      <c r="C46" s="7" t="inlineStr">
        <is>
          <t>Regional IT Note Lead</t>
        </is>
      </c>
      <c r="D46" s="7" t="inlineStr">
        <is>
          <t>Regional IT</t>
        </is>
      </c>
      <c r="E46" s="7" t="inlineStr"/>
      <c r="F46" s="7" t="inlineStr">
        <is>
          <t>Chicago - Closed</t>
        </is>
      </c>
      <c r="G46" s="7" t="inlineStr">
        <is>
          <t>regional_IT_notes.docx</t>
        </is>
      </c>
      <c r="H46" s="7" t="inlineStr">
        <is>
          <t>Technician Claim</t>
        </is>
      </c>
      <c r="I46" s="7" t="inlineStr">
        <is>
          <t>Word dump checked for MD-00060; no authoritative note found.</t>
        </is>
      </c>
    </row>
    <row r="47">
      <c r="A47" s="7" t="inlineStr">
        <is>
          <t>MD-00060</t>
        </is>
      </c>
      <c r="B47" s="7" t="inlineStr">
        <is>
          <t>2026-08-09</t>
        </is>
      </c>
      <c r="C47" s="7" t="inlineStr">
        <is>
          <t>Policy Control Figure</t>
        </is>
      </c>
      <c r="D47" s="7" t="inlineStr">
        <is>
          <t>ITAM-001</t>
        </is>
      </c>
      <c r="E47" s="7" t="inlineStr"/>
      <c r="F47" s="7" t="inlineStr"/>
      <c r="G47" s="7" t="inlineStr">
        <is>
          <t>ITAM_control_matrix.png; IT_asset_management_policy.pdf</t>
        </is>
      </c>
      <c r="H47" s="7" t="inlineStr">
        <is>
          <t>Confirmed Fact</t>
        </is>
      </c>
      <c r="I47" s="7" t="inlineStr">
        <is>
          <t>For MD-00060 (Cisco C9300), Appendix A transfer criteria were read against TR-00060, PO-2023-0010, FA-000060, OFF-00060, APR-00060. Verified status target Pending Redeployment at Atlanta; matrix PNG is reference only.</t>
        </is>
      </c>
    </row>
    <row r="48">
      <c r="A48" s="7" t="inlineStr">
        <is>
          <t>MD-00060</t>
        </is>
      </c>
      <c r="B48" s="7" t="inlineStr">
        <is>
          <t>2026-08-09</t>
        </is>
      </c>
      <c r="C48" s="7" t="inlineStr">
        <is>
          <t>Reconciliation Conclusion</t>
        </is>
      </c>
      <c r="D48" s="7" t="inlineStr">
        <is>
          <t>Evidence review</t>
        </is>
      </c>
      <c r="E48" s="7" t="inlineStr">
        <is>
          <t>Regional IT</t>
        </is>
      </c>
      <c r="F48" s="7" t="inlineStr">
        <is>
          <t>Atlanta</t>
        </is>
      </c>
      <c r="G48" s="7" t="inlineStr">
        <is>
          <t>Transfer:TR-00060; Approval:APR-00060; Received:2026-01-14; Ticket:OFF-00060; PO:PO-2023-0010; Ledger:FA-000060; PolicyFigure:ITAM_control_matrix.png</t>
        </is>
      </c>
      <c r="H48" s="7" t="inlineStr">
        <is>
          <t>Confirmed Fact</t>
        </is>
      </c>
      <c r="I48" s="7" t="inlineStr">
        <is>
          <t>Final read MD-00060: Pending Redeployment @ Atlanta, confidence High. EX-0045, EX-0046. TR-00060. APR-00060. OFF-00060. PO. PO-2023-0010. FA-000060. ITAM_control_matrix.png.</t>
        </is>
      </c>
    </row>
    <row r="49">
      <c r="A49" s="7" t="inlineStr">
        <is>
          <t>MD-00061</t>
        </is>
      </c>
      <c r="B49" s="7" t="inlineStr">
        <is>
          <t>2023-02-14</t>
        </is>
      </c>
      <c r="C49" s="7" t="inlineStr">
        <is>
          <t>Purchase</t>
        </is>
      </c>
      <c r="D49" s="7" t="inlineStr">
        <is>
          <t>Vendor</t>
        </is>
      </c>
      <c r="E49" s="7" t="inlineStr">
        <is>
          <t>Central Receiving</t>
        </is>
      </c>
      <c r="F49" s="7" t="inlineStr">
        <is>
          <t>Atlanta Warehouse</t>
        </is>
      </c>
      <c r="G49" s="7" t="inlineStr">
        <is>
          <t>PO:PO-2024-0011</t>
        </is>
      </c>
      <c r="H49" s="7" t="inlineStr">
        <is>
          <t>Confirmed Fact</t>
        </is>
      </c>
      <c r="I49" s="7" t="inlineStr">
        <is>
          <t>PO-2024-0011 documents $2075 for Lenovo ThinkPad T14.</t>
        </is>
      </c>
    </row>
    <row r="50">
      <c r="A50" s="7" t="inlineStr">
        <is>
          <t>MD-00061</t>
        </is>
      </c>
      <c r="B50" s="7" t="inlineStr">
        <is>
          <t>2026-02-14</t>
        </is>
      </c>
      <c r="C50" s="7" t="inlineStr">
        <is>
          <t>Assignment/Transfer</t>
        </is>
      </c>
      <c r="D50" s="7" t="inlineStr">
        <is>
          <t>Central Receiving</t>
        </is>
      </c>
      <c r="E50" s="7" t="inlineStr">
        <is>
          <t>Regional IT</t>
        </is>
      </c>
      <c r="F50" s="7" t="inlineStr">
        <is>
          <t>Chicago</t>
        </is>
      </c>
      <c r="G50" s="7" t="inlineStr">
        <is>
          <t>Transfer:TR-00061; Approval:APR-00061</t>
        </is>
      </c>
      <c r="H50" s="7" t="inlineStr">
        <is>
          <t>Confirmed Fact</t>
        </is>
      </c>
      <c r="I50" s="7" t="inlineStr">
        <is>
          <t>Assignment posted Feb 02, 2026. Docked 02/03/2026 (TR-00061).</t>
        </is>
      </c>
    </row>
    <row r="51">
      <c r="A51" s="7" t="inlineStr">
        <is>
          <t>MD-00061</t>
        </is>
      </c>
      <c r="B51" s="7" t="inlineStr">
        <is>
          <t>2026-06-03</t>
        </is>
      </c>
      <c r="C51" s="7" t="inlineStr">
        <is>
          <t>Offboarding Ticket</t>
        </is>
      </c>
      <c r="D51" s="7" t="inlineStr">
        <is>
          <t>E0074</t>
        </is>
      </c>
      <c r="E51" s="7" t="inlineStr">
        <is>
          <t>IT Service Desk</t>
        </is>
      </c>
      <c r="F51" s="7" t="inlineStr"/>
      <c r="G51" s="7" t="inlineStr">
        <is>
          <t>Ticket:OFF-00061; Status:Closed</t>
        </is>
      </c>
      <c r="H51" s="7" t="inlineStr">
        <is>
          <t>Confirmed Fact</t>
        </is>
      </c>
      <c r="I51" s="7" t="inlineStr">
        <is>
          <t>Offboarding OFF-00061: Yes. Due 2026-07-15.</t>
        </is>
      </c>
    </row>
    <row r="52">
      <c r="A52" s="7" t="inlineStr">
        <is>
          <t>MD-00061</t>
        </is>
      </c>
      <c r="B52" s="7" t="inlineStr">
        <is>
          <t>2026-06-03</t>
        </is>
      </c>
      <c r="C52" s="7" t="inlineStr">
        <is>
          <t>Technician Comment</t>
        </is>
      </c>
      <c r="D52" s="7" t="inlineStr">
        <is>
          <t>Service Desk</t>
        </is>
      </c>
      <c r="E52" s="7" t="inlineStr"/>
      <c r="F52" s="7" t="inlineStr"/>
      <c r="G52" s="7" t="inlineStr">
        <is>
          <t>Ticket:OFF-00061</t>
        </is>
      </c>
      <c r="H52" s="7" t="inlineStr">
        <is>
          <t>Technician Claim</t>
        </is>
      </c>
      <c r="I52" s="7" t="inlineStr">
        <is>
          <t>Looping with site ops - laptop still showing assigned post-term. Ref MD-00061.</t>
        </is>
      </c>
    </row>
    <row r="53">
      <c r="A53" s="7" t="inlineStr">
        <is>
          <t>MD-00061</t>
        </is>
      </c>
      <c r="B53" s="7" t="inlineStr">
        <is>
          <t>2026-08-05</t>
        </is>
      </c>
      <c r="C53" s="7" t="inlineStr">
        <is>
          <t>Regional IT Note Lead</t>
        </is>
      </c>
      <c r="D53" s="7" t="inlineStr">
        <is>
          <t>Regional IT</t>
        </is>
      </c>
      <c r="E53" s="7" t="inlineStr"/>
      <c r="F53" s="7" t="inlineStr">
        <is>
          <t>Denver - Closed</t>
        </is>
      </c>
      <c r="G53" s="7" t="inlineStr">
        <is>
          <t>regional_IT_notes.docx</t>
        </is>
      </c>
      <c r="H53" s="7" t="inlineStr">
        <is>
          <t>Technician Claim</t>
        </is>
      </c>
      <c r="I53" s="7" t="inlineStr">
        <is>
          <t>Regional write-up for MD-00061 is non-authoritative per ITAM-001.</t>
        </is>
      </c>
    </row>
    <row r="54">
      <c r="A54" s="7" t="inlineStr">
        <is>
          <t>MD-00061</t>
        </is>
      </c>
      <c r="B54" s="7" t="inlineStr">
        <is>
          <t>2026-08-09</t>
        </is>
      </c>
      <c r="C54" s="7" t="inlineStr">
        <is>
          <t>Policy Control Figure</t>
        </is>
      </c>
      <c r="D54" s="7" t="inlineStr">
        <is>
          <t>ITAM-001</t>
        </is>
      </c>
      <c r="E54" s="7" t="inlineStr"/>
      <c r="F54" s="7" t="inlineStr"/>
      <c r="G54" s="7" t="inlineStr">
        <is>
          <t>ITAM_control_matrix.png; IT_asset_management_policy.pdf</t>
        </is>
      </c>
      <c r="H54" s="7" t="inlineStr">
        <is>
          <t>Confirmed Fact</t>
        </is>
      </c>
      <c r="I54" s="7" t="inlineStr">
        <is>
          <t>MD-00061: checked ITAM-001 assignment row while reviewing TR-00061, PO-2024-0011, FA-000061, OFF-00061, APR-00061. Cost basis $2075; confidence High. Figure does not replace logs.</t>
        </is>
      </c>
    </row>
    <row r="55">
      <c r="A55" s="7" t="inlineStr">
        <is>
          <t>MD-00061</t>
        </is>
      </c>
      <c r="B55" s="7" t="inlineStr">
        <is>
          <t>2026-08-09</t>
        </is>
      </c>
      <c r="C55" s="7" t="inlineStr">
        <is>
          <t>Reconciliation Conclusion</t>
        </is>
      </c>
      <c r="D55" s="7" t="inlineStr">
        <is>
          <t>Evidence review</t>
        </is>
      </c>
      <c r="E55" s="7" t="inlineStr">
        <is>
          <t>Regional IT</t>
        </is>
      </c>
      <c r="F55" s="7" t="inlineStr">
        <is>
          <t>Chicago</t>
        </is>
      </c>
      <c r="G55" s="7" t="inlineStr">
        <is>
          <t>Transfer:TR-00061; Approval:APR-00061; Received:2026-02-15; Ticket:OFF-00061; PO:PO-2024-0011; Ledger:FA-000061; PolicyFigure:ITAM_control_matrix.png</t>
        </is>
      </c>
      <c r="H55" s="7" t="inlineStr">
        <is>
          <t>Confirmed Fact</t>
        </is>
      </c>
      <c r="I55" s="7" t="inlineStr">
        <is>
          <t>Pending Redeployment is the status for MD-00061 at Chicago; High. EX-0047, EX-0048. TR-00061. APR-00061. OFF-00061. PO. PO-2024-0011. FA-000061. ITAM_control_matrix.png.</t>
        </is>
      </c>
    </row>
    <row r="56">
      <c r="A56" s="7" t="inlineStr">
        <is>
          <t>MD-00062</t>
        </is>
      </c>
      <c r="B56" s="7" t="inlineStr">
        <is>
          <t>2024-03-15</t>
        </is>
      </c>
      <c r="C56" s="7" t="inlineStr">
        <is>
          <t>Purchase</t>
        </is>
      </c>
      <c r="D56" s="7" t="inlineStr">
        <is>
          <t>Vendor</t>
        </is>
      </c>
      <c r="E56" s="7" t="inlineStr">
        <is>
          <t>Central Receiving</t>
        </is>
      </c>
      <c r="F56" s="7" t="inlineStr">
        <is>
          <t>Atlanta Warehouse</t>
        </is>
      </c>
      <c r="G56" s="7" t="inlineStr">
        <is>
          <t>PO:PO-2024-0011</t>
        </is>
      </c>
      <c r="H56" s="7" t="inlineStr">
        <is>
          <t>Confirmed Fact</t>
        </is>
      </c>
      <c r="I56" s="7" t="inlineStr">
        <is>
          <t>Warehouse receipt tied to PO-2024-0011. Dell U2723QE.</t>
        </is>
      </c>
    </row>
    <row r="57">
      <c r="A57" s="7" t="inlineStr">
        <is>
          <t>MD-00062</t>
        </is>
      </c>
      <c r="B57" s="7" t="inlineStr">
        <is>
          <t>2026-03-15</t>
        </is>
      </c>
      <c r="C57" s="7" t="inlineStr">
        <is>
          <t>Assignment/Transfer</t>
        </is>
      </c>
      <c r="D57" s="7" t="inlineStr">
        <is>
          <t>Central Receiving</t>
        </is>
      </c>
      <c r="E57" s="7" t="inlineStr">
        <is>
          <t>Regional IT</t>
        </is>
      </c>
      <c r="F57" s="7" t="inlineStr">
        <is>
          <t>Dallas</t>
        </is>
      </c>
      <c r="G57" s="7" t="inlineStr">
        <is>
          <t>Transfer:TR-00062; Approval:APR-00062</t>
        </is>
      </c>
      <c r="H57" s="7" t="inlineStr">
        <is>
          <t>Confirmed Fact</t>
        </is>
      </c>
      <c r="I57" s="7" t="inlineStr">
        <is>
          <t>Dock file shows 2026-03-07 for TR-00062 (MD-00062).</t>
        </is>
      </c>
    </row>
    <row r="58">
      <c r="A58" s="7" t="inlineStr">
        <is>
          <t>MD-00062</t>
        </is>
      </c>
      <c r="B58" s="7" t="inlineStr">
        <is>
          <t>2026-05-04</t>
        </is>
      </c>
      <c r="C58" s="7" t="inlineStr">
        <is>
          <t>Offboarding Ticket</t>
        </is>
      </c>
      <c r="D58" s="7" t="inlineStr">
        <is>
          <t>E0075</t>
        </is>
      </c>
      <c r="E58" s="7" t="inlineStr">
        <is>
          <t>IT Service Desk</t>
        </is>
      </c>
      <c r="F58" s="7" t="inlineStr"/>
      <c r="G58" s="7" t="inlineStr">
        <is>
          <t>Ticket:OFF-00062; Status:Closed</t>
        </is>
      </c>
      <c r="H58" s="7" t="inlineStr">
        <is>
          <t>Confirmed Fact</t>
        </is>
      </c>
      <c r="I58" s="7" t="inlineStr">
        <is>
          <t>Offboarding OFF-00062: Yes. Due Jul 15, 2026.</t>
        </is>
      </c>
    </row>
    <row r="59">
      <c r="A59" s="7" t="inlineStr">
        <is>
          <t>MD-00062</t>
        </is>
      </c>
      <c r="B59" s="7" t="inlineStr">
        <is>
          <t>2026-05-04</t>
        </is>
      </c>
      <c r="C59" s="7" t="inlineStr">
        <is>
          <t>Technician Comment</t>
        </is>
      </c>
      <c r="D59" s="7" t="inlineStr">
        <is>
          <t>Service Desk</t>
        </is>
      </c>
      <c r="E59" s="7" t="inlineStr"/>
      <c r="F59" s="7" t="inlineStr"/>
      <c r="G59" s="7" t="inlineStr">
        <is>
          <t>Ticket:OFF-00062</t>
        </is>
      </c>
      <c r="H59" s="7" t="inlineStr">
        <is>
          <t>Technician Claim</t>
        </is>
      </c>
      <c r="I59" s="7" t="inlineStr">
        <is>
          <t>Return SLA missed; reminder sent to personal email on file. Ref MD-00062.</t>
        </is>
      </c>
    </row>
    <row r="60">
      <c r="A60" s="7" t="inlineStr">
        <is>
          <t>MD-00062</t>
        </is>
      </c>
      <c r="B60" s="7" t="inlineStr">
        <is>
          <t>2026-08-05</t>
        </is>
      </c>
      <c r="C60" s="7" t="inlineStr">
        <is>
          <t>Regional IT Note Lead</t>
        </is>
      </c>
      <c r="D60" s="7" t="inlineStr">
        <is>
          <t>Regional IT</t>
        </is>
      </c>
      <c r="E60" s="7" t="inlineStr"/>
      <c r="F60" s="7" t="inlineStr">
        <is>
          <t>Chicago - Closed</t>
        </is>
      </c>
      <c r="G60" s="7" t="inlineStr">
        <is>
          <t>regional_IT_notes.docx</t>
        </is>
      </c>
      <c r="H60" s="7" t="inlineStr">
        <is>
          <t>Technician Claim</t>
        </is>
      </c>
      <c r="I60" s="7" t="inlineStr">
        <is>
          <t>No matching RN row for MD-00062; generic technician chatter in the Word file only.</t>
        </is>
      </c>
    </row>
    <row r="61">
      <c r="A61" s="7" t="inlineStr">
        <is>
          <t>MD-00062</t>
        </is>
      </c>
      <c r="B61" s="7" t="inlineStr">
        <is>
          <t>2026-08-09</t>
        </is>
      </c>
      <c r="C61" s="7" t="inlineStr">
        <is>
          <t>Policy Control Figure</t>
        </is>
      </c>
      <c r="D61" s="7" t="inlineStr">
        <is>
          <t>ITAM-001</t>
        </is>
      </c>
      <c r="E61" s="7" t="inlineStr"/>
      <c r="F61" s="7" t="inlineStr"/>
      <c r="G61" s="7" t="inlineStr">
        <is>
          <t>ITAM_control_matrix.png; IT_asset_management_policy.pdf</t>
        </is>
      </c>
      <c r="H61" s="7" t="inlineStr">
        <is>
          <t>Confirmed Fact</t>
        </is>
      </c>
      <c r="I61" s="7" t="inlineStr">
        <is>
          <t>MD-00062 / Dell U2723QE: financial evidence expectations from Appendix A. Anchored to TR-00062, PO-2024-0011, FA-000062, OFF-00062, APR-00062; acquisition $790.</t>
        </is>
      </c>
    </row>
    <row r="62">
      <c r="A62" s="7" t="inlineStr">
        <is>
          <t>MD-00062</t>
        </is>
      </c>
      <c r="B62" s="7" t="inlineStr">
        <is>
          <t>2026-08-09</t>
        </is>
      </c>
      <c r="C62" s="7" t="inlineStr">
        <is>
          <t>Reconciliation Conclusion</t>
        </is>
      </c>
      <c r="D62" s="7" t="inlineStr">
        <is>
          <t>Evidence review</t>
        </is>
      </c>
      <c r="E62" s="7" t="inlineStr">
        <is>
          <t>Regional IT</t>
        </is>
      </c>
      <c r="F62" s="7" t="inlineStr">
        <is>
          <t>Dallas</t>
        </is>
      </c>
      <c r="G62" s="7" t="inlineStr">
        <is>
          <t>Transfer:TR-00062; Approval:APR-00062; Received:2026-03-16; Ticket:OFF-00062; PO:PO-2024-0011; Ledger:FA-000062; PolicyFigure:ITAM_control_matrix.png</t>
        </is>
      </c>
      <c r="H62" s="7" t="inlineStr">
        <is>
          <t>Confirmed Fact</t>
        </is>
      </c>
      <c r="I62" s="7" t="inlineStr">
        <is>
          <t>Call on MD-00062: Pending Redeployment, High. EX-0049, EX-0050. TR-00062. APR-00062. OFF-00062. PO. PO-2024-0011. FA-000062. ITAM_control_matrix.png.</t>
        </is>
      </c>
    </row>
    <row r="63">
      <c r="A63" s="7" t="inlineStr">
        <is>
          <t>MD-00063</t>
        </is>
      </c>
      <c r="B63" s="7" t="inlineStr">
        <is>
          <t>2025-04-16</t>
        </is>
      </c>
      <c r="C63" s="7" t="inlineStr">
        <is>
          <t>Purchase</t>
        </is>
      </c>
      <c r="D63" s="7" t="inlineStr">
        <is>
          <t>Vendor</t>
        </is>
      </c>
      <c r="E63" s="7" t="inlineStr">
        <is>
          <t>Central Receiving</t>
        </is>
      </c>
      <c r="F63" s="7" t="inlineStr">
        <is>
          <t>Atlanta Warehouse</t>
        </is>
      </c>
      <c r="G63" s="7" t="inlineStr">
        <is>
          <t>PO:PO-2024-0011</t>
        </is>
      </c>
      <c r="H63" s="7" t="inlineStr">
        <is>
          <t>Confirmed Fact</t>
        </is>
      </c>
      <c r="I63" s="7" t="inlineStr">
        <is>
          <t>Bought the Samsung Galaxy S24 ($950) on PO-2024-0011.</t>
        </is>
      </c>
    </row>
    <row r="64">
      <c r="A64" s="7" t="inlineStr">
        <is>
          <t>MD-00063</t>
        </is>
      </c>
      <c r="B64" s="7" t="inlineStr">
        <is>
          <t>2026-04-16</t>
        </is>
      </c>
      <c r="C64" s="7" t="inlineStr">
        <is>
          <t>Assignment/Transfer</t>
        </is>
      </c>
      <c r="D64" s="7" t="inlineStr">
        <is>
          <t>Central Receiving</t>
        </is>
      </c>
      <c r="E64" s="7" t="inlineStr">
        <is>
          <t>Regional IT</t>
        </is>
      </c>
      <c r="F64" s="7" t="inlineStr">
        <is>
          <t>Denver</t>
        </is>
      </c>
      <c r="G64" s="7" t="inlineStr">
        <is>
          <t>Transfer:TR-00063; Approval:APR-00063</t>
        </is>
      </c>
      <c r="H64" s="7" t="inlineStr">
        <is>
          <t>Confirmed Fact</t>
        </is>
      </c>
      <c r="I64" s="7" t="inlineStr">
        <is>
          <t>TR-00063 - got it Apr 16, 2026 at Denver.</t>
        </is>
      </c>
    </row>
    <row r="65">
      <c r="A65" s="7" t="inlineStr">
        <is>
          <t>MD-00063</t>
        </is>
      </c>
      <c r="B65" s="7" t="inlineStr">
        <is>
          <t>2026-06-05</t>
        </is>
      </c>
      <c r="C65" s="7" t="inlineStr">
        <is>
          <t>Offboarding Ticket</t>
        </is>
      </c>
      <c r="D65" s="7" t="inlineStr">
        <is>
          <t>E0076</t>
        </is>
      </c>
      <c r="E65" s="7" t="inlineStr">
        <is>
          <t>IT Service Desk</t>
        </is>
      </c>
      <c r="F65" s="7" t="inlineStr"/>
      <c r="G65" s="7" t="inlineStr">
        <is>
          <t>Ticket:OFF-00063; Status:Closed</t>
        </is>
      </c>
      <c r="H65" s="7" t="inlineStr">
        <is>
          <t>Confirmed Fact</t>
        </is>
      </c>
      <c r="I65" s="7" t="inlineStr">
        <is>
          <t>OFF-00063 sits Closed. Hardware return was required. 07/15/2026.</t>
        </is>
      </c>
    </row>
    <row r="66">
      <c r="A66" s="7" t="inlineStr">
        <is>
          <t>MD-00063</t>
        </is>
      </c>
      <c r="B66" s="7" t="inlineStr">
        <is>
          <t>2026-06-05</t>
        </is>
      </c>
      <c r="C66" s="7" t="inlineStr">
        <is>
          <t>Technician Comment</t>
        </is>
      </c>
      <c r="D66" s="7" t="inlineStr">
        <is>
          <t>Service Desk</t>
        </is>
      </c>
      <c r="E66" s="7" t="inlineStr"/>
      <c r="F66" s="7" t="inlineStr"/>
      <c r="G66" s="7" t="inlineStr">
        <is>
          <t>Ticket:OFF-00063</t>
        </is>
      </c>
      <c r="H66" s="7" t="inlineStr">
        <is>
          <t>Technician Claim</t>
        </is>
      </c>
      <c r="I66" s="7" t="inlineStr">
        <is>
          <t>Created 1Z label. Box not in Atlanta inbound as of last check. Ref MD-00063.</t>
        </is>
      </c>
    </row>
    <row r="67">
      <c r="A67" s="7" t="inlineStr">
        <is>
          <t>MD-00063</t>
        </is>
      </c>
      <c r="B67" s="7" t="inlineStr">
        <is>
          <t>2026-08-05</t>
        </is>
      </c>
      <c r="C67" s="7" t="inlineStr">
        <is>
          <t>Regional IT Note Lead</t>
        </is>
      </c>
      <c r="D67" s="7" t="inlineStr">
        <is>
          <t>Regional IT</t>
        </is>
      </c>
      <c r="E67" s="7" t="inlineStr"/>
      <c r="F67" s="7" t="inlineStr">
        <is>
          <t>Denver - Closed</t>
        </is>
      </c>
      <c r="G67" s="7" t="inlineStr">
        <is>
          <t>regional_IT_notes.docx</t>
        </is>
      </c>
      <c r="H67" s="7" t="inlineStr">
        <is>
          <t>Technician Claim</t>
        </is>
      </c>
      <c r="I67" s="7" t="inlineStr">
        <is>
          <t>Investigative color on MD-00063 in regional_IT_notes.docx - weight zero.</t>
        </is>
      </c>
    </row>
    <row r="68">
      <c r="A68" s="7" t="inlineStr">
        <is>
          <t>MD-00063</t>
        </is>
      </c>
      <c r="B68" s="7" t="inlineStr">
        <is>
          <t>2026-08-09</t>
        </is>
      </c>
      <c r="C68" s="7" t="inlineStr">
        <is>
          <t>Policy Control Figure</t>
        </is>
      </c>
      <c r="D68" s="7" t="inlineStr">
        <is>
          <t>ITAM-001</t>
        </is>
      </c>
      <c r="E68" s="7" t="inlineStr"/>
      <c r="F68" s="7" t="inlineStr"/>
      <c r="G68" s="7" t="inlineStr">
        <is>
          <t>ITAM_control_matrix.png; IT_asset_management_policy.pdf</t>
        </is>
      </c>
      <c r="H68" s="7" t="inlineStr">
        <is>
          <t>Confirmed Fact</t>
        </is>
      </c>
      <c r="I68" s="7" t="inlineStr">
        <is>
          <t>MD-00063: checked ITAM-001 return row while reviewing TR-00063, PO-2024-0011, FA-000063, OFF-00063, APR-00063. Cost basis $950; confidence High. Figure does not replace logs.</t>
        </is>
      </c>
    </row>
    <row r="69">
      <c r="A69" s="7" t="inlineStr">
        <is>
          <t>MD-00063</t>
        </is>
      </c>
      <c r="B69" s="7" t="inlineStr">
        <is>
          <t>2026-08-09</t>
        </is>
      </c>
      <c r="C69" s="7" t="inlineStr">
        <is>
          <t>Reconciliation Conclusion</t>
        </is>
      </c>
      <c r="D69" s="7" t="inlineStr">
        <is>
          <t>Evidence review</t>
        </is>
      </c>
      <c r="E69" s="7" t="inlineStr">
        <is>
          <t>Regional IT</t>
        </is>
      </c>
      <c r="F69" s="7" t="inlineStr">
        <is>
          <t>Denver</t>
        </is>
      </c>
      <c r="G69" s="7" t="inlineStr">
        <is>
          <t>Transfer:TR-00063; Approval:APR-00063; Received:2026-04-17; Ticket:OFF-00063; PO:PO-2024-0011; Ledger:FA-000063; PolicyFigure:ITAM_control_matrix.png</t>
        </is>
      </c>
      <c r="H69" s="7" t="inlineStr">
        <is>
          <t>Confirmed Fact</t>
        </is>
      </c>
      <c r="I69" s="7" t="inlineStr">
        <is>
          <t>Outcome MD-00063 - Pending Redeployment, site Denver, High. EX-0051, EX-0052. TR-00063. APR-00063. OFF-00063. PO. PO-2024-0011. FA-000063. ITAM_control_matrix.png.</t>
        </is>
      </c>
    </row>
    <row r="70">
      <c r="A70" s="7" t="inlineStr">
        <is>
          <t>MD-00064</t>
        </is>
      </c>
      <c r="B70" s="7" t="inlineStr">
        <is>
          <t>2022-05-17</t>
        </is>
      </c>
      <c r="C70" s="7" t="inlineStr">
        <is>
          <t>Purchase</t>
        </is>
      </c>
      <c r="D70" s="7" t="inlineStr">
        <is>
          <t>Vendor</t>
        </is>
      </c>
      <c r="E70" s="7" t="inlineStr">
        <is>
          <t>Central Receiving</t>
        </is>
      </c>
      <c r="F70" s="7" t="inlineStr">
        <is>
          <t>Atlanta Warehouse</t>
        </is>
      </c>
      <c r="G70" s="7" t="inlineStr">
        <is>
          <t>PO:PO-2024-0011</t>
        </is>
      </c>
      <c r="H70" s="7" t="inlineStr">
        <is>
          <t>Confirmed Fact</t>
        </is>
      </c>
      <c r="I70" s="7" t="inlineStr">
        <is>
          <t>Procurement PO-2024-0011 lists Cisco C9300 / $6245.</t>
        </is>
      </c>
    </row>
    <row r="71">
      <c r="A71" s="7" t="inlineStr">
        <is>
          <t>MD-00064</t>
        </is>
      </c>
      <c r="B71" s="7" t="inlineStr">
        <is>
          <t>2026-05-17</t>
        </is>
      </c>
      <c r="C71" s="7" t="inlineStr">
        <is>
          <t>Assignment/Transfer</t>
        </is>
      </c>
      <c r="D71" s="7" t="inlineStr">
        <is>
          <t>Central Receiving</t>
        </is>
      </c>
      <c r="E71" s="7" t="inlineStr">
        <is>
          <t>Regional IT</t>
        </is>
      </c>
      <c r="F71" s="7" t="inlineStr">
        <is>
          <t>New York</t>
        </is>
      </c>
      <c r="G71" s="7" t="inlineStr">
        <is>
          <t>Transfer:TR-00064; Approval:missing</t>
        </is>
      </c>
      <c r="H71" s="7" t="inlineStr">
        <is>
          <t>Confirmed Fact</t>
        </is>
      </c>
      <c r="I71" s="7" t="inlineStr">
        <is>
          <t>From warehouse to Regional IT. TR-00064, received 05/14/2026.</t>
        </is>
      </c>
    </row>
    <row r="72">
      <c r="A72" s="7" t="inlineStr">
        <is>
          <t>MD-00064</t>
        </is>
      </c>
      <c r="B72" s="7" t="inlineStr">
        <is>
          <t>2026-05-06</t>
        </is>
      </c>
      <c r="C72" s="7" t="inlineStr">
        <is>
          <t>Offboarding Ticket</t>
        </is>
      </c>
      <c r="D72" s="7" t="inlineStr">
        <is>
          <t>E0077</t>
        </is>
      </c>
      <c r="E72" s="7" t="inlineStr">
        <is>
          <t>IT Service Desk</t>
        </is>
      </c>
      <c r="F72" s="7" t="inlineStr"/>
      <c r="G72" s="7" t="inlineStr">
        <is>
          <t>Ticket:OFF-00064; Status:Closed</t>
        </is>
      </c>
      <c r="H72" s="7" t="inlineStr">
        <is>
          <t>Confirmed Fact</t>
        </is>
      </c>
      <c r="I72" s="7" t="inlineStr">
        <is>
          <t>People ticket OFF-00064. Doesn't by itself dock MD-00064.</t>
        </is>
      </c>
    </row>
    <row r="73">
      <c r="A73" s="7" t="inlineStr">
        <is>
          <t>MD-00064</t>
        </is>
      </c>
      <c r="B73" s="7" t="inlineStr">
        <is>
          <t>2026-05-06</t>
        </is>
      </c>
      <c r="C73" s="7" t="inlineStr">
        <is>
          <t>Technician Comment</t>
        </is>
      </c>
      <c r="D73" s="7" t="inlineStr">
        <is>
          <t>Service Desk</t>
        </is>
      </c>
      <c r="E73" s="7" t="inlineStr"/>
      <c r="F73" s="7" t="inlineStr"/>
      <c r="G73" s="7" t="inlineStr">
        <is>
          <t>Ticket:OFF-00064</t>
        </is>
      </c>
      <c r="H73" s="7" t="inlineStr">
        <is>
          <t>Technician Claim</t>
        </is>
      </c>
      <c r="I73" s="7" t="inlineStr">
        <is>
          <t>Desk copy of the offboarding packet marked 'ship later.' Ref MD-00064.</t>
        </is>
      </c>
    </row>
    <row r="74">
      <c r="A74" s="7" t="inlineStr">
        <is>
          <t>MD-00064</t>
        </is>
      </c>
      <c r="B74" s="7" t="inlineStr">
        <is>
          <t>2026-08-05</t>
        </is>
      </c>
      <c r="C74" s="7" t="inlineStr">
        <is>
          <t>Regional IT Note Lead</t>
        </is>
      </c>
      <c r="D74" s="7" t="inlineStr">
        <is>
          <t>Regional IT</t>
        </is>
      </c>
      <c r="E74" s="7" t="inlineStr"/>
      <c r="F74" s="7" t="inlineStr">
        <is>
          <t>Chicago - Closed</t>
        </is>
      </c>
      <c r="G74" s="7" t="inlineStr">
        <is>
          <t>regional_IT_notes.docx</t>
        </is>
      </c>
      <c r="H74" s="7" t="inlineStr">
        <is>
          <t>Technician Claim</t>
        </is>
      </c>
      <c r="I74" s="7" t="inlineStr">
        <is>
          <t>Technician comment volume in the doc does not clear MD-00064.</t>
        </is>
      </c>
    </row>
    <row r="75">
      <c r="A75" s="7" t="inlineStr">
        <is>
          <t>MD-00064</t>
        </is>
      </c>
      <c r="B75" s="7" t="inlineStr">
        <is>
          <t>2026-08-09</t>
        </is>
      </c>
      <c r="C75" s="7" t="inlineStr">
        <is>
          <t>Policy Control Figure</t>
        </is>
      </c>
      <c r="D75" s="7" t="inlineStr">
        <is>
          <t>ITAM-001</t>
        </is>
      </c>
      <c r="E75" s="7" t="inlineStr"/>
      <c r="F75" s="7" t="inlineStr"/>
      <c r="G75" s="7" t="inlineStr">
        <is>
          <t>ITAM_control_matrix.png; IT_asset_management_policy.pdf</t>
        </is>
      </c>
      <c r="H75" s="7" t="inlineStr">
        <is>
          <t>Confirmed Fact</t>
        </is>
      </c>
      <c r="I75" s="7" t="inlineStr">
        <is>
          <t>Auditors tracing MD-00064 should read matrix transfer, then TR-00064, PO-2024-0011, FA-000064, OFF-00064. Working site New York; status call Pending Redeployment.</t>
        </is>
      </c>
    </row>
    <row r="76">
      <c r="A76" s="7" t="inlineStr">
        <is>
          <t>MD-00064</t>
        </is>
      </c>
      <c r="B76" s="7" t="inlineStr">
        <is>
          <t>2026-08-09</t>
        </is>
      </c>
      <c r="C76" s="7" t="inlineStr">
        <is>
          <t>Reconciliation Conclusion</t>
        </is>
      </c>
      <c r="D76" s="7" t="inlineStr">
        <is>
          <t>Evidence review</t>
        </is>
      </c>
      <c r="E76" s="7" t="inlineStr">
        <is>
          <t>Regional IT</t>
        </is>
      </c>
      <c r="F76" s="7" t="inlineStr">
        <is>
          <t>New York</t>
        </is>
      </c>
      <c r="G76" s="7" t="inlineStr">
        <is>
          <t>Transfer:TR-00064; Received:2026-05-18; Ticket:OFF-00064; PO:PO-2024-0011; Ledger:FA-000064; PolicyFigure:ITAM_control_matrix.png</t>
        </is>
      </c>
      <c r="H76" s="7" t="inlineStr">
        <is>
          <t>Confirmed Fact</t>
        </is>
      </c>
      <c r="I76" s="7" t="inlineStr">
        <is>
          <t>I am standing on Pending Redeployment for MD-00064 (New York, Medium). EX-0053, EX-0054, EX-0055. TR-00064. OFF-00064. PO. PO-2024-0011. FA-000064. ITAM_control_matrix.png.</t>
        </is>
      </c>
    </row>
    <row r="77">
      <c r="A77" s="7" t="inlineStr">
        <is>
          <t>MD-00065</t>
        </is>
      </c>
      <c r="B77" s="7" t="inlineStr">
        <is>
          <t>2023-06-18</t>
        </is>
      </c>
      <c r="C77" s="7" t="inlineStr">
        <is>
          <t>Purchase</t>
        </is>
      </c>
      <c r="D77" s="7" t="inlineStr">
        <is>
          <t>Vendor</t>
        </is>
      </c>
      <c r="E77" s="7" t="inlineStr">
        <is>
          <t>Central Receiving</t>
        </is>
      </c>
      <c r="F77" s="7" t="inlineStr">
        <is>
          <t>Atlanta Warehouse</t>
        </is>
      </c>
      <c r="G77" s="7" t="inlineStr">
        <is>
          <t>PO:PO-2024-0011</t>
        </is>
      </c>
      <c r="H77" s="7" t="inlineStr">
        <is>
          <t>Confirmed Fact</t>
        </is>
      </c>
      <c r="I77" s="7" t="inlineStr">
        <is>
          <t>$1940 MacBook Pro 14. PO-2024-0011.</t>
        </is>
      </c>
    </row>
    <row r="78">
      <c r="A78" s="7" t="inlineStr">
        <is>
          <t>MD-00065</t>
        </is>
      </c>
      <c r="B78" s="7" t="inlineStr">
        <is>
          <t>2026-06-18</t>
        </is>
      </c>
      <c r="C78" s="7" t="inlineStr">
        <is>
          <t>Assignment/Transfer</t>
        </is>
      </c>
      <c r="D78" s="7" t="inlineStr">
        <is>
          <t>Central Receiving</t>
        </is>
      </c>
      <c r="E78" s="7" t="inlineStr">
        <is>
          <t>Regional IT</t>
        </is>
      </c>
      <c r="F78" s="7" t="inlineStr">
        <is>
          <t>Seattle</t>
        </is>
      </c>
      <c r="G78" s="7" t="inlineStr">
        <is>
          <t>Transfer:TR-00065; Approval:missing</t>
        </is>
      </c>
      <c r="H78" s="7" t="inlineStr">
        <is>
          <t>Confirmed Fact</t>
        </is>
      </c>
      <c r="I78" s="7" t="inlineStr">
        <is>
          <t>Moved to Regional IT in Seattle on TR-00065. Received 2026-06-23.</t>
        </is>
      </c>
    </row>
    <row r="79">
      <c r="A79" s="7" t="inlineStr">
        <is>
          <t>MD-00065</t>
        </is>
      </c>
      <c r="B79" s="7" t="inlineStr">
        <is>
          <t>2026-06-07</t>
        </is>
      </c>
      <c r="C79" s="7" t="inlineStr">
        <is>
          <t>Offboarding Ticket</t>
        </is>
      </c>
      <c r="D79" s="7" t="inlineStr">
        <is>
          <t>E0078</t>
        </is>
      </c>
      <c r="E79" s="7" t="inlineStr">
        <is>
          <t>IT Service Desk</t>
        </is>
      </c>
      <c r="F79" s="7" t="inlineStr"/>
      <c r="G79" s="7" t="inlineStr">
        <is>
          <t>Ticket:OFF-00065; Status:Closed</t>
        </is>
      </c>
      <c r="H79" s="7" t="inlineStr">
        <is>
          <t>Confirmed Fact</t>
        </is>
      </c>
      <c r="I79" s="7" t="inlineStr">
        <is>
          <t>People ticket OFF-00065. Doesn't by itself dock MD-00065.</t>
        </is>
      </c>
    </row>
    <row r="80">
      <c r="A80" s="7" t="inlineStr">
        <is>
          <t>MD-00065</t>
        </is>
      </c>
      <c r="B80" s="7" t="inlineStr">
        <is>
          <t>2026-06-07</t>
        </is>
      </c>
      <c r="C80" s="7" t="inlineStr">
        <is>
          <t>Technician Comment</t>
        </is>
      </c>
      <c r="D80" s="7" t="inlineStr">
        <is>
          <t>Service Desk</t>
        </is>
      </c>
      <c r="E80" s="7" t="inlineStr"/>
      <c r="F80" s="7" t="inlineStr"/>
      <c r="G80" s="7" t="inlineStr">
        <is>
          <t>Ticket:OFF-00065</t>
        </is>
      </c>
      <c r="H80" s="7" t="inlineStr">
        <is>
          <t>Technician Claim</t>
        </is>
      </c>
      <c r="I80" s="7" t="inlineStr">
        <is>
          <t>Manager thought IT already had it. We don't. Ref MD-00065.</t>
        </is>
      </c>
    </row>
    <row r="81">
      <c r="A81" s="7" t="inlineStr">
        <is>
          <t>MD-00065</t>
        </is>
      </c>
      <c r="B81" s="7" t="inlineStr">
        <is>
          <t>2026-08-05</t>
        </is>
      </c>
      <c r="C81" s="7" t="inlineStr">
        <is>
          <t>Regional IT Note Lead</t>
        </is>
      </c>
      <c r="D81" s="7" t="inlineStr">
        <is>
          <t>Regional IT</t>
        </is>
      </c>
      <c r="E81" s="7" t="inlineStr"/>
      <c r="F81" s="7" t="inlineStr">
        <is>
          <t>Denver - Closed</t>
        </is>
      </c>
      <c r="G81" s="7" t="inlineStr">
        <is>
          <t>regional_IT_notes.docx</t>
        </is>
      </c>
      <c r="H81" s="7" t="inlineStr">
        <is>
          <t>Technician Claim</t>
        </is>
      </c>
      <c r="I81" s="7" t="inlineStr">
        <is>
          <t>Notes packet includes MD-00065 only as background, not evidence.</t>
        </is>
      </c>
    </row>
    <row r="82">
      <c r="A82" s="7" t="inlineStr">
        <is>
          <t>MD-00065</t>
        </is>
      </c>
      <c r="B82" s="7" t="inlineStr">
        <is>
          <t>2026-08-09</t>
        </is>
      </c>
      <c r="C82" s="7" t="inlineStr">
        <is>
          <t>Policy Control Figure</t>
        </is>
      </c>
      <c r="D82" s="7" t="inlineStr">
        <is>
          <t>ITAM-001</t>
        </is>
      </c>
      <c r="E82" s="7" t="inlineStr"/>
      <c r="F82" s="7" t="inlineStr"/>
      <c r="G82" s="7" t="inlineStr">
        <is>
          <t>ITAM_control_matrix.png; IT_asset_management_policy.pdf</t>
        </is>
      </c>
      <c r="H82" s="7" t="inlineStr">
        <is>
          <t>Confirmed Fact</t>
        </is>
      </c>
      <c r="I82" s="7" t="inlineStr">
        <is>
          <t>Auditors tracing MD-00065 should read matrix assignment, then TR-00065, PO-2024-0011, FA-000065, OFF-00065. Working site Seattle; status call Pending Redeployment.</t>
        </is>
      </c>
    </row>
    <row r="83">
      <c r="A83" s="7" t="inlineStr">
        <is>
          <t>MD-00065</t>
        </is>
      </c>
      <c r="B83" s="7" t="inlineStr">
        <is>
          <t>2026-08-09</t>
        </is>
      </c>
      <c r="C83" s="7" t="inlineStr">
        <is>
          <t>Reconciliation Conclusion</t>
        </is>
      </c>
      <c r="D83" s="7" t="inlineStr">
        <is>
          <t>Evidence review</t>
        </is>
      </c>
      <c r="E83" s="7" t="inlineStr">
        <is>
          <t>Regional IT</t>
        </is>
      </c>
      <c r="F83" s="7" t="inlineStr">
        <is>
          <t>Seattle</t>
        </is>
      </c>
      <c r="G83" s="7" t="inlineStr">
        <is>
          <t>Transfer:TR-00065; Received:2026-06-19; Ticket:OFF-00065; PO:PO-2024-0011; Ledger:FA-000065; PolicyFigure:ITAM_control_matrix.png</t>
        </is>
      </c>
      <c r="H83" s="7" t="inlineStr">
        <is>
          <t>Confirmed Fact</t>
        </is>
      </c>
      <c r="I83" s="7" t="inlineStr">
        <is>
          <t>Wrap-up MD-00065: Pending Redeployment (Medium) - EX-0056, EX-0057, EX-0058. TR-00065. OFF-00065. PO. PO-2024-0011. FA-000065. ITAM_control_matrix.png.</t>
        </is>
      </c>
    </row>
    <row r="84">
      <c r="A84" s="7" t="inlineStr">
        <is>
          <t>MD-00066</t>
        </is>
      </c>
      <c r="B84" s="7" t="inlineStr">
        <is>
          <t>2024-07-19</t>
        </is>
      </c>
      <c r="C84" s="7" t="inlineStr">
        <is>
          <t>Purchase</t>
        </is>
      </c>
      <c r="D84" s="7" t="inlineStr">
        <is>
          <t>Vendor</t>
        </is>
      </c>
      <c r="E84" s="7" t="inlineStr">
        <is>
          <t>Central Receiving</t>
        </is>
      </c>
      <c r="F84" s="7" t="inlineStr">
        <is>
          <t>Atlanta Warehouse</t>
        </is>
      </c>
      <c r="G84" s="7" t="inlineStr">
        <is>
          <t>PO:PO-2024-0011</t>
        </is>
      </c>
      <c r="H84" s="7" t="inlineStr">
        <is>
          <t>Confirmed Fact</t>
        </is>
      </c>
      <c r="I84" s="7" t="inlineStr">
        <is>
          <t>Ordered Dell U2723QE (MD-00066) on PO-2024-0011; $655.</t>
        </is>
      </c>
    </row>
    <row r="85">
      <c r="A85" s="7" t="inlineStr">
        <is>
          <t>MD-00066</t>
        </is>
      </c>
      <c r="B85" s="7" t="inlineStr">
        <is>
          <t>2026-01-19</t>
        </is>
      </c>
      <c r="C85" s="7" t="inlineStr">
        <is>
          <t>Assignment/Transfer</t>
        </is>
      </c>
      <c r="D85" s="7" t="inlineStr">
        <is>
          <t>Central Receiving</t>
        </is>
      </c>
      <c r="E85" s="7" t="inlineStr">
        <is>
          <t>Regional IT</t>
        </is>
      </c>
      <c r="F85" s="7" t="inlineStr">
        <is>
          <t>Atlanta</t>
        </is>
      </c>
      <c r="G85" s="7" t="inlineStr">
        <is>
          <t>Transfer:TR-00066; Approval:APR-00066</t>
        </is>
      </c>
      <c r="H85" s="7" t="inlineStr">
        <is>
          <t>Confirmed Fact</t>
        </is>
      </c>
      <c r="I85" s="7" t="inlineStr">
        <is>
          <t>MD-00066 inbound Jan 25, 2026 on TR-00066 / APR-00066.</t>
        </is>
      </c>
    </row>
    <row r="86">
      <c r="A86" s="7" t="inlineStr">
        <is>
          <t>MD-00066</t>
        </is>
      </c>
      <c r="B86" s="7" t="inlineStr">
        <is>
          <t>2026-05-08</t>
        </is>
      </c>
      <c r="C86" s="7" t="inlineStr">
        <is>
          <t>Offboarding Ticket</t>
        </is>
      </c>
      <c r="D86" s="7" t="inlineStr">
        <is>
          <t>E0079</t>
        </is>
      </c>
      <c r="E86" s="7" t="inlineStr">
        <is>
          <t>IT Service Desk</t>
        </is>
      </c>
      <c r="F86" s="7" t="inlineStr"/>
      <c r="G86" s="7" t="inlineStr">
        <is>
          <t>Ticket:OFF-00066; Status:Closed</t>
        </is>
      </c>
      <c r="H86" s="7" t="inlineStr">
        <is>
          <t>Confirmed Fact</t>
        </is>
      </c>
      <c r="I86" s="7" t="inlineStr">
        <is>
          <t>OFF-00066 - Closed. Due 07/15/2026.</t>
        </is>
      </c>
    </row>
    <row r="87">
      <c r="A87" s="7" t="inlineStr">
        <is>
          <t>MD-00066</t>
        </is>
      </c>
      <c r="B87" s="7" t="inlineStr">
        <is>
          <t>2026-05-08</t>
        </is>
      </c>
      <c r="C87" s="7" t="inlineStr">
        <is>
          <t>Technician Comment</t>
        </is>
      </c>
      <c r="D87" s="7" t="inlineStr">
        <is>
          <t>Service Desk</t>
        </is>
      </c>
      <c r="E87" s="7" t="inlineStr"/>
      <c r="F87" s="7" t="inlineStr"/>
      <c r="G87" s="7" t="inlineStr">
        <is>
          <t>Ticket:OFF-00066</t>
        </is>
      </c>
      <c r="H87" s="7" t="inlineStr">
        <is>
          <t>Technician Claim</t>
        </is>
      </c>
      <c r="I87" s="7" t="inlineStr">
        <is>
          <t>Pushed a second reminder. Carrier still has no acceptance. Ref MD-00066.</t>
        </is>
      </c>
    </row>
    <row r="88">
      <c r="A88" s="7" t="inlineStr">
        <is>
          <t>MD-00066</t>
        </is>
      </c>
      <c r="B88" s="7" t="inlineStr">
        <is>
          <t>2026-08-05</t>
        </is>
      </c>
      <c r="C88" s="7" t="inlineStr">
        <is>
          <t>Regional IT Note Lead</t>
        </is>
      </c>
      <c r="D88" s="7" t="inlineStr">
        <is>
          <t>Regional IT</t>
        </is>
      </c>
      <c r="E88" s="7" t="inlineStr"/>
      <c r="F88" s="7" t="inlineStr">
        <is>
          <t>Chicago - Closed</t>
        </is>
      </c>
      <c r="G88" s="7" t="inlineStr">
        <is>
          <t>regional_IT_notes.docx</t>
        </is>
      </c>
      <c r="H88" s="7" t="inlineStr">
        <is>
          <t>Technician Claim</t>
        </is>
      </c>
      <c r="I88" s="7" t="inlineStr">
        <is>
          <t>MD-00066: Word-file mention only - treated as lead.</t>
        </is>
      </c>
    </row>
    <row r="89">
      <c r="A89" s="7" t="inlineStr">
        <is>
          <t>MD-00066</t>
        </is>
      </c>
      <c r="B89" s="7" t="inlineStr">
        <is>
          <t>2026-08-09</t>
        </is>
      </c>
      <c r="C89" s="7" t="inlineStr">
        <is>
          <t>Policy Control Figure</t>
        </is>
      </c>
      <c r="D89" s="7" t="inlineStr">
        <is>
          <t>ITAM-001</t>
        </is>
      </c>
      <c r="E89" s="7" t="inlineStr"/>
      <c r="F89" s="7" t="inlineStr"/>
      <c r="G89" s="7" t="inlineStr">
        <is>
          <t>ITAM_control_matrix.png; IT_asset_management_policy.pdf</t>
        </is>
      </c>
      <c r="H89" s="7" t="inlineStr">
        <is>
          <t>Confirmed Fact</t>
        </is>
      </c>
      <c r="I89" s="7" t="inlineStr">
        <is>
          <t>Matrix figure open for MD-00066 disposal path; transactional weight on TR-00066, PO-2024-0011, FA-000066, OFF-00066, APR-00066. Open exceptions EX-0059, EX-0060 still govern certification impact.</t>
        </is>
      </c>
    </row>
    <row r="90">
      <c r="A90" s="7" t="inlineStr">
        <is>
          <t>MD-00066</t>
        </is>
      </c>
      <c r="B90" s="7" t="inlineStr">
        <is>
          <t>2026-08-09</t>
        </is>
      </c>
      <c r="C90" s="7" t="inlineStr">
        <is>
          <t>Reconciliation Conclusion</t>
        </is>
      </c>
      <c r="D90" s="7" t="inlineStr">
        <is>
          <t>Evidence review</t>
        </is>
      </c>
      <c r="E90" s="7" t="inlineStr">
        <is>
          <t>Regional IT</t>
        </is>
      </c>
      <c r="F90" s="7" t="inlineStr">
        <is>
          <t>Atlanta</t>
        </is>
      </c>
      <c r="G90" s="7" t="inlineStr">
        <is>
          <t>Transfer:TR-00066; Approval:APR-00066; Received:2026-01-20; Ticket:OFF-00066; PO:PO-2024-0011; Ledger:FA-000066; PolicyFigure:ITAM_control_matrix.png</t>
        </is>
      </c>
      <c r="H90" s="7" t="inlineStr">
        <is>
          <t>Confirmed Fact</t>
        </is>
      </c>
      <c r="I90" s="7" t="inlineStr">
        <is>
          <t>After the chain, MD-00066 is Pending Redeployment / Atlanta (High). EX-0059, EX-0060. TR-00066. APR-00066. OFF-00066. PO. PO-2024-0011. FA-000066. ITAM_control_matrix.png.</t>
        </is>
      </c>
    </row>
    <row r="91">
      <c r="A91" s="7" t="inlineStr">
        <is>
          <t>MD-00067</t>
        </is>
      </c>
      <c r="B91" s="7" t="inlineStr">
        <is>
          <t>2025-08-20</t>
        </is>
      </c>
      <c r="C91" s="7" t="inlineStr">
        <is>
          <t>Purchase</t>
        </is>
      </c>
      <c r="D91" s="7" t="inlineStr">
        <is>
          <t>Vendor</t>
        </is>
      </c>
      <c r="E91" s="7" t="inlineStr">
        <is>
          <t>Central Receiving</t>
        </is>
      </c>
      <c r="F91" s="7" t="inlineStr">
        <is>
          <t>Atlanta Warehouse</t>
        </is>
      </c>
      <c r="G91" s="7" t="inlineStr">
        <is>
          <t>PO:PO-2025-0012</t>
        </is>
      </c>
      <c r="H91" s="7" t="inlineStr">
        <is>
          <t>Confirmed Fact</t>
        </is>
      </c>
      <c r="I91" s="7" t="inlineStr">
        <is>
          <t>$1130 Samsung Galaxy S24. PO-2025-0012.</t>
        </is>
      </c>
    </row>
    <row r="92">
      <c r="A92" s="7" t="inlineStr">
        <is>
          <t>MD-00067</t>
        </is>
      </c>
      <c r="B92" s="7" t="inlineStr">
        <is>
          <t>2026-02-20</t>
        </is>
      </c>
      <c r="C92" s="7" t="inlineStr">
        <is>
          <t>Assignment/Transfer</t>
        </is>
      </c>
      <c r="D92" s="7" t="inlineStr">
        <is>
          <t>Central Receiving</t>
        </is>
      </c>
      <c r="E92" s="7" t="inlineStr">
        <is>
          <t>Regional IT</t>
        </is>
      </c>
      <c r="F92" s="7" t="inlineStr">
        <is>
          <t>Chicago</t>
        </is>
      </c>
      <c r="G92" s="7" t="inlineStr">
        <is>
          <t>Transfer:TR-00067; Approval:APR-00067</t>
        </is>
      </c>
      <c r="H92" s="7" t="inlineStr">
        <is>
          <t>Confirmed Fact</t>
        </is>
      </c>
      <c r="I92" s="7" t="inlineStr">
        <is>
          <t>Log row TR-00067. Receive date 02/23/2026.</t>
        </is>
      </c>
    </row>
    <row r="93">
      <c r="A93" s="7" t="inlineStr">
        <is>
          <t>MD-00067</t>
        </is>
      </c>
      <c r="B93" s="7" t="inlineStr">
        <is>
          <t>2026-06-09</t>
        </is>
      </c>
      <c r="C93" s="7" t="inlineStr">
        <is>
          <t>Offboarding Ticket</t>
        </is>
      </c>
      <c r="D93" s="7" t="inlineStr">
        <is>
          <t>E0080</t>
        </is>
      </c>
      <c r="E93" s="7" t="inlineStr">
        <is>
          <t>IT Service Desk</t>
        </is>
      </c>
      <c r="F93" s="7" t="inlineStr"/>
      <c r="G93" s="7" t="inlineStr">
        <is>
          <t>Ticket:OFF-00067; Status:Closed</t>
        </is>
      </c>
      <c r="H93" s="7" t="inlineStr">
        <is>
          <t>Confirmed Fact</t>
        </is>
      </c>
      <c r="I93" s="7" t="inlineStr">
        <is>
          <t>Service desk OFF-00067 on MD-00067. Return required Yes.</t>
        </is>
      </c>
    </row>
    <row r="94">
      <c r="A94" s="7" t="inlineStr">
        <is>
          <t>MD-00067</t>
        </is>
      </c>
      <c r="B94" s="7" t="inlineStr">
        <is>
          <t>2026-06-09</t>
        </is>
      </c>
      <c r="C94" s="7" t="inlineStr">
        <is>
          <t>Technician Comment</t>
        </is>
      </c>
      <c r="D94" s="7" t="inlineStr">
        <is>
          <t>Service Desk</t>
        </is>
      </c>
      <c r="E94" s="7" t="inlineStr"/>
      <c r="F94" s="7" t="inlineStr"/>
      <c r="G94" s="7" t="inlineStr">
        <is>
          <t>Ticket:OFF-00067</t>
        </is>
      </c>
      <c r="H94" s="7" t="inlineStr">
        <is>
          <t>Technician Claim</t>
        </is>
      </c>
      <c r="I94" s="7" t="inlineStr">
        <is>
          <t>WFH return; waiting on tracking to leave 'label created.' Ref MD-00067.</t>
        </is>
      </c>
    </row>
    <row r="95">
      <c r="A95" s="7" t="inlineStr">
        <is>
          <t>MD-00067</t>
        </is>
      </c>
      <c r="B95" s="7" t="inlineStr">
        <is>
          <t>2026-08-05</t>
        </is>
      </c>
      <c r="C95" s="7" t="inlineStr">
        <is>
          <t>Regional IT Note Lead</t>
        </is>
      </c>
      <c r="D95" s="7" t="inlineStr">
        <is>
          <t>Regional IT</t>
        </is>
      </c>
      <c r="E95" s="7" t="inlineStr"/>
      <c r="F95" s="7" t="inlineStr">
        <is>
          <t>Denver - Closed</t>
        </is>
      </c>
      <c r="G95" s="7" t="inlineStr">
        <is>
          <t>regional_IT_notes.docx</t>
        </is>
      </c>
      <c r="H95" s="7" t="inlineStr">
        <is>
          <t>Technician Claim</t>
        </is>
      </c>
      <c r="I95" s="7" t="inlineStr">
        <is>
          <t>Technician notes scanned for MD-00067; nothing usable without a transaction.</t>
        </is>
      </c>
    </row>
    <row r="96">
      <c r="A96" s="7" t="inlineStr">
        <is>
          <t>MD-00067</t>
        </is>
      </c>
      <c r="B96" s="7" t="inlineStr">
        <is>
          <t>2026-08-09</t>
        </is>
      </c>
      <c r="C96" s="7" t="inlineStr">
        <is>
          <t>Policy Control Figure</t>
        </is>
      </c>
      <c r="D96" s="7" t="inlineStr">
        <is>
          <t>ITAM-001</t>
        </is>
      </c>
      <c r="E96" s="7" t="inlineStr"/>
      <c r="F96" s="7" t="inlineStr"/>
      <c r="G96" s="7" t="inlineStr">
        <is>
          <t>ITAM_control_matrix.png; IT_asset_management_policy.pdf</t>
        </is>
      </c>
      <c r="H96" s="7" t="inlineStr">
        <is>
          <t>Confirmed Fact</t>
        </is>
      </c>
      <c r="I96" s="7" t="inlineStr">
        <is>
          <t>Matrix figure open for MD-00067 return path; transactional weight on TR-00067, PO-2025-0012, FA-000067, OFF-00067, APR-00067. Open exceptions EX-0061, EX-0062 still govern certification impact.</t>
        </is>
      </c>
    </row>
    <row r="97">
      <c r="A97" s="7" t="inlineStr">
        <is>
          <t>MD-00067</t>
        </is>
      </c>
      <c r="B97" s="7" t="inlineStr">
        <is>
          <t>2026-08-09</t>
        </is>
      </c>
      <c r="C97" s="7" t="inlineStr">
        <is>
          <t>Reconciliation Conclusion</t>
        </is>
      </c>
      <c r="D97" s="7" t="inlineStr">
        <is>
          <t>Evidence review</t>
        </is>
      </c>
      <c r="E97" s="7" t="inlineStr">
        <is>
          <t>Regional IT</t>
        </is>
      </c>
      <c r="F97" s="7" t="inlineStr">
        <is>
          <t>Chicago</t>
        </is>
      </c>
      <c r="G97" s="7" t="inlineStr">
        <is>
          <t>Transfer:TR-00067; Approval:APR-00067; Received:2026-02-21; Ticket:OFF-00067; PO:PO-2025-0012; Ledger:FA-000067; PolicyFigure:ITAM_control_matrix.png</t>
        </is>
      </c>
      <c r="H97" s="7" t="inlineStr">
        <is>
          <t>Confirmed Fact</t>
        </is>
      </c>
      <c r="I97" s="7" t="inlineStr">
        <is>
          <t>MD-00067 custody narrative ends Pending Redeployment (High). EX-0061, EX-0062. TR-00067. APR-00067. OFF-00067. PO. PO-2025-0012. FA-000067. ITAM_control_matrix.png.</t>
        </is>
      </c>
    </row>
    <row r="98">
      <c r="A98" s="7" t="inlineStr">
        <is>
          <t>MD-00068</t>
        </is>
      </c>
      <c r="B98" s="7" t="inlineStr">
        <is>
          <t>2022-09-21</t>
        </is>
      </c>
      <c r="C98" s="7" t="inlineStr">
        <is>
          <t>Purchase</t>
        </is>
      </c>
      <c r="D98" s="7" t="inlineStr">
        <is>
          <t>Vendor</t>
        </is>
      </c>
      <c r="E98" s="7" t="inlineStr">
        <is>
          <t>Central Receiving</t>
        </is>
      </c>
      <c r="F98" s="7" t="inlineStr">
        <is>
          <t>Atlanta Warehouse</t>
        </is>
      </c>
      <c r="G98" s="7" t="inlineStr">
        <is>
          <t>PO:PO-2025-0012</t>
        </is>
      </c>
      <c r="H98" s="7" t="inlineStr">
        <is>
          <t>Confirmed Fact</t>
        </is>
      </c>
      <c r="I98" s="7" t="inlineStr">
        <is>
          <t>First touch MD-00068 - PO-2025-0012, $6425.</t>
        </is>
      </c>
    </row>
    <row r="99">
      <c r="A99" s="7" t="inlineStr">
        <is>
          <t>MD-00068</t>
        </is>
      </c>
      <c r="B99" s="7" t="inlineStr">
        <is>
          <t>2026-03-21</t>
        </is>
      </c>
      <c r="C99" s="7" t="inlineStr">
        <is>
          <t>Assignment/Transfer</t>
        </is>
      </c>
      <c r="D99" s="7" t="inlineStr">
        <is>
          <t>Central Receiving</t>
        </is>
      </c>
      <c r="E99" s="7" t="inlineStr">
        <is>
          <t>E0071</t>
        </is>
      </c>
      <c r="F99" s="7" t="inlineStr">
        <is>
          <t>Remote - Former Employee</t>
        </is>
      </c>
      <c r="G99" s="7" t="inlineStr">
        <is>
          <t>Transfer:TR-00068; Approval:APR-00068</t>
        </is>
      </c>
      <c r="H99" s="7" t="inlineStr">
        <is>
          <t>Confirmed Fact</t>
        </is>
      </c>
      <c r="I99" s="7" t="inlineStr">
        <is>
          <t>Assignment posted 03/28/2026. Docked 2026-04-03 (TR-00068).</t>
        </is>
      </c>
    </row>
    <row r="100">
      <c r="A100" s="7" t="inlineStr">
        <is>
          <t>MD-00068</t>
        </is>
      </c>
      <c r="B100" s="7" t="inlineStr">
        <is>
          <t>2026-05-10</t>
        </is>
      </c>
      <c r="C100" s="7" t="inlineStr">
        <is>
          <t>Offboarding Ticket</t>
        </is>
      </c>
      <c r="D100" s="7" t="inlineStr">
        <is>
          <t>E0081</t>
        </is>
      </c>
      <c r="E100" s="7" t="inlineStr">
        <is>
          <t>IT Service Desk</t>
        </is>
      </c>
      <c r="F100" s="7" t="inlineStr"/>
      <c r="G100" s="7" t="inlineStr">
        <is>
          <t>Ticket:OFF-00068; Status:Past Due</t>
        </is>
      </c>
      <c r="H100" s="7" t="inlineStr">
        <is>
          <t>Confirmed Fact</t>
        </is>
      </c>
      <c r="I100" s="7" t="inlineStr">
        <is>
          <t>Offboarding OFF-00068: Yes. Due Jul 15, 2026.</t>
        </is>
      </c>
    </row>
    <row r="101">
      <c r="A101" s="7" t="inlineStr">
        <is>
          <t>MD-00068</t>
        </is>
      </c>
      <c r="B101" s="7" t="inlineStr">
        <is>
          <t>2026-05-10</t>
        </is>
      </c>
      <c r="C101" s="7" t="inlineStr">
        <is>
          <t>Technician Comment</t>
        </is>
      </c>
      <c r="D101" s="7" t="inlineStr">
        <is>
          <t>Service Desk</t>
        </is>
      </c>
      <c r="E101" s="7" t="inlineStr"/>
      <c r="F101" s="7" t="inlineStr"/>
      <c r="G101" s="7" t="inlineStr">
        <is>
          <t>Ticket:OFF-00068</t>
        </is>
      </c>
      <c r="H101" s="7" t="inlineStr">
        <is>
          <t>Technician Claim</t>
        </is>
      </c>
      <c r="I101" s="7" t="inlineStr">
        <is>
          <t>Coordinator asked if we can close on the label. No. Ref MD-00068.</t>
        </is>
      </c>
    </row>
    <row r="102">
      <c r="A102" s="7" t="inlineStr">
        <is>
          <t>MD-00068</t>
        </is>
      </c>
      <c r="B102" s="7" t="inlineStr">
        <is>
          <t>2026-06-25</t>
        </is>
      </c>
      <c r="C102" s="7" t="inlineStr">
        <is>
          <t>Return Label Created</t>
        </is>
      </c>
      <c r="D102" s="7" t="inlineStr">
        <is>
          <t>E0081</t>
        </is>
      </c>
      <c r="E102" s="7" t="inlineStr">
        <is>
          <t>Return Carrier</t>
        </is>
      </c>
      <c r="F102" s="7" t="inlineStr">
        <is>
          <t>Carrier Network</t>
        </is>
      </c>
      <c r="G102" s="7" t="inlineStr">
        <is>
          <t>Tracking:1ZMD00000068; Status:Label Created</t>
        </is>
      </c>
      <c r="H102" s="7" t="inlineStr">
        <is>
          <t>Confirmed Fact</t>
        </is>
      </c>
      <c r="I102" s="7" t="inlineStr">
        <is>
          <t>Prepaid label 1ZMD00000068 exists. Carrier never accepted it.</t>
        </is>
      </c>
    </row>
    <row r="103">
      <c r="A103" s="7" t="inlineStr">
        <is>
          <t>MD-00068</t>
        </is>
      </c>
      <c r="B103" s="7" t="inlineStr">
        <is>
          <t>2026-08-05</t>
        </is>
      </c>
      <c r="C103" s="7" t="inlineStr">
        <is>
          <t>Regional IT Note Lead</t>
        </is>
      </c>
      <c r="D103" s="7" t="inlineStr">
        <is>
          <t>Regional IT</t>
        </is>
      </c>
      <c r="E103" s="7" t="inlineStr"/>
      <c r="F103" s="7" t="inlineStr">
        <is>
          <t>Chicago - Closed</t>
        </is>
      </c>
      <c r="G103" s="7" t="inlineStr">
        <is>
          <t>regional_IT_notes.docx</t>
        </is>
      </c>
      <c r="H103" s="7" t="inlineStr">
        <is>
          <t>Technician Claim</t>
        </is>
      </c>
      <c r="I103" s="7" t="inlineStr">
        <is>
          <t>Looked for MD-00068 in regional_IT_notes.docx; still need CSV/XLSX proof.</t>
        </is>
      </c>
    </row>
    <row r="104">
      <c r="A104" s="7" t="inlineStr">
        <is>
          <t>MD-00068</t>
        </is>
      </c>
      <c r="B104" s="7" t="inlineStr">
        <is>
          <t>2026-08-09</t>
        </is>
      </c>
      <c r="C104" s="7" t="inlineStr">
        <is>
          <t>Policy Control Figure</t>
        </is>
      </c>
      <c r="D104" s="7" t="inlineStr">
        <is>
          <t>ITAM-001</t>
        </is>
      </c>
      <c r="E104" s="7" t="inlineStr"/>
      <c r="F104" s="7" t="inlineStr"/>
      <c r="G104" s="7" t="inlineStr">
        <is>
          <t>ITAM_control_matrix.png; IT_asset_management_policy.pdf</t>
        </is>
      </c>
      <c r="H104" s="7" t="inlineStr">
        <is>
          <t>Confirmed Fact</t>
        </is>
      </c>
      <c r="I104" s="7" t="inlineStr">
        <is>
          <t>Remote - Former Employee custody review for MD-00068 used the assignment column on the matrix. Source trail: TR-00068, PO-2025-0012, FA-000068, OFF-00068, APR-00068.</t>
        </is>
      </c>
    </row>
    <row r="105">
      <c r="A105" s="7" t="inlineStr">
        <is>
          <t>MD-00068</t>
        </is>
      </c>
      <c r="B105" s="7" t="inlineStr">
        <is>
          <t>2026-08-09</t>
        </is>
      </c>
      <c r="C105" s="7" t="inlineStr">
        <is>
          <t>Reconciliation Conclusion</t>
        </is>
      </c>
      <c r="D105" s="7" t="inlineStr">
        <is>
          <t>Evidence review</t>
        </is>
      </c>
      <c r="E105" s="7" t="inlineStr">
        <is>
          <t>E0081</t>
        </is>
      </c>
      <c r="F105" s="7" t="inlineStr">
        <is>
          <t>Remote - Former Employee</t>
        </is>
      </c>
      <c r="G105" s="7" t="inlineStr">
        <is>
          <t>Ticket:OFF-00068; Tracking:1ZMD00000068; ReturnProof:absent (label only); Transfer:TR-00068; HR:E0081:Separated; PO:PO-2025-0012; Ledger:FA-000068; PolicyFigure:ITAM_control_matrix.png</t>
        </is>
      </c>
      <c r="H105" s="7" t="inlineStr">
        <is>
          <t>Unresolved Assumption</t>
        </is>
      </c>
      <c r="I105" s="7" t="inlineStr">
        <is>
          <t>Return Overdue is the status for MD-00068 at Remote - Former Employee; Low. EX-0063, EX-0064, EX-0065. OFF-00068. 1ZMD00000068. TR-00068. E0081. PO. PO-2025-0012. FA-000068. ITAM_control_matrix.png.</t>
        </is>
      </c>
    </row>
    <row r="106">
      <c r="A106" s="7" t="inlineStr">
        <is>
          <t>MD-00069</t>
        </is>
      </c>
      <c r="B106" s="7" t="inlineStr">
        <is>
          <t>2023-10-22</t>
        </is>
      </c>
      <c r="C106" s="7" t="inlineStr">
        <is>
          <t>Purchase</t>
        </is>
      </c>
      <c r="D106" s="7" t="inlineStr">
        <is>
          <t>Vendor</t>
        </is>
      </c>
      <c r="E106" s="7" t="inlineStr">
        <is>
          <t>Central Receiving</t>
        </is>
      </c>
      <c r="F106" s="7" t="inlineStr">
        <is>
          <t>Atlanta Warehouse</t>
        </is>
      </c>
      <c r="G106" s="7" t="inlineStr">
        <is>
          <t>PO:PO-2025-0012</t>
        </is>
      </c>
      <c r="H106" s="7" t="inlineStr">
        <is>
          <t>Confirmed Fact</t>
        </is>
      </c>
      <c r="I106" s="7" t="inlineStr">
        <is>
          <t>Procurement PO-2025-0012 lists Dell Latitude 7440 / $2120.</t>
        </is>
      </c>
    </row>
    <row r="107">
      <c r="A107" s="7" t="inlineStr">
        <is>
          <t>MD-00069</t>
        </is>
      </c>
      <c r="B107" s="7" t="inlineStr">
        <is>
          <t>2026-04-22</t>
        </is>
      </c>
      <c r="C107" s="7" t="inlineStr">
        <is>
          <t>Assignment/Transfer</t>
        </is>
      </c>
      <c r="D107" s="7" t="inlineStr">
        <is>
          <t>Central Receiving</t>
        </is>
      </c>
      <c r="E107" s="7" t="inlineStr">
        <is>
          <t>E0072</t>
        </is>
      </c>
      <c r="F107" s="7" t="inlineStr">
        <is>
          <t>Remote - Former Employee</t>
        </is>
      </c>
      <c r="G107" s="7" t="inlineStr">
        <is>
          <t>Transfer:TR-00069; Approval:APR-00069</t>
        </is>
      </c>
      <c r="H107" s="7" t="inlineStr">
        <is>
          <t>Confirmed Fact</t>
        </is>
      </c>
      <c r="I107" s="7" t="inlineStr">
        <is>
          <t>Remote - Former Employee: TR-00069 received 05/04/2026.</t>
        </is>
      </c>
    </row>
    <row r="108">
      <c r="A108" s="7" t="inlineStr">
        <is>
          <t>MD-00069</t>
        </is>
      </c>
      <c r="B108" s="7" t="inlineStr">
        <is>
          <t>2026-06-11</t>
        </is>
      </c>
      <c r="C108" s="7" t="inlineStr">
        <is>
          <t>Offboarding Ticket</t>
        </is>
      </c>
      <c r="D108" s="7" t="inlineStr">
        <is>
          <t>E0082</t>
        </is>
      </c>
      <c r="E108" s="7" t="inlineStr">
        <is>
          <t>IT Service Desk</t>
        </is>
      </c>
      <c r="F108" s="7" t="inlineStr"/>
      <c r="G108" s="7" t="inlineStr">
        <is>
          <t>Ticket:OFF-00069; Status:Past Due</t>
        </is>
      </c>
      <c r="H108" s="7" t="inlineStr">
        <is>
          <t>Confirmed Fact</t>
        </is>
      </c>
      <c r="I108" s="7" t="inlineStr">
        <is>
          <t>OFF-00069 - Past Due. Due 2026-07-15.</t>
        </is>
      </c>
    </row>
    <row r="109">
      <c r="A109" s="7" t="inlineStr">
        <is>
          <t>MD-00069</t>
        </is>
      </c>
      <c r="B109" s="7" t="inlineStr">
        <is>
          <t>2026-06-11</t>
        </is>
      </c>
      <c r="C109" s="7" t="inlineStr">
        <is>
          <t>Technician Comment</t>
        </is>
      </c>
      <c r="D109" s="7" t="inlineStr">
        <is>
          <t>Service Desk</t>
        </is>
      </c>
      <c r="E109" s="7" t="inlineStr"/>
      <c r="F109" s="7" t="inlineStr"/>
      <c r="G109" s="7" t="inlineStr">
        <is>
          <t>Ticket:OFF-00069</t>
        </is>
      </c>
      <c r="H109" s="7" t="inlineStr">
        <is>
          <t>Technician Claim</t>
        </is>
      </c>
      <c r="I109" s="7" t="inlineStr">
        <is>
          <t>Requested photo of packed carton. Nothing came back. Ref MD-00069.</t>
        </is>
      </c>
    </row>
    <row r="110">
      <c r="A110" s="7" t="inlineStr">
        <is>
          <t>MD-00069</t>
        </is>
      </c>
      <c r="B110" s="7" t="inlineStr">
        <is>
          <t>2026-06-25</t>
        </is>
      </c>
      <c r="C110" s="7" t="inlineStr">
        <is>
          <t>Return Label Created</t>
        </is>
      </c>
      <c r="D110" s="7" t="inlineStr">
        <is>
          <t>E0082</t>
        </is>
      </c>
      <c r="E110" s="7" t="inlineStr">
        <is>
          <t>Return Carrier</t>
        </is>
      </c>
      <c r="F110" s="7" t="inlineStr">
        <is>
          <t>Carrier Network</t>
        </is>
      </c>
      <c r="G110" s="7" t="inlineStr">
        <is>
          <t>Tracking:1ZMD00000069; Status:Label Created</t>
        </is>
      </c>
      <c r="H110" s="7" t="inlineStr">
        <is>
          <t>Confirmed Fact</t>
        </is>
      </c>
      <c r="I110" s="7" t="inlineStr">
        <is>
          <t>Ship record 1ZMD00000069 hasn't left Label Created.</t>
        </is>
      </c>
    </row>
    <row r="111">
      <c r="A111" s="7" t="inlineStr">
        <is>
          <t>MD-00069</t>
        </is>
      </c>
      <c r="B111" s="7" t="inlineStr">
        <is>
          <t>2026-08-05</t>
        </is>
      </c>
      <c r="C111" s="7" t="inlineStr">
        <is>
          <t>Regional IT Note Lead</t>
        </is>
      </c>
      <c r="D111" s="7" t="inlineStr">
        <is>
          <t>Regional IT</t>
        </is>
      </c>
      <c r="E111" s="7" t="inlineStr"/>
      <c r="F111" s="7" t="inlineStr">
        <is>
          <t>Denver - Closed</t>
        </is>
      </c>
      <c r="G111" s="7" t="inlineStr">
        <is>
          <t>regional_IT_notes.docx</t>
        </is>
      </c>
      <c r="H111" s="7" t="inlineStr">
        <is>
          <t>Technician Claim</t>
        </is>
      </c>
      <c r="I111" s="7" t="inlineStr">
        <is>
          <t>Looked for MD-00069 in regional_IT_notes.docx; still need CSV/XLSX proof.</t>
        </is>
      </c>
    </row>
    <row r="112">
      <c r="A112" s="7" t="inlineStr">
        <is>
          <t>MD-00069</t>
        </is>
      </c>
      <c r="B112" s="7" t="inlineStr">
        <is>
          <t>2026-08-09</t>
        </is>
      </c>
      <c r="C112" s="7" t="inlineStr">
        <is>
          <t>Policy Control Figure</t>
        </is>
      </c>
      <c r="D112" s="7" t="inlineStr">
        <is>
          <t>ITAM-001</t>
        </is>
      </c>
      <c r="E112" s="7" t="inlineStr"/>
      <c r="F112" s="7" t="inlineStr"/>
      <c r="G112" s="7" t="inlineStr">
        <is>
          <t>ITAM_control_matrix.png; IT_asset_management_policy.pdf</t>
        </is>
      </c>
      <c r="H112" s="7" t="inlineStr">
        <is>
          <t>Confirmed Fact</t>
        </is>
      </c>
      <c r="I112" s="7" t="inlineStr">
        <is>
          <t>Control matrix cited on MD-00069 for assignment only. Movement/finance proof stays with TR-00069, PO-2025-0012, FA-000069, OFF-00069, APR-00069; exceptions EX-0066, EX-0067.</t>
        </is>
      </c>
    </row>
    <row r="113">
      <c r="A113" s="7" t="inlineStr">
        <is>
          <t>MD-00069</t>
        </is>
      </c>
      <c r="B113" s="7" t="inlineStr">
        <is>
          <t>2026-08-09</t>
        </is>
      </c>
      <c r="C113" s="7" t="inlineStr">
        <is>
          <t>Reconciliation Conclusion</t>
        </is>
      </c>
      <c r="D113" s="7" t="inlineStr">
        <is>
          <t>Evidence review</t>
        </is>
      </c>
      <c r="E113" s="7" t="inlineStr">
        <is>
          <t>E0082</t>
        </is>
      </c>
      <c r="F113" s="7" t="inlineStr">
        <is>
          <t>Remote - Former Employee</t>
        </is>
      </c>
      <c r="G113" s="7" t="inlineStr">
        <is>
          <t>Ticket:OFF-00069; Tracking:1ZMD00000069; ReturnProof:absent (label only); Transfer:TR-00069; HR:E0082:Separated; PO:PO-2025-0012; Ledger:FA-000069; PolicyFigure:ITAM_control_matrix.png</t>
        </is>
      </c>
      <c r="H113" s="7" t="inlineStr">
        <is>
          <t>Unresolved Assumption</t>
        </is>
      </c>
      <c r="I113" s="7" t="inlineStr">
        <is>
          <t>After the chain, MD-00069 is Return Overdue / Remote - Former Employee (Low). EX-0066, EX-0067. OFF-00069. 1ZMD00000069. TR-00069. E0082. PO. PO-2025-0012. FA-000069. ITAM_control_matrix.png.</t>
        </is>
      </c>
    </row>
    <row r="114">
      <c r="A114" s="7" t="inlineStr">
        <is>
          <t>MD-00070</t>
        </is>
      </c>
      <c r="B114" s="7" t="inlineStr">
        <is>
          <t>2024-11-23</t>
        </is>
      </c>
      <c r="C114" s="7" t="inlineStr">
        <is>
          <t>Purchase</t>
        </is>
      </c>
      <c r="D114" s="7" t="inlineStr">
        <is>
          <t>Vendor</t>
        </is>
      </c>
      <c r="E114" s="7" t="inlineStr">
        <is>
          <t>Central Receiving</t>
        </is>
      </c>
      <c r="F114" s="7" t="inlineStr">
        <is>
          <t>Atlanta Warehouse</t>
        </is>
      </c>
      <c r="G114" s="7" t="inlineStr">
        <is>
          <t>PO:PO-2025-0012</t>
        </is>
      </c>
      <c r="H114" s="7" t="inlineStr">
        <is>
          <t>Confirmed Fact</t>
        </is>
      </c>
      <c r="I114" s="7" t="inlineStr">
        <is>
          <t>First touch MD-00070 - PO-2025-0012, $520.</t>
        </is>
      </c>
    </row>
    <row r="115">
      <c r="A115" s="7" t="inlineStr">
        <is>
          <t>MD-00070</t>
        </is>
      </c>
      <c r="B115" s="7" t="inlineStr">
        <is>
          <t>2026-05-23</t>
        </is>
      </c>
      <c r="C115" s="7" t="inlineStr">
        <is>
          <t>Assignment/Transfer</t>
        </is>
      </c>
      <c r="D115" s="7" t="inlineStr">
        <is>
          <t>Central Receiving</t>
        </is>
      </c>
      <c r="E115" s="7" t="inlineStr">
        <is>
          <t>E0073</t>
        </is>
      </c>
      <c r="F115" s="7" t="inlineStr">
        <is>
          <t>Remote - Former Employee</t>
        </is>
      </c>
      <c r="G115" s="7" t="inlineStr">
        <is>
          <t>Transfer:TR-00070; Approval:APR-00070</t>
        </is>
      </c>
      <c r="H115" s="7" t="inlineStr">
        <is>
          <t>Confirmed Fact</t>
        </is>
      </c>
      <c r="I115" s="7" t="inlineStr">
        <is>
          <t>Dock file shows Jun 03, 2026 for TR-00070 (MD-00070).</t>
        </is>
      </c>
    </row>
    <row r="116">
      <c r="A116" s="7" t="inlineStr">
        <is>
          <t>MD-00070</t>
        </is>
      </c>
      <c r="B116" s="7" t="inlineStr">
        <is>
          <t>2026-05-12</t>
        </is>
      </c>
      <c r="C116" s="7" t="inlineStr">
        <is>
          <t>Offboarding Ticket</t>
        </is>
      </c>
      <c r="D116" s="7" t="inlineStr">
        <is>
          <t>E0083</t>
        </is>
      </c>
      <c r="E116" s="7" t="inlineStr">
        <is>
          <t>IT Service Desk</t>
        </is>
      </c>
      <c r="F116" s="7" t="inlineStr"/>
      <c r="G116" s="7" t="inlineStr">
        <is>
          <t>Ticket:OFF-00070; Status:Past Due</t>
        </is>
      </c>
      <c r="H116" s="7" t="inlineStr">
        <is>
          <t>Confirmed Fact</t>
        </is>
      </c>
      <c r="I116" s="7" t="inlineStr">
        <is>
          <t>People ticket OFF-00070. Doesn't by itself dock MD-00070.</t>
        </is>
      </c>
    </row>
    <row r="117">
      <c r="A117" s="7" t="inlineStr">
        <is>
          <t>MD-00070</t>
        </is>
      </c>
      <c r="B117" s="7" t="inlineStr">
        <is>
          <t>2026-05-12</t>
        </is>
      </c>
      <c r="C117" s="7" t="inlineStr">
        <is>
          <t>Technician Comment</t>
        </is>
      </c>
      <c r="D117" s="7" t="inlineStr">
        <is>
          <t>Service Desk</t>
        </is>
      </c>
      <c r="E117" s="7" t="inlineStr"/>
      <c r="F117" s="7" t="inlineStr"/>
      <c r="G117" s="7" t="inlineStr">
        <is>
          <t>Ticket:OFF-00070</t>
        </is>
      </c>
      <c r="H117" s="7" t="inlineStr">
        <is>
          <t>Technician Claim</t>
        </is>
      </c>
      <c r="I117" s="7" t="inlineStr">
        <is>
          <t>Past window. Escalated to the PM for that org. Ref MD-00070.</t>
        </is>
      </c>
    </row>
    <row r="118">
      <c r="A118" s="7" t="inlineStr">
        <is>
          <t>MD-00070</t>
        </is>
      </c>
      <c r="B118" s="7" t="inlineStr">
        <is>
          <t>2026-06-25</t>
        </is>
      </c>
      <c r="C118" s="7" t="inlineStr">
        <is>
          <t>Return Label Created</t>
        </is>
      </c>
      <c r="D118" s="7" t="inlineStr">
        <is>
          <t>E0083</t>
        </is>
      </c>
      <c r="E118" s="7" t="inlineStr">
        <is>
          <t>Return Carrier</t>
        </is>
      </c>
      <c r="F118" s="7" t="inlineStr">
        <is>
          <t>Carrier Network</t>
        </is>
      </c>
      <c r="G118" s="7" t="inlineStr">
        <is>
          <t>Tracking:1ZMD00000070; Status:Label Created</t>
        </is>
      </c>
      <c r="H118" s="7" t="inlineStr">
        <is>
          <t>Confirmed Fact</t>
        </is>
      </c>
      <c r="I118" s="7" t="inlineStr">
        <is>
          <t>Printed 1ZMD00000070. Box not in the inbound file.</t>
        </is>
      </c>
    </row>
    <row r="119">
      <c r="A119" s="7" t="inlineStr">
        <is>
          <t>MD-00070</t>
        </is>
      </c>
      <c r="B119" s="7" t="inlineStr">
        <is>
          <t>2026-08-05</t>
        </is>
      </c>
      <c r="C119" s="7" t="inlineStr">
        <is>
          <t>Regional IT Note Lead</t>
        </is>
      </c>
      <c r="D119" s="7" t="inlineStr">
        <is>
          <t>Regional IT</t>
        </is>
      </c>
      <c r="E119" s="7" t="inlineStr"/>
      <c r="F119" s="7" t="inlineStr">
        <is>
          <t>Chicago - Closed</t>
        </is>
      </c>
      <c r="G119" s="7" t="inlineStr">
        <is>
          <t>regional_IT_notes.docx</t>
        </is>
      </c>
      <c r="H119" s="7" t="inlineStr">
        <is>
          <t>Technician Claim</t>
        </is>
      </c>
      <c r="I119" s="7" t="inlineStr">
        <is>
          <t>Word dump checked for MD-00070; no authoritative note found.</t>
        </is>
      </c>
    </row>
    <row r="120">
      <c r="A120" s="7" t="inlineStr">
        <is>
          <t>MD-00070</t>
        </is>
      </c>
      <c r="B120" s="7" t="inlineStr">
        <is>
          <t>2026-08-09</t>
        </is>
      </c>
      <c r="C120" s="7" t="inlineStr">
        <is>
          <t>Policy Control Figure</t>
        </is>
      </c>
      <c r="D120" s="7" t="inlineStr">
        <is>
          <t>ITAM-001</t>
        </is>
      </c>
      <c r="E120" s="7" t="inlineStr"/>
      <c r="F120" s="7" t="inlineStr"/>
      <c r="G120" s="7" t="inlineStr">
        <is>
          <t>ITAM_control_matrix.png; IT_asset_management_policy.pdf</t>
        </is>
      </c>
      <c r="H120" s="7" t="inlineStr">
        <is>
          <t>Confirmed Fact</t>
        </is>
      </c>
      <c r="I120" s="7" t="inlineStr">
        <is>
          <t>Policy PDF + ITAM_control_matrix.png set the transfer bar for MD-00070. Compared that bar to TR-00070, PO-2025-0012, FA-000070, OFF-00070, APR-00070 before accepting any tech note.</t>
        </is>
      </c>
    </row>
    <row r="121">
      <c r="A121" s="7" t="inlineStr">
        <is>
          <t>MD-00070</t>
        </is>
      </c>
      <c r="B121" s="7" t="inlineStr">
        <is>
          <t>2026-08-09</t>
        </is>
      </c>
      <c r="C121" s="7" t="inlineStr">
        <is>
          <t>Reconciliation Conclusion</t>
        </is>
      </c>
      <c r="D121" s="7" t="inlineStr">
        <is>
          <t>Evidence review</t>
        </is>
      </c>
      <c r="E121" s="7" t="inlineStr">
        <is>
          <t>E0083</t>
        </is>
      </c>
      <c r="F121" s="7" t="inlineStr">
        <is>
          <t>Remote - Former Employee</t>
        </is>
      </c>
      <c r="G121" s="7" t="inlineStr">
        <is>
          <t>Ticket:OFF-00070; Tracking:1ZMD00000070; ReturnProof:absent (label only); Transfer:TR-00070; HR:E0083:Separated; PO:PO-2025-0012; Ledger:FA-000070; PolicyFigure:ITAM_control_matrix.png</t>
        </is>
      </c>
      <c r="H121" s="7" t="inlineStr">
        <is>
          <t>Unresolved Assumption</t>
        </is>
      </c>
      <c r="I121" s="7" t="inlineStr">
        <is>
          <t>Final read MD-00070: Return Overdue @ Remote - Former Employee, confidence Low. EX-0068, EX-0069. OFF-00070. 1ZMD00000070. TR-00070. E0083. PO. PO-2025-0012. FA-000070. ITAM_control_matrix.png.</t>
        </is>
      </c>
    </row>
    <row r="122">
      <c r="A122" s="7" t="inlineStr">
        <is>
          <t>MD-00071</t>
        </is>
      </c>
      <c r="B122" s="7" t="inlineStr">
        <is>
          <t>2025-12-24</t>
        </is>
      </c>
      <c r="C122" s="7" t="inlineStr">
        <is>
          <t>Purchase</t>
        </is>
      </c>
      <c r="D122" s="7" t="inlineStr">
        <is>
          <t>Vendor</t>
        </is>
      </c>
      <c r="E122" s="7" t="inlineStr">
        <is>
          <t>Central Receiving</t>
        </is>
      </c>
      <c r="F122" s="7" t="inlineStr">
        <is>
          <t>Atlanta Warehouse</t>
        </is>
      </c>
      <c r="G122" s="7" t="inlineStr">
        <is>
          <t>PO:PO-2025-0012</t>
        </is>
      </c>
      <c r="H122" s="7" t="inlineStr">
        <is>
          <t>Confirmed Fact</t>
        </is>
      </c>
      <c r="I122" s="7" t="inlineStr">
        <is>
          <t>Bought the Samsung Galaxy S24 ($995) on PO-2025-0012.</t>
        </is>
      </c>
    </row>
    <row r="123">
      <c r="A123" s="7" t="inlineStr">
        <is>
          <t>MD-00071</t>
        </is>
      </c>
      <c r="B123" s="7" t="inlineStr">
        <is>
          <t>2026-06-24</t>
        </is>
      </c>
      <c r="C123" s="7" t="inlineStr">
        <is>
          <t>Assignment/Transfer</t>
        </is>
      </c>
      <c r="D123" s="7" t="inlineStr">
        <is>
          <t>Central Receiving</t>
        </is>
      </c>
      <c r="E123" s="7" t="inlineStr">
        <is>
          <t>E0074</t>
        </is>
      </c>
      <c r="F123" s="7" t="inlineStr">
        <is>
          <t>Remote - Former Employee</t>
        </is>
      </c>
      <c r="G123" s="7" t="inlineStr">
        <is>
          <t>Transfer:TR-00071; Approval:APR-00071</t>
        </is>
      </c>
      <c r="H123" s="7" t="inlineStr">
        <is>
          <t>Confirmed Fact</t>
        </is>
      </c>
      <c r="I123" s="7" t="inlineStr">
        <is>
          <t>Log row TR-00071. Receive date 2026-07-12.</t>
        </is>
      </c>
    </row>
    <row r="124">
      <c r="A124" s="7" t="inlineStr">
        <is>
          <t>MD-00071</t>
        </is>
      </c>
      <c r="B124" s="7" t="inlineStr">
        <is>
          <t>2026-06-13</t>
        </is>
      </c>
      <c r="C124" s="7" t="inlineStr">
        <is>
          <t>Offboarding Ticket</t>
        </is>
      </c>
      <c r="D124" s="7" t="inlineStr">
        <is>
          <t>E0084</t>
        </is>
      </c>
      <c r="E124" s="7" t="inlineStr">
        <is>
          <t>IT Service Desk</t>
        </is>
      </c>
      <c r="F124" s="7" t="inlineStr"/>
      <c r="G124" s="7" t="inlineStr">
        <is>
          <t>Ticket:OFF-00071; Status:Past Due</t>
        </is>
      </c>
      <c r="H124" s="7" t="inlineStr">
        <is>
          <t>Confirmed Fact</t>
        </is>
      </c>
      <c r="I124" s="7" t="inlineStr">
        <is>
          <t>MD-00071 tied to OFF-00071 (Past Due). SLA Jul 15, 2026.</t>
        </is>
      </c>
    </row>
    <row r="125">
      <c r="A125" s="7" t="inlineStr">
        <is>
          <t>MD-00071</t>
        </is>
      </c>
      <c r="B125" s="7" t="inlineStr">
        <is>
          <t>2026-06-13</t>
        </is>
      </c>
      <c r="C125" s="7" t="inlineStr">
        <is>
          <t>Technician Comment</t>
        </is>
      </c>
      <c r="D125" s="7" t="inlineStr">
        <is>
          <t>Service Desk</t>
        </is>
      </c>
      <c r="E125" s="7" t="inlineStr"/>
      <c r="F125" s="7" t="inlineStr"/>
      <c r="G125" s="7" t="inlineStr">
        <is>
          <t>Ticket:OFF-00071</t>
        </is>
      </c>
      <c r="H125" s="7" t="inlineStr">
        <is>
          <t>Technician Claim</t>
        </is>
      </c>
      <c r="I125" s="7" t="inlineStr">
        <is>
          <t>Monitor return - bulky; user delayed pickup. Ref MD-00071.</t>
        </is>
      </c>
    </row>
    <row r="126">
      <c r="A126" s="7" t="inlineStr">
        <is>
          <t>MD-00071</t>
        </is>
      </c>
      <c r="B126" s="7" t="inlineStr">
        <is>
          <t>2026-06-25</t>
        </is>
      </c>
      <c r="C126" s="7" t="inlineStr">
        <is>
          <t>Return Label Created</t>
        </is>
      </c>
      <c r="D126" s="7" t="inlineStr">
        <is>
          <t>E0084</t>
        </is>
      </c>
      <c r="E126" s="7" t="inlineStr">
        <is>
          <t>Return Carrier</t>
        </is>
      </c>
      <c r="F126" s="7" t="inlineStr">
        <is>
          <t>Carrier Network</t>
        </is>
      </c>
      <c r="G126" s="7" t="inlineStr">
        <is>
          <t>Tracking:1ZMD00000071; Status:Label Created</t>
        </is>
      </c>
      <c r="H126" s="7" t="inlineStr">
        <is>
          <t>Confirmed Fact</t>
        </is>
      </c>
      <c r="I126" s="7" t="inlineStr">
        <is>
          <t>Return paperwork only. 1ZMD00000071.</t>
        </is>
      </c>
    </row>
    <row r="127">
      <c r="A127" s="7" t="inlineStr">
        <is>
          <t>MD-00071</t>
        </is>
      </c>
      <c r="B127" s="7" t="inlineStr">
        <is>
          <t>2026-08-05</t>
        </is>
      </c>
      <c r="C127" s="7" t="inlineStr">
        <is>
          <t>Regional IT Note Lead</t>
        </is>
      </c>
      <c r="D127" s="7" t="inlineStr">
        <is>
          <t>Regional IT</t>
        </is>
      </c>
      <c r="E127" s="7" t="inlineStr"/>
      <c r="F127" s="7" t="inlineStr">
        <is>
          <t>Denver - Closed</t>
        </is>
      </c>
      <c r="G127" s="7" t="inlineStr">
        <is>
          <t>regional_IT_notes.docx</t>
        </is>
      </c>
      <c r="H127" s="7" t="inlineStr">
        <is>
          <t>Technician Claim</t>
        </is>
      </c>
      <c r="I127" s="7" t="inlineStr">
        <is>
          <t>Word dump checked for MD-00071; no authoritative note found.</t>
        </is>
      </c>
    </row>
    <row r="128">
      <c r="A128" s="7" t="inlineStr">
        <is>
          <t>MD-00071</t>
        </is>
      </c>
      <c r="B128" s="7" t="inlineStr">
        <is>
          <t>2026-08-09</t>
        </is>
      </c>
      <c r="C128" s="7" t="inlineStr">
        <is>
          <t>Policy Control Figure</t>
        </is>
      </c>
      <c r="D128" s="7" t="inlineStr">
        <is>
          <t>ITAM-001</t>
        </is>
      </c>
      <c r="E128" s="7" t="inlineStr"/>
      <c r="F128" s="7" t="inlineStr"/>
      <c r="G128" s="7" t="inlineStr">
        <is>
          <t>ITAM_control_matrix.png; IT_asset_management_policy.pdf</t>
        </is>
      </c>
      <c r="H128" s="7" t="inlineStr">
        <is>
          <t>Confirmed Fact</t>
        </is>
      </c>
      <c r="I128" s="7" t="inlineStr">
        <is>
          <t>MD-00071 / Samsung Galaxy S24: assignment evidence expectations from Appendix A. Anchored to TR-00071, PO-2025-0012, FA-000071, OFF-00071, APR-00071; acquisition $995.</t>
        </is>
      </c>
    </row>
    <row r="129">
      <c r="A129" s="7" t="inlineStr">
        <is>
          <t>MD-00071</t>
        </is>
      </c>
      <c r="B129" s="7" t="inlineStr">
        <is>
          <t>2026-08-09</t>
        </is>
      </c>
      <c r="C129" s="7" t="inlineStr">
        <is>
          <t>Reconciliation Conclusion</t>
        </is>
      </c>
      <c r="D129" s="7" t="inlineStr">
        <is>
          <t>Evidence review</t>
        </is>
      </c>
      <c r="E129" s="7" t="inlineStr">
        <is>
          <t>E0084</t>
        </is>
      </c>
      <c r="F129" s="7" t="inlineStr">
        <is>
          <t>Remote - Former Employee</t>
        </is>
      </c>
      <c r="G129" s="7" t="inlineStr">
        <is>
          <t>Ticket:OFF-00071; Tracking:1ZMD00000071; ReturnProof:absent (label only); Transfer:TR-00071; HR:E0084:Separated; PO:PO-2025-0012; Ledger:FA-000071; PolicyFigure:ITAM_control_matrix.png</t>
        </is>
      </c>
      <c r="H129" s="7" t="inlineStr">
        <is>
          <t>Unresolved Assumption</t>
        </is>
      </c>
      <c r="I129" s="7" t="inlineStr">
        <is>
          <t>Verified Return Overdue for MD-00071 in Remote - Former Employee. Low. EX-0070, EX-0071. OFF-00071. 1ZMD00000071. TR-00071. E0084. PO. PO-2025-0012. FA-000071. ITAM_control_matrix.png.</t>
        </is>
      </c>
    </row>
    <row r="130">
      <c r="A130" s="7" t="inlineStr">
        <is>
          <t>MD-00072</t>
        </is>
      </c>
      <c r="B130" s="7" t="inlineStr">
        <is>
          <t>2022-01-01</t>
        </is>
      </c>
      <c r="C130" s="7" t="inlineStr">
        <is>
          <t>Purchase</t>
        </is>
      </c>
      <c r="D130" s="7" t="inlineStr">
        <is>
          <t>Vendor</t>
        </is>
      </c>
      <c r="E130" s="7" t="inlineStr">
        <is>
          <t>Central Receiving</t>
        </is>
      </c>
      <c r="F130" s="7" t="inlineStr">
        <is>
          <t>Atlanta Warehouse</t>
        </is>
      </c>
      <c r="G130" s="7" t="inlineStr">
        <is>
          <t>PO:PO-2025-0012</t>
        </is>
      </c>
      <c r="H130" s="7" t="inlineStr">
        <is>
          <t>Confirmed Fact</t>
        </is>
      </c>
      <c r="I130" s="7" t="inlineStr">
        <is>
          <t>Purchasing file PO-2025-0012 matches MD-00072 at $6290.</t>
        </is>
      </c>
    </row>
    <row r="131">
      <c r="A131" s="7" t="inlineStr">
        <is>
          <t>MD-00072</t>
        </is>
      </c>
      <c r="B131" s="7" t="inlineStr">
        <is>
          <t>2026-01-01</t>
        </is>
      </c>
      <c r="C131" s="7" t="inlineStr">
        <is>
          <t>Assignment/Transfer</t>
        </is>
      </c>
      <c r="D131" s="7" t="inlineStr">
        <is>
          <t>Central Receiving</t>
        </is>
      </c>
      <c r="E131" s="7" t="inlineStr">
        <is>
          <t>E0075</t>
        </is>
      </c>
      <c r="F131" s="7" t="inlineStr">
        <is>
          <t>Remote - Former Employee</t>
        </is>
      </c>
      <c r="G131" s="7" t="inlineStr">
        <is>
          <t>Transfer:TR-00072; Approval:APR-00072</t>
        </is>
      </c>
      <c r="H131" s="7" t="inlineStr">
        <is>
          <t>Confirmed Fact</t>
        </is>
      </c>
      <c r="I131" s="7" t="inlineStr">
        <is>
          <t>Assignment posted Jan 18, 2026. Docked 01/18/2026 (TR-00072).</t>
        </is>
      </c>
    </row>
    <row r="132">
      <c r="A132" s="7" t="inlineStr">
        <is>
          <t>MD-00072</t>
        </is>
      </c>
      <c r="B132" s="7" t="inlineStr">
        <is>
          <t>2026-05-14</t>
        </is>
      </c>
      <c r="C132" s="7" t="inlineStr">
        <is>
          <t>Offboarding Ticket</t>
        </is>
      </c>
      <c r="D132" s="7" t="inlineStr">
        <is>
          <t>E0085</t>
        </is>
      </c>
      <c r="E132" s="7" t="inlineStr">
        <is>
          <t>IT Service Desk</t>
        </is>
      </c>
      <c r="F132" s="7" t="inlineStr"/>
      <c r="G132" s="7" t="inlineStr">
        <is>
          <t>Ticket:OFF-00072; Status:Past Due</t>
        </is>
      </c>
      <c r="H132" s="7" t="inlineStr">
        <is>
          <t>Confirmed Fact</t>
        </is>
      </c>
      <c r="I132" s="7" t="inlineStr">
        <is>
          <t>People ticket OFF-00072. Doesn't by itself dock MD-00072.</t>
        </is>
      </c>
    </row>
    <row r="133">
      <c r="A133" s="7" t="inlineStr">
        <is>
          <t>MD-00072</t>
        </is>
      </c>
      <c r="B133" s="7" t="inlineStr">
        <is>
          <t>2026-05-14</t>
        </is>
      </c>
      <c r="C133" s="7" t="inlineStr">
        <is>
          <t>Technician Comment</t>
        </is>
      </c>
      <c r="D133" s="7" t="inlineStr">
        <is>
          <t>Service Desk</t>
        </is>
      </c>
      <c r="E133" s="7" t="inlineStr"/>
      <c r="F133" s="7" t="inlineStr"/>
      <c r="G133" s="7" t="inlineStr">
        <is>
          <t>Ticket:OFF-00072</t>
        </is>
      </c>
      <c r="H133" s="7" t="inlineStr">
        <is>
          <t>Technician Claim</t>
        </is>
      </c>
      <c r="I133" s="7" t="inlineStr">
        <is>
          <t>Switching to a recovery case if we don't see a pickup this week. Ref MD-00072.</t>
        </is>
      </c>
    </row>
    <row r="134">
      <c r="A134" s="7" t="inlineStr">
        <is>
          <t>MD-00072</t>
        </is>
      </c>
      <c r="B134" s="7" t="inlineStr">
        <is>
          <t>2026-06-25</t>
        </is>
      </c>
      <c r="C134" s="7" t="inlineStr">
        <is>
          <t>Return Label Created</t>
        </is>
      </c>
      <c r="D134" s="7" t="inlineStr">
        <is>
          <t>E0085</t>
        </is>
      </c>
      <c r="E134" s="7" t="inlineStr">
        <is>
          <t>Return Carrier</t>
        </is>
      </c>
      <c r="F134" s="7" t="inlineStr">
        <is>
          <t>Carrier Network</t>
        </is>
      </c>
      <c r="G134" s="7" t="inlineStr">
        <is>
          <t>Tracking:1ZMD00000072; Status:Label Created</t>
        </is>
      </c>
      <c r="H134" s="7" t="inlineStr">
        <is>
          <t>Confirmed Fact</t>
        </is>
      </c>
      <c r="I134" s="7" t="inlineStr">
        <is>
          <t>Printed 1ZMD00000072. Box not in the inbound file.</t>
        </is>
      </c>
    </row>
    <row r="135">
      <c r="A135" s="7" t="inlineStr">
        <is>
          <t>MD-00072</t>
        </is>
      </c>
      <c r="B135" s="7" t="inlineStr">
        <is>
          <t>2026-08-05</t>
        </is>
      </c>
      <c r="C135" s="7" t="inlineStr">
        <is>
          <t>Regional IT Note Lead</t>
        </is>
      </c>
      <c r="D135" s="7" t="inlineStr">
        <is>
          <t>Regional IT</t>
        </is>
      </c>
      <c r="E135" s="7" t="inlineStr"/>
      <c r="F135" s="7" t="inlineStr">
        <is>
          <t>Chicago - Closed</t>
        </is>
      </c>
      <c r="G135" s="7" t="inlineStr">
        <is>
          <t>regional_IT_notes.docx</t>
        </is>
      </c>
      <c r="H135" s="7" t="inlineStr">
        <is>
          <t>Technician Claim</t>
        </is>
      </c>
      <c r="I135" s="7" t="inlineStr">
        <is>
          <t>Word dump checked for MD-00072; no authoritative note found.</t>
        </is>
      </c>
    </row>
    <row r="136">
      <c r="A136" s="7" t="inlineStr">
        <is>
          <t>MD-00072</t>
        </is>
      </c>
      <c r="B136" s="7" t="inlineStr">
        <is>
          <t>2026-08-09</t>
        </is>
      </c>
      <c r="C136" s="7" t="inlineStr">
        <is>
          <t>Policy Control Figure</t>
        </is>
      </c>
      <c r="D136" s="7" t="inlineStr">
        <is>
          <t>ITAM-001</t>
        </is>
      </c>
      <c r="E136" s="7" t="inlineStr"/>
      <c r="F136" s="7" t="inlineStr"/>
      <c r="G136" s="7" t="inlineStr">
        <is>
          <t>ITAM_control_matrix.png; IT_asset_management_policy.pdf</t>
        </is>
      </c>
      <c r="H136" s="7" t="inlineStr">
        <is>
          <t>Confirmed Fact</t>
        </is>
      </c>
      <c r="I136" s="7" t="inlineStr">
        <is>
          <t>MD-00072 chain includes the figure as a assignment rubric (Low). Record set: TR-00072, PO-2025-0012, FA-000072, OFF-00072, APR-00072.</t>
        </is>
      </c>
    </row>
    <row r="137">
      <c r="A137" s="7" t="inlineStr">
        <is>
          <t>MD-00072</t>
        </is>
      </c>
      <c r="B137" s="7" t="inlineStr">
        <is>
          <t>2026-08-09</t>
        </is>
      </c>
      <c r="C137" s="7" t="inlineStr">
        <is>
          <t>Reconciliation Conclusion</t>
        </is>
      </c>
      <c r="D137" s="7" t="inlineStr">
        <is>
          <t>Evidence review</t>
        </is>
      </c>
      <c r="E137" s="7" t="inlineStr">
        <is>
          <t>E0085</t>
        </is>
      </c>
      <c r="F137" s="7" t="inlineStr">
        <is>
          <t>Remote - Former Employee</t>
        </is>
      </c>
      <c r="G137" s="7" t="inlineStr">
        <is>
          <t>Ticket:OFF-00072; Tracking:1ZMD00000072; ReturnProof:absent (label only); Transfer:TR-00072; HR:E0085:Separated; PO:PO-2025-0012; Ledger:FA-000072; PolicyFigure:ITAM_control_matrix.png</t>
        </is>
      </c>
      <c r="H137" s="7" t="inlineStr">
        <is>
          <t>Unresolved Assumption</t>
        </is>
      </c>
      <c r="I137" s="7" t="inlineStr">
        <is>
          <t>Closing MD-00072: Return Overdue at Remote - Former Employee (Low). EX-0072, EX-0073. OFF-00072. 1ZMD00000072. TR-00072. E0085. PO. PO-2025-0012. FA-000072. ITAM_control_matrix.png.</t>
        </is>
      </c>
    </row>
    <row r="138">
      <c r="A138" s="7" t="inlineStr">
        <is>
          <t>MD-00073</t>
        </is>
      </c>
      <c r="B138" s="7" t="inlineStr">
        <is>
          <t>2023-02-02</t>
        </is>
      </c>
      <c r="C138" s="7" t="inlineStr">
        <is>
          <t>Purchase</t>
        </is>
      </c>
      <c r="D138" s="7" t="inlineStr">
        <is>
          <t>Vendor</t>
        </is>
      </c>
      <c r="E138" s="7" t="inlineStr">
        <is>
          <t>Central Receiving</t>
        </is>
      </c>
      <c r="F138" s="7" t="inlineStr">
        <is>
          <t>Atlanta Warehouse</t>
        </is>
      </c>
      <c r="G138" s="7" t="inlineStr">
        <is>
          <t>PO:PO-2022-0013</t>
        </is>
      </c>
      <c r="H138" s="7" t="inlineStr">
        <is>
          <t>Confirmed Fact</t>
        </is>
      </c>
      <c r="I138" s="7" t="inlineStr">
        <is>
          <t>$1985 Lenovo ThinkPad T14. PO-2022-0013.</t>
        </is>
      </c>
    </row>
    <row r="139">
      <c r="A139" s="7" t="inlineStr">
        <is>
          <t>MD-00073</t>
        </is>
      </c>
      <c r="B139" s="7" t="inlineStr">
        <is>
          <t>2026-02-02</t>
        </is>
      </c>
      <c r="C139" s="7" t="inlineStr">
        <is>
          <t>Assignment/Transfer</t>
        </is>
      </c>
      <c r="D139" s="7" t="inlineStr">
        <is>
          <t>Central Receiving</t>
        </is>
      </c>
      <c r="E139" s="7" t="inlineStr">
        <is>
          <t>E0076</t>
        </is>
      </c>
      <c r="F139" s="7" t="inlineStr">
        <is>
          <t>Remote - Former Employee</t>
        </is>
      </c>
      <c r="G139" s="7" t="inlineStr">
        <is>
          <t>Transfer:TR-00073; Approval:APR-00073</t>
        </is>
      </c>
      <c r="H139" s="7" t="inlineStr">
        <is>
          <t>Confirmed Fact</t>
        </is>
      </c>
      <c r="I139" s="7" t="inlineStr">
        <is>
          <t>MD-00073 inbound Jan 24, 2026 on TR-00073 / APR-00073.</t>
        </is>
      </c>
    </row>
    <row r="140">
      <c r="A140" s="7" t="inlineStr">
        <is>
          <t>MD-00073</t>
        </is>
      </c>
      <c r="B140" s="7" t="inlineStr">
        <is>
          <t>2026-06-15</t>
        </is>
      </c>
      <c r="C140" s="7" t="inlineStr">
        <is>
          <t>Offboarding Ticket</t>
        </is>
      </c>
      <c r="D140" s="7" t="inlineStr">
        <is>
          <t>E0086</t>
        </is>
      </c>
      <c r="E140" s="7" t="inlineStr">
        <is>
          <t>IT Service Desk</t>
        </is>
      </c>
      <c r="F140" s="7" t="inlineStr"/>
      <c r="G140" s="7" t="inlineStr">
        <is>
          <t>Ticket:OFF-00073; Status:Past Due</t>
        </is>
      </c>
      <c r="H140" s="7" t="inlineStr">
        <is>
          <t>Confirmed Fact</t>
        </is>
      </c>
      <c r="I140" s="7" t="inlineStr">
        <is>
          <t>MD-00073 tied to OFF-00073 (Past Due). SLA 07/15/2026.</t>
        </is>
      </c>
    </row>
    <row r="141">
      <c r="A141" s="7" t="inlineStr">
        <is>
          <t>MD-00073</t>
        </is>
      </c>
      <c r="B141" s="7" t="inlineStr">
        <is>
          <t>2026-06-15</t>
        </is>
      </c>
      <c r="C141" s="7" t="inlineStr">
        <is>
          <t>Technician Comment</t>
        </is>
      </c>
      <c r="D141" s="7" t="inlineStr">
        <is>
          <t>Service Desk</t>
        </is>
      </c>
      <c r="E141" s="7" t="inlineStr"/>
      <c r="F141" s="7" t="inlineStr"/>
      <c r="G141" s="7" t="inlineStr">
        <is>
          <t>Ticket:OFF-00073</t>
        </is>
      </c>
      <c r="H141" s="7" t="inlineStr">
        <is>
          <t>Technician Claim</t>
        </is>
      </c>
      <c r="I141" s="7" t="inlineStr">
        <is>
          <t>Ticket auto-moved to Past Due when due date hit. Ref MD-00073.</t>
        </is>
      </c>
    </row>
    <row r="142">
      <c r="A142" s="7" t="inlineStr">
        <is>
          <t>MD-00073</t>
        </is>
      </c>
      <c r="B142" s="7" t="inlineStr">
        <is>
          <t>2026-06-25</t>
        </is>
      </c>
      <c r="C142" s="7" t="inlineStr">
        <is>
          <t>Return Label Created</t>
        </is>
      </c>
      <c r="D142" s="7" t="inlineStr">
        <is>
          <t>E0086</t>
        </is>
      </c>
      <c r="E142" s="7" t="inlineStr">
        <is>
          <t>Return Carrier</t>
        </is>
      </c>
      <c r="F142" s="7" t="inlineStr">
        <is>
          <t>Carrier Network</t>
        </is>
      </c>
      <c r="G142" s="7" t="inlineStr">
        <is>
          <t>Tracking:1ZMD00000073; Status:Label Created</t>
        </is>
      </c>
      <c r="H142" s="7" t="inlineStr">
        <is>
          <t>Confirmed Fact</t>
        </is>
      </c>
      <c r="I142" s="7" t="inlineStr">
        <is>
          <t>Return paperwork only. 1ZMD00000073.</t>
        </is>
      </c>
    </row>
    <row r="143">
      <c r="A143" s="7" t="inlineStr">
        <is>
          <t>MD-00073</t>
        </is>
      </c>
      <c r="B143" s="7" t="inlineStr">
        <is>
          <t>2026-08-05</t>
        </is>
      </c>
      <c r="C143" s="7" t="inlineStr">
        <is>
          <t>Regional IT Note Lead</t>
        </is>
      </c>
      <c r="D143" s="7" t="inlineStr">
        <is>
          <t>Regional IT</t>
        </is>
      </c>
      <c r="E143" s="7" t="inlineStr"/>
      <c r="F143" s="7" t="inlineStr">
        <is>
          <t>Denver - Closed</t>
        </is>
      </c>
      <c r="G143" s="7" t="inlineStr">
        <is>
          <t>regional_IT_notes.docx</t>
        </is>
      </c>
      <c r="H143" s="7" t="inlineStr">
        <is>
          <t>Technician Claim</t>
        </is>
      </c>
      <c r="I143" s="7" t="inlineStr">
        <is>
          <t>Word dump checked for MD-00073; no authoritative note found.</t>
        </is>
      </c>
    </row>
    <row r="144">
      <c r="A144" s="7" t="inlineStr">
        <is>
          <t>MD-00073</t>
        </is>
      </c>
      <c r="B144" s="7" t="inlineStr">
        <is>
          <t>2026-08-09</t>
        </is>
      </c>
      <c r="C144" s="7" t="inlineStr">
        <is>
          <t>Policy Control Figure</t>
        </is>
      </c>
      <c r="D144" s="7" t="inlineStr">
        <is>
          <t>ITAM-001</t>
        </is>
      </c>
      <c r="E144" s="7" t="inlineStr"/>
      <c r="F144" s="7" t="inlineStr"/>
      <c r="G144" s="7" t="inlineStr">
        <is>
          <t>ITAM_control_matrix.png; IT_asset_management_policy.pdf</t>
        </is>
      </c>
      <c r="H144" s="7" t="inlineStr">
        <is>
          <t>Confirmed Fact</t>
        </is>
      </c>
      <c r="I144" s="7" t="inlineStr">
        <is>
          <t>MD-00073 chain includes the figure as a assignment rubric (Low). Record set: TR-00073, PO-2022-0013, FA-000073, OFF-00073, APR-00073.</t>
        </is>
      </c>
    </row>
    <row r="145">
      <c r="A145" s="7" t="inlineStr">
        <is>
          <t>MD-00073</t>
        </is>
      </c>
      <c r="B145" s="7" t="inlineStr">
        <is>
          <t>2026-08-09</t>
        </is>
      </c>
      <c r="C145" s="7" t="inlineStr">
        <is>
          <t>Reconciliation Conclusion</t>
        </is>
      </c>
      <c r="D145" s="7" t="inlineStr">
        <is>
          <t>Evidence review</t>
        </is>
      </c>
      <c r="E145" s="7" t="inlineStr">
        <is>
          <t>E0086</t>
        </is>
      </c>
      <c r="F145" s="7" t="inlineStr">
        <is>
          <t>Remote - Former Employee</t>
        </is>
      </c>
      <c r="G145" s="7" t="inlineStr">
        <is>
          <t>Ticket:OFF-00073; Tracking:1ZMD00000073; ReturnProof:absent (label only); Transfer:TR-00073; HR:E0086:Separated; PO:PO-2022-0013; Ledger:FA-000073; PolicyFigure:ITAM_control_matrix.png</t>
        </is>
      </c>
      <c r="H145" s="7" t="inlineStr">
        <is>
          <t>Unresolved Assumption</t>
        </is>
      </c>
      <c r="I145" s="7" t="inlineStr">
        <is>
          <t>I am standing on Return Overdue for MD-00073 (Remote - Former Employee, Low). EX-0074, EX-0075. OFF-00073. 1ZMD00000073. TR-00073. E0086. PO. PO-2022-0013. FA-000073. ITAM_control_matrix.png.</t>
        </is>
      </c>
    </row>
    <row r="146">
      <c r="A146" s="7" t="inlineStr">
        <is>
          <t>MD-00074</t>
        </is>
      </c>
      <c r="B146" s="7" t="inlineStr">
        <is>
          <t>2024-03-03</t>
        </is>
      </c>
      <c r="C146" s="7" t="inlineStr">
        <is>
          <t>Purchase</t>
        </is>
      </c>
      <c r="D146" s="7" t="inlineStr">
        <is>
          <t>Vendor</t>
        </is>
      </c>
      <c r="E146" s="7" t="inlineStr">
        <is>
          <t>Central Receiving</t>
        </is>
      </c>
      <c r="F146" s="7" t="inlineStr">
        <is>
          <t>Atlanta Warehouse</t>
        </is>
      </c>
      <c r="G146" s="7" t="inlineStr">
        <is>
          <t>PO:PO-2022-0013</t>
        </is>
      </c>
      <c r="H146" s="7" t="inlineStr">
        <is>
          <t>Confirmed Fact</t>
        </is>
      </c>
      <c r="I146" s="7" t="inlineStr">
        <is>
          <t>MD-00074 origin: PO-2022-0013, $700.</t>
        </is>
      </c>
    </row>
    <row r="147">
      <c r="A147" s="7" t="inlineStr">
        <is>
          <t>MD-00074</t>
        </is>
      </c>
      <c r="B147" s="7" t="inlineStr">
        <is>
          <t>2026-03-03</t>
        </is>
      </c>
      <c r="C147" s="7" t="inlineStr">
        <is>
          <t>Assignment/Transfer</t>
        </is>
      </c>
      <c r="D147" s="7" t="inlineStr">
        <is>
          <t>Central Receiving</t>
        </is>
      </c>
      <c r="E147" s="7" t="inlineStr">
        <is>
          <t>E0077</t>
        </is>
      </c>
      <c r="F147" s="7" t="inlineStr">
        <is>
          <t>Remote - Former Employee</t>
        </is>
      </c>
      <c r="G147" s="7" t="inlineStr">
        <is>
          <t>Transfer:TR-00074; Approval:APR-00074</t>
        </is>
      </c>
      <c r="H147" s="7" t="inlineStr">
        <is>
          <t>Confirmed Fact</t>
        </is>
      </c>
      <c r="I147" s="7" t="inlineStr">
        <is>
          <t>Movement TR-00074 completed inbound 2026-02-24.</t>
        </is>
      </c>
    </row>
    <row r="148">
      <c r="A148" s="7" t="inlineStr">
        <is>
          <t>MD-00074</t>
        </is>
      </c>
      <c r="B148" s="7" t="inlineStr">
        <is>
          <t>2026-05-16</t>
        </is>
      </c>
      <c r="C148" s="7" t="inlineStr">
        <is>
          <t>Offboarding Ticket</t>
        </is>
      </c>
      <c r="D148" s="7" t="inlineStr">
        <is>
          <t>E0087</t>
        </is>
      </c>
      <c r="E148" s="7" t="inlineStr">
        <is>
          <t>IT Service Desk</t>
        </is>
      </c>
      <c r="F148" s="7" t="inlineStr"/>
      <c r="G148" s="7" t="inlineStr">
        <is>
          <t>Ticket:OFF-00074; Status:Past Due</t>
        </is>
      </c>
      <c r="H148" s="7" t="inlineStr">
        <is>
          <t>Confirmed Fact</t>
        </is>
      </c>
      <c r="I148" s="7" t="inlineStr">
        <is>
          <t>OFF-00074 sits Past Due. Hardware return was required. Jul 15, 2026.</t>
        </is>
      </c>
    </row>
    <row r="149">
      <c r="A149" s="7" t="inlineStr">
        <is>
          <t>MD-00074</t>
        </is>
      </c>
      <c r="B149" s="7" t="inlineStr">
        <is>
          <t>2026-05-16</t>
        </is>
      </c>
      <c r="C149" s="7" t="inlineStr">
        <is>
          <t>Technician Comment</t>
        </is>
      </c>
      <c r="D149" s="7" t="inlineStr">
        <is>
          <t>Service Desk</t>
        </is>
      </c>
      <c r="E149" s="7" t="inlineStr"/>
      <c r="F149" s="7" t="inlineStr"/>
      <c r="G149" s="7" t="inlineStr">
        <is>
          <t>Ticket:OFF-00074</t>
        </is>
      </c>
      <c r="H149" s="7" t="inlineStr">
        <is>
          <t>Technician Claim</t>
        </is>
      </c>
      <c r="I149" s="7" t="inlineStr">
        <is>
          <t>Left voicemail. Still Label Created in the ship file. Ref MD-00074.</t>
        </is>
      </c>
    </row>
    <row r="150">
      <c r="A150" s="7" t="inlineStr">
        <is>
          <t>MD-00074</t>
        </is>
      </c>
      <c r="B150" s="7" t="inlineStr">
        <is>
          <t>2026-06-25</t>
        </is>
      </c>
      <c r="C150" s="7" t="inlineStr">
        <is>
          <t>Return Label Created</t>
        </is>
      </c>
      <c r="D150" s="7" t="inlineStr">
        <is>
          <t>E0087</t>
        </is>
      </c>
      <c r="E150" s="7" t="inlineStr">
        <is>
          <t>Return Carrier</t>
        </is>
      </c>
      <c r="F150" s="7" t="inlineStr">
        <is>
          <t>Carrier Network</t>
        </is>
      </c>
      <c r="G150" s="7" t="inlineStr">
        <is>
          <t>Tracking:1ZMD00000074; Status:Label Created</t>
        </is>
      </c>
      <c r="H150" s="7" t="inlineStr">
        <is>
          <t>Confirmed Fact</t>
        </is>
      </c>
      <c r="I150" s="7" t="inlineStr">
        <is>
          <t>Printed 1ZMD00000074. Box not in the inbound file.</t>
        </is>
      </c>
    </row>
    <row r="151">
      <c r="A151" s="7" t="inlineStr">
        <is>
          <t>MD-00074</t>
        </is>
      </c>
      <c r="B151" s="7" t="inlineStr">
        <is>
          <t>2026-06-25</t>
        </is>
      </c>
      <c r="C151" s="7" t="inlineStr">
        <is>
          <t>Shipment Exception</t>
        </is>
      </c>
      <c r="D151" s="7" t="inlineStr"/>
      <c r="E151" s="7" t="inlineStr"/>
      <c r="F151" s="7" t="inlineStr"/>
      <c r="G151" s="7" t="inlineStr">
        <is>
          <t>Tracking:1ZMD00000074</t>
        </is>
      </c>
      <c r="H151" s="7" t="inlineStr">
        <is>
          <t>Unresolved Assumption</t>
        </is>
      </c>
      <c r="I151" s="7" t="inlineStr">
        <is>
          <t>1ZMD00000074: serial on the shipment is not MD-MO-050074. Custody not cleared.</t>
        </is>
      </c>
    </row>
    <row r="152">
      <c r="A152" s="7" t="inlineStr">
        <is>
          <t>MD-00074</t>
        </is>
      </c>
      <c r="B152" s="7" t="inlineStr">
        <is>
          <t>2026-08-05</t>
        </is>
      </c>
      <c r="C152" s="7" t="inlineStr">
        <is>
          <t>Regional IT Note Lead</t>
        </is>
      </c>
      <c r="D152" s="7" t="inlineStr">
        <is>
          <t>Regional IT</t>
        </is>
      </c>
      <c r="E152" s="7" t="inlineStr"/>
      <c r="F152" s="7" t="inlineStr">
        <is>
          <t>Chicago - Closed</t>
        </is>
      </c>
      <c r="G152" s="7" t="inlineStr">
        <is>
          <t>regional_IT_notes.docx</t>
        </is>
      </c>
      <c r="H152" s="7" t="inlineStr">
        <is>
          <t>Technician Claim</t>
        </is>
      </c>
      <c r="I152" s="7" t="inlineStr">
        <is>
          <t>Technician notes scanned for MD-00074; nothing usable without a transaction.</t>
        </is>
      </c>
    </row>
    <row r="153">
      <c r="A153" s="7" t="inlineStr">
        <is>
          <t>MD-00074</t>
        </is>
      </c>
      <c r="B153" s="7" t="inlineStr">
        <is>
          <t>2026-08-09</t>
        </is>
      </c>
      <c r="C153" s="7" t="inlineStr">
        <is>
          <t>Policy Control Figure</t>
        </is>
      </c>
      <c r="D153" s="7" t="inlineStr">
        <is>
          <t>ITAM-001</t>
        </is>
      </c>
      <c r="E153" s="7" t="inlineStr"/>
      <c r="F153" s="7" t="inlineStr"/>
      <c r="G153" s="7" t="inlineStr">
        <is>
          <t>ITAM_control_matrix.png; IT_asset_management_policy.pdf</t>
        </is>
      </c>
      <c r="H153" s="7" t="inlineStr">
        <is>
          <t>Confirmed Fact</t>
        </is>
      </c>
      <c r="I153" s="7" t="inlineStr">
        <is>
          <t>Policy PDF + ITAM_control_matrix.png set the transfer bar for MD-00074. Compared that bar to TR-00074, PO-2022-0013, FA-000074, OFF-00074, APR-00074 before accepting any tech note.</t>
        </is>
      </c>
    </row>
    <row r="154">
      <c r="A154" s="7" t="inlineStr">
        <is>
          <t>MD-00074</t>
        </is>
      </c>
      <c r="B154" s="7" t="inlineStr">
        <is>
          <t>2026-08-09</t>
        </is>
      </c>
      <c r="C154" s="7" t="inlineStr">
        <is>
          <t>Reconciliation Conclusion</t>
        </is>
      </c>
      <c r="D154" s="7" t="inlineStr">
        <is>
          <t>Evidence review</t>
        </is>
      </c>
      <c r="E154" s="7" t="inlineStr">
        <is>
          <t>E0087</t>
        </is>
      </c>
      <c r="F154" s="7" t="inlineStr">
        <is>
          <t>Carrier Network / Unverified</t>
        </is>
      </c>
      <c r="G154" s="7" t="inlineStr">
        <is>
          <t>Tracking:1ZMD00000074; Ticket:OFF-00074; ShipmentSerial:MISMATCH-0074; RegisterSerial:MD-MO-050074; PO:PO-2022-0013; Ledger:FA-000074; PolicyFigure:ITAM_control_matrix.png</t>
        </is>
      </c>
      <c r="H154" s="7" t="inlineStr">
        <is>
          <t>Unresolved Assumption</t>
        </is>
      </c>
      <c r="I154" s="7" t="inlineStr">
        <is>
          <t>Wrap-up MD-00074: Return Overdue (Low) - EX-0076, EX-0077, EX-0078. 1ZMD00000074. OFF-00074. PO. PO-2022-0013. FA-000074. ITAM_control_matrix.png.</t>
        </is>
      </c>
    </row>
    <row r="155">
      <c r="A155" s="7" t="inlineStr">
        <is>
          <t>MD-00075</t>
        </is>
      </c>
      <c r="B155" s="7" t="inlineStr">
        <is>
          <t>2025-04-04</t>
        </is>
      </c>
      <c r="C155" s="7" t="inlineStr">
        <is>
          <t>Purchase</t>
        </is>
      </c>
      <c r="D155" s="7" t="inlineStr">
        <is>
          <t>Vendor</t>
        </is>
      </c>
      <c r="E155" s="7" t="inlineStr">
        <is>
          <t>Central Receiving</t>
        </is>
      </c>
      <c r="F155" s="7" t="inlineStr">
        <is>
          <t>Atlanta Warehouse</t>
        </is>
      </c>
      <c r="G155" s="7" t="inlineStr">
        <is>
          <t>PO:PO-2022-0013</t>
        </is>
      </c>
      <c r="H155" s="7" t="inlineStr">
        <is>
          <t>Confirmed Fact</t>
        </is>
      </c>
      <c r="I155" s="7" t="inlineStr">
        <is>
          <t>Acquired MD-00075 (Samsung Galaxy S24) for $1175 via PO-2022-0013.</t>
        </is>
      </c>
    </row>
    <row r="156">
      <c r="A156" s="7" t="inlineStr">
        <is>
          <t>MD-00075</t>
        </is>
      </c>
      <c r="B156" s="7" t="inlineStr">
        <is>
          <t>2026-04-04</t>
        </is>
      </c>
      <c r="C156" s="7" t="inlineStr">
        <is>
          <t>Assignment/Transfer</t>
        </is>
      </c>
      <c r="D156" s="7" t="inlineStr">
        <is>
          <t>Central Receiving</t>
        </is>
      </c>
      <c r="E156" s="7" t="inlineStr">
        <is>
          <t>E0078</t>
        </is>
      </c>
      <c r="F156" s="7" t="inlineStr">
        <is>
          <t>Remote - Former Employee</t>
        </is>
      </c>
      <c r="G156" s="7" t="inlineStr">
        <is>
          <t>Transfer:TR-00075; Approval:APR-00075</t>
        </is>
      </c>
      <c r="H156" s="7" t="inlineStr">
        <is>
          <t>Confirmed Fact</t>
        </is>
      </c>
      <c r="I156" s="7" t="inlineStr">
        <is>
          <t>Assignment posted 03/31/2026. Docked 2026-04-01 (TR-00075).</t>
        </is>
      </c>
    </row>
    <row r="157">
      <c r="A157" s="7" t="inlineStr">
        <is>
          <t>MD-00075</t>
        </is>
      </c>
      <c r="B157" s="7" t="inlineStr">
        <is>
          <t>2026-06-17</t>
        </is>
      </c>
      <c r="C157" s="7" t="inlineStr">
        <is>
          <t>Offboarding Ticket</t>
        </is>
      </c>
      <c r="D157" s="7" t="inlineStr">
        <is>
          <t>E0088</t>
        </is>
      </c>
      <c r="E157" s="7" t="inlineStr">
        <is>
          <t>IT Service Desk</t>
        </is>
      </c>
      <c r="F157" s="7" t="inlineStr"/>
      <c r="G157" s="7" t="inlineStr">
        <is>
          <t>Ticket:OFF-00075; Status:Past Due</t>
        </is>
      </c>
      <c r="H157" s="7" t="inlineStr">
        <is>
          <t>Confirmed Fact</t>
        </is>
      </c>
      <c r="I157" s="7" t="inlineStr">
        <is>
          <t>MD-00075 tied to OFF-00075 (Past Due). SLA Jul 15, 2026.</t>
        </is>
      </c>
    </row>
    <row r="158">
      <c r="A158" s="7" t="inlineStr">
        <is>
          <t>MD-00075</t>
        </is>
      </c>
      <c r="B158" s="7" t="inlineStr">
        <is>
          <t>2026-06-17</t>
        </is>
      </c>
      <c r="C158" s="7" t="inlineStr">
        <is>
          <t>Technician Comment</t>
        </is>
      </c>
      <c r="D158" s="7" t="inlineStr">
        <is>
          <t>Service Desk</t>
        </is>
      </c>
      <c r="E158" s="7" t="inlineStr"/>
      <c r="F158" s="7" t="inlineStr"/>
      <c r="G158" s="7" t="inlineStr">
        <is>
          <t>Ticket:OFF-00075</t>
        </is>
      </c>
      <c r="H158" s="7" t="inlineStr">
        <is>
          <t>Technician Claim</t>
        </is>
      </c>
      <c r="I158" s="7" t="inlineStr">
        <is>
          <t>They asked for an extra week. Policy doesn't treat that as received. Ref MD-00075.</t>
        </is>
      </c>
    </row>
    <row r="159">
      <c r="A159" s="7" t="inlineStr">
        <is>
          <t>MD-00075</t>
        </is>
      </c>
      <c r="B159" s="7" t="inlineStr">
        <is>
          <t>2026-06-25</t>
        </is>
      </c>
      <c r="C159" s="7" t="inlineStr">
        <is>
          <t>Return Label Created</t>
        </is>
      </c>
      <c r="D159" s="7" t="inlineStr">
        <is>
          <t>E0088</t>
        </is>
      </c>
      <c r="E159" s="7" t="inlineStr">
        <is>
          <t>Return Carrier</t>
        </is>
      </c>
      <c r="F159" s="7" t="inlineStr">
        <is>
          <t>Carrier Network</t>
        </is>
      </c>
      <c r="G159" s="7" t="inlineStr">
        <is>
          <t>Tracking:1ZMD00000075; Status:Label Created</t>
        </is>
      </c>
      <c r="H159" s="7" t="inlineStr">
        <is>
          <t>Confirmed Fact</t>
        </is>
      </c>
      <c r="I159" s="7" t="inlineStr">
        <is>
          <t>Return paperwork only. 1ZMD00000075.</t>
        </is>
      </c>
    </row>
    <row r="160">
      <c r="A160" s="7" t="inlineStr">
        <is>
          <t>MD-00075</t>
        </is>
      </c>
      <c r="B160" s="7" t="inlineStr">
        <is>
          <t>2026-08-05</t>
        </is>
      </c>
      <c r="C160" s="7" t="inlineStr">
        <is>
          <t>Regional IT Note Lead</t>
        </is>
      </c>
      <c r="D160" s="7" t="inlineStr">
        <is>
          <t>Regional IT</t>
        </is>
      </c>
      <c r="E160" s="7" t="inlineStr"/>
      <c r="F160" s="7" t="inlineStr">
        <is>
          <t>Denver - Closed</t>
        </is>
      </c>
      <c r="G160" s="7" t="inlineStr">
        <is>
          <t>regional_IT_notes.docx</t>
        </is>
      </c>
      <c r="H160" s="7" t="inlineStr">
        <is>
          <t>Technician Claim</t>
        </is>
      </c>
      <c r="I160" s="7" t="inlineStr">
        <is>
          <t>Technician notes scanned for MD-00075; nothing usable without a transaction.</t>
        </is>
      </c>
    </row>
    <row r="161">
      <c r="A161" s="7" t="inlineStr">
        <is>
          <t>MD-00075</t>
        </is>
      </c>
      <c r="B161" s="7" t="inlineStr">
        <is>
          <t>2026-08-09</t>
        </is>
      </c>
      <c r="C161" s="7" t="inlineStr">
        <is>
          <t>Policy Control Figure</t>
        </is>
      </c>
      <c r="D161" s="7" t="inlineStr">
        <is>
          <t>ITAM-001</t>
        </is>
      </c>
      <c r="E161" s="7" t="inlineStr"/>
      <c r="F161" s="7" t="inlineStr"/>
      <c r="G161" s="7" t="inlineStr">
        <is>
          <t>ITAM_control_matrix.png; IT_asset_management_policy.pdf</t>
        </is>
      </c>
      <c r="H161" s="7" t="inlineStr">
        <is>
          <t>Confirmed Fact</t>
        </is>
      </c>
      <c r="I161" s="7" t="inlineStr">
        <is>
          <t>Auditors tracing MD-00075 should read matrix transfer, then TR-00075, PO-2022-0013, FA-000075, OFF-00075, APR-00075. Working site Remote - Former Employee; status call Return Overdue.</t>
        </is>
      </c>
    </row>
    <row r="162">
      <c r="A162" s="7" t="inlineStr">
        <is>
          <t>MD-00075</t>
        </is>
      </c>
      <c r="B162" s="7" t="inlineStr">
        <is>
          <t>2026-08-09</t>
        </is>
      </c>
      <c r="C162" s="7" t="inlineStr">
        <is>
          <t>Reconciliation Conclusion</t>
        </is>
      </c>
      <c r="D162" s="7" t="inlineStr">
        <is>
          <t>Evidence review</t>
        </is>
      </c>
      <c r="E162" s="7" t="inlineStr">
        <is>
          <t>E0088</t>
        </is>
      </c>
      <c r="F162" s="7" t="inlineStr">
        <is>
          <t>Remote - Former Employee</t>
        </is>
      </c>
      <c r="G162" s="7" t="inlineStr">
        <is>
          <t>Ticket:OFF-00075; Tracking:1ZMD00000075; ReturnProof:absent (label only); Transfer:TR-00075; HR:E0088:Separated; PO:PO-2022-0013; Ledger:FA-000075; PolicyFigure:ITAM_control_matrix.png</t>
        </is>
      </c>
      <c r="H162" s="7" t="inlineStr">
        <is>
          <t>Unresolved Assumption</t>
        </is>
      </c>
      <c r="I162" s="7" t="inlineStr">
        <is>
          <t>MD-00075 → Return Overdue. Confidence Low. EX-0079, EX-0080. OFF-00075. 1ZMD00000075. TR-00075. E0088. PO. PO-2022-0013. FA-000075. ITAM_control_matrix.png.</t>
        </is>
      </c>
    </row>
    <row r="163">
      <c r="A163" s="7" t="inlineStr">
        <is>
          <t>MD-00076</t>
        </is>
      </c>
      <c r="B163" s="7" t="inlineStr">
        <is>
          <t>2022-05-05</t>
        </is>
      </c>
      <c r="C163" s="7" t="inlineStr">
        <is>
          <t>Purchase</t>
        </is>
      </c>
      <c r="D163" s="7" t="inlineStr">
        <is>
          <t>Vendor</t>
        </is>
      </c>
      <c r="E163" s="7" t="inlineStr">
        <is>
          <t>Central Receiving</t>
        </is>
      </c>
      <c r="F163" s="7" t="inlineStr">
        <is>
          <t>Atlanta Warehouse</t>
        </is>
      </c>
      <c r="G163" s="7" t="inlineStr">
        <is>
          <t>PO:PO-2022-0013</t>
        </is>
      </c>
      <c r="H163" s="7" t="inlineStr">
        <is>
          <t>Confirmed Fact</t>
        </is>
      </c>
      <c r="I163" s="7" t="inlineStr">
        <is>
          <t>PO line PO-2022-0013 - Cisco C9300.</t>
        </is>
      </c>
    </row>
    <row r="164">
      <c r="A164" s="7" t="inlineStr">
        <is>
          <t>MD-00076</t>
        </is>
      </c>
      <c r="B164" s="7" t="inlineStr">
        <is>
          <t>2026-05-05</t>
        </is>
      </c>
      <c r="C164" s="7" t="inlineStr">
        <is>
          <t>Assignment/Transfer</t>
        </is>
      </c>
      <c r="D164" s="7" t="inlineStr">
        <is>
          <t>Central Receiving</t>
        </is>
      </c>
      <c r="E164" s="7" t="inlineStr">
        <is>
          <t>E0079</t>
        </is>
      </c>
      <c r="F164" s="7" t="inlineStr">
        <is>
          <t>Remote - Former Employee</t>
        </is>
      </c>
      <c r="G164" s="7" t="inlineStr">
        <is>
          <t>Transfer:TR-00076; Approval:APR-00076</t>
        </is>
      </c>
      <c r="H164" s="7" t="inlineStr">
        <is>
          <t>Confirmed Fact</t>
        </is>
      </c>
      <c r="I164" s="7" t="inlineStr">
        <is>
          <t>Dock file shows 05/03/2026 for TR-00076 (MD-00076).</t>
        </is>
      </c>
    </row>
    <row r="165">
      <c r="A165" s="7" t="inlineStr">
        <is>
          <t>MD-00076</t>
        </is>
      </c>
      <c r="B165" s="7" t="inlineStr">
        <is>
          <t>2026-05-18</t>
        </is>
      </c>
      <c r="C165" s="7" t="inlineStr">
        <is>
          <t>Offboarding Ticket</t>
        </is>
      </c>
      <c r="D165" s="7" t="inlineStr">
        <is>
          <t>E0089</t>
        </is>
      </c>
      <c r="E165" s="7" t="inlineStr">
        <is>
          <t>IT Service Desk</t>
        </is>
      </c>
      <c r="F165" s="7" t="inlineStr"/>
      <c r="G165" s="7" t="inlineStr">
        <is>
          <t>Ticket:OFF-00076; Status:Past Due</t>
        </is>
      </c>
      <c r="H165" s="7" t="inlineStr">
        <is>
          <t>Confirmed Fact</t>
        </is>
      </c>
      <c r="I165" s="7" t="inlineStr">
        <is>
          <t>People ticket OFF-00076. Doesn't by itself dock MD-00076.</t>
        </is>
      </c>
    </row>
    <row r="166">
      <c r="A166" s="7" t="inlineStr">
        <is>
          <t>MD-00076</t>
        </is>
      </c>
      <c r="B166" s="7" t="inlineStr">
        <is>
          <t>2026-05-18</t>
        </is>
      </c>
      <c r="C166" s="7" t="inlineStr">
        <is>
          <t>Technician Comment</t>
        </is>
      </c>
      <c r="D166" s="7" t="inlineStr">
        <is>
          <t>Service Desk</t>
        </is>
      </c>
      <c r="E166" s="7" t="inlineStr"/>
      <c r="F166" s="7" t="inlineStr"/>
      <c r="G166" s="7" t="inlineStr">
        <is>
          <t>Ticket:OFF-00076</t>
        </is>
      </c>
      <c r="H166" s="7" t="inlineStr">
        <is>
          <t>Technician Claim</t>
        </is>
      </c>
      <c r="I166" s="7" t="inlineStr">
        <is>
          <t>Serial on the label matches register; no dock scan though. Ref MD-00076.</t>
        </is>
      </c>
    </row>
    <row r="167">
      <c r="A167" s="7" t="inlineStr">
        <is>
          <t>MD-00076</t>
        </is>
      </c>
      <c r="B167" s="7" t="inlineStr">
        <is>
          <t>2026-06-25</t>
        </is>
      </c>
      <c r="C167" s="7" t="inlineStr">
        <is>
          <t>Return Label Created</t>
        </is>
      </c>
      <c r="D167" s="7" t="inlineStr">
        <is>
          <t>E0089</t>
        </is>
      </c>
      <c r="E167" s="7" t="inlineStr">
        <is>
          <t>Return Carrier</t>
        </is>
      </c>
      <c r="F167" s="7" t="inlineStr">
        <is>
          <t>Carrier Network</t>
        </is>
      </c>
      <c r="G167" s="7" t="inlineStr">
        <is>
          <t>Tracking:1ZMD00000076; Status:Label Created</t>
        </is>
      </c>
      <c r="H167" s="7" t="inlineStr">
        <is>
          <t>Confirmed Fact</t>
        </is>
      </c>
      <c r="I167" s="7" t="inlineStr">
        <is>
          <t>Printed 1ZMD00000076. Box not in the inbound file.</t>
        </is>
      </c>
    </row>
    <row r="168">
      <c r="A168" s="7" t="inlineStr">
        <is>
          <t>MD-00076</t>
        </is>
      </c>
      <c r="B168" s="7" t="inlineStr">
        <is>
          <t>2026-06-25</t>
        </is>
      </c>
      <c r="C168" s="7" t="inlineStr">
        <is>
          <t>Shipment Exception</t>
        </is>
      </c>
      <c r="D168" s="7" t="inlineStr"/>
      <c r="E168" s="7" t="inlineStr"/>
      <c r="F168" s="7" t="inlineStr"/>
      <c r="G168" s="7" t="inlineStr">
        <is>
          <t>Tracking:1ZMD00000076</t>
        </is>
      </c>
      <c r="H168" s="7" t="inlineStr">
        <is>
          <t>Unresolved Assumption</t>
        </is>
      </c>
      <c r="I168" s="7" t="inlineStr">
        <is>
          <t>1ZMD00000076: serial on the shipment is not MD-NE-050076. Custody not cleared.</t>
        </is>
      </c>
    </row>
    <row r="169">
      <c r="A169" s="7" t="inlineStr">
        <is>
          <t>MD-00076</t>
        </is>
      </c>
      <c r="B169" s="7" t="inlineStr">
        <is>
          <t>2026-08-05</t>
        </is>
      </c>
      <c r="C169" s="7" t="inlineStr">
        <is>
          <t>Regional IT Note Lead</t>
        </is>
      </c>
      <c r="D169" s="7" t="inlineStr">
        <is>
          <t>Regional IT</t>
        </is>
      </c>
      <c r="E169" s="7" t="inlineStr"/>
      <c r="F169" s="7" t="inlineStr">
        <is>
          <t>Chicago - Closed</t>
        </is>
      </c>
      <c r="G169" s="7" t="inlineStr">
        <is>
          <t>regional_IT_notes.docx</t>
        </is>
      </c>
      <c r="H169" s="7" t="inlineStr">
        <is>
          <t>Technician Claim</t>
        </is>
      </c>
      <c r="I169" s="7" t="inlineStr">
        <is>
          <t>Technician notes scanned for MD-00076; nothing usable without a transaction.</t>
        </is>
      </c>
    </row>
    <row r="170">
      <c r="A170" s="7" t="inlineStr">
        <is>
          <t>MD-00076</t>
        </is>
      </c>
      <c r="B170" s="7" t="inlineStr">
        <is>
          <t>2026-08-09</t>
        </is>
      </c>
      <c r="C170" s="7" t="inlineStr">
        <is>
          <t>Policy Control Figure</t>
        </is>
      </c>
      <c r="D170" s="7" t="inlineStr">
        <is>
          <t>ITAM-001</t>
        </is>
      </c>
      <c r="E170" s="7" t="inlineStr"/>
      <c r="F170" s="7" t="inlineStr"/>
      <c r="G170" s="7" t="inlineStr">
        <is>
          <t>ITAM_control_matrix.png; IT_asset_management_policy.pdf</t>
        </is>
      </c>
      <c r="H170" s="7" t="inlineStr">
        <is>
          <t>Confirmed Fact</t>
        </is>
      </c>
      <c r="I170" s="7" t="inlineStr">
        <is>
          <t>MD-00076: checked ITAM-001 return row while reviewing TR-00076, PO-2022-0013, FA-000076, OFF-00076, APR-00076. Cost basis $6470; confidence Low. Figure does not replace logs.</t>
        </is>
      </c>
    </row>
    <row r="171">
      <c r="A171" s="7" t="inlineStr">
        <is>
          <t>MD-00076</t>
        </is>
      </c>
      <c r="B171" s="7" t="inlineStr">
        <is>
          <t>2026-08-09</t>
        </is>
      </c>
      <c r="C171" s="7" t="inlineStr">
        <is>
          <t>Reconciliation Conclusion</t>
        </is>
      </c>
      <c r="D171" s="7" t="inlineStr">
        <is>
          <t>Evidence review</t>
        </is>
      </c>
      <c r="E171" s="7" t="inlineStr">
        <is>
          <t>E0089</t>
        </is>
      </c>
      <c r="F171" s="7" t="inlineStr">
        <is>
          <t>Carrier Network / Unverified</t>
        </is>
      </c>
      <c r="G171" s="7" t="inlineStr">
        <is>
          <t>Tracking:1ZMD00000076; Ticket:OFF-00076; ShipmentSerial:MISMATCH-0076; RegisterSerial:MD-NE-050076; PO:PO-2022-0013; Ledger:FA-000076; PolicyFigure:ITAM_control_matrix.png</t>
        </is>
      </c>
      <c r="H171" s="7" t="inlineStr">
        <is>
          <t>Unresolved Assumption</t>
        </is>
      </c>
      <c r="I171" s="7" t="inlineStr">
        <is>
          <t>MD-00076 custody narrative ends Return Overdue (Low). EX-0081, EX-0082, EX-0083. 1ZMD00000076. OFF-00076. PO. PO-2022-0013. FA-000076. ITAM_control_matrix.png.</t>
        </is>
      </c>
    </row>
    <row r="172">
      <c r="A172" s="7" t="inlineStr">
        <is>
          <t>MD-00077</t>
        </is>
      </c>
      <c r="B172" s="7" t="inlineStr">
        <is>
          <t>2023-06-06</t>
        </is>
      </c>
      <c r="C172" s="7" t="inlineStr">
        <is>
          <t>Purchase</t>
        </is>
      </c>
      <c r="D172" s="7" t="inlineStr">
        <is>
          <t>Vendor</t>
        </is>
      </c>
      <c r="E172" s="7" t="inlineStr">
        <is>
          <t>Central Receiving</t>
        </is>
      </c>
      <c r="F172" s="7" t="inlineStr">
        <is>
          <t>Atlanta Warehouse</t>
        </is>
      </c>
      <c r="G172" s="7" t="inlineStr">
        <is>
          <t>PO:PO-2022-0013</t>
        </is>
      </c>
      <c r="H172" s="7" t="inlineStr">
        <is>
          <t>Confirmed Fact</t>
        </is>
      </c>
      <c r="I172" s="7" t="inlineStr">
        <is>
          <t>Procurement PO-2022-0013 lists MacBook Pro 14 / $1850.</t>
        </is>
      </c>
    </row>
    <row r="173">
      <c r="A173" s="7" t="inlineStr">
        <is>
          <t>MD-00077</t>
        </is>
      </c>
      <c r="B173" s="7" t="inlineStr">
        <is>
          <t>2026-06-06</t>
        </is>
      </c>
      <c r="C173" s="7" t="inlineStr">
        <is>
          <t>Assignment/Transfer</t>
        </is>
      </c>
      <c r="D173" s="7" t="inlineStr">
        <is>
          <t>Central Receiving</t>
        </is>
      </c>
      <c r="E173" s="7" t="inlineStr">
        <is>
          <t>E0080</t>
        </is>
      </c>
      <c r="F173" s="7" t="inlineStr">
        <is>
          <t>Remote - Former Employee</t>
        </is>
      </c>
      <c r="G173" s="7" t="inlineStr">
        <is>
          <t>Transfer:TR-00077; Approval:APR-00077</t>
        </is>
      </c>
      <c r="H173" s="7" t="inlineStr">
        <is>
          <t>Confirmed Fact</t>
        </is>
      </c>
      <c r="I173" s="7" t="inlineStr">
        <is>
          <t>TR-00077 - got it 06/06/2026 at Remote - Former Employee.</t>
        </is>
      </c>
    </row>
    <row r="174">
      <c r="A174" s="7" t="inlineStr">
        <is>
          <t>MD-00077</t>
        </is>
      </c>
      <c r="B174" s="7" t="inlineStr">
        <is>
          <t>2026-06-19</t>
        </is>
      </c>
      <c r="C174" s="7" t="inlineStr">
        <is>
          <t>Offboarding Ticket</t>
        </is>
      </c>
      <c r="D174" s="7" t="inlineStr">
        <is>
          <t>E0090</t>
        </is>
      </c>
      <c r="E174" s="7" t="inlineStr">
        <is>
          <t>IT Service Desk</t>
        </is>
      </c>
      <c r="F174" s="7" t="inlineStr"/>
      <c r="G174" s="7" t="inlineStr">
        <is>
          <t>Ticket:OFF-00077; Status:Past Due</t>
        </is>
      </c>
      <c r="H174" s="7" t="inlineStr">
        <is>
          <t>Confirmed Fact</t>
        </is>
      </c>
      <c r="I174" s="7" t="inlineStr">
        <is>
          <t>OFF-00077 Past Due. Return required=Yes, due 2026-07-15.</t>
        </is>
      </c>
    </row>
    <row r="175">
      <c r="A175" s="7" t="inlineStr">
        <is>
          <t>MD-00077</t>
        </is>
      </c>
      <c r="B175" s="7" t="inlineStr">
        <is>
          <t>2026-06-19</t>
        </is>
      </c>
      <c r="C175" s="7" t="inlineStr">
        <is>
          <t>Technician Comment</t>
        </is>
      </c>
      <c r="D175" s="7" t="inlineStr">
        <is>
          <t>Service Desk</t>
        </is>
      </c>
      <c r="E175" s="7" t="inlineStr"/>
      <c r="F175" s="7" t="inlineStr"/>
      <c r="G175" s="7" t="inlineStr">
        <is>
          <t>Ticket:OFF-00077</t>
        </is>
      </c>
      <c r="H175" s="7" t="inlineStr">
        <is>
          <t>Technician Claim</t>
        </is>
      </c>
      <c r="I175" s="7" t="inlineStr">
        <is>
          <t>Helpdesk queued this with the June RIF batch. Ref MD-00077.</t>
        </is>
      </c>
    </row>
    <row r="176">
      <c r="A176" s="7" t="inlineStr">
        <is>
          <t>MD-00077</t>
        </is>
      </c>
      <c r="B176" s="7" t="inlineStr">
        <is>
          <t>2026-06-25</t>
        </is>
      </c>
      <c r="C176" s="7" t="inlineStr">
        <is>
          <t>Return Label Created</t>
        </is>
      </c>
      <c r="D176" s="7" t="inlineStr">
        <is>
          <t>E0090</t>
        </is>
      </c>
      <c r="E176" s="7" t="inlineStr">
        <is>
          <t>Return Carrier</t>
        </is>
      </c>
      <c r="F176" s="7" t="inlineStr">
        <is>
          <t>Carrier Network</t>
        </is>
      </c>
      <c r="G176" s="7" t="inlineStr">
        <is>
          <t>Tracking:1ZMD00000077; Status:Label Created</t>
        </is>
      </c>
      <c r="H176" s="7" t="inlineStr">
        <is>
          <t>Confirmed Fact</t>
        </is>
      </c>
      <c r="I176" s="7" t="inlineStr">
        <is>
          <t>1ZMD00000077 is Label Created. Serial on the label MD-LA-050077. Not proof of return.</t>
        </is>
      </c>
    </row>
    <row r="177">
      <c r="A177" s="7" t="inlineStr">
        <is>
          <t>MD-00077</t>
        </is>
      </c>
      <c r="B177" s="7" t="inlineStr">
        <is>
          <t>2026-08-05</t>
        </is>
      </c>
      <c r="C177" s="7" t="inlineStr">
        <is>
          <t>Regional IT Note Lead</t>
        </is>
      </c>
      <c r="D177" s="7" t="inlineStr">
        <is>
          <t>Regional IT</t>
        </is>
      </c>
      <c r="E177" s="7" t="inlineStr"/>
      <c r="F177" s="7" t="inlineStr">
        <is>
          <t>Denver - Closed</t>
        </is>
      </c>
      <c r="G177" s="7" t="inlineStr">
        <is>
          <t>regional_IT_notes.docx</t>
        </is>
      </c>
      <c r="H177" s="7" t="inlineStr">
        <is>
          <t>Technician Claim</t>
        </is>
      </c>
      <c r="I177" s="7" t="inlineStr">
        <is>
          <t>Technician notes scanned for MD-00077; nothing usable without a transaction.</t>
        </is>
      </c>
    </row>
    <row r="178">
      <c r="A178" s="7" t="inlineStr">
        <is>
          <t>MD-00077</t>
        </is>
      </c>
      <c r="B178" s="7" t="inlineStr">
        <is>
          <t>2026-08-09</t>
        </is>
      </c>
      <c r="C178" s="7" t="inlineStr">
        <is>
          <t>Policy Control Figure</t>
        </is>
      </c>
      <c r="D178" s="7" t="inlineStr">
        <is>
          <t>ITAM-001</t>
        </is>
      </c>
      <c r="E178" s="7" t="inlineStr"/>
      <c r="F178" s="7" t="inlineStr"/>
      <c r="G178" s="7" t="inlineStr">
        <is>
          <t>ITAM_control_matrix.png; IT_asset_management_policy.pdf</t>
        </is>
      </c>
      <c r="H178" s="7" t="inlineStr">
        <is>
          <t>Confirmed Fact</t>
        </is>
      </c>
      <c r="I178" s="7" t="inlineStr">
        <is>
          <t>Policy PDF + ITAM_control_matrix.png set the transfer bar for MD-00077. Compared that bar to TR-00077, PO-2022-0013, FA-000077, OFF-00077, APR-00077 before accepting any tech note.</t>
        </is>
      </c>
    </row>
    <row r="179">
      <c r="A179" s="7" t="inlineStr">
        <is>
          <t>MD-00077</t>
        </is>
      </c>
      <c r="B179" s="7" t="inlineStr">
        <is>
          <t>2026-08-09</t>
        </is>
      </c>
      <c r="C179" s="7" t="inlineStr">
        <is>
          <t>Reconciliation Conclusion</t>
        </is>
      </c>
      <c r="D179" s="7" t="inlineStr">
        <is>
          <t>Evidence review</t>
        </is>
      </c>
      <c r="E179" s="7" t="inlineStr">
        <is>
          <t>E0090</t>
        </is>
      </c>
      <c r="F179" s="7" t="inlineStr">
        <is>
          <t>Remote - Former Employee</t>
        </is>
      </c>
      <c r="G179" s="7" t="inlineStr">
        <is>
          <t>Ticket:OFF-00077; Tracking:1ZMD00000077; ReturnProof:absent (label only); Transfer:TR-00077; HR:E0090:Separated; PO:PO-2022-0013; Ledger:FA-000077; PolicyFigure:ITAM_control_matrix.png</t>
        </is>
      </c>
      <c r="H179" s="7" t="inlineStr">
        <is>
          <t>Unresolved Assumption</t>
        </is>
      </c>
      <c r="I179" s="7" t="inlineStr">
        <is>
          <t>Wrap-up MD-00077: Return Overdue (Low) - EX-0084, EX-0085. OFF-00077. 1ZMD00000077. TR-00077. E0090. PO. PO-2022-0013. FA-000077. ITAM_control_matrix.png.</t>
        </is>
      </c>
    </row>
    <row r="180">
      <c r="A180" s="7" t="inlineStr">
        <is>
          <t>MD-00078</t>
        </is>
      </c>
      <c r="B180" s="7" t="inlineStr">
        <is>
          <t>2024-07-07</t>
        </is>
      </c>
      <c r="C180" s="7" t="inlineStr">
        <is>
          <t>Purchase</t>
        </is>
      </c>
      <c r="D180" s="7" t="inlineStr">
        <is>
          <t>Vendor</t>
        </is>
      </c>
      <c r="E180" s="7" t="inlineStr">
        <is>
          <t>Central Receiving</t>
        </is>
      </c>
      <c r="F180" s="7" t="inlineStr">
        <is>
          <t>Atlanta Warehouse</t>
        </is>
      </c>
      <c r="G180" s="7" t="inlineStr">
        <is>
          <t>PO:PO-2022-0013</t>
        </is>
      </c>
      <c r="H180" s="7" t="inlineStr">
        <is>
          <t>Confirmed Fact</t>
        </is>
      </c>
      <c r="I180" s="7" t="inlineStr">
        <is>
          <t>PO-2022-0013: Dell U2723QE at $565.</t>
        </is>
      </c>
    </row>
    <row r="181">
      <c r="A181" s="7" t="inlineStr">
        <is>
          <t>MD-00078</t>
        </is>
      </c>
      <c r="B181" s="7" t="inlineStr">
        <is>
          <t>2026-01-07</t>
        </is>
      </c>
      <c r="C181" s="7" t="inlineStr">
        <is>
          <t>Assignment/Transfer</t>
        </is>
      </c>
      <c r="D181" s="7" t="inlineStr">
        <is>
          <t>Central Receiving</t>
        </is>
      </c>
      <c r="E181" s="7" t="inlineStr">
        <is>
          <t>E0081</t>
        </is>
      </c>
      <c r="F181" s="7" t="inlineStr">
        <is>
          <t>Remote - Former Employee</t>
        </is>
      </c>
      <c r="G181" s="7" t="inlineStr">
        <is>
          <t>Transfer:TR-00078; Approval:APR-00078</t>
        </is>
      </c>
      <c r="H181" s="7" t="inlineStr">
        <is>
          <t>Confirmed Fact</t>
        </is>
      </c>
      <c r="I181" s="7" t="inlineStr">
        <is>
          <t>Remote - Former Employee: TR-00078 received Jan 10, 2026.</t>
        </is>
      </c>
    </row>
    <row r="182">
      <c r="A182" s="7" t="inlineStr">
        <is>
          <t>MD-00078</t>
        </is>
      </c>
      <c r="B182" s="7" t="inlineStr">
        <is>
          <t>2026-05-20</t>
        </is>
      </c>
      <c r="C182" s="7" t="inlineStr">
        <is>
          <t>Offboarding Ticket</t>
        </is>
      </c>
      <c r="D182" s="7" t="inlineStr">
        <is>
          <t>E0091</t>
        </is>
      </c>
      <c r="E182" s="7" t="inlineStr">
        <is>
          <t>IT Service Desk</t>
        </is>
      </c>
      <c r="F182" s="7" t="inlineStr"/>
      <c r="G182" s="7" t="inlineStr">
        <is>
          <t>Ticket:OFF-00078; Status:Past Due</t>
        </is>
      </c>
      <c r="H182" s="7" t="inlineStr">
        <is>
          <t>Confirmed Fact</t>
        </is>
      </c>
      <c r="I182" s="7" t="inlineStr">
        <is>
          <t>OFF-00078 - Past Due. Due 07/15/2026.</t>
        </is>
      </c>
    </row>
    <row r="183">
      <c r="A183" s="7" t="inlineStr">
        <is>
          <t>MD-00078</t>
        </is>
      </c>
      <c r="B183" s="7" t="inlineStr">
        <is>
          <t>2026-05-20</t>
        </is>
      </c>
      <c r="C183" s="7" t="inlineStr">
        <is>
          <t>Technician Comment</t>
        </is>
      </c>
      <c r="D183" s="7" t="inlineStr">
        <is>
          <t>Service Desk</t>
        </is>
      </c>
      <c r="E183" s="7" t="inlineStr"/>
      <c r="F183" s="7" t="inlineStr"/>
      <c r="G183" s="7" t="inlineStr">
        <is>
          <t>Ticket:OFF-00078</t>
        </is>
      </c>
      <c r="H183" s="7" t="inlineStr">
        <is>
          <t>Technician Claim</t>
        </is>
      </c>
      <c r="I183" s="7" t="inlineStr">
        <is>
          <t>Can't close - no delivery event in the carrier file. Ref MD-00078.</t>
        </is>
      </c>
    </row>
    <row r="184">
      <c r="A184" s="7" t="inlineStr">
        <is>
          <t>MD-00078</t>
        </is>
      </c>
      <c r="B184" s="7" t="inlineStr">
        <is>
          <t>2026-06-25</t>
        </is>
      </c>
      <c r="C184" s="7" t="inlineStr">
        <is>
          <t>Return Label Created</t>
        </is>
      </c>
      <c r="D184" s="7" t="inlineStr">
        <is>
          <t>E0091</t>
        </is>
      </c>
      <c r="E184" s="7" t="inlineStr">
        <is>
          <t>Return Carrier</t>
        </is>
      </c>
      <c r="F184" s="7" t="inlineStr">
        <is>
          <t>Carrier Network</t>
        </is>
      </c>
      <c r="G184" s="7" t="inlineStr">
        <is>
          <t>Tracking:1ZMD00000078; Status:Label Created</t>
        </is>
      </c>
      <c r="H184" s="7" t="inlineStr">
        <is>
          <t>Confirmed Fact</t>
        </is>
      </c>
      <c r="I184" s="7" t="inlineStr">
        <is>
          <t>§5: label ≠ returned. 1ZMD00000078 / MD-MO-050078.</t>
        </is>
      </c>
    </row>
    <row r="185">
      <c r="A185" s="7" t="inlineStr">
        <is>
          <t>MD-00078</t>
        </is>
      </c>
      <c r="B185" s="7" t="inlineStr">
        <is>
          <t>2026-08-05</t>
        </is>
      </c>
      <c r="C185" s="7" t="inlineStr">
        <is>
          <t>Regional IT Note Lead</t>
        </is>
      </c>
      <c r="D185" s="7" t="inlineStr">
        <is>
          <t>Regional IT</t>
        </is>
      </c>
      <c r="E185" s="7" t="inlineStr"/>
      <c r="F185" s="7" t="inlineStr">
        <is>
          <t>Chicago - Closed</t>
        </is>
      </c>
      <c r="G185" s="7" t="inlineStr">
        <is>
          <t>regional_IT_notes.docx</t>
        </is>
      </c>
      <c r="H185" s="7" t="inlineStr">
        <is>
          <t>Technician Claim</t>
        </is>
      </c>
      <c r="I185" s="7" t="inlineStr">
        <is>
          <t>Technician notes scanned for MD-00078; nothing usable without a transaction.</t>
        </is>
      </c>
    </row>
    <row r="186">
      <c r="A186" s="7" t="inlineStr">
        <is>
          <t>MD-00078</t>
        </is>
      </c>
      <c r="B186" s="7" t="inlineStr">
        <is>
          <t>2026-08-09</t>
        </is>
      </c>
      <c r="C186" s="7" t="inlineStr">
        <is>
          <t>Policy Control Figure</t>
        </is>
      </c>
      <c r="D186" s="7" t="inlineStr">
        <is>
          <t>ITAM-001</t>
        </is>
      </c>
      <c r="E186" s="7" t="inlineStr"/>
      <c r="F186" s="7" t="inlineStr"/>
      <c r="G186" s="7" t="inlineStr">
        <is>
          <t>ITAM_control_matrix.png; IT_asset_management_policy.pdf</t>
        </is>
      </c>
      <c r="H186" s="7" t="inlineStr">
        <is>
          <t>Confirmed Fact</t>
        </is>
      </c>
      <c r="I186" s="7" t="inlineStr">
        <is>
          <t>Auditors tracing MD-00078 should read matrix transfer, then TR-00078, PO-2022-0013, FA-000078, OFF-00078, APR-00078. Working site Remote - Former Employee; status call Return Overdue.</t>
        </is>
      </c>
    </row>
    <row r="187">
      <c r="A187" s="7" t="inlineStr">
        <is>
          <t>MD-00078</t>
        </is>
      </c>
      <c r="B187" s="7" t="inlineStr">
        <is>
          <t>2026-08-09</t>
        </is>
      </c>
      <c r="C187" s="7" t="inlineStr">
        <is>
          <t>Reconciliation Conclusion</t>
        </is>
      </c>
      <c r="D187" s="7" t="inlineStr">
        <is>
          <t>Evidence review</t>
        </is>
      </c>
      <c r="E187" s="7" t="inlineStr">
        <is>
          <t>E0091</t>
        </is>
      </c>
      <c r="F187" s="7" t="inlineStr">
        <is>
          <t>Remote - Former Employee</t>
        </is>
      </c>
      <c r="G187" s="7" t="inlineStr">
        <is>
          <t>Ticket:OFF-00078; Tracking:1ZMD00000078; ReturnProof:absent (label only); Transfer:TR-00078; HR:E0091:Separated; PO:PO-2022-0013; Ledger:FA-000078; PolicyFigure:ITAM_control_matrix.png</t>
        </is>
      </c>
      <c r="H187" s="7" t="inlineStr">
        <is>
          <t>Unresolved Assumption</t>
        </is>
      </c>
      <c r="I187" s="7" t="inlineStr">
        <is>
          <t>MD-00078 → Return Overdue. Confidence Low. EX-0086, EX-0087. OFF-00078. 1ZMD00000078. TR-00078. E0091. PO. PO-2022-0013. FA-000078. ITAM_control_matrix.png.</t>
        </is>
      </c>
    </row>
    <row r="188">
      <c r="A188" s="7" t="inlineStr">
        <is>
          <t>MD-00079</t>
        </is>
      </c>
      <c r="B188" s="7" t="inlineStr">
        <is>
          <t>2025-08-08</t>
        </is>
      </c>
      <c r="C188" s="7" t="inlineStr">
        <is>
          <t>Purchase</t>
        </is>
      </c>
      <c r="D188" s="7" t="inlineStr">
        <is>
          <t>Vendor</t>
        </is>
      </c>
      <c r="E188" s="7" t="inlineStr">
        <is>
          <t>Central Receiving</t>
        </is>
      </c>
      <c r="F188" s="7" t="inlineStr">
        <is>
          <t>Atlanta Warehouse</t>
        </is>
      </c>
      <c r="G188" s="7" t="inlineStr">
        <is>
          <t>PO:PO-2023-0014</t>
        </is>
      </c>
      <c r="H188" s="7" t="inlineStr">
        <is>
          <t>Confirmed Fact</t>
        </is>
      </c>
      <c r="I188" s="7" t="inlineStr">
        <is>
          <t>Bought the Samsung Galaxy S24 ($1040) on PO-2023-0014.</t>
        </is>
      </c>
    </row>
    <row r="189">
      <c r="A189" s="7" t="inlineStr">
        <is>
          <t>MD-00079</t>
        </is>
      </c>
      <c r="B189" s="7" t="inlineStr">
        <is>
          <t>2026-02-08</t>
        </is>
      </c>
      <c r="C189" s="7" t="inlineStr">
        <is>
          <t>Assignment/Transfer</t>
        </is>
      </c>
      <c r="D189" s="7" t="inlineStr">
        <is>
          <t>Central Receiving</t>
        </is>
      </c>
      <c r="E189" s="7" t="inlineStr">
        <is>
          <t>E0082</t>
        </is>
      </c>
      <c r="F189" s="7" t="inlineStr">
        <is>
          <t>Remote - Former Employee</t>
        </is>
      </c>
      <c r="G189" s="7" t="inlineStr">
        <is>
          <t>Transfer:TR-00079; Approval:APR-00079</t>
        </is>
      </c>
      <c r="H189" s="7" t="inlineStr">
        <is>
          <t>Confirmed Fact</t>
        </is>
      </c>
      <c r="I189" s="7" t="inlineStr">
        <is>
          <t>Dock file shows 2026-02-13 for TR-00079 (MD-00079).</t>
        </is>
      </c>
    </row>
    <row r="190">
      <c r="A190" s="7" t="inlineStr">
        <is>
          <t>MD-00079</t>
        </is>
      </c>
      <c r="B190" s="7" t="inlineStr">
        <is>
          <t>2026-06-21</t>
        </is>
      </c>
      <c r="C190" s="7" t="inlineStr">
        <is>
          <t>Offboarding Ticket</t>
        </is>
      </c>
      <c r="D190" s="7" t="inlineStr">
        <is>
          <t>E0092</t>
        </is>
      </c>
      <c r="E190" s="7" t="inlineStr">
        <is>
          <t>IT Service Desk</t>
        </is>
      </c>
      <c r="F190" s="7" t="inlineStr"/>
      <c r="G190" s="7" t="inlineStr">
        <is>
          <t>Ticket:OFF-00079; Status:Past Due</t>
        </is>
      </c>
      <c r="H190" s="7" t="inlineStr">
        <is>
          <t>Confirmed Fact</t>
        </is>
      </c>
      <c r="I190" s="7" t="inlineStr">
        <is>
          <t>OFF-00079 Past Due. Return required=Yes, due Jul 15, 2026.</t>
        </is>
      </c>
    </row>
    <row r="191">
      <c r="A191" s="7" t="inlineStr">
        <is>
          <t>MD-00079</t>
        </is>
      </c>
      <c r="B191" s="7" t="inlineStr">
        <is>
          <t>2026-06-21</t>
        </is>
      </c>
      <c r="C191" s="7" t="inlineStr">
        <is>
          <t>Technician Comment</t>
        </is>
      </c>
      <c r="D191" s="7" t="inlineStr">
        <is>
          <t>Service Desk</t>
        </is>
      </c>
      <c r="E191" s="7" t="inlineStr"/>
      <c r="F191" s="7" t="inlineStr"/>
      <c r="G191" s="7" t="inlineStr">
        <is>
          <t>Ticket:OFF-00079</t>
        </is>
      </c>
      <c r="H191" s="7" t="inlineStr">
        <is>
          <t>Technician Claim</t>
        </is>
      </c>
      <c r="I191" s="7" t="inlineStr">
        <is>
          <t>User claimed inbox full so they missed the ship email. Ref MD-00079.</t>
        </is>
      </c>
    </row>
    <row r="192">
      <c r="A192" s="7" t="inlineStr">
        <is>
          <t>MD-00079</t>
        </is>
      </c>
      <c r="B192" s="7" t="inlineStr">
        <is>
          <t>2026-06-25</t>
        </is>
      </c>
      <c r="C192" s="7" t="inlineStr">
        <is>
          <t>Return Label Created</t>
        </is>
      </c>
      <c r="D192" s="7" t="inlineStr">
        <is>
          <t>E0092</t>
        </is>
      </c>
      <c r="E192" s="7" t="inlineStr">
        <is>
          <t>Return Carrier</t>
        </is>
      </c>
      <c r="F192" s="7" t="inlineStr">
        <is>
          <t>Carrier Network</t>
        </is>
      </c>
      <c r="G192" s="7" t="inlineStr">
        <is>
          <t>Tracking:1ZMD00000079; Status:Label Created</t>
        </is>
      </c>
      <c r="H192" s="7" t="inlineStr">
        <is>
          <t>Confirmed Fact</t>
        </is>
      </c>
      <c r="I192" s="7" t="inlineStr">
        <is>
          <t>1ZMD00000079 is Label Created. Serial on the label MD-MO-050079. Not proof of return.</t>
        </is>
      </c>
    </row>
    <row r="193">
      <c r="A193" s="7" t="inlineStr">
        <is>
          <t>MD-00079</t>
        </is>
      </c>
      <c r="B193" s="7" t="inlineStr">
        <is>
          <t>2026-08-05</t>
        </is>
      </c>
      <c r="C193" s="7" t="inlineStr">
        <is>
          <t>Regional IT Note Lead</t>
        </is>
      </c>
      <c r="D193" s="7" t="inlineStr">
        <is>
          <t>Regional IT</t>
        </is>
      </c>
      <c r="E193" s="7" t="inlineStr"/>
      <c r="F193" s="7" t="inlineStr">
        <is>
          <t>Denver - Closed</t>
        </is>
      </c>
      <c r="G193" s="7" t="inlineStr">
        <is>
          <t>regional_IT_notes.docx</t>
        </is>
      </c>
      <c r="H193" s="7" t="inlineStr">
        <is>
          <t>Technician Claim</t>
        </is>
      </c>
      <c r="I193" s="7" t="inlineStr">
        <is>
          <t>Technician notes scanned for MD-00079; nothing usable without a transaction.</t>
        </is>
      </c>
    </row>
    <row r="194">
      <c r="A194" s="7" t="inlineStr">
        <is>
          <t>MD-00079</t>
        </is>
      </c>
      <c r="B194" s="7" t="inlineStr">
        <is>
          <t>2026-08-09</t>
        </is>
      </c>
      <c r="C194" s="7" t="inlineStr">
        <is>
          <t>Policy Control Figure</t>
        </is>
      </c>
      <c r="D194" s="7" t="inlineStr">
        <is>
          <t>ITAM-001</t>
        </is>
      </c>
      <c r="E194" s="7" t="inlineStr"/>
      <c r="F194" s="7" t="inlineStr"/>
      <c r="G194" s="7" t="inlineStr">
        <is>
          <t>ITAM_control_matrix.png; IT_asset_management_policy.pdf</t>
        </is>
      </c>
      <c r="H194" s="7" t="inlineStr">
        <is>
          <t>Confirmed Fact</t>
        </is>
      </c>
      <c r="I194" s="7" t="inlineStr">
        <is>
          <t>ITAM_control_matrix.png consulted for MD-00079 (transfer). Conclusion still tied to TR-00079, PO-2023-0014, FA-000079, OFF-00079, APR-00079 at Remote - Former Employee, $1040.</t>
        </is>
      </c>
    </row>
    <row r="195">
      <c r="A195" s="7" t="inlineStr">
        <is>
          <t>MD-00079</t>
        </is>
      </c>
      <c r="B195" s="7" t="inlineStr">
        <is>
          <t>2026-08-09</t>
        </is>
      </c>
      <c r="C195" s="7" t="inlineStr">
        <is>
          <t>Reconciliation Conclusion</t>
        </is>
      </c>
      <c r="D195" s="7" t="inlineStr">
        <is>
          <t>Evidence review</t>
        </is>
      </c>
      <c r="E195" s="7" t="inlineStr">
        <is>
          <t>E0092</t>
        </is>
      </c>
      <c r="F195" s="7" t="inlineStr">
        <is>
          <t>Remote - Former Employee</t>
        </is>
      </c>
      <c r="G195" s="7" t="inlineStr">
        <is>
          <t>Ticket:OFF-00079; Tracking:1ZMD00000079; ReturnProof:absent (label only); Transfer:TR-00079; HR:E0092:Separated; PO:PO-2023-0014; Ledger:FA-000079; PolicyFigure:ITAM_control_matrix.png</t>
        </is>
      </c>
      <c r="H195" s="7" t="inlineStr">
        <is>
          <t>Unresolved Assumption</t>
        </is>
      </c>
      <c r="I195" s="7" t="inlineStr">
        <is>
          <t>Final read MD-00079: Return Overdue @ Remote - Former Employee, confidence Low. EX-0088, EX-0089. OFF-00079. 1ZMD00000079. TR-00079. E0092. PO. PO-2023-0014. FA-000079. ITAM_control_matrix.png.</t>
        </is>
      </c>
    </row>
    <row r="196">
      <c r="A196" s="7" t="inlineStr">
        <is>
          <t>MD-00080</t>
        </is>
      </c>
      <c r="B196" s="7" t="inlineStr">
        <is>
          <t>2022-09-09</t>
        </is>
      </c>
      <c r="C196" s="7" t="inlineStr">
        <is>
          <t>Purchase</t>
        </is>
      </c>
      <c r="D196" s="7" t="inlineStr">
        <is>
          <t>Vendor</t>
        </is>
      </c>
      <c r="E196" s="7" t="inlineStr">
        <is>
          <t>Central Receiving</t>
        </is>
      </c>
      <c r="F196" s="7" t="inlineStr">
        <is>
          <t>Atlanta Warehouse</t>
        </is>
      </c>
      <c r="G196" s="7" t="inlineStr">
        <is>
          <t>PO:PO-2023-0014</t>
        </is>
      </c>
      <c r="H196" s="7" t="inlineStr">
        <is>
          <t>Confirmed Fact</t>
        </is>
      </c>
      <c r="I196" s="7" t="inlineStr">
        <is>
          <t>Receiving against PO-2023-0014. Cisco C9300, $6335.</t>
        </is>
      </c>
    </row>
    <row r="197">
      <c r="A197" s="7" t="inlineStr">
        <is>
          <t>MD-00080</t>
        </is>
      </c>
      <c r="B197" s="7" t="inlineStr">
        <is>
          <t>2026-03-09</t>
        </is>
      </c>
      <c r="C197" s="7" t="inlineStr">
        <is>
          <t>Assignment/Transfer</t>
        </is>
      </c>
      <c r="D197" s="7" t="inlineStr">
        <is>
          <t>Central Receiving</t>
        </is>
      </c>
      <c r="E197" s="7" t="inlineStr">
        <is>
          <t>Return Carrier</t>
        </is>
      </c>
      <c r="F197" s="7" t="inlineStr">
        <is>
          <t>Carrier Network</t>
        </is>
      </c>
      <c r="G197" s="7" t="inlineStr">
        <is>
          <t>Transfer:TR-00080; Approval:APR-00080</t>
        </is>
      </c>
      <c r="H197" s="7" t="inlineStr">
        <is>
          <t>Confirmed Fact</t>
        </is>
      </c>
      <c r="I197" s="7" t="inlineStr">
        <is>
          <t>Movement TR-00080 completed inbound 03/17/2026.</t>
        </is>
      </c>
    </row>
    <row r="198">
      <c r="A198" s="7" t="inlineStr">
        <is>
          <t>MD-00080</t>
        </is>
      </c>
      <c r="B198" s="7" t="inlineStr">
        <is>
          <t>2026-05-22</t>
        </is>
      </c>
      <c r="C198" s="7" t="inlineStr">
        <is>
          <t>Offboarding Ticket</t>
        </is>
      </c>
      <c r="D198" s="7" t="inlineStr">
        <is>
          <t>E0093</t>
        </is>
      </c>
      <c r="E198" s="7" t="inlineStr">
        <is>
          <t>IT Service Desk</t>
        </is>
      </c>
      <c r="F198" s="7" t="inlineStr"/>
      <c r="G198" s="7" t="inlineStr">
        <is>
          <t>Ticket:OFF-00080; Status:Shipment Open</t>
        </is>
      </c>
      <c r="H198" s="7" t="inlineStr">
        <is>
          <t>Confirmed Fact</t>
        </is>
      </c>
      <c r="I198" s="7" t="inlineStr">
        <is>
          <t>Opened OFF-00080. Status Shipment Open.</t>
        </is>
      </c>
    </row>
    <row r="199">
      <c r="A199" s="7" t="inlineStr">
        <is>
          <t>MD-00080</t>
        </is>
      </c>
      <c r="B199" s="7" t="inlineStr">
        <is>
          <t>2026-05-22</t>
        </is>
      </c>
      <c r="C199" s="7" t="inlineStr">
        <is>
          <t>Technician Comment</t>
        </is>
      </c>
      <c r="D199" s="7" t="inlineStr">
        <is>
          <t>Service Desk</t>
        </is>
      </c>
      <c r="E199" s="7" t="inlineStr"/>
      <c r="F199" s="7" t="inlineStr"/>
      <c r="G199" s="7" t="inlineStr">
        <is>
          <t>Ticket:OFF-00080</t>
        </is>
      </c>
      <c r="H199" s="7" t="inlineStr">
        <is>
          <t>Technician Claim</t>
        </is>
      </c>
      <c r="I199" s="7" t="inlineStr">
        <is>
          <t>Regional stock said they never saw it. Ref MD-00080.</t>
        </is>
      </c>
    </row>
    <row r="200">
      <c r="A200" s="7" t="inlineStr">
        <is>
          <t>MD-00080</t>
        </is>
      </c>
      <c r="B200" s="7" t="inlineStr">
        <is>
          <t>2026-06-25</t>
        </is>
      </c>
      <c r="C200" s="7" t="inlineStr">
        <is>
          <t>Return Label Created</t>
        </is>
      </c>
      <c r="D200" s="7" t="inlineStr">
        <is>
          <t>E0093</t>
        </is>
      </c>
      <c r="E200" s="7" t="inlineStr">
        <is>
          <t>Return Carrier</t>
        </is>
      </c>
      <c r="F200" s="7" t="inlineStr">
        <is>
          <t>Carrier Network</t>
        </is>
      </c>
      <c r="G200" s="7" t="inlineStr">
        <is>
          <t>Tracking:1ZMD00000080; Status:Delivered</t>
        </is>
      </c>
      <c r="H200" s="7" t="inlineStr">
        <is>
          <t>Confirmed Fact</t>
        </is>
      </c>
      <c r="I200" s="7" t="inlineStr">
        <is>
          <t>Label-only on MD-00080. 1ZMD00000080.</t>
        </is>
      </c>
    </row>
    <row r="201">
      <c r="A201" s="7" t="inlineStr">
        <is>
          <t>MD-00080</t>
        </is>
      </c>
      <c r="B201" s="7" t="inlineStr">
        <is>
          <t>2026-07-02</t>
        </is>
      </c>
      <c r="C201" s="7" t="inlineStr">
        <is>
          <t>Carrier Acceptance</t>
        </is>
      </c>
      <c r="D201" s="7" t="inlineStr">
        <is>
          <t>Shipper</t>
        </is>
      </c>
      <c r="E201" s="7" t="inlineStr">
        <is>
          <t>Carrier</t>
        </is>
      </c>
      <c r="F201" s="7" t="inlineStr">
        <is>
          <t>Carrier Network</t>
        </is>
      </c>
      <c r="G201" s="7" t="inlineStr">
        <is>
          <t>Tracking:1ZMD00000080</t>
        </is>
      </c>
      <c r="H201" s="7" t="inlineStr">
        <is>
          <t>Confirmed Fact</t>
        </is>
      </c>
      <c r="I201" s="7" t="inlineStr">
        <is>
          <t>UPS/carrier take recorded for 1ZMD00000080.</t>
        </is>
      </c>
    </row>
    <row r="202">
      <c r="A202" s="7" t="inlineStr">
        <is>
          <t>MD-00080</t>
        </is>
      </c>
      <c r="B202" s="7" t="inlineStr">
        <is>
          <t>2026-07-06</t>
        </is>
      </c>
      <c r="C202" s="7" t="inlineStr">
        <is>
          <t>Delivery</t>
        </is>
      </c>
      <c r="D202" s="7" t="inlineStr">
        <is>
          <t>Carrier</t>
        </is>
      </c>
      <c r="E202" s="7" t="inlineStr">
        <is>
          <t>Receiving</t>
        </is>
      </c>
      <c r="F202" s="7" t="inlineStr">
        <is>
          <t>Atlanta Warehouse</t>
        </is>
      </c>
      <c r="G202" s="7" t="inlineStr">
        <is>
          <t>Tracking:1ZMD00000080</t>
        </is>
      </c>
      <c r="H202" s="7" t="inlineStr">
        <is>
          <t>Confirmed Fact</t>
        </is>
      </c>
      <c r="I202" s="7" t="inlineStr">
        <is>
          <t>Carrier delivery event, 1ZMD00000080.</t>
        </is>
      </c>
    </row>
    <row r="203">
      <c r="A203" s="7" t="inlineStr">
        <is>
          <t>MD-00080</t>
        </is>
      </c>
      <c r="B203" s="7" t="inlineStr">
        <is>
          <t>2026-07-07</t>
        </is>
      </c>
      <c r="C203" s="7" t="inlineStr">
        <is>
          <t>Receiving Scan</t>
        </is>
      </c>
      <c r="D203" s="7" t="inlineStr">
        <is>
          <t>Carrier</t>
        </is>
      </c>
      <c r="E203" s="7" t="inlineStr">
        <is>
          <t>IT Stock</t>
        </is>
      </c>
      <c r="F203" s="7" t="inlineStr">
        <is>
          <t>Atlanta Warehouse</t>
        </is>
      </c>
      <c r="G203" s="7" t="inlineStr">
        <is>
          <t>Tracking:1ZMD00000080</t>
        </is>
      </c>
      <c r="H203" s="7" t="inlineStr">
        <is>
          <t>Confirmed Fact</t>
        </is>
      </c>
      <c r="I203" s="7" t="inlineStr">
        <is>
          <t>Dock scan on 1ZMD00000080.</t>
        </is>
      </c>
    </row>
    <row r="204">
      <c r="A204" s="7" t="inlineStr">
        <is>
          <t>MD-00080</t>
        </is>
      </c>
      <c r="B204" s="7" t="inlineStr">
        <is>
          <t>2026-08-05</t>
        </is>
      </c>
      <c r="C204" s="7" t="inlineStr">
        <is>
          <t>Regional IT Note Lead</t>
        </is>
      </c>
      <c r="D204" s="7" t="inlineStr">
        <is>
          <t>Regional IT</t>
        </is>
      </c>
      <c r="E204" s="7" t="inlineStr"/>
      <c r="F204" s="7" t="inlineStr">
        <is>
          <t>Chicago - Closed</t>
        </is>
      </c>
      <c r="G204" s="7" t="inlineStr">
        <is>
          <t>regional_IT_notes.docx</t>
        </is>
      </c>
      <c r="H204" s="7" t="inlineStr">
        <is>
          <t>Technician Claim</t>
        </is>
      </c>
      <c r="I204" s="7" t="inlineStr">
        <is>
          <t>Investigative color on MD-00080 in regional_IT_notes.docx - weight zero.</t>
        </is>
      </c>
    </row>
    <row r="205">
      <c r="A205" s="7" t="inlineStr">
        <is>
          <t>MD-00080</t>
        </is>
      </c>
      <c r="B205" s="7" t="inlineStr">
        <is>
          <t>2026-08-09</t>
        </is>
      </c>
      <c r="C205" s="7" t="inlineStr">
        <is>
          <t>Policy Control Figure</t>
        </is>
      </c>
      <c r="D205" s="7" t="inlineStr">
        <is>
          <t>ITAM-001</t>
        </is>
      </c>
      <c r="E205" s="7" t="inlineStr"/>
      <c r="F205" s="7" t="inlineStr"/>
      <c r="G205" s="7" t="inlineStr">
        <is>
          <t>ITAM_control_matrix.png; IT_asset_management_policy.pdf</t>
        </is>
      </c>
      <c r="H205" s="7" t="inlineStr">
        <is>
          <t>Confirmed Fact</t>
        </is>
      </c>
      <c r="I205" s="7" t="inlineStr">
        <is>
          <t>Matrix figure open for MD-00080 transfer path; transactional weight on TR-00080, PO-2023-0014, FA-000080, OFF-00080, APR-00080. Open exceptions EX-0090 still govern certification impact.</t>
        </is>
      </c>
    </row>
    <row r="206">
      <c r="A206" s="7" t="inlineStr">
        <is>
          <t>MD-00080</t>
        </is>
      </c>
      <c r="B206" s="7" t="inlineStr">
        <is>
          <t>2026-08-09</t>
        </is>
      </c>
      <c r="C206" s="7" t="inlineStr">
        <is>
          <t>Reconciliation Conclusion</t>
        </is>
      </c>
      <c r="D206" s="7" t="inlineStr">
        <is>
          <t>Evidence review</t>
        </is>
      </c>
      <c r="E206" s="7" t="inlineStr">
        <is>
          <t>IT Stock</t>
        </is>
      </c>
      <c r="F206" s="7" t="inlineStr">
        <is>
          <t>Atlanta Warehouse</t>
        </is>
      </c>
      <c r="G206" s="7" t="inlineStr">
        <is>
          <t>Tracking:1ZMD00000080; Ticket:OFF-00080; Transfer:TR-00080; ReceivingScan:2026-07-07; PO:PO-2023-0014; Ledger:FA-000080; PolicyFigure:ITAM_control_matrix.png</t>
        </is>
      </c>
      <c r="H206" s="7" t="inlineStr">
        <is>
          <t>Confirmed Fact</t>
        </is>
      </c>
      <c r="I206" s="7" t="inlineStr">
        <is>
          <t>MD-00080 → Available. Confidence High. EX-0090. 1ZMD00000080. OFF-00080. TR-00080. PO. PO-2023-0014. FA-000080. ITAM_control_matrix.png.</t>
        </is>
      </c>
    </row>
    <row r="207">
      <c r="A207" s="7" t="inlineStr">
        <is>
          <t>MD-00081</t>
        </is>
      </c>
      <c r="B207" s="7" t="inlineStr">
        <is>
          <t>2023-10-10</t>
        </is>
      </c>
      <c r="C207" s="7" t="inlineStr">
        <is>
          <t>Purchase</t>
        </is>
      </c>
      <c r="D207" s="7" t="inlineStr">
        <is>
          <t>Vendor</t>
        </is>
      </c>
      <c r="E207" s="7" t="inlineStr">
        <is>
          <t>Central Receiving</t>
        </is>
      </c>
      <c r="F207" s="7" t="inlineStr">
        <is>
          <t>Atlanta Warehouse</t>
        </is>
      </c>
      <c r="G207" s="7" t="inlineStr">
        <is>
          <t>PO:PO-2023-0014</t>
        </is>
      </c>
      <c r="H207" s="7" t="inlineStr">
        <is>
          <t>Confirmed Fact</t>
        </is>
      </c>
      <c r="I207" s="7" t="inlineStr">
        <is>
          <t>Purchasing file PO-2023-0014 matches MD-00081 at $2030.</t>
        </is>
      </c>
    </row>
    <row r="208">
      <c r="A208" s="7" t="inlineStr">
        <is>
          <t>MD-00081</t>
        </is>
      </c>
      <c r="B208" s="7" t="inlineStr">
        <is>
          <t>2026-04-10</t>
        </is>
      </c>
      <c r="C208" s="7" t="inlineStr">
        <is>
          <t>Assignment/Transfer</t>
        </is>
      </c>
      <c r="D208" s="7" t="inlineStr">
        <is>
          <t>Central Receiving</t>
        </is>
      </c>
      <c r="E208" s="7" t="inlineStr">
        <is>
          <t>Return Carrier</t>
        </is>
      </c>
      <c r="F208" s="7" t="inlineStr">
        <is>
          <t>Carrier Network</t>
        </is>
      </c>
      <c r="G208" s="7" t="inlineStr">
        <is>
          <t>Transfer:TR-00081; Approval:APR-00081</t>
        </is>
      </c>
      <c r="H208" s="7" t="inlineStr">
        <is>
          <t>Confirmed Fact</t>
        </is>
      </c>
      <c r="I208" s="7" t="inlineStr">
        <is>
          <t>Carrier Network: TR-00081 received Apr 20, 2026.</t>
        </is>
      </c>
    </row>
    <row r="209">
      <c r="A209" s="7" t="inlineStr">
        <is>
          <t>MD-00081</t>
        </is>
      </c>
      <c r="B209" s="7" t="inlineStr">
        <is>
          <t>2026-06-23</t>
        </is>
      </c>
      <c r="C209" s="7" t="inlineStr">
        <is>
          <t>Offboarding Ticket</t>
        </is>
      </c>
      <c r="D209" s="7" t="inlineStr">
        <is>
          <t>E0094</t>
        </is>
      </c>
      <c r="E209" s="7" t="inlineStr">
        <is>
          <t>IT Service Desk</t>
        </is>
      </c>
      <c r="F209" s="7" t="inlineStr"/>
      <c r="G209" s="7" t="inlineStr">
        <is>
          <t>Ticket:OFF-00081; Status:Shipment Open</t>
        </is>
      </c>
      <c r="H209" s="7" t="inlineStr">
        <is>
          <t>Confirmed Fact</t>
        </is>
      </c>
      <c r="I209" s="7" t="inlineStr">
        <is>
          <t>OFF-00081 Shipment Open. Return required=Yes, due 07/15/2026.</t>
        </is>
      </c>
    </row>
    <row r="210">
      <c r="A210" s="7" t="inlineStr">
        <is>
          <t>MD-00081</t>
        </is>
      </c>
      <c r="B210" s="7" t="inlineStr">
        <is>
          <t>2026-06-23</t>
        </is>
      </c>
      <c r="C210" s="7" t="inlineStr">
        <is>
          <t>Technician Comment</t>
        </is>
      </c>
      <c r="D210" s="7" t="inlineStr">
        <is>
          <t>Service Desk</t>
        </is>
      </c>
      <c r="E210" s="7" t="inlineStr"/>
      <c r="F210" s="7" t="inlineStr"/>
      <c r="G210" s="7" t="inlineStr">
        <is>
          <t>Ticket:OFF-00081</t>
        </is>
      </c>
      <c r="H210" s="7" t="inlineStr">
        <is>
          <t>Technician Claim</t>
        </is>
      </c>
      <c r="I210" s="7" t="inlineStr">
        <is>
          <t>On hold for HR to confirm last day vs due date. Ref MD-00081.</t>
        </is>
      </c>
    </row>
    <row r="211">
      <c r="A211" s="7" t="inlineStr">
        <is>
          <t>MD-00081</t>
        </is>
      </c>
      <c r="B211" s="7" t="inlineStr">
        <is>
          <t>2026-06-25</t>
        </is>
      </c>
      <c r="C211" s="7" t="inlineStr">
        <is>
          <t>Return Label Created</t>
        </is>
      </c>
      <c r="D211" s="7" t="inlineStr">
        <is>
          <t>E0094</t>
        </is>
      </c>
      <c r="E211" s="7" t="inlineStr">
        <is>
          <t>Return Carrier</t>
        </is>
      </c>
      <c r="F211" s="7" t="inlineStr">
        <is>
          <t>Carrier Network</t>
        </is>
      </c>
      <c r="G211" s="7" t="inlineStr">
        <is>
          <t>Tracking:1ZMD00000081; Status:Delivered</t>
        </is>
      </c>
      <c r="H211" s="7" t="inlineStr">
        <is>
          <t>Confirmed Fact</t>
        </is>
      </c>
      <c r="I211" s="7" t="inlineStr">
        <is>
          <t>Prepaid label 1ZMD00000081 exists. Carrier never accepted it.</t>
        </is>
      </c>
    </row>
    <row r="212">
      <c r="A212" s="7" t="inlineStr">
        <is>
          <t>MD-00081</t>
        </is>
      </c>
      <c r="B212" s="7" t="inlineStr">
        <is>
          <t>2026-07-02</t>
        </is>
      </c>
      <c r="C212" s="7" t="inlineStr">
        <is>
          <t>Carrier Acceptance</t>
        </is>
      </c>
      <c r="D212" s="7" t="inlineStr">
        <is>
          <t>Shipper</t>
        </is>
      </c>
      <c r="E212" s="7" t="inlineStr">
        <is>
          <t>Carrier</t>
        </is>
      </c>
      <c r="F212" s="7" t="inlineStr">
        <is>
          <t>Carrier Network</t>
        </is>
      </c>
      <c r="G212" s="7" t="inlineStr">
        <is>
          <t>Tracking:1ZMD00000081</t>
        </is>
      </c>
      <c r="H212" s="7" t="inlineStr">
        <is>
          <t>Confirmed Fact</t>
        </is>
      </c>
      <c r="I212" s="7" t="inlineStr">
        <is>
          <t>Acceptance event on 1ZMD00000081.</t>
        </is>
      </c>
    </row>
    <row r="213">
      <c r="A213" s="7" t="inlineStr">
        <is>
          <t>MD-00081</t>
        </is>
      </c>
      <c r="B213" s="7" t="inlineStr">
        <is>
          <t>2026-07-06</t>
        </is>
      </c>
      <c r="C213" s="7" t="inlineStr">
        <is>
          <t>Delivery</t>
        </is>
      </c>
      <c r="D213" s="7" t="inlineStr">
        <is>
          <t>Carrier</t>
        </is>
      </c>
      <c r="E213" s="7" t="inlineStr">
        <is>
          <t>Receiving</t>
        </is>
      </c>
      <c r="F213" s="7" t="inlineStr">
        <is>
          <t>Atlanta Warehouse</t>
        </is>
      </c>
      <c r="G213" s="7" t="inlineStr">
        <is>
          <t>Tracking:1ZMD00000081</t>
        </is>
      </c>
      <c r="H213" s="7" t="inlineStr">
        <is>
          <t>Confirmed Fact</t>
        </is>
      </c>
      <c r="I213" s="7" t="inlineStr">
        <is>
          <t>1ZMD00000081 delivered per carrier.</t>
        </is>
      </c>
    </row>
    <row r="214">
      <c r="A214" s="7" t="inlineStr">
        <is>
          <t>MD-00081</t>
        </is>
      </c>
      <c r="B214" s="7" t="inlineStr">
        <is>
          <t>2026-07-07</t>
        </is>
      </c>
      <c r="C214" s="7" t="inlineStr">
        <is>
          <t>Receiving Scan</t>
        </is>
      </c>
      <c r="D214" s="7" t="inlineStr">
        <is>
          <t>Carrier</t>
        </is>
      </c>
      <c r="E214" s="7" t="inlineStr">
        <is>
          <t>IT Stock</t>
        </is>
      </c>
      <c r="F214" s="7" t="inlineStr">
        <is>
          <t>Atlanta Warehouse</t>
        </is>
      </c>
      <c r="G214" s="7" t="inlineStr">
        <is>
          <t>Tracking:1ZMD00000081</t>
        </is>
      </c>
      <c r="H214" s="7" t="inlineStr">
        <is>
          <t>Confirmed Fact</t>
        </is>
      </c>
      <c r="I214" s="7" t="inlineStr">
        <is>
          <t>Inbound scan completed (1ZMD00000081).</t>
        </is>
      </c>
    </row>
    <row r="215">
      <c r="A215" s="7" t="inlineStr">
        <is>
          <t>MD-00081</t>
        </is>
      </c>
      <c r="B215" s="7" t="inlineStr">
        <is>
          <t>2026-08-05</t>
        </is>
      </c>
      <c r="C215" s="7" t="inlineStr">
        <is>
          <t>Regional IT Note Lead</t>
        </is>
      </c>
      <c r="D215" s="7" t="inlineStr">
        <is>
          <t>Regional IT</t>
        </is>
      </c>
      <c r="E215" s="7" t="inlineStr"/>
      <c r="F215" s="7" t="inlineStr">
        <is>
          <t>Denver - Closed</t>
        </is>
      </c>
      <c r="G215" s="7" t="inlineStr">
        <is>
          <t>regional_IT_notes.docx</t>
        </is>
      </c>
      <c r="H215" s="7" t="inlineStr">
        <is>
          <t>Technician Claim</t>
        </is>
      </c>
      <c r="I215" s="7" t="inlineStr">
        <is>
          <t>Regional write-up for MD-00081 is non-authoritative per ITAM-001.</t>
        </is>
      </c>
    </row>
    <row r="216">
      <c r="A216" s="7" t="inlineStr">
        <is>
          <t>MD-00081</t>
        </is>
      </c>
      <c r="B216" s="7" t="inlineStr">
        <is>
          <t>2026-08-09</t>
        </is>
      </c>
      <c r="C216" s="7" t="inlineStr">
        <is>
          <t>Policy Control Figure</t>
        </is>
      </c>
      <c r="D216" s="7" t="inlineStr">
        <is>
          <t>ITAM-001</t>
        </is>
      </c>
      <c r="E216" s="7" t="inlineStr"/>
      <c r="F216" s="7" t="inlineStr"/>
      <c r="G216" s="7" t="inlineStr">
        <is>
          <t>ITAM_control_matrix.png; IT_asset_management_policy.pdf</t>
        </is>
      </c>
      <c r="H216" s="7" t="inlineStr">
        <is>
          <t>Confirmed Fact</t>
        </is>
      </c>
      <c r="I216" s="7" t="inlineStr">
        <is>
          <t>MD-00081: checked ITAM-001 financial row while reviewing TR-00081, PO-2023-0014, FA-000081, OFF-00081, APR-00081. Cost basis $2030; confidence High. Figure does not replace logs.</t>
        </is>
      </c>
    </row>
    <row r="217">
      <c r="A217" s="7" t="inlineStr">
        <is>
          <t>MD-00081</t>
        </is>
      </c>
      <c r="B217" s="7" t="inlineStr">
        <is>
          <t>2026-08-09</t>
        </is>
      </c>
      <c r="C217" s="7" t="inlineStr">
        <is>
          <t>Reconciliation Conclusion</t>
        </is>
      </c>
      <c r="D217" s="7" t="inlineStr">
        <is>
          <t>Evidence review</t>
        </is>
      </c>
      <c r="E217" s="7" t="inlineStr">
        <is>
          <t>IT Stock</t>
        </is>
      </c>
      <c r="F217" s="7" t="inlineStr">
        <is>
          <t>Atlanta Warehouse</t>
        </is>
      </c>
      <c r="G217" s="7" t="inlineStr">
        <is>
          <t>Tracking:1ZMD00000081; Ticket:OFF-00081; Transfer:TR-00081; ReceivingScan:2026-07-07; PO:PO-2023-0014; Ledger:FA-000081; PolicyFigure:ITAM_control_matrix.png</t>
        </is>
      </c>
      <c r="H217" s="7" t="inlineStr">
        <is>
          <t>Confirmed Fact</t>
        </is>
      </c>
      <c r="I217" s="7" t="inlineStr">
        <is>
          <t>After the chain, MD-00081 is Available / Atlanta Warehouse (High). EX-0091. 1ZMD00000081. OFF-00081. TR-00081. PO. PO-2023-0014. FA-000081. ITAM_control_matrix.png.</t>
        </is>
      </c>
    </row>
    <row r="218">
      <c r="A218" s="7" t="inlineStr">
        <is>
          <t>MD-00082</t>
        </is>
      </c>
      <c r="B218" s="7" t="inlineStr">
        <is>
          <t>2024-11-11</t>
        </is>
      </c>
      <c r="C218" s="7" t="inlineStr">
        <is>
          <t>Purchase</t>
        </is>
      </c>
      <c r="D218" s="7" t="inlineStr">
        <is>
          <t>Vendor</t>
        </is>
      </c>
      <c r="E218" s="7" t="inlineStr">
        <is>
          <t>Central Receiving</t>
        </is>
      </c>
      <c r="F218" s="7" t="inlineStr">
        <is>
          <t>Atlanta Warehouse</t>
        </is>
      </c>
      <c r="G218" s="7" t="inlineStr">
        <is>
          <t>PO:PO-2023-0014</t>
        </is>
      </c>
      <c r="H218" s="7" t="inlineStr">
        <is>
          <t>Confirmed Fact</t>
        </is>
      </c>
      <c r="I218" s="7" t="inlineStr">
        <is>
          <t>Acquired MD-00082 (Dell U2723QE) for $745 via PO-2023-0014.</t>
        </is>
      </c>
    </row>
    <row r="219">
      <c r="A219" s="7" t="inlineStr">
        <is>
          <t>MD-00082</t>
        </is>
      </c>
      <c r="B219" s="7" t="inlineStr">
        <is>
          <t>2026-05-11</t>
        </is>
      </c>
      <c r="C219" s="7" t="inlineStr">
        <is>
          <t>Assignment/Transfer</t>
        </is>
      </c>
      <c r="D219" s="7" t="inlineStr">
        <is>
          <t>Central Receiving</t>
        </is>
      </c>
      <c r="E219" s="7" t="inlineStr">
        <is>
          <t>Return Carrier</t>
        </is>
      </c>
      <c r="F219" s="7" t="inlineStr">
        <is>
          <t>Carrier Network</t>
        </is>
      </c>
      <c r="G219" s="7" t="inlineStr">
        <is>
          <t>Transfer:TR-00082; Approval:APR-00082</t>
        </is>
      </c>
      <c r="H219" s="7" t="inlineStr">
        <is>
          <t>Confirmed Fact</t>
        </is>
      </c>
      <c r="I219" s="7" t="inlineStr">
        <is>
          <t>Assignment posted 05/22/2026. Docked 2026-05-24 (TR-00082).</t>
        </is>
      </c>
    </row>
    <row r="220">
      <c r="A220" s="7" t="inlineStr">
        <is>
          <t>MD-00082</t>
        </is>
      </c>
      <c r="B220" s="7" t="inlineStr">
        <is>
          <t>2026-05-24</t>
        </is>
      </c>
      <c r="C220" s="7" t="inlineStr">
        <is>
          <t>Offboarding Ticket</t>
        </is>
      </c>
      <c r="D220" s="7" t="inlineStr">
        <is>
          <t>E0095</t>
        </is>
      </c>
      <c r="E220" s="7" t="inlineStr">
        <is>
          <t>IT Service Desk</t>
        </is>
      </c>
      <c r="F220" s="7" t="inlineStr"/>
      <c r="G220" s="7" t="inlineStr">
        <is>
          <t>Ticket:OFF-00082; Status:Shipment Open</t>
        </is>
      </c>
      <c r="H220" s="7" t="inlineStr">
        <is>
          <t>Confirmed Fact</t>
        </is>
      </c>
      <c r="I220" s="7" t="inlineStr">
        <is>
          <t>OFF-00082 Shipment Open. Return required=Yes, due Jul 15, 2026.</t>
        </is>
      </c>
    </row>
    <row r="221">
      <c r="A221" s="7" t="inlineStr">
        <is>
          <t>MD-00082</t>
        </is>
      </c>
      <c r="B221" s="7" t="inlineStr">
        <is>
          <t>2026-05-24</t>
        </is>
      </c>
      <c r="C221" s="7" t="inlineStr">
        <is>
          <t>Technician Comment</t>
        </is>
      </c>
      <c r="D221" s="7" t="inlineStr">
        <is>
          <t>Service Desk</t>
        </is>
      </c>
      <c r="E221" s="7" t="inlineStr"/>
      <c r="F221" s="7" t="inlineStr"/>
      <c r="G221" s="7" t="inlineStr">
        <is>
          <t>Ticket:OFF-00082</t>
        </is>
      </c>
      <c r="H221" s="7" t="inlineStr">
        <is>
          <t>Technician Claim</t>
        </is>
      </c>
      <c r="I221" s="7" t="inlineStr">
        <is>
          <t>Second label requested after the first expired? Still no scan. Ref MD-00082.</t>
        </is>
      </c>
    </row>
    <row r="222">
      <c r="A222" s="7" t="inlineStr">
        <is>
          <t>MD-00082</t>
        </is>
      </c>
      <c r="B222" s="7" t="inlineStr">
        <is>
          <t>2026-06-25</t>
        </is>
      </c>
      <c r="C222" s="7" t="inlineStr">
        <is>
          <t>Return Label Created</t>
        </is>
      </c>
      <c r="D222" s="7" t="inlineStr">
        <is>
          <t>E0095</t>
        </is>
      </c>
      <c r="E222" s="7" t="inlineStr">
        <is>
          <t>Return Carrier</t>
        </is>
      </c>
      <c r="F222" s="7" t="inlineStr">
        <is>
          <t>Carrier Network</t>
        </is>
      </c>
      <c r="G222" s="7" t="inlineStr">
        <is>
          <t>Tracking:1ZMD00000082; Status:Exception</t>
        </is>
      </c>
      <c r="H222" s="7" t="inlineStr">
        <is>
          <t>Confirmed Fact</t>
        </is>
      </c>
      <c r="I222" s="7" t="inlineStr">
        <is>
          <t>1ZMD00000082 is Label Created. Serial on the label MD-MO-050082. Not proof of return.</t>
        </is>
      </c>
    </row>
    <row r="223">
      <c r="A223" s="7" t="inlineStr">
        <is>
          <t>MD-00082</t>
        </is>
      </c>
      <c r="B223" s="7" t="inlineStr">
        <is>
          <t>2026-07-02</t>
        </is>
      </c>
      <c r="C223" s="7" t="inlineStr">
        <is>
          <t>Carrier Acceptance</t>
        </is>
      </c>
      <c r="D223" s="7" t="inlineStr">
        <is>
          <t>Shipper</t>
        </is>
      </c>
      <c r="E223" s="7" t="inlineStr">
        <is>
          <t>Carrier</t>
        </is>
      </c>
      <c r="F223" s="7" t="inlineStr">
        <is>
          <t>Carrier Network</t>
        </is>
      </c>
      <c r="G223" s="7" t="inlineStr">
        <is>
          <t>Tracking:1ZMD00000082</t>
        </is>
      </c>
      <c r="H223" s="7" t="inlineStr">
        <is>
          <t>Confirmed Fact</t>
        </is>
      </c>
      <c r="I223" s="7" t="inlineStr">
        <is>
          <t>Acceptance posted for 1ZMD00000082; not the same as dock receipt.</t>
        </is>
      </c>
    </row>
    <row r="224">
      <c r="A224" s="7" t="inlineStr">
        <is>
          <t>MD-00082</t>
        </is>
      </c>
      <c r="B224" s="7" t="inlineStr">
        <is>
          <t>2026-06-25</t>
        </is>
      </c>
      <c r="C224" s="7" t="inlineStr">
        <is>
          <t>Shipment Exception</t>
        </is>
      </c>
      <c r="D224" s="7" t="inlineStr"/>
      <c r="E224" s="7" t="inlineStr"/>
      <c r="F224" s="7" t="inlineStr"/>
      <c r="G224" s="7" t="inlineStr">
        <is>
          <t>Tracking:1ZMD00000082</t>
        </is>
      </c>
      <c r="H224" s="7" t="inlineStr">
        <is>
          <t>Unresolved Assumption</t>
        </is>
      </c>
      <c r="I224" s="7" t="inlineStr">
        <is>
          <t>1ZMD00000082: serial on the shipment is not MD-MO-050082. Custody not cleared.</t>
        </is>
      </c>
    </row>
    <row r="225">
      <c r="A225" s="7" t="inlineStr">
        <is>
          <t>MD-00082</t>
        </is>
      </c>
      <c r="B225" s="7" t="inlineStr">
        <is>
          <t>2026-08-09</t>
        </is>
      </c>
      <c r="C225" s="7" t="inlineStr">
        <is>
          <t>Dock Image Lead</t>
        </is>
      </c>
      <c r="D225" s="7" t="inlineStr">
        <is>
          <t>Atlanta Warehouse</t>
        </is>
      </c>
      <c r="E225" s="7" t="inlineStr"/>
      <c r="F225" s="7" t="inlineStr">
        <is>
          <t>Atlanta Warehouse</t>
        </is>
      </c>
      <c r="G225" s="7" t="inlineStr">
        <is>
          <t>Image:receiving_exception_scan_1ZMD00000082.png</t>
        </is>
      </c>
      <c r="H225" s="7" t="inlineStr">
        <is>
          <t>Technician Claim</t>
        </is>
      </c>
      <c r="I225" s="7" t="inlineStr">
        <is>
          <t>Atlanta photo receiving_exception_scan_1ZMD00000082.png shows HOLD / MISMATCH. Lead only - not a receiving clearance for MD-00082.</t>
        </is>
      </c>
    </row>
    <row r="226">
      <c r="A226" s="7" t="inlineStr">
        <is>
          <t>MD-00082</t>
        </is>
      </c>
      <c r="B226" s="7" t="inlineStr">
        <is>
          <t>2026-08-05</t>
        </is>
      </c>
      <c r="C226" s="7" t="inlineStr">
        <is>
          <t>Regional IT Note Lead</t>
        </is>
      </c>
      <c r="D226" s="7" t="inlineStr">
        <is>
          <t>Regional IT</t>
        </is>
      </c>
      <c r="E226" s="7" t="inlineStr"/>
      <c r="F226" s="7" t="inlineStr">
        <is>
          <t>Chicago - Closed</t>
        </is>
      </c>
      <c r="G226" s="7" t="inlineStr">
        <is>
          <t>regional_IT_notes.docx</t>
        </is>
      </c>
      <c r="H226" s="7" t="inlineStr">
        <is>
          <t>Technician Claim</t>
        </is>
      </c>
      <c r="I226" s="7" t="inlineStr">
        <is>
          <t>Regional claim (Return package was delivered according to the technician, but the shipment serial does not) does not beat a scan for MD-00082.</t>
        </is>
      </c>
    </row>
    <row r="227">
      <c r="A227" s="7" t="inlineStr">
        <is>
          <t>MD-00082</t>
        </is>
      </c>
      <c r="B227" s="7" t="inlineStr">
        <is>
          <t>2026-08-09</t>
        </is>
      </c>
      <c r="C227" s="7" t="inlineStr">
        <is>
          <t>Policy Control Figure</t>
        </is>
      </c>
      <c r="D227" s="7" t="inlineStr">
        <is>
          <t>ITAM-001</t>
        </is>
      </c>
      <c r="E227" s="7" t="inlineStr"/>
      <c r="F227" s="7" t="inlineStr"/>
      <c r="G227" s="7" t="inlineStr">
        <is>
          <t>ITAM_control_matrix.png; IT_asset_management_policy.pdf</t>
        </is>
      </c>
      <c r="H227" s="7" t="inlineStr">
        <is>
          <t>Confirmed Fact</t>
        </is>
      </c>
      <c r="I227" s="7" t="inlineStr">
        <is>
          <t>MD-00082 chain includes the figure as a disposal rubric (Low). Record set: TR-00082, PO-2023-0014, FA-000082, OFF-00082, APR-00082.</t>
        </is>
      </c>
    </row>
    <row r="228">
      <c r="A228" s="7" t="inlineStr">
        <is>
          <t>MD-00082</t>
        </is>
      </c>
      <c r="B228" s="7" t="inlineStr">
        <is>
          <t>2026-08-09</t>
        </is>
      </c>
      <c r="C228" s="7" t="inlineStr">
        <is>
          <t>Reconciliation Conclusion</t>
        </is>
      </c>
      <c r="D228" s="7" t="inlineStr">
        <is>
          <t>Evidence review</t>
        </is>
      </c>
      <c r="E228" s="7" t="inlineStr">
        <is>
          <t>E0095</t>
        </is>
      </c>
      <c r="F228" s="7" t="inlineStr">
        <is>
          <t>Carrier Network / Unverified</t>
        </is>
      </c>
      <c r="G228" s="7" t="inlineStr">
        <is>
          <t>Tracking:1ZMD00000082; Ticket:OFF-00082; ShipmentSerial:MISMATCH-0082; RegisterSerial:MD-MO-050082; ImageLead:receiving_exception_scan_1ZMD00000082.png; PO:PO-2023-0014; Ledger:FA-000082; PolicyFigure:ITAM_control_matrix.png</t>
        </is>
      </c>
      <c r="H228" s="7" t="inlineStr">
        <is>
          <t>Unresolved Assumption</t>
        </is>
      </c>
      <c r="I228" s="7" t="inlineStr">
        <is>
          <t>Closing MD-00082: In Transit - Exception at Carrier Network / Unverified (Low). EX-0092, EX-0093. 1ZMD00000082. OFF-00082. 1ZMD00000082.png. PO. PO-2023-0014. FA-000082. ITAM_control_matrix.png.</t>
        </is>
      </c>
    </row>
    <row r="229">
      <c r="A229" s="7" t="inlineStr">
        <is>
          <t>MD-00083</t>
        </is>
      </c>
      <c r="B229" s="7" t="inlineStr">
        <is>
          <t>2025-12-12</t>
        </is>
      </c>
      <c r="C229" s="7" t="inlineStr">
        <is>
          <t>Purchase</t>
        </is>
      </c>
      <c r="D229" s="7" t="inlineStr">
        <is>
          <t>Vendor</t>
        </is>
      </c>
      <c r="E229" s="7" t="inlineStr">
        <is>
          <t>Central Receiving</t>
        </is>
      </c>
      <c r="F229" s="7" t="inlineStr">
        <is>
          <t>Atlanta Warehouse</t>
        </is>
      </c>
      <c r="G229" s="7" t="inlineStr">
        <is>
          <t>PO:PO-2023-0014</t>
        </is>
      </c>
      <c r="H229" s="7" t="inlineStr">
        <is>
          <t>Confirmed Fact</t>
        </is>
      </c>
      <c r="I229" s="7" t="inlineStr">
        <is>
          <t>Warehouse receipt tied to PO-2023-0014. Samsung Galaxy S24.</t>
        </is>
      </c>
    </row>
    <row r="230">
      <c r="A230" s="7" t="inlineStr">
        <is>
          <t>MD-00083</t>
        </is>
      </c>
      <c r="B230" s="7" t="inlineStr">
        <is>
          <t>2026-06-12</t>
        </is>
      </c>
      <c r="C230" s="7" t="inlineStr">
        <is>
          <t>Assignment/Transfer</t>
        </is>
      </c>
      <c r="D230" s="7" t="inlineStr">
        <is>
          <t>Central Receiving</t>
        </is>
      </c>
      <c r="E230" s="7" t="inlineStr">
        <is>
          <t>Return Carrier</t>
        </is>
      </c>
      <c r="F230" s="7" t="inlineStr">
        <is>
          <t>Carrier Network</t>
        </is>
      </c>
      <c r="G230" s="7" t="inlineStr">
        <is>
          <t>Transfer:TR-00083; Approval:APR-00083</t>
        </is>
      </c>
      <c r="H230" s="7" t="inlineStr">
        <is>
          <t>Confirmed Fact</t>
        </is>
      </c>
      <c r="I230" s="7" t="inlineStr">
        <is>
          <t>Assignment posted Jun 26, 2026. Docked 06/27/2026 (TR-00083).</t>
        </is>
      </c>
    </row>
    <row r="231">
      <c r="A231" s="7" t="inlineStr">
        <is>
          <t>MD-00083</t>
        </is>
      </c>
      <c r="B231" s="7" t="inlineStr">
        <is>
          <t>2026-05-24</t>
        </is>
      </c>
      <c r="C231" s="7" t="inlineStr">
        <is>
          <t>Offboarding Ticket</t>
        </is>
      </c>
      <c r="D231" s="7" t="inlineStr">
        <is>
          <t>E0071</t>
        </is>
      </c>
      <c r="E231" s="7" t="inlineStr">
        <is>
          <t>IT Service Desk</t>
        </is>
      </c>
      <c r="F231" s="7" t="inlineStr"/>
      <c r="G231" s="7" t="inlineStr">
        <is>
          <t>Ticket:OFF-00083; Status:Shipment Open</t>
        </is>
      </c>
      <c r="H231" s="7" t="inlineStr">
        <is>
          <t>Confirmed Fact</t>
        </is>
      </c>
      <c r="I231" s="7" t="inlineStr">
        <is>
          <t>MD-00083 tied to OFF-00083 (Shipment Open). SLA 2026-07-15.</t>
        </is>
      </c>
    </row>
    <row r="232">
      <c r="A232" s="7" t="inlineStr">
        <is>
          <t>MD-00083</t>
        </is>
      </c>
      <c r="B232" s="7" t="inlineStr">
        <is>
          <t>2026-05-24</t>
        </is>
      </c>
      <c r="C232" s="7" t="inlineStr">
        <is>
          <t>Technician Comment</t>
        </is>
      </c>
      <c r="D232" s="7" t="inlineStr">
        <is>
          <t>Service Desk</t>
        </is>
      </c>
      <c r="E232" s="7" t="inlineStr"/>
      <c r="F232" s="7" t="inlineStr"/>
      <c r="G232" s="7" t="inlineStr">
        <is>
          <t>Ticket:OFF-00083</t>
        </is>
      </c>
      <c r="H232" s="7" t="inlineStr">
        <is>
          <t>Technician Claim</t>
        </is>
      </c>
      <c r="I232" s="7" t="inlineStr">
        <is>
          <t>Asset is a network brick; return freight is the delay. Ref MD-00083.</t>
        </is>
      </c>
    </row>
    <row r="233">
      <c r="A233" s="7" t="inlineStr">
        <is>
          <t>MD-00083</t>
        </is>
      </c>
      <c r="B233" s="7" t="inlineStr">
        <is>
          <t>2026-06-25</t>
        </is>
      </c>
      <c r="C233" s="7" t="inlineStr">
        <is>
          <t>Return Label Created</t>
        </is>
      </c>
      <c r="D233" s="7" t="inlineStr">
        <is>
          <t>E0071</t>
        </is>
      </c>
      <c r="E233" s="7" t="inlineStr">
        <is>
          <t>Return Carrier</t>
        </is>
      </c>
      <c r="F233" s="7" t="inlineStr">
        <is>
          <t>Carrier Network</t>
        </is>
      </c>
      <c r="G233" s="7" t="inlineStr">
        <is>
          <t>Tracking:1ZMD00000083; Status:Delivered</t>
        </is>
      </c>
      <c r="H233" s="7" t="inlineStr">
        <is>
          <t>Confirmed Fact</t>
        </is>
      </c>
      <c r="I233" s="7" t="inlineStr">
        <is>
          <t>Return paperwork only. 1ZMD00000083.</t>
        </is>
      </c>
    </row>
    <row r="234">
      <c r="A234" s="7" t="inlineStr">
        <is>
          <t>MD-00083</t>
        </is>
      </c>
      <c r="B234" s="7" t="inlineStr">
        <is>
          <t>2026-07-02</t>
        </is>
      </c>
      <c r="C234" s="7" t="inlineStr">
        <is>
          <t>Carrier Acceptance</t>
        </is>
      </c>
      <c r="D234" s="7" t="inlineStr">
        <is>
          <t>Shipper</t>
        </is>
      </c>
      <c r="E234" s="7" t="inlineStr">
        <is>
          <t>Carrier</t>
        </is>
      </c>
      <c r="F234" s="7" t="inlineStr">
        <is>
          <t>Carrier Network</t>
        </is>
      </c>
      <c r="G234" s="7" t="inlineStr">
        <is>
          <t>Tracking:1ZMD00000083</t>
        </is>
      </c>
      <c r="H234" s="7" t="inlineStr">
        <is>
          <t>Confirmed Fact</t>
        </is>
      </c>
      <c r="I234" s="7" t="inlineStr">
        <is>
          <t>1ZMD00000083 picked up (acceptance on file).</t>
        </is>
      </c>
    </row>
    <row r="235">
      <c r="A235" s="7" t="inlineStr">
        <is>
          <t>MD-00083</t>
        </is>
      </c>
      <c r="B235" s="7" t="inlineStr">
        <is>
          <t>2026-07-06</t>
        </is>
      </c>
      <c r="C235" s="7" t="inlineStr">
        <is>
          <t>Delivery</t>
        </is>
      </c>
      <c r="D235" s="7" t="inlineStr">
        <is>
          <t>Carrier</t>
        </is>
      </c>
      <c r="E235" s="7" t="inlineStr">
        <is>
          <t>Receiving</t>
        </is>
      </c>
      <c r="F235" s="7" t="inlineStr">
        <is>
          <t>Atlanta Warehouse</t>
        </is>
      </c>
      <c r="G235" s="7" t="inlineStr">
        <is>
          <t>Tracking:1ZMD00000083</t>
        </is>
      </c>
      <c r="H235" s="7" t="inlineStr">
        <is>
          <t>Confirmed Fact</t>
        </is>
      </c>
      <c r="I235" s="7" t="inlineStr">
        <is>
          <t>Parcel 1ZMD00000083 shows delivered; SCAN-86 still required for MD-00083.</t>
        </is>
      </c>
    </row>
    <row r="236">
      <c r="A236" s="7" t="inlineStr">
        <is>
          <t>MD-00083</t>
        </is>
      </c>
      <c r="B236" s="7" t="inlineStr">
        <is>
          <t>2026-07-07</t>
        </is>
      </c>
      <c r="C236" s="7" t="inlineStr">
        <is>
          <t>Receiving Scan</t>
        </is>
      </c>
      <c r="D236" s="7" t="inlineStr">
        <is>
          <t>Carrier</t>
        </is>
      </c>
      <c r="E236" s="7" t="inlineStr">
        <is>
          <t>IT Stock</t>
        </is>
      </c>
      <c r="F236" s="7" t="inlineStr">
        <is>
          <t>Atlanta Warehouse</t>
        </is>
      </c>
      <c r="G236" s="7" t="inlineStr">
        <is>
          <t>Tracking:1ZMD00000083</t>
        </is>
      </c>
      <c r="H236" s="7" t="inlineStr">
        <is>
          <t>Confirmed Fact</t>
        </is>
      </c>
      <c r="I236" s="7" t="inlineStr">
        <is>
          <t>Receiving stamp on 1ZMD00000083 for MD-00083.</t>
        </is>
      </c>
    </row>
    <row r="237">
      <c r="A237" s="7" t="inlineStr">
        <is>
          <t>MD-00083</t>
        </is>
      </c>
      <c r="B237" s="7" t="inlineStr">
        <is>
          <t>2026-08-05</t>
        </is>
      </c>
      <c r="C237" s="7" t="inlineStr">
        <is>
          <t>Regional IT Note Lead</t>
        </is>
      </c>
      <c r="D237" s="7" t="inlineStr">
        <is>
          <t>Regional IT</t>
        </is>
      </c>
      <c r="E237" s="7" t="inlineStr"/>
      <c r="F237" s="7" t="inlineStr">
        <is>
          <t>Denver - Closed</t>
        </is>
      </c>
      <c r="G237" s="7" t="inlineStr">
        <is>
          <t>regional_IT_notes.docx</t>
        </is>
      </c>
      <c r="H237" s="7" t="inlineStr">
        <is>
          <t>Technician Claim</t>
        </is>
      </c>
      <c r="I237" s="7" t="inlineStr">
        <is>
          <t>Technician comment volume in the doc does not clear MD-00083.</t>
        </is>
      </c>
    </row>
    <row r="238">
      <c r="A238" s="7" t="inlineStr">
        <is>
          <t>MD-00083</t>
        </is>
      </c>
      <c r="B238" s="7" t="inlineStr">
        <is>
          <t>2026-08-09</t>
        </is>
      </c>
      <c r="C238" s="7" t="inlineStr">
        <is>
          <t>Policy Control Figure</t>
        </is>
      </c>
      <c r="D238" s="7" t="inlineStr">
        <is>
          <t>ITAM-001</t>
        </is>
      </c>
      <c r="E238" s="7" t="inlineStr"/>
      <c r="F238" s="7" t="inlineStr"/>
      <c r="G238" s="7" t="inlineStr">
        <is>
          <t>ITAM_control_matrix.png; IT_asset_management_policy.pdf</t>
        </is>
      </c>
      <c r="H238" s="7" t="inlineStr">
        <is>
          <t>Confirmed Fact</t>
        </is>
      </c>
      <c r="I238" s="7" t="inlineStr">
        <is>
          <t>Policy PDF + ITAM_control_matrix.png set the assignment bar for MD-00083. Compared that bar to TR-00083, PO-2023-0014, FA-000083, OFF-00083, APR-00083 before accepting any tech note.</t>
        </is>
      </c>
    </row>
    <row r="239">
      <c r="A239" s="7" t="inlineStr">
        <is>
          <t>MD-00083</t>
        </is>
      </c>
      <c r="B239" s="7" t="inlineStr">
        <is>
          <t>2026-08-09</t>
        </is>
      </c>
      <c r="C239" s="7" t="inlineStr">
        <is>
          <t>Reconciliation Conclusion</t>
        </is>
      </c>
      <c r="D239" s="7" t="inlineStr">
        <is>
          <t>Evidence review</t>
        </is>
      </c>
      <c r="E239" s="7" t="inlineStr">
        <is>
          <t>IT Stock</t>
        </is>
      </c>
      <c r="F239" s="7" t="inlineStr">
        <is>
          <t>Atlanta Warehouse</t>
        </is>
      </c>
      <c r="G239" s="7" t="inlineStr">
        <is>
          <t>Tracking:1ZMD00000083; Ticket:OFF-00083; Transfer:TR-00083; ReceivingScan:2026-07-07; PO:PO-2023-0014; Ledger:FA-000083; PolicyFigure:ITAM_control_matrix.png</t>
        </is>
      </c>
      <c r="H239" s="7" t="inlineStr">
        <is>
          <t>Confirmed Fact</t>
        </is>
      </c>
      <c r="I239" s="7" t="inlineStr">
        <is>
          <t>Verified Available for MD-00083 in Atlanta Warehouse. High. EX-0094. 1ZMD00000083. OFF-00083. TR-00083. PO. PO-2023-0014. FA-000083. ITAM_control_matrix.png.</t>
        </is>
      </c>
    </row>
    <row r="240">
      <c r="A240" s="7" t="inlineStr">
        <is>
          <t>MD-00084</t>
        </is>
      </c>
      <c r="B240" s="7" t="inlineStr">
        <is>
          <t>2022-01-13</t>
        </is>
      </c>
      <c r="C240" s="7" t="inlineStr">
        <is>
          <t>Purchase</t>
        </is>
      </c>
      <c r="D240" s="7" t="inlineStr">
        <is>
          <t>Vendor</t>
        </is>
      </c>
      <c r="E240" s="7" t="inlineStr">
        <is>
          <t>Central Receiving</t>
        </is>
      </c>
      <c r="F240" s="7" t="inlineStr">
        <is>
          <t>Atlanta Warehouse</t>
        </is>
      </c>
      <c r="G240" s="7" t="inlineStr">
        <is>
          <t>PO:PO-2023-0014</t>
        </is>
      </c>
      <c r="H240" s="7" t="inlineStr">
        <is>
          <t>Confirmed Fact</t>
        </is>
      </c>
      <c r="I240" s="7" t="inlineStr">
        <is>
          <t>Bought the Cisco C9300 ($6200) on PO-2023-0014.</t>
        </is>
      </c>
    </row>
    <row r="241">
      <c r="A241" s="7" t="inlineStr">
        <is>
          <t>MD-00084</t>
        </is>
      </c>
      <c r="B241" s="7" t="inlineStr">
        <is>
          <t>2026-01-13</t>
        </is>
      </c>
      <c r="C241" s="7" t="inlineStr">
        <is>
          <t>Assignment/Transfer</t>
        </is>
      </c>
      <c r="D241" s="7" t="inlineStr">
        <is>
          <t>Central Receiving</t>
        </is>
      </c>
      <c r="E241" s="7" t="inlineStr">
        <is>
          <t>Return Carrier</t>
        </is>
      </c>
      <c r="F241" s="7" t="inlineStr">
        <is>
          <t>Carrier Network</t>
        </is>
      </c>
      <c r="G241" s="7" t="inlineStr">
        <is>
          <t>Transfer:TR-00084; Approval:APR-00084</t>
        </is>
      </c>
      <c r="H241" s="7" t="inlineStr">
        <is>
          <t>Confirmed Fact</t>
        </is>
      </c>
      <c r="I241" s="7" t="inlineStr">
        <is>
          <t>Transfer TR-00084 / APR-00084. Received Feb 05, 2026.</t>
        </is>
      </c>
    </row>
    <row r="242">
      <c r="A242" s="7" t="inlineStr">
        <is>
          <t>MD-00084</t>
        </is>
      </c>
      <c r="B242" s="7" t="inlineStr">
        <is>
          <t>2026-06-01</t>
        </is>
      </c>
      <c r="C242" s="7" t="inlineStr">
        <is>
          <t>Offboarding Ticket</t>
        </is>
      </c>
      <c r="D242" s="7" t="inlineStr">
        <is>
          <t>E0072</t>
        </is>
      </c>
      <c r="E242" s="7" t="inlineStr">
        <is>
          <t>IT Service Desk</t>
        </is>
      </c>
      <c r="F242" s="7" t="inlineStr"/>
      <c r="G242" s="7" t="inlineStr">
        <is>
          <t>Ticket:OFF-00084; Status:Shipment Open</t>
        </is>
      </c>
      <c r="H242" s="7" t="inlineStr">
        <is>
          <t>Confirmed Fact</t>
        </is>
      </c>
      <c r="I242" s="7" t="inlineStr">
        <is>
          <t>Opened OFF-00084. Status Shipment Open.</t>
        </is>
      </c>
    </row>
    <row r="243">
      <c r="A243" s="7" t="inlineStr">
        <is>
          <t>MD-00084</t>
        </is>
      </c>
      <c r="B243" s="7" t="inlineStr">
        <is>
          <t>2026-06-01</t>
        </is>
      </c>
      <c r="C243" s="7" t="inlineStr">
        <is>
          <t>Technician Comment</t>
        </is>
      </c>
      <c r="D243" s="7" t="inlineStr">
        <is>
          <t>Service Desk</t>
        </is>
      </c>
      <c r="E243" s="7" t="inlineStr"/>
      <c r="F243" s="7" t="inlineStr"/>
      <c r="G243" s="7" t="inlineStr">
        <is>
          <t>Ticket:OFF-00084</t>
        </is>
      </c>
      <c r="H243" s="7" t="inlineStr">
        <is>
          <t>Technician Claim</t>
        </is>
      </c>
      <c r="I243" s="7" t="inlineStr">
        <is>
          <t>Noted in Teams: 'I dropped it at the lobby.' Lobby has no intake log. Ref MD-00084.</t>
        </is>
      </c>
    </row>
    <row r="244">
      <c r="A244" s="7" t="inlineStr">
        <is>
          <t>MD-00084</t>
        </is>
      </c>
      <c r="B244" s="7" t="inlineStr">
        <is>
          <t>2026-06-25</t>
        </is>
      </c>
      <c r="C244" s="7" t="inlineStr">
        <is>
          <t>Return Label Created</t>
        </is>
      </c>
      <c r="D244" s="7" t="inlineStr">
        <is>
          <t>E0072</t>
        </is>
      </c>
      <c r="E244" s="7" t="inlineStr">
        <is>
          <t>Return Carrier</t>
        </is>
      </c>
      <c r="F244" s="7" t="inlineStr">
        <is>
          <t>Carrier Network</t>
        </is>
      </c>
      <c r="G244" s="7" t="inlineStr">
        <is>
          <t>Tracking:1ZMD00000084; Status:Exception</t>
        </is>
      </c>
      <c r="H244" s="7" t="inlineStr">
        <is>
          <t>Confirmed Fact</t>
        </is>
      </c>
      <c r="I244" s="7" t="inlineStr">
        <is>
          <t>I didn't close MD-00084 on the 1Z print. 1ZMD00000084.</t>
        </is>
      </c>
    </row>
    <row r="245">
      <c r="A245" s="7" t="inlineStr">
        <is>
          <t>MD-00084</t>
        </is>
      </c>
      <c r="B245" s="7" t="inlineStr">
        <is>
          <t>2026-07-02</t>
        </is>
      </c>
      <c r="C245" s="7" t="inlineStr">
        <is>
          <t>Carrier Acceptance</t>
        </is>
      </c>
      <c r="D245" s="7" t="inlineStr">
        <is>
          <t>Shipper</t>
        </is>
      </c>
      <c r="E245" s="7" t="inlineStr">
        <is>
          <t>Carrier</t>
        </is>
      </c>
      <c r="F245" s="7" t="inlineStr">
        <is>
          <t>Carrier Network</t>
        </is>
      </c>
      <c r="G245" s="7" t="inlineStr">
        <is>
          <t>Tracking:1ZMD00000084</t>
        </is>
      </c>
      <c r="H245" s="7" t="inlineStr">
        <is>
          <t>Confirmed Fact</t>
        </is>
      </c>
      <c r="I245" s="7" t="inlineStr">
        <is>
          <t>Carrier accepted 1ZMD00000084.</t>
        </is>
      </c>
    </row>
    <row r="246">
      <c r="A246" s="7" t="inlineStr">
        <is>
          <t>MD-00084</t>
        </is>
      </c>
      <c r="B246" s="7" t="inlineStr">
        <is>
          <t>2026-06-25</t>
        </is>
      </c>
      <c r="C246" s="7" t="inlineStr">
        <is>
          <t>Shipment Exception</t>
        </is>
      </c>
      <c r="D246" s="7" t="inlineStr"/>
      <c r="E246" s="7" t="inlineStr"/>
      <c r="F246" s="7" t="inlineStr"/>
      <c r="G246" s="7" t="inlineStr">
        <is>
          <t>Tracking:1ZMD00000084</t>
        </is>
      </c>
      <c r="H246" s="7" t="inlineStr">
        <is>
          <t>Unresolved Assumption</t>
        </is>
      </c>
      <c r="I246" s="7" t="inlineStr">
        <is>
          <t>Mismatch inbound. MD-00084 stays exception. 1ZMD00000084.</t>
        </is>
      </c>
    </row>
    <row r="247">
      <c r="A247" s="7" t="inlineStr">
        <is>
          <t>MD-00084</t>
        </is>
      </c>
      <c r="B247" s="7" t="inlineStr">
        <is>
          <t>2026-08-05</t>
        </is>
      </c>
      <c r="C247" s="7" t="inlineStr">
        <is>
          <t>Regional IT Note Lead</t>
        </is>
      </c>
      <c r="D247" s="7" t="inlineStr">
        <is>
          <t>Regional IT</t>
        </is>
      </c>
      <c r="E247" s="7" t="inlineStr"/>
      <c r="F247" s="7" t="inlineStr">
        <is>
          <t>Chicago - Closed</t>
        </is>
      </c>
      <c r="G247" s="7" t="inlineStr">
        <is>
          <t>regional_IT_notes.docx</t>
        </is>
      </c>
      <c r="H247" s="7" t="inlineStr">
        <is>
          <t>Technician Claim</t>
        </is>
      </c>
      <c r="I247" s="7" t="inlineStr">
        <is>
          <t>Word file read; MD-00084 waits on transactional evidence.</t>
        </is>
      </c>
    </row>
    <row r="248">
      <c r="A248" s="7" t="inlineStr">
        <is>
          <t>MD-00084</t>
        </is>
      </c>
      <c r="B248" s="7" t="inlineStr">
        <is>
          <t>2026-08-09</t>
        </is>
      </c>
      <c r="C248" s="7" t="inlineStr">
        <is>
          <t>Policy Control Figure</t>
        </is>
      </c>
      <c r="D248" s="7" t="inlineStr">
        <is>
          <t>ITAM-001</t>
        </is>
      </c>
      <c r="E248" s="7" t="inlineStr"/>
      <c r="F248" s="7" t="inlineStr"/>
      <c r="G248" s="7" t="inlineStr">
        <is>
          <t>ITAM_control_matrix.png; IT_asset_management_policy.pdf</t>
        </is>
      </c>
      <c r="H248" s="7" t="inlineStr">
        <is>
          <t>Confirmed Fact</t>
        </is>
      </c>
      <c r="I248" s="7" t="inlineStr">
        <is>
          <t>MD-00084: checked ITAM-001 disposal row while reviewing TR-00084, PO-2023-0014, FA-000084, OFF-00084, APR-00084. Cost basis $6200; confidence Low. Figure does not replace logs.</t>
        </is>
      </c>
    </row>
    <row r="249">
      <c r="A249" s="7" t="inlineStr">
        <is>
          <t>MD-00084</t>
        </is>
      </c>
      <c r="B249" s="7" t="inlineStr">
        <is>
          <t>2026-08-09</t>
        </is>
      </c>
      <c r="C249" s="7" t="inlineStr">
        <is>
          <t>Reconciliation Conclusion</t>
        </is>
      </c>
      <c r="D249" s="7" t="inlineStr">
        <is>
          <t>Evidence review</t>
        </is>
      </c>
      <c r="E249" s="7" t="inlineStr">
        <is>
          <t>E0072</t>
        </is>
      </c>
      <c r="F249" s="7" t="inlineStr">
        <is>
          <t>Carrier Network / Unverified</t>
        </is>
      </c>
      <c r="G249" s="7" t="inlineStr">
        <is>
          <t>Tracking:1ZMD00000084; Ticket:OFF-00084; ShipmentSerial:MISMATCH-0084; RegisterSerial:MD-NE-050084; PO:PO-2023-0014; Ledger:FA-000084; PolicyFigure:ITAM_control_matrix.png</t>
        </is>
      </c>
      <c r="H249" s="7" t="inlineStr">
        <is>
          <t>Unresolved Assumption</t>
        </is>
      </c>
      <c r="I249" s="7" t="inlineStr">
        <is>
          <t>Final read MD-00084: In Transit - Exception @ Carrier Network / Unverified, confidence Low. EX-0095, EX-0096. 1ZMD00000084. OFF-00084. PO. PO-2023-0014. FA-000084. ITAM_control_matrix.png.</t>
        </is>
      </c>
    </row>
    <row r="250">
      <c r="A250" s="7" t="inlineStr">
        <is>
          <t>MD-00085</t>
        </is>
      </c>
      <c r="B250" s="7" t="inlineStr">
        <is>
          <t>2023-02-14</t>
        </is>
      </c>
      <c r="C250" s="7" t="inlineStr">
        <is>
          <t>Purchase</t>
        </is>
      </c>
      <c r="D250" s="7" t="inlineStr">
        <is>
          <t>Vendor</t>
        </is>
      </c>
      <c r="E250" s="7" t="inlineStr">
        <is>
          <t>Central Receiving</t>
        </is>
      </c>
      <c r="F250" s="7" t="inlineStr">
        <is>
          <t>Atlanta Warehouse</t>
        </is>
      </c>
      <c r="G250" s="7" t="inlineStr">
        <is>
          <t>PO:PO-2024-0015</t>
        </is>
      </c>
      <c r="H250" s="7" t="inlineStr">
        <is>
          <t>Confirmed Fact</t>
        </is>
      </c>
      <c r="I250" s="7" t="inlineStr">
        <is>
          <t>Lenovo ThinkPad T14 came in on PO-2024-0015 ($1895).</t>
        </is>
      </c>
    </row>
    <row r="251">
      <c r="A251" s="7" t="inlineStr">
        <is>
          <t>MD-00085</t>
        </is>
      </c>
      <c r="B251" s="7" t="inlineStr">
        <is>
          <t>2026-02-14</t>
        </is>
      </c>
      <c r="C251" s="7" t="inlineStr">
        <is>
          <t>Assignment/Transfer</t>
        </is>
      </c>
      <c r="D251" s="7" t="inlineStr">
        <is>
          <t>Central Receiving</t>
        </is>
      </c>
      <c r="E251" s="7" t="inlineStr">
        <is>
          <t>Return Carrier</t>
        </is>
      </c>
      <c r="F251" s="7" t="inlineStr">
        <is>
          <t>Carrier Network</t>
        </is>
      </c>
      <c r="G251" s="7" t="inlineStr">
        <is>
          <t>Transfer:TR-00085; Approval:APR-00085</t>
        </is>
      </c>
      <c r="H251" s="7" t="inlineStr">
        <is>
          <t>Confirmed Fact</t>
        </is>
      </c>
      <c r="I251" s="7" t="inlineStr">
        <is>
          <t>TR-00085 Feb 02, 2026; inbound 02/03/2026.</t>
        </is>
      </c>
    </row>
    <row r="252">
      <c r="A252" s="7" t="inlineStr">
        <is>
          <t>MD-00085</t>
        </is>
      </c>
      <c r="B252" s="7" t="inlineStr">
        <is>
          <t>2026-05-02</t>
        </is>
      </c>
      <c r="C252" s="7" t="inlineStr">
        <is>
          <t>Offboarding Ticket</t>
        </is>
      </c>
      <c r="D252" s="7" t="inlineStr">
        <is>
          <t>E0073</t>
        </is>
      </c>
      <c r="E252" s="7" t="inlineStr">
        <is>
          <t>IT Service Desk</t>
        </is>
      </c>
      <c r="F252" s="7" t="inlineStr"/>
      <c r="G252" s="7" t="inlineStr">
        <is>
          <t>Ticket:OFF-00085; Status:Shipment Open</t>
        </is>
      </c>
      <c r="H252" s="7" t="inlineStr">
        <is>
          <t>Confirmed Fact</t>
        </is>
      </c>
      <c r="I252" s="7" t="inlineStr">
        <is>
          <t>OFF-00085 - Shipment Open. Due 2026-07-15.</t>
        </is>
      </c>
    </row>
    <row r="253">
      <c r="A253" s="7" t="inlineStr">
        <is>
          <t>MD-00085</t>
        </is>
      </c>
      <c r="B253" s="7" t="inlineStr">
        <is>
          <t>2026-05-02</t>
        </is>
      </c>
      <c r="C253" s="7" t="inlineStr">
        <is>
          <t>Technician Comment</t>
        </is>
      </c>
      <c r="D253" s="7" t="inlineStr">
        <is>
          <t>Service Desk</t>
        </is>
      </c>
      <c r="E253" s="7" t="inlineStr"/>
      <c r="F253" s="7" t="inlineStr"/>
      <c r="G253" s="7" t="inlineStr">
        <is>
          <t>Ticket:OFF-00085</t>
        </is>
      </c>
      <c r="H253" s="7" t="inlineStr">
        <is>
          <t>Technician Claim</t>
        </is>
      </c>
      <c r="I253" s="7" t="inlineStr">
        <is>
          <t>Open until receiving matches tag and serial. Ref MD-00085.</t>
        </is>
      </c>
    </row>
    <row r="254">
      <c r="A254" s="7" t="inlineStr">
        <is>
          <t>MD-00085</t>
        </is>
      </c>
      <c r="B254" s="7" t="inlineStr">
        <is>
          <t>2026-06-25</t>
        </is>
      </c>
      <c r="C254" s="7" t="inlineStr">
        <is>
          <t>Return Label Created</t>
        </is>
      </c>
      <c r="D254" s="7" t="inlineStr">
        <is>
          <t>E0073</t>
        </is>
      </c>
      <c r="E254" s="7" t="inlineStr">
        <is>
          <t>Return Carrier</t>
        </is>
      </c>
      <c r="F254" s="7" t="inlineStr">
        <is>
          <t>Carrier Network</t>
        </is>
      </c>
      <c r="G254" s="7" t="inlineStr">
        <is>
          <t>Tracking:1ZMD00000085; Status:Delivered</t>
        </is>
      </c>
      <c r="H254" s="7" t="inlineStr">
        <is>
          <t>Confirmed Fact</t>
        </is>
      </c>
      <c r="I254" s="7" t="inlineStr">
        <is>
          <t>§5: label ≠ returned. 1ZMD00000085 / MD-LA-050085.</t>
        </is>
      </c>
    </row>
    <row r="255">
      <c r="A255" s="7" t="inlineStr">
        <is>
          <t>MD-00085</t>
        </is>
      </c>
      <c r="B255" s="7" t="inlineStr">
        <is>
          <t>2026-07-02</t>
        </is>
      </c>
      <c r="C255" s="7" t="inlineStr">
        <is>
          <t>Carrier Acceptance</t>
        </is>
      </c>
      <c r="D255" s="7" t="inlineStr">
        <is>
          <t>Shipper</t>
        </is>
      </c>
      <c r="E255" s="7" t="inlineStr">
        <is>
          <t>Carrier</t>
        </is>
      </c>
      <c r="F255" s="7" t="inlineStr">
        <is>
          <t>Carrier Network</t>
        </is>
      </c>
      <c r="G255" s="7" t="inlineStr">
        <is>
          <t>Tracking:1ZMD00000085</t>
        </is>
      </c>
      <c r="H255" s="7" t="inlineStr">
        <is>
          <t>Confirmed Fact</t>
        </is>
      </c>
      <c r="I255" s="7" t="inlineStr">
        <is>
          <t>1ZMD00000085 picked up (acceptance on file).</t>
        </is>
      </c>
    </row>
    <row r="256">
      <c r="A256" s="7" t="inlineStr">
        <is>
          <t>MD-00085</t>
        </is>
      </c>
      <c r="B256" s="7" t="inlineStr">
        <is>
          <t>2026-07-06</t>
        </is>
      </c>
      <c r="C256" s="7" t="inlineStr">
        <is>
          <t>Delivery</t>
        </is>
      </c>
      <c r="D256" s="7" t="inlineStr">
        <is>
          <t>Carrier</t>
        </is>
      </c>
      <c r="E256" s="7" t="inlineStr">
        <is>
          <t>Receiving</t>
        </is>
      </c>
      <c r="F256" s="7" t="inlineStr">
        <is>
          <t>Atlanta Warehouse</t>
        </is>
      </c>
      <c r="G256" s="7" t="inlineStr">
        <is>
          <t>Tracking:1ZMD00000085</t>
        </is>
      </c>
      <c r="H256" s="7" t="inlineStr">
        <is>
          <t>Confirmed Fact</t>
        </is>
      </c>
      <c r="I256" s="7" t="inlineStr">
        <is>
          <t>1ZMD00000085 delivered per carrier.</t>
        </is>
      </c>
    </row>
    <row r="257">
      <c r="A257" s="7" t="inlineStr">
        <is>
          <t>MD-00085</t>
        </is>
      </c>
      <c r="B257" s="7" t="inlineStr">
        <is>
          <t>2026-07-07</t>
        </is>
      </c>
      <c r="C257" s="7" t="inlineStr">
        <is>
          <t>Receiving Scan</t>
        </is>
      </c>
      <c r="D257" s="7" t="inlineStr">
        <is>
          <t>Carrier</t>
        </is>
      </c>
      <c r="E257" s="7" t="inlineStr">
        <is>
          <t>IT Stock</t>
        </is>
      </c>
      <c r="F257" s="7" t="inlineStr">
        <is>
          <t>Atlanta Warehouse</t>
        </is>
      </c>
      <c r="G257" s="7" t="inlineStr">
        <is>
          <t>Tracking:1ZMD00000085</t>
        </is>
      </c>
      <c r="H257" s="7" t="inlineStr">
        <is>
          <t>Confirmed Fact</t>
        </is>
      </c>
      <c r="I257" s="7" t="inlineStr">
        <is>
          <t>Receiving stamp on 1ZMD00000085 for MD-00085.</t>
        </is>
      </c>
    </row>
    <row r="258">
      <c r="A258" s="7" t="inlineStr">
        <is>
          <t>MD-00085</t>
        </is>
      </c>
      <c r="B258" s="7" t="inlineStr">
        <is>
          <t>2026-08-05</t>
        </is>
      </c>
      <c r="C258" s="7" t="inlineStr">
        <is>
          <t>Regional IT Note Lead</t>
        </is>
      </c>
      <c r="D258" s="7" t="inlineStr">
        <is>
          <t>Regional IT</t>
        </is>
      </c>
      <c r="E258" s="7" t="inlineStr"/>
      <c r="F258" s="7" t="inlineStr">
        <is>
          <t>Denver - Closed</t>
        </is>
      </c>
      <c r="G258" s="7" t="inlineStr">
        <is>
          <t>regional_IT_notes.docx</t>
        </is>
      </c>
      <c r="H258" s="7" t="inlineStr">
        <is>
          <t>Technician Claim</t>
        </is>
      </c>
      <c r="I258" s="7" t="inlineStr">
        <is>
          <t>Word dump checked for MD-00085; no authoritative note found.</t>
        </is>
      </c>
    </row>
    <row r="259">
      <c r="A259" s="7" t="inlineStr">
        <is>
          <t>MD-00085</t>
        </is>
      </c>
      <c r="B259" s="7" t="inlineStr">
        <is>
          <t>2026-08-09</t>
        </is>
      </c>
      <c r="C259" s="7" t="inlineStr">
        <is>
          <t>Policy Control Figure</t>
        </is>
      </c>
      <c r="D259" s="7" t="inlineStr">
        <is>
          <t>ITAM-001</t>
        </is>
      </c>
      <c r="E259" s="7" t="inlineStr"/>
      <c r="F259" s="7" t="inlineStr"/>
      <c r="G259" s="7" t="inlineStr">
        <is>
          <t>ITAM_control_matrix.png; IT_asset_management_policy.pdf</t>
        </is>
      </c>
      <c r="H259" s="7" t="inlineStr">
        <is>
          <t>Confirmed Fact</t>
        </is>
      </c>
      <c r="I259" s="7" t="inlineStr">
        <is>
          <t>MD-00085 / Lenovo ThinkPad T14: assignment evidence expectations from Appendix A. Anchored to TR-00085, PO-2024-0015, FA-000085, OFF-00085, APR-00085; acquisition $1895.</t>
        </is>
      </c>
    </row>
    <row r="260">
      <c r="A260" s="7" t="inlineStr">
        <is>
          <t>MD-00085</t>
        </is>
      </c>
      <c r="B260" s="7" t="inlineStr">
        <is>
          <t>2026-08-09</t>
        </is>
      </c>
      <c r="C260" s="7" t="inlineStr">
        <is>
          <t>Reconciliation Conclusion</t>
        </is>
      </c>
      <c r="D260" s="7" t="inlineStr">
        <is>
          <t>Evidence review</t>
        </is>
      </c>
      <c r="E260" s="7" t="inlineStr">
        <is>
          <t>IT Stock</t>
        </is>
      </c>
      <c r="F260" s="7" t="inlineStr">
        <is>
          <t>Atlanta Warehouse</t>
        </is>
      </c>
      <c r="G260" s="7" t="inlineStr">
        <is>
          <t>Tracking:1ZMD00000085; Ticket:OFF-00085; Transfer:TR-00085; ReceivingScan:2026-07-07; PO:PO-2024-0015; Ledger:FA-000085; PolicyFigure:ITAM_control_matrix.png</t>
        </is>
      </c>
      <c r="H260" s="7" t="inlineStr">
        <is>
          <t>Confirmed Fact</t>
        </is>
      </c>
      <c r="I260" s="7" t="inlineStr">
        <is>
          <t>Available is the status for MD-00085 at Atlanta Warehouse; High. EX-0097, EX-0098. 1ZMD00000085. OFF-00085. TR-00085. PO. PO-2024-0015. FA-000085. ITAM_control_matrix.png.</t>
        </is>
      </c>
    </row>
    <row r="261">
      <c r="A261" s="7" t="inlineStr">
        <is>
          <t>MD-00086</t>
        </is>
      </c>
      <c r="B261" s="7" t="inlineStr">
        <is>
          <t>2024-03-15</t>
        </is>
      </c>
      <c r="C261" s="7" t="inlineStr">
        <is>
          <t>Purchase</t>
        </is>
      </c>
      <c r="D261" s="7" t="inlineStr">
        <is>
          <t>Vendor</t>
        </is>
      </c>
      <c r="E261" s="7" t="inlineStr">
        <is>
          <t>Central Receiving</t>
        </is>
      </c>
      <c r="F261" s="7" t="inlineStr">
        <is>
          <t>Atlanta Warehouse</t>
        </is>
      </c>
      <c r="G261" s="7" t="inlineStr">
        <is>
          <t>PO:PO-2024-0015</t>
        </is>
      </c>
      <c r="H261" s="7" t="inlineStr">
        <is>
          <t>Confirmed Fact</t>
        </is>
      </c>
      <c r="I261" s="7" t="inlineStr">
        <is>
          <t>PO-2024-0015 documents $610 for Dell U2723QE.</t>
        </is>
      </c>
    </row>
    <row r="262">
      <c r="A262" s="7" t="inlineStr">
        <is>
          <t>MD-00086</t>
        </is>
      </c>
      <c r="B262" s="7" t="inlineStr">
        <is>
          <t>2026-03-15</t>
        </is>
      </c>
      <c r="C262" s="7" t="inlineStr">
        <is>
          <t>Assignment/Transfer</t>
        </is>
      </c>
      <c r="D262" s="7" t="inlineStr">
        <is>
          <t>Central Receiving</t>
        </is>
      </c>
      <c r="E262" s="7" t="inlineStr">
        <is>
          <t>Return Carrier</t>
        </is>
      </c>
      <c r="F262" s="7" t="inlineStr">
        <is>
          <t>Carrier Network</t>
        </is>
      </c>
      <c r="G262" s="7" t="inlineStr">
        <is>
          <t>Transfer:TR-00086; Approval:APR-00086</t>
        </is>
      </c>
      <c r="H262" s="7" t="inlineStr">
        <is>
          <t>Confirmed Fact</t>
        </is>
      </c>
      <c r="I262" s="7" t="inlineStr">
        <is>
          <t>Dock file shows Mar 08, 2026 for TR-00086 (MD-00086).</t>
        </is>
      </c>
    </row>
    <row r="263">
      <c r="A263" s="7" t="inlineStr">
        <is>
          <t>MD-00086</t>
        </is>
      </c>
      <c r="B263" s="7" t="inlineStr">
        <is>
          <t>2026-06-03</t>
        </is>
      </c>
      <c r="C263" s="7" t="inlineStr">
        <is>
          <t>Offboarding Ticket</t>
        </is>
      </c>
      <c r="D263" s="7" t="inlineStr">
        <is>
          <t>E0074</t>
        </is>
      </c>
      <c r="E263" s="7" t="inlineStr">
        <is>
          <t>IT Service Desk</t>
        </is>
      </c>
      <c r="F263" s="7" t="inlineStr"/>
      <c r="G263" s="7" t="inlineStr">
        <is>
          <t>Ticket:OFF-00086; Status:Shipment Open</t>
        </is>
      </c>
      <c r="H263" s="7" t="inlineStr">
        <is>
          <t>Confirmed Fact</t>
        </is>
      </c>
      <c r="I263" s="7" t="inlineStr">
        <is>
          <t>People ticket OFF-00086. Doesn't by itself dock MD-00086.</t>
        </is>
      </c>
    </row>
    <row r="264">
      <c r="A264" s="7" t="inlineStr">
        <is>
          <t>MD-00086</t>
        </is>
      </c>
      <c r="B264" s="7" t="inlineStr">
        <is>
          <t>2026-06-03</t>
        </is>
      </c>
      <c r="C264" s="7" t="inlineStr">
        <is>
          <t>Technician Comment</t>
        </is>
      </c>
      <c r="D264" s="7" t="inlineStr">
        <is>
          <t>Service Desk</t>
        </is>
      </c>
      <c r="E264" s="7" t="inlineStr"/>
      <c r="F264" s="7" t="inlineStr"/>
      <c r="G264" s="7" t="inlineStr">
        <is>
          <t>Ticket:OFF-00086</t>
        </is>
      </c>
      <c r="H264" s="7" t="inlineStr">
        <is>
          <t>Technician Claim</t>
        </is>
      </c>
      <c r="I264" s="7" t="inlineStr">
        <is>
          <t>Closed the chatter, not the ticket - still no receipt. Ref MD-00086.</t>
        </is>
      </c>
    </row>
    <row r="265">
      <c r="A265" s="7" t="inlineStr">
        <is>
          <t>MD-00086</t>
        </is>
      </c>
      <c r="B265" s="7" t="inlineStr">
        <is>
          <t>2026-06-25</t>
        </is>
      </c>
      <c r="C265" s="7" t="inlineStr">
        <is>
          <t>Return Label Created</t>
        </is>
      </c>
      <c r="D265" s="7" t="inlineStr">
        <is>
          <t>E0074</t>
        </is>
      </c>
      <c r="E265" s="7" t="inlineStr">
        <is>
          <t>Return Carrier</t>
        </is>
      </c>
      <c r="F265" s="7" t="inlineStr">
        <is>
          <t>Carrier Network</t>
        </is>
      </c>
      <c r="G265" s="7" t="inlineStr">
        <is>
          <t>Tracking:1ZMD00000086; Status:Delivered</t>
        </is>
      </c>
      <c r="H265" s="7" t="inlineStr">
        <is>
          <t>Confirmed Fact</t>
        </is>
      </c>
      <c r="I265" s="7" t="inlineStr">
        <is>
          <t>Printed 1ZMD00000086. Box not in the inbound file.</t>
        </is>
      </c>
    </row>
    <row r="266">
      <c r="A266" s="7" t="inlineStr">
        <is>
          <t>MD-00086</t>
        </is>
      </c>
      <c r="B266" s="7" t="inlineStr">
        <is>
          <t>2026-07-02</t>
        </is>
      </c>
      <c r="C266" s="7" t="inlineStr">
        <is>
          <t>Carrier Acceptance</t>
        </is>
      </c>
      <c r="D266" s="7" t="inlineStr">
        <is>
          <t>Shipper</t>
        </is>
      </c>
      <c r="E266" s="7" t="inlineStr">
        <is>
          <t>Carrier</t>
        </is>
      </c>
      <c r="F266" s="7" t="inlineStr">
        <is>
          <t>Carrier Network</t>
        </is>
      </c>
      <c r="G266" s="7" t="inlineStr">
        <is>
          <t>Tracking:1ZMD00000086</t>
        </is>
      </c>
      <c r="H266" s="7" t="inlineStr">
        <is>
          <t>Confirmed Fact</t>
        </is>
      </c>
      <c r="I266" s="7" t="inlineStr">
        <is>
          <t>Carrier accepted 1ZMD00000086.</t>
        </is>
      </c>
    </row>
    <row r="267">
      <c r="A267" s="7" t="inlineStr">
        <is>
          <t>MD-00086</t>
        </is>
      </c>
      <c r="B267" s="7" t="inlineStr">
        <is>
          <t>2026-07-06</t>
        </is>
      </c>
      <c r="C267" s="7" t="inlineStr">
        <is>
          <t>Delivery</t>
        </is>
      </c>
      <c r="D267" s="7" t="inlineStr">
        <is>
          <t>Carrier</t>
        </is>
      </c>
      <c r="E267" s="7" t="inlineStr">
        <is>
          <t>Receiving</t>
        </is>
      </c>
      <c r="F267" s="7" t="inlineStr">
        <is>
          <t>Atlanta Warehouse</t>
        </is>
      </c>
      <c r="G267" s="7" t="inlineStr">
        <is>
          <t>Tracking:1ZMD00000086</t>
        </is>
      </c>
      <c r="H267" s="7" t="inlineStr">
        <is>
          <t>Confirmed Fact</t>
        </is>
      </c>
      <c r="I267" s="7" t="inlineStr">
        <is>
          <t>Delivery posted on 1ZMD00000086.</t>
        </is>
      </c>
    </row>
    <row r="268">
      <c r="A268" s="7" t="inlineStr">
        <is>
          <t>MD-00086</t>
        </is>
      </c>
      <c r="B268" s="7" t="inlineStr">
        <is>
          <t>2026-07-07</t>
        </is>
      </c>
      <c r="C268" s="7" t="inlineStr">
        <is>
          <t>Receiving Scan</t>
        </is>
      </c>
      <c r="D268" s="7" t="inlineStr">
        <is>
          <t>Carrier</t>
        </is>
      </c>
      <c r="E268" s="7" t="inlineStr">
        <is>
          <t>IT Stock</t>
        </is>
      </c>
      <c r="F268" s="7" t="inlineStr">
        <is>
          <t>Atlanta Warehouse</t>
        </is>
      </c>
      <c r="G268" s="7" t="inlineStr">
        <is>
          <t>Tracking:1ZMD00000086</t>
        </is>
      </c>
      <c r="H268" s="7" t="inlineStr">
        <is>
          <t>Confirmed Fact</t>
        </is>
      </c>
      <c r="I268" s="7" t="inlineStr">
        <is>
          <t>SCAN-86 equivalent on file for 1ZMD00000086.</t>
        </is>
      </c>
    </row>
    <row r="269">
      <c r="A269" s="7" t="inlineStr">
        <is>
          <t>MD-00086</t>
        </is>
      </c>
      <c r="B269" s="7" t="inlineStr">
        <is>
          <t>2026-08-05</t>
        </is>
      </c>
      <c r="C269" s="7" t="inlineStr">
        <is>
          <t>Regional IT Note Lead</t>
        </is>
      </c>
      <c r="D269" s="7" t="inlineStr">
        <is>
          <t>Regional IT</t>
        </is>
      </c>
      <c r="E269" s="7" t="inlineStr"/>
      <c r="F269" s="7" t="inlineStr">
        <is>
          <t>Chicago - Closed</t>
        </is>
      </c>
      <c r="G269" s="7" t="inlineStr">
        <is>
          <t>regional_IT_notes.docx</t>
        </is>
      </c>
      <c r="H269" s="7" t="inlineStr">
        <is>
          <t>Technician Claim</t>
        </is>
      </c>
      <c r="I269" s="7" t="inlineStr">
        <is>
          <t>Regional file reviewed for MD-00086; no clearance language accepted.</t>
        </is>
      </c>
    </row>
    <row r="270">
      <c r="A270" s="7" t="inlineStr">
        <is>
          <t>MD-00086</t>
        </is>
      </c>
      <c r="B270" s="7" t="inlineStr">
        <is>
          <t>2026-08-09</t>
        </is>
      </c>
      <c r="C270" s="7" t="inlineStr">
        <is>
          <t>Policy Control Figure</t>
        </is>
      </c>
      <c r="D270" s="7" t="inlineStr">
        <is>
          <t>ITAM-001</t>
        </is>
      </c>
      <c r="E270" s="7" t="inlineStr"/>
      <c r="F270" s="7" t="inlineStr"/>
      <c r="G270" s="7" t="inlineStr">
        <is>
          <t>ITAM_control_matrix.png; IT_asset_management_policy.pdf</t>
        </is>
      </c>
      <c r="H270" s="7" t="inlineStr">
        <is>
          <t>Confirmed Fact</t>
        </is>
      </c>
      <c r="I270" s="7" t="inlineStr">
        <is>
          <t>Control matrix cited on MD-00086 for financial only. Movement/finance proof stays with TR-00086, PO-2024-0015, FA-000086, OFF-00086, APR-00086; exceptions EX-0099.</t>
        </is>
      </c>
    </row>
    <row r="271">
      <c r="A271" s="7" t="inlineStr">
        <is>
          <t>MD-00086</t>
        </is>
      </c>
      <c r="B271" s="7" t="inlineStr">
        <is>
          <t>2026-08-09</t>
        </is>
      </c>
      <c r="C271" s="7" t="inlineStr">
        <is>
          <t>Reconciliation Conclusion</t>
        </is>
      </c>
      <c r="D271" s="7" t="inlineStr">
        <is>
          <t>Evidence review</t>
        </is>
      </c>
      <c r="E271" s="7" t="inlineStr">
        <is>
          <t>IT Stock</t>
        </is>
      </c>
      <c r="F271" s="7" t="inlineStr">
        <is>
          <t>Atlanta Warehouse</t>
        </is>
      </c>
      <c r="G271" s="7" t="inlineStr">
        <is>
          <t>Tracking:1ZMD00000086; Ticket:OFF-00086; Transfer:TR-00086; ReceivingScan:2026-07-07; PO:PO-2024-0015; Ledger:FA-000086; PolicyFigure:ITAM_control_matrix.png</t>
        </is>
      </c>
      <c r="H271" s="7" t="inlineStr">
        <is>
          <t>Confirmed Fact</t>
        </is>
      </c>
      <c r="I271" s="7" t="inlineStr">
        <is>
          <t>Chain end MD-00086: Available; High; EX-0099. 1ZMD00000086. OFF-00086. TR-00086. PO. PO-2024-0015. FA-000086. ITAM_control_matrix.png.</t>
        </is>
      </c>
    </row>
    <row r="272">
      <c r="A272" s="7" t="inlineStr">
        <is>
          <t>MD-00087</t>
        </is>
      </c>
      <c r="B272" s="7" t="inlineStr">
        <is>
          <t>2025-04-16</t>
        </is>
      </c>
      <c r="C272" s="7" t="inlineStr">
        <is>
          <t>Purchase</t>
        </is>
      </c>
      <c r="D272" s="7" t="inlineStr">
        <is>
          <t>Vendor</t>
        </is>
      </c>
      <c r="E272" s="7" t="inlineStr">
        <is>
          <t>Central Receiving</t>
        </is>
      </c>
      <c r="F272" s="7" t="inlineStr">
        <is>
          <t>Atlanta Warehouse</t>
        </is>
      </c>
      <c r="G272" s="7" t="inlineStr">
        <is>
          <t>PO:PO-2024-0015</t>
        </is>
      </c>
      <c r="H272" s="7" t="inlineStr">
        <is>
          <t>Confirmed Fact</t>
        </is>
      </c>
      <c r="I272" s="7" t="inlineStr">
        <is>
          <t>Purchasing file PO-2024-0015 matches MD-00087 at $1085.</t>
        </is>
      </c>
    </row>
    <row r="273">
      <c r="A273" s="7" t="inlineStr">
        <is>
          <t>MD-00087</t>
        </is>
      </c>
      <c r="B273" s="7" t="inlineStr">
        <is>
          <t>2026-04-16</t>
        </is>
      </c>
      <c r="C273" s="7" t="inlineStr">
        <is>
          <t>Assignment/Transfer</t>
        </is>
      </c>
      <c r="D273" s="7" t="inlineStr">
        <is>
          <t>Central Receiving</t>
        </is>
      </c>
      <c r="E273" s="7" t="inlineStr">
        <is>
          <t>Return Carrier</t>
        </is>
      </c>
      <c r="F273" s="7" t="inlineStr">
        <is>
          <t>Carrier Network</t>
        </is>
      </c>
      <c r="G273" s="7" t="inlineStr">
        <is>
          <t>Transfer:TR-00087; Approval:APR-00087</t>
        </is>
      </c>
      <c r="H273" s="7" t="inlineStr">
        <is>
          <t>Confirmed Fact</t>
        </is>
      </c>
      <c r="I273" s="7" t="inlineStr">
        <is>
          <t>MD-00087 inbound 2026-04-12 on TR-00087 / APR-00087.</t>
        </is>
      </c>
    </row>
    <row r="274">
      <c r="A274" s="7" t="inlineStr">
        <is>
          <t>MD-00087</t>
        </is>
      </c>
      <c r="B274" s="7" t="inlineStr">
        <is>
          <t>2026-05-04</t>
        </is>
      </c>
      <c r="C274" s="7" t="inlineStr">
        <is>
          <t>Offboarding Ticket</t>
        </is>
      </c>
      <c r="D274" s="7" t="inlineStr">
        <is>
          <t>E0075</t>
        </is>
      </c>
      <c r="E274" s="7" t="inlineStr">
        <is>
          <t>IT Service Desk</t>
        </is>
      </c>
      <c r="F274" s="7" t="inlineStr"/>
      <c r="G274" s="7" t="inlineStr">
        <is>
          <t>Ticket:OFF-00087; Status:Shipment Open</t>
        </is>
      </c>
      <c r="H274" s="7" t="inlineStr">
        <is>
          <t>Confirmed Fact</t>
        </is>
      </c>
      <c r="I274" s="7" t="inlineStr">
        <is>
          <t>OFF-00087 sits Shipment Open. Hardware return was required. Jul 15, 2026.</t>
        </is>
      </c>
    </row>
    <row r="275">
      <c r="A275" s="7" t="inlineStr">
        <is>
          <t>MD-00087</t>
        </is>
      </c>
      <c r="B275" s="7" t="inlineStr">
        <is>
          <t>2026-05-04</t>
        </is>
      </c>
      <c r="C275" s="7" t="inlineStr">
        <is>
          <t>Technician Comment</t>
        </is>
      </c>
      <c r="D275" s="7" t="inlineStr">
        <is>
          <t>Service Desk</t>
        </is>
      </c>
      <c r="E275" s="7" t="inlineStr"/>
      <c r="F275" s="7" t="inlineStr"/>
      <c r="G275" s="7" t="inlineStr">
        <is>
          <t>Ticket:OFF-00087</t>
        </is>
      </c>
      <c r="H275" s="7" t="inlineStr">
        <is>
          <t>Technician Claim</t>
        </is>
      </c>
      <c r="I275" s="7" t="inlineStr">
        <is>
          <t>Batch with other Chicago exits. This one didn't make the pallet. Ref MD-00087.</t>
        </is>
      </c>
    </row>
    <row r="276">
      <c r="A276" s="7" t="inlineStr">
        <is>
          <t>MD-00087</t>
        </is>
      </c>
      <c r="B276" s="7" t="inlineStr">
        <is>
          <t>2026-06-25</t>
        </is>
      </c>
      <c r="C276" s="7" t="inlineStr">
        <is>
          <t>Return Label Created</t>
        </is>
      </c>
      <c r="D276" s="7" t="inlineStr">
        <is>
          <t>E0075</t>
        </is>
      </c>
      <c r="E276" s="7" t="inlineStr">
        <is>
          <t>Return Carrier</t>
        </is>
      </c>
      <c r="F276" s="7" t="inlineStr">
        <is>
          <t>Carrier Network</t>
        </is>
      </c>
      <c r="G276" s="7" t="inlineStr">
        <is>
          <t>Tracking:1ZMD00000087; Status:Delivered</t>
        </is>
      </c>
      <c r="H276" s="7" t="inlineStr">
        <is>
          <t>Confirmed Fact</t>
        </is>
      </c>
      <c r="I276" s="7" t="inlineStr">
        <is>
          <t>Label-only on MD-00087. 1ZMD00000087.</t>
        </is>
      </c>
    </row>
    <row r="277">
      <c r="A277" s="7" t="inlineStr">
        <is>
          <t>MD-00087</t>
        </is>
      </c>
      <c r="B277" s="7" t="inlineStr">
        <is>
          <t>2026-07-02</t>
        </is>
      </c>
      <c r="C277" s="7" t="inlineStr">
        <is>
          <t>Carrier Acceptance</t>
        </is>
      </c>
      <c r="D277" s="7" t="inlineStr">
        <is>
          <t>Shipper</t>
        </is>
      </c>
      <c r="E277" s="7" t="inlineStr">
        <is>
          <t>Carrier</t>
        </is>
      </c>
      <c r="F277" s="7" t="inlineStr">
        <is>
          <t>Carrier Network</t>
        </is>
      </c>
      <c r="G277" s="7" t="inlineStr">
        <is>
          <t>Tracking:1ZMD00000087</t>
        </is>
      </c>
      <c r="H277" s="7" t="inlineStr">
        <is>
          <t>Confirmed Fact</t>
        </is>
      </c>
      <c r="I277" s="7" t="inlineStr">
        <is>
          <t>UPS/carrier take recorded for 1ZMD00000087.</t>
        </is>
      </c>
    </row>
    <row r="278">
      <c r="A278" s="7" t="inlineStr">
        <is>
          <t>MD-00087</t>
        </is>
      </c>
      <c r="B278" s="7" t="inlineStr">
        <is>
          <t>2026-07-06</t>
        </is>
      </c>
      <c r="C278" s="7" t="inlineStr">
        <is>
          <t>Delivery</t>
        </is>
      </c>
      <c r="D278" s="7" t="inlineStr">
        <is>
          <t>Carrier</t>
        </is>
      </c>
      <c r="E278" s="7" t="inlineStr">
        <is>
          <t>Receiving</t>
        </is>
      </c>
      <c r="F278" s="7" t="inlineStr">
        <is>
          <t>Atlanta Warehouse</t>
        </is>
      </c>
      <c r="G278" s="7" t="inlineStr">
        <is>
          <t>Tracking:1ZMD00000087</t>
        </is>
      </c>
      <c r="H278" s="7" t="inlineStr">
        <is>
          <t>Confirmed Fact</t>
        </is>
      </c>
      <c r="I278" s="7" t="inlineStr">
        <is>
          <t>Parcel 1ZMD00000087 shows delivered; SCAN-86 still required for MD-00087.</t>
        </is>
      </c>
    </row>
    <row r="279">
      <c r="A279" s="7" t="inlineStr">
        <is>
          <t>MD-00087</t>
        </is>
      </c>
      <c r="B279" s="7" t="inlineStr">
        <is>
          <t>2026-07-07</t>
        </is>
      </c>
      <c r="C279" s="7" t="inlineStr">
        <is>
          <t>Receiving Scan</t>
        </is>
      </c>
      <c r="D279" s="7" t="inlineStr">
        <is>
          <t>Carrier</t>
        </is>
      </c>
      <c r="E279" s="7" t="inlineStr">
        <is>
          <t>IT Stock</t>
        </is>
      </c>
      <c r="F279" s="7" t="inlineStr">
        <is>
          <t>Atlanta Warehouse</t>
        </is>
      </c>
      <c r="G279" s="7" t="inlineStr">
        <is>
          <t>Tracking:1ZMD00000087</t>
        </is>
      </c>
      <c r="H279" s="7" t="inlineStr">
        <is>
          <t>Confirmed Fact</t>
        </is>
      </c>
      <c r="I279" s="7" t="inlineStr">
        <is>
          <t>Dock scan on 1ZMD00000087.</t>
        </is>
      </c>
    </row>
    <row r="280">
      <c r="A280" s="7" t="inlineStr">
        <is>
          <t>MD-00087</t>
        </is>
      </c>
      <c r="B280" s="7" t="inlineStr">
        <is>
          <t>2026-08-05</t>
        </is>
      </c>
      <c r="C280" s="7" t="inlineStr">
        <is>
          <t>Regional IT Note Lead</t>
        </is>
      </c>
      <c r="D280" s="7" t="inlineStr">
        <is>
          <t>Regional IT</t>
        </is>
      </c>
      <c r="E280" s="7" t="inlineStr"/>
      <c r="F280" s="7" t="inlineStr">
        <is>
          <t>Denver - Closed</t>
        </is>
      </c>
      <c r="G280" s="7" t="inlineStr">
        <is>
          <t>regional_IT_notes.docx</t>
        </is>
      </c>
      <c r="H280" s="7" t="inlineStr">
        <is>
          <t>Technician Claim</t>
        </is>
      </c>
      <c r="I280" s="7" t="inlineStr">
        <is>
          <t>Could not tie MD-00087 to a verified RN entry in the notes.</t>
        </is>
      </c>
    </row>
    <row r="281">
      <c r="A281" s="7" t="inlineStr">
        <is>
          <t>MD-00087</t>
        </is>
      </c>
      <c r="B281" s="7" t="inlineStr">
        <is>
          <t>2026-08-09</t>
        </is>
      </c>
      <c r="C281" s="7" t="inlineStr">
        <is>
          <t>Policy Control Figure</t>
        </is>
      </c>
      <c r="D281" s="7" t="inlineStr">
        <is>
          <t>ITAM-001</t>
        </is>
      </c>
      <c r="E281" s="7" t="inlineStr"/>
      <c r="F281" s="7" t="inlineStr"/>
      <c r="G281" s="7" t="inlineStr">
        <is>
          <t>ITAM_control_matrix.png; IT_asset_management_policy.pdf</t>
        </is>
      </c>
      <c r="H281" s="7" t="inlineStr">
        <is>
          <t>Confirmed Fact</t>
        </is>
      </c>
      <c r="I281" s="7" t="inlineStr">
        <is>
          <t>For MD-00087 (Samsung Galaxy S24), Appendix A return criteria were read against TR-00087, PO-2024-0015, FA-000087, OFF-00087, APR-00087. Verified status target Available at Atlanta Warehouse; matrix PNG is reference only.</t>
        </is>
      </c>
    </row>
    <row r="282">
      <c r="A282" s="7" t="inlineStr">
        <is>
          <t>MD-00087</t>
        </is>
      </c>
      <c r="B282" s="7" t="inlineStr">
        <is>
          <t>2026-08-09</t>
        </is>
      </c>
      <c r="C282" s="7" t="inlineStr">
        <is>
          <t>Reconciliation Conclusion</t>
        </is>
      </c>
      <c r="D282" s="7" t="inlineStr">
        <is>
          <t>Evidence review</t>
        </is>
      </c>
      <c r="E282" s="7" t="inlineStr">
        <is>
          <t>IT Stock</t>
        </is>
      </c>
      <c r="F282" s="7" t="inlineStr">
        <is>
          <t>Atlanta Warehouse</t>
        </is>
      </c>
      <c r="G282" s="7" t="inlineStr">
        <is>
          <t>Tracking:1ZMD00000087; Ticket:OFF-00087; Transfer:TR-00087; ReceivingScan:2026-07-07; PO:PO-2024-0015; Ledger:FA-000087; PolicyFigure:ITAM_control_matrix.png</t>
        </is>
      </c>
      <c r="H282" s="7" t="inlineStr">
        <is>
          <t>Confirmed Fact</t>
        </is>
      </c>
      <c r="I282" s="7" t="inlineStr">
        <is>
          <t>I am standing on Available for MD-00087 (Atlanta Warehouse, High). EX-0100. 1ZMD00000087. OFF-00087. TR-00087. PO. PO-2024-0015. FA-000087. ITAM_control_matrix.png.</t>
        </is>
      </c>
    </row>
    <row r="283">
      <c r="A283" s="7" t="inlineStr">
        <is>
          <t>MD-00088</t>
        </is>
      </c>
      <c r="B283" s="7" t="inlineStr">
        <is>
          <t>2022-05-17</t>
        </is>
      </c>
      <c r="C283" s="7" t="inlineStr">
        <is>
          <t>Purchase</t>
        </is>
      </c>
      <c r="D283" s="7" t="inlineStr">
        <is>
          <t>Vendor</t>
        </is>
      </c>
      <c r="E283" s="7" t="inlineStr">
        <is>
          <t>Central Receiving</t>
        </is>
      </c>
      <c r="F283" s="7" t="inlineStr">
        <is>
          <t>Atlanta Warehouse</t>
        </is>
      </c>
      <c r="G283" s="7" t="inlineStr">
        <is>
          <t>PO:PO-2024-0015</t>
        </is>
      </c>
      <c r="H283" s="7" t="inlineStr">
        <is>
          <t>Confirmed Fact</t>
        </is>
      </c>
      <c r="I283" s="7" t="inlineStr">
        <is>
          <t>Acquired MD-00088 (Cisco C9300) for $6380 via PO-2024-0015.</t>
        </is>
      </c>
    </row>
    <row r="284">
      <c r="A284" s="7" t="inlineStr">
        <is>
          <t>MD-00088</t>
        </is>
      </c>
      <c r="B284" s="7" t="inlineStr">
        <is>
          <t>2026-05-17</t>
        </is>
      </c>
      <c r="C284" s="7" t="inlineStr">
        <is>
          <t>Assignment/Transfer</t>
        </is>
      </c>
      <c r="D284" s="7" t="inlineStr">
        <is>
          <t>Central Receiving</t>
        </is>
      </c>
      <c r="E284" s="7" t="inlineStr">
        <is>
          <t>Return Carrier</t>
        </is>
      </c>
      <c r="F284" s="7" t="inlineStr">
        <is>
          <t>Carrier Network</t>
        </is>
      </c>
      <c r="G284" s="7" t="inlineStr">
        <is>
          <t>Transfer:TR-00088; Approval:APR-00088</t>
        </is>
      </c>
      <c r="H284" s="7" t="inlineStr">
        <is>
          <t>Confirmed Fact</t>
        </is>
      </c>
      <c r="I284" s="7" t="inlineStr">
        <is>
          <t>Recorded May 13, 2026, received 05/14/2026. TR-00088.</t>
        </is>
      </c>
    </row>
    <row r="285">
      <c r="A285" s="7" t="inlineStr">
        <is>
          <t>MD-00088</t>
        </is>
      </c>
      <c r="B285" s="7" t="inlineStr">
        <is>
          <t>2026-06-05</t>
        </is>
      </c>
      <c r="C285" s="7" t="inlineStr">
        <is>
          <t>Offboarding Ticket</t>
        </is>
      </c>
      <c r="D285" s="7" t="inlineStr">
        <is>
          <t>E0076</t>
        </is>
      </c>
      <c r="E285" s="7" t="inlineStr">
        <is>
          <t>IT Service Desk</t>
        </is>
      </c>
      <c r="F285" s="7" t="inlineStr"/>
      <c r="G285" s="7" t="inlineStr">
        <is>
          <t>Ticket:OFF-00088; Status:Shipment Open</t>
        </is>
      </c>
      <c r="H285" s="7" t="inlineStr">
        <is>
          <t>Confirmed Fact</t>
        </is>
      </c>
      <c r="I285" s="7" t="inlineStr">
        <is>
          <t>Offboarding OFF-00088: Yes. Due 2026-07-15.</t>
        </is>
      </c>
    </row>
    <row r="286">
      <c r="A286" s="7" t="inlineStr">
        <is>
          <t>MD-00088</t>
        </is>
      </c>
      <c r="B286" s="7" t="inlineStr">
        <is>
          <t>2026-06-05</t>
        </is>
      </c>
      <c r="C286" s="7" t="inlineStr">
        <is>
          <t>Technician Comment</t>
        </is>
      </c>
      <c r="D286" s="7" t="inlineStr">
        <is>
          <t>Service Desk</t>
        </is>
      </c>
      <c r="E286" s="7" t="inlineStr"/>
      <c r="F286" s="7" t="inlineStr"/>
      <c r="G286" s="7" t="inlineStr">
        <is>
          <t>Ticket:OFF-00088</t>
        </is>
      </c>
      <c r="H286" s="7" t="inlineStr">
        <is>
          <t>Technician Claim</t>
        </is>
      </c>
      <c r="I286" s="7" t="inlineStr">
        <is>
          <t>Initiated because status was still In Use after term. Ref MD-00088.</t>
        </is>
      </c>
    </row>
    <row r="287">
      <c r="A287" s="7" t="inlineStr">
        <is>
          <t>MD-00088</t>
        </is>
      </c>
      <c r="B287" s="7" t="inlineStr">
        <is>
          <t>2026-06-25</t>
        </is>
      </c>
      <c r="C287" s="7" t="inlineStr">
        <is>
          <t>Return Label Created</t>
        </is>
      </c>
      <c r="D287" s="7" t="inlineStr">
        <is>
          <t>E0076</t>
        </is>
      </c>
      <c r="E287" s="7" t="inlineStr">
        <is>
          <t>Return Carrier</t>
        </is>
      </c>
      <c r="F287" s="7" t="inlineStr">
        <is>
          <t>Carrier Network</t>
        </is>
      </c>
      <c r="G287" s="7" t="inlineStr">
        <is>
          <t>Tracking:1ZMD00000088; Status:Delivered</t>
        </is>
      </c>
      <c r="H287" s="7" t="inlineStr">
        <is>
          <t>Confirmed Fact</t>
        </is>
      </c>
      <c r="I287" s="7" t="inlineStr">
        <is>
          <t>Prepaid label 1ZMD00000088 exists. Carrier never accepted it.</t>
        </is>
      </c>
    </row>
    <row r="288">
      <c r="A288" s="7" t="inlineStr">
        <is>
          <t>MD-00088</t>
        </is>
      </c>
      <c r="B288" s="7" t="inlineStr">
        <is>
          <t>2026-07-02</t>
        </is>
      </c>
      <c r="C288" s="7" t="inlineStr">
        <is>
          <t>Carrier Acceptance</t>
        </is>
      </c>
      <c r="D288" s="7" t="inlineStr">
        <is>
          <t>Shipper</t>
        </is>
      </c>
      <c r="E288" s="7" t="inlineStr">
        <is>
          <t>Carrier</t>
        </is>
      </c>
      <c r="F288" s="7" t="inlineStr">
        <is>
          <t>Carrier Network</t>
        </is>
      </c>
      <c r="G288" s="7" t="inlineStr">
        <is>
          <t>Tracking:1ZMD00000088</t>
        </is>
      </c>
      <c r="H288" s="7" t="inlineStr">
        <is>
          <t>Confirmed Fact</t>
        </is>
      </c>
      <c r="I288" s="7" t="inlineStr">
        <is>
          <t>Acceptance event on 1ZMD00000088.</t>
        </is>
      </c>
    </row>
    <row r="289">
      <c r="A289" s="7" t="inlineStr">
        <is>
          <t>MD-00088</t>
        </is>
      </c>
      <c r="B289" s="7" t="inlineStr">
        <is>
          <t>2026-07-06</t>
        </is>
      </c>
      <c r="C289" s="7" t="inlineStr">
        <is>
          <t>Delivery</t>
        </is>
      </c>
      <c r="D289" s="7" t="inlineStr">
        <is>
          <t>Carrier</t>
        </is>
      </c>
      <c r="E289" s="7" t="inlineStr">
        <is>
          <t>Receiving</t>
        </is>
      </c>
      <c r="F289" s="7" t="inlineStr">
        <is>
          <t>Atlanta Warehouse</t>
        </is>
      </c>
      <c r="G289" s="7" t="inlineStr">
        <is>
          <t>Tracking:1ZMD00000088</t>
        </is>
      </c>
      <c r="H289" s="7" t="inlineStr">
        <is>
          <t>Confirmed Fact</t>
        </is>
      </c>
      <c r="I289" s="7" t="inlineStr">
        <is>
          <t>Delivered - 1ZMD00000088. Still need a receiving scan to finish returns.</t>
        </is>
      </c>
    </row>
    <row r="290">
      <c r="A290" s="7" t="inlineStr">
        <is>
          <t>MD-00088</t>
        </is>
      </c>
      <c r="B290" s="7" t="inlineStr">
        <is>
          <t>2026-07-07</t>
        </is>
      </c>
      <c r="C290" s="7" t="inlineStr">
        <is>
          <t>Receiving Scan</t>
        </is>
      </c>
      <c r="D290" s="7" t="inlineStr">
        <is>
          <t>Carrier</t>
        </is>
      </c>
      <c r="E290" s="7" t="inlineStr">
        <is>
          <t>IT Stock</t>
        </is>
      </c>
      <c r="F290" s="7" t="inlineStr">
        <is>
          <t>Atlanta Warehouse</t>
        </is>
      </c>
      <c r="G290" s="7" t="inlineStr">
        <is>
          <t>Tracking:1ZMD00000088</t>
        </is>
      </c>
      <c r="H290" s="7" t="inlineStr">
        <is>
          <t>Confirmed Fact</t>
        </is>
      </c>
      <c r="I290" s="7" t="inlineStr">
        <is>
          <t>Receiving stamp on 1ZMD00000088 for MD-00088.</t>
        </is>
      </c>
    </row>
    <row r="291">
      <c r="A291" s="7" t="inlineStr">
        <is>
          <t>MD-00088</t>
        </is>
      </c>
      <c r="B291" s="7" t="inlineStr">
        <is>
          <t>2026-08-05</t>
        </is>
      </c>
      <c r="C291" s="7" t="inlineStr">
        <is>
          <t>Regional IT Note Lead</t>
        </is>
      </c>
      <c r="D291" s="7" t="inlineStr">
        <is>
          <t>Regional IT</t>
        </is>
      </c>
      <c r="E291" s="7" t="inlineStr"/>
      <c r="F291" s="7" t="inlineStr">
        <is>
          <t>Chicago - Closed</t>
        </is>
      </c>
      <c r="G291" s="7" t="inlineStr">
        <is>
          <t>regional_IT_notes.docx</t>
        </is>
      </c>
      <c r="H291" s="7" t="inlineStr">
        <is>
          <t>Technician Claim</t>
        </is>
      </c>
      <c r="I291" s="7" t="inlineStr">
        <is>
          <t>Looked for MD-00088 in regional_IT_notes.docx; still need CSV/XLSX proof.</t>
        </is>
      </c>
    </row>
    <row r="292">
      <c r="A292" s="7" t="inlineStr">
        <is>
          <t>MD-00088</t>
        </is>
      </c>
      <c r="B292" s="7" t="inlineStr">
        <is>
          <t>2026-08-09</t>
        </is>
      </c>
      <c r="C292" s="7" t="inlineStr">
        <is>
          <t>Policy Control Figure</t>
        </is>
      </c>
      <c r="D292" s="7" t="inlineStr">
        <is>
          <t>ITAM-001</t>
        </is>
      </c>
      <c r="E292" s="7" t="inlineStr"/>
      <c r="F292" s="7" t="inlineStr"/>
      <c r="G292" s="7" t="inlineStr">
        <is>
          <t>ITAM_control_matrix.png; IT_asset_management_policy.pdf</t>
        </is>
      </c>
      <c r="H292" s="7" t="inlineStr">
        <is>
          <t>Confirmed Fact</t>
        </is>
      </c>
      <c r="I292" s="7" t="inlineStr">
        <is>
          <t>Control matrix cited on MD-00088 for assignment only. Movement/finance proof stays with TR-00088, PO-2024-0015, FA-000088, OFF-00088, APR-00088; exceptions EX-0101, EX-0102.</t>
        </is>
      </c>
    </row>
    <row r="293">
      <c r="A293" s="7" t="inlineStr">
        <is>
          <t>MD-00088</t>
        </is>
      </c>
      <c r="B293" s="7" t="inlineStr">
        <is>
          <t>2026-08-09</t>
        </is>
      </c>
      <c r="C293" s="7" t="inlineStr">
        <is>
          <t>Reconciliation Conclusion</t>
        </is>
      </c>
      <c r="D293" s="7" t="inlineStr">
        <is>
          <t>Evidence review</t>
        </is>
      </c>
      <c r="E293" s="7" t="inlineStr">
        <is>
          <t>IT Stock</t>
        </is>
      </c>
      <c r="F293" s="7" t="inlineStr">
        <is>
          <t>Atlanta Warehouse</t>
        </is>
      </c>
      <c r="G293" s="7" t="inlineStr">
        <is>
          <t>Tracking:1ZMD00000088; Ticket:OFF-00088; Transfer:TR-00088; ReceivingScan:2026-07-07; PO:PO-2024-0015; Ledger:FA-000088; PolicyFigure:ITAM_control_matrix.png</t>
        </is>
      </c>
      <c r="H293" s="7" t="inlineStr">
        <is>
          <t>Confirmed Fact</t>
        </is>
      </c>
      <c r="I293" s="7" t="inlineStr">
        <is>
          <t>Final read MD-00088: Available @ Atlanta Warehouse, confidence Medium. EX-0101, EX-0102. 1ZMD00000088. OFF-00088. TR-00088. PO. PO-2024-0015. FA-000088. ITAM_control_matrix.png.</t>
        </is>
      </c>
    </row>
    <row r="294">
      <c r="A294" s="7" t="inlineStr">
        <is>
          <t>MD-00089</t>
        </is>
      </c>
      <c r="B294" s="7" t="inlineStr">
        <is>
          <t>2023-06-18</t>
        </is>
      </c>
      <c r="C294" s="7" t="inlineStr">
        <is>
          <t>Purchase</t>
        </is>
      </c>
      <c r="D294" s="7" t="inlineStr">
        <is>
          <t>Vendor</t>
        </is>
      </c>
      <c r="E294" s="7" t="inlineStr">
        <is>
          <t>Central Receiving</t>
        </is>
      </c>
      <c r="F294" s="7" t="inlineStr">
        <is>
          <t>Atlanta Warehouse</t>
        </is>
      </c>
      <c r="G294" s="7" t="inlineStr">
        <is>
          <t>PO:PO-2024-0015</t>
        </is>
      </c>
      <c r="H294" s="7" t="inlineStr">
        <is>
          <t>Confirmed Fact</t>
        </is>
      </c>
      <c r="I294" s="7" t="inlineStr">
        <is>
          <t>Warehouse receipt tied to PO-2024-0015. MacBook Pro 14.</t>
        </is>
      </c>
    </row>
    <row r="295">
      <c r="A295" s="7" t="inlineStr">
        <is>
          <t>MD-00089</t>
        </is>
      </c>
      <c r="B295" s="7" t="inlineStr">
        <is>
          <t>2026-06-18</t>
        </is>
      </c>
      <c r="C295" s="7" t="inlineStr">
        <is>
          <t>Assignment/Transfer</t>
        </is>
      </c>
      <c r="D295" s="7" t="inlineStr">
        <is>
          <t>Central Receiving</t>
        </is>
      </c>
      <c r="E295" s="7" t="inlineStr">
        <is>
          <t>Unverified</t>
        </is>
      </c>
      <c r="F295" s="7" t="inlineStr">
        <is>
          <t>Unknown</t>
        </is>
      </c>
      <c r="G295" s="7" t="inlineStr">
        <is>
          <t>Transfer:TR-00089; Approval:APR-00089</t>
        </is>
      </c>
      <c r="H295" s="7" t="inlineStr">
        <is>
          <t>Confirmed Fact</t>
        </is>
      </c>
      <c r="I295" s="7" t="inlineStr">
        <is>
          <t>TR-00089 - got it Jun 17, 2026 at Unknown.</t>
        </is>
      </c>
    </row>
    <row r="296">
      <c r="A296" s="7" t="inlineStr">
        <is>
          <t>MD-00089</t>
        </is>
      </c>
      <c r="B296" s="7" t="inlineStr">
        <is>
          <t>2026-05-06</t>
        </is>
      </c>
      <c r="C296" s="7" t="inlineStr">
        <is>
          <t>Offboarding Ticket</t>
        </is>
      </c>
      <c r="D296" s="7" t="inlineStr">
        <is>
          <t>E0077</t>
        </is>
      </c>
      <c r="E296" s="7" t="inlineStr">
        <is>
          <t>IT Service Desk</t>
        </is>
      </c>
      <c r="F296" s="7" t="inlineStr"/>
      <c r="G296" s="7" t="inlineStr">
        <is>
          <t>Ticket:OFF-00089; Status:Unresolved</t>
        </is>
      </c>
      <c r="H296" s="7" t="inlineStr">
        <is>
          <t>Confirmed Fact</t>
        </is>
      </c>
      <c r="I296" s="7" t="inlineStr">
        <is>
          <t>OFF-00089 Unresolved. Return required=Yes, due 07/15/2026.</t>
        </is>
      </c>
    </row>
    <row r="297">
      <c r="A297" s="7" t="inlineStr">
        <is>
          <t>MD-00089</t>
        </is>
      </c>
      <c r="B297" s="7" t="inlineStr">
        <is>
          <t>2026-05-06</t>
        </is>
      </c>
      <c r="C297" s="7" t="inlineStr">
        <is>
          <t>Technician Comment</t>
        </is>
      </c>
      <c r="D297" s="7" t="inlineStr">
        <is>
          <t>Service Desk</t>
        </is>
      </c>
      <c r="E297" s="7" t="inlineStr"/>
      <c r="F297" s="7" t="inlineStr"/>
      <c r="G297" s="7" t="inlineStr">
        <is>
          <t>Ticket:OFF-00089</t>
        </is>
      </c>
      <c r="H297" s="7" t="inlineStr">
        <is>
          <t>Technician Claim</t>
        </is>
      </c>
      <c r="I297" s="7" t="inlineStr">
        <is>
          <t>Ex-employee says the laptop stayed in Denver after the lock-up. Ref MD-00089.</t>
        </is>
      </c>
    </row>
    <row r="298">
      <c r="A298" s="7" t="inlineStr">
        <is>
          <t>MD-00089</t>
        </is>
      </c>
      <c r="B298" s="7" t="inlineStr">
        <is>
          <t>2026-08-05</t>
        </is>
      </c>
      <c r="C298" s="7" t="inlineStr">
        <is>
          <t>Regional IT Note Lead</t>
        </is>
      </c>
      <c r="D298" s="7" t="inlineStr">
        <is>
          <t>Regional IT</t>
        </is>
      </c>
      <c r="E298" s="7" t="inlineStr"/>
      <c r="F298" s="7" t="inlineStr">
        <is>
          <t>Denver - Closed</t>
        </is>
      </c>
      <c r="G298" s="7" t="inlineStr">
        <is>
          <t>regional_IT_notes.docx</t>
        </is>
      </c>
      <c r="H298" s="7" t="inlineStr">
        <is>
          <t>Technician Claim</t>
        </is>
      </c>
      <c r="I298" s="7" t="inlineStr">
        <is>
          <t>regional_IT_notes.docx mentions During the Denver exit walkthrough, someone mentioned a locked cage on floor 3 might still - lead only for MD-00089.</t>
        </is>
      </c>
    </row>
    <row r="299">
      <c r="A299" s="7" t="inlineStr">
        <is>
          <t>MD-00089</t>
        </is>
      </c>
      <c r="B299" s="7" t="inlineStr">
        <is>
          <t>2026-08-09</t>
        </is>
      </c>
      <c r="C299" s="7" t="inlineStr">
        <is>
          <t>Policy Control Figure</t>
        </is>
      </c>
      <c r="D299" s="7" t="inlineStr">
        <is>
          <t>ITAM-001</t>
        </is>
      </c>
      <c r="E299" s="7" t="inlineStr"/>
      <c r="F299" s="7" t="inlineStr"/>
      <c r="G299" s="7" t="inlineStr">
        <is>
          <t>ITAM_control_matrix.png; IT_asset_management_policy.pdf</t>
        </is>
      </c>
      <c r="H299" s="7" t="inlineStr">
        <is>
          <t>Confirmed Fact</t>
        </is>
      </c>
      <c r="I299" s="7" t="inlineStr">
        <is>
          <t>Unknown custody review for MD-00089 used the transfer column on the matrix. Source trail: TR-00089, PO-2024-0015, FA-000089, OFF-00089, APR-00089.</t>
        </is>
      </c>
    </row>
    <row r="300">
      <c r="A300" s="7" t="inlineStr">
        <is>
          <t>MD-00089</t>
        </is>
      </c>
      <c r="B300" s="7" t="inlineStr">
        <is>
          <t>2026-08-09</t>
        </is>
      </c>
      <c r="C300" s="7" t="inlineStr">
        <is>
          <t>Unresolved Assumption</t>
        </is>
      </c>
      <c r="D300" s="7" t="inlineStr"/>
      <c r="E300" s="7" t="inlineStr"/>
      <c r="F300" s="7" t="inlineStr"/>
      <c r="G300" s="7" t="inlineStr">
        <is>
          <t>Reconciliation</t>
        </is>
      </c>
      <c r="H300" s="7" t="inlineStr">
        <is>
          <t>Unresolved Assumption</t>
        </is>
      </c>
      <c r="I300" s="7" t="inlineStr">
        <is>
          <t>I won't invent a floor for MD-00089.</t>
        </is>
      </c>
    </row>
    <row r="301">
      <c r="A301" s="7" t="inlineStr">
        <is>
          <t>MD-00089</t>
        </is>
      </c>
      <c r="B301" s="7" t="inlineStr">
        <is>
          <t>2026-08-09</t>
        </is>
      </c>
      <c r="C301" s="7" t="inlineStr">
        <is>
          <t>Reconciliation Conclusion</t>
        </is>
      </c>
      <c r="D301" s="7" t="inlineStr">
        <is>
          <t>Evidence review</t>
        </is>
      </c>
      <c r="E301" s="7" t="inlineStr">
        <is>
          <t>E0077</t>
        </is>
      </c>
      <c r="F301" s="7" t="inlineStr">
        <is>
          <t>Unknown</t>
        </is>
      </c>
      <c r="G301" s="7" t="inlineStr">
        <is>
          <t>Ticket:OFF-00089; Transfer:TR-00089; LastRegisterLocation:Denver - Closed; TechnicianClaim:see custody chain; PO:PO-2024-0015; Ledger:FA-000089; PolicyFigure:ITAM_control_matrix.png</t>
        </is>
      </c>
      <c r="H301" s="7" t="inlineStr">
        <is>
          <t>Unresolved Assumption</t>
        </is>
      </c>
      <c r="I301" s="7" t="inlineStr">
        <is>
          <t>MD-00089 → Missing. Confidence Low. EX-0103, EX-0104. OFF-00089. TR-00089. PO. PO-2024-0015. FA-000089. ITAM_control_matrix.png.</t>
        </is>
      </c>
    </row>
    <row r="302">
      <c r="A302" s="7" t="inlineStr">
        <is>
          <t>MD-00090</t>
        </is>
      </c>
      <c r="B302" s="7" t="inlineStr">
        <is>
          <t>2024-07-19</t>
        </is>
      </c>
      <c r="C302" s="7" t="inlineStr">
        <is>
          <t>Purchase</t>
        </is>
      </c>
      <c r="D302" s="7" t="inlineStr">
        <is>
          <t>Vendor</t>
        </is>
      </c>
      <c r="E302" s="7" t="inlineStr">
        <is>
          <t>Central Receiving</t>
        </is>
      </c>
      <c r="F302" s="7" t="inlineStr">
        <is>
          <t>Atlanta Warehouse</t>
        </is>
      </c>
      <c r="G302" s="7" t="inlineStr">
        <is>
          <t>PO:PO-2024-0015</t>
        </is>
      </c>
      <c r="H302" s="7" t="inlineStr">
        <is>
          <t>Confirmed Fact</t>
        </is>
      </c>
      <c r="I302" s="7" t="inlineStr">
        <is>
          <t>PO line PO-2024-0015 - Dell U2723QE.</t>
        </is>
      </c>
    </row>
    <row r="303">
      <c r="A303" s="7" t="inlineStr">
        <is>
          <t>MD-00090</t>
        </is>
      </c>
      <c r="B303" s="7" t="inlineStr">
        <is>
          <t>2026-01-19</t>
        </is>
      </c>
      <c r="C303" s="7" t="inlineStr">
        <is>
          <t>Assignment/Transfer</t>
        </is>
      </c>
      <c r="D303" s="7" t="inlineStr">
        <is>
          <t>Central Receiving</t>
        </is>
      </c>
      <c r="E303" s="7" t="inlineStr">
        <is>
          <t>Unverified</t>
        </is>
      </c>
      <c r="F303" s="7" t="inlineStr">
        <is>
          <t>Unknown</t>
        </is>
      </c>
      <c r="G303" s="7" t="inlineStr">
        <is>
          <t>Transfer:TR-00090; Approval:APR-00090</t>
        </is>
      </c>
      <c r="H303" s="7" t="inlineStr">
        <is>
          <t>Confirmed Fact</t>
        </is>
      </c>
      <c r="I303" s="7" t="inlineStr">
        <is>
          <t>Transfer TR-00090 / APR-00090. Received 2026-01-28.</t>
        </is>
      </c>
    </row>
    <row r="304">
      <c r="A304" s="7" t="inlineStr">
        <is>
          <t>MD-00090</t>
        </is>
      </c>
      <c r="B304" s="7" t="inlineStr">
        <is>
          <t>2026-06-07</t>
        </is>
      </c>
      <c r="C304" s="7" t="inlineStr">
        <is>
          <t>Offboarding Ticket</t>
        </is>
      </c>
      <c r="D304" s="7" t="inlineStr">
        <is>
          <t>E0078</t>
        </is>
      </c>
      <c r="E304" s="7" t="inlineStr">
        <is>
          <t>IT Service Desk</t>
        </is>
      </c>
      <c r="F304" s="7" t="inlineStr"/>
      <c r="G304" s="7" t="inlineStr">
        <is>
          <t>Ticket:OFF-00090; Status:Unresolved</t>
        </is>
      </c>
      <c r="H304" s="7" t="inlineStr">
        <is>
          <t>Confirmed Fact</t>
        </is>
      </c>
      <c r="I304" s="7" t="inlineStr">
        <is>
          <t>OFF-00090 sits Unresolved. Hardware return was required. Jul 15, 2026.</t>
        </is>
      </c>
    </row>
    <row r="305">
      <c r="A305" s="7" t="inlineStr">
        <is>
          <t>MD-00090</t>
        </is>
      </c>
      <c r="B305" s="7" t="inlineStr">
        <is>
          <t>2026-06-07</t>
        </is>
      </c>
      <c r="C305" s="7" t="inlineStr">
        <is>
          <t>Technician Comment</t>
        </is>
      </c>
      <c r="D305" s="7" t="inlineStr">
        <is>
          <t>Service Desk</t>
        </is>
      </c>
      <c r="E305" s="7" t="inlineStr"/>
      <c r="F305" s="7" t="inlineStr"/>
      <c r="G305" s="7" t="inlineStr">
        <is>
          <t>Ticket:OFF-00090</t>
        </is>
      </c>
      <c r="H305" s="7" t="inlineStr">
        <is>
          <t>Technician Claim</t>
        </is>
      </c>
      <c r="I305" s="7" t="inlineStr">
        <is>
          <t>Caller thought Chicago surplus had it; no tagged count. Ref MD-00090.</t>
        </is>
      </c>
    </row>
    <row r="306">
      <c r="A306" s="7" t="inlineStr">
        <is>
          <t>MD-00090</t>
        </is>
      </c>
      <c r="B306" s="7" t="inlineStr">
        <is>
          <t>2026-08-05</t>
        </is>
      </c>
      <c r="C306" s="7" t="inlineStr">
        <is>
          <t>Regional IT Note Lead</t>
        </is>
      </c>
      <c r="D306" s="7" t="inlineStr">
        <is>
          <t>Regional IT</t>
        </is>
      </c>
      <c r="E306" s="7" t="inlineStr"/>
      <c r="F306" s="7" t="inlineStr">
        <is>
          <t>Chicago - Closed</t>
        </is>
      </c>
      <c r="G306" s="7" t="inlineStr">
        <is>
          <t>regional_IT_notes.docx</t>
        </is>
      </c>
      <c r="H306" s="7" t="inlineStr">
        <is>
          <t>Technician Claim</t>
        </is>
      </c>
      <c r="I306" s="7" t="inlineStr">
        <is>
          <t>Technician wrote about MD-00090 in regional_IT_notes.docx; treated as unverified.</t>
        </is>
      </c>
    </row>
    <row r="307">
      <c r="A307" s="7" t="inlineStr">
        <is>
          <t>MD-00090</t>
        </is>
      </c>
      <c r="B307" s="7" t="inlineStr">
        <is>
          <t>2026-08-09</t>
        </is>
      </c>
      <c r="C307" s="7" t="inlineStr">
        <is>
          <t>Policy Control Figure</t>
        </is>
      </c>
      <c r="D307" s="7" t="inlineStr">
        <is>
          <t>ITAM-001</t>
        </is>
      </c>
      <c r="E307" s="7" t="inlineStr"/>
      <c r="F307" s="7" t="inlineStr"/>
      <c r="G307" s="7" t="inlineStr">
        <is>
          <t>ITAM_control_matrix.png; IT_asset_management_policy.pdf</t>
        </is>
      </c>
      <c r="H307" s="7" t="inlineStr">
        <is>
          <t>Confirmed Fact</t>
        </is>
      </c>
      <c r="I307" s="7" t="inlineStr">
        <is>
          <t>Unknown custody review for MD-00090 used the disposal column on the matrix. Source trail: TR-00090, PO-2024-0015, FA-000090, OFF-00090, APR-00090.</t>
        </is>
      </c>
    </row>
    <row r="308">
      <c r="A308" s="7" t="inlineStr">
        <is>
          <t>MD-00090</t>
        </is>
      </c>
      <c r="B308" s="7" t="inlineStr">
        <is>
          <t>2026-08-09</t>
        </is>
      </c>
      <c r="C308" s="7" t="inlineStr">
        <is>
          <t>Unresolved Assumption</t>
        </is>
      </c>
      <c r="D308" s="7" t="inlineStr"/>
      <c r="E308" s="7" t="inlineStr"/>
      <c r="F308" s="7" t="inlineStr"/>
      <c r="G308" s="7" t="inlineStr">
        <is>
          <t>Reconciliation</t>
        </is>
      </c>
      <c r="H308" s="7" t="inlineStr">
        <is>
          <t>Unresolved Assumption</t>
        </is>
      </c>
      <c r="I308" s="7" t="inlineStr">
        <is>
          <t>I won't invent a floor for MD-00090.</t>
        </is>
      </c>
    </row>
    <row r="309">
      <c r="A309" s="7" t="inlineStr">
        <is>
          <t>MD-00090</t>
        </is>
      </c>
      <c r="B309" s="7" t="inlineStr">
        <is>
          <t>2026-08-09</t>
        </is>
      </c>
      <c r="C309" s="7" t="inlineStr">
        <is>
          <t>Reconciliation Conclusion</t>
        </is>
      </c>
      <c r="D309" s="7" t="inlineStr">
        <is>
          <t>Evidence review</t>
        </is>
      </c>
      <c r="E309" s="7" t="inlineStr">
        <is>
          <t>E0078</t>
        </is>
      </c>
      <c r="F309" s="7" t="inlineStr">
        <is>
          <t>Unknown</t>
        </is>
      </c>
      <c r="G309" s="7" t="inlineStr">
        <is>
          <t>Ticket:OFF-00090; Transfer:TR-00090; LastRegisterLocation:Chicago - Closed; TechnicianClaim:see custody chain; PO:PO-2024-0015; Ledger:FA-000090; PolicyFigure:ITAM_control_matrix.png</t>
        </is>
      </c>
      <c r="H309" s="7" t="inlineStr">
        <is>
          <t>Unresolved Assumption</t>
        </is>
      </c>
      <c r="I309" s="7" t="inlineStr">
        <is>
          <t>Outcome MD-00090 - Missing, site Unknown, Low. EX-0105, EX-0106. OFF-00090. TR-00090. PO. PO-2024-0015. FA-000090. ITAM_control_matrix.png.</t>
        </is>
      </c>
    </row>
    <row r="310">
      <c r="A310" s="7" t="inlineStr">
        <is>
          <t>MD-00091</t>
        </is>
      </c>
      <c r="B310" s="7" t="inlineStr">
        <is>
          <t>2025-08-20</t>
        </is>
      </c>
      <c r="C310" s="7" t="inlineStr">
        <is>
          <t>Purchase</t>
        </is>
      </c>
      <c r="D310" s="7" t="inlineStr">
        <is>
          <t>Vendor</t>
        </is>
      </c>
      <c r="E310" s="7" t="inlineStr">
        <is>
          <t>Central Receiving</t>
        </is>
      </c>
      <c r="F310" s="7" t="inlineStr">
        <is>
          <t>Atlanta Warehouse</t>
        </is>
      </c>
      <c r="G310" s="7" t="inlineStr">
        <is>
          <t>PO:PO-2025-0016</t>
        </is>
      </c>
      <c r="H310" s="7" t="inlineStr">
        <is>
          <t>Confirmed Fact</t>
        </is>
      </c>
      <c r="I310" s="7" t="inlineStr">
        <is>
          <t>Purchasing file PO-2025-0016 matches MD-00091 at $950.</t>
        </is>
      </c>
    </row>
    <row r="311">
      <c r="A311" s="7" t="inlineStr">
        <is>
          <t>MD-00091</t>
        </is>
      </c>
      <c r="B311" s="7" t="inlineStr">
        <is>
          <t>2026-02-20</t>
        </is>
      </c>
      <c r="C311" s="7" t="inlineStr">
        <is>
          <t>Assignment/Transfer</t>
        </is>
      </c>
      <c r="D311" s="7" t="inlineStr">
        <is>
          <t>Central Receiving</t>
        </is>
      </c>
      <c r="E311" s="7" t="inlineStr">
        <is>
          <t>Unverified</t>
        </is>
      </c>
      <c r="F311" s="7" t="inlineStr">
        <is>
          <t>Unknown</t>
        </is>
      </c>
      <c r="G311" s="7" t="inlineStr">
        <is>
          <t>Transfer:TR-00091; Approval:APR-00091</t>
        </is>
      </c>
      <c r="H311" s="7" t="inlineStr">
        <is>
          <t>Confirmed Fact</t>
        </is>
      </c>
      <c r="I311" s="7" t="inlineStr">
        <is>
          <t>MD-00091 inbound 02/24/2026 on TR-00091 / APR-00091.</t>
        </is>
      </c>
    </row>
    <row r="312">
      <c r="A312" s="7" t="inlineStr">
        <is>
          <t>MD-00091</t>
        </is>
      </c>
      <c r="B312" s="7" t="inlineStr">
        <is>
          <t>2026-05-08</t>
        </is>
      </c>
      <c r="C312" s="7" t="inlineStr">
        <is>
          <t>Offboarding Ticket</t>
        </is>
      </c>
      <c r="D312" s="7" t="inlineStr">
        <is>
          <t>E0079</t>
        </is>
      </c>
      <c r="E312" s="7" t="inlineStr">
        <is>
          <t>IT Service Desk</t>
        </is>
      </c>
      <c r="F312" s="7" t="inlineStr"/>
      <c r="G312" s="7" t="inlineStr">
        <is>
          <t>Ticket:OFF-00091; Status:Unresolved</t>
        </is>
      </c>
      <c r="H312" s="7" t="inlineStr">
        <is>
          <t>Confirmed Fact</t>
        </is>
      </c>
      <c r="I312" s="7" t="inlineStr">
        <is>
          <t>Opened OFF-00091. Status Unresolved.</t>
        </is>
      </c>
    </row>
    <row r="313">
      <c r="A313" s="7" t="inlineStr">
        <is>
          <t>MD-00091</t>
        </is>
      </c>
      <c r="B313" s="7" t="inlineStr">
        <is>
          <t>2026-05-08</t>
        </is>
      </c>
      <c r="C313" s="7" t="inlineStr">
        <is>
          <t>Technician Comment</t>
        </is>
      </c>
      <c r="D313" s="7" t="inlineStr">
        <is>
          <t>Service Desk</t>
        </is>
      </c>
      <c r="E313" s="7" t="inlineStr"/>
      <c r="F313" s="7" t="inlineStr"/>
      <c r="G313" s="7" t="inlineStr">
        <is>
          <t>Ticket:OFF-00091</t>
        </is>
      </c>
      <c r="H313" s="7" t="inlineStr">
        <is>
          <t>Technician Claim</t>
        </is>
      </c>
      <c r="I313" s="7" t="inlineStr">
        <is>
          <t>Last badge swipe was the closed floor. Device not in the return pile. Ref MD-00091.</t>
        </is>
      </c>
    </row>
    <row r="314">
      <c r="A314" s="7" t="inlineStr">
        <is>
          <t>MD-00091</t>
        </is>
      </c>
      <c r="B314" s="7" t="inlineStr">
        <is>
          <t>2026-08-05</t>
        </is>
      </c>
      <c r="C314" s="7" t="inlineStr">
        <is>
          <t>Regional IT Note Lead</t>
        </is>
      </c>
      <c r="D314" s="7" t="inlineStr">
        <is>
          <t>Regional IT</t>
        </is>
      </c>
      <c r="E314" s="7" t="inlineStr"/>
      <c r="F314" s="7" t="inlineStr">
        <is>
          <t>Denver - Closed</t>
        </is>
      </c>
      <c r="G314" s="7" t="inlineStr">
        <is>
          <t>regional_IT_notes.docx</t>
        </is>
      </c>
      <c r="H314" s="7" t="inlineStr">
        <is>
          <t>Technician Claim</t>
        </is>
      </c>
      <c r="I314" s="7" t="inlineStr">
        <is>
          <t>Technician wrote about MD-00091 in regional_IT_notes.docx; treated as unverified.</t>
        </is>
      </c>
    </row>
    <row r="315">
      <c r="A315" s="7" t="inlineStr">
        <is>
          <t>MD-00091</t>
        </is>
      </c>
      <c r="B315" s="7" t="inlineStr">
        <is>
          <t>2026-08-09</t>
        </is>
      </c>
      <c r="C315" s="7" t="inlineStr">
        <is>
          <t>Policy Control Figure</t>
        </is>
      </c>
      <c r="D315" s="7" t="inlineStr">
        <is>
          <t>ITAM-001</t>
        </is>
      </c>
      <c r="E315" s="7" t="inlineStr"/>
      <c r="F315" s="7" t="inlineStr"/>
      <c r="G315" s="7" t="inlineStr">
        <is>
          <t>ITAM_control_matrix.png; IT_asset_management_policy.pdf</t>
        </is>
      </c>
      <c r="H315" s="7" t="inlineStr">
        <is>
          <t>Confirmed Fact</t>
        </is>
      </c>
      <c r="I315" s="7" t="inlineStr">
        <is>
          <t>Control matrix cited on MD-00091 for disposal only. Movement/finance proof stays with TR-00091, PO-2025-0016, FA-000091, OFF-00091, APR-00091; exceptions EX-0107, EX-0108.</t>
        </is>
      </c>
    </row>
    <row r="316">
      <c r="A316" s="7" t="inlineStr">
        <is>
          <t>MD-00091</t>
        </is>
      </c>
      <c r="B316" s="7" t="inlineStr">
        <is>
          <t>2026-08-09</t>
        </is>
      </c>
      <c r="C316" s="7" t="inlineStr">
        <is>
          <t>Unresolved Assumption</t>
        </is>
      </c>
      <c r="D316" s="7" t="inlineStr"/>
      <c r="E316" s="7" t="inlineStr"/>
      <c r="F316" s="7" t="inlineStr"/>
      <c r="G316" s="7" t="inlineStr">
        <is>
          <t>Reconciliation</t>
        </is>
      </c>
      <c r="H316" s="7" t="inlineStr">
        <is>
          <t>Unresolved Assumption</t>
        </is>
      </c>
      <c r="I316" s="7" t="inlineStr">
        <is>
          <t>I won't invent a floor for MD-00091.</t>
        </is>
      </c>
    </row>
    <row r="317">
      <c r="A317" s="7" t="inlineStr">
        <is>
          <t>MD-00091</t>
        </is>
      </c>
      <c r="B317" s="7" t="inlineStr">
        <is>
          <t>2026-08-09</t>
        </is>
      </c>
      <c r="C317" s="7" t="inlineStr">
        <is>
          <t>Reconciliation Conclusion</t>
        </is>
      </c>
      <c r="D317" s="7" t="inlineStr">
        <is>
          <t>Evidence review</t>
        </is>
      </c>
      <c r="E317" s="7" t="inlineStr">
        <is>
          <t>E0079</t>
        </is>
      </c>
      <c r="F317" s="7" t="inlineStr">
        <is>
          <t>Unknown</t>
        </is>
      </c>
      <c r="G317" s="7" t="inlineStr">
        <is>
          <t>Ticket:OFF-00091; Transfer:TR-00091; LastRegisterLocation:Denver - Closed; TechnicianClaim:see custody chain; PO:PO-2025-0016; Ledger:FA-000091; PolicyFigure:ITAM_control_matrix.png</t>
        </is>
      </c>
      <c r="H317" s="7" t="inlineStr">
        <is>
          <t>Unresolved Assumption</t>
        </is>
      </c>
      <c r="I317" s="7" t="inlineStr">
        <is>
          <t>Final read MD-00091: Missing @ Unknown, confidence Low. EX-0107, EX-0108. OFF-00091. TR-00091. PO. PO-2025-0016. FA-000091. ITAM_control_matrix.png.</t>
        </is>
      </c>
    </row>
    <row r="318">
      <c r="A318" s="7" t="inlineStr">
        <is>
          <t>MD-00092</t>
        </is>
      </c>
      <c r="B318" s="7" t="inlineStr">
        <is>
          <t>2022-09-21</t>
        </is>
      </c>
      <c r="C318" s="7" t="inlineStr">
        <is>
          <t>Purchase</t>
        </is>
      </c>
      <c r="D318" s="7" t="inlineStr">
        <is>
          <t>Vendor</t>
        </is>
      </c>
      <c r="E318" s="7" t="inlineStr">
        <is>
          <t>Central Receiving</t>
        </is>
      </c>
      <c r="F318" s="7" t="inlineStr">
        <is>
          <t>Atlanta Warehouse</t>
        </is>
      </c>
      <c r="G318" s="7" t="inlineStr">
        <is>
          <t>PO:PO-2025-0016</t>
        </is>
      </c>
      <c r="H318" s="7" t="inlineStr">
        <is>
          <t>Confirmed Fact</t>
        </is>
      </c>
      <c r="I318" s="7" t="inlineStr">
        <is>
          <t>Procurement PO-2025-0016 lists Cisco C9300 / $6245.</t>
        </is>
      </c>
    </row>
    <row r="319">
      <c r="A319" s="7" t="inlineStr">
        <is>
          <t>MD-00092</t>
        </is>
      </c>
      <c r="B319" s="7" t="inlineStr">
        <is>
          <t>2026-03-21</t>
        </is>
      </c>
      <c r="C319" s="7" t="inlineStr">
        <is>
          <t>Assignment/Transfer</t>
        </is>
      </c>
      <c r="D319" s="7" t="inlineStr">
        <is>
          <t>Central Receiving</t>
        </is>
      </c>
      <c r="E319" s="7" t="inlineStr">
        <is>
          <t>Unverified</t>
        </is>
      </c>
      <c r="F319" s="7" t="inlineStr">
        <is>
          <t>Unknown</t>
        </is>
      </c>
      <c r="G319" s="7" t="inlineStr">
        <is>
          <t>Transfer:TR-00092; Approval:APR-00092</t>
        </is>
      </c>
      <c r="H319" s="7" t="inlineStr">
        <is>
          <t>Confirmed Fact</t>
        </is>
      </c>
      <c r="I319" s="7" t="inlineStr">
        <is>
          <t>From warehouse to Unverified. TR-00092, received Mar 28, 2026.</t>
        </is>
      </c>
    </row>
    <row r="320">
      <c r="A320" s="7" t="inlineStr">
        <is>
          <t>MD-00092</t>
        </is>
      </c>
      <c r="B320" s="7" t="inlineStr">
        <is>
          <t>2026-06-09</t>
        </is>
      </c>
      <c r="C320" s="7" t="inlineStr">
        <is>
          <t>Offboarding Ticket</t>
        </is>
      </c>
      <c r="D320" s="7" t="inlineStr">
        <is>
          <t>E0080</t>
        </is>
      </c>
      <c r="E320" s="7" t="inlineStr">
        <is>
          <t>IT Service Desk</t>
        </is>
      </c>
      <c r="F320" s="7" t="inlineStr"/>
      <c r="G320" s="7" t="inlineStr">
        <is>
          <t>Ticket:OFF-00092; Status:Unresolved</t>
        </is>
      </c>
      <c r="H320" s="7" t="inlineStr">
        <is>
          <t>Confirmed Fact</t>
        </is>
      </c>
      <c r="I320" s="7" t="inlineStr">
        <is>
          <t>OFF-00092 sits Unresolved. Hardware return was required. 07/15/2026.</t>
        </is>
      </c>
    </row>
    <row r="321">
      <c r="A321" s="7" t="inlineStr">
        <is>
          <t>MD-00092</t>
        </is>
      </c>
      <c r="B321" s="7" t="inlineStr">
        <is>
          <t>2026-06-09</t>
        </is>
      </c>
      <c r="C321" s="7" t="inlineStr">
        <is>
          <t>Technician Comment</t>
        </is>
      </c>
      <c r="D321" s="7" t="inlineStr">
        <is>
          <t>Service Desk</t>
        </is>
      </c>
      <c r="E321" s="7" t="inlineStr"/>
      <c r="F321" s="7" t="inlineStr"/>
      <c r="G321" s="7" t="inlineStr">
        <is>
          <t>Ticket:OFF-00092</t>
        </is>
      </c>
      <c r="H321" s="7" t="inlineStr">
        <is>
          <t>Technician Claim</t>
        </is>
      </c>
      <c r="I321" s="7" t="inlineStr">
        <is>
          <t>Reported left in a conference room that's since been stripped. Ref MD-00092.</t>
        </is>
      </c>
    </row>
    <row r="322">
      <c r="A322" s="7" t="inlineStr">
        <is>
          <t>MD-00092</t>
        </is>
      </c>
      <c r="B322" s="7" t="inlineStr">
        <is>
          <t>2026-08-05</t>
        </is>
      </c>
      <c r="C322" s="7" t="inlineStr">
        <is>
          <t>Regional IT Note Lead</t>
        </is>
      </c>
      <c r="D322" s="7" t="inlineStr">
        <is>
          <t>Regional IT</t>
        </is>
      </c>
      <c r="E322" s="7" t="inlineStr"/>
      <c r="F322" s="7" t="inlineStr">
        <is>
          <t>Chicago - Closed</t>
        </is>
      </c>
      <c r="G322" s="7" t="inlineStr">
        <is>
          <t>regional_IT_notes.docx</t>
        </is>
      </c>
      <c r="H322" s="7" t="inlineStr">
        <is>
          <t>Technician Claim</t>
        </is>
      </c>
      <c r="I322" s="7" t="inlineStr">
        <is>
          <t>Technician wrote about MD-00092 in regional_IT_notes.docx; treated as unverified.</t>
        </is>
      </c>
    </row>
    <row r="323">
      <c r="A323" s="7" t="inlineStr">
        <is>
          <t>MD-00092</t>
        </is>
      </c>
      <c r="B323" s="7" t="inlineStr">
        <is>
          <t>2026-08-09</t>
        </is>
      </c>
      <c r="C323" s="7" t="inlineStr">
        <is>
          <t>Policy Control Figure</t>
        </is>
      </c>
      <c r="D323" s="7" t="inlineStr">
        <is>
          <t>ITAM-001</t>
        </is>
      </c>
      <c r="E323" s="7" t="inlineStr"/>
      <c r="F323" s="7" t="inlineStr"/>
      <c r="G323" s="7" t="inlineStr">
        <is>
          <t>ITAM_control_matrix.png; IT_asset_management_policy.pdf</t>
        </is>
      </c>
      <c r="H323" s="7" t="inlineStr">
        <is>
          <t>Confirmed Fact</t>
        </is>
      </c>
      <c r="I323" s="7" t="inlineStr">
        <is>
          <t>For MD-00092 (Cisco C9300), Appendix A disposal criteria were read against TR-00092, PO-2025-0016, FA-000092, OFF-00092, APR-00092. Verified status target Missing at Unknown; matrix PNG is reference only.</t>
        </is>
      </c>
    </row>
    <row r="324">
      <c r="A324" s="7" t="inlineStr">
        <is>
          <t>MD-00092</t>
        </is>
      </c>
      <c r="B324" s="7" t="inlineStr">
        <is>
          <t>2026-08-09</t>
        </is>
      </c>
      <c r="C324" s="7" t="inlineStr">
        <is>
          <t>Unresolved Assumption</t>
        </is>
      </c>
      <c r="D324" s="7" t="inlineStr"/>
      <c r="E324" s="7" t="inlineStr"/>
      <c r="F324" s="7" t="inlineStr"/>
      <c r="G324" s="7" t="inlineStr">
        <is>
          <t>Reconciliation</t>
        </is>
      </c>
      <c r="H324" s="7" t="inlineStr">
        <is>
          <t>Unresolved Assumption</t>
        </is>
      </c>
      <c r="I324" s="7" t="inlineStr">
        <is>
          <t>I won't invent a floor for MD-00092.</t>
        </is>
      </c>
    </row>
    <row r="325">
      <c r="A325" s="7" t="inlineStr">
        <is>
          <t>MD-00092</t>
        </is>
      </c>
      <c r="B325" s="7" t="inlineStr">
        <is>
          <t>2026-08-09</t>
        </is>
      </c>
      <c r="C325" s="7" t="inlineStr">
        <is>
          <t>Reconciliation Conclusion</t>
        </is>
      </c>
      <c r="D325" s="7" t="inlineStr">
        <is>
          <t>Evidence review</t>
        </is>
      </c>
      <c r="E325" s="7" t="inlineStr">
        <is>
          <t>E0080</t>
        </is>
      </c>
      <c r="F325" s="7" t="inlineStr">
        <is>
          <t>Unknown</t>
        </is>
      </c>
      <c r="G325" s="7" t="inlineStr">
        <is>
          <t>Ticket:OFF-00092; Transfer:TR-00092; LastRegisterLocation:Chicago - Closed; TechnicianClaim:see custody chain; PO:PO-2025-0016; Ledger:FA-000092; PolicyFigure:ITAM_control_matrix.png</t>
        </is>
      </c>
      <c r="H325" s="7" t="inlineStr">
        <is>
          <t>Unresolved Assumption</t>
        </is>
      </c>
      <c r="I325" s="7" t="inlineStr">
        <is>
          <t>Chain end MD-00092: Missing; Low; EX-0109, EX-0110, EX-0111. OFF-00092. TR-00092. PO. PO-2025-0016. FA-000092. ITAM_control_matrix.png.</t>
        </is>
      </c>
    </row>
    <row r="326">
      <c r="A326" s="7" t="inlineStr">
        <is>
          <t>MD-00093</t>
        </is>
      </c>
      <c r="B326" s="7" t="inlineStr">
        <is>
          <t>2023-10-22</t>
        </is>
      </c>
      <c r="C326" s="7" t="inlineStr">
        <is>
          <t>Purchase</t>
        </is>
      </c>
      <c r="D326" s="7" t="inlineStr">
        <is>
          <t>Vendor</t>
        </is>
      </c>
      <c r="E326" s="7" t="inlineStr">
        <is>
          <t>Central Receiving</t>
        </is>
      </c>
      <c r="F326" s="7" t="inlineStr">
        <is>
          <t>Atlanta Warehouse</t>
        </is>
      </c>
      <c r="G326" s="7" t="inlineStr">
        <is>
          <t>PO:PO-2025-0016</t>
        </is>
      </c>
      <c r="H326" s="7" t="inlineStr">
        <is>
          <t>Confirmed Fact</t>
        </is>
      </c>
      <c r="I326" s="7" t="inlineStr">
        <is>
          <t>PO-2025-0016: Dell Latitude 7440 at $1940.</t>
        </is>
      </c>
    </row>
    <row r="327">
      <c r="A327" s="7" t="inlineStr">
        <is>
          <t>MD-00093</t>
        </is>
      </c>
      <c r="B327" s="7" t="inlineStr">
        <is>
          <t>2026-04-22</t>
        </is>
      </c>
      <c r="C327" s="7" t="inlineStr">
        <is>
          <t>Assignment/Transfer</t>
        </is>
      </c>
      <c r="D327" s="7" t="inlineStr">
        <is>
          <t>Central Receiving</t>
        </is>
      </c>
      <c r="E327" s="7" t="inlineStr">
        <is>
          <t>Unverified</t>
        </is>
      </c>
      <c r="F327" s="7" t="inlineStr">
        <is>
          <t>Unknown</t>
        </is>
      </c>
      <c r="G327" s="7" t="inlineStr">
        <is>
          <t>Transfer:TR-00093; Approval:APR-00093</t>
        </is>
      </c>
      <c r="H327" s="7" t="inlineStr">
        <is>
          <t>Confirmed Fact</t>
        </is>
      </c>
      <c r="I327" s="7" t="inlineStr">
        <is>
          <t>Moved to Unverified in Unknown on TR-00093. Received 2026-05-06.</t>
        </is>
      </c>
    </row>
    <row r="328">
      <c r="A328" s="7" t="inlineStr">
        <is>
          <t>MD-00093</t>
        </is>
      </c>
      <c r="B328" s="7" t="inlineStr">
        <is>
          <t>2026-05-10</t>
        </is>
      </c>
      <c r="C328" s="7" t="inlineStr">
        <is>
          <t>Offboarding Ticket</t>
        </is>
      </c>
      <c r="D328" s="7" t="inlineStr">
        <is>
          <t>E0081</t>
        </is>
      </c>
      <c r="E328" s="7" t="inlineStr">
        <is>
          <t>IT Service Desk</t>
        </is>
      </c>
      <c r="F328" s="7" t="inlineStr"/>
      <c r="G328" s="7" t="inlineStr">
        <is>
          <t>Ticket:OFF-00093; Status:Unresolved</t>
        </is>
      </c>
      <c r="H328" s="7" t="inlineStr">
        <is>
          <t>Confirmed Fact</t>
        </is>
      </c>
      <c r="I328" s="7" t="inlineStr">
        <is>
          <t>Service desk OFF-00093 on MD-00093. Return required Yes.</t>
        </is>
      </c>
    </row>
    <row r="329">
      <c r="A329" s="7" t="inlineStr">
        <is>
          <t>MD-00093</t>
        </is>
      </c>
      <c r="B329" s="7" t="inlineStr">
        <is>
          <t>2026-05-10</t>
        </is>
      </c>
      <c r="C329" s="7" t="inlineStr">
        <is>
          <t>Technician Comment</t>
        </is>
      </c>
      <c r="D329" s="7" t="inlineStr">
        <is>
          <t>Service Desk</t>
        </is>
      </c>
      <c r="E329" s="7" t="inlineStr"/>
      <c r="F329" s="7" t="inlineStr"/>
      <c r="G329" s="7" t="inlineStr">
        <is>
          <t>Ticket:OFF-00093</t>
        </is>
      </c>
      <c r="H329" s="7" t="inlineStr">
        <is>
          <t>Technician Claim</t>
        </is>
      </c>
      <c r="I329" s="7" t="inlineStr">
        <is>
          <t>They mailed a note: hardware stayed with furniture. Furniture BOL has no IT. Ref MD-00093.</t>
        </is>
      </c>
    </row>
    <row r="330">
      <c r="A330" s="7" t="inlineStr">
        <is>
          <t>MD-00093</t>
        </is>
      </c>
      <c r="B330" s="7" t="inlineStr">
        <is>
          <t>2026-08-05</t>
        </is>
      </c>
      <c r="C330" s="7" t="inlineStr">
        <is>
          <t>Regional IT Note Lead</t>
        </is>
      </c>
      <c r="D330" s="7" t="inlineStr">
        <is>
          <t>Regional IT</t>
        </is>
      </c>
      <c r="E330" s="7" t="inlineStr"/>
      <c r="F330" s="7" t="inlineStr">
        <is>
          <t>Denver - Closed</t>
        </is>
      </c>
      <c r="G330" s="7" t="inlineStr">
        <is>
          <t>regional_IT_notes.docx</t>
        </is>
      </c>
      <c r="H330" s="7" t="inlineStr">
        <is>
          <t>Technician Claim</t>
        </is>
      </c>
      <c r="I330" s="7" t="inlineStr">
        <is>
          <t>Technician wrote about MD-00093 in regional_IT_notes.docx; treated as unverified.</t>
        </is>
      </c>
    </row>
    <row r="331">
      <c r="A331" s="7" t="inlineStr">
        <is>
          <t>MD-00093</t>
        </is>
      </c>
      <c r="B331" s="7" t="inlineStr">
        <is>
          <t>2026-08-09</t>
        </is>
      </c>
      <c r="C331" s="7" t="inlineStr">
        <is>
          <t>Policy Control Figure</t>
        </is>
      </c>
      <c r="D331" s="7" t="inlineStr">
        <is>
          <t>ITAM-001</t>
        </is>
      </c>
      <c r="E331" s="7" t="inlineStr"/>
      <c r="F331" s="7" t="inlineStr"/>
      <c r="G331" s="7" t="inlineStr">
        <is>
          <t>ITAM_control_matrix.png; IT_asset_management_policy.pdf</t>
        </is>
      </c>
      <c r="H331" s="7" t="inlineStr">
        <is>
          <t>Confirmed Fact</t>
        </is>
      </c>
      <c r="I331" s="7" t="inlineStr">
        <is>
          <t>Unknown custody review for MD-00093 used the disposal column on the matrix. Source trail: TR-00093, PO-2025-0016, FA-000093, OFF-00093, APR-00093.</t>
        </is>
      </c>
    </row>
    <row r="332">
      <c r="A332" s="7" t="inlineStr">
        <is>
          <t>MD-00093</t>
        </is>
      </c>
      <c r="B332" s="7" t="inlineStr">
        <is>
          <t>2026-08-09</t>
        </is>
      </c>
      <c r="C332" s="7" t="inlineStr">
        <is>
          <t>Unresolved Assumption</t>
        </is>
      </c>
      <c r="D332" s="7" t="inlineStr"/>
      <c r="E332" s="7" t="inlineStr"/>
      <c r="F332" s="7" t="inlineStr"/>
      <c r="G332" s="7" t="inlineStr">
        <is>
          <t>Reconciliation</t>
        </is>
      </c>
      <c r="H332" s="7" t="inlineStr">
        <is>
          <t>Unresolved Assumption</t>
        </is>
      </c>
      <c r="I332" s="7" t="inlineStr">
        <is>
          <t>I won't invent a floor for MD-00093.</t>
        </is>
      </c>
    </row>
    <row r="333">
      <c r="A333" s="7" t="inlineStr">
        <is>
          <t>MD-00093</t>
        </is>
      </c>
      <c r="B333" s="7" t="inlineStr">
        <is>
          <t>2026-08-09</t>
        </is>
      </c>
      <c r="C333" s="7" t="inlineStr">
        <is>
          <t>Reconciliation Conclusion</t>
        </is>
      </c>
      <c r="D333" s="7" t="inlineStr">
        <is>
          <t>Evidence review</t>
        </is>
      </c>
      <c r="E333" s="7" t="inlineStr">
        <is>
          <t>E0081</t>
        </is>
      </c>
      <c r="F333" s="7" t="inlineStr">
        <is>
          <t>Unknown</t>
        </is>
      </c>
      <c r="G333" s="7" t="inlineStr">
        <is>
          <t>Ticket:OFF-00093; Transfer:TR-00093; LastRegisterLocation:Denver - Closed; TechnicianClaim:see custody chain; PO:PO-2025-0016; Ledger:FA-000093; PolicyFigure:ITAM_control_matrix.png</t>
        </is>
      </c>
      <c r="H333" s="7" t="inlineStr">
        <is>
          <t>Unresolved Assumption</t>
        </is>
      </c>
      <c r="I333" s="7" t="inlineStr">
        <is>
          <t>Wrap-up MD-00093: Missing (Low) - EX-0112, EX-0113. OFF-00093. TR-00093. PO. PO-2025-0016. FA-000093. ITAM_control_matrix.png.</t>
        </is>
      </c>
    </row>
    <row r="334">
      <c r="A334" s="7" t="inlineStr">
        <is>
          <t>MD-00094</t>
        </is>
      </c>
      <c r="B334" s="7" t="inlineStr">
        <is>
          <t>2024-11-23</t>
        </is>
      </c>
      <c r="C334" s="7" t="inlineStr">
        <is>
          <t>Purchase</t>
        </is>
      </c>
      <c r="D334" s="7" t="inlineStr">
        <is>
          <t>Vendor</t>
        </is>
      </c>
      <c r="E334" s="7" t="inlineStr">
        <is>
          <t>Central Receiving</t>
        </is>
      </c>
      <c r="F334" s="7" t="inlineStr">
        <is>
          <t>Atlanta Warehouse</t>
        </is>
      </c>
      <c r="G334" s="7" t="inlineStr">
        <is>
          <t>PO:PO-2025-0016</t>
        </is>
      </c>
      <c r="H334" s="7" t="inlineStr">
        <is>
          <t>Confirmed Fact</t>
        </is>
      </c>
      <c r="I334" s="7" t="inlineStr">
        <is>
          <t>Dell U2723QE came in on PO-2025-0016 ($655).</t>
        </is>
      </c>
    </row>
    <row r="335">
      <c r="A335" s="7" t="inlineStr">
        <is>
          <t>MD-00094</t>
        </is>
      </c>
      <c r="B335" s="7" t="inlineStr">
        <is>
          <t>2026-05-23</t>
        </is>
      </c>
      <c r="C335" s="7" t="inlineStr">
        <is>
          <t>Assignment/Transfer</t>
        </is>
      </c>
      <c r="D335" s="7" t="inlineStr">
        <is>
          <t>Central Receiving</t>
        </is>
      </c>
      <c r="E335" s="7" t="inlineStr">
        <is>
          <t>Unverified</t>
        </is>
      </c>
      <c r="F335" s="7" t="inlineStr">
        <is>
          <t>Unknown</t>
        </is>
      </c>
      <c r="G335" s="7" t="inlineStr">
        <is>
          <t>Transfer:TR-00094; Approval:APR-00094</t>
        </is>
      </c>
      <c r="H335" s="7" t="inlineStr">
        <is>
          <t>Confirmed Fact</t>
        </is>
      </c>
      <c r="I335" s="7" t="inlineStr">
        <is>
          <t>Recorded Jun 03, 2026, received 06/04/2026. TR-00094.</t>
        </is>
      </c>
    </row>
    <row r="336">
      <c r="A336" s="7" t="inlineStr">
        <is>
          <t>MD-00094</t>
        </is>
      </c>
      <c r="B336" s="7" t="inlineStr">
        <is>
          <t>2026-06-11</t>
        </is>
      </c>
      <c r="C336" s="7" t="inlineStr">
        <is>
          <t>Offboarding Ticket</t>
        </is>
      </c>
      <c r="D336" s="7" t="inlineStr">
        <is>
          <t>E0082</t>
        </is>
      </c>
      <c r="E336" s="7" t="inlineStr">
        <is>
          <t>IT Service Desk</t>
        </is>
      </c>
      <c r="F336" s="7" t="inlineStr"/>
      <c r="G336" s="7" t="inlineStr">
        <is>
          <t>Ticket:OFF-00094; Status:Unresolved</t>
        </is>
      </c>
      <c r="H336" s="7" t="inlineStr">
        <is>
          <t>Confirmed Fact</t>
        </is>
      </c>
      <c r="I336" s="7" t="inlineStr">
        <is>
          <t>Offboarding OFF-00094: Yes. Due 2026-07-15.</t>
        </is>
      </c>
    </row>
    <row r="337">
      <c r="A337" s="7" t="inlineStr">
        <is>
          <t>MD-00094</t>
        </is>
      </c>
      <c r="B337" s="7" t="inlineStr">
        <is>
          <t>2026-06-11</t>
        </is>
      </c>
      <c r="C337" s="7" t="inlineStr">
        <is>
          <t>Technician Comment</t>
        </is>
      </c>
      <c r="D337" s="7" t="inlineStr">
        <is>
          <t>Service Desk</t>
        </is>
      </c>
      <c r="E337" s="7" t="inlineStr"/>
      <c r="F337" s="7" t="inlineStr"/>
      <c r="G337" s="7" t="inlineStr">
        <is>
          <t>Ticket:OFF-00094</t>
        </is>
      </c>
      <c r="H337" s="7" t="inlineStr">
        <is>
          <t>Technician Claim</t>
        </is>
      </c>
      <c r="I337" s="7" t="inlineStr">
        <is>
          <t>Couldn't locate during Gemba. Treat as missing until we get a scan. Ref MD-00094.</t>
        </is>
      </c>
    </row>
    <row r="338">
      <c r="A338" s="7" t="inlineStr">
        <is>
          <t>MD-00094</t>
        </is>
      </c>
      <c r="B338" s="7" t="inlineStr">
        <is>
          <t>2026-08-05</t>
        </is>
      </c>
      <c r="C338" s="7" t="inlineStr">
        <is>
          <t>Regional IT Note Lead</t>
        </is>
      </c>
      <c r="D338" s="7" t="inlineStr">
        <is>
          <t>Regional IT</t>
        </is>
      </c>
      <c r="E338" s="7" t="inlineStr"/>
      <c r="F338" s="7" t="inlineStr">
        <is>
          <t>Chicago - Closed</t>
        </is>
      </c>
      <c r="G338" s="7" t="inlineStr">
        <is>
          <t>regional_IT_notes.docx</t>
        </is>
      </c>
      <c r="H338" s="7" t="inlineStr">
        <is>
          <t>Technician Claim</t>
        </is>
      </c>
      <c r="I338" s="7" t="inlineStr">
        <is>
          <t>Word-file breadcrumb on MD-00094: "IT float pool chat referenced this asset as 'still at closed site.' Chat is not an approva" - not authoritative.</t>
        </is>
      </c>
    </row>
    <row r="339">
      <c r="A339" s="7" t="inlineStr">
        <is>
          <t>MD-00094</t>
        </is>
      </c>
      <c r="B339" s="7" t="inlineStr">
        <is>
          <t>2026-08-09</t>
        </is>
      </c>
      <c r="C339" s="7" t="inlineStr">
        <is>
          <t>Policy Control Figure</t>
        </is>
      </c>
      <c r="D339" s="7" t="inlineStr">
        <is>
          <t>ITAM-001</t>
        </is>
      </c>
      <c r="E339" s="7" t="inlineStr"/>
      <c r="F339" s="7" t="inlineStr"/>
      <c r="G339" s="7" t="inlineStr">
        <is>
          <t>ITAM_control_matrix.png; IT_asset_management_policy.pdf</t>
        </is>
      </c>
      <c r="H339" s="7" t="inlineStr">
        <is>
          <t>Confirmed Fact</t>
        </is>
      </c>
      <c r="I339" s="7" t="inlineStr">
        <is>
          <t>MD-00094 / Dell U2723QE: return evidence expectations from Appendix A. Anchored to TR-00094, PO-2025-0016, FA-000094, OFF-00094, APR-00094; acquisition $655.</t>
        </is>
      </c>
    </row>
    <row r="340">
      <c r="A340" s="7" t="inlineStr">
        <is>
          <t>MD-00094</t>
        </is>
      </c>
      <c r="B340" s="7" t="inlineStr">
        <is>
          <t>2026-08-09</t>
        </is>
      </c>
      <c r="C340" s="7" t="inlineStr">
        <is>
          <t>Unresolved Assumption</t>
        </is>
      </c>
      <c r="D340" s="7" t="inlineStr"/>
      <c r="E340" s="7" t="inlineStr"/>
      <c r="F340" s="7" t="inlineStr"/>
      <c r="G340" s="7" t="inlineStr">
        <is>
          <t>Reconciliation</t>
        </is>
      </c>
      <c r="H340" s="7" t="inlineStr">
        <is>
          <t>Unresolved Assumption</t>
        </is>
      </c>
      <c r="I340" s="7" t="inlineStr">
        <is>
          <t>I won't invent a floor for MD-00094.</t>
        </is>
      </c>
    </row>
    <row r="341">
      <c r="A341" s="7" t="inlineStr">
        <is>
          <t>MD-00094</t>
        </is>
      </c>
      <c r="B341" s="7" t="inlineStr">
        <is>
          <t>2026-08-09</t>
        </is>
      </c>
      <c r="C341" s="7" t="inlineStr">
        <is>
          <t>Reconciliation Conclusion</t>
        </is>
      </c>
      <c r="D341" s="7" t="inlineStr">
        <is>
          <t>Evidence review</t>
        </is>
      </c>
      <c r="E341" s="7" t="inlineStr">
        <is>
          <t>E0082</t>
        </is>
      </c>
      <c r="F341" s="7" t="inlineStr">
        <is>
          <t>Unknown</t>
        </is>
      </c>
      <c r="G341" s="7" t="inlineStr">
        <is>
          <t>Ticket:OFF-00094; Transfer:TR-00094; LastRegisterLocation:Chicago - Closed; TechnicianClaim:see custody chain; PO:PO-2025-0016; Ledger:FA-000094; PolicyFigure:ITAM_control_matrix.png</t>
        </is>
      </c>
      <c r="H341" s="7" t="inlineStr">
        <is>
          <t>Unresolved Assumption</t>
        </is>
      </c>
      <c r="I341" s="7" t="inlineStr">
        <is>
          <t>Call on MD-00094: Missing, Low. EX-0114, EX-0115. OFF-00094. TR-00094. PO. PO-2025-0016. FA-000094. ITAM_control_matrix.png.</t>
        </is>
      </c>
    </row>
    <row r="342">
      <c r="A342" s="7" t="inlineStr">
        <is>
          <t>MD-00095</t>
        </is>
      </c>
      <c r="B342" s="7" t="inlineStr">
        <is>
          <t>2025-12-24</t>
        </is>
      </c>
      <c r="C342" s="7" t="inlineStr">
        <is>
          <t>Purchase</t>
        </is>
      </c>
      <c r="D342" s="7" t="inlineStr">
        <is>
          <t>Vendor</t>
        </is>
      </c>
      <c r="E342" s="7" t="inlineStr">
        <is>
          <t>Central Receiving</t>
        </is>
      </c>
      <c r="F342" s="7" t="inlineStr">
        <is>
          <t>Atlanta Warehouse</t>
        </is>
      </c>
      <c r="G342" s="7" t="inlineStr">
        <is>
          <t>PO:PO-2025-0016</t>
        </is>
      </c>
      <c r="H342" s="7" t="inlineStr">
        <is>
          <t>Confirmed Fact</t>
        </is>
      </c>
      <c r="I342" s="7" t="inlineStr">
        <is>
          <t>Procurement PO-2025-0016 lists Samsung Galaxy S24 / $1130.</t>
        </is>
      </c>
    </row>
    <row r="343">
      <c r="A343" s="7" t="inlineStr">
        <is>
          <t>MD-00095</t>
        </is>
      </c>
      <c r="B343" s="7" t="inlineStr">
        <is>
          <t>2026-06-24</t>
        </is>
      </c>
      <c r="C343" s="7" t="inlineStr">
        <is>
          <t>Assignment/Transfer</t>
        </is>
      </c>
      <c r="D343" s="7" t="inlineStr">
        <is>
          <t>Central Receiving</t>
        </is>
      </c>
      <c r="E343" s="7" t="inlineStr">
        <is>
          <t>Unverified</t>
        </is>
      </c>
      <c r="F343" s="7" t="inlineStr">
        <is>
          <t>Unknown</t>
        </is>
      </c>
      <c r="G343" s="7" t="inlineStr">
        <is>
          <t>Transfer:TR-00095; Approval:APR-00095</t>
        </is>
      </c>
      <c r="H343" s="7" t="inlineStr">
        <is>
          <t>Confirmed Fact</t>
        </is>
      </c>
      <c r="I343" s="7" t="inlineStr">
        <is>
          <t>From warehouse to Unverified. TR-00095, received Jul 08, 2026.</t>
        </is>
      </c>
    </row>
    <row r="344">
      <c r="A344" s="7" t="inlineStr">
        <is>
          <t>MD-00095</t>
        </is>
      </c>
      <c r="B344" s="7" t="inlineStr">
        <is>
          <t>2026-05-12</t>
        </is>
      </c>
      <c r="C344" s="7" t="inlineStr">
        <is>
          <t>Offboarding Ticket</t>
        </is>
      </c>
      <c r="D344" s="7" t="inlineStr">
        <is>
          <t>E0083</t>
        </is>
      </c>
      <c r="E344" s="7" t="inlineStr">
        <is>
          <t>IT Service Desk</t>
        </is>
      </c>
      <c r="F344" s="7" t="inlineStr"/>
      <c r="G344" s="7" t="inlineStr">
        <is>
          <t>Ticket:OFF-00095; Status:Unresolved</t>
        </is>
      </c>
      <c r="H344" s="7" t="inlineStr">
        <is>
          <t>Confirmed Fact</t>
        </is>
      </c>
      <c r="I344" s="7" t="inlineStr">
        <is>
          <t>Service desk OFF-00095 on MD-00095. Return required Yes.</t>
        </is>
      </c>
    </row>
    <row r="345">
      <c r="A345" s="7" t="inlineStr">
        <is>
          <t>MD-00095</t>
        </is>
      </c>
      <c r="B345" s="7" t="inlineStr">
        <is>
          <t>2026-05-12</t>
        </is>
      </c>
      <c r="C345" s="7" t="inlineStr">
        <is>
          <t>Technician Comment</t>
        </is>
      </c>
      <c r="D345" s="7" t="inlineStr">
        <is>
          <t>Service Desk</t>
        </is>
      </c>
      <c r="E345" s="7" t="inlineStr"/>
      <c r="F345" s="7" t="inlineStr"/>
      <c r="G345" s="7" t="inlineStr">
        <is>
          <t>Ticket:OFF-00095</t>
        </is>
      </c>
      <c r="H345" s="7" t="inlineStr">
        <is>
          <t>Technician Claim</t>
        </is>
      </c>
      <c r="I345" s="7" t="inlineStr">
        <is>
          <t>Claims security held it. Security book doesn't list the tag. Ref MD-00095.</t>
        </is>
      </c>
    </row>
    <row r="346">
      <c r="A346" s="7" t="inlineStr">
        <is>
          <t>MD-00095</t>
        </is>
      </c>
      <c r="B346" s="7" t="inlineStr">
        <is>
          <t>2026-08-05</t>
        </is>
      </c>
      <c r="C346" s="7" t="inlineStr">
        <is>
          <t>Regional IT Note Lead</t>
        </is>
      </c>
      <c r="D346" s="7" t="inlineStr">
        <is>
          <t>Regional IT</t>
        </is>
      </c>
      <c r="E346" s="7" t="inlineStr"/>
      <c r="F346" s="7" t="inlineStr">
        <is>
          <t>Denver - Closed</t>
        </is>
      </c>
      <c r="G346" s="7" t="inlineStr">
        <is>
          <t>regional_IT_notes.docx</t>
        </is>
      </c>
      <c r="H346" s="7" t="inlineStr">
        <is>
          <t>Technician Claim</t>
        </is>
      </c>
      <c r="I346" s="7" t="inlineStr">
        <is>
          <t>Word-file breadcrumb on MD-00095: "Vendor teardown crew said they saw a similar model on a pallet marked scrap hold. Asset ta" - not authoritative.</t>
        </is>
      </c>
    </row>
    <row r="347">
      <c r="A347" s="7" t="inlineStr">
        <is>
          <t>MD-00095</t>
        </is>
      </c>
      <c r="B347" s="7" t="inlineStr">
        <is>
          <t>2026-08-09</t>
        </is>
      </c>
      <c r="C347" s="7" t="inlineStr">
        <is>
          <t>Policy Control Figure</t>
        </is>
      </c>
      <c r="D347" s="7" t="inlineStr">
        <is>
          <t>ITAM-001</t>
        </is>
      </c>
      <c r="E347" s="7" t="inlineStr"/>
      <c r="F347" s="7" t="inlineStr"/>
      <c r="G347" s="7" t="inlineStr">
        <is>
          <t>ITAM_control_matrix.png; IT_asset_management_policy.pdf</t>
        </is>
      </c>
      <c r="H347" s="7" t="inlineStr">
        <is>
          <t>Confirmed Fact</t>
        </is>
      </c>
      <c r="I347" s="7" t="inlineStr">
        <is>
          <t>MD-00095 chain includes the figure as a return rubric (Low). Record set: TR-00095, PO-2025-0016, FA-000095, OFF-00095, APR-00095.</t>
        </is>
      </c>
    </row>
    <row r="348">
      <c r="A348" s="7" t="inlineStr">
        <is>
          <t>MD-00095</t>
        </is>
      </c>
      <c r="B348" s="7" t="inlineStr">
        <is>
          <t>2026-08-09</t>
        </is>
      </c>
      <c r="C348" s="7" t="inlineStr">
        <is>
          <t>Unresolved Assumption</t>
        </is>
      </c>
      <c r="D348" s="7" t="inlineStr"/>
      <c r="E348" s="7" t="inlineStr"/>
      <c r="F348" s="7" t="inlineStr"/>
      <c r="G348" s="7" t="inlineStr">
        <is>
          <t>Reconciliation</t>
        </is>
      </c>
      <c r="H348" s="7" t="inlineStr">
        <is>
          <t>Unresolved Assumption</t>
        </is>
      </c>
      <c r="I348" s="7" t="inlineStr">
        <is>
          <t>Unresolved. MD-00095 isn't in inbound or the cert file.</t>
        </is>
      </c>
    </row>
    <row r="349">
      <c r="A349" s="7" t="inlineStr">
        <is>
          <t>MD-00095</t>
        </is>
      </c>
      <c r="B349" s="7" t="inlineStr">
        <is>
          <t>2026-08-09</t>
        </is>
      </c>
      <c r="C349" s="7" t="inlineStr">
        <is>
          <t>Reconciliation Conclusion</t>
        </is>
      </c>
      <c r="D349" s="7" t="inlineStr">
        <is>
          <t>Evidence review</t>
        </is>
      </c>
      <c r="E349" s="7" t="inlineStr">
        <is>
          <t>E0083</t>
        </is>
      </c>
      <c r="F349" s="7" t="inlineStr">
        <is>
          <t>Unknown</t>
        </is>
      </c>
      <c r="G349" s="7" t="inlineStr">
        <is>
          <t>Ticket:OFF-00095; Transfer:TR-00095; LastRegisterLocation:Denver - Closed; TechnicianClaim:see custody chain; PO:PO-2025-0016; Ledger:FA-000095; PolicyFigure:ITAM_control_matrix.png</t>
        </is>
      </c>
      <c r="H349" s="7" t="inlineStr">
        <is>
          <t>Unresolved Assumption</t>
        </is>
      </c>
      <c r="I349" s="7" t="inlineStr">
        <is>
          <t>Closing MD-00095: Missing at Unknown (Low). EX-0116, EX-0117. OFF-00095. TR-00095. PO. PO-2025-0016. FA-000095. ITAM_control_matrix.png.</t>
        </is>
      </c>
    </row>
    <row r="350">
      <c r="A350" s="7" t="inlineStr">
        <is>
          <t>MD-00096</t>
        </is>
      </c>
      <c r="B350" s="7" t="inlineStr">
        <is>
          <t>2022-01-01</t>
        </is>
      </c>
      <c r="C350" s="7" t="inlineStr">
        <is>
          <t>Purchase</t>
        </is>
      </c>
      <c r="D350" s="7" t="inlineStr">
        <is>
          <t>Vendor</t>
        </is>
      </c>
      <c r="E350" s="7" t="inlineStr">
        <is>
          <t>Central Receiving</t>
        </is>
      </c>
      <c r="F350" s="7" t="inlineStr">
        <is>
          <t>Atlanta Warehouse</t>
        </is>
      </c>
      <c r="G350" s="7" t="inlineStr">
        <is>
          <t>PO:PO-2025-0016</t>
        </is>
      </c>
      <c r="H350" s="7" t="inlineStr">
        <is>
          <t>Confirmed Fact</t>
        </is>
      </c>
      <c r="I350" s="7" t="inlineStr">
        <is>
          <t>PO-2025-0016: Cisco C9300 at $6425.</t>
        </is>
      </c>
    </row>
    <row r="351">
      <c r="A351" s="7" t="inlineStr">
        <is>
          <t>MD-00096</t>
        </is>
      </c>
      <c r="B351" s="7" t="inlineStr">
        <is>
          <t>2026-01-01</t>
        </is>
      </c>
      <c r="C351" s="7" t="inlineStr">
        <is>
          <t>Assignment/Transfer</t>
        </is>
      </c>
      <c r="D351" s="7" t="inlineStr">
        <is>
          <t>Central Receiving</t>
        </is>
      </c>
      <c r="E351" s="7" t="inlineStr">
        <is>
          <t>Unverified</t>
        </is>
      </c>
      <c r="F351" s="7" t="inlineStr">
        <is>
          <t>Unknown</t>
        </is>
      </c>
      <c r="G351" s="7" t="inlineStr">
        <is>
          <t>Transfer:TR-00096; Approval:APR-00096</t>
        </is>
      </c>
      <c r="H351" s="7" t="inlineStr">
        <is>
          <t>Confirmed Fact</t>
        </is>
      </c>
      <c r="I351" s="7" t="inlineStr">
        <is>
          <t>Moved to Unverified in Unknown on TR-00096. Received 2026-01-19.</t>
        </is>
      </c>
    </row>
    <row r="352">
      <c r="A352" s="7" t="inlineStr">
        <is>
          <t>MD-00096</t>
        </is>
      </c>
      <c r="B352" s="7" t="inlineStr">
        <is>
          <t>2026-06-13</t>
        </is>
      </c>
      <c r="C352" s="7" t="inlineStr">
        <is>
          <t>Offboarding Ticket</t>
        </is>
      </c>
      <c r="D352" s="7" t="inlineStr">
        <is>
          <t>E0084</t>
        </is>
      </c>
      <c r="E352" s="7" t="inlineStr">
        <is>
          <t>IT Service Desk</t>
        </is>
      </c>
      <c r="F352" s="7" t="inlineStr"/>
      <c r="G352" s="7" t="inlineStr">
        <is>
          <t>Ticket:OFF-00096; Status:Unresolved</t>
        </is>
      </c>
      <c r="H352" s="7" t="inlineStr">
        <is>
          <t>Confirmed Fact</t>
        </is>
      </c>
      <c r="I352" s="7" t="inlineStr">
        <is>
          <t>Offboarding OFF-00096: Yes. Due Jul 15, 2026.</t>
        </is>
      </c>
    </row>
    <row r="353">
      <c r="A353" s="7" t="inlineStr">
        <is>
          <t>MD-00096</t>
        </is>
      </c>
      <c r="B353" s="7" t="inlineStr">
        <is>
          <t>2026-06-13</t>
        </is>
      </c>
      <c r="C353" s="7" t="inlineStr">
        <is>
          <t>Technician Comment</t>
        </is>
      </c>
      <c r="D353" s="7" t="inlineStr">
        <is>
          <t>Service Desk</t>
        </is>
      </c>
      <c r="E353" s="7" t="inlineStr"/>
      <c r="F353" s="7" t="inlineStr"/>
      <c r="G353" s="7" t="inlineStr">
        <is>
          <t>Ticket:OFF-00096</t>
        </is>
      </c>
      <c r="H353" s="7" t="inlineStr">
        <is>
          <t>Technician Claim</t>
        </is>
      </c>
      <c r="I353" s="7" t="inlineStr">
        <is>
          <t>Walkthrough photo of a cage - tag not readable. Still unresolved. Ref MD-00096.</t>
        </is>
      </c>
    </row>
    <row r="354">
      <c r="A354" s="7" t="inlineStr">
        <is>
          <t>MD-00096</t>
        </is>
      </c>
      <c r="B354" s="7" t="inlineStr">
        <is>
          <t>2026-08-05</t>
        </is>
      </c>
      <c r="C354" s="7" t="inlineStr">
        <is>
          <t>Regional IT Note Lead</t>
        </is>
      </c>
      <c r="D354" s="7" t="inlineStr">
        <is>
          <t>Regional IT</t>
        </is>
      </c>
      <c r="E354" s="7" t="inlineStr"/>
      <c r="F354" s="7" t="inlineStr">
        <is>
          <t>Chicago - Closed</t>
        </is>
      </c>
      <c r="G354" s="7" t="inlineStr">
        <is>
          <t>regional_IT_notes.docx</t>
        </is>
      </c>
      <c r="H354" s="7" t="inlineStr">
        <is>
          <t>Technician Claim</t>
        </is>
      </c>
      <c r="I354" s="7" t="inlineStr">
        <is>
          <t>Word-file breadcrumb on MD-00096: "Helpdesk comment claims the user dropped it with building security before last day. Securi" - not authoritative.</t>
        </is>
      </c>
    </row>
    <row r="355">
      <c r="A355" s="7" t="inlineStr">
        <is>
          <t>MD-00096</t>
        </is>
      </c>
      <c r="B355" s="7" t="inlineStr">
        <is>
          <t>2026-08-09</t>
        </is>
      </c>
      <c r="C355" s="7" t="inlineStr">
        <is>
          <t>Policy Control Figure</t>
        </is>
      </c>
      <c r="D355" s="7" t="inlineStr">
        <is>
          <t>ITAM-001</t>
        </is>
      </c>
      <c r="E355" s="7" t="inlineStr"/>
      <c r="F355" s="7" t="inlineStr"/>
      <c r="G355" s="7" t="inlineStr">
        <is>
          <t>ITAM_control_matrix.png; IT_asset_management_policy.pdf</t>
        </is>
      </c>
      <c r="H355" s="7" t="inlineStr">
        <is>
          <t>Confirmed Fact</t>
        </is>
      </c>
      <c r="I355" s="7" t="inlineStr">
        <is>
          <t>Matrix figure open for MD-00096 return path; transactional weight on TR-00096, PO-2025-0016, FA-000096, OFF-00096, APR-00096. Open exceptions EX-0118, EX-0119 still govern certification impact.</t>
        </is>
      </c>
    </row>
    <row r="356">
      <c r="A356" s="7" t="inlineStr">
        <is>
          <t>MD-00096</t>
        </is>
      </c>
      <c r="B356" s="7" t="inlineStr">
        <is>
          <t>2026-08-09</t>
        </is>
      </c>
      <c r="C356" s="7" t="inlineStr">
        <is>
          <t>Unresolved Assumption</t>
        </is>
      </c>
      <c r="D356" s="7" t="inlineStr"/>
      <c r="E356" s="7" t="inlineStr"/>
      <c r="F356" s="7" t="inlineStr"/>
      <c r="G356" s="7" t="inlineStr">
        <is>
          <t>Reconciliation</t>
        </is>
      </c>
      <c r="H356" s="7" t="inlineStr">
        <is>
          <t>Unresolved Assumption</t>
        </is>
      </c>
      <c r="I356" s="7" t="inlineStr">
        <is>
          <t>Unresolved. MD-00096 isn't in inbound or the cert file.</t>
        </is>
      </c>
    </row>
    <row r="357">
      <c r="A357" s="7" t="inlineStr">
        <is>
          <t>MD-00096</t>
        </is>
      </c>
      <c r="B357" s="7" t="inlineStr">
        <is>
          <t>2026-08-09</t>
        </is>
      </c>
      <c r="C357" s="7" t="inlineStr">
        <is>
          <t>Reconciliation Conclusion</t>
        </is>
      </c>
      <c r="D357" s="7" t="inlineStr">
        <is>
          <t>Evidence review</t>
        </is>
      </c>
      <c r="E357" s="7" t="inlineStr">
        <is>
          <t>E0084</t>
        </is>
      </c>
      <c r="F357" s="7" t="inlineStr">
        <is>
          <t>Unknown</t>
        </is>
      </c>
      <c r="G357" s="7" t="inlineStr">
        <is>
          <t>Ticket:OFF-00096; Transfer:TR-00096; LastRegisterLocation:Chicago - Closed; TechnicianClaim:see custody chain; PO:PO-2025-0016; Ledger:FA-000096; PolicyFigure:ITAM_control_matrix.png</t>
        </is>
      </c>
      <c r="H357" s="7" t="inlineStr">
        <is>
          <t>Unresolved Assumption</t>
        </is>
      </c>
      <c r="I357" s="7" t="inlineStr">
        <is>
          <t>MD-00096 custody narrative ends Missing (Low). EX-0118, EX-0119. OFF-00096. TR-00096. PO. PO-2025-0016. FA-000096. ITAM_control_matrix.png.</t>
        </is>
      </c>
    </row>
    <row r="358">
      <c r="A358" s="7" t="inlineStr">
        <is>
          <t>MD-00097</t>
        </is>
      </c>
      <c r="B358" s="7" t="inlineStr">
        <is>
          <t>2023-02-02</t>
        </is>
      </c>
      <c r="C358" s="7" t="inlineStr">
        <is>
          <t>Purchase</t>
        </is>
      </c>
      <c r="D358" s="7" t="inlineStr">
        <is>
          <t>Vendor</t>
        </is>
      </c>
      <c r="E358" s="7" t="inlineStr">
        <is>
          <t>Central Receiving</t>
        </is>
      </c>
      <c r="F358" s="7" t="inlineStr">
        <is>
          <t>Atlanta Warehouse</t>
        </is>
      </c>
      <c r="G358" s="7" t="inlineStr">
        <is>
          <t>PO:PO-2022-0017</t>
        </is>
      </c>
      <c r="H358" s="7" t="inlineStr">
        <is>
          <t>Confirmed Fact</t>
        </is>
      </c>
      <c r="I358" s="7" t="inlineStr">
        <is>
          <t>Ordered Lenovo ThinkPad T14 (MD-00097) on PO-2022-0017; $2120.</t>
        </is>
      </c>
    </row>
    <row r="359">
      <c r="A359" s="7" t="inlineStr">
        <is>
          <t>MD-00097</t>
        </is>
      </c>
      <c r="B359" s="7" t="inlineStr">
        <is>
          <t>2026-02-02</t>
        </is>
      </c>
      <c r="C359" s="7" t="inlineStr">
        <is>
          <t>Assignment/Transfer</t>
        </is>
      </c>
      <c r="D359" s="7" t="inlineStr">
        <is>
          <t>Central Receiving</t>
        </is>
      </c>
      <c r="E359" s="7" t="inlineStr">
        <is>
          <t>Unverified</t>
        </is>
      </c>
      <c r="F359" s="7" t="inlineStr">
        <is>
          <t>Unknown</t>
        </is>
      </c>
      <c r="G359" s="7" t="inlineStr">
        <is>
          <t>Transfer:TR-00097; Approval:APR-00097</t>
        </is>
      </c>
      <c r="H359" s="7" t="inlineStr">
        <is>
          <t>Confirmed Fact</t>
        </is>
      </c>
      <c r="I359" s="7" t="inlineStr">
        <is>
          <t>TR-00097 - got it 01/27/2026 at Unknown.</t>
        </is>
      </c>
    </row>
    <row r="360">
      <c r="A360" s="7" t="inlineStr">
        <is>
          <t>MD-00097</t>
        </is>
      </c>
      <c r="B360" s="7" t="inlineStr">
        <is>
          <t>2026-05-14</t>
        </is>
      </c>
      <c r="C360" s="7" t="inlineStr">
        <is>
          <t>Offboarding Ticket</t>
        </is>
      </c>
      <c r="D360" s="7" t="inlineStr">
        <is>
          <t>E0085</t>
        </is>
      </c>
      <c r="E360" s="7" t="inlineStr">
        <is>
          <t>IT Service Desk</t>
        </is>
      </c>
      <c r="F360" s="7" t="inlineStr"/>
      <c r="G360" s="7" t="inlineStr">
        <is>
          <t>Ticket:OFF-00097; Status:Unresolved</t>
        </is>
      </c>
      <c r="H360" s="7" t="inlineStr">
        <is>
          <t>Confirmed Fact</t>
        </is>
      </c>
      <c r="I360" s="7" t="inlineStr">
        <is>
          <t>Service desk OFF-00097 on MD-00097. Return required Yes.</t>
        </is>
      </c>
    </row>
    <row r="361">
      <c r="A361" s="7" t="inlineStr">
        <is>
          <t>MD-00097</t>
        </is>
      </c>
      <c r="B361" s="7" t="inlineStr">
        <is>
          <t>2026-05-14</t>
        </is>
      </c>
      <c r="C361" s="7" t="inlineStr">
        <is>
          <t>Technician Comment</t>
        </is>
      </c>
      <c r="D361" s="7" t="inlineStr">
        <is>
          <t>Service Desk</t>
        </is>
      </c>
      <c r="E361" s="7" t="inlineStr"/>
      <c r="F361" s="7" t="inlineStr"/>
      <c r="G361" s="7" t="inlineStr">
        <is>
          <t>Ticket:OFF-00097</t>
        </is>
      </c>
      <c r="H361" s="7" t="inlineStr">
        <is>
          <t>Technician Claim</t>
        </is>
      </c>
      <c r="I361" s="7" t="inlineStr">
        <is>
          <t>User's last Slack: 'left it in the old MDF.' Unverified. Ref MD-00097.</t>
        </is>
      </c>
    </row>
    <row r="362">
      <c r="A362" s="7" t="inlineStr">
        <is>
          <t>MD-00097</t>
        </is>
      </c>
      <c r="B362" s="7" t="inlineStr">
        <is>
          <t>2026-08-05</t>
        </is>
      </c>
      <c r="C362" s="7" t="inlineStr">
        <is>
          <t>Regional IT Note Lead</t>
        </is>
      </c>
      <c r="D362" s="7" t="inlineStr">
        <is>
          <t>Regional IT</t>
        </is>
      </c>
      <c r="E362" s="7" t="inlineStr"/>
      <c r="F362" s="7" t="inlineStr">
        <is>
          <t>Denver - Closed</t>
        </is>
      </c>
      <c r="G362" s="7" t="inlineStr">
        <is>
          <t>regional_IT_notes.docx</t>
        </is>
      </c>
      <c r="H362" s="7" t="inlineStr">
        <is>
          <t>Technician Claim</t>
        </is>
      </c>
      <c r="I362" s="7" t="inlineStr">
        <is>
          <t>Word-file breadcrumb on MD-00097: "Regional spare inventory spreadsheet (offline) listed a placeholder row for this tag with " - not authoritative.</t>
        </is>
      </c>
    </row>
    <row r="363">
      <c r="A363" s="7" t="inlineStr">
        <is>
          <t>MD-00097</t>
        </is>
      </c>
      <c r="B363" s="7" t="inlineStr">
        <is>
          <t>2026-08-09</t>
        </is>
      </c>
      <c r="C363" s="7" t="inlineStr">
        <is>
          <t>Policy Control Figure</t>
        </is>
      </c>
      <c r="D363" s="7" t="inlineStr">
        <is>
          <t>ITAM-001</t>
        </is>
      </c>
      <c r="E363" s="7" t="inlineStr"/>
      <c r="F363" s="7" t="inlineStr"/>
      <c r="G363" s="7" t="inlineStr">
        <is>
          <t>ITAM_control_matrix.png; IT_asset_management_policy.pdf</t>
        </is>
      </c>
      <c r="H363" s="7" t="inlineStr">
        <is>
          <t>Confirmed Fact</t>
        </is>
      </c>
      <c r="I363" s="7" t="inlineStr">
        <is>
          <t>Matrix figure open for MD-00097 return path; transactional weight on TR-00097, PO-2022-0017, FA-000097, OFF-00097, APR-00097. Open exceptions EX-0120, EX-0121 still govern certification impact.</t>
        </is>
      </c>
    </row>
    <row r="364">
      <c r="A364" s="7" t="inlineStr">
        <is>
          <t>MD-00097</t>
        </is>
      </c>
      <c r="B364" s="7" t="inlineStr">
        <is>
          <t>2026-08-09</t>
        </is>
      </c>
      <c r="C364" s="7" t="inlineStr">
        <is>
          <t>Unresolved Assumption</t>
        </is>
      </c>
      <c r="D364" s="7" t="inlineStr"/>
      <c r="E364" s="7" t="inlineStr"/>
      <c r="F364" s="7" t="inlineStr"/>
      <c r="G364" s="7" t="inlineStr">
        <is>
          <t>Reconciliation</t>
        </is>
      </c>
      <c r="H364" s="7" t="inlineStr">
        <is>
          <t>Unresolved Assumption</t>
        </is>
      </c>
      <c r="I364" s="7" t="inlineStr">
        <is>
          <t>Unresolved. MD-00097 isn't in inbound or the cert file.</t>
        </is>
      </c>
    </row>
    <row r="365">
      <c r="A365" s="7" t="inlineStr">
        <is>
          <t>MD-00097</t>
        </is>
      </c>
      <c r="B365" s="7" t="inlineStr">
        <is>
          <t>2026-08-09</t>
        </is>
      </c>
      <c r="C365" s="7" t="inlineStr">
        <is>
          <t>Reconciliation Conclusion</t>
        </is>
      </c>
      <c r="D365" s="7" t="inlineStr">
        <is>
          <t>Evidence review</t>
        </is>
      </c>
      <c r="E365" s="7" t="inlineStr">
        <is>
          <t>E0085</t>
        </is>
      </c>
      <c r="F365" s="7" t="inlineStr">
        <is>
          <t>Unknown</t>
        </is>
      </c>
      <c r="G365" s="7" t="inlineStr">
        <is>
          <t>Ticket:OFF-00097; Transfer:TR-00097; LastRegisterLocation:Denver - Closed; TechnicianClaim:see custody chain; PO:PO-2022-0017; Ledger:FA-000097; PolicyFigure:ITAM_control_matrix.png</t>
        </is>
      </c>
      <c r="H365" s="7" t="inlineStr">
        <is>
          <t>Unresolved Assumption</t>
        </is>
      </c>
      <c r="I365" s="7" t="inlineStr">
        <is>
          <t>I am standing on Missing for MD-00097 (Unknown, Low). EX-0120, EX-0121. OFF-00097. TR-00097. PO. PO-2022-0017. FA-000097. ITAM_control_matrix.png.</t>
        </is>
      </c>
    </row>
    <row r="366">
      <c r="A366" s="7" t="inlineStr">
        <is>
          <t>MD-00098</t>
        </is>
      </c>
      <c r="B366" s="7" t="inlineStr">
        <is>
          <t>2024-03-03</t>
        </is>
      </c>
      <c r="C366" s="7" t="inlineStr">
        <is>
          <t>Purchase</t>
        </is>
      </c>
      <c r="D366" s="7" t="inlineStr">
        <is>
          <t>Vendor</t>
        </is>
      </c>
      <c r="E366" s="7" t="inlineStr">
        <is>
          <t>Central Receiving</t>
        </is>
      </c>
      <c r="F366" s="7" t="inlineStr">
        <is>
          <t>Atlanta Warehouse</t>
        </is>
      </c>
      <c r="G366" s="7" t="inlineStr">
        <is>
          <t>PO:PO-2022-0017</t>
        </is>
      </c>
      <c r="H366" s="7" t="inlineStr">
        <is>
          <t>Confirmed Fact</t>
        </is>
      </c>
      <c r="I366" s="7" t="inlineStr">
        <is>
          <t>Receiving against PO-2022-0017. Dell U2723QE, $520.</t>
        </is>
      </c>
    </row>
    <row r="367">
      <c r="A367" s="7" t="inlineStr">
        <is>
          <t>MD-00098</t>
        </is>
      </c>
      <c r="B367" s="7" t="inlineStr">
        <is>
          <t>2026-03-03</t>
        </is>
      </c>
      <c r="C367" s="7" t="inlineStr">
        <is>
          <t>Assignment/Transfer</t>
        </is>
      </c>
      <c r="D367" s="7" t="inlineStr">
        <is>
          <t>Central Receiving</t>
        </is>
      </c>
      <c r="E367" s="7" t="inlineStr">
        <is>
          <t>Unverified</t>
        </is>
      </c>
      <c r="F367" s="7" t="inlineStr">
        <is>
          <t>Unknown</t>
        </is>
      </c>
      <c r="G367" s="7" t="inlineStr">
        <is>
          <t>Transfer:TR-00098; Approval:APR-00098</t>
        </is>
      </c>
      <c r="H367" s="7" t="inlineStr">
        <is>
          <t>Confirmed Fact</t>
        </is>
      </c>
      <c r="I367" s="7" t="inlineStr">
        <is>
          <t>Unknown: TR-00098 received Feb 24, 2026.</t>
        </is>
      </c>
    </row>
    <row r="368">
      <c r="A368" s="7" t="inlineStr">
        <is>
          <t>MD-00098</t>
        </is>
      </c>
      <c r="B368" s="7" t="inlineStr">
        <is>
          <t>2026-06-15</t>
        </is>
      </c>
      <c r="C368" s="7" t="inlineStr">
        <is>
          <t>Offboarding Ticket</t>
        </is>
      </c>
      <c r="D368" s="7" t="inlineStr">
        <is>
          <t>E0086</t>
        </is>
      </c>
      <c r="E368" s="7" t="inlineStr">
        <is>
          <t>IT Service Desk</t>
        </is>
      </c>
      <c r="F368" s="7" t="inlineStr"/>
      <c r="G368" s="7" t="inlineStr">
        <is>
          <t>Ticket:OFF-00098; Status:Unresolved</t>
        </is>
      </c>
      <c r="H368" s="7" t="inlineStr">
        <is>
          <t>Confirmed Fact</t>
        </is>
      </c>
      <c r="I368" s="7" t="inlineStr">
        <is>
          <t>OFF-00098 Unresolved. Return required=Yes, due 07/15/2026.</t>
        </is>
      </c>
    </row>
    <row r="369">
      <c r="A369" s="7" t="inlineStr">
        <is>
          <t>MD-00098</t>
        </is>
      </c>
      <c r="B369" s="7" t="inlineStr">
        <is>
          <t>2026-06-15</t>
        </is>
      </c>
      <c r="C369" s="7" t="inlineStr">
        <is>
          <t>Technician Comment</t>
        </is>
      </c>
      <c r="D369" s="7" t="inlineStr">
        <is>
          <t>Service Desk</t>
        </is>
      </c>
      <c r="E369" s="7" t="inlineStr"/>
      <c r="F369" s="7" t="inlineStr"/>
      <c r="G369" s="7" t="inlineStr">
        <is>
          <t>Ticket:OFF-00098</t>
        </is>
      </c>
      <c r="H369" s="7" t="inlineStr">
        <is>
          <t>Technician Claim</t>
        </is>
      </c>
      <c r="I369" s="7" t="inlineStr">
        <is>
          <t>Ticket parked Unresolved because closed-site access needs facilities. Ref MD-00098.</t>
        </is>
      </c>
    </row>
    <row r="370">
      <c r="A370" s="7" t="inlineStr">
        <is>
          <t>MD-00098</t>
        </is>
      </c>
      <c r="B370" s="7" t="inlineStr">
        <is>
          <t>2026-08-05</t>
        </is>
      </c>
      <c r="C370" s="7" t="inlineStr">
        <is>
          <t>Regional IT Note Lead</t>
        </is>
      </c>
      <c r="D370" s="7" t="inlineStr">
        <is>
          <t>Regional IT</t>
        </is>
      </c>
      <c r="E370" s="7" t="inlineStr"/>
      <c r="F370" s="7" t="inlineStr">
        <is>
          <t>Chicago - Closed</t>
        </is>
      </c>
      <c r="G370" s="7" t="inlineStr">
        <is>
          <t>regional_IT_notes.docx</t>
        </is>
      </c>
      <c r="H370" s="7" t="inlineStr">
        <is>
          <t>Technician Claim</t>
        </is>
      </c>
      <c r="I370" s="7" t="inlineStr">
        <is>
          <t>Word-file breadcrumb on MD-00098: "Move captain's email guessed the device rode with furniture to storage. Furniture BOL does" - not authoritative.</t>
        </is>
      </c>
    </row>
    <row r="371">
      <c r="A371" s="7" t="inlineStr">
        <is>
          <t>MD-00098</t>
        </is>
      </c>
      <c r="B371" s="7" t="inlineStr">
        <is>
          <t>2026-08-09</t>
        </is>
      </c>
      <c r="C371" s="7" t="inlineStr">
        <is>
          <t>Policy Control Figure</t>
        </is>
      </c>
      <c r="D371" s="7" t="inlineStr">
        <is>
          <t>ITAM-001</t>
        </is>
      </c>
      <c r="E371" s="7" t="inlineStr"/>
      <c r="F371" s="7" t="inlineStr"/>
      <c r="G371" s="7" t="inlineStr">
        <is>
          <t>ITAM_control_matrix.png; IT_asset_management_policy.pdf</t>
        </is>
      </c>
      <c r="H371" s="7" t="inlineStr">
        <is>
          <t>Confirmed Fact</t>
        </is>
      </c>
      <c r="I371" s="7" t="inlineStr">
        <is>
          <t>MD-00098 / Dell U2723QE: return evidence expectations from Appendix A. Anchored to TR-00098, PO-2022-0017, FA-000098, OFF-00098, APR-00098; acquisition $520.</t>
        </is>
      </c>
    </row>
    <row r="372">
      <c r="A372" s="7" t="inlineStr">
        <is>
          <t>MD-00098</t>
        </is>
      </c>
      <c r="B372" s="7" t="inlineStr">
        <is>
          <t>2026-08-09</t>
        </is>
      </c>
      <c r="C372" s="7" t="inlineStr">
        <is>
          <t>Unresolved Assumption</t>
        </is>
      </c>
      <c r="D372" s="7" t="inlineStr"/>
      <c r="E372" s="7" t="inlineStr"/>
      <c r="F372" s="7" t="inlineStr"/>
      <c r="G372" s="7" t="inlineStr">
        <is>
          <t>Reconciliation</t>
        </is>
      </c>
      <c r="H372" s="7" t="inlineStr">
        <is>
          <t>Unresolved Assumption</t>
        </is>
      </c>
      <c r="I372" s="7" t="inlineStr">
        <is>
          <t>Unresolved. MD-00098 isn't in inbound or the cert file.</t>
        </is>
      </c>
    </row>
    <row r="373">
      <c r="A373" s="7" t="inlineStr">
        <is>
          <t>MD-00098</t>
        </is>
      </c>
      <c r="B373" s="7" t="inlineStr">
        <is>
          <t>2026-08-09</t>
        </is>
      </c>
      <c r="C373" s="7" t="inlineStr">
        <is>
          <t>Reconciliation Conclusion</t>
        </is>
      </c>
      <c r="D373" s="7" t="inlineStr">
        <is>
          <t>Evidence review</t>
        </is>
      </c>
      <c r="E373" s="7" t="inlineStr">
        <is>
          <t>E0086</t>
        </is>
      </c>
      <c r="F373" s="7" t="inlineStr">
        <is>
          <t>Unknown</t>
        </is>
      </c>
      <c r="G373" s="7" t="inlineStr">
        <is>
          <t>Ticket:OFF-00098; Transfer:TR-00098; LastRegisterLocation:Chicago - Closed; TechnicianClaim:see custody chain; PO:PO-2022-0017; Ledger:FA-000098; PolicyFigure:ITAM_control_matrix.png</t>
        </is>
      </c>
      <c r="H373" s="7" t="inlineStr">
        <is>
          <t>Unresolved Assumption</t>
        </is>
      </c>
      <c r="I373" s="7" t="inlineStr">
        <is>
          <t>Missing is the status for MD-00098 at Unknown; Low. EX-0122, EX-0123. OFF-00098. TR-00098. PO. PO-2022-0017. FA-000098. ITAM_control_matrix.png.</t>
        </is>
      </c>
    </row>
    <row r="374">
      <c r="A374" s="7" t="inlineStr">
        <is>
          <t>MD-00099</t>
        </is>
      </c>
      <c r="B374" s="7" t="inlineStr">
        <is>
          <t>2025-04-04</t>
        </is>
      </c>
      <c r="C374" s="7" t="inlineStr">
        <is>
          <t>Purchase</t>
        </is>
      </c>
      <c r="D374" s="7" t="inlineStr">
        <is>
          <t>Vendor</t>
        </is>
      </c>
      <c r="E374" s="7" t="inlineStr">
        <is>
          <t>Central Receiving</t>
        </is>
      </c>
      <c r="F374" s="7" t="inlineStr">
        <is>
          <t>Atlanta Warehouse</t>
        </is>
      </c>
      <c r="G374" s="7" t="inlineStr">
        <is>
          <t>PO:PO-2022-0017</t>
        </is>
      </c>
      <c r="H374" s="7" t="inlineStr">
        <is>
          <t>Confirmed Fact</t>
        </is>
      </c>
      <c r="I374" s="7" t="inlineStr">
        <is>
          <t>Warehouse receipt tied to PO-2022-0017. Samsung Galaxy S24.</t>
        </is>
      </c>
    </row>
    <row r="375">
      <c r="A375" s="7" t="inlineStr">
        <is>
          <t>MD-00099</t>
        </is>
      </c>
      <c r="B375" s="7" t="inlineStr">
        <is>
          <t>2026-04-04</t>
        </is>
      </c>
      <c r="C375" s="7" t="inlineStr">
        <is>
          <t>Assignment/Transfer</t>
        </is>
      </c>
      <c r="D375" s="7" t="inlineStr">
        <is>
          <t>Central Receiving</t>
        </is>
      </c>
      <c r="E375" s="7" t="inlineStr">
        <is>
          <t>Unverified</t>
        </is>
      </c>
      <c r="F375" s="7" t="inlineStr">
        <is>
          <t>Unknown</t>
        </is>
      </c>
      <c r="G375" s="7" t="inlineStr">
        <is>
          <t>Transfer:TR-00099; Approval:APR-00099</t>
        </is>
      </c>
      <c r="H375" s="7" t="inlineStr">
        <is>
          <t>Confirmed Fact</t>
        </is>
      </c>
      <c r="I375" s="7" t="inlineStr">
        <is>
          <t>TR-00099 03/31/2026; inbound 2026-04-02.</t>
        </is>
      </c>
    </row>
    <row r="376">
      <c r="A376" s="7" t="inlineStr">
        <is>
          <t>MD-00099</t>
        </is>
      </c>
      <c r="B376" s="7" t="inlineStr">
        <is>
          <t>2026-05-16</t>
        </is>
      </c>
      <c r="C376" s="7" t="inlineStr">
        <is>
          <t>Offboarding Ticket</t>
        </is>
      </c>
      <c r="D376" s="7" t="inlineStr">
        <is>
          <t>E0087</t>
        </is>
      </c>
      <c r="E376" s="7" t="inlineStr">
        <is>
          <t>IT Service Desk</t>
        </is>
      </c>
      <c r="F376" s="7" t="inlineStr"/>
      <c r="G376" s="7" t="inlineStr">
        <is>
          <t>Ticket:OFF-00099; Status:Unresolved</t>
        </is>
      </c>
      <c r="H376" s="7" t="inlineStr">
        <is>
          <t>Confirmed Fact</t>
        </is>
      </c>
      <c r="I376" s="7" t="inlineStr">
        <is>
          <t>OFF-00099 - Unresolved. Due Jul 15, 2026.</t>
        </is>
      </c>
    </row>
    <row r="377">
      <c r="A377" s="7" t="inlineStr">
        <is>
          <t>MD-00099</t>
        </is>
      </c>
      <c r="B377" s="7" t="inlineStr">
        <is>
          <t>2026-05-16</t>
        </is>
      </c>
      <c r="C377" s="7" t="inlineStr">
        <is>
          <t>Technician Comment</t>
        </is>
      </c>
      <c r="D377" s="7" t="inlineStr">
        <is>
          <t>Service Desk</t>
        </is>
      </c>
      <c r="E377" s="7" t="inlineStr"/>
      <c r="F377" s="7" t="inlineStr"/>
      <c r="G377" s="7" t="inlineStr">
        <is>
          <t>Ticket:OFF-00099</t>
        </is>
      </c>
      <c r="H377" s="7" t="inlineStr">
        <is>
          <t>Technician Claim</t>
        </is>
      </c>
      <c r="I377" s="7" t="inlineStr">
        <is>
          <t>No transfer out of the closed office on the log that matches this tag. Ref MD-00099.</t>
        </is>
      </c>
    </row>
    <row r="378">
      <c r="A378" s="7" t="inlineStr">
        <is>
          <t>MD-00099</t>
        </is>
      </c>
      <c r="B378" s="7" t="inlineStr">
        <is>
          <t>2026-08-05</t>
        </is>
      </c>
      <c r="C378" s="7" t="inlineStr">
        <is>
          <t>Regional IT Note Lead</t>
        </is>
      </c>
      <c r="D378" s="7" t="inlineStr">
        <is>
          <t>Regional IT</t>
        </is>
      </c>
      <c r="E378" s="7" t="inlineStr"/>
      <c r="F378" s="7" t="inlineStr">
        <is>
          <t>Denver - Closed</t>
        </is>
      </c>
      <c r="G378" s="7" t="inlineStr">
        <is>
          <t>regional_IT_notes.docx</t>
        </is>
      </c>
      <c r="H378" s="7" t="inlineStr">
        <is>
          <t>Technician Claim</t>
        </is>
      </c>
      <c r="I378" s="7" t="inlineStr">
        <is>
          <t>regional_IT_notes.docx mentions An intern's handwritten punch list includes this tag under 'find later.' No follow-up work - lead only for MD-00099.</t>
        </is>
      </c>
    </row>
    <row r="379">
      <c r="A379" s="7" t="inlineStr">
        <is>
          <t>MD-00099</t>
        </is>
      </c>
      <c r="B379" s="7" t="inlineStr">
        <is>
          <t>2026-08-09</t>
        </is>
      </c>
      <c r="C379" s="7" t="inlineStr">
        <is>
          <t>Policy Control Figure</t>
        </is>
      </c>
      <c r="D379" s="7" t="inlineStr">
        <is>
          <t>ITAM-001</t>
        </is>
      </c>
      <c r="E379" s="7" t="inlineStr"/>
      <c r="F379" s="7" t="inlineStr"/>
      <c r="G379" s="7" t="inlineStr">
        <is>
          <t>ITAM_control_matrix.png; IT_asset_management_policy.pdf</t>
        </is>
      </c>
      <c r="H379" s="7" t="inlineStr">
        <is>
          <t>Confirmed Fact</t>
        </is>
      </c>
      <c r="I379" s="7" t="inlineStr">
        <is>
          <t>Control matrix cited on MD-00099 for transfer only. Movement/finance proof stays with TR-00099, PO-2022-0017, FA-000099, OFF-00099, APR-00099; exceptions EX-0124, EX-0125.</t>
        </is>
      </c>
    </row>
    <row r="380">
      <c r="A380" s="7" t="inlineStr">
        <is>
          <t>MD-00099</t>
        </is>
      </c>
      <c r="B380" s="7" t="inlineStr">
        <is>
          <t>2026-08-09</t>
        </is>
      </c>
      <c r="C380" s="7" t="inlineStr">
        <is>
          <t>Unresolved Assumption</t>
        </is>
      </c>
      <c r="D380" s="7" t="inlineStr"/>
      <c r="E380" s="7" t="inlineStr"/>
      <c r="F380" s="7" t="inlineStr"/>
      <c r="G380" s="7" t="inlineStr">
        <is>
          <t>Reconciliation</t>
        </is>
      </c>
      <c r="H380" s="7" t="inlineStr">
        <is>
          <t>Unresolved Assumption</t>
        </is>
      </c>
      <c r="I380" s="7" t="inlineStr">
        <is>
          <t>Unresolved. MD-00099 isn't in inbound or the cert file.</t>
        </is>
      </c>
    </row>
    <row r="381">
      <c r="A381" s="7" t="inlineStr">
        <is>
          <t>MD-00099</t>
        </is>
      </c>
      <c r="B381" s="7" t="inlineStr">
        <is>
          <t>2026-08-09</t>
        </is>
      </c>
      <c r="C381" s="7" t="inlineStr">
        <is>
          <t>Reconciliation Conclusion</t>
        </is>
      </c>
      <c r="D381" s="7" t="inlineStr">
        <is>
          <t>Evidence review</t>
        </is>
      </c>
      <c r="E381" s="7" t="inlineStr">
        <is>
          <t>E0087</t>
        </is>
      </c>
      <c r="F381" s="7" t="inlineStr">
        <is>
          <t>Unknown</t>
        </is>
      </c>
      <c r="G381" s="7" t="inlineStr">
        <is>
          <t>Ticket:OFF-00099; Transfer:TR-00099; LastRegisterLocation:Denver - Closed; TechnicianClaim:see custody chain; PO:PO-2022-0017; Ledger:FA-000099; PolicyFigure:ITAM_control_matrix.png</t>
        </is>
      </c>
      <c r="H381" s="7" t="inlineStr">
        <is>
          <t>Unresolved Assumption</t>
        </is>
      </c>
      <c r="I381" s="7" t="inlineStr">
        <is>
          <t>Verified Missing for MD-00099 in Unknown. Low. EX-0124, EX-0125. OFF-00099. TR-00099. PO. PO-2022-0017. FA-000099. ITAM_control_matrix.png.</t>
        </is>
      </c>
    </row>
    <row r="382">
      <c r="A382" s="7" t="inlineStr">
        <is>
          <t>MD-00100</t>
        </is>
      </c>
      <c r="B382" s="7" t="inlineStr">
        <is>
          <t>2022-05-05</t>
        </is>
      </c>
      <c r="C382" s="7" t="inlineStr">
        <is>
          <t>Purchase</t>
        </is>
      </c>
      <c r="D382" s="7" t="inlineStr">
        <is>
          <t>Vendor</t>
        </is>
      </c>
      <c r="E382" s="7" t="inlineStr">
        <is>
          <t>Central Receiving</t>
        </is>
      </c>
      <c r="F382" s="7" t="inlineStr">
        <is>
          <t>Atlanta Warehouse</t>
        </is>
      </c>
      <c r="G382" s="7" t="inlineStr">
        <is>
          <t>PO:PO-2022-0017</t>
        </is>
      </c>
      <c r="H382" s="7" t="inlineStr">
        <is>
          <t>Confirmed Fact</t>
        </is>
      </c>
      <c r="I382" s="7" t="inlineStr">
        <is>
          <t>Capital buy MD-00100: Cisco C9300, $6290, PO-2022-0017.</t>
        </is>
      </c>
    </row>
    <row r="383">
      <c r="A383" s="7" t="inlineStr">
        <is>
          <t>MD-00100</t>
        </is>
      </c>
      <c r="B383" s="7" t="inlineStr">
        <is>
          <t>2026-05-05</t>
        </is>
      </c>
      <c r="C383" s="7" t="inlineStr">
        <is>
          <t>Assignment/Transfer</t>
        </is>
      </c>
      <c r="D383" s="7" t="inlineStr">
        <is>
          <t>Central Receiving</t>
        </is>
      </c>
      <c r="E383" s="7" t="inlineStr">
        <is>
          <t>Unverified</t>
        </is>
      </c>
      <c r="F383" s="7" t="inlineStr">
        <is>
          <t>Unknown</t>
        </is>
      </c>
      <c r="G383" s="7" t="inlineStr">
        <is>
          <t>Transfer:TR-00100; Approval:APR-00100</t>
        </is>
      </c>
      <c r="H383" s="7" t="inlineStr">
        <is>
          <t>Confirmed Fact</t>
        </is>
      </c>
      <c r="I383" s="7" t="inlineStr">
        <is>
          <t>TR-00100 - got it 05/05/2026 at Unknown.</t>
        </is>
      </c>
    </row>
    <row r="384">
      <c r="A384" s="7" t="inlineStr">
        <is>
          <t>MD-00100</t>
        </is>
      </c>
      <c r="B384" s="7" t="inlineStr">
        <is>
          <t>2026-06-17</t>
        </is>
      </c>
      <c r="C384" s="7" t="inlineStr">
        <is>
          <t>Offboarding Ticket</t>
        </is>
      </c>
      <c r="D384" s="7" t="inlineStr">
        <is>
          <t>E0088</t>
        </is>
      </c>
      <c r="E384" s="7" t="inlineStr">
        <is>
          <t>IT Service Desk</t>
        </is>
      </c>
      <c r="F384" s="7" t="inlineStr"/>
      <c r="G384" s="7" t="inlineStr">
        <is>
          <t>Ticket:OFF-00100; Status:Unresolved</t>
        </is>
      </c>
      <c r="H384" s="7" t="inlineStr">
        <is>
          <t>Confirmed Fact</t>
        </is>
      </c>
      <c r="I384" s="7" t="inlineStr">
        <is>
          <t>OFF-00100 - Unresolved. Due 2026-07-15.</t>
        </is>
      </c>
    </row>
    <row r="385">
      <c r="A385" s="7" t="inlineStr">
        <is>
          <t>MD-00100</t>
        </is>
      </c>
      <c r="B385" s="7" t="inlineStr">
        <is>
          <t>2026-06-17</t>
        </is>
      </c>
      <c r="C385" s="7" t="inlineStr">
        <is>
          <t>Technician Comment</t>
        </is>
      </c>
      <c r="D385" s="7" t="inlineStr">
        <is>
          <t>Service Desk</t>
        </is>
      </c>
      <c r="E385" s="7" t="inlineStr"/>
      <c r="F385" s="7" t="inlineStr"/>
      <c r="G385" s="7" t="inlineStr">
        <is>
          <t>Ticket:OFF-00100</t>
        </is>
      </c>
      <c r="H385" s="7" t="inlineStr">
        <is>
          <t>Technician Claim</t>
        </is>
      </c>
      <c r="I385" s="7" t="inlineStr">
        <is>
          <t>Asking CRE for cage inventory. Not a substitute for receiving. Ref MD-00100.</t>
        </is>
      </c>
    </row>
    <row r="386">
      <c r="A386" s="7" t="inlineStr">
        <is>
          <t>MD-00100</t>
        </is>
      </c>
      <c r="B386" s="7" t="inlineStr">
        <is>
          <t>2026-08-05</t>
        </is>
      </c>
      <c r="C386" s="7" t="inlineStr">
        <is>
          <t>Regional IT Note Lead</t>
        </is>
      </c>
      <c r="D386" s="7" t="inlineStr">
        <is>
          <t>Regional IT</t>
        </is>
      </c>
      <c r="E386" s="7" t="inlineStr"/>
      <c r="F386" s="7" t="inlineStr">
        <is>
          <t>Chicago - Closed</t>
        </is>
      </c>
      <c r="G386" s="7" t="inlineStr">
        <is>
          <t>regional_IT_notes.docx</t>
        </is>
      </c>
      <c r="H386" s="7" t="inlineStr">
        <is>
          <t>Technician Claim</t>
        </is>
      </c>
      <c r="I386" s="7" t="inlineStr">
        <is>
          <t>Technician wrote about MD-00100 in regional_IT_notes.docx; treated as unverified.</t>
        </is>
      </c>
    </row>
    <row r="387">
      <c r="A387" s="7" t="inlineStr">
        <is>
          <t>MD-00100</t>
        </is>
      </c>
      <c r="B387" s="7" t="inlineStr">
        <is>
          <t>2026-08-09</t>
        </is>
      </c>
      <c r="C387" s="7" t="inlineStr">
        <is>
          <t>Policy Control Figure</t>
        </is>
      </c>
      <c r="D387" s="7" t="inlineStr">
        <is>
          <t>ITAM-001</t>
        </is>
      </c>
      <c r="E387" s="7" t="inlineStr"/>
      <c r="F387" s="7" t="inlineStr"/>
      <c r="G387" s="7" t="inlineStr">
        <is>
          <t>ITAM_control_matrix.png; IT_asset_management_policy.pdf</t>
        </is>
      </c>
      <c r="H387" s="7" t="inlineStr">
        <is>
          <t>Confirmed Fact</t>
        </is>
      </c>
      <c r="I387" s="7" t="inlineStr">
        <is>
          <t>MD-00100 / Cisco C9300: disposal evidence expectations from Appendix A. Anchored to TR-00100, PO-2022-0017, FA-000100, OFF-00100, APR-00100; acquisition $6290.</t>
        </is>
      </c>
    </row>
    <row r="388">
      <c r="A388" s="7" t="inlineStr">
        <is>
          <t>MD-00100</t>
        </is>
      </c>
      <c r="B388" s="7" t="inlineStr">
        <is>
          <t>2026-08-09</t>
        </is>
      </c>
      <c r="C388" s="7" t="inlineStr">
        <is>
          <t>Unresolved Assumption</t>
        </is>
      </c>
      <c r="D388" s="7" t="inlineStr"/>
      <c r="E388" s="7" t="inlineStr"/>
      <c r="F388" s="7" t="inlineStr"/>
      <c r="G388" s="7" t="inlineStr">
        <is>
          <t>Reconciliation</t>
        </is>
      </c>
      <c r="H388" s="7" t="inlineStr">
        <is>
          <t>Unresolved Assumption</t>
        </is>
      </c>
      <c r="I388" s="7" t="inlineStr">
        <is>
          <t>I won't invent a floor for MD-00100.</t>
        </is>
      </c>
    </row>
    <row r="389">
      <c r="A389" s="7" t="inlineStr">
        <is>
          <t>MD-00100</t>
        </is>
      </c>
      <c r="B389" s="7" t="inlineStr">
        <is>
          <t>2026-08-09</t>
        </is>
      </c>
      <c r="C389" s="7" t="inlineStr">
        <is>
          <t>Reconciliation Conclusion</t>
        </is>
      </c>
      <c r="D389" s="7" t="inlineStr">
        <is>
          <t>Evidence review</t>
        </is>
      </c>
      <c r="E389" s="7" t="inlineStr">
        <is>
          <t>E0088</t>
        </is>
      </c>
      <c r="F389" s="7" t="inlineStr">
        <is>
          <t>Unknown</t>
        </is>
      </c>
      <c r="G389" s="7" t="inlineStr">
        <is>
          <t>Ticket:OFF-00100; Transfer:TR-00100; LastRegisterLocation:Chicago - Closed; TechnicianClaim:see custody chain; PO:PO-2022-0017; Ledger:FA-000100; PolicyFigure:ITAM_control_matrix.png</t>
        </is>
      </c>
      <c r="H389" s="7" t="inlineStr">
        <is>
          <t>Unresolved Assumption</t>
        </is>
      </c>
      <c r="I389" s="7" t="inlineStr">
        <is>
          <t>MD-00100 → Missing. Confidence Low. EX-0126, EX-0127. OFF-00100. TR-00100. PO. PO-2022-0017. FA-000100. ITAM_control_matrix.png.</t>
        </is>
      </c>
    </row>
    <row r="390">
      <c r="A390" s="7" t="inlineStr">
        <is>
          <t>MD-00101</t>
        </is>
      </c>
      <c r="B390" s="7" t="inlineStr">
        <is>
          <t>2023-06-06</t>
        </is>
      </c>
      <c r="C390" s="7" t="inlineStr">
        <is>
          <t>Purchase</t>
        </is>
      </c>
      <c r="D390" s="7" t="inlineStr">
        <is>
          <t>Vendor</t>
        </is>
      </c>
      <c r="E390" s="7" t="inlineStr">
        <is>
          <t>Central Receiving</t>
        </is>
      </c>
      <c r="F390" s="7" t="inlineStr">
        <is>
          <t>Atlanta Warehouse</t>
        </is>
      </c>
      <c r="G390" s="7" t="inlineStr">
        <is>
          <t>PO:PO-2022-0017</t>
        </is>
      </c>
      <c r="H390" s="7" t="inlineStr">
        <is>
          <t>Confirmed Fact</t>
        </is>
      </c>
      <c r="I390" s="7" t="inlineStr">
        <is>
          <t>Acquired MD-00101 (MacBook Pro 14) for $1985 via PO-2022-0017.</t>
        </is>
      </c>
    </row>
    <row r="391">
      <c r="A391" s="7" t="inlineStr">
        <is>
          <t>MD-00101</t>
        </is>
      </c>
      <c r="B391" s="7" t="inlineStr">
        <is>
          <t>2026-06-06</t>
        </is>
      </c>
      <c r="C391" s="7" t="inlineStr">
        <is>
          <t>Assignment/Transfer</t>
        </is>
      </c>
      <c r="D391" s="7" t="inlineStr">
        <is>
          <t>Central Receiving</t>
        </is>
      </c>
      <c r="E391" s="7" t="inlineStr">
        <is>
          <t>Regional IT</t>
        </is>
      </c>
      <c r="F391" s="7" t="inlineStr">
        <is>
          <t>Seattle</t>
        </is>
      </c>
      <c r="G391" s="7" t="inlineStr">
        <is>
          <t>Transfer:TR-00101; Approval:APR-00101</t>
        </is>
      </c>
      <c r="H391" s="7" t="inlineStr">
        <is>
          <t>Confirmed Fact</t>
        </is>
      </c>
      <c r="I391" s="7" t="inlineStr">
        <is>
          <t>Seattle: TR-00101 received Jun 07, 2026.</t>
        </is>
      </c>
    </row>
    <row r="392">
      <c r="A392" s="7" t="inlineStr">
        <is>
          <t>MD-00101</t>
        </is>
      </c>
      <c r="B392" s="7" t="inlineStr">
        <is>
          <t>2026-05-31</t>
        </is>
      </c>
      <c r="C392" s="7" t="inlineStr">
        <is>
          <t>Offboarding Ticket</t>
        </is>
      </c>
      <c r="D392" s="7" t="inlineStr">
        <is>
          <t>E0089</t>
        </is>
      </c>
      <c r="E392" s="7" t="inlineStr">
        <is>
          <t>IT Service Desk</t>
        </is>
      </c>
      <c r="F392" s="7" t="inlineStr"/>
      <c r="G392" s="7" t="inlineStr">
        <is>
          <t>Ticket:RET-00101; Status:Pending Disposal</t>
        </is>
      </c>
      <c r="H392" s="7" t="inlineStr">
        <is>
          <t>Confirmed Fact</t>
        </is>
      </c>
      <c r="I392" s="7" t="inlineStr">
        <is>
          <t>RET-00101 sits Pending Disposal. Hardware return not required per ticket.</t>
        </is>
      </c>
    </row>
    <row r="393">
      <c r="A393" s="7" t="inlineStr">
        <is>
          <t>MD-00101</t>
        </is>
      </c>
      <c r="B393" s="7" t="inlineStr">
        <is>
          <t>2026-05-31</t>
        </is>
      </c>
      <c r="C393" s="7" t="inlineStr">
        <is>
          <t>Technician Comment</t>
        </is>
      </c>
      <c r="D393" s="7" t="inlineStr">
        <is>
          <t>Service Desk</t>
        </is>
      </c>
      <c r="E393" s="7" t="inlineStr"/>
      <c r="F393" s="7" t="inlineStr"/>
      <c r="G393" s="7" t="inlineStr">
        <is>
          <t>Ticket:RET-00101</t>
        </is>
      </c>
      <c r="H393" s="7" t="inlineStr">
        <is>
          <t>Technician Claim</t>
        </is>
      </c>
      <c r="I393" s="7" t="inlineStr">
        <is>
          <t>Parked in pending-disposal bin after warranty died. Ref MD-00101.</t>
        </is>
      </c>
    </row>
    <row r="394">
      <c r="A394" s="7" t="inlineStr">
        <is>
          <t>MD-00101</t>
        </is>
      </c>
      <c r="B394" s="7" t="inlineStr">
        <is>
          <t>2026-08-05</t>
        </is>
      </c>
      <c r="C394" s="7" t="inlineStr">
        <is>
          <t>Regional IT Note Lead</t>
        </is>
      </c>
      <c r="D394" s="7" t="inlineStr">
        <is>
          <t>Regional IT</t>
        </is>
      </c>
      <c r="E394" s="7" t="inlineStr"/>
      <c r="F394" s="7" t="inlineStr">
        <is>
          <t>Denver - Closed</t>
        </is>
      </c>
      <c r="G394" s="7" t="inlineStr">
        <is>
          <t>regional_IT_notes.docx</t>
        </is>
      </c>
      <c r="H394" s="7" t="inlineStr">
        <is>
          <t>Technician Claim</t>
        </is>
      </c>
      <c r="I394" s="7" t="inlineStr">
        <is>
          <t>Word dump checked for MD-00101; no authoritative note found.</t>
        </is>
      </c>
    </row>
    <row r="395">
      <c r="A395" s="7" t="inlineStr">
        <is>
          <t>MD-00101</t>
        </is>
      </c>
      <c r="B395" s="7" t="inlineStr">
        <is>
          <t>2026-08-09</t>
        </is>
      </c>
      <c r="C395" s="7" t="inlineStr">
        <is>
          <t>Policy Control Figure</t>
        </is>
      </c>
      <c r="D395" s="7" t="inlineStr">
        <is>
          <t>ITAM-001</t>
        </is>
      </c>
      <c r="E395" s="7" t="inlineStr"/>
      <c r="F395" s="7" t="inlineStr"/>
      <c r="G395" s="7" t="inlineStr">
        <is>
          <t>ITAM_control_matrix.png; IT_asset_management_policy.pdf</t>
        </is>
      </c>
      <c r="H395" s="7" t="inlineStr">
        <is>
          <t>Confirmed Fact</t>
        </is>
      </c>
      <c r="I395" s="7" t="inlineStr">
        <is>
          <t>MD-00101 chain includes the figure as a transfer rubric (Medium). Record set: TR-00101, PO-2022-0017, FA-000101, RET-00101, APR-00101.</t>
        </is>
      </c>
    </row>
    <row r="396">
      <c r="A396" s="7" t="inlineStr">
        <is>
          <t>MD-00101</t>
        </is>
      </c>
      <c r="B396" s="7" t="inlineStr">
        <is>
          <t>2026-08-09</t>
        </is>
      </c>
      <c r="C396" s="7" t="inlineStr">
        <is>
          <t>Reconciliation Conclusion</t>
        </is>
      </c>
      <c r="D396" s="7" t="inlineStr">
        <is>
          <t>Evidence review</t>
        </is>
      </c>
      <c r="E396" s="7" t="inlineStr">
        <is>
          <t>Regional IT</t>
        </is>
      </c>
      <c r="F396" s="7" t="inlineStr">
        <is>
          <t>Seattle</t>
        </is>
      </c>
      <c r="G396" s="7" t="inlineStr">
        <is>
          <t>Ticket:RET-00101; Transfer:TR-00101; Certificate:missing; PO:PO-2022-0017; Ledger:FA-000101; PolicyFigure:ITAM_control_matrix.png</t>
        </is>
      </c>
      <c r="H396" s="7" t="inlineStr">
        <is>
          <t>Confirmed Fact</t>
        </is>
      </c>
      <c r="I396" s="7" t="inlineStr">
        <is>
          <t>I am standing on Retired/Pending Disposal for MD-00101 (Seattle, Medium). EX-0128, EX-0129. RET-00101. TR-00101. PO. PO-2022-0017. FA-000101. ITAM_control_matrix.png.</t>
        </is>
      </c>
    </row>
    <row r="397">
      <c r="A397" s="7" t="inlineStr">
        <is>
          <t>MD-00102</t>
        </is>
      </c>
      <c r="B397" s="7" t="inlineStr">
        <is>
          <t>2024-07-07</t>
        </is>
      </c>
      <c r="C397" s="7" t="inlineStr">
        <is>
          <t>Purchase</t>
        </is>
      </c>
      <c r="D397" s="7" t="inlineStr">
        <is>
          <t>Vendor</t>
        </is>
      </c>
      <c r="E397" s="7" t="inlineStr">
        <is>
          <t>Central Receiving</t>
        </is>
      </c>
      <c r="F397" s="7" t="inlineStr">
        <is>
          <t>Atlanta Warehouse</t>
        </is>
      </c>
      <c r="G397" s="7" t="inlineStr">
        <is>
          <t>PO:PO-2022-0017</t>
        </is>
      </c>
      <c r="H397" s="7" t="inlineStr">
        <is>
          <t>Confirmed Fact</t>
        </is>
      </c>
      <c r="I397" s="7" t="inlineStr">
        <is>
          <t>Receiving against PO-2022-0017. Dell U2723QE, $700.</t>
        </is>
      </c>
    </row>
    <row r="398">
      <c r="A398" s="7" t="inlineStr">
        <is>
          <t>MD-00102</t>
        </is>
      </c>
      <c r="B398" s="7" t="inlineStr">
        <is>
          <t>2026-01-07</t>
        </is>
      </c>
      <c r="C398" s="7" t="inlineStr">
        <is>
          <t>Assignment/Transfer</t>
        </is>
      </c>
      <c r="D398" s="7" t="inlineStr">
        <is>
          <t>Central Receiving</t>
        </is>
      </c>
      <c r="E398" s="7" t="inlineStr">
        <is>
          <t>Regional IT</t>
        </is>
      </c>
      <c r="F398" s="7" t="inlineStr">
        <is>
          <t>Atlanta</t>
        </is>
      </c>
      <c r="G398" s="7" t="inlineStr">
        <is>
          <t>Transfer:TR-00102; Approval:APR-00102</t>
        </is>
      </c>
      <c r="H398" s="7" t="inlineStr">
        <is>
          <t>Confirmed Fact</t>
        </is>
      </c>
      <c r="I398" s="7" t="inlineStr">
        <is>
          <t>MD-00102 inbound 01/11/2026 on TR-00102 / APR-00102.</t>
        </is>
      </c>
    </row>
    <row r="399">
      <c r="A399" s="7" t="inlineStr">
        <is>
          <t>MD-00102</t>
        </is>
      </c>
      <c r="B399" s="7" t="inlineStr">
        <is>
          <t>2026-05-31</t>
        </is>
      </c>
      <c r="C399" s="7" t="inlineStr">
        <is>
          <t>Offboarding Ticket</t>
        </is>
      </c>
      <c r="D399" s="7" t="inlineStr">
        <is>
          <t>E0090</t>
        </is>
      </c>
      <c r="E399" s="7" t="inlineStr">
        <is>
          <t>IT Service Desk</t>
        </is>
      </c>
      <c r="F399" s="7" t="inlineStr"/>
      <c r="G399" s="7" t="inlineStr">
        <is>
          <t>Ticket:RET-00102; Status:Pending Disposal</t>
        </is>
      </c>
      <c r="H399" s="7" t="inlineStr">
        <is>
          <t>Confirmed Fact</t>
        </is>
      </c>
      <c r="I399" s="7" t="inlineStr">
        <is>
          <t>RET-00102 - Pending Disposal. Due n/a.</t>
        </is>
      </c>
    </row>
    <row r="400">
      <c r="A400" s="7" t="inlineStr">
        <is>
          <t>MD-00102</t>
        </is>
      </c>
      <c r="B400" s="7" t="inlineStr">
        <is>
          <t>2026-05-31</t>
        </is>
      </c>
      <c r="C400" s="7" t="inlineStr">
        <is>
          <t>Technician Comment</t>
        </is>
      </c>
      <c r="D400" s="7" t="inlineStr">
        <is>
          <t>Service Desk</t>
        </is>
      </c>
      <c r="E400" s="7" t="inlineStr"/>
      <c r="F400" s="7" t="inlineStr"/>
      <c r="G400" s="7" t="inlineStr">
        <is>
          <t>Ticket:RET-00102</t>
        </is>
      </c>
      <c r="H400" s="7" t="inlineStr">
        <is>
          <t>Technician Claim</t>
        </is>
      </c>
      <c r="I400" s="7" t="inlineStr">
        <is>
          <t>Staged for July recycler run - cert not attached yet on some of these. Ref MD-00102.</t>
        </is>
      </c>
    </row>
    <row r="401">
      <c r="A401" s="7" t="inlineStr">
        <is>
          <t>MD-00102</t>
        </is>
      </c>
      <c r="B401" s="7" t="inlineStr">
        <is>
          <t>2026-08-05</t>
        </is>
      </c>
      <c r="C401" s="7" t="inlineStr">
        <is>
          <t>Regional IT Note Lead</t>
        </is>
      </c>
      <c r="D401" s="7" t="inlineStr">
        <is>
          <t>Regional IT</t>
        </is>
      </c>
      <c r="E401" s="7" t="inlineStr"/>
      <c r="F401" s="7" t="inlineStr">
        <is>
          <t>Chicago - Closed</t>
        </is>
      </c>
      <c r="G401" s="7" t="inlineStr">
        <is>
          <t>regional_IT_notes.docx</t>
        </is>
      </c>
      <c r="H401" s="7" t="inlineStr">
        <is>
          <t>Technician Claim</t>
        </is>
      </c>
      <c r="I401" s="7" t="inlineStr">
        <is>
          <t>Looked for MD-00102 in regional_IT_notes.docx; still need CSV/XLSX proof.</t>
        </is>
      </c>
    </row>
    <row r="402">
      <c r="A402" s="7" t="inlineStr">
        <is>
          <t>MD-00102</t>
        </is>
      </c>
      <c r="B402" s="7" t="inlineStr">
        <is>
          <t>2026-08-09</t>
        </is>
      </c>
      <c r="C402" s="7" t="inlineStr">
        <is>
          <t>Policy Control Figure</t>
        </is>
      </c>
      <c r="D402" s="7" t="inlineStr">
        <is>
          <t>ITAM-001</t>
        </is>
      </c>
      <c r="E402" s="7" t="inlineStr"/>
      <c r="F402" s="7" t="inlineStr"/>
      <c r="G402" s="7" t="inlineStr">
        <is>
          <t>ITAM_control_matrix.png; IT_asset_management_policy.pdf</t>
        </is>
      </c>
      <c r="H402" s="7" t="inlineStr">
        <is>
          <t>Confirmed Fact</t>
        </is>
      </c>
      <c r="I402" s="7" t="inlineStr">
        <is>
          <t>Atlanta custody review for MD-00102 used the transfer column on the matrix. Source trail: TR-00102, PO-2022-0017, FA-000102, RET-00102, APR-00102.</t>
        </is>
      </c>
    </row>
    <row r="403">
      <c r="A403" s="7" t="inlineStr">
        <is>
          <t>MD-00102</t>
        </is>
      </c>
      <c r="B403" s="7" t="inlineStr">
        <is>
          <t>2026-08-09</t>
        </is>
      </c>
      <c r="C403" s="7" t="inlineStr">
        <is>
          <t>Reconciliation Conclusion</t>
        </is>
      </c>
      <c r="D403" s="7" t="inlineStr">
        <is>
          <t>Evidence review</t>
        </is>
      </c>
      <c r="E403" s="7" t="inlineStr">
        <is>
          <t>Regional IT</t>
        </is>
      </c>
      <c r="F403" s="7" t="inlineStr">
        <is>
          <t>Atlanta</t>
        </is>
      </c>
      <c r="G403" s="7" t="inlineStr">
        <is>
          <t>Ticket:RET-00102; Transfer:TR-00102; Certificate:missing; PO:PO-2022-0017; Ledger:FA-000102; PolicyFigure:ITAM_control_matrix.png</t>
        </is>
      </c>
      <c r="H403" s="7" t="inlineStr">
        <is>
          <t>Confirmed Fact</t>
        </is>
      </c>
      <c r="I403" s="7" t="inlineStr">
        <is>
          <t>After the chain, MD-00102 is Retired/Pending Disposal / Atlanta (Medium). EX-0130, EX-0131, EX-0132. RET-00102. TR-00102. PO. PO-2022-0017. FA-000102. ITAM_control_matrix.png.</t>
        </is>
      </c>
    </row>
    <row r="404">
      <c r="A404" s="7" t="inlineStr">
        <is>
          <t>MD-00103</t>
        </is>
      </c>
      <c r="B404" s="7" t="inlineStr">
        <is>
          <t>2025-08-08</t>
        </is>
      </c>
      <c r="C404" s="7" t="inlineStr">
        <is>
          <t>Purchase</t>
        </is>
      </c>
      <c r="D404" s="7" t="inlineStr">
        <is>
          <t>Vendor</t>
        </is>
      </c>
      <c r="E404" s="7" t="inlineStr">
        <is>
          <t>Central Receiving</t>
        </is>
      </c>
      <c r="F404" s="7" t="inlineStr">
        <is>
          <t>Atlanta Warehouse</t>
        </is>
      </c>
      <c r="G404" s="7" t="inlineStr">
        <is>
          <t>PO:PO-2023-0018</t>
        </is>
      </c>
      <c r="H404" s="7" t="inlineStr">
        <is>
          <t>Confirmed Fact</t>
        </is>
      </c>
      <c r="I404" s="7" t="inlineStr">
        <is>
          <t>Acquired MD-00103 (Samsung Galaxy S24) for $1175 via PO-2023-0018.</t>
        </is>
      </c>
    </row>
    <row r="405">
      <c r="A405" s="7" t="inlineStr">
        <is>
          <t>MD-00103</t>
        </is>
      </c>
      <c r="B405" s="7" t="inlineStr">
        <is>
          <t>2026-02-08</t>
        </is>
      </c>
      <c r="C405" s="7" t="inlineStr">
        <is>
          <t>Assignment/Transfer</t>
        </is>
      </c>
      <c r="D405" s="7" t="inlineStr">
        <is>
          <t>Central Receiving</t>
        </is>
      </c>
      <c r="E405" s="7" t="inlineStr">
        <is>
          <t>Regional IT</t>
        </is>
      </c>
      <c r="F405" s="7" t="inlineStr">
        <is>
          <t>Chicago</t>
        </is>
      </c>
      <c r="G405" s="7" t="inlineStr">
        <is>
          <t>Transfer:TR-00103; Approval:APR-00103</t>
        </is>
      </c>
      <c r="H405" s="7" t="inlineStr">
        <is>
          <t>Confirmed Fact</t>
        </is>
      </c>
      <c r="I405" s="7" t="inlineStr">
        <is>
          <t>Chicago: TR-00103 received 2026-02-14.</t>
        </is>
      </c>
    </row>
    <row r="406">
      <c r="A406" s="7" t="inlineStr">
        <is>
          <t>MD-00103</t>
        </is>
      </c>
      <c r="B406" s="7" t="inlineStr">
        <is>
          <t>2026-05-31</t>
        </is>
      </c>
      <c r="C406" s="7" t="inlineStr">
        <is>
          <t>Offboarding Ticket</t>
        </is>
      </c>
      <c r="D406" s="7" t="inlineStr">
        <is>
          <t>E0091</t>
        </is>
      </c>
      <c r="E406" s="7" t="inlineStr">
        <is>
          <t>IT Service Desk</t>
        </is>
      </c>
      <c r="F406" s="7" t="inlineStr"/>
      <c r="G406" s="7" t="inlineStr">
        <is>
          <t>Ticket:RET-00103; Status:Pending Disposal</t>
        </is>
      </c>
      <c r="H406" s="7" t="inlineStr">
        <is>
          <t>Confirmed Fact</t>
        </is>
      </c>
      <c r="I406" s="7" t="inlineStr">
        <is>
          <t>RET-00103 sits Pending Disposal. Hardware return not required per ticket.</t>
        </is>
      </c>
    </row>
    <row r="407">
      <c r="A407" s="7" t="inlineStr">
        <is>
          <t>MD-00103</t>
        </is>
      </c>
      <c r="B407" s="7" t="inlineStr">
        <is>
          <t>2026-05-31</t>
        </is>
      </c>
      <c r="C407" s="7" t="inlineStr">
        <is>
          <t>Technician Comment</t>
        </is>
      </c>
      <c r="D407" s="7" t="inlineStr">
        <is>
          <t>Service Desk</t>
        </is>
      </c>
      <c r="E407" s="7" t="inlineStr"/>
      <c r="F407" s="7" t="inlineStr"/>
      <c r="G407" s="7" t="inlineStr">
        <is>
          <t>Ticket:RET-00103</t>
        </is>
      </c>
      <c r="H407" s="7" t="inlineStr">
        <is>
          <t>Technician Claim</t>
        </is>
      </c>
      <c r="I407" s="7" t="inlineStr">
        <is>
          <t>HDD pulled; chassis waiting paperwork. Ref MD-00103.</t>
        </is>
      </c>
    </row>
    <row r="408">
      <c r="A408" s="7" t="inlineStr">
        <is>
          <t>MD-00103</t>
        </is>
      </c>
      <c r="B408" s="7" t="inlineStr">
        <is>
          <t>2026-08-05</t>
        </is>
      </c>
      <c r="C408" s="7" t="inlineStr">
        <is>
          <t>Regional IT Note Lead</t>
        </is>
      </c>
      <c r="D408" s="7" t="inlineStr">
        <is>
          <t>Regional IT</t>
        </is>
      </c>
      <c r="E408" s="7" t="inlineStr"/>
      <c r="F408" s="7" t="inlineStr">
        <is>
          <t>Denver - Closed</t>
        </is>
      </c>
      <c r="G408" s="7" t="inlineStr">
        <is>
          <t>regional_IT_notes.docx</t>
        </is>
      </c>
      <c r="H408" s="7" t="inlineStr">
        <is>
          <t>Technician Claim</t>
        </is>
      </c>
      <c r="I408" s="7" t="inlineStr">
        <is>
          <t>Technician prose on MD-00103 stays out of the custody conclusion.</t>
        </is>
      </c>
    </row>
    <row r="409">
      <c r="A409" s="7" t="inlineStr">
        <is>
          <t>MD-00103</t>
        </is>
      </c>
      <c r="B409" s="7" t="inlineStr">
        <is>
          <t>2026-08-09</t>
        </is>
      </c>
      <c r="C409" s="7" t="inlineStr">
        <is>
          <t>Policy Control Figure</t>
        </is>
      </c>
      <c r="D409" s="7" t="inlineStr">
        <is>
          <t>ITAM-001</t>
        </is>
      </c>
      <c r="E409" s="7" t="inlineStr"/>
      <c r="F409" s="7" t="inlineStr"/>
      <c r="G409" s="7" t="inlineStr">
        <is>
          <t>ITAM_control_matrix.png; IT_asset_management_policy.pdf</t>
        </is>
      </c>
      <c r="H409" s="7" t="inlineStr">
        <is>
          <t>Confirmed Fact</t>
        </is>
      </c>
      <c r="I409" s="7" t="inlineStr">
        <is>
          <t>MD-00103 chain includes the figure as a financial rubric (Medium). Record set: TR-00103, PO-2023-0018, FA-000103, RET-00103, APR-00103.</t>
        </is>
      </c>
    </row>
    <row r="410">
      <c r="A410" s="7" t="inlineStr">
        <is>
          <t>MD-00103</t>
        </is>
      </c>
      <c r="B410" s="7" t="inlineStr">
        <is>
          <t>2026-08-09</t>
        </is>
      </c>
      <c r="C410" s="7" t="inlineStr">
        <is>
          <t>Reconciliation Conclusion</t>
        </is>
      </c>
      <c r="D410" s="7" t="inlineStr">
        <is>
          <t>Evidence review</t>
        </is>
      </c>
      <c r="E410" s="7" t="inlineStr">
        <is>
          <t>Regional IT</t>
        </is>
      </c>
      <c r="F410" s="7" t="inlineStr">
        <is>
          <t>Chicago</t>
        </is>
      </c>
      <c r="G410" s="7" t="inlineStr">
        <is>
          <t>Ticket:RET-00103; Transfer:TR-00103; Certificate:missing; PO:PO-2023-0018; Ledger:FA-000103; PolicyFigure:ITAM_control_matrix.png</t>
        </is>
      </c>
      <c r="H410" s="7" t="inlineStr">
        <is>
          <t>Confirmed Fact</t>
        </is>
      </c>
      <c r="I410" s="7" t="inlineStr">
        <is>
          <t>Final read MD-00103: Retired/Pending Disposal @ Chicago, confidence Medium. EX-0133, EX-0134. RET-00103. TR-00103. PO. PO-2023-0018. FA-000103. ITAM_control_matrix.png.</t>
        </is>
      </c>
    </row>
    <row r="411">
      <c r="A411" s="7" t="inlineStr">
        <is>
          <t>MD-00104</t>
        </is>
      </c>
      <c r="B411" s="7" t="inlineStr">
        <is>
          <t>2022-09-09</t>
        </is>
      </c>
      <c r="C411" s="7" t="inlineStr">
        <is>
          <t>Purchase</t>
        </is>
      </c>
      <c r="D411" s="7" t="inlineStr">
        <is>
          <t>Vendor</t>
        </is>
      </c>
      <c r="E411" s="7" t="inlineStr">
        <is>
          <t>Central Receiving</t>
        </is>
      </c>
      <c r="F411" s="7" t="inlineStr">
        <is>
          <t>Atlanta Warehouse</t>
        </is>
      </c>
      <c r="G411" s="7" t="inlineStr">
        <is>
          <t>PO:PO-2023-0018</t>
        </is>
      </c>
      <c r="H411" s="7" t="inlineStr">
        <is>
          <t>Confirmed Fact</t>
        </is>
      </c>
      <c r="I411" s="7" t="inlineStr">
        <is>
          <t>$6470 Cisco C9300. PO-2023-0018.</t>
        </is>
      </c>
    </row>
    <row r="412">
      <c r="A412" s="7" t="inlineStr">
        <is>
          <t>MD-00104</t>
        </is>
      </c>
      <c r="B412" s="7" t="inlineStr">
        <is>
          <t>2026-03-09</t>
        </is>
      </c>
      <c r="C412" s="7" t="inlineStr">
        <is>
          <t>Assignment/Transfer</t>
        </is>
      </c>
      <c r="D412" s="7" t="inlineStr">
        <is>
          <t>Central Receiving</t>
        </is>
      </c>
      <c r="E412" s="7" t="inlineStr">
        <is>
          <t>Regional IT</t>
        </is>
      </c>
      <c r="F412" s="7" t="inlineStr">
        <is>
          <t>Dallas</t>
        </is>
      </c>
      <c r="G412" s="7" t="inlineStr">
        <is>
          <t>Transfer:TR-00104; Approval:APR-00104</t>
        </is>
      </c>
      <c r="H412" s="7" t="inlineStr">
        <is>
          <t>Confirmed Fact</t>
        </is>
      </c>
      <c r="I412" s="7" t="inlineStr">
        <is>
          <t>Dock file shows Mar 18, 2026 for TR-00104 (MD-00104).</t>
        </is>
      </c>
    </row>
    <row r="413">
      <c r="A413" s="7" t="inlineStr">
        <is>
          <t>MD-00104</t>
        </is>
      </c>
      <c r="B413" s="7" t="inlineStr">
        <is>
          <t>2026-05-31</t>
        </is>
      </c>
      <c r="C413" s="7" t="inlineStr">
        <is>
          <t>Offboarding Ticket</t>
        </is>
      </c>
      <c r="D413" s="7" t="inlineStr">
        <is>
          <t>E0092</t>
        </is>
      </c>
      <c r="E413" s="7" t="inlineStr">
        <is>
          <t>IT Service Desk</t>
        </is>
      </c>
      <c r="F413" s="7" t="inlineStr"/>
      <c r="G413" s="7" t="inlineStr">
        <is>
          <t>Ticket:RET-00104; Status:Pending Disposal</t>
        </is>
      </c>
      <c r="H413" s="7" t="inlineStr">
        <is>
          <t>Confirmed Fact</t>
        </is>
      </c>
      <c r="I413" s="7" t="inlineStr">
        <is>
          <t>Service desk RET-00104 on MD-00104. Return required No.</t>
        </is>
      </c>
    </row>
    <row r="414">
      <c r="A414" s="7" t="inlineStr">
        <is>
          <t>MD-00104</t>
        </is>
      </c>
      <c r="B414" s="7" t="inlineStr">
        <is>
          <t>2026-05-31</t>
        </is>
      </c>
      <c r="C414" s="7" t="inlineStr">
        <is>
          <t>Technician Comment</t>
        </is>
      </c>
      <c r="D414" s="7" t="inlineStr">
        <is>
          <t>Service Desk</t>
        </is>
      </c>
      <c r="E414" s="7" t="inlineStr"/>
      <c r="F414" s="7" t="inlineStr"/>
      <c r="G414" s="7" t="inlineStr">
        <is>
          <t>Ticket:RET-00104</t>
        </is>
      </c>
      <c r="H414" s="7" t="inlineStr">
        <is>
          <t>Technician Claim</t>
        </is>
      </c>
      <c r="I414" s="7" t="inlineStr">
        <is>
          <t>Moved off the floor so it wouldn't get redeployed by accident. Ref MD-00104.</t>
        </is>
      </c>
    </row>
    <row r="415">
      <c r="A415" s="7" t="inlineStr">
        <is>
          <t>MD-00104</t>
        </is>
      </c>
      <c r="B415" s="7" t="inlineStr">
        <is>
          <t>2026-08-05</t>
        </is>
      </c>
      <c r="C415" s="7" t="inlineStr">
        <is>
          <t>Regional IT Note Lead</t>
        </is>
      </c>
      <c r="D415" s="7" t="inlineStr">
        <is>
          <t>Regional IT</t>
        </is>
      </c>
      <c r="E415" s="7" t="inlineStr"/>
      <c r="F415" s="7" t="inlineStr">
        <is>
          <t>Chicago - Closed</t>
        </is>
      </c>
      <c r="G415" s="7" t="inlineStr">
        <is>
          <t>regional_IT_notes.docx</t>
        </is>
      </c>
      <c r="H415" s="7" t="inlineStr">
        <is>
          <t>Technician Claim</t>
        </is>
      </c>
      <c r="I415" s="7" t="inlineStr">
        <is>
          <t>Could not tie MD-00104 to a verified RN entry in the notes.</t>
        </is>
      </c>
    </row>
    <row r="416">
      <c r="A416" s="7" t="inlineStr">
        <is>
          <t>MD-00104</t>
        </is>
      </c>
      <c r="B416" s="7" t="inlineStr">
        <is>
          <t>2026-08-09</t>
        </is>
      </c>
      <c r="C416" s="7" t="inlineStr">
        <is>
          <t>Policy Control Figure</t>
        </is>
      </c>
      <c r="D416" s="7" t="inlineStr">
        <is>
          <t>ITAM-001</t>
        </is>
      </c>
      <c r="E416" s="7" t="inlineStr"/>
      <c r="F416" s="7" t="inlineStr"/>
      <c r="G416" s="7" t="inlineStr">
        <is>
          <t>ITAM_control_matrix.png; IT_asset_management_policy.pdf</t>
        </is>
      </c>
      <c r="H416" s="7" t="inlineStr">
        <is>
          <t>Confirmed Fact</t>
        </is>
      </c>
      <c r="I416" s="7" t="inlineStr">
        <is>
          <t>While scoring MD-00104, disposal requirements came from the policy appendix. Checked TR-00104, PO-2023-0018, FA-000104, RET-00104, APR-00104 against those requirements.</t>
        </is>
      </c>
    </row>
    <row r="417">
      <c r="A417" s="7" t="inlineStr">
        <is>
          <t>MD-00104</t>
        </is>
      </c>
      <c r="B417" s="7" t="inlineStr">
        <is>
          <t>2026-08-09</t>
        </is>
      </c>
      <c r="C417" s="7" t="inlineStr">
        <is>
          <t>Reconciliation Conclusion</t>
        </is>
      </c>
      <c r="D417" s="7" t="inlineStr">
        <is>
          <t>Evidence review</t>
        </is>
      </c>
      <c r="E417" s="7" t="inlineStr">
        <is>
          <t>Regional IT</t>
        </is>
      </c>
      <c r="F417" s="7" t="inlineStr">
        <is>
          <t>Dallas</t>
        </is>
      </c>
      <c r="G417" s="7" t="inlineStr">
        <is>
          <t>Ticket:RET-00104; Transfer:TR-00104; Certificate:missing; PO:PO-2023-0018; Ledger:FA-000104; PolicyFigure:ITAM_control_matrix.png</t>
        </is>
      </c>
      <c r="H417" s="7" t="inlineStr">
        <is>
          <t>Confirmed Fact</t>
        </is>
      </c>
      <c r="I417" s="7" t="inlineStr">
        <is>
          <t>Call on MD-00104: Retired/Pending Disposal, Medium. EX-0135, EX-0136. RET-00104. TR-00104. PO. PO-2023-0018. FA-000104. ITAM_control_matrix.png.</t>
        </is>
      </c>
    </row>
    <row r="418">
      <c r="A418" s="7" t="inlineStr">
        <is>
          <t>MD-00105</t>
        </is>
      </c>
      <c r="B418" s="7" t="inlineStr">
        <is>
          <t>2023-10-10</t>
        </is>
      </c>
      <c r="C418" s="7" t="inlineStr">
        <is>
          <t>Purchase</t>
        </is>
      </c>
      <c r="D418" s="7" t="inlineStr">
        <is>
          <t>Vendor</t>
        </is>
      </c>
      <c r="E418" s="7" t="inlineStr">
        <is>
          <t>Central Receiving</t>
        </is>
      </c>
      <c r="F418" s="7" t="inlineStr">
        <is>
          <t>Atlanta Warehouse</t>
        </is>
      </c>
      <c r="G418" s="7" t="inlineStr">
        <is>
          <t>PO:PO-2023-0018</t>
        </is>
      </c>
      <c r="H418" s="7" t="inlineStr">
        <is>
          <t>Confirmed Fact</t>
        </is>
      </c>
      <c r="I418" s="7" t="inlineStr">
        <is>
          <t>Purchasing file PO-2023-0018 matches MD-00105 at $1850.</t>
        </is>
      </c>
    </row>
    <row r="419">
      <c r="A419" s="7" t="inlineStr">
        <is>
          <t>MD-00105</t>
        </is>
      </c>
      <c r="B419" s="7" t="inlineStr">
        <is>
          <t>2026-04-10</t>
        </is>
      </c>
      <c r="C419" s="7" t="inlineStr">
        <is>
          <t>Assignment/Transfer</t>
        </is>
      </c>
      <c r="D419" s="7" t="inlineStr">
        <is>
          <t>Central Receiving</t>
        </is>
      </c>
      <c r="E419" s="7" t="inlineStr">
        <is>
          <t>Regional IT</t>
        </is>
      </c>
      <c r="F419" s="7" t="inlineStr">
        <is>
          <t>Denver</t>
        </is>
      </c>
      <c r="G419" s="7" t="inlineStr">
        <is>
          <t>Transfer:TR-00105; Approval:APR-00105</t>
        </is>
      </c>
      <c r="H419" s="7" t="inlineStr">
        <is>
          <t>Confirmed Fact</t>
        </is>
      </c>
      <c r="I419" s="7" t="inlineStr">
        <is>
          <t>From warehouse to Regional IT. TR-00105, received 04/21/2026.</t>
        </is>
      </c>
    </row>
    <row r="420">
      <c r="A420" s="7" t="inlineStr">
        <is>
          <t>MD-00105</t>
        </is>
      </c>
      <c r="B420" s="7" t="inlineStr">
        <is>
          <t>2026-05-31</t>
        </is>
      </c>
      <c r="C420" s="7" t="inlineStr">
        <is>
          <t>Offboarding Ticket</t>
        </is>
      </c>
      <c r="D420" s="7" t="inlineStr">
        <is>
          <t>E0093</t>
        </is>
      </c>
      <c r="E420" s="7" t="inlineStr">
        <is>
          <t>IT Service Desk</t>
        </is>
      </c>
      <c r="F420" s="7" t="inlineStr"/>
      <c r="G420" s="7" t="inlineStr">
        <is>
          <t>Ticket:RET-00105; Status:Pending Disposal</t>
        </is>
      </c>
      <c r="H420" s="7" t="inlineStr">
        <is>
          <t>Confirmed Fact</t>
        </is>
      </c>
      <c r="I420" s="7" t="inlineStr">
        <is>
          <t>RET-00105 Pending Disposal. Return required=No.</t>
        </is>
      </c>
    </row>
    <row r="421">
      <c r="A421" s="7" t="inlineStr">
        <is>
          <t>MD-00105</t>
        </is>
      </c>
      <c r="B421" s="7" t="inlineStr">
        <is>
          <t>2026-05-31</t>
        </is>
      </c>
      <c r="C421" s="7" t="inlineStr">
        <is>
          <t>Technician Comment</t>
        </is>
      </c>
      <c r="D421" s="7" t="inlineStr">
        <is>
          <t>Service Desk</t>
        </is>
      </c>
      <c r="E421" s="7" t="inlineStr"/>
      <c r="F421" s="7" t="inlineStr"/>
      <c r="G421" s="7" t="inlineStr">
        <is>
          <t>Ticket:RET-00105</t>
        </is>
      </c>
      <c r="H421" s="7" t="inlineStr">
        <is>
          <t>Technician Claim</t>
        </is>
      </c>
      <c r="I421" s="7" t="inlineStr">
        <is>
          <t>End-of-life; ticket is retirement not a people-return. Ref MD-00105.</t>
        </is>
      </c>
    </row>
    <row r="422">
      <c r="A422" s="7" t="inlineStr">
        <is>
          <t>MD-00105</t>
        </is>
      </c>
      <c r="B422" s="7" t="inlineStr">
        <is>
          <t>2026-08-05</t>
        </is>
      </c>
      <c r="C422" s="7" t="inlineStr">
        <is>
          <t>Regional IT Note Lead</t>
        </is>
      </c>
      <c r="D422" s="7" t="inlineStr">
        <is>
          <t>Regional IT</t>
        </is>
      </c>
      <c r="E422" s="7" t="inlineStr"/>
      <c r="F422" s="7" t="inlineStr">
        <is>
          <t>Denver - Closed</t>
        </is>
      </c>
      <c r="G422" s="7" t="inlineStr">
        <is>
          <t>regional_IT_notes.docx</t>
        </is>
      </c>
      <c r="H422" s="7" t="inlineStr">
        <is>
          <t>Technician Claim</t>
        </is>
      </c>
      <c r="I422" s="7" t="inlineStr">
        <is>
          <t>Investigative color on MD-00105 in regional_IT_notes.docx - weight zero.</t>
        </is>
      </c>
    </row>
    <row r="423">
      <c r="A423" s="7" t="inlineStr">
        <is>
          <t>MD-00105</t>
        </is>
      </c>
      <c r="B423" s="7" t="inlineStr">
        <is>
          <t>2026-08-09</t>
        </is>
      </c>
      <c r="C423" s="7" t="inlineStr">
        <is>
          <t>Policy Control Figure</t>
        </is>
      </c>
      <c r="D423" s="7" t="inlineStr">
        <is>
          <t>ITAM-001</t>
        </is>
      </c>
      <c r="E423" s="7" t="inlineStr"/>
      <c r="F423" s="7" t="inlineStr"/>
      <c r="G423" s="7" t="inlineStr">
        <is>
          <t>ITAM_control_matrix.png; IT_asset_management_policy.pdf</t>
        </is>
      </c>
      <c r="H423" s="7" t="inlineStr">
        <is>
          <t>Confirmed Fact</t>
        </is>
      </c>
      <c r="I423" s="7" t="inlineStr">
        <is>
          <t>ITAM_control_matrix.png consulted for MD-00105 (return). Conclusion still tied to TR-00105, PO-2023-0018, FA-000105, RET-00105, APR-00105 at Denver, $1850.</t>
        </is>
      </c>
    </row>
    <row r="424">
      <c r="A424" s="7" t="inlineStr">
        <is>
          <t>MD-00105</t>
        </is>
      </c>
      <c r="B424" s="7" t="inlineStr">
        <is>
          <t>2026-08-09</t>
        </is>
      </c>
      <c r="C424" s="7" t="inlineStr">
        <is>
          <t>Reconciliation Conclusion</t>
        </is>
      </c>
      <c r="D424" s="7" t="inlineStr">
        <is>
          <t>Evidence review</t>
        </is>
      </c>
      <c r="E424" s="7" t="inlineStr">
        <is>
          <t>Regional IT</t>
        </is>
      </c>
      <c r="F424" s="7" t="inlineStr">
        <is>
          <t>Denver</t>
        </is>
      </c>
      <c r="G424" s="7" t="inlineStr">
        <is>
          <t>Ticket:RET-00105; Transfer:TR-00105; Certificate:missing; PO:PO-2023-0018; Ledger:FA-000105; PolicyFigure:ITAM_control_matrix.png</t>
        </is>
      </c>
      <c r="H424" s="7" t="inlineStr">
        <is>
          <t>Confirmed Fact</t>
        </is>
      </c>
      <c r="I424" s="7" t="inlineStr">
        <is>
          <t>MD-00105 custody narrative ends Retired/Pending Disposal (Medium). EX-0137, EX-0138. RET-00105. TR-00105. PO. PO-2023-0018. FA-000105. ITAM_control_matrix.png.</t>
        </is>
      </c>
    </row>
    <row r="425">
      <c r="A425" s="7" t="inlineStr">
        <is>
          <t>MD-00106</t>
        </is>
      </c>
      <c r="B425" s="7" t="inlineStr">
        <is>
          <t>2024-11-11</t>
        </is>
      </c>
      <c r="C425" s="7" t="inlineStr">
        <is>
          <t>Purchase</t>
        </is>
      </c>
      <c r="D425" s="7" t="inlineStr">
        <is>
          <t>Vendor</t>
        </is>
      </c>
      <c r="E425" s="7" t="inlineStr">
        <is>
          <t>Central Receiving</t>
        </is>
      </c>
      <c r="F425" s="7" t="inlineStr">
        <is>
          <t>Atlanta Warehouse</t>
        </is>
      </c>
      <c r="G425" s="7" t="inlineStr">
        <is>
          <t>PO:PO-2023-0018</t>
        </is>
      </c>
      <c r="H425" s="7" t="inlineStr">
        <is>
          <t>Confirmed Fact</t>
        </is>
      </c>
      <c r="I425" s="7" t="inlineStr">
        <is>
          <t>Procurement PO-2023-0018 lists Dell U2723QE / $565.</t>
        </is>
      </c>
    </row>
    <row r="426">
      <c r="A426" s="7" t="inlineStr">
        <is>
          <t>MD-00106</t>
        </is>
      </c>
      <c r="B426" s="7" t="inlineStr">
        <is>
          <t>2026-05-11</t>
        </is>
      </c>
      <c r="C426" s="7" t="inlineStr">
        <is>
          <t>Assignment/Transfer</t>
        </is>
      </c>
      <c r="D426" s="7" t="inlineStr">
        <is>
          <t>Central Receiving</t>
        </is>
      </c>
      <c r="E426" s="7" t="inlineStr">
        <is>
          <t>Regional IT</t>
        </is>
      </c>
      <c r="F426" s="7" t="inlineStr">
        <is>
          <t>New York</t>
        </is>
      </c>
      <c r="G426" s="7" t="inlineStr">
        <is>
          <t>Transfer:TR-00106; Approval:APR-00106</t>
        </is>
      </c>
      <c r="H426" s="7" t="inlineStr">
        <is>
          <t>Confirmed Fact</t>
        </is>
      </c>
      <c r="I426" s="7" t="inlineStr">
        <is>
          <t>TR-00106 05/22/2026; inbound 2026-05-25.</t>
        </is>
      </c>
    </row>
    <row r="427">
      <c r="A427" s="7" t="inlineStr">
        <is>
          <t>MD-00106</t>
        </is>
      </c>
      <c r="B427" s="7" t="inlineStr">
        <is>
          <t>2026-05-31</t>
        </is>
      </c>
      <c r="C427" s="7" t="inlineStr">
        <is>
          <t>Offboarding Ticket</t>
        </is>
      </c>
      <c r="D427" s="7" t="inlineStr">
        <is>
          <t>E0094</t>
        </is>
      </c>
      <c r="E427" s="7" t="inlineStr">
        <is>
          <t>IT Service Desk</t>
        </is>
      </c>
      <c r="F427" s="7" t="inlineStr"/>
      <c r="G427" s="7" t="inlineStr">
        <is>
          <t>Ticket:RET-00106; Status:Pending Disposal</t>
        </is>
      </c>
      <c r="H427" s="7" t="inlineStr">
        <is>
          <t>Confirmed Fact</t>
        </is>
      </c>
      <c r="I427" s="7" t="inlineStr">
        <is>
          <t>RET-00106 sits Pending Disposal. Hardware return not required per ticket.</t>
        </is>
      </c>
    </row>
    <row r="428">
      <c r="A428" s="7" t="inlineStr">
        <is>
          <t>MD-00106</t>
        </is>
      </c>
      <c r="B428" s="7" t="inlineStr">
        <is>
          <t>2026-05-31</t>
        </is>
      </c>
      <c r="C428" s="7" t="inlineStr">
        <is>
          <t>Technician Comment</t>
        </is>
      </c>
      <c r="D428" s="7" t="inlineStr">
        <is>
          <t>Service Desk</t>
        </is>
      </c>
      <c r="E428" s="7" t="inlineStr"/>
      <c r="F428" s="7" t="inlineStr"/>
      <c r="G428" s="7" t="inlineStr">
        <is>
          <t>Ticket:RET-00106</t>
        </is>
      </c>
      <c r="H428" s="7" t="inlineStr">
        <is>
          <t>Technician Claim</t>
        </is>
      </c>
      <c r="I428" s="7" t="inlineStr">
        <is>
          <t>Sanitization scheduled. Don't treat as Available. Ref MD-00106.</t>
        </is>
      </c>
    </row>
    <row r="429">
      <c r="A429" s="7" t="inlineStr">
        <is>
          <t>MD-00106</t>
        </is>
      </c>
      <c r="B429" s="7" t="inlineStr">
        <is>
          <t>2026-08-05</t>
        </is>
      </c>
      <c r="C429" s="7" t="inlineStr">
        <is>
          <t>Regional IT Note Lead</t>
        </is>
      </c>
      <c r="D429" s="7" t="inlineStr">
        <is>
          <t>Regional IT</t>
        </is>
      </c>
      <c r="E429" s="7" t="inlineStr"/>
      <c r="F429" s="7" t="inlineStr">
        <is>
          <t>Chicago - Closed</t>
        </is>
      </c>
      <c r="G429" s="7" t="inlineStr">
        <is>
          <t>regional_IT_notes.docx</t>
        </is>
      </c>
      <c r="H429" s="7" t="inlineStr">
        <is>
          <t>Technician Claim</t>
        </is>
      </c>
      <c r="I429" s="7" t="inlineStr">
        <is>
          <t>Notes packet includes MD-00106 only as background, not evidence.</t>
        </is>
      </c>
    </row>
    <row r="430">
      <c r="A430" s="7" t="inlineStr">
        <is>
          <t>MD-00106</t>
        </is>
      </c>
      <c r="B430" s="7" t="inlineStr">
        <is>
          <t>2026-08-09</t>
        </is>
      </c>
      <c r="C430" s="7" t="inlineStr">
        <is>
          <t>Policy Control Figure</t>
        </is>
      </c>
      <c r="D430" s="7" t="inlineStr">
        <is>
          <t>ITAM-001</t>
        </is>
      </c>
      <c r="E430" s="7" t="inlineStr"/>
      <c r="F430" s="7" t="inlineStr"/>
      <c r="G430" s="7" t="inlineStr">
        <is>
          <t>ITAM_control_matrix.png; IT_asset_management_policy.pdf</t>
        </is>
      </c>
      <c r="H430" s="7" t="inlineStr">
        <is>
          <t>Confirmed Fact</t>
        </is>
      </c>
      <c r="I430" s="7" t="inlineStr">
        <is>
          <t>MD-00106: checked ITAM-001 transfer row while reviewing TR-00106, PO-2023-0018, FA-000106, RET-00106, APR-00106. Cost basis $565; confidence Medium. Figure does not replace logs.</t>
        </is>
      </c>
    </row>
    <row r="431">
      <c r="A431" s="7" t="inlineStr">
        <is>
          <t>MD-00106</t>
        </is>
      </c>
      <c r="B431" s="7" t="inlineStr">
        <is>
          <t>2026-08-09</t>
        </is>
      </c>
      <c r="C431" s="7" t="inlineStr">
        <is>
          <t>Reconciliation Conclusion</t>
        </is>
      </c>
      <c r="D431" s="7" t="inlineStr">
        <is>
          <t>Evidence review</t>
        </is>
      </c>
      <c r="E431" s="7" t="inlineStr">
        <is>
          <t>Regional IT</t>
        </is>
      </c>
      <c r="F431" s="7" t="inlineStr">
        <is>
          <t>New York</t>
        </is>
      </c>
      <c r="G431" s="7" t="inlineStr">
        <is>
          <t>Ticket:RET-00106; Transfer:TR-00106; Certificate:missing; PO:PO-2023-0018; Ledger:FA-000106; PolicyFigure:ITAM_control_matrix.png</t>
        </is>
      </c>
      <c r="H431" s="7" t="inlineStr">
        <is>
          <t>Confirmed Fact</t>
        </is>
      </c>
      <c r="I431" s="7" t="inlineStr">
        <is>
          <t>Wrap-up MD-00106: Retired/Pending Disposal (Medium) - EX-0139, EX-0140. RET-00106. TR-00106. PO. PO-2023-0018. FA-000106. ITAM_control_matrix.png.</t>
        </is>
      </c>
    </row>
    <row r="432">
      <c r="A432" s="7" t="inlineStr">
        <is>
          <t>MD-00107</t>
        </is>
      </c>
      <c r="B432" s="7" t="inlineStr">
        <is>
          <t>2025-12-12</t>
        </is>
      </c>
      <c r="C432" s="7" t="inlineStr">
        <is>
          <t>Purchase</t>
        </is>
      </c>
      <c r="D432" s="7" t="inlineStr">
        <is>
          <t>Vendor</t>
        </is>
      </c>
      <c r="E432" s="7" t="inlineStr">
        <is>
          <t>Central Receiving</t>
        </is>
      </c>
      <c r="F432" s="7" t="inlineStr">
        <is>
          <t>Atlanta Warehouse</t>
        </is>
      </c>
      <c r="G432" s="7" t="inlineStr">
        <is>
          <t>PO:PO-2023-0018</t>
        </is>
      </c>
      <c r="H432" s="7" t="inlineStr">
        <is>
          <t>Confirmed Fact</t>
        </is>
      </c>
      <c r="I432" s="7" t="inlineStr">
        <is>
          <t>Acquired MD-00107 (Samsung Galaxy S24) for $1040 via PO-2023-0018.</t>
        </is>
      </c>
    </row>
    <row r="433">
      <c r="A433" s="7" t="inlineStr">
        <is>
          <t>MD-00107</t>
        </is>
      </c>
      <c r="B433" s="7" t="inlineStr">
        <is>
          <t>2026-06-12</t>
        </is>
      </c>
      <c r="C433" s="7" t="inlineStr">
        <is>
          <t>Assignment/Transfer</t>
        </is>
      </c>
      <c r="D433" s="7" t="inlineStr">
        <is>
          <t>Central Receiving</t>
        </is>
      </c>
      <c r="E433" s="7" t="inlineStr">
        <is>
          <t>Regional IT</t>
        </is>
      </c>
      <c r="F433" s="7" t="inlineStr">
        <is>
          <t>Seattle</t>
        </is>
      </c>
      <c r="G433" s="7" t="inlineStr">
        <is>
          <t>Transfer:TR-00107; Approval:APR-00107</t>
        </is>
      </c>
      <c r="H433" s="7" t="inlineStr">
        <is>
          <t>Confirmed Fact</t>
        </is>
      </c>
      <c r="I433" s="7" t="inlineStr">
        <is>
          <t>Log row TR-00107. Receive date Jun 27, 2026.</t>
        </is>
      </c>
    </row>
    <row r="434">
      <c r="A434" s="7" t="inlineStr">
        <is>
          <t>MD-00107</t>
        </is>
      </c>
      <c r="B434" s="7" t="inlineStr">
        <is>
          <t>2026-05-31</t>
        </is>
      </c>
      <c r="C434" s="7" t="inlineStr">
        <is>
          <t>Offboarding Ticket</t>
        </is>
      </c>
      <c r="D434" s="7" t="inlineStr">
        <is>
          <t>E0095</t>
        </is>
      </c>
      <c r="E434" s="7" t="inlineStr">
        <is>
          <t>IT Service Desk</t>
        </is>
      </c>
      <c r="F434" s="7" t="inlineStr"/>
      <c r="G434" s="7" t="inlineStr">
        <is>
          <t>Ticket:RET-00107; Status:Pending Disposal</t>
        </is>
      </c>
      <c r="H434" s="7" t="inlineStr">
        <is>
          <t>Confirmed Fact</t>
        </is>
      </c>
      <c r="I434" s="7" t="inlineStr">
        <is>
          <t>Service desk RET-00107 on MD-00107. Return required No.</t>
        </is>
      </c>
    </row>
    <row r="435">
      <c r="A435" s="7" t="inlineStr">
        <is>
          <t>MD-00107</t>
        </is>
      </c>
      <c r="B435" s="7" t="inlineStr">
        <is>
          <t>2026-05-31</t>
        </is>
      </c>
      <c r="C435" s="7" t="inlineStr">
        <is>
          <t>Technician Comment</t>
        </is>
      </c>
      <c r="D435" s="7" t="inlineStr">
        <is>
          <t>Service Desk</t>
        </is>
      </c>
      <c r="E435" s="7" t="inlineStr"/>
      <c r="F435" s="7" t="inlineStr"/>
      <c r="G435" s="7" t="inlineStr">
        <is>
          <t>Ticket:RET-00107</t>
        </is>
      </c>
      <c r="H435" s="7" t="inlineStr">
        <is>
          <t>Technician Claim</t>
        </is>
      </c>
      <c r="I435" s="7" t="inlineStr">
        <is>
          <t>Pallet-side in Atlanta. Matching cert later if vendor lists the tag. Ref MD-00107.</t>
        </is>
      </c>
    </row>
    <row r="436">
      <c r="A436" s="7" t="inlineStr">
        <is>
          <t>MD-00107</t>
        </is>
      </c>
      <c r="B436" s="7" t="inlineStr">
        <is>
          <t>2026-08-05</t>
        </is>
      </c>
      <c r="C436" s="7" t="inlineStr">
        <is>
          <t>Regional IT Note Lead</t>
        </is>
      </c>
      <c r="D436" s="7" t="inlineStr">
        <is>
          <t>Regional IT</t>
        </is>
      </c>
      <c r="E436" s="7" t="inlineStr"/>
      <c r="F436" s="7" t="inlineStr">
        <is>
          <t>Denver - Closed</t>
        </is>
      </c>
      <c r="G436" s="7" t="inlineStr">
        <is>
          <t>regional_IT_notes.docx</t>
        </is>
      </c>
      <c r="H436" s="7" t="inlineStr">
        <is>
          <t>Technician Claim</t>
        </is>
      </c>
      <c r="I436" s="7" t="inlineStr">
        <is>
          <t>Regional file reviewed for MD-00107; no clearance language accepted.</t>
        </is>
      </c>
    </row>
    <row r="437">
      <c r="A437" s="7" t="inlineStr">
        <is>
          <t>MD-00107</t>
        </is>
      </c>
      <c r="B437" s="7" t="inlineStr">
        <is>
          <t>2026-08-09</t>
        </is>
      </c>
      <c r="C437" s="7" t="inlineStr">
        <is>
          <t>Policy Control Figure</t>
        </is>
      </c>
      <c r="D437" s="7" t="inlineStr">
        <is>
          <t>ITAM-001</t>
        </is>
      </c>
      <c r="E437" s="7" t="inlineStr"/>
      <c r="F437" s="7" t="inlineStr"/>
      <c r="G437" s="7" t="inlineStr">
        <is>
          <t>ITAM_control_matrix.png; IT_asset_management_policy.pdf</t>
        </is>
      </c>
      <c r="H437" s="7" t="inlineStr">
        <is>
          <t>Confirmed Fact</t>
        </is>
      </c>
      <c r="I437" s="7" t="inlineStr">
        <is>
          <t>MD-00107: checked ITAM-001 financial row while reviewing TR-00107, PO-2023-0018, FA-000107, RET-00107, APR-00107. Cost basis $1040; confidence Medium. Figure does not replace logs.</t>
        </is>
      </c>
    </row>
    <row r="438">
      <c r="A438" s="7" t="inlineStr">
        <is>
          <t>MD-00107</t>
        </is>
      </c>
      <c r="B438" s="7" t="inlineStr">
        <is>
          <t>2026-08-09</t>
        </is>
      </c>
      <c r="C438" s="7" t="inlineStr">
        <is>
          <t>Reconciliation Conclusion</t>
        </is>
      </c>
      <c r="D438" s="7" t="inlineStr">
        <is>
          <t>Evidence review</t>
        </is>
      </c>
      <c r="E438" s="7" t="inlineStr">
        <is>
          <t>Regional IT</t>
        </is>
      </c>
      <c r="F438" s="7" t="inlineStr">
        <is>
          <t>Seattle</t>
        </is>
      </c>
      <c r="G438" s="7" t="inlineStr">
        <is>
          <t>Ticket:RET-00107; Transfer:TR-00107; Certificate:missing; PO:PO-2023-0018; Ledger:FA-000107; PolicyFigure:ITAM_control_matrix.png</t>
        </is>
      </c>
      <c r="H438" s="7" t="inlineStr">
        <is>
          <t>Confirmed Fact</t>
        </is>
      </c>
      <c r="I438" s="7" t="inlineStr">
        <is>
          <t>Outcome MD-00107 - Retired/Pending Disposal, site Seattle, Medium. EX-0141, EX-0142. RET-00107. TR-00107. PO. PO-2023-0018. FA-000107. ITAM_control_matrix.png.</t>
        </is>
      </c>
    </row>
    <row r="439">
      <c r="A439" s="7" t="inlineStr">
        <is>
          <t>MD-00108</t>
        </is>
      </c>
      <c r="B439" s="7" t="inlineStr">
        <is>
          <t>2022-01-13</t>
        </is>
      </c>
      <c r="C439" s="7" t="inlineStr">
        <is>
          <t>Purchase</t>
        </is>
      </c>
      <c r="D439" s="7" t="inlineStr">
        <is>
          <t>Vendor</t>
        </is>
      </c>
      <c r="E439" s="7" t="inlineStr">
        <is>
          <t>Central Receiving</t>
        </is>
      </c>
      <c r="F439" s="7" t="inlineStr">
        <is>
          <t>Atlanta Warehouse</t>
        </is>
      </c>
      <c r="G439" s="7" t="inlineStr">
        <is>
          <t>PO:PO-2023-0018</t>
        </is>
      </c>
      <c r="H439" s="7" t="inlineStr">
        <is>
          <t>Confirmed Fact</t>
        </is>
      </c>
      <c r="I439" s="7" t="inlineStr">
        <is>
          <t>Receiving against PO-2023-0018. Cisco C9300, $6335.</t>
        </is>
      </c>
    </row>
    <row r="440">
      <c r="A440" s="7" t="inlineStr">
        <is>
          <t>MD-00108</t>
        </is>
      </c>
      <c r="B440" s="7" t="inlineStr">
        <is>
          <t>2026-01-13</t>
        </is>
      </c>
      <c r="C440" s="7" t="inlineStr">
        <is>
          <t>Assignment/Transfer</t>
        </is>
      </c>
      <c r="D440" s="7" t="inlineStr">
        <is>
          <t>Central Receiving</t>
        </is>
      </c>
      <c r="E440" s="7" t="inlineStr">
        <is>
          <t>Regional IT</t>
        </is>
      </c>
      <c r="F440" s="7" t="inlineStr">
        <is>
          <t>Atlanta</t>
        </is>
      </c>
      <c r="G440" s="7" t="inlineStr">
        <is>
          <t>Transfer:TR-00108; Approval:APR-00108</t>
        </is>
      </c>
      <c r="H440" s="7" t="inlineStr">
        <is>
          <t>Confirmed Fact</t>
        </is>
      </c>
      <c r="I440" s="7" t="inlineStr">
        <is>
          <t>Transfer TR-00108 / APR-00108. Received 01/30/2026.</t>
        </is>
      </c>
    </row>
    <row r="441">
      <c r="A441" s="7" t="inlineStr">
        <is>
          <t>MD-00108</t>
        </is>
      </c>
      <c r="B441" s="7" t="inlineStr">
        <is>
          <t>2026-05-31</t>
        </is>
      </c>
      <c r="C441" s="7" t="inlineStr">
        <is>
          <t>Offboarding Ticket</t>
        </is>
      </c>
      <c r="D441" s="7" t="inlineStr">
        <is>
          <t>E0071</t>
        </is>
      </c>
      <c r="E441" s="7" t="inlineStr">
        <is>
          <t>IT Service Desk</t>
        </is>
      </c>
      <c r="F441" s="7" t="inlineStr"/>
      <c r="G441" s="7" t="inlineStr">
        <is>
          <t>Ticket:RET-00108; Status:Pending Disposal</t>
        </is>
      </c>
      <c r="H441" s="7" t="inlineStr">
        <is>
          <t>Confirmed Fact</t>
        </is>
      </c>
      <c r="I441" s="7" t="inlineStr">
        <is>
          <t>RET-00108 Pending Disposal. Return required=No.</t>
        </is>
      </c>
    </row>
    <row r="442">
      <c r="A442" s="7" t="inlineStr">
        <is>
          <t>MD-00108</t>
        </is>
      </c>
      <c r="B442" s="7" t="inlineStr">
        <is>
          <t>2026-05-31</t>
        </is>
      </c>
      <c r="C442" s="7" t="inlineStr">
        <is>
          <t>Technician Comment</t>
        </is>
      </c>
      <c r="D442" s="7" t="inlineStr">
        <is>
          <t>Service Desk</t>
        </is>
      </c>
      <c r="E442" s="7" t="inlineStr"/>
      <c r="F442" s="7" t="inlineStr"/>
      <c r="G442" s="7" t="inlineStr">
        <is>
          <t>Ticket:RET-00108</t>
        </is>
      </c>
      <c r="H442" s="7" t="inlineStr">
        <is>
          <t>Technician Claim</t>
        </is>
      </c>
      <c r="I442" s="7" t="inlineStr">
        <is>
          <t>Removed from loaner pool. Status should stay pending disposal. Ref MD-00108.</t>
        </is>
      </c>
    </row>
    <row r="443">
      <c r="A443" s="7" t="inlineStr">
        <is>
          <t>MD-00108</t>
        </is>
      </c>
      <c r="B443" s="7" t="inlineStr">
        <is>
          <t>2026-08-05</t>
        </is>
      </c>
      <c r="C443" s="7" t="inlineStr">
        <is>
          <t>Regional IT Note Lead</t>
        </is>
      </c>
      <c r="D443" s="7" t="inlineStr">
        <is>
          <t>Regional IT</t>
        </is>
      </c>
      <c r="E443" s="7" t="inlineStr"/>
      <c r="F443" s="7" t="inlineStr">
        <is>
          <t>Chicago - Closed</t>
        </is>
      </c>
      <c r="G443" s="7" t="inlineStr">
        <is>
          <t>regional_IT_notes.docx</t>
        </is>
      </c>
      <c r="H443" s="7" t="inlineStr">
        <is>
          <t>Technician Claim</t>
        </is>
      </c>
      <c r="I443" s="7" t="inlineStr">
        <is>
          <t>I did not cite regional_IT_notes.docx as proof for MD-00108.</t>
        </is>
      </c>
    </row>
    <row r="444">
      <c r="A444" s="7" t="inlineStr">
        <is>
          <t>MD-00108</t>
        </is>
      </c>
      <c r="B444" s="7" t="inlineStr">
        <is>
          <t>2026-08-09</t>
        </is>
      </c>
      <c r="C444" s="7" t="inlineStr">
        <is>
          <t>Policy Control Figure</t>
        </is>
      </c>
      <c r="D444" s="7" t="inlineStr">
        <is>
          <t>ITAM-001</t>
        </is>
      </c>
      <c r="E444" s="7" t="inlineStr"/>
      <c r="F444" s="7" t="inlineStr"/>
      <c r="G444" s="7" t="inlineStr">
        <is>
          <t>ITAM_control_matrix.png; IT_asset_management_policy.pdf</t>
        </is>
      </c>
      <c r="H444" s="7" t="inlineStr">
        <is>
          <t>Confirmed Fact</t>
        </is>
      </c>
      <c r="I444" s="7" t="inlineStr">
        <is>
          <t>MD-00108 / Cisco C9300: disposal evidence expectations from Appendix A. Anchored to TR-00108, PO-2023-0018, FA-000108, RET-00108, APR-00108; acquisition $6335.</t>
        </is>
      </c>
    </row>
    <row r="445">
      <c r="A445" s="7" t="inlineStr">
        <is>
          <t>MD-00108</t>
        </is>
      </c>
      <c r="B445" s="7" t="inlineStr">
        <is>
          <t>2026-08-09</t>
        </is>
      </c>
      <c r="C445" s="7" t="inlineStr">
        <is>
          <t>Reconciliation Conclusion</t>
        </is>
      </c>
      <c r="D445" s="7" t="inlineStr">
        <is>
          <t>Evidence review</t>
        </is>
      </c>
      <c r="E445" s="7" t="inlineStr">
        <is>
          <t>Regional IT</t>
        </is>
      </c>
      <c r="F445" s="7" t="inlineStr">
        <is>
          <t>Atlanta</t>
        </is>
      </c>
      <c r="G445" s="7" t="inlineStr">
        <is>
          <t>Ticket:RET-00108; Transfer:TR-00108; Certificate:missing; PO:PO-2023-0018; Ledger:FA-000108; PolicyFigure:ITAM_control_matrix.png</t>
        </is>
      </c>
      <c r="H445" s="7" t="inlineStr">
        <is>
          <t>Confirmed Fact</t>
        </is>
      </c>
      <c r="I445" s="7" t="inlineStr">
        <is>
          <t>Retired/Pending Disposal is the status for MD-00108 at Atlanta; Medium. EX-0143, EX-0144. RET-00108. TR-00108. PO. PO-2023-0018. FA-000108. ITAM_control_matrix.png.</t>
        </is>
      </c>
    </row>
    <row r="446">
      <c r="A446" s="7" t="inlineStr">
        <is>
          <t>MD-00109</t>
        </is>
      </c>
      <c r="B446" s="7" t="inlineStr">
        <is>
          <t>2023-02-14</t>
        </is>
      </c>
      <c r="C446" s="7" t="inlineStr">
        <is>
          <t>Purchase</t>
        </is>
      </c>
      <c r="D446" s="7" t="inlineStr">
        <is>
          <t>Vendor</t>
        </is>
      </c>
      <c r="E446" s="7" t="inlineStr">
        <is>
          <t>Central Receiving</t>
        </is>
      </c>
      <c r="F446" s="7" t="inlineStr">
        <is>
          <t>Atlanta Warehouse</t>
        </is>
      </c>
      <c r="G446" s="7" t="inlineStr">
        <is>
          <t>PO:PO-2024-0019</t>
        </is>
      </c>
      <c r="H446" s="7" t="inlineStr">
        <is>
          <t>Confirmed Fact</t>
        </is>
      </c>
      <c r="I446" s="7" t="inlineStr">
        <is>
          <t>$2030 Lenovo ThinkPad T14. PO-2024-0019.</t>
        </is>
      </c>
    </row>
    <row r="447">
      <c r="A447" s="7" t="inlineStr">
        <is>
          <t>MD-00109</t>
        </is>
      </c>
      <c r="B447" s="7" t="inlineStr">
        <is>
          <t>2026-02-14</t>
        </is>
      </c>
      <c r="C447" s="7" t="inlineStr">
        <is>
          <t>Assignment/Transfer</t>
        </is>
      </c>
      <c r="D447" s="7" t="inlineStr">
        <is>
          <t>Central Receiving</t>
        </is>
      </c>
      <c r="E447" s="7" t="inlineStr">
        <is>
          <t>Regional IT</t>
        </is>
      </c>
      <c r="F447" s="7" t="inlineStr">
        <is>
          <t>Chicago</t>
        </is>
      </c>
      <c r="G447" s="7" t="inlineStr">
        <is>
          <t>Transfer:TR-00109; Approval:APR-00109</t>
        </is>
      </c>
      <c r="H447" s="7" t="inlineStr">
        <is>
          <t>Confirmed Fact</t>
        </is>
      </c>
      <c r="I447" s="7" t="inlineStr">
        <is>
          <t>TR-00109 - got it 2026-02-04 at Chicago.</t>
        </is>
      </c>
    </row>
    <row r="448">
      <c r="A448" s="7" t="inlineStr">
        <is>
          <t>MD-00109</t>
        </is>
      </c>
      <c r="B448" s="7" t="inlineStr">
        <is>
          <t>2026-05-31</t>
        </is>
      </c>
      <c r="C448" s="7" t="inlineStr">
        <is>
          <t>Offboarding Ticket</t>
        </is>
      </c>
      <c r="D448" s="7" t="inlineStr">
        <is>
          <t>E0072</t>
        </is>
      </c>
      <c r="E448" s="7" t="inlineStr">
        <is>
          <t>IT Service Desk</t>
        </is>
      </c>
      <c r="F448" s="7" t="inlineStr"/>
      <c r="G448" s="7" t="inlineStr">
        <is>
          <t>Ticket:RET-00109; Status:Pending Disposal</t>
        </is>
      </c>
      <c r="H448" s="7" t="inlineStr">
        <is>
          <t>Confirmed Fact</t>
        </is>
      </c>
      <c r="I448" s="7" t="inlineStr">
        <is>
          <t>RET-00109 sits Pending Disposal. Hardware return not required per ticket.</t>
        </is>
      </c>
    </row>
    <row r="449">
      <c r="A449" s="7" t="inlineStr">
        <is>
          <t>MD-00109</t>
        </is>
      </c>
      <c r="B449" s="7" t="inlineStr">
        <is>
          <t>2026-05-31</t>
        </is>
      </c>
      <c r="C449" s="7" t="inlineStr">
        <is>
          <t>Technician Comment</t>
        </is>
      </c>
      <c r="D449" s="7" t="inlineStr">
        <is>
          <t>Service Desk</t>
        </is>
      </c>
      <c r="E449" s="7" t="inlineStr"/>
      <c r="F449" s="7" t="inlineStr"/>
      <c r="G449" s="7" t="inlineStr">
        <is>
          <t>Ticket:RET-00109</t>
        </is>
      </c>
      <c r="H449" s="7" t="inlineStr">
        <is>
          <t>Technician Claim</t>
        </is>
      </c>
      <c r="I449" s="7" t="inlineStr">
        <is>
          <t>Broke hinge; cheaper to retire than repair. Ref MD-00109.</t>
        </is>
      </c>
    </row>
    <row r="450">
      <c r="A450" s="7" t="inlineStr">
        <is>
          <t>MD-00109</t>
        </is>
      </c>
      <c r="B450" s="7" t="inlineStr">
        <is>
          <t>2026-08-05</t>
        </is>
      </c>
      <c r="C450" s="7" t="inlineStr">
        <is>
          <t>Regional IT Note Lead</t>
        </is>
      </c>
      <c r="D450" s="7" t="inlineStr">
        <is>
          <t>Regional IT</t>
        </is>
      </c>
      <c r="E450" s="7" t="inlineStr"/>
      <c r="F450" s="7" t="inlineStr">
        <is>
          <t>Denver - Closed</t>
        </is>
      </c>
      <c r="G450" s="7" t="inlineStr">
        <is>
          <t>regional_IT_notes.docx</t>
        </is>
      </c>
      <c r="H450" s="7" t="inlineStr">
        <is>
          <t>Technician Claim</t>
        </is>
      </c>
      <c r="I450" s="7" t="inlineStr">
        <is>
          <t>Technician notes scanned for MD-00109; nothing usable without a transaction.</t>
        </is>
      </c>
    </row>
    <row r="451">
      <c r="A451" s="7" t="inlineStr">
        <is>
          <t>MD-00109</t>
        </is>
      </c>
      <c r="B451" s="7" t="inlineStr">
        <is>
          <t>2026-08-09</t>
        </is>
      </c>
      <c r="C451" s="7" t="inlineStr">
        <is>
          <t>Policy Control Figure</t>
        </is>
      </c>
      <c r="D451" s="7" t="inlineStr">
        <is>
          <t>ITAM-001</t>
        </is>
      </c>
      <c r="E451" s="7" t="inlineStr"/>
      <c r="F451" s="7" t="inlineStr"/>
      <c r="G451" s="7" t="inlineStr">
        <is>
          <t>ITAM_control_matrix.png; IT_asset_management_policy.pdf</t>
        </is>
      </c>
      <c r="H451" s="7" t="inlineStr">
        <is>
          <t>Confirmed Fact</t>
        </is>
      </c>
      <c r="I451" s="7" t="inlineStr">
        <is>
          <t>Control matrix cited on MD-00109 for return only. Movement/finance proof stays with TR-00109, PO-2024-0019, FA-000109, RET-00109, APR-00109; exceptions EX-0145, EX-0146.</t>
        </is>
      </c>
    </row>
    <row r="452">
      <c r="A452" s="7" t="inlineStr">
        <is>
          <t>MD-00109</t>
        </is>
      </c>
      <c r="B452" s="7" t="inlineStr">
        <is>
          <t>2026-08-09</t>
        </is>
      </c>
      <c r="C452" s="7" t="inlineStr">
        <is>
          <t>Reconciliation Conclusion</t>
        </is>
      </c>
      <c r="D452" s="7" t="inlineStr">
        <is>
          <t>Evidence review</t>
        </is>
      </c>
      <c r="E452" s="7" t="inlineStr">
        <is>
          <t>Regional IT</t>
        </is>
      </c>
      <c r="F452" s="7" t="inlineStr">
        <is>
          <t>Chicago</t>
        </is>
      </c>
      <c r="G452" s="7" t="inlineStr">
        <is>
          <t>Ticket:RET-00109; Transfer:TR-00109; Certificate:missing; PO:PO-2024-0019; Ledger:FA-000109; PolicyFigure:ITAM_control_matrix.png</t>
        </is>
      </c>
      <c r="H452" s="7" t="inlineStr">
        <is>
          <t>Confirmed Fact</t>
        </is>
      </c>
      <c r="I452" s="7" t="inlineStr">
        <is>
          <t>MD-00109 → Retired/Pending Disposal. Confidence Medium. EX-0145, EX-0146. RET-00109. TR-00109. PO. PO-2024-0019. FA-000109. ITAM_control_matrix.png.</t>
        </is>
      </c>
    </row>
    <row r="453">
      <c r="A453" s="7" t="inlineStr">
        <is>
          <t>MD-00110</t>
        </is>
      </c>
      <c r="B453" s="7" t="inlineStr">
        <is>
          <t>2024-03-15</t>
        </is>
      </c>
      <c r="C453" s="7" t="inlineStr">
        <is>
          <t>Purchase</t>
        </is>
      </c>
      <c r="D453" s="7" t="inlineStr">
        <is>
          <t>Vendor</t>
        </is>
      </c>
      <c r="E453" s="7" t="inlineStr">
        <is>
          <t>Central Receiving</t>
        </is>
      </c>
      <c r="F453" s="7" t="inlineStr">
        <is>
          <t>Atlanta Warehouse</t>
        </is>
      </c>
      <c r="G453" s="7" t="inlineStr">
        <is>
          <t>PO:PO-2024-0019</t>
        </is>
      </c>
      <c r="H453" s="7" t="inlineStr">
        <is>
          <t>Confirmed Fact</t>
        </is>
      </c>
      <c r="I453" s="7" t="inlineStr">
        <is>
          <t>$745 Dell U2723QE. PO-2024-0019.</t>
        </is>
      </c>
    </row>
    <row r="454">
      <c r="A454" s="7" t="inlineStr">
        <is>
          <t>MD-00110</t>
        </is>
      </c>
      <c r="B454" s="7" t="inlineStr">
        <is>
          <t>2026-03-15</t>
        </is>
      </c>
      <c r="C454" s="7" t="inlineStr">
        <is>
          <t>Assignment/Transfer</t>
        </is>
      </c>
      <c r="D454" s="7" t="inlineStr">
        <is>
          <t>Central Receiving</t>
        </is>
      </c>
      <c r="E454" s="7" t="inlineStr">
        <is>
          <t>Regional IT</t>
        </is>
      </c>
      <c r="F454" s="7" t="inlineStr">
        <is>
          <t>Dallas</t>
        </is>
      </c>
      <c r="G454" s="7" t="inlineStr">
        <is>
          <t>Transfer:TR-00110; Approval:APR-00110</t>
        </is>
      </c>
      <c r="H454" s="7" t="inlineStr">
        <is>
          <t>Confirmed Fact</t>
        </is>
      </c>
      <c r="I454" s="7" t="inlineStr">
        <is>
          <t>Transfer TR-00110 / APR-00110. Received Mar 08, 2026.</t>
        </is>
      </c>
    </row>
    <row r="455">
      <c r="A455" s="7" t="inlineStr">
        <is>
          <t>MD-00110</t>
        </is>
      </c>
      <c r="B455" s="7" t="inlineStr">
        <is>
          <t>2026-05-31</t>
        </is>
      </c>
      <c r="C455" s="7" t="inlineStr">
        <is>
          <t>Offboarding Ticket</t>
        </is>
      </c>
      <c r="D455" s="7" t="inlineStr">
        <is>
          <t>E0073</t>
        </is>
      </c>
      <c r="E455" s="7" t="inlineStr">
        <is>
          <t>IT Service Desk</t>
        </is>
      </c>
      <c r="F455" s="7" t="inlineStr"/>
      <c r="G455" s="7" t="inlineStr">
        <is>
          <t>Ticket:RET-00110; Status:Pending Disposal</t>
        </is>
      </c>
      <c r="H455" s="7" t="inlineStr">
        <is>
          <t>Confirmed Fact</t>
        </is>
      </c>
      <c r="I455" s="7" t="inlineStr">
        <is>
          <t>RET-00110 Pending Disposal. Return required=No.</t>
        </is>
      </c>
    </row>
    <row r="456">
      <c r="A456" s="7" t="inlineStr">
        <is>
          <t>MD-00110</t>
        </is>
      </c>
      <c r="B456" s="7" t="inlineStr">
        <is>
          <t>2026-05-31</t>
        </is>
      </c>
      <c r="C456" s="7" t="inlineStr">
        <is>
          <t>Technician Comment</t>
        </is>
      </c>
      <c r="D456" s="7" t="inlineStr">
        <is>
          <t>Service Desk</t>
        </is>
      </c>
      <c r="E456" s="7" t="inlineStr"/>
      <c r="F456" s="7" t="inlineStr"/>
      <c r="G456" s="7" t="inlineStr">
        <is>
          <t>Ticket:RET-00110</t>
        </is>
      </c>
      <c r="H456" s="7" t="inlineStr">
        <is>
          <t>Technician Claim</t>
        </is>
      </c>
      <c r="I456" s="7" t="inlineStr">
        <is>
          <t>Hold for 800-88 wipe before vendor pickup. Ref MD-00110.</t>
        </is>
      </c>
    </row>
    <row r="457">
      <c r="A457" s="7" t="inlineStr">
        <is>
          <t>MD-00110</t>
        </is>
      </c>
      <c r="B457" s="7" t="inlineStr">
        <is>
          <t>2026-08-05</t>
        </is>
      </c>
      <c r="C457" s="7" t="inlineStr">
        <is>
          <t>Regional IT Note Lead</t>
        </is>
      </c>
      <c r="D457" s="7" t="inlineStr">
        <is>
          <t>Regional IT</t>
        </is>
      </c>
      <c r="E457" s="7" t="inlineStr"/>
      <c r="F457" s="7" t="inlineStr">
        <is>
          <t>Chicago - Closed</t>
        </is>
      </c>
      <c r="G457" s="7" t="inlineStr">
        <is>
          <t>regional_IT_notes.docx</t>
        </is>
      </c>
      <c r="H457" s="7" t="inlineStr">
        <is>
          <t>Technician Claim</t>
        </is>
      </c>
      <c r="I457" s="7" t="inlineStr">
        <is>
          <t>Looked for MD-00110 in regional_IT_notes.docx; still need CSV/XLSX proof.</t>
        </is>
      </c>
    </row>
    <row r="458">
      <c r="A458" s="7" t="inlineStr">
        <is>
          <t>MD-00110</t>
        </is>
      </c>
      <c r="B458" s="7" t="inlineStr">
        <is>
          <t>2026-08-09</t>
        </is>
      </c>
      <c r="C458" s="7" t="inlineStr">
        <is>
          <t>Policy Control Figure</t>
        </is>
      </c>
      <c r="D458" s="7" t="inlineStr">
        <is>
          <t>ITAM-001</t>
        </is>
      </c>
      <c r="E458" s="7" t="inlineStr"/>
      <c r="F458" s="7" t="inlineStr"/>
      <c r="G458" s="7" t="inlineStr">
        <is>
          <t>ITAM_control_matrix.png; IT_asset_management_policy.pdf</t>
        </is>
      </c>
      <c r="H458" s="7" t="inlineStr">
        <is>
          <t>Confirmed Fact</t>
        </is>
      </c>
      <c r="I458" s="7" t="inlineStr">
        <is>
          <t>For MD-00110 (Dell U2723QE), Appendix A transfer criteria were read against TR-00110, PO-2024-0019, FA-000110, RET-00110, APR-00110. Verified status target Retired/Pending Disposal at Dallas; matrix PNG is reference only.</t>
        </is>
      </c>
    </row>
    <row r="459">
      <c r="A459" s="7" t="inlineStr">
        <is>
          <t>MD-00110</t>
        </is>
      </c>
      <c r="B459" s="7" t="inlineStr">
        <is>
          <t>2026-08-09</t>
        </is>
      </c>
      <c r="C459" s="7" t="inlineStr">
        <is>
          <t>Reconciliation Conclusion</t>
        </is>
      </c>
      <c r="D459" s="7" t="inlineStr">
        <is>
          <t>Evidence review</t>
        </is>
      </c>
      <c r="E459" s="7" t="inlineStr">
        <is>
          <t>Regional IT</t>
        </is>
      </c>
      <c r="F459" s="7" t="inlineStr">
        <is>
          <t>Dallas</t>
        </is>
      </c>
      <c r="G459" s="7" t="inlineStr">
        <is>
          <t>Ticket:RET-00110; Transfer:TR-00110; Certificate:missing; PO:PO-2024-0019; Ledger:FA-000110; PolicyFigure:ITAM_control_matrix.png</t>
        </is>
      </c>
      <c r="H459" s="7" t="inlineStr">
        <is>
          <t>Confirmed Fact</t>
        </is>
      </c>
      <c r="I459" s="7" t="inlineStr">
        <is>
          <t>Retired/Pending Disposal is the status for MD-00110 at Dallas; Medium. EX-0147, EX-0148. RET-00110. TR-00110. PO. PO-2024-0019. FA-000110. ITAM_control_matrix.png.</t>
        </is>
      </c>
    </row>
    <row r="460">
      <c r="A460" s="7" t="inlineStr">
        <is>
          <t>MD-00114</t>
        </is>
      </c>
      <c r="B460" s="7" t="inlineStr">
        <is>
          <t>2024-07-19</t>
        </is>
      </c>
      <c r="C460" s="7" t="inlineStr">
        <is>
          <t>Purchase</t>
        </is>
      </c>
      <c r="D460" s="7" t="inlineStr">
        <is>
          <t>Vendor</t>
        </is>
      </c>
      <c r="E460" s="7" t="inlineStr">
        <is>
          <t>Central Receiving</t>
        </is>
      </c>
      <c r="F460" s="7" t="inlineStr">
        <is>
          <t>Atlanta Warehouse</t>
        </is>
      </c>
      <c r="G460" s="7" t="inlineStr">
        <is>
          <t>PO:PO-2024-0019</t>
        </is>
      </c>
      <c r="H460" s="7" t="inlineStr">
        <is>
          <t>Confirmed Fact</t>
        </is>
      </c>
      <c r="I460" s="7" t="inlineStr">
        <is>
          <t>Procurement PO-2024-0019 lists Dell U2723QE / $610.</t>
        </is>
      </c>
    </row>
    <row r="461">
      <c r="A461" s="7" t="inlineStr">
        <is>
          <t>MD-00114</t>
        </is>
      </c>
      <c r="B461" s="7" t="inlineStr">
        <is>
          <t>2026-01-19</t>
        </is>
      </c>
      <c r="C461" s="7" t="inlineStr">
        <is>
          <t>Assignment/Transfer</t>
        </is>
      </c>
      <c r="D461" s="7" t="inlineStr">
        <is>
          <t>Central Receiving</t>
        </is>
      </c>
      <c r="E461" s="7" t="inlineStr">
        <is>
          <t>Certified Recycler</t>
        </is>
      </c>
      <c r="F461" s="7" t="inlineStr">
        <is>
          <t>Disposed</t>
        </is>
      </c>
      <c r="G461" s="7" t="inlineStr">
        <is>
          <t>Transfer:TR-00114; Approval:APR-00114</t>
        </is>
      </c>
      <c r="H461" s="7" t="inlineStr">
        <is>
          <t>Confirmed Fact</t>
        </is>
      </c>
      <c r="I461" s="7" t="inlineStr">
        <is>
          <t>Movement TR-00114 completed inbound 01/22/2026.</t>
        </is>
      </c>
    </row>
    <row r="462">
      <c r="A462" s="7" t="inlineStr">
        <is>
          <t>MD-00114</t>
        </is>
      </c>
      <c r="B462" s="7" t="inlineStr">
        <is>
          <t>2026-05-31</t>
        </is>
      </c>
      <c r="C462" s="7" t="inlineStr">
        <is>
          <t>Offboarding Ticket</t>
        </is>
      </c>
      <c r="D462" s="7" t="inlineStr">
        <is>
          <t>E0077</t>
        </is>
      </c>
      <c r="E462" s="7" t="inlineStr">
        <is>
          <t>IT Service Desk</t>
        </is>
      </c>
      <c r="F462" s="7" t="inlineStr"/>
      <c r="G462" s="7" t="inlineStr">
        <is>
          <t>Ticket:RET-00114; Status:Closed</t>
        </is>
      </c>
      <c r="H462" s="7" t="inlineStr">
        <is>
          <t>Confirmed Fact</t>
        </is>
      </c>
      <c r="I462" s="7" t="inlineStr">
        <is>
          <t>RET-00114 - Closed. Due n/a.</t>
        </is>
      </c>
    </row>
    <row r="463">
      <c r="A463" s="7" t="inlineStr">
        <is>
          <t>MD-00114</t>
        </is>
      </c>
      <c r="B463" s="7" t="inlineStr">
        <is>
          <t>2026-05-31</t>
        </is>
      </c>
      <c r="C463" s="7" t="inlineStr">
        <is>
          <t>Technician Comment</t>
        </is>
      </c>
      <c r="D463" s="7" t="inlineStr">
        <is>
          <t>Service Desk</t>
        </is>
      </c>
      <c r="E463" s="7" t="inlineStr"/>
      <c r="F463" s="7" t="inlineStr"/>
      <c r="G463" s="7" t="inlineStr">
        <is>
          <t>Ticket:RET-00114</t>
        </is>
      </c>
      <c r="H463" s="7" t="inlineStr">
        <is>
          <t>Technician Claim</t>
        </is>
      </c>
      <c r="I463" s="7" t="inlineStr">
        <is>
          <t>I'm not marking Available; it's in the retire queue. Ref MD-00114.</t>
        </is>
      </c>
    </row>
    <row r="464">
      <c r="A464" s="7" t="inlineStr">
        <is>
          <t>MD-00114</t>
        </is>
      </c>
      <c r="B464" s="7" t="inlineStr">
        <is>
          <t>2026-01-20</t>
        </is>
      </c>
      <c r="C464" s="7" t="inlineStr">
        <is>
          <t>Disposal Evidence Gap</t>
        </is>
      </c>
      <c r="D464" s="7" t="inlineStr">
        <is>
          <t>Central Receiving</t>
        </is>
      </c>
      <c r="E464" s="7" t="inlineStr">
        <is>
          <t>Certified Recycler</t>
        </is>
      </c>
      <c r="F464" s="7" t="inlineStr">
        <is>
          <t>Disposed</t>
        </is>
      </c>
      <c r="G464" s="7" t="inlineStr">
        <is>
          <t>Transfer:TR-00114; Certificate:missing</t>
        </is>
      </c>
      <c r="H464" s="7" t="inlineStr">
        <is>
          <t>Unresolved Assumption</t>
        </is>
      </c>
      <c r="I464" s="7" t="inlineStr">
        <is>
          <t>MD-00114 pending-disposal with an empty cert field.</t>
        </is>
      </c>
    </row>
    <row r="465">
      <c r="A465" s="7" t="inlineStr">
        <is>
          <t>MD-00114</t>
        </is>
      </c>
      <c r="B465" s="7" t="inlineStr">
        <is>
          <t>2026-08-05</t>
        </is>
      </c>
      <c r="C465" s="7" t="inlineStr">
        <is>
          <t>Regional IT Note Lead</t>
        </is>
      </c>
      <c r="D465" s="7" t="inlineStr">
        <is>
          <t>Regional IT</t>
        </is>
      </c>
      <c r="E465" s="7" t="inlineStr"/>
      <c r="F465" s="7" t="inlineStr">
        <is>
          <t>Chicago - Closed</t>
        </is>
      </c>
      <c r="G465" s="7" t="inlineStr">
        <is>
          <t>regional_IT_notes.docx</t>
        </is>
      </c>
      <c r="H465" s="7" t="inlineStr">
        <is>
          <t>Technician Claim</t>
        </is>
      </c>
      <c r="I465" s="7" t="inlineStr">
        <is>
          <t>Breadcrumb for MD-00114 in regional_IT_notes.docx; corroboration missing.</t>
        </is>
      </c>
    </row>
    <row r="466">
      <c r="A466" s="7" t="inlineStr">
        <is>
          <t>MD-00114</t>
        </is>
      </c>
      <c r="B466" s="7" t="inlineStr">
        <is>
          <t>2026-08-09</t>
        </is>
      </c>
      <c r="C466" s="7" t="inlineStr">
        <is>
          <t>Policy Control Figure</t>
        </is>
      </c>
      <c r="D466" s="7" t="inlineStr">
        <is>
          <t>ITAM-001</t>
        </is>
      </c>
      <c r="E466" s="7" t="inlineStr"/>
      <c r="F466" s="7" t="inlineStr"/>
      <c r="G466" s="7" t="inlineStr">
        <is>
          <t>ITAM_control_matrix.png; IT_asset_management_policy.pdf</t>
        </is>
      </c>
      <c r="H466" s="7" t="inlineStr">
        <is>
          <t>Confirmed Fact</t>
        </is>
      </c>
      <c r="I466" s="7" t="inlineStr">
        <is>
          <t>MD-00114: checked ITAM-001 financial row while reviewing TR-00114, PO-2024-0019, FA-000114, RET-00114, APR-00114. Cost basis $610; confidence Low. Figure does not replace logs.</t>
        </is>
      </c>
    </row>
    <row r="467">
      <c r="A467" s="7" t="inlineStr">
        <is>
          <t>MD-00114</t>
        </is>
      </c>
      <c r="B467" s="7" t="inlineStr">
        <is>
          <t>2026-08-09</t>
        </is>
      </c>
      <c r="C467" s="7" t="inlineStr">
        <is>
          <t>Reconciliation Conclusion</t>
        </is>
      </c>
      <c r="D467" s="7" t="inlineStr">
        <is>
          <t>Evidence review</t>
        </is>
      </c>
      <c r="E467" s="7" t="inlineStr">
        <is>
          <t>Certified Recycler</t>
        </is>
      </c>
      <c r="F467" s="7" t="inlineStr">
        <is>
          <t>Disposed (certificate missing)</t>
        </is>
      </c>
      <c r="G467" s="7" t="inlineStr">
        <is>
          <t>Transfer:TR-00114; Certificate:missing; Ticket:RET-00114; PO:PO-2024-0019; Ledger:FA-000114; PolicyFigure:ITAM_control_matrix.png</t>
        </is>
      </c>
      <c r="H467" s="7" t="inlineStr">
        <is>
          <t>Unresolved Assumption</t>
        </is>
      </c>
      <c r="I467" s="7" t="inlineStr">
        <is>
          <t>Outcome MD-00114 - Retired/Pending Disposal, site Disposed (certificate missing), Low. EX-0149, EX-0150. TR-00114. RET-00114. PO. PO-2024-0019. FA-000114. ITAM_control_matrix.png.</t>
        </is>
      </c>
    </row>
    <row r="468">
      <c r="A468" s="7" t="inlineStr">
        <is>
          <t>MD-00118</t>
        </is>
      </c>
      <c r="B468" s="7" t="inlineStr">
        <is>
          <t>2024-11-23</t>
        </is>
      </c>
      <c r="C468" s="7" t="inlineStr">
        <is>
          <t>Purchase</t>
        </is>
      </c>
      <c r="D468" s="7" t="inlineStr">
        <is>
          <t>Vendor</t>
        </is>
      </c>
      <c r="E468" s="7" t="inlineStr">
        <is>
          <t>Central Receiving</t>
        </is>
      </c>
      <c r="F468" s="7" t="inlineStr">
        <is>
          <t>Atlanta Warehouse</t>
        </is>
      </c>
      <c r="G468" s="7" t="inlineStr">
        <is>
          <t>PO:PO-2025-0020</t>
        </is>
      </c>
      <c r="H468" s="7" t="inlineStr">
        <is>
          <t>Confirmed Fact</t>
        </is>
      </c>
      <c r="I468" s="7" t="inlineStr">
        <is>
          <t>Procurement PO-2025-0020 lists Dell U2723QE / $790.</t>
        </is>
      </c>
    </row>
    <row r="469">
      <c r="A469" s="7" t="inlineStr">
        <is>
          <t>MD-00118</t>
        </is>
      </c>
      <c r="B469" s="7" t="inlineStr">
        <is>
          <t>2026-05-23</t>
        </is>
      </c>
      <c r="C469" s="7" t="inlineStr">
        <is>
          <t>Assignment/Transfer</t>
        </is>
      </c>
      <c r="D469" s="7" t="inlineStr">
        <is>
          <t>Central Receiving</t>
        </is>
      </c>
      <c r="E469" s="7" t="inlineStr">
        <is>
          <t>Certified Recycler</t>
        </is>
      </c>
      <c r="F469" s="7" t="inlineStr">
        <is>
          <t>Disposed</t>
        </is>
      </c>
      <c r="G469" s="7" t="inlineStr">
        <is>
          <t>Transfer:TR-00118; Approval:APR-00118</t>
        </is>
      </c>
      <c r="H469" s="7" t="inlineStr">
        <is>
          <t>Confirmed Fact</t>
        </is>
      </c>
      <c r="I469" s="7" t="inlineStr">
        <is>
          <t>MD-00118 inbound Jun 04, 2026 on TR-00118 / APR-00118.</t>
        </is>
      </c>
    </row>
    <row r="470">
      <c r="A470" s="7" t="inlineStr">
        <is>
          <t>MD-00118</t>
        </is>
      </c>
      <c r="B470" s="7" t="inlineStr">
        <is>
          <t>2026-05-31</t>
        </is>
      </c>
      <c r="C470" s="7" t="inlineStr">
        <is>
          <t>Offboarding Ticket</t>
        </is>
      </c>
      <c r="D470" s="7" t="inlineStr">
        <is>
          <t>E0081</t>
        </is>
      </c>
      <c r="E470" s="7" t="inlineStr">
        <is>
          <t>IT Service Desk</t>
        </is>
      </c>
      <c r="F470" s="7" t="inlineStr"/>
      <c r="G470" s="7" t="inlineStr">
        <is>
          <t>Ticket:RET-00118; Status:Closed</t>
        </is>
      </c>
      <c r="H470" s="7" t="inlineStr">
        <is>
          <t>Confirmed Fact</t>
        </is>
      </c>
      <c r="I470" s="7" t="inlineStr">
        <is>
          <t>Offboarding RET-00118: No.</t>
        </is>
      </c>
    </row>
    <row r="471">
      <c r="A471" s="7" t="inlineStr">
        <is>
          <t>MD-00118</t>
        </is>
      </c>
      <c r="B471" s="7" t="inlineStr">
        <is>
          <t>2026-05-31</t>
        </is>
      </c>
      <c r="C471" s="7" t="inlineStr">
        <is>
          <t>Technician Comment</t>
        </is>
      </c>
      <c r="D471" s="7" t="inlineStr">
        <is>
          <t>Service Desk</t>
        </is>
      </c>
      <c r="E471" s="7" t="inlineStr"/>
      <c r="F471" s="7" t="inlineStr"/>
      <c r="G471" s="7" t="inlineStr">
        <is>
          <t>Ticket:RET-00118</t>
        </is>
      </c>
      <c r="H471" s="7" t="inlineStr">
        <is>
          <t>Technician Claim</t>
        </is>
      </c>
      <c r="I471" s="7" t="inlineStr">
        <is>
          <t>Serial confirmed on the pallet list; certificate row may still be missing. Ref MD-00118.</t>
        </is>
      </c>
    </row>
    <row r="472">
      <c r="A472" s="7" t="inlineStr">
        <is>
          <t>MD-00118</t>
        </is>
      </c>
      <c r="B472" s="7" t="inlineStr">
        <is>
          <t>2026-05-24</t>
        </is>
      </c>
      <c r="C472" s="7" t="inlineStr">
        <is>
          <t>Disposal Evidence Gap</t>
        </is>
      </c>
      <c r="D472" s="7" t="inlineStr">
        <is>
          <t>Central Receiving</t>
        </is>
      </c>
      <c r="E472" s="7" t="inlineStr">
        <is>
          <t>Certified Recycler</t>
        </is>
      </c>
      <c r="F472" s="7" t="inlineStr">
        <is>
          <t>Disposed</t>
        </is>
      </c>
      <c r="G472" s="7" t="inlineStr">
        <is>
          <t>Transfer:TR-00118; Certificate:missing</t>
        </is>
      </c>
      <c r="H472" s="7" t="inlineStr">
        <is>
          <t>Unresolved Assumption</t>
        </is>
      </c>
      <c r="I472" s="7" t="inlineStr">
        <is>
          <t>No DC for MD-00118. Transfer TR-00118 isn't enough.</t>
        </is>
      </c>
    </row>
    <row r="473">
      <c r="A473" s="7" t="inlineStr">
        <is>
          <t>MD-00118</t>
        </is>
      </c>
      <c r="B473" s="7" t="inlineStr">
        <is>
          <t>2026-08-05</t>
        </is>
      </c>
      <c r="C473" s="7" t="inlineStr">
        <is>
          <t>Regional IT Note Lead</t>
        </is>
      </c>
      <c r="D473" s="7" t="inlineStr">
        <is>
          <t>Regional IT</t>
        </is>
      </c>
      <c r="E473" s="7" t="inlineStr"/>
      <c r="F473" s="7" t="inlineStr">
        <is>
          <t>Chicago - Closed</t>
        </is>
      </c>
      <c r="G473" s="7" t="inlineStr">
        <is>
          <t>regional_IT_notes.docx</t>
        </is>
      </c>
      <c r="H473" s="7" t="inlineStr">
        <is>
          <t>Technician Claim</t>
        </is>
      </c>
      <c r="I473" s="7" t="inlineStr">
        <is>
          <t>I kept MD-00118 off the note until logs backed it.</t>
        </is>
      </c>
    </row>
    <row r="474">
      <c r="A474" s="7" t="inlineStr">
        <is>
          <t>MD-00118</t>
        </is>
      </c>
      <c r="B474" s="7" t="inlineStr">
        <is>
          <t>2026-08-09</t>
        </is>
      </c>
      <c r="C474" s="7" t="inlineStr">
        <is>
          <t>Policy Control Figure</t>
        </is>
      </c>
      <c r="D474" s="7" t="inlineStr">
        <is>
          <t>ITAM-001</t>
        </is>
      </c>
      <c r="E474" s="7" t="inlineStr"/>
      <c r="F474" s="7" t="inlineStr"/>
      <c r="G474" s="7" t="inlineStr">
        <is>
          <t>ITAM_control_matrix.png; IT_asset_management_policy.pdf</t>
        </is>
      </c>
      <c r="H474" s="7" t="inlineStr">
        <is>
          <t>Confirmed Fact</t>
        </is>
      </c>
      <c r="I474" s="7" t="inlineStr">
        <is>
          <t>Disposed (certificate missing) custody review for MD-00118 used the return column on the matrix. Source trail: TR-00118, PO-2025-0020, FA-000118, RET-00118, APR-00118.</t>
        </is>
      </c>
    </row>
    <row r="475">
      <c r="A475" s="7" t="inlineStr">
        <is>
          <t>MD-00118</t>
        </is>
      </c>
      <c r="B475" s="7" t="inlineStr">
        <is>
          <t>2026-08-09</t>
        </is>
      </c>
      <c r="C475" s="7" t="inlineStr">
        <is>
          <t>Reconciliation Conclusion</t>
        </is>
      </c>
      <c r="D475" s="7" t="inlineStr">
        <is>
          <t>Evidence review</t>
        </is>
      </c>
      <c r="E475" s="7" t="inlineStr">
        <is>
          <t>Certified Recycler</t>
        </is>
      </c>
      <c r="F475" s="7" t="inlineStr">
        <is>
          <t>Disposed (certificate missing)</t>
        </is>
      </c>
      <c r="G475" s="7" t="inlineStr">
        <is>
          <t>Transfer:TR-00118; Certificate:missing; Ticket:RET-00118; PO:PO-2025-0020; Ledger:FA-000118; PolicyFigure:ITAM_control_matrix.png</t>
        </is>
      </c>
      <c r="H475" s="7" t="inlineStr">
        <is>
          <t>Unresolved Assumption</t>
        </is>
      </c>
      <c r="I475" s="7" t="inlineStr">
        <is>
          <t>Verified Retired/Pending Disposal for MD-00118 in Disposed (certificate missing). Low. EX-0151, EX-0152. TR-00118. RET-00118. PO. PO-2025-0020. FA-000118. ITAM_control_matrix.png.</t>
        </is>
      </c>
    </row>
    <row r="476">
      <c r="A476" s="7" t="inlineStr">
        <is>
          <t>MD-00119</t>
        </is>
      </c>
      <c r="B476" s="7" t="inlineStr">
        <is>
          <t>2025-12-24</t>
        </is>
      </c>
      <c r="C476" s="7" t="inlineStr">
        <is>
          <t>Purchase</t>
        </is>
      </c>
      <c r="D476" s="7" t="inlineStr">
        <is>
          <t>Vendor</t>
        </is>
      </c>
      <c r="E476" s="7" t="inlineStr">
        <is>
          <t>Central Receiving</t>
        </is>
      </c>
      <c r="F476" s="7" t="inlineStr">
        <is>
          <t>Atlanta Warehouse</t>
        </is>
      </c>
      <c r="G476" s="7" t="inlineStr">
        <is>
          <t>PO:PO-2025-0020</t>
        </is>
      </c>
      <c r="H476" s="7" t="inlineStr">
        <is>
          <t>Confirmed Fact</t>
        </is>
      </c>
      <c r="I476" s="7" t="inlineStr">
        <is>
          <t>PO-2025-0020: Samsung Galaxy S24 at $950.</t>
        </is>
      </c>
    </row>
    <row r="477">
      <c r="A477" s="7" t="inlineStr">
        <is>
          <t>MD-00119</t>
        </is>
      </c>
      <c r="B477" s="7" t="inlineStr">
        <is>
          <t>2026-06-24</t>
        </is>
      </c>
      <c r="C477" s="7" t="inlineStr">
        <is>
          <t>Assignment/Transfer</t>
        </is>
      </c>
      <c r="D477" s="7" t="inlineStr">
        <is>
          <t>Central Receiving</t>
        </is>
      </c>
      <c r="E477" s="7" t="inlineStr">
        <is>
          <t>Certified Recycler</t>
        </is>
      </c>
      <c r="F477" s="7" t="inlineStr">
        <is>
          <t>Disposed</t>
        </is>
      </c>
      <c r="G477" s="7" t="inlineStr">
        <is>
          <t>Transfer:TR-00119; Approval:APR-00119</t>
        </is>
      </c>
      <c r="H477" s="7" t="inlineStr">
        <is>
          <t>Confirmed Fact</t>
        </is>
      </c>
      <c r="I477" s="7" t="inlineStr">
        <is>
          <t>Movement TR-00119 completed inbound 2026-07-09.</t>
        </is>
      </c>
    </row>
    <row r="478">
      <c r="A478" s="7" t="inlineStr">
        <is>
          <t>MD-00119</t>
        </is>
      </c>
      <c r="B478" s="7" t="inlineStr">
        <is>
          <t>2026-05-31</t>
        </is>
      </c>
      <c r="C478" s="7" t="inlineStr">
        <is>
          <t>Offboarding Ticket</t>
        </is>
      </c>
      <c r="D478" s="7" t="inlineStr">
        <is>
          <t>E0082</t>
        </is>
      </c>
      <c r="E478" s="7" t="inlineStr">
        <is>
          <t>IT Service Desk</t>
        </is>
      </c>
      <c r="F478" s="7" t="inlineStr"/>
      <c r="G478" s="7" t="inlineStr">
        <is>
          <t>Ticket:RET-00119; Status:Closed</t>
        </is>
      </c>
      <c r="H478" s="7" t="inlineStr">
        <is>
          <t>Confirmed Fact</t>
        </is>
      </c>
      <c r="I478" s="7" t="inlineStr">
        <is>
          <t>RET-00119 - Closed. Due n/a.</t>
        </is>
      </c>
    </row>
    <row r="479">
      <c r="A479" s="7" t="inlineStr">
        <is>
          <t>MD-00119</t>
        </is>
      </c>
      <c r="B479" s="7" t="inlineStr">
        <is>
          <t>2026-05-31</t>
        </is>
      </c>
      <c r="C479" s="7" t="inlineStr">
        <is>
          <t>Technician Comment</t>
        </is>
      </c>
      <c r="D479" s="7" t="inlineStr">
        <is>
          <t>Service Desk</t>
        </is>
      </c>
      <c r="E479" s="7" t="inlineStr"/>
      <c r="F479" s="7" t="inlineStr"/>
      <c r="G479" s="7" t="inlineStr">
        <is>
          <t>Ticket:RET-00119</t>
        </is>
      </c>
      <c r="H479" s="7" t="inlineStr">
        <is>
          <t>Technician Claim</t>
        </is>
      </c>
      <c r="I479" s="7" t="inlineStr">
        <is>
          <t>Don't reassign. Ticket is disposal path. Ref MD-00119.</t>
        </is>
      </c>
    </row>
    <row r="480">
      <c r="A480" s="7" t="inlineStr">
        <is>
          <t>MD-00119</t>
        </is>
      </c>
      <c r="B480" s="7" t="inlineStr">
        <is>
          <t>2026-07-20</t>
        </is>
      </c>
      <c r="C480" s="7" t="inlineStr">
        <is>
          <t>Disposal Certificate</t>
        </is>
      </c>
      <c r="D480" s="7" t="inlineStr">
        <is>
          <t>IT Asset Manager</t>
        </is>
      </c>
      <c r="E480" s="7" t="inlineStr">
        <is>
          <t>GreenLoop Electronics</t>
        </is>
      </c>
      <c r="F480" s="7" t="inlineStr">
        <is>
          <t>Disposed</t>
        </is>
      </c>
      <c r="G480" s="7" t="inlineStr">
        <is>
          <t>Disposal:DC-00119; Verified:Yes</t>
        </is>
      </c>
      <c r="H480" s="7" t="inlineStr">
        <is>
          <t>Confirmed Fact</t>
        </is>
      </c>
      <c r="I480" s="7" t="inlineStr">
        <is>
          <t>Certificate DC-00119 matches MD-00119.</t>
        </is>
      </c>
    </row>
    <row r="481">
      <c r="A481" s="7" t="inlineStr">
        <is>
          <t>MD-00119</t>
        </is>
      </c>
      <c r="B481" s="7" t="inlineStr">
        <is>
          <t>2026-08-05</t>
        </is>
      </c>
      <c r="C481" s="7" t="inlineStr">
        <is>
          <t>Regional IT Note Lead</t>
        </is>
      </c>
      <c r="D481" s="7" t="inlineStr">
        <is>
          <t>Regional IT</t>
        </is>
      </c>
      <c r="E481" s="7" t="inlineStr"/>
      <c r="F481" s="7" t="inlineStr">
        <is>
          <t>Denver - Closed</t>
        </is>
      </c>
      <c r="G481" s="7" t="inlineStr">
        <is>
          <t>regional_IT_notes.docx</t>
        </is>
      </c>
      <c r="H481" s="7" t="inlineStr">
        <is>
          <t>Technician Claim</t>
        </is>
      </c>
      <c r="I481" s="7" t="inlineStr">
        <is>
          <t>For MD-00119, notes are breadcrumb-only.</t>
        </is>
      </c>
    </row>
    <row r="482">
      <c r="A482" s="7" t="inlineStr">
        <is>
          <t>MD-00119</t>
        </is>
      </c>
      <c r="B482" s="7" t="inlineStr">
        <is>
          <t>2026-08-09</t>
        </is>
      </c>
      <c r="C482" s="7" t="inlineStr">
        <is>
          <t>Policy Control Figure</t>
        </is>
      </c>
      <c r="D482" s="7" t="inlineStr">
        <is>
          <t>ITAM-001</t>
        </is>
      </c>
      <c r="E482" s="7" t="inlineStr"/>
      <c r="F482" s="7" t="inlineStr"/>
      <c r="G482" s="7" t="inlineStr">
        <is>
          <t>ITAM_control_matrix.png; IT_asset_management_policy.pdf</t>
        </is>
      </c>
      <c r="H482" s="7" t="inlineStr">
        <is>
          <t>Confirmed Fact</t>
        </is>
      </c>
      <c r="I482" s="7" t="inlineStr">
        <is>
          <t>Did not treat the PNG as proof of location for MD-00119. transfer standard applied; TR-00119, PO-2025-0020, FA-000119, RET-00119, APR-00119 remains dispositive (Disposed).</t>
        </is>
      </c>
    </row>
    <row r="483">
      <c r="A483" s="7" t="inlineStr">
        <is>
          <t>MD-00119</t>
        </is>
      </c>
      <c r="B483" s="7" t="inlineStr">
        <is>
          <t>2026-08-09</t>
        </is>
      </c>
      <c r="C483" s="7" t="inlineStr">
        <is>
          <t>Reconciliation Conclusion</t>
        </is>
      </c>
      <c r="D483" s="7" t="inlineStr">
        <is>
          <t>Evidence review</t>
        </is>
      </c>
      <c r="E483" s="7" t="inlineStr">
        <is>
          <t>Certified Recycler</t>
        </is>
      </c>
      <c r="F483" s="7" t="inlineStr">
        <is>
          <t>Disposed</t>
        </is>
      </c>
      <c r="G483" s="7" t="inlineStr">
        <is>
          <t>Disposal:DC-00119; Transfer:TR-00119; Ticket:RET-00119; PO:PO-2025-0020; Ledger:FA-000119; PolicyFigure:ITAM_control_matrix.png</t>
        </is>
      </c>
      <c r="H483" s="7" t="inlineStr">
        <is>
          <t>Confirmed Fact</t>
        </is>
      </c>
      <c r="I483" s="7" t="inlineStr">
        <is>
          <t>Chain end MD-00119: Disposed; High; EX-0153. TR-00119. RET-00119. PO. PO-2025-0020. FA-000119. ITAM_control_matrix.png.</t>
        </is>
      </c>
    </row>
    <row r="484">
      <c r="A484" s="7" t="inlineStr">
        <is>
          <t>MD-00127</t>
        </is>
      </c>
      <c r="B484" s="7" t="inlineStr">
        <is>
          <t>2025-08-08</t>
        </is>
      </c>
      <c r="C484" s="7" t="inlineStr">
        <is>
          <t>Purchase</t>
        </is>
      </c>
      <c r="D484" s="7" t="inlineStr">
        <is>
          <t>Vendor</t>
        </is>
      </c>
      <c r="E484" s="7" t="inlineStr">
        <is>
          <t>Central Receiving</t>
        </is>
      </c>
      <c r="F484" s="7" t="inlineStr">
        <is>
          <t>Atlanta Warehouse</t>
        </is>
      </c>
      <c r="G484" s="7" t="inlineStr">
        <is>
          <t>PO:PO-2023-0022</t>
        </is>
      </c>
      <c r="H484" s="7" t="inlineStr">
        <is>
          <t>Confirmed Fact</t>
        </is>
      </c>
      <c r="I484" s="7" t="inlineStr">
        <is>
          <t>MD-00127 origin: PO-2023-0022, $995.</t>
        </is>
      </c>
    </row>
    <row r="485">
      <c r="A485" s="7" t="inlineStr">
        <is>
          <t>MD-00127</t>
        </is>
      </c>
      <c r="B485" s="7" t="inlineStr">
        <is>
          <t>2026-08-09</t>
        </is>
      </c>
      <c r="C485" s="7" t="inlineStr">
        <is>
          <t>Policy Control Figure</t>
        </is>
      </c>
      <c r="D485" s="7" t="inlineStr">
        <is>
          <t>ITAM-001</t>
        </is>
      </c>
      <c r="E485" s="7" t="n"/>
      <c r="F485" s="7" t="n"/>
      <c r="G485" s="7" t="inlineStr">
        <is>
          <t>ITAM_control_matrix.png; IT_asset_management_policy.pdf</t>
        </is>
      </c>
      <c r="H485" s="7" t="inlineStr">
        <is>
          <t>Confirmed Fact</t>
        </is>
      </c>
      <c r="I485" s="7" t="inlineStr">
        <is>
          <t>Denver custody review for MD-00127 used the return column on the matrix. Source trail: TR-00127, PO-2023-0022, FA-000127.</t>
        </is>
      </c>
    </row>
    <row r="486">
      <c r="A486" s="7" t="inlineStr">
        <is>
          <t>MD-00127</t>
        </is>
      </c>
      <c r="B486" s="7" t="inlineStr">
        <is>
          <t>2026-02-08</t>
        </is>
      </c>
      <c r="C486" s="7" t="inlineStr">
        <is>
          <t>Assignment/Transfer</t>
        </is>
      </c>
      <c r="D486" s="7" t="inlineStr">
        <is>
          <t>Central Receiving</t>
        </is>
      </c>
      <c r="E486" s="7" t="inlineStr">
        <is>
          <t>E0061</t>
        </is>
      </c>
      <c r="F486" s="7" t="inlineStr">
        <is>
          <t>Denver</t>
        </is>
      </c>
      <c r="G486" s="7" t="inlineStr">
        <is>
          <t>Transfer:TR-00127; Approval:missing</t>
        </is>
      </c>
      <c r="H486" s="7" t="inlineStr">
        <is>
          <t>Confirmed Fact</t>
        </is>
      </c>
      <c r="I486" s="7" t="inlineStr">
        <is>
          <t>Log row TR-00127. Receive date 2026-02-17.</t>
        </is>
      </c>
    </row>
    <row r="487">
      <c r="A487" s="7" t="inlineStr">
        <is>
          <t>MD-00127</t>
        </is>
      </c>
      <c r="B487" s="7" t="inlineStr">
        <is>
          <t>2026-08-09</t>
        </is>
      </c>
      <c r="C487" s="7" t="inlineStr">
        <is>
          <t>Reconciliation Conclusion</t>
        </is>
      </c>
      <c r="D487" s="7" t="inlineStr">
        <is>
          <t>Evidence review</t>
        </is>
      </c>
      <c r="E487" s="7" t="inlineStr">
        <is>
          <t>E0061</t>
        </is>
      </c>
      <c r="F487" s="7" t="inlineStr">
        <is>
          <t>Denver</t>
        </is>
      </c>
      <c r="G487" s="7" t="inlineStr">
        <is>
          <t>HR:E0061:Transferred; Transfer:TR-00127; PO:PO-2023-0022; Ledger:FA-000127; PolicyFigure:ITAM_control_matrix.png</t>
        </is>
      </c>
      <c r="H487" s="7" t="inlineStr">
        <is>
          <t>Confirmed Fact</t>
        </is>
      </c>
      <c r="I487" s="7" t="inlineStr">
        <is>
          <t>Outcome MD-00127 - In Use, site Denver, Medium. EX-0160. E0061. TR-00127. PO. PO-2023-0022. FA-000127. ITAM_control_matrix.png.</t>
        </is>
      </c>
    </row>
    <row r="488">
      <c r="A488" s="7" t="inlineStr">
        <is>
          <t>MD-00130</t>
        </is>
      </c>
      <c r="B488" s="7" t="inlineStr">
        <is>
          <t>2024-11-11</t>
        </is>
      </c>
      <c r="C488" s="7" t="inlineStr">
        <is>
          <t>Purchase</t>
        </is>
      </c>
      <c r="D488" s="7" t="inlineStr">
        <is>
          <t>Vendor</t>
        </is>
      </c>
      <c r="E488" s="7" t="inlineStr">
        <is>
          <t>Central Receiving</t>
        </is>
      </c>
      <c r="F488" s="7" t="inlineStr">
        <is>
          <t>Atlanta Warehouse</t>
        </is>
      </c>
      <c r="G488" s="7" t="inlineStr">
        <is>
          <t>PO:PO-2023-0022</t>
        </is>
      </c>
      <c r="H488" s="7" t="inlineStr">
        <is>
          <t>Confirmed Fact</t>
        </is>
      </c>
      <c r="I488" s="7" t="inlineStr">
        <is>
          <t>First touch MD-00130 - PO-2023-0022, $700.</t>
        </is>
      </c>
    </row>
    <row r="489">
      <c r="A489" s="7" t="inlineStr">
        <is>
          <t>MD-00130</t>
        </is>
      </c>
      <c r="B489" s="7" t="inlineStr">
        <is>
          <t>2026-08-09</t>
        </is>
      </c>
      <c r="C489" s="7" t="inlineStr">
        <is>
          <t>Policy Control Figure</t>
        </is>
      </c>
      <c r="D489" s="7" t="inlineStr">
        <is>
          <t>ITAM-001</t>
        </is>
      </c>
      <c r="E489" s="7" t="n"/>
      <c r="F489" s="7" t="n"/>
      <c r="G489" s="7" t="inlineStr">
        <is>
          <t>ITAM_control_matrix.png; IT_asset_management_policy.pdf</t>
        </is>
      </c>
      <c r="H489" s="7" t="inlineStr">
        <is>
          <t>Confirmed Fact</t>
        </is>
      </c>
      <c r="I489" s="7" t="inlineStr">
        <is>
          <t>Auditors tracing MD-00130 should read matrix assignment, then TR-00130, PO-2023-0022, APR-00130. Working site Atlanta; status call In Use.</t>
        </is>
      </c>
    </row>
    <row r="490">
      <c r="A490" s="7" t="inlineStr">
        <is>
          <t>MD-00130</t>
        </is>
      </c>
      <c r="B490" s="7" t="inlineStr">
        <is>
          <t>2026-05-11</t>
        </is>
      </c>
      <c r="C490" s="7" t="inlineStr">
        <is>
          <t>Assignment/Transfer</t>
        </is>
      </c>
      <c r="D490" s="7" t="inlineStr">
        <is>
          <t>Central Receiving</t>
        </is>
      </c>
      <c r="E490" s="7" t="inlineStr">
        <is>
          <t>E0064</t>
        </is>
      </c>
      <c r="F490" s="7" t="inlineStr">
        <is>
          <t>Atlanta</t>
        </is>
      </c>
      <c r="G490" s="7" t="inlineStr">
        <is>
          <t>Transfer:TR-00130; Approval:APR-00130</t>
        </is>
      </c>
      <c r="H490" s="7" t="inlineStr">
        <is>
          <t>Confirmed Fact</t>
        </is>
      </c>
      <c r="I490" s="7" t="inlineStr">
        <is>
          <t>TR-00130 - got it May 28, 2026 at Atlanta.</t>
        </is>
      </c>
    </row>
    <row r="491">
      <c r="A491" s="7" t="inlineStr">
        <is>
          <t>MD-00130</t>
        </is>
      </c>
      <c r="B491" s="7" t="inlineStr">
        <is>
          <t>2026-08-09</t>
        </is>
      </c>
      <c r="C491" s="7" t="inlineStr">
        <is>
          <t>Reconciliation Conclusion</t>
        </is>
      </c>
      <c r="D491" s="7" t="inlineStr">
        <is>
          <t>Evidence review</t>
        </is>
      </c>
      <c r="E491" s="7" t="inlineStr">
        <is>
          <t>E0064</t>
        </is>
      </c>
      <c r="F491" s="7" t="inlineStr">
        <is>
          <t>Atlanta</t>
        </is>
      </c>
      <c r="G491" s="7" t="inlineStr">
        <is>
          <t>HR:E0064:Transferred; Transfer:TR-00130; Approval:APR-00130; PO:PO-2023-0022; PolicyFigure:ITAM_control_matrix.png</t>
        </is>
      </c>
      <c r="H491" s="7" t="inlineStr">
        <is>
          <t>Confirmed Fact</t>
        </is>
      </c>
      <c r="I491" s="7" t="inlineStr">
        <is>
          <t>Closing MD-00130: In Use at Atlanta (High). EX-0161. E0064. TR-00130. APR-00130. PO. PO-2023-0022. ITAM_control_matrix.png.</t>
        </is>
      </c>
    </row>
    <row r="492">
      <c r="A492" s="7" t="inlineStr">
        <is>
          <t>MD-00131</t>
        </is>
      </c>
      <c r="B492" s="7" t="inlineStr">
        <is>
          <t>2025-12-12</t>
        </is>
      </c>
      <c r="C492" s="7" t="inlineStr">
        <is>
          <t>Purchase</t>
        </is>
      </c>
      <c r="D492" s="7" t="inlineStr">
        <is>
          <t>Vendor</t>
        </is>
      </c>
      <c r="E492" s="7" t="inlineStr">
        <is>
          <t>Central Receiving</t>
        </is>
      </c>
      <c r="F492" s="7" t="inlineStr">
        <is>
          <t>Atlanta Warehouse</t>
        </is>
      </c>
      <c r="G492" s="7" t="inlineStr">
        <is>
          <t>PO:PO-2023-0022</t>
        </is>
      </c>
      <c r="H492" s="7" t="inlineStr">
        <is>
          <t>Confirmed Fact</t>
        </is>
      </c>
      <c r="I492" s="7" t="inlineStr">
        <is>
          <t>Ordered Samsung Galaxy S24 (MD-00131) on PO-2023-0022; $1175.</t>
        </is>
      </c>
    </row>
    <row r="493">
      <c r="A493" s="7" t="inlineStr">
        <is>
          <t>MD-00131</t>
        </is>
      </c>
      <c r="B493" s="7" t="inlineStr">
        <is>
          <t>2026-06-12</t>
        </is>
      </c>
      <c r="C493" s="7" t="inlineStr">
        <is>
          <t>Assignment/Transfer</t>
        </is>
      </c>
      <c r="D493" s="7" t="inlineStr">
        <is>
          <t>Central Receiving</t>
        </is>
      </c>
      <c r="E493" s="7" t="inlineStr">
        <is>
          <t>E0065</t>
        </is>
      </c>
      <c r="F493" s="7" t="inlineStr">
        <is>
          <t>Chicago</t>
        </is>
      </c>
      <c r="G493" s="7" t="inlineStr">
        <is>
          <t>Transfer:TR-00131; Approval:APR-00131</t>
        </is>
      </c>
      <c r="H493" s="7" t="inlineStr">
        <is>
          <t>Confirmed Fact</t>
        </is>
      </c>
      <c r="I493" s="7" t="inlineStr">
        <is>
          <t>MD-00131 inbound Jun 28, 2026 on TR-00131 / APR-00131.</t>
        </is>
      </c>
    </row>
    <row r="494">
      <c r="A494" s="7" t="inlineStr">
        <is>
          <t>MD-00131</t>
        </is>
      </c>
      <c r="B494" s="7" t="inlineStr">
        <is>
          <t>2026-08-09</t>
        </is>
      </c>
      <c r="C494" s="7" t="inlineStr">
        <is>
          <t>Policy Control Figure</t>
        </is>
      </c>
      <c r="D494" s="7" t="inlineStr">
        <is>
          <t>ITAM-001</t>
        </is>
      </c>
      <c r="E494" s="7" t="inlineStr"/>
      <c r="F494" s="7" t="inlineStr"/>
      <c r="G494" s="7" t="inlineStr">
        <is>
          <t>ITAM_control_matrix.png; IT_asset_management_policy.pdf</t>
        </is>
      </c>
      <c r="H494" s="7" t="inlineStr">
        <is>
          <t>Confirmed Fact</t>
        </is>
      </c>
      <c r="I494" s="7" t="inlineStr">
        <is>
          <t>Auditors tracing MD-00131 should read matrix return, then TR-00131, PO-2023-0022, APR-00131. Working site Chicago; status call In Use.</t>
        </is>
      </c>
    </row>
    <row r="495">
      <c r="A495" s="7" t="inlineStr">
        <is>
          <t>MD-00131</t>
        </is>
      </c>
      <c r="B495" s="7" t="inlineStr">
        <is>
          <t>2026-08-09</t>
        </is>
      </c>
      <c r="C495" s="7" t="inlineStr">
        <is>
          <t>Reconciliation Conclusion</t>
        </is>
      </c>
      <c r="D495" s="7" t="inlineStr">
        <is>
          <t>Evidence review</t>
        </is>
      </c>
      <c r="E495" s="7" t="inlineStr">
        <is>
          <t>E0065</t>
        </is>
      </c>
      <c r="F495" s="7" t="inlineStr">
        <is>
          <t>Chicago</t>
        </is>
      </c>
      <c r="G495" s="7" t="inlineStr">
        <is>
          <t>HR:E0065:Transferred; Transfer:TR-00131; Approval:APR-00131; PO:PO-2023-0022; PolicyFigure:ITAM_control_matrix.png</t>
        </is>
      </c>
      <c r="H495" s="7" t="inlineStr">
        <is>
          <t>Confirmed Fact</t>
        </is>
      </c>
      <c r="I495" s="7" t="inlineStr">
        <is>
          <t>Call on MD-00131: In Use, High. EX-0162. E0065. TR-00131. APR-00131. PO. PO-2023-0022. ITAM_control_matrix.png.</t>
        </is>
      </c>
    </row>
    <row r="496">
      <c r="A496" s="7" t="inlineStr">
        <is>
          <t>MD-00132</t>
        </is>
      </c>
      <c r="B496" s="7" t="inlineStr">
        <is>
          <t>2022-01-13</t>
        </is>
      </c>
      <c r="C496" s="7" t="inlineStr">
        <is>
          <t>Purchase</t>
        </is>
      </c>
      <c r="D496" s="7" t="inlineStr">
        <is>
          <t>Vendor</t>
        </is>
      </c>
      <c r="E496" s="7" t="inlineStr">
        <is>
          <t>Central Receiving</t>
        </is>
      </c>
      <c r="F496" s="7" t="inlineStr">
        <is>
          <t>Atlanta Warehouse</t>
        </is>
      </c>
      <c r="G496" s="7" t="inlineStr">
        <is>
          <t>PO:PO-2023-0022</t>
        </is>
      </c>
      <c r="H496" s="7" t="inlineStr">
        <is>
          <t>Confirmed Fact</t>
        </is>
      </c>
      <c r="I496" s="7" t="inlineStr">
        <is>
          <t>Ordered Cisco C9300 (MD-00132) on PO-2023-0022; $6470.</t>
        </is>
      </c>
    </row>
    <row r="497">
      <c r="A497" s="7" t="inlineStr">
        <is>
          <t>MD-00132</t>
        </is>
      </c>
      <c r="B497" s="7" t="inlineStr">
        <is>
          <t>2026-01-13</t>
        </is>
      </c>
      <c r="C497" s="7" t="inlineStr">
        <is>
          <t>Assignment/Transfer</t>
        </is>
      </c>
      <c r="D497" s="7" t="inlineStr">
        <is>
          <t>Central Receiving</t>
        </is>
      </c>
      <c r="E497" s="7" t="inlineStr">
        <is>
          <t>E0066</t>
        </is>
      </c>
      <c r="F497" s="7" t="inlineStr">
        <is>
          <t>Dallas</t>
        </is>
      </c>
      <c r="G497" s="7" t="inlineStr">
        <is>
          <t>Transfer:TR-00132; Approval:APR-00132</t>
        </is>
      </c>
      <c r="H497" s="7" t="inlineStr">
        <is>
          <t>Confirmed Fact</t>
        </is>
      </c>
      <c r="I497" s="7" t="inlineStr">
        <is>
          <t>Moved to E0066 in Dallas on TR-00132. Received 01/31/2026.</t>
        </is>
      </c>
    </row>
    <row r="498">
      <c r="A498" s="7" t="inlineStr">
        <is>
          <t>MD-00132</t>
        </is>
      </c>
      <c r="B498" s="7" t="inlineStr">
        <is>
          <t>2026-08-09</t>
        </is>
      </c>
      <c r="C498" s="7" t="inlineStr">
        <is>
          <t>Policy Control Figure</t>
        </is>
      </c>
      <c r="D498" s="7" t="inlineStr">
        <is>
          <t>ITAM-001</t>
        </is>
      </c>
      <c r="E498" s="7" t="inlineStr"/>
      <c r="F498" s="7" t="inlineStr"/>
      <c r="G498" s="7" t="inlineStr">
        <is>
          <t>ITAM_control_matrix.png; IT_asset_management_policy.pdf</t>
        </is>
      </c>
      <c r="H498" s="7" t="inlineStr">
        <is>
          <t>Confirmed Fact</t>
        </is>
      </c>
      <c r="I498" s="7" t="inlineStr">
        <is>
          <t>Dallas custody review for MD-00132 used the return column on the matrix. Source trail: TR-00132, PO-2023-0022, APR-00132.</t>
        </is>
      </c>
    </row>
    <row r="499">
      <c r="A499" s="7" t="inlineStr">
        <is>
          <t>MD-00132</t>
        </is>
      </c>
      <c r="B499" s="7" t="inlineStr">
        <is>
          <t>2026-08-09</t>
        </is>
      </c>
      <c r="C499" s="7" t="inlineStr">
        <is>
          <t>Reconciliation Conclusion</t>
        </is>
      </c>
      <c r="D499" s="7" t="inlineStr">
        <is>
          <t>Evidence review</t>
        </is>
      </c>
      <c r="E499" s="7" t="inlineStr">
        <is>
          <t>E0066</t>
        </is>
      </c>
      <c r="F499" s="7" t="inlineStr">
        <is>
          <t>Dallas</t>
        </is>
      </c>
      <c r="G499" s="7" t="inlineStr">
        <is>
          <t>HR:E0066:Transferred; Transfer:TR-00132; Approval:APR-00132; PO:PO-2023-0022; PolicyFigure:ITAM_control_matrix.png</t>
        </is>
      </c>
      <c r="H499" s="7" t="inlineStr">
        <is>
          <t>Confirmed Fact</t>
        </is>
      </c>
      <c r="I499" s="7" t="inlineStr">
        <is>
          <t>In Use is the status for MD-00132 at Dallas; High. EX-0163. E0066. TR-00132. APR-00132. PO. PO-2023-0022. ITAM_control_matrix.png.</t>
        </is>
      </c>
    </row>
    <row r="500">
      <c r="A500" t="inlineStr">
        <is>
          <t>MD-00132</t>
        </is>
      </c>
      <c r="B500" t="inlineStr">
        <is>
          <t>2026-08-05</t>
        </is>
      </c>
      <c r="C500" t="inlineStr">
        <is>
          <t>Technician/Finance Claim</t>
        </is>
      </c>
      <c r="D500" t="inlineStr">
        <is>
          <t>Regional note</t>
        </is>
      </c>
      <c r="F500" t="inlineStr">
        <is>
          <t>Atlanta Warehouse</t>
        </is>
      </c>
      <c r="G500" t="inlineStr">
        <is>
          <t>RN-0132; Policy:ITAM-001 §7</t>
        </is>
      </c>
      <c r="H500" t="inlineStr">
        <is>
          <t>Technician Claim</t>
        </is>
      </c>
      <c r="I500" t="inlineStr">
        <is>
          <t>RN-0132 said MD-00132 was expensed under threshold. Rejected: acquisition cost $6,470 is ≥ $2,500, and the FAR still has no row.</t>
        </is>
      </c>
    </row>
    <row r="501">
      <c r="A501" t="inlineStr">
        <is>
          <t>MD-00132</t>
        </is>
      </c>
      <c r="B501" t="inlineStr">
        <is>
          <t>2026-08-09</t>
        </is>
      </c>
      <c r="C501" t="inlineStr">
        <is>
          <t>Unresolved Capitalization</t>
        </is>
      </c>
      <c r="G501" t="inlineStr">
        <is>
          <t>PO:PO-2023-0022; Ledger:MISSING</t>
        </is>
      </c>
      <c r="H501" t="inlineStr">
        <is>
          <t>Unresolved Assumption</t>
        </is>
      </c>
      <c r="I501" t="inlineStr">
        <is>
          <t>MD-00132 / PO-2023-0022: capital-qualifying, no FA row. Blocks certification until capitalization or an approved write-off. MD-00130/MD-00131 are a different (under-threshold) story.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7" customWidth="1" min="3" max="3"/>
    <col width="25" customWidth="1" min="4" max="4"/>
    <col width="17" customWidth="1" min="5" max="5"/>
    <col width="25" customWidth="1" min="6" max="6"/>
    <col width="12" customWidth="1" min="7" max="7"/>
    <col width="40" customWidth="1" min="8" max="8"/>
  </cols>
  <sheetData>
    <row r="1">
      <c r="A1" s="24" t="inlineStr">
        <is>
          <t>Inventory-to-Ledger Reconciliation</t>
        </is>
      </c>
    </row>
    <row r="2">
      <c r="A2" s="2" t="inlineStr">
        <is>
          <t>Book value from fixed-asset ledger when present. No invented balances.</t>
        </is>
      </c>
    </row>
    <row r="3"/>
    <row r="4">
      <c r="A4" s="25" t="inlineStr">
        <is>
          <t>Control Total</t>
        </is>
      </c>
      <c r="B4" s="25" t="inlineStr">
        <is>
          <t>Amount</t>
        </is>
      </c>
    </row>
    <row r="5">
      <c r="A5" s="4" t="inlineStr">
        <is>
          <t>Corrected register - sum of acquisition cost (132 assets)</t>
        </is>
      </c>
      <c r="B5" s="5">
        <f>SUM('Corrected Register'!M5:M136)</f>
        <v>332115</v>
        <v/>
      </c>
    </row>
    <row r="6">
      <c r="A6" s="4" t="inlineStr">
        <is>
          <t>Fixed-asset ledger - sum of acquisition cost (129 assets)</t>
        </is>
      </c>
      <c r="B6" s="5" t="n">
        <v>324740</v>
      </c>
    </row>
    <row r="7">
      <c r="A7" s="4" t="inlineStr">
        <is>
          <t>Acquisition cost difference (register − ledger)</t>
        </is>
      </c>
      <c r="B7" s="5">
        <f>B5-B6</f>
        <v>7375</v>
        <v/>
      </c>
    </row>
    <row r="8">
      <c r="A8" s="4" t="inlineStr">
        <is>
          <t>Corrected register - remaining book value (ledger NBV where present; blank if missing)</t>
        </is>
      </c>
      <c r="B8" s="5">
        <f>SUM('Corrected Register'!N5:N136)</f>
        <v>61526.6</v>
        <v/>
      </c>
    </row>
    <row r="9">
      <c r="A9" s="4" t="inlineStr">
        <is>
          <t>Ledger - net book value, Active status only</t>
        </is>
      </c>
      <c r="B9" s="5">
        <f>SUMIF('Source Ledger'!H5:H133,"Active",'Source Ledger'!G5:G133)</f>
        <v>61526.6</v>
        <v/>
      </c>
    </row>
    <row r="10">
      <c r="A10" s="4" t="inlineStr">
        <is>
          <t>Ledger - net book value, all statuses including Disposed</t>
        </is>
      </c>
      <c r="B10" s="5">
        <f>SUM('Source Ledger'!G5:G133)</f>
        <v>61526.6</v>
        <v/>
      </c>
    </row>
    <row r="11">
      <c r="A11" s="4" t="inlineStr">
        <is>
          <t>Assets with matching acquisition cost (register vs ledger)</t>
        </is>
      </c>
      <c r="B11" s="5" t="n">
        <v>122</v>
      </c>
    </row>
    <row r="12">
      <c r="A12" s="4" t="inlineStr">
        <is>
          <t>Assets with acquisition cost mismatch</t>
        </is>
      </c>
      <c r="B12" s="5" t="n">
        <v>7</v>
      </c>
    </row>
    <row r="13">
      <c r="A13" s="4" t="inlineStr">
        <is>
          <t>Assets on inventory missing from ledger</t>
        </is>
      </c>
      <c r="B13" s="5" t="n">
        <v>3</v>
      </c>
    </row>
    <row r="14"/>
    <row r="15"/>
    <row r="16">
      <c r="A16" s="6" t="inlineStr">
        <is>
          <t>Explanation of remaining differences</t>
        </is>
      </c>
    </row>
    <row r="17" ht="48" customHeight="1">
      <c r="A17" s="13" t="inlineStr">
        <is>
          <t>1) Three assets (MD-00130, MD-00131, MD-00132) appear on the operational register and purchase orders but have no fixed-asset ledger row. Combined register acquisition cost = $8,345. MD-00130 ($700) and MD-00131 ($1,175) sit on PO-2023-0023 (capitalization_approved=No) under the $2,500 gate - expected FA absence. MD-00132 ($6,470) is on PO-2023-0022 and is capital-qualifying - Critical gap.</t>
        </is>
      </c>
    </row>
    <row r="18" ht="48" customHeight="1">
      <c r="A18" s="13" t="inlineStr">
        <is>
          <t>2) Seven assets have ledger-over-register acquisition cost variances (MD-00017 $85, MD-00034 $140, MD-00051 $210, MD-00068 $55, MD-00085 $195, MD-00102 $120, MD-00119 $165). Combined ledger cost excess = $970. PO approved amounts tie to the inventory lines; Finance should align the FAR. Per section 9 these are High remediation items, not sole Critical blockers. Separately, FA-000017 shows accumulated depreciation $2,160 against acquisition cost $2,070 (over-depreciation $90) with NBV reported as $0.</t>
        </is>
      </c>
    </row>
    <row r="19" ht="48" customHeight="1">
      <c r="A19" s="13" t="inlineStr">
        <is>
          <t>3) Eight disposal certificates clear operational status to Disposed with $0 NBV on ledger. Two recycler transfers (MD-00114, MD-00118) lack verified certificates; ledger already shows Disposed/$0 while operational status remains Retired/Pending Disposal. Active ledger NBV otherwise ties to corrected register remaining book value for assets present on both files.</t>
        </is>
      </c>
    </row>
    <row r="20" ht="48" customHeight="1">
      <c r="A20" s="13" t="inlineStr">
        <is>
          <t>4) FA-000034 (MD-00034) ledger NBV printed $514.88 but acquisition $930.00 minus accumulated depreciation $450.12 equals $479.88 (−$35.00 overstatement). Aggregate NBV control totals adjusted from $61,526.60 to $61,526.60.</t>
        </is>
      </c>
    </row>
    <row r="21"/>
    <row r="22">
      <c r="A22" s="6" t="inlineStr">
        <is>
          <t>Asset-level differences requiring Finance action</t>
        </is>
      </c>
    </row>
    <row r="23">
      <c r="A23" s="3" t="inlineStr">
        <is>
          <t>Asset Tag</t>
        </is>
      </c>
      <c r="B23" s="3" t="inlineStr">
        <is>
          <t>Issue</t>
        </is>
      </c>
      <c r="C23" s="3" t="inlineStr">
        <is>
          <t>Register Acquisition Cost</t>
        </is>
      </c>
      <c r="D23" s="3" t="inlineStr">
        <is>
          <t>Ledger Acquisition Cost</t>
        </is>
      </c>
      <c r="E23" s="3" t="inlineStr">
        <is>
          <t>Cost Difference</t>
        </is>
      </c>
      <c r="F23" s="3" t="inlineStr">
        <is>
          <t>Register/Reconciled NBV</t>
        </is>
      </c>
      <c r="G23" s="3" t="inlineStr">
        <is>
          <t>Ledger NBV</t>
        </is>
      </c>
      <c r="H23" s="3" t="inlineStr">
        <is>
          <t>Explanation</t>
        </is>
      </c>
    </row>
    <row r="24">
      <c r="A24" s="7" t="inlineStr">
        <is>
          <t>MD-00017</t>
        </is>
      </c>
      <c r="B24" s="7" t="inlineStr">
        <is>
          <t>Acquisition cost mismatch</t>
        </is>
      </c>
      <c r="C24" s="7" t="n">
        <v>1985</v>
      </c>
      <c r="D24" s="7" t="n">
        <v>2070</v>
      </c>
      <c r="E24" s="7">
        <f>D24-C24</f>
        <v>85</v>
        <v/>
      </c>
      <c r="F24" s="7" t="n">
        <v>0</v>
      </c>
      <c r="G24" s="7" t="n">
        <v>0</v>
      </c>
      <c r="H24" s="7" t="inlineStr">
        <is>
          <t>Ledger FA-000017 cost exceeds register by $85 (validate PO-2024-0003). Accumulated depreciation $2,160 exceeds acquisition cost $2,070 by $90.</t>
        </is>
      </c>
    </row>
    <row r="25">
      <c r="A25" s="7" t="inlineStr">
        <is>
          <t>MD-00034</t>
        </is>
      </c>
      <c r="B25" s="7" t="inlineStr">
        <is>
          <t>Acquisition cost mismatch; FA-000034 NBV overstatement $35.00 (printed $514.88 vs correct $479.88)</t>
        </is>
      </c>
      <c r="C25" s="7" t="n">
        <v>790</v>
      </c>
      <c r="D25" s="7" t="n">
        <v>930</v>
      </c>
      <c r="E25" s="7">
        <f>D25-C25</f>
        <v>140</v>
        <v/>
      </c>
      <c r="F25" s="7">
        <f>XLOOKUP(A25,'Source Ledger'!B5:B133,'Source Ledger'!G5:G133)</f>
        <v>479.88</v>
        <v/>
      </c>
      <c r="G25" s="7" t="n">
        <v>479.88</v>
      </c>
      <c r="H25" s="7" t="inlineStr">
        <is>
          <t>Ledger FA-000034 cost exceeds register by $140. Validate against PO-2023-0006.</t>
        </is>
      </c>
    </row>
    <row r="26">
      <c r="A26" s="7" t="inlineStr">
        <is>
          <t>MD-00051</t>
        </is>
      </c>
      <c r="B26" s="7" t="inlineStr">
        <is>
          <t>Acquisition cost mismatch</t>
        </is>
      </c>
      <c r="C26" s="7" t="n">
        <v>1040</v>
      </c>
      <c r="D26" s="7" t="n">
        <v>1250</v>
      </c>
      <c r="E26" s="7">
        <f>D26-C26</f>
        <v>210</v>
        <v/>
      </c>
      <c r="F26" s="7" t="n">
        <v>573.03</v>
      </c>
      <c r="G26" s="7" t="n">
        <v>573.03</v>
      </c>
      <c r="H26" s="7" t="inlineStr">
        <is>
          <t>Ledger FA-000051 cost exceeds register by $210. Validate against PO-2022-0009.</t>
        </is>
      </c>
    </row>
    <row r="27">
      <c r="A27" s="7" t="inlineStr">
        <is>
          <t>MD-00068</t>
        </is>
      </c>
      <c r="B27" s="7" t="inlineStr">
        <is>
          <t>Acquisition cost mismatch</t>
        </is>
      </c>
      <c r="C27" s="7" t="n">
        <v>6425</v>
      </c>
      <c r="D27" s="7" t="n">
        <v>6480</v>
      </c>
      <c r="E27" s="7">
        <f>D27-C27</f>
        <v>55</v>
        <v/>
      </c>
      <c r="F27" s="7" t="n">
        <v>1436.28</v>
      </c>
      <c r="G27" s="7" t="n">
        <v>1436.28</v>
      </c>
      <c r="H27" s="7" t="inlineStr">
        <is>
          <t>Ledger FA-000068 cost exceeds register by $55. Validate against PO-2025-0012.</t>
        </is>
      </c>
    </row>
    <row r="28">
      <c r="A28" s="7" t="inlineStr">
        <is>
          <t>MD-00085</t>
        </is>
      </c>
      <c r="B28" s="7" t="inlineStr">
        <is>
          <t>Acquisition cost mismatch</t>
        </is>
      </c>
      <c r="C28" s="7" t="n">
        <v>1895</v>
      </c>
      <c r="D28" s="7" t="n">
        <v>2090</v>
      </c>
      <c r="E28" s="7">
        <f>D28-C28</f>
        <v>195</v>
        <v/>
      </c>
      <c r="F28" s="7" t="n">
        <v>0</v>
      </c>
      <c r="G28" s="7" t="n">
        <v>0</v>
      </c>
      <c r="H28" s="7" t="inlineStr">
        <is>
          <t>Ledger FA-000085 cost exceeds register by $195. Validate against PO-2024-0015.</t>
        </is>
      </c>
    </row>
    <row r="29">
      <c r="A29" s="7" t="inlineStr">
        <is>
          <t>MD-00102</t>
        </is>
      </c>
      <c r="B29" s="7" t="inlineStr">
        <is>
          <t>Acquisition cost mismatch</t>
        </is>
      </c>
      <c r="C29" s="7" t="n">
        <v>700</v>
      </c>
      <c r="D29" s="7" t="n">
        <v>820</v>
      </c>
      <c r="E29" s="7">
        <f>D29-C29</f>
        <v>120</v>
        <v/>
      </c>
      <c r="F29" s="7" t="n">
        <v>407.54</v>
      </c>
      <c r="G29" s="7" t="n">
        <v>407.54</v>
      </c>
      <c r="H29" s="7" t="inlineStr">
        <is>
          <t>Ledger FA-000102 cost exceeds register by $120. Validate against PO-2022-0017.</t>
        </is>
      </c>
    </row>
    <row r="30">
      <c r="A30" s="7" t="inlineStr">
        <is>
          <t>MD-00114</t>
        </is>
      </c>
      <c r="B30" s="7" t="inlineStr">
        <is>
          <t>Ledger disposed without operational disposal evidence</t>
        </is>
      </c>
      <c r="C30" s="7" t="n">
        <v>610</v>
      </c>
      <c r="D30" s="7" t="n">
        <v>610</v>
      </c>
      <c r="E30" s="7">
        <f>D30-C30</f>
        <v>0</v>
        <v/>
      </c>
      <c r="F30" s="7" t="n">
        <v>0</v>
      </c>
      <c r="G30" s="7" t="n">
        <v>0</v>
      </c>
      <c r="H30" s="7" t="inlineStr">
        <is>
          <t>Ledger status Disposed but verified status is Retired/Pending Disposal; certificate evidence incomplete.</t>
        </is>
      </c>
    </row>
    <row r="31">
      <c r="A31" s="7" t="inlineStr">
        <is>
          <t>MD-00118</t>
        </is>
      </c>
      <c r="B31" s="7" t="inlineStr">
        <is>
          <t>Ledger disposed without operational disposal evidence</t>
        </is>
      </c>
      <c r="C31" s="7" t="n">
        <v>790</v>
      </c>
      <c r="D31" s="7" t="n">
        <v>790</v>
      </c>
      <c r="E31" s="7">
        <f>D31-C31</f>
        <v>0</v>
        <v/>
      </c>
      <c r="F31" s="7" t="n">
        <v>0</v>
      </c>
      <c r="G31" s="7" t="n">
        <v>0</v>
      </c>
      <c r="H31" s="7" t="inlineStr">
        <is>
          <t>Ledger status Disposed but verified status is Retired/Pending Disposal; certificate evidence incomplete.</t>
        </is>
      </c>
    </row>
    <row r="32">
      <c r="A32" s="7" t="inlineStr">
        <is>
          <t>MD-00119</t>
        </is>
      </c>
      <c r="B32" s="7" t="inlineStr">
        <is>
          <t>Acquisition cost mismatch</t>
        </is>
      </c>
      <c r="C32" s="7" t="n">
        <v>950</v>
      </c>
      <c r="D32" s="7" t="n">
        <v>1115</v>
      </c>
      <c r="E32" s="7">
        <f>D32-C32</f>
        <v>165</v>
        <v/>
      </c>
      <c r="F32" s="7" t="n">
        <v>0</v>
      </c>
      <c r="G32" s="7" t="n">
        <v>0</v>
      </c>
      <c r="H32" s="7" t="inlineStr">
        <is>
          <t>Ledger FA-000119 cost exceeds register by $165. Validate against PO-2025-0020.</t>
        </is>
      </c>
    </row>
    <row r="33">
      <c r="A33" s="7" t="inlineStr">
        <is>
          <t>MD-00130</t>
        </is>
      </c>
      <c r="B33" s="7" t="inlineStr">
        <is>
          <t>On inventory, missing from ledger (under-threshold)</t>
        </is>
      </c>
      <c r="C33" s="7" t="n">
        <v>700</v>
      </c>
      <c r="D33" s="7" t="inlineStr"/>
      <c r="E33" s="7" t="inlineStr"/>
      <c r="F33" s="7" t="inlineStr"/>
      <c r="G33" s="7" t="inlineStr"/>
      <c r="H33" s="7" t="inlineStr">
        <is>
          <t>Register cost below $2,500. PO-2023-0023 capitalization_approved=No; FAR absence expected under ITAM-001 section 7. Informational only.</t>
        </is>
      </c>
    </row>
    <row r="34">
      <c r="A34" s="7" t="inlineStr">
        <is>
          <t>MD-00131</t>
        </is>
      </c>
      <c r="B34" s="7" t="inlineStr">
        <is>
          <t>On inventory, missing from ledger (under-threshold)</t>
        </is>
      </c>
      <c r="C34" s="7" t="n">
        <v>1175</v>
      </c>
      <c r="D34" s="7" t="inlineStr"/>
      <c r="E34" s="7" t="inlineStr"/>
      <c r="F34" s="7" t="inlineStr"/>
      <c r="G34" s="7" t="inlineStr"/>
      <c r="H34" s="7" t="inlineStr">
        <is>
          <t>Register cost below $2,500. PO-2023-0023 capitalization_approved=No; FAR absence expected under ITAM-001 section 7. Informational only.</t>
        </is>
      </c>
    </row>
    <row r="35">
      <c r="A35" s="7" t="inlineStr">
        <is>
          <t>MD-00132</t>
        </is>
      </c>
      <c r="B35" s="7" t="inlineStr">
        <is>
          <t>On inventory, missing from ledger (capital-qualifying)</t>
        </is>
      </c>
      <c r="C35" s="7" t="n">
        <v>6470</v>
      </c>
      <c r="D35" s="7" t="inlineStr"/>
      <c r="E35" s="7" t="inlineStr"/>
      <c r="F35" s="7" t="inlineStr"/>
      <c r="G35" s="7" t="inlineStr"/>
      <c r="H35" s="7" t="inlineStr">
        <is>
          <t>Capital-qualifying asset on PO-2023-0022 with no FA row. RN-0132 rejected. Critical certification blocker.</t>
        </is>
      </c>
    </row>
    <row r="36"/>
    <row r="37"/>
    <row r="38"/>
    <row r="39"/>
  </sheetData>
  <mergeCells count="7">
    <mergeCell ref="A18:H18"/>
    <mergeCell ref="A20:H20"/>
    <mergeCell ref="A16:H16"/>
    <mergeCell ref="A2:H2"/>
    <mergeCell ref="A19:H19"/>
    <mergeCell ref="A1:H1"/>
    <mergeCell ref="A17:H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36" customWidth="1" min="3" max="3"/>
    <col width="40" customWidth="1" min="4" max="4"/>
    <col width="23" customWidth="1" min="5" max="5"/>
    <col width="13" customWidth="1" min="6" max="6"/>
  </cols>
  <sheetData>
    <row r="1">
      <c r="A1" s="24" t="inlineStr">
        <is>
          <t>Quarterly Inventory Certification Statement</t>
        </is>
      </c>
    </row>
    <row r="2">
      <c r="A2" s="2" t="inlineStr">
        <is>
          <t>Yanou &amp; Partners IT Services | As of 2026-08-09 | Policy ITAM-001 §9 | Multimodal leads do not replace transaction proof</t>
        </is>
      </c>
    </row>
    <row r="3"/>
    <row r="4">
      <c r="A4" s="25" t="inlineStr">
        <is>
          <t>Section</t>
        </is>
      </c>
      <c r="B4" s="25" t="inlineStr">
        <is>
          <t>Determination</t>
        </is>
      </c>
      <c r="C4" s="25" t="inlineStr">
        <is>
          <t>Scope / Count</t>
        </is>
      </c>
      <c r="D4" s="25" t="inlineStr">
        <is>
          <t>Evidence Basis</t>
        </is>
      </c>
      <c r="E4" s="25" t="inlineStr">
        <is>
          <t>Owner</t>
        </is>
      </c>
      <c r="F4" s="25" t="inlineStr">
        <is>
          <t>Status</t>
        </is>
      </c>
    </row>
    <row r="5">
      <c r="A5" s="7" t="inlineStr">
        <is>
          <t>A. Records accepted for certification draft</t>
        </is>
      </c>
      <c r="B5" s="7" t="inlineStr">
        <is>
          <t>Operational conclusions accepted subject to listed non-blocking remediation</t>
        </is>
      </c>
      <c r="C5" s="7" t="inlineStr">
        <is>
          <t>101 assets</t>
        </is>
      </c>
      <c r="D5" s="7" t="inlineStr">
        <is>
          <t>HR + transfer/return/disposal transaction evidence; multimodal figure/image used as control lead only</t>
        </is>
      </c>
      <c r="E5" s="7" t="inlineStr">
        <is>
          <t>IT Asset Specialist</t>
        </is>
      </c>
      <c r="F5" s="7" t="inlineStr">
        <is>
          <t>Conditional</t>
        </is>
      </c>
    </row>
    <row r="6">
      <c r="A6" s="7" t="inlineStr">
        <is>
          <t>B. Assets requiring escalation before approval</t>
        </is>
      </c>
      <c r="B6" s="7" t="inlineStr">
        <is>
          <t>Cannot certify while Critical exceptions remain open</t>
        </is>
      </c>
      <c r="C6" s="7" t="inlineStr">
        <is>
          <t>31 assets / 43 blocking exceptions</t>
        </is>
      </c>
      <c r="D6" s="7" t="inlineStr">
        <is>
          <t>Missing, overdue without receiving proof, shipment serial mismatches (incl. dock image lead for 1ZMD00000082), missing capital ledger rows (≥$2,500), missing disposal certificates</t>
        </is>
      </c>
      <c r="E6" s="7" t="inlineStr">
        <is>
          <t>IT Operations Manager</t>
        </is>
      </c>
      <c r="F6" s="12" t="inlineStr">
        <is>
          <t>BLOCKED</t>
        </is>
      </c>
    </row>
    <row r="7">
      <c r="A7" s="7" t="inlineStr">
        <is>
          <t>C. HR validation required</t>
        </is>
      </c>
      <c r="B7" s="7" t="inlineStr">
        <is>
          <t>Separated employee assignments and offboarding ticket custodians</t>
        </is>
      </c>
      <c r="C7" s="7" t="inlineStr">
        <is>
          <t>43 exceptions</t>
        </is>
      </c>
      <c r="D7" s="7" t="inlineStr">
        <is>
          <t>hr_employee_status.csv vs register/tickets</t>
        </is>
      </c>
      <c r="E7" s="7" t="inlineStr">
        <is>
          <t>HR Operations Lead</t>
        </is>
      </c>
      <c r="F7" s="7" t="inlineStr">
        <is>
          <t>Open</t>
        </is>
      </c>
    </row>
    <row r="8">
      <c r="A8" s="7" t="inlineStr">
        <is>
          <t>D. Finance validation required</t>
        </is>
      </c>
      <c r="B8" s="7" t="inlineStr">
        <is>
          <t>Capital-qualifying ledger gap (MD-00132) and cost-basis variances</t>
        </is>
      </c>
      <c r="C8" s="7" t="inlineStr">
        <is>
          <t>10 exceptions</t>
        </is>
      </c>
      <c r="D8" s="7" t="inlineStr">
        <is>
          <t>fixed_asset_ledger.xlsx + hardware_purchase_orders.csv + register costs</t>
        </is>
      </c>
      <c r="E8" s="7" t="inlineStr">
        <is>
          <t>Finance Controller</t>
        </is>
      </c>
      <c r="F8" s="7" t="inlineStr">
        <is>
          <t>Open</t>
        </is>
      </c>
    </row>
    <row r="9">
      <c r="A9" s="7" t="inlineStr">
        <is>
          <t>E. Internal Audit testing recommended</t>
        </is>
      </c>
      <c r="B9" s="7" t="inlineStr">
        <is>
          <t>Sample custody chains for Missing, Overdue, Disposal gaps, and duplicate serials (MD-LA-050021 across MD-00021 and MD-00025; MD-NE-050088 across MD-00088 and MD-00092)</t>
        </is>
      </c>
      <c r="C9" s="7" t="inlineStr">
        <is>
          <t>65 high-risk chains</t>
        </is>
      </c>
      <c r="D9" s="7" t="inlineStr">
        <is>
          <t>Custody Chain worksheet + source IDs + ITAM_control_matrix.png</t>
        </is>
      </c>
      <c r="E9" s="7" t="inlineStr">
        <is>
          <t>Internal Auditor</t>
        </is>
      </c>
      <c r="F9" s="7" t="inlineStr">
        <is>
          <t>Recommended</t>
        </is>
      </c>
    </row>
    <row r="10"/>
    <row r="11">
      <c r="A11" s="6" t="inlineStr">
        <is>
          <t>Must be completed before the quarterly asset report is approved</t>
        </is>
      </c>
    </row>
    <row r="12">
      <c r="A12" s="14" t="inlineStr">
        <is>
          <t>1. Clear or formally risk-accept all exceptions with Certification Impact = Blocks certification.</t>
        </is>
      </c>
    </row>
    <row r="13">
      <c r="A13" s="14" t="inlineStr">
        <is>
          <t>2. Recover or loss-investigate all Verified Status = Missing assets (MD-00089-MD-00100).</t>
        </is>
      </c>
    </row>
    <row r="14">
      <c r="A14" s="14" t="inlineStr">
        <is>
          <t>3. Complete returns with carrier acceptance + delivery + receiving scan for Return Overdue assets.</t>
        </is>
      </c>
    </row>
    <row r="15">
      <c r="A15" s="14" t="inlineStr">
        <is>
          <t>4. Resolve shipment serial mismatches (MD-00074, MD-00076, MD-00082, MD-00084). Dock image for 1ZMD00000082 is a lead only.</t>
        </is>
      </c>
    </row>
    <row r="16">
      <c r="A16" s="14" t="inlineStr">
        <is>
          <t>5. Obtain disposal certificates for MD-00114 and MD-00118 (and complete pending-disposal evidence for MD-00101-MD-00110) or restore to stock.</t>
        </is>
      </c>
    </row>
    <row r="17">
      <c r="A17" s="14" t="inlineStr">
        <is>
          <t>6. Finance: add a ledger row (or approved write-off) for capital-qualifying MD-00132 only; MD-00130 and MD-00131 are under the $2,500 threshold so FA absence is expected; resolve seven acquisition-cost variances (amounts differ by asset).</t>
        </is>
      </c>
    </row>
    <row r="18">
      <c r="A18" s="14" t="inlineStr">
        <is>
          <t>7. Update the operational register to verified custodians/locations.</t>
        </is>
      </c>
    </row>
    <row r="19">
      <c r="A19" s="14" t="inlineStr">
        <is>
          <t>8. Obtain retrospective approvals for transfers TR-00058, TR-00059, TR-00064, TR-00065, TR-00127.</t>
        </is>
      </c>
    </row>
    <row r="20" ht="28" customHeight="1">
      <c r="A20" s="22" t="inlineStr">
        <is>
          <t>9. Flags duplicate serial MD-LA-050021 across MD-00021 and MD-00025, and duplicate serial MD-NE-050088 across MD-00088 and MD-00092. Physical validation and retag required.</t>
        </is>
      </c>
    </row>
    <row r="21">
      <c r="A21" s="6" t="inlineStr">
        <is>
          <t>Sign-off</t>
        </is>
      </c>
    </row>
    <row r="22">
      <c r="A22" s="3" t="inlineStr">
        <is>
          <t>Role</t>
        </is>
      </c>
      <c r="B22" s="3" t="inlineStr">
        <is>
          <t>Name</t>
        </is>
      </c>
      <c r="C22" s="3" t="inlineStr">
        <is>
          <t>Signature</t>
        </is>
      </c>
      <c r="D22" s="3" t="inlineStr">
        <is>
          <t>Date</t>
        </is>
      </c>
      <c r="E22" s="3" t="inlineStr">
        <is>
          <t>Determination</t>
        </is>
      </c>
    </row>
    <row r="23">
      <c r="A23" s="15" t="inlineStr">
        <is>
          <t>IT Asset Specialist (preparer)</t>
        </is>
      </c>
      <c r="B23" s="15" t="inlineStr"/>
      <c r="C23" s="15" t="inlineStr"/>
      <c r="D23" s="15" t="inlineStr"/>
      <c r="E23" s="15" t="inlineStr"/>
    </row>
    <row r="24">
      <c r="A24" s="15" t="inlineStr">
        <is>
          <t>IT Operations Manager</t>
        </is>
      </c>
      <c r="B24" s="15" t="inlineStr"/>
      <c r="C24" s="15" t="inlineStr"/>
      <c r="D24" s="15" t="inlineStr"/>
      <c r="E24" s="15" t="inlineStr"/>
    </row>
    <row r="25">
      <c r="A25" s="15" t="inlineStr">
        <is>
          <t>Finance Controller</t>
        </is>
      </c>
      <c r="B25" s="15" t="inlineStr"/>
      <c r="C25" s="15" t="inlineStr"/>
      <c r="D25" s="15" t="inlineStr"/>
      <c r="E25" s="15" t="inlineStr"/>
    </row>
    <row r="26">
      <c r="A26" s="15" t="inlineStr">
        <is>
          <t>HR Operations Lead</t>
        </is>
      </c>
      <c r="B26" s="15" t="inlineStr"/>
      <c r="C26" s="15" t="inlineStr"/>
      <c r="D26" s="15" t="inlineStr"/>
      <c r="E26" s="15" t="inlineStr"/>
    </row>
    <row r="27">
      <c r="A27" s="15" t="inlineStr">
        <is>
          <t>Internal Auditor (optional review)</t>
        </is>
      </c>
      <c r="B27" s="15" t="inlineStr"/>
      <c r="C27" s="15" t="inlineStr"/>
      <c r="D27" s="15" t="inlineStr"/>
      <c r="E27" s="15" t="inlineStr"/>
    </row>
    <row r="28"/>
    <row r="29">
      <c r="A29" s="16" t="inlineStr">
        <is>
          <t>CERTIFICATION STATUS: NOT APPROVED as of 2026-08-09. Critical exceptions remain.</t>
        </is>
      </c>
    </row>
  </sheetData>
  <mergeCells count="11">
    <mergeCell ref="A16:F16"/>
    <mergeCell ref="A11:F11"/>
    <mergeCell ref="A13:F13"/>
    <mergeCell ref="A14:F14"/>
    <mergeCell ref="A19:F19"/>
    <mergeCell ref="A1:F1"/>
    <mergeCell ref="A29:F29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3" customWidth="1" min="1" max="1"/>
    <col width="50" customWidth="1" min="2" max="2"/>
    <col width="50" customWidth="1" min="3" max="3"/>
    <col width="50" customWidth="1" min="4" max="4"/>
  </cols>
  <sheetData>
    <row r="1">
      <c r="A1" s="24" t="inlineStr">
        <is>
          <t>Evidence Index - Source Systems of Record</t>
        </is>
      </c>
    </row>
    <row r="2"/>
    <row r="3">
      <c r="A3" s="25" t="inlineStr">
        <is>
          <t>Source File</t>
        </is>
      </c>
      <c r="B3" s="25" t="inlineStr">
        <is>
          <t>Role</t>
        </is>
      </c>
      <c r="C3" s="25" t="inlineStr">
        <is>
          <t>Key Fields Used</t>
        </is>
      </c>
      <c r="D3" s="25" t="inlineStr">
        <is>
          <t>Evidentiary Weight</t>
        </is>
      </c>
    </row>
    <row r="4">
      <c r="A4" s="7" t="inlineStr">
        <is>
          <t>it_asset_inventory.xlsx</t>
        </is>
      </c>
      <c r="B4" s="7" t="inlineStr">
        <is>
          <t>Operational asset register (pre-reconciliation)</t>
        </is>
      </c>
      <c r="C4" s="7" t="inlineStr">
        <is>
          <t>Asset tag, serial, model, assigned employee, location, cost, warranty, lifecycle status</t>
        </is>
      </c>
      <c r="D4" s="7" t="inlineStr">
        <is>
          <t>Not assumed current</t>
        </is>
      </c>
    </row>
    <row r="5">
      <c r="A5" s="7" t="inlineStr">
        <is>
          <t>hr_employee_status.csv</t>
        </is>
      </c>
      <c r="B5" s="7" t="inlineStr">
        <is>
          <t>HR employment status (authoritative)</t>
        </is>
      </c>
      <c r="C5" s="7" t="inlineStr">
        <is>
          <t>Active / Transferred / Separated; locations; termination and transfer dates</t>
        </is>
      </c>
      <c r="D5" s="7" t="inlineStr">
        <is>
          <t>Authoritative for employment</t>
        </is>
      </c>
    </row>
    <row r="6">
      <c r="A6" s="7" t="inlineStr">
        <is>
          <t>equipment_transfer_log.csv</t>
        </is>
      </c>
      <c r="B6" s="7" t="inlineStr">
        <is>
          <t>Approved/unapproved movements</t>
        </is>
      </c>
      <c r="C6" s="7" t="inlineStr">
        <is>
          <t>Transfer ID, custodians, locations, approval ID, received date</t>
        </is>
      </c>
      <c r="D6" s="7" t="inlineStr">
        <is>
          <t>Authoritative for movement when approved + received</t>
        </is>
      </c>
    </row>
    <row r="7">
      <c r="A7" s="7" t="inlineStr">
        <is>
          <t>service_desk_offboarding.csv</t>
        </is>
      </c>
      <c r="B7" s="7" t="inlineStr">
        <is>
          <t>Offboarding and retirement tickets</t>
        </is>
      </c>
      <c r="C7" s="7" t="inlineStr">
        <is>
          <t>Ticket number, employee, assets, return due, ticket status, comments</t>
        </is>
      </c>
      <c r="D7" s="7" t="inlineStr">
        <is>
          <t>Ticket status authoritative; comments are claims</t>
        </is>
      </c>
    </row>
    <row r="8">
      <c r="A8" s="7" t="inlineStr">
        <is>
          <t>device_return_shipments.csv</t>
        </is>
      </c>
      <c r="B8" s="7" t="inlineStr">
        <is>
          <t>Return shipping activity</t>
        </is>
      </c>
      <c r="C8" s="7" t="inlineStr">
        <is>
          <t>Tracking, dates, receiving scan, shipment status, serial on shipment</t>
        </is>
      </c>
      <c r="D8" s="7" t="inlineStr">
        <is>
          <t>Label ≠ return; need acceptance+delivery+scan</t>
        </is>
      </c>
    </row>
    <row r="9">
      <c r="A9" s="7" t="inlineStr">
        <is>
          <t>hardware_purchase_orders.csv</t>
        </is>
      </c>
      <c r="B9" s="7" t="inlineStr">
        <is>
          <t>Acquisition / procurement</t>
        </is>
      </c>
      <c r="C9" s="7" t="inlineStr">
        <is>
          <t>PO, vendor, asset tags, approved amount, capitalization flag</t>
        </is>
      </c>
      <c r="D9" s="7" t="inlineStr">
        <is>
          <t>Validates acquisition</t>
        </is>
      </c>
    </row>
    <row r="10">
      <c r="A10" s="7" t="inlineStr">
        <is>
          <t>fixed_asset_ledger.xlsx</t>
        </is>
      </c>
      <c r="B10" s="7" t="inlineStr">
        <is>
          <t>Accounting book value</t>
        </is>
      </c>
      <c r="C10" s="7" t="inlineStr">
        <is>
          <t>FA ID, capitalized flag, cost, accum. dep., NBV, ledger status</t>
        </is>
      </c>
      <c r="D10" s="7" t="inlineStr">
        <is>
          <t>Authoritative for NBV</t>
        </is>
      </c>
    </row>
    <row r="11">
      <c r="A11" s="7" t="inlineStr">
        <is>
          <t>asset_disposal_records.csv</t>
        </is>
      </c>
      <c r="B11" s="7" t="inlineStr">
        <is>
          <t>Disposal certificates</t>
        </is>
      </c>
      <c r="C11" s="7" t="inlineStr">
        <is>
          <t>Certificate ID, tag, serial, method, vendor, verified flag</t>
        </is>
      </c>
      <c r="D11" s="7" t="inlineStr">
        <is>
          <t>Required for Disposed status</t>
        </is>
      </c>
    </row>
    <row r="12">
      <c r="A12" s="7" t="inlineStr">
        <is>
          <t>IT_asset_management_policy.pdf</t>
        </is>
      </c>
      <c r="B12" s="7" t="inlineStr">
        <is>
          <t>Policy ITAM-001 v3.2 (includes embedded control-matrix figure)</t>
        </is>
      </c>
      <c r="C12" s="7" t="inlineStr">
        <is>
          <t>Assignment, transfer, return, loss, disposal, financial, certification rules</t>
        </is>
      </c>
      <c r="D12" s="7" t="inlineStr">
        <is>
          <t>Control criteria</t>
        </is>
      </c>
    </row>
    <row r="13">
      <c r="A13" s="7" t="inlineStr">
        <is>
          <t>ITAM_control_matrix.png</t>
        </is>
      </c>
      <c r="B13" s="7" t="inlineStr">
        <is>
          <t>Policy Appendix A control-matrix figure</t>
        </is>
      </c>
      <c r="C13" s="7" t="inlineStr">
        <is>
          <t>Required evidence by control; failure classification; owner</t>
        </is>
      </c>
      <c r="D13" s="7" t="inlineStr">
        <is>
          <t>Visual policy exhibit; use with PDF</t>
        </is>
      </c>
    </row>
    <row r="14">
      <c r="A14" s="7" t="inlineStr">
        <is>
          <t>receiving_exception_scan_1ZMD00000082.png</t>
        </is>
      </c>
      <c r="B14" s="7" t="inlineStr">
        <is>
          <t>Atlanta warehouse dock exception photo lead</t>
        </is>
      </c>
      <c r="C14" s="7" t="inlineStr">
        <is>
          <t>Tracking 1ZMD00000082; MISMATCH serial HOLD tag</t>
        </is>
      </c>
      <c r="D14" s="7" t="inlineStr">
        <is>
          <t>Image lead only; NOT receiving clearance</t>
        </is>
      </c>
    </row>
    <row r="15">
      <c r="A15" s="7" t="inlineStr">
        <is>
          <t>regional_IT_notes.docx</t>
        </is>
      </c>
      <c r="B15" s="7" t="inlineStr">
        <is>
          <t>Informal technician notes</t>
        </is>
      </c>
      <c r="C15" s="7" t="inlineStr">
        <is>
          <t>Leads on closed offices, disposals, approvals, mismatches</t>
        </is>
      </c>
      <c r="D15" s="7" t="inlineStr">
        <is>
          <t>Non-authoritative leads only</t>
        </is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24" t="inlineStr">
        <is>
          <t>Reconciliation Methodology</t>
        </is>
      </c>
    </row>
    <row r="2"/>
    <row r="3">
      <c r="A3" s="25" t="inlineStr">
        <is>
          <t>Step</t>
        </is>
      </c>
      <c r="B3" s="25" t="inlineStr">
        <is>
          <t>Description</t>
        </is>
      </c>
    </row>
    <row r="4">
      <c r="A4" s="4" t="inlineStr">
        <is>
          <t>1. Population</t>
        </is>
      </c>
      <c r="B4" s="17" t="inlineStr">
        <is>
          <t>Loaded 132 register assets; matched to HR, transfers, tickets, shipments, POs, ledger (129), disposal certificates (8), plus multimodal policy figure and dock image lead.</t>
        </is>
      </c>
    </row>
    <row r="5">
      <c r="A5" s="4" t="inlineStr">
        <is>
          <t>2. Custodian verification</t>
        </is>
      </c>
      <c r="B5" s="17" t="inlineStr">
        <is>
          <t>Did not trust register owner/status. Applied HR employment status and latest transfer to_custodian / to_location.</t>
        </is>
      </c>
    </row>
    <row r="6">
      <c r="A6" s="4" t="inlineStr">
        <is>
          <t>3. Return verification</t>
        </is>
      </c>
      <c r="B6" s="17" t="inlineStr">
        <is>
          <t>Required carrier acceptance + delivery + receiving scan with serial match. Label-created and Past Due remain Return Overdue. Dock image is lead only.</t>
        </is>
      </c>
    </row>
    <row r="7">
      <c r="A7" s="4" t="inlineStr">
        <is>
          <t>4. Disposal verification</t>
        </is>
      </c>
      <c r="B7" s="17" t="inlineStr">
        <is>
          <t>Required certificate_verified=Yes matching tag/serial. Recycler transfers without certificates stay Retired/Pending Disposal.</t>
        </is>
      </c>
    </row>
    <row r="8">
      <c r="A8" s="4" t="inlineStr">
        <is>
          <t>5. Exceptions</t>
        </is>
      </c>
      <c r="B8" s="17" t="inlineStr">
        <is>
          <t>Raised discrete exceptions with exact IDs; shipment mismatch for MD-00082 cites receiving_exception_scan_1ZMD00000082.png as lead.</t>
        </is>
      </c>
    </row>
    <row r="9">
      <c r="A9" s="4" t="inlineStr">
        <is>
          <t>6. Financials</t>
        </is>
      </c>
      <c r="B9" s="17" t="inlineStr">
        <is>
          <t>Acquisition cost from register; remaining book value from ledger NBV. Missing ledger assets show blank NBV.</t>
        </is>
      </c>
    </row>
    <row r="10">
      <c r="A10" s="4" t="inlineStr">
        <is>
          <t>7. Custody chains</t>
        </is>
      </c>
      <c r="B10" s="17" t="inlineStr">
        <is>
          <t>Built for high-risk / unresolved / Critical-exception assets; separated Confirmed Fact vs Technician Claim vs Unresolved Assumption.</t>
        </is>
      </c>
    </row>
    <row r="11">
      <c r="A11" s="4" t="inlineStr">
        <is>
          <t>8. Non-invention rule</t>
        </is>
      </c>
      <c r="B11" s="17" t="inlineStr">
        <is>
          <t>No synthetic transfers, returns, approvals, or disposal certificates were created. Image leads do not invent clearance.</t>
        </is>
      </c>
    </row>
    <row r="12">
      <c r="A12" t="inlineStr">
        <is>
          <t>9</t>
        </is>
      </c>
    </row>
    <row r="13"/>
    <row r="14">
      <c r="A14" t="inlineStr">
        <is>
          <t>Capitalization gate</t>
        </is>
      </c>
      <c r="B14" t="inlineStr">
        <is>
          <t>Applied ITAM-001 §7 per-asset $2,500 threshold. Did not treat PO capitalization_approved as forcing FA rows for under-threshold lines (MD-00130/MD-00131). Flagged only MD-00132 as Critical missing capital row. Rejected RN-0132.</t>
        </is>
      </c>
    </row>
    <row r="15">
      <c r="A15" t="inlineStr">
        <is>
          <t>Evidence precedence</t>
        </is>
      </c>
      <c r="B15" t="inlineStr">
        <is>
          <t>Applied §3 order: ledger/certificates/carrier scans &gt; approved transfers &gt; HR &gt; ticket status &gt; notes/images.</t>
        </is>
      </c>
    </row>
    <row r="16">
      <c r="A16" t="inlineStr">
        <is>
          <t>Duplicate serials</t>
        </is>
      </c>
      <c r="B16" t="inlineStr">
        <is>
          <t>Flags duplicate serial MD-LA-050021 across MD-00021 and MD-00025, and duplicate serial MD-NE-050088 across MD-00088 and MD-00092.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Yanou IT Asset Specialist</dc:creator>
  <dcterms:created xsi:type="dcterms:W3CDTF">2026-08-09T22:46:44Z</dcterms:created>
  <dcterms:modified xsi:type="dcterms:W3CDTF">2026-08-23T21:29:25Z</dcterms:modified>
</cp:coreProperties>
</file>