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Ledg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rrected Register" sheetId="3" state="visible" r:id="rId3"/>
    <sheet xmlns:r="http://schemas.openxmlformats.org/officeDocument/2006/relationships" name="Exception Register" sheetId="4" state="visible" r:id="rId4"/>
    <sheet xmlns:r="http://schemas.openxmlformats.org/officeDocument/2006/relationships" name="Custody Chain" sheetId="5" state="visible" r:id="rId5"/>
    <sheet xmlns:r="http://schemas.openxmlformats.org/officeDocument/2006/relationships" name="Ledger Reconciliation" sheetId="6" state="visible" r:id="rId6"/>
    <sheet xmlns:r="http://schemas.openxmlformats.org/officeDocument/2006/relationships" name="Certification" sheetId="7" state="visible" r:id="rId7"/>
    <sheet xmlns:r="http://schemas.openxmlformats.org/officeDocument/2006/relationships" name="Evidence Index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514.88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1" t="inlineStr">
        <is>
          <t>Yanou &amp; Partners IT Services —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3" t="inlineStr">
        <is>
          <t>KPI</t>
        </is>
      </c>
      <c r="B4" s="3" t="inlineStr">
        <is>
          <t>Value</t>
        </is>
      </c>
    </row>
    <row r="5">
      <c r="A5" s="4" t="inlineStr">
        <is>
          <t>Assets reviewed</t>
        </is>
      </c>
      <c r="B5" s="5">
        <f>COUNTA('Corrected Register'!$A$5:$A$136)</f>
        <v>132</v>
      </c>
    </row>
    <row r="6">
      <c r="A6" s="4" t="inlineStr">
        <is>
          <t>Corrected register acquisition cost</t>
        </is>
      </c>
      <c r="B6" s="5">
        <f>SUM('Corrected Register'!$M$5:$M$136)</f>
        <v>332115</v>
      </c>
    </row>
    <row r="7">
      <c r="A7" s="4" t="inlineStr">
        <is>
          <t>Remaining book value (ledger NBV where present)</t>
        </is>
      </c>
      <c r="B7" s="5">
        <f>SUM('Corrected Register'!$N$5:$N$136)</f>
        <v>61561.6</v>
      </c>
    </row>
    <row r="8">
      <c r="A8" s="4" t="inlineStr">
        <is>
          <t>Open exceptions</t>
        </is>
      </c>
      <c r="B8" s="5">
        <f>COUNTIF('Exception Register'!$K$5:$K$167,"Open")</f>
        <v>163</v>
      </c>
    </row>
    <row r="9">
      <c r="A9" s="4" t="inlineStr">
        <is>
          <t>Certification blockers (Critical impact)</t>
        </is>
      </c>
      <c r="B9" s="5">
        <f>COUNTIF('Exception Register'!$C$5:$C$167,"Critical")</f>
        <v>43</v>
      </c>
    </row>
    <row r="10">
      <c r="A10" s="4" t="inlineStr">
        <is>
          <t>Assets Missing / Cannot Locate</t>
        </is>
      </c>
      <c r="B10" s="5">
        <f>COUNTIF('Corrected Register'!$J$5:$J$136,"Missing")</f>
        <v>12</v>
      </c>
    </row>
    <row r="11">
      <c r="A11" s="4" t="inlineStr">
        <is>
          <t>Overdue returns (label ≠ proof)</t>
        </is>
      </c>
      <c r="B11" s="5">
        <f>COUNTIF('Corrected Register'!$J$5:$J$136,"Return Overdue")</f>
        <v>12</v>
      </c>
    </row>
    <row r="12">
      <c r="A12" s="4" t="inlineStr">
        <is>
          <t>Verified disposed with certificate</t>
        </is>
      </c>
      <c r="B12" s="5">
        <f>COUNTIF('Corrected Register'!$J$5:$J$136,"Disposed")</f>
        <v>8</v>
      </c>
    </row>
    <row r="13">
      <c r="A13" s="4" t="inlineStr">
        <is>
          <t>Custody chains documented</t>
        </is>
      </c>
      <c r="B13" s="5">
        <f>COUNTA(UNIQUE(FILTER('Custody Chain'!A5:A501,'Custody Chain'!A5:A501&lt;&gt;"")))</f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Register'!$J$5:$J$136,A19)</f>
        <v>25</v>
      </c>
      <c r="C19" s="7">
        <f>SUMIF('Corrected Register'!$J$5:$J$136,A19,'Corrected Register'!$N$5:$N$136)</f>
        <v>12961</v>
      </c>
      <c r="E19" s="7" t="inlineStr">
        <is>
          <t>Laptop</t>
        </is>
      </c>
      <c r="F19" s="7">
        <f>COUNTIF('Corrected Register'!$C$5:$C$136,E19)</f>
        <v>32</v>
      </c>
      <c r="G19" s="7">
        <f>SUMIF('Corrected Register'!$C$5:$C$136,E19,'Corrected Register'!$N$5:$N$136)</f>
        <v>1194.95</v>
      </c>
    </row>
    <row r="20">
      <c r="A20" s="7" t="inlineStr">
        <is>
          <t>Disposed</t>
        </is>
      </c>
      <c r="B20" s="7">
        <f>COUNTIF('Corrected Register'!$J$5:$J$136,A20)</f>
        <v>8</v>
      </c>
      <c r="C20" s="7">
        <f>SUMIF('Corrected Register'!$J$5:$J$136,A20,'Corrected Register'!$N$5:$N$136)</f>
        <v>0</v>
      </c>
      <c r="E20" s="7" t="inlineStr">
        <is>
          <t>Mobile Device</t>
        </is>
      </c>
      <c r="F20" s="7">
        <f>COUNTIF('Corrected Register'!$C$5:$C$136,E20)</f>
        <v>33</v>
      </c>
      <c r="G20" s="7">
        <f>SUMIF('Corrected Register'!$C$5:$C$136,E20,'Corrected Register'!$N$5:$N$136)</f>
        <v>20855.29</v>
      </c>
    </row>
    <row r="21">
      <c r="A21" s="8" t="inlineStr">
        <is>
          <t>In Transit - Exception</t>
        </is>
      </c>
      <c r="B21" s="7">
        <f>COUNTIF('Corrected Register'!$J$5:$J$136,A21)</f>
        <v>2</v>
      </c>
      <c r="C21" s="7">
        <f>SUMIF('Corrected Register'!$J$5:$J$136,A21,'Corrected Register'!$N$5:$N$136)</f>
        <v>1019.4</v>
      </c>
      <c r="E21" s="7" t="inlineStr">
        <is>
          <t>Monitor</t>
        </is>
      </c>
      <c r="F21" s="7">
        <f>COUNTIF('Corrected Register'!$C$5:$C$136,E21)</f>
        <v>34</v>
      </c>
      <c r="G21" s="7">
        <f>SUMIF('Corrected Register'!$C$5:$C$136,E21,'Corrected Register'!$N$5:$N$136)</f>
        <v>11329.87</v>
      </c>
    </row>
    <row r="22">
      <c r="A22" s="7" t="inlineStr">
        <is>
          <t>In Use</t>
        </is>
      </c>
      <c r="B22" s="7">
        <f>COUNTIF('Corrected Register'!$J$5:$J$136,A22)</f>
        <v>51</v>
      </c>
      <c r="C22" s="7">
        <f>SUMIF('Corrected Register'!$J$5:$J$136,A22,'Corrected Register'!$N$5:$N$136)</f>
        <v>25512.76</v>
      </c>
      <c r="E22" s="7" t="inlineStr">
        <is>
          <t>Network Asset</t>
        </is>
      </c>
      <c r="F22" s="7">
        <f>COUNTIF('Corrected Register'!$C$5:$C$136,E22)</f>
        <v>33</v>
      </c>
      <c r="G22" s="7">
        <f>SUMIF('Corrected Register'!$C$5:$C$136,E22,'Corrected Register'!$N$5:$N$136)</f>
        <v>28181.49</v>
      </c>
    </row>
    <row r="23">
      <c r="A23" s="8" t="inlineStr">
        <is>
          <t>Missing</t>
        </is>
      </c>
      <c r="B23" s="7">
        <f>COUNTIF('Corrected Register'!$J$5:$J$136,A23)</f>
        <v>12</v>
      </c>
      <c r="C23" s="7">
        <f>SUMIF('Corrected Register'!$J$5:$J$136,A23,'Corrected Register'!$N$5:$N$136)</f>
        <v>6214.38</v>
      </c>
    </row>
    <row r="24">
      <c r="A24" s="7" t="inlineStr">
        <is>
          <t>Pending Redeployment</t>
        </is>
      </c>
      <c r="B24" s="7">
        <f>COUNTIF('Corrected Register'!$J$5:$J$136,A24)</f>
        <v>10</v>
      </c>
      <c r="C24" s="7">
        <f>SUMIF('Corrected Register'!$J$5:$J$136,A24,'Corrected Register'!$N$5:$N$136)</f>
        <v>4851.08</v>
      </c>
    </row>
    <row r="25">
      <c r="A25" s="7" t="inlineStr">
        <is>
          <t>Retired/Pending Disposal</t>
        </is>
      </c>
      <c r="B25" s="7">
        <f>COUNTIF('Corrected Register'!$J$5:$J$136,A25)</f>
        <v>12</v>
      </c>
      <c r="C25" s="7">
        <f>SUMIF('Corrected Register'!$J$5:$J$136,A25,'Corrected Register'!$N$5:$N$136)</f>
        <v>4811.33</v>
      </c>
    </row>
    <row r="26">
      <c r="A26" s="8" t="inlineStr">
        <is>
          <t>Return Overdue</t>
        </is>
      </c>
      <c r="B26" s="7">
        <f>COUNTIF('Corrected Register'!$J$5:$J$136,A26)</f>
        <v>12</v>
      </c>
      <c r="C26" s="7">
        <f>SUMIF('Corrected Register'!$J$5:$J$136,A26,'Corrected Register'!$N$5:$N$136)</f>
        <v>6191.65</v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Register'!$I$5:$I$136,A32)</f>
        <v>16</v>
      </c>
      <c r="C32" s="7">
        <f>SUMIF('Corrected Register'!$I$5:$I$136,A32,'Corrected Register'!$N$5:$N$136)</f>
        <v>5184.18</v>
      </c>
      <c r="E32" s="7" t="inlineStr">
        <is>
          <t>Cannot Locate</t>
        </is>
      </c>
      <c r="F32" s="7">
        <f>COUNTIF('Exception Register'!$B$5:$B$167,E32)</f>
        <v>12</v>
      </c>
      <c r="G32" s="7">
        <f>SUMIF('Exception Register'!$B$5:$B$167,E32,'Exception Register'!$G$5:$G$167)</f>
        <v>6214.38</v>
      </c>
    </row>
    <row r="33">
      <c r="A33" s="7" t="inlineStr">
        <is>
          <t>Atlanta</t>
        </is>
      </c>
      <c r="B33" s="7">
        <f>COUNTIF('Corrected Register'!$I$5:$I$136,A33)</f>
        <v>15</v>
      </c>
      <c r="C33" s="7">
        <f>SUMIF('Corrected Register'!$I$5:$I$136,A33,'Corrected Register'!$N$5:$N$136)</f>
        <v>6267.29</v>
      </c>
      <c r="E33" s="7" t="inlineStr">
        <is>
          <t>Closed Location Assignment</t>
        </is>
      </c>
      <c r="F33" s="7">
        <f>COUNTIF('Exception Register'!$B$5:$B$167,E33)</f>
        <v>61</v>
      </c>
      <c r="G33" s="7">
        <f>SUMIF('Exception Register'!$B$5:$B$167,E33,'Exception Register'!$G$5:$G$167)</f>
        <v>29098.84</v>
      </c>
    </row>
    <row r="34">
      <c r="A34" s="7" t="inlineStr">
        <is>
          <t>Dallas</t>
        </is>
      </c>
      <c r="B34" s="7">
        <f>COUNTIF('Corrected Register'!$I$5:$I$136,A34)</f>
        <v>15</v>
      </c>
      <c r="C34" s="7">
        <f>SUMIF('Corrected Register'!$I$5:$I$136,A34,'Corrected Register'!$N$5:$N$136)</f>
        <v>11070.95</v>
      </c>
      <c r="E34" s="7" t="inlineStr">
        <is>
          <t>Duplicate Serial Number</t>
        </is>
      </c>
      <c r="F34" s="7">
        <f>COUNTIF('Exception Register'!$B$5:$B$167,E34)</f>
        <v>4</v>
      </c>
      <c r="G34" s="7">
        <f>SUMIF('Exception Register'!$B$5:$B$167,E34,'Exception Register'!$G$5:$G$167)</f>
        <v>2503.11</v>
      </c>
    </row>
    <row r="35">
      <c r="A35" s="7" t="inlineStr">
        <is>
          <t>Seattle</t>
        </is>
      </c>
      <c r="B35" s="7">
        <f>COUNTIF('Corrected Register'!$I$5:$I$136,A35)</f>
        <v>15</v>
      </c>
      <c r="C35" s="7">
        <f>SUMIF('Corrected Register'!$I$5:$I$136,A35,'Corrected Register'!$N$5:$N$136)</f>
        <v>5149.95</v>
      </c>
      <c r="E35" s="7" t="inlineStr">
        <is>
          <t>Former Employee Assignment</t>
        </is>
      </c>
      <c r="F35" s="7">
        <f>COUNTIF('Exception Register'!$B$5:$B$167,E35)</f>
        <v>43</v>
      </c>
      <c r="G35" s="7">
        <f>SUMIF('Exception Register'!$B$5:$B$167,E35,'Exception Register'!$G$5:$G$167)</f>
        <v>22627.56</v>
      </c>
    </row>
    <row r="36">
      <c r="A36" s="7" t="inlineStr">
        <is>
          <t>Denver</t>
        </is>
      </c>
      <c r="B36" s="7">
        <f>COUNTIF('Corrected Register'!$I$5:$I$136,A36)</f>
        <v>14</v>
      </c>
      <c r="C36" s="7">
        <f>SUMIF('Corrected Register'!$I$5:$I$136,A36,'Corrected Register'!$N$5:$N$136)</f>
        <v>5551.75</v>
      </c>
      <c r="E36" s="7" t="inlineStr">
        <is>
          <t>Inventory-to-Ledger Difference</t>
        </is>
      </c>
      <c r="F36" s="7">
        <f>COUNTIF('Exception Register'!$B$5:$B$167,E36)</f>
        <v>8</v>
      </c>
      <c r="G36" s="7">
        <f>SUMIF('Exception Register'!$B$5:$B$167,E36,'Exception Register'!$G$5:$G$167)</f>
        <v>7440</v>
      </c>
    </row>
    <row r="37">
      <c r="A37" s="7" t="inlineStr">
        <is>
          <t>New York</t>
        </is>
      </c>
      <c r="B37" s="7">
        <f>COUNTIF('Corrected Register'!$I$5:$I$136,A37)</f>
        <v>14</v>
      </c>
      <c r="C37" s="7">
        <f>SUMIF('Corrected Register'!$I$5:$I$136,A37,'Corrected Register'!$N$5:$N$136)</f>
        <v>10561</v>
      </c>
      <c r="E37" s="7" t="inlineStr">
        <is>
          <t>Missing Disposal Evidence</t>
        </is>
      </c>
      <c r="F37" s="7">
        <f>COUNTIF('Exception Register'!$B$5:$B$167,E37)</f>
        <v>12</v>
      </c>
      <c r="G37" s="7">
        <f>SUMIF('Exception Register'!$B$5:$B$167,E37,'Exception Register'!$G$5:$G$167)</f>
        <v>4811.33</v>
      </c>
    </row>
    <row r="38">
      <c r="A38" s="7" t="inlineStr">
        <is>
          <t>Unknown</t>
        </is>
      </c>
      <c r="B38" s="7">
        <f>COUNTIF('Corrected Register'!$I$5:$I$136,A38)</f>
        <v>12</v>
      </c>
      <c r="C38" s="7">
        <f>SUMIF('Corrected Register'!$I$5:$I$136,A38,'Corrected Register'!$N$5:$N$136)</f>
        <v>6214.38</v>
      </c>
      <c r="E38" s="7" t="inlineStr">
        <is>
          <t>Overdue Return</t>
        </is>
      </c>
      <c r="F38" s="7">
        <f>COUNTIF('Exception Register'!$B$5:$B$167,E38)</f>
        <v>12</v>
      </c>
      <c r="G38" s="7">
        <f>SUMIF('Exception Register'!$B$5:$B$167,E38,'Exception Register'!$G$5:$G$167)</f>
        <v>6191.65</v>
      </c>
    </row>
    <row r="39">
      <c r="A39" s="7" t="inlineStr">
        <is>
          <t>Remote - Former Employee</t>
        </is>
      </c>
      <c r="B39" s="7">
        <f>COUNTIF('Corrected Register'!$I$5:$I$136,A39)</f>
        <v>10</v>
      </c>
      <c r="C39" s="7">
        <f>SUMIF('Corrected Register'!$I$5:$I$136,A39,'Corrected Register'!$N$5:$N$136)</f>
        <v>4878.51</v>
      </c>
      <c r="E39" s="7" t="inlineStr">
        <is>
          <t>Shipment Mismatch</t>
        </is>
      </c>
      <c r="F39" s="7">
        <f>COUNTIF('Exception Register'!$B$5:$B$167,E39)</f>
        <v>4</v>
      </c>
      <c r="G39" s="7">
        <f>SUMIF('Exception Register'!$B$5:$B$167,E39,'Exception Register'!$G$5:$G$167)</f>
        <v>2332.54</v>
      </c>
    </row>
    <row r="40">
      <c r="A40" s="7" t="inlineStr">
        <is>
          <t>Disposed</t>
        </is>
      </c>
      <c r="B40" s="7">
        <f>COUNTIF('Corrected Register'!$I$5:$I$136,A40)</f>
        <v>8</v>
      </c>
      <c r="C40" s="7">
        <f>SUMIF('Corrected Register'!$I$5:$I$136,A40,'Corrected Register'!$N$5:$N$136)</f>
        <v>0</v>
      </c>
      <c r="E40" s="7" t="inlineStr">
        <is>
          <t>Unapproved Transfer</t>
        </is>
      </c>
      <c r="F40" s="7">
        <f>COUNTIF('Exception Register'!$B$5:$B$167,E40)</f>
        <v>5</v>
      </c>
      <c r="G40" s="7">
        <f>SUMIF('Exception Register'!$B$5:$B$167,E40,'Exception Register'!$G$5:$G$167)</f>
        <v>2869.32</v>
      </c>
    </row>
    <row r="41">
      <c r="A41" s="7" t="inlineStr">
        <is>
          <t>Atlanta Warehouse</t>
        </is>
      </c>
      <c r="B41" s="7">
        <f>COUNTIF('Corrected Register'!$I$5:$I$136,A41)</f>
        <v>7</v>
      </c>
      <c r="C41" s="7">
        <f>SUMIF('Corrected Register'!$I$5:$I$136,A41,'Corrected Register'!$N$5:$N$136)</f>
        <v>4351.05</v>
      </c>
    </row>
    <row r="42">
      <c r="A42" s="7" t="inlineStr">
        <is>
          <t>Carrier Network / Unverified</t>
        </is>
      </c>
      <c r="B42" s="7">
        <f>COUNTIF('Corrected Register'!$I$5:$I$136,A42)</f>
        <v>4</v>
      </c>
      <c r="C42" s="7">
        <f>SUMIF('Corrected Register'!$I$5:$I$136,A42,'Corrected Register'!$N$5:$N$136)</f>
        <v>2332.54</v>
      </c>
    </row>
    <row r="43">
      <c r="A43" s="7" t="inlineStr">
        <is>
          <t>Disposed (certificate missing)</t>
        </is>
      </c>
      <c r="B43" s="7">
        <f>COUNTIF('Corrected Register'!$I$5:$I$136,A43)</f>
        <v>2</v>
      </c>
      <c r="C43" s="7">
        <f>SUMIF('Corrected Register'!$I$5:$I$136,A43,'Corrected Register'!$N$5:$N$136)</f>
        <v>0</v>
      </c>
    </row>
    <row r="45">
      <c r="A45" s="19" t="inlineStr">
        <is>
          <t>Key finding —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1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3" t="inlineStr">
        <is>
          <t>Asset Tag</t>
        </is>
      </c>
      <c r="B4" s="3" t="inlineStr">
        <is>
          <t>Serial Number</t>
        </is>
      </c>
      <c r="C4" s="3" t="inlineStr">
        <is>
          <t>Category</t>
        </is>
      </c>
      <c r="D4" s="3" t="inlineStr">
        <is>
          <t>Model</t>
        </is>
      </c>
      <c r="E4" s="3" t="inlineStr">
        <is>
          <t>Register Custodian</t>
        </is>
      </c>
      <c r="F4" s="3" t="inlineStr">
        <is>
          <t>Register Location</t>
        </is>
      </c>
      <c r="G4" s="3" t="inlineStr">
        <is>
          <t>Register Status</t>
        </is>
      </c>
      <c r="H4" s="3" t="inlineStr">
        <is>
          <t>Verified Custodian</t>
        </is>
      </c>
      <c r="I4" s="3" t="inlineStr">
        <is>
          <t>Verified Location</t>
        </is>
      </c>
      <c r="J4" s="3" t="inlineStr">
        <is>
          <t>Verified Status</t>
        </is>
      </c>
      <c r="K4" s="3" t="inlineStr">
        <is>
          <t>Evidence Source</t>
        </is>
      </c>
      <c r="L4" s="3" t="inlineStr">
        <is>
          <t>Last Verified Date</t>
        </is>
      </c>
      <c r="M4" s="3" t="inlineStr">
        <is>
          <t>Acquisition Cost</t>
        </is>
      </c>
      <c r="N4" s="3" t="inlineStr">
        <is>
          <t>Remaining Book Value</t>
        </is>
      </c>
      <c r="O4" s="3" t="inlineStr">
        <is>
          <t>Ledger Asset ID</t>
        </is>
      </c>
      <c r="P4" s="3" t="inlineStr">
        <is>
          <t>Capitalized</t>
        </is>
      </c>
      <c r="Q4" s="3" t="inlineStr">
        <is>
          <t>Confidence</t>
        </is>
      </c>
      <c r="R4" s="3" t="inlineStr">
        <is>
          <t>Exception IDs</t>
        </is>
      </c>
      <c r="S4" s="3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Monitor</t>
        </is>
      </c>
      <c r="D5" s="7" t="inlineStr">
        <is>
          <t>Lenovo ThinkPad T14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Reconciliation kept MD-00001 at In Use (Chicago) once transfers and HR were read. No term conflict for E0001; status Active. Transfer TR-00001 shows receipt Jan 21, 2026, approval APR-00001. PO PO-2022-0001 on file; no matching FAR row for MD-00001.</t>
        </is>
      </c>
      <c r="L5" s="7" t="inlineStr">
        <is>
          <t>2026-08-05</t>
        </is>
      </c>
      <c r="M5" s="7" t="n">
        <v>1895</v>
      </c>
      <c r="N5" s="7">
        <f>IFERROR(XLOOKUP(A5,'Source Ledger'!$B$5:$B$133,'Source Ledger'!$G$5:$G$133),"")</f>
        <v>0</v>
      </c>
      <c r="O5" s="7">
        <f>IFERROR(XLOOKUP(A5,'Source Ledger'!$B$5:$B$133,'Source Ledger'!$A$5:$A$133),"")</f>
        <v/>
      </c>
      <c r="P5" s="7" t="inlineStr">
        <is>
          <t>No</t>
        </is>
      </c>
      <c r="Q5" s="9" t="inlineStr">
        <is>
          <t>High</t>
        </is>
      </c>
      <c r="R5" s="7" t="inlineStr"/>
      <c r="S5" s="7" t="inlineStr">
        <is>
          <t>No</t>
        </is>
      </c>
      <c r="T5" t="n">
        <v>1895</v>
      </c>
      <c r="U5" t="inlineStr">
        <is>
          <t>Active</t>
        </is>
      </c>
      <c r="V5" t="n">
        <v>0</v>
      </c>
      <c r="W5" t="n">
        <v>0</v>
      </c>
      <c r="X5" t="inlineStr">
        <is>
          <t>Yes</t>
        </is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Monitor</t>
        </is>
      </c>
      <c r="D6" s="7" t="inlineStr">
        <is>
          <t>Dell U2723QE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Dell U2723QE MD-00002 ($610) reconciled to In Use at Dallas. HR agrees Marcus Ellison (E0002) is still Active. equipment_transfer_log TR-00002, approval APR-00002; received 2026-02-25. PO PO-2022-0001 on file; no matching FAR row for MD-00002.</t>
        </is>
      </c>
      <c r="L6" s="7" t="inlineStr">
        <is>
          <t>2026-08-05</t>
        </is>
      </c>
      <c r="M6" s="7" t="n">
        <v>610</v>
      </c>
      <c r="N6" s="7">
        <f>IFERROR(XLOOKUP(A6,'Source Ledger'!$B$5:$B$133,'Source Ledger'!$G$5:$G$133),"")</f>
        <v>313.06</v>
      </c>
      <c r="O6" s="7">
        <f>IFERROR(XLOOKUP(A6,'Source Ledger'!$B$5:$B$133,'Source Ledger'!$A$5:$A$133),"")</f>
        <v/>
      </c>
      <c r="P6" s="7" t="inlineStr">
        <is>
          <t>No</t>
        </is>
      </c>
      <c r="Q6" s="9" t="inlineStr">
        <is>
          <t>High</t>
        </is>
      </c>
      <c r="R6" s="7" t="inlineStr"/>
      <c r="S6" s="7" t="inlineStr">
        <is>
          <t>No</t>
        </is>
      </c>
      <c r="T6" t="n">
        <v>610</v>
      </c>
      <c r="U6" t="inlineStr">
        <is>
          <t>Active</t>
        </is>
      </c>
      <c r="V6" t="n">
        <v>313.06</v>
      </c>
      <c r="W6" t="n">
        <v>0</v>
      </c>
      <c r="X6" t="inlineStr">
        <is>
          <t>Yes</t>
        </is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Mobile Device</t>
        </is>
      </c>
      <c r="D7" s="7" t="inlineStr">
        <is>
          <t>Samsung Galaxy S24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Outcome on MD-00003: In Use, Denver, $1085 acquisition basis. hr_employee_status shows Elena Kovacs (E0003) as Active. equipment_transfer_log TR-00003, approval APR-00003; received 04/03/2026. PO PO-2022-0001 on file; no matching FAR row for MD-00003.</t>
        </is>
      </c>
      <c r="L7" s="7" t="inlineStr">
        <is>
          <t>2026-08-05</t>
        </is>
      </c>
      <c r="M7" s="7" t="n">
        <v>1085</v>
      </c>
      <c r="N7" s="7">
        <f>IFERROR(XLOOKUP(A7,'Source Ledger'!$B$5:$B$133,'Source Ledger'!$G$5:$G$133),"")</f>
        <v>597.83</v>
      </c>
      <c r="O7" s="7">
        <f>IFERROR(XLOOKUP(A7,'Source Ledger'!$B$5:$B$133,'Source Ledger'!$A$5:$A$133),"")</f>
        <v/>
      </c>
      <c r="P7" s="7" t="inlineStr">
        <is>
          <t>No</t>
        </is>
      </c>
      <c r="Q7" s="9" t="inlineStr">
        <is>
          <t>High</t>
        </is>
      </c>
      <c r="R7" s="7" t="inlineStr"/>
      <c r="S7" s="7" t="inlineStr">
        <is>
          <t>No</t>
        </is>
      </c>
      <c r="T7" t="n">
        <v>1085</v>
      </c>
      <c r="U7" t="inlineStr">
        <is>
          <t>Active</t>
        </is>
      </c>
      <c r="V7" t="n">
        <v>597.83</v>
      </c>
      <c r="W7" t="n">
        <v>0</v>
      </c>
      <c r="X7" t="inlineStr">
        <is>
          <t>Yes</t>
        </is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Network Asset</t>
        </is>
      </c>
      <c r="D8" s="7" t="inlineStr">
        <is>
          <t>Cisco C9300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Register row MD-00004: verified In Use, location New York, cost $6380. Custodian James Whitaker (E0004) is Active in HR. Transfer TR-00004 shows receipt May 01, 2026, approval APR-00004. PO PO-2022-0001 on file; no matching FAR row for MD-00004.</t>
        </is>
      </c>
      <c r="L8" s="7" t="inlineStr">
        <is>
          <t>2026-08-05</t>
        </is>
      </c>
      <c r="M8" s="7" t="n">
        <v>6380</v>
      </c>
      <c r="N8" s="7">
        <f>IFERROR(XLOOKUP(A8,'Source Ledger'!$B$5:$B$133,'Source Ledger'!$G$5:$G$133),"")</f>
        <v>940.62</v>
      </c>
      <c r="O8" s="7">
        <f>IFERROR(XLOOKUP(A8,'Source Ledger'!$B$5:$B$133,'Source Ledger'!$A$5:$A$133),"")</f>
        <v/>
      </c>
      <c r="P8" s="7" t="inlineStr">
        <is>
          <t>Yes</t>
        </is>
      </c>
      <c r="Q8" s="9" t="inlineStr">
        <is>
          <t>High</t>
        </is>
      </c>
      <c r="R8" s="7" t="inlineStr"/>
      <c r="S8" s="7" t="inlineStr">
        <is>
          <t>No</t>
        </is>
      </c>
      <c r="T8" t="n">
        <v>6380</v>
      </c>
      <c r="U8" t="inlineStr">
        <is>
          <t>Active</t>
        </is>
      </c>
      <c r="V8" t="n">
        <v>940.62</v>
      </c>
      <c r="W8" t="n">
        <v>0</v>
      </c>
      <c r="X8" t="inlineStr">
        <is>
          <t>Yes</t>
        </is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MacBook Pro 14 MD-00005 ($2075) reconciled to In Use at Seattle. HR agrees Aisha Rahman (E0005) is still Active. Movement TR-00005 posted Jun 05, 2026 and inbound 2026-06-08, approval APR-00005. PO PO-2022-0001 on file; no matching FAR row for MD-00005.</t>
        </is>
      </c>
      <c r="L9" s="7" t="inlineStr">
        <is>
          <t>2026-08-05</t>
        </is>
      </c>
      <c r="M9" s="7" t="n">
        <v>2075</v>
      </c>
      <c r="N9" s="7">
        <f>IFERROR(XLOOKUP(A9,'Source Ledger'!$B$5:$B$133,'Source Ledger'!$G$5:$G$133),"")</f>
        <v>0</v>
      </c>
      <c r="O9" s="7">
        <f>IFERROR(XLOOKUP(A9,'Source Ledger'!$B$5:$B$133,'Source Ledger'!$A$5:$A$133),"")</f>
        <v/>
      </c>
      <c r="P9" s="7" t="inlineStr">
        <is>
          <t>No</t>
        </is>
      </c>
      <c r="Q9" s="9" t="inlineStr">
        <is>
          <t>High</t>
        </is>
      </c>
      <c r="R9" s="7" t="inlineStr"/>
      <c r="S9" s="7" t="inlineStr">
        <is>
          <t>No</t>
        </is>
      </c>
      <c r="T9" t="n">
        <v>2075</v>
      </c>
      <c r="U9" t="inlineStr">
        <is>
          <t>Active</t>
        </is>
      </c>
      <c r="V9" t="n">
        <v>0</v>
      </c>
      <c r="W9" t="n">
        <v>0</v>
      </c>
      <c r="X9" t="inlineStr">
        <is>
          <t>Yes</t>
        </is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Monitor</t>
        </is>
      </c>
      <c r="D10" s="7" t="inlineStr">
        <is>
          <t>Dell U2723QE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Dell U2723QE MD-00006 ($790) reconciled to In Use at Atlanta. Employment check: E0006 remains Active. Movement TR-00006 posted 2026-01-10 and inbound 01/12/2026, approval APR-00006. PO PO-2022-0001 on file; no matching FAR row for MD-00006.</t>
        </is>
      </c>
      <c r="L10" s="7" t="inlineStr">
        <is>
          <t>2026-08-05</t>
        </is>
      </c>
      <c r="M10" s="7" t="n">
        <v>790</v>
      </c>
      <c r="N10" s="7">
        <f>IFERROR(XLOOKUP(A10,'Source Ledger'!$B$5:$B$133,'Source Ledger'!$G$5:$G$133),"")</f>
        <v>459.94</v>
      </c>
      <c r="O10" s="7">
        <f>IFERROR(XLOOKUP(A10,'Source Ledger'!$B$5:$B$133,'Source Ledger'!$A$5:$A$133),"")</f>
        <v/>
      </c>
      <c r="P10" s="7" t="inlineStr">
        <is>
          <t>No</t>
        </is>
      </c>
      <c r="Q10" s="9" t="inlineStr">
        <is>
          <t>High</t>
        </is>
      </c>
      <c r="R10" s="7" t="inlineStr"/>
      <c r="S10" s="7" t="inlineStr">
        <is>
          <t>No</t>
        </is>
      </c>
      <c r="T10" t="n">
        <v>790</v>
      </c>
      <c r="U10" t="inlineStr">
        <is>
          <t>Active</t>
        </is>
      </c>
      <c r="V10" t="n">
        <v>459.94</v>
      </c>
      <c r="W10" t="n">
        <v>0</v>
      </c>
      <c r="X10" t="inlineStr">
        <is>
          <t>Yes</t>
        </is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Mobile Device</t>
        </is>
      </c>
      <c r="D11" s="7" t="inlineStr">
        <is>
          <t>Samsung Galaxy S24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Samsung Galaxy S24 MD-00007 ($950) reconciled to In Use at Chicago. Custodian Sofia Alvarez (E0007) is Active in HR. TR-00007 ties to MD-00007; dock date Feb 17, 2026, approval APR-00007. PO PO-2023-0002 on file; no matching FAR row for MD-00007.</t>
        </is>
      </c>
      <c r="L11" s="7" t="inlineStr">
        <is>
          <t>2026-08-05</t>
        </is>
      </c>
      <c r="M11" s="7" t="n">
        <v>950</v>
      </c>
      <c r="N11" s="7">
        <f>IFERROR(XLOOKUP(A11,'Source Ledger'!$B$5:$B$133,'Source Ledger'!$G$5:$G$133),"")</f>
        <v>632.68</v>
      </c>
      <c r="O11" s="7">
        <f>IFERROR(XLOOKUP(A11,'Source Ledger'!$B$5:$B$133,'Source Ledger'!$A$5:$A$133),"")</f>
        <v/>
      </c>
      <c r="P11" s="7" t="inlineStr">
        <is>
          <t>No</t>
        </is>
      </c>
      <c r="Q11" s="9" t="inlineStr">
        <is>
          <t>High</t>
        </is>
      </c>
      <c r="R11" s="7" t="inlineStr"/>
      <c r="S11" s="7" t="inlineStr">
        <is>
          <t>No</t>
        </is>
      </c>
      <c r="T11" t="n">
        <v>950</v>
      </c>
      <c r="U11" t="inlineStr">
        <is>
          <t>Active</t>
        </is>
      </c>
      <c r="V11" t="n">
        <v>632.68</v>
      </c>
      <c r="W11" t="n">
        <v>0</v>
      </c>
      <c r="X11" t="inlineStr">
        <is>
          <t>Yes</t>
        </is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Network Asset</t>
        </is>
      </c>
      <c r="D12" s="7" t="inlineStr">
        <is>
          <t>Cisco C9300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Location Dallas and status In Use on MD-00008 match the stronger transaction trail. Employment check: E0008 remains Active. equipment_transfer_log TR-00008, approval APR-00008; received 2026-03-19. PO PO-2023-0002 on file; no matching FAR row for MD-00008.</t>
        </is>
      </c>
      <c r="L12" s="7" t="inlineStr">
        <is>
          <t>2026-08-05</t>
        </is>
      </c>
      <c r="M12" s="7" t="n">
        <v>6245</v>
      </c>
      <c r="N12" s="7">
        <f>IFERROR(XLOOKUP(A12,'Source Ledger'!$B$5:$B$133,'Source Ledger'!$G$5:$G$133),"")</f>
        <v>1355.01</v>
      </c>
      <c r="O12" s="7">
        <f>IFERROR(XLOOKUP(A12,'Source Ledger'!$B$5:$B$133,'Source Ledger'!$A$5:$A$133),"")</f>
        <v/>
      </c>
      <c r="P12" s="7" t="inlineStr">
        <is>
          <t>Yes</t>
        </is>
      </c>
      <c r="Q12" s="9" t="inlineStr">
        <is>
          <t>High</t>
        </is>
      </c>
      <c r="R12" s="7" t="inlineStr"/>
      <c r="S12" s="7" t="inlineStr">
        <is>
          <t>No</t>
        </is>
      </c>
      <c r="T12" t="n">
        <v>6245</v>
      </c>
      <c r="U12" t="inlineStr">
        <is>
          <t>Active</t>
        </is>
      </c>
      <c r="V12" t="n">
        <v>1355.01</v>
      </c>
      <c r="W12" t="n">
        <v>0</v>
      </c>
      <c r="X12" t="inlineStr">
        <is>
          <t>Yes</t>
        </is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Laptop</t>
        </is>
      </c>
      <c r="D13" s="7" t="inlineStr">
        <is>
          <t>Dell Latitude 7440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MD-00009 (Dell Latitude 7440) — In Use / Denver per the cited movement and people records. HR agrees Hannah Cole (E0009) is still Active. Movement TR-00009 posted 2026-04-20 and inbound 04/21/2026, approval APR-00009. PO PO-2023-0002 on file; no matching FAR row for MD-00009.</t>
        </is>
      </c>
      <c r="L13" s="7" t="inlineStr">
        <is>
          <t>2026-08-05</t>
        </is>
      </c>
      <c r="M13" s="7" t="n">
        <v>1940</v>
      </c>
      <c r="N13" s="7">
        <f>IFERROR(XLOOKUP(A13,'Source Ledger'!$B$5:$B$133,'Source Ledger'!$G$5:$G$133),"")</f>
        <v>109.33</v>
      </c>
      <c r="O13" s="7">
        <f>IFERROR(XLOOKUP(A13,'Source Ledger'!$B$5:$B$133,'Source Ledger'!$A$5:$A$133),"")</f>
        <v/>
      </c>
      <c r="P13" s="7" t="inlineStr">
        <is>
          <t>No</t>
        </is>
      </c>
      <c r="Q13" s="9" t="inlineStr">
        <is>
          <t>High</t>
        </is>
      </c>
      <c r="R13" s="7" t="inlineStr"/>
      <c r="S13" s="7" t="inlineStr">
        <is>
          <t>No</t>
        </is>
      </c>
      <c r="T13" t="n">
        <v>1940</v>
      </c>
      <c r="U13" t="inlineStr">
        <is>
          <t>Active</t>
        </is>
      </c>
      <c r="V13" t="n">
        <v>109.33</v>
      </c>
      <c r="W13" t="n">
        <v>0</v>
      </c>
      <c r="X13" t="inlineStr">
        <is>
          <t>Yes</t>
        </is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Register row MD-00010: verified In Use, location New York, cost $655. Employment check: E0010 remains Active. TR-00010 ties to MD-00010; dock date May 28, 2026, approval APR-00010. PO PO-2023-0002 on file; no matching FAR row for MD-00010.</t>
        </is>
      </c>
      <c r="L14" s="7" t="inlineStr">
        <is>
          <t>2026-08-05</t>
        </is>
      </c>
      <c r="M14" s="7" t="n">
        <v>655</v>
      </c>
      <c r="N14" s="7">
        <f>IFERROR(XLOOKUP(A14,'Source Ledger'!$B$5:$B$133,'Source Ledger'!$G$5:$G$133),"")</f>
        <v>426.89</v>
      </c>
      <c r="O14" s="7">
        <f>IFERROR(XLOOKUP(A14,'Source Ledger'!$B$5:$B$133,'Source Ledger'!$A$5:$A$133),"")</f>
        <v/>
      </c>
      <c r="P14" s="7" t="inlineStr">
        <is>
          <t>No</t>
        </is>
      </c>
      <c r="Q14" s="9" t="inlineStr">
        <is>
          <t>High</t>
        </is>
      </c>
      <c r="R14" s="7" t="inlineStr"/>
      <c r="S14" s="7" t="inlineStr">
        <is>
          <t>No</t>
        </is>
      </c>
      <c r="T14" t="n">
        <v>655</v>
      </c>
      <c r="U14" t="inlineStr">
        <is>
          <t>Active</t>
        </is>
      </c>
      <c r="V14" t="n">
        <v>426.89</v>
      </c>
      <c r="W14" t="n">
        <v>0</v>
      </c>
      <c r="X14" t="inlineStr">
        <is>
          <t>Yes</t>
        </is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Mobile Device</t>
        </is>
      </c>
      <c r="D15" s="7" t="inlineStr">
        <is>
          <t>Samsung Galaxy S24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Reconciliation kept MD-00011 at In Use (Seattle) once transfers and HR were read. HR agrees Maya Fontaine (E0011) is still Active. TR-00011 ties to MD-00011; dock date 2026-06-28, approval APR-00011. PO PO-2023-0002 on file; no matching FAR row for MD-00011.</t>
        </is>
      </c>
      <c r="L15" s="7" t="inlineStr">
        <is>
          <t>2026-08-05</t>
        </is>
      </c>
      <c r="M15" s="7" t="n">
        <v>1130</v>
      </c>
      <c r="N15" s="7">
        <f>IFERROR(XLOOKUP(A15,'Source Ledger'!$B$5:$B$133,'Source Ledger'!$G$5:$G$133),"")</f>
        <v>882.5</v>
      </c>
      <c r="O15" s="7">
        <f>IFERROR(XLOOKUP(A15,'Source Ledger'!$B$5:$B$133,'Source Ledger'!$A$5:$A$133),"")</f>
        <v/>
      </c>
      <c r="P15" s="7" t="inlineStr">
        <is>
          <t>No</t>
        </is>
      </c>
      <c r="Q15" s="9" t="inlineStr">
        <is>
          <t>High</t>
        </is>
      </c>
      <c r="R15" s="7" t="inlineStr"/>
      <c r="S15" s="7" t="inlineStr">
        <is>
          <t>No</t>
        </is>
      </c>
      <c r="T15" t="n">
        <v>1130</v>
      </c>
      <c r="U15" t="inlineStr">
        <is>
          <t>Active</t>
        </is>
      </c>
      <c r="V15" t="n">
        <v>882.5</v>
      </c>
      <c r="W15" t="n">
        <v>0</v>
      </c>
      <c r="X15" t="inlineStr">
        <is>
          <t>Yes</t>
        </is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Network Asset</t>
        </is>
      </c>
      <c r="D16" s="7" t="inlineStr">
        <is>
          <t>Cisco C9300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Cisco C9300 tagged MD-00012 remains In Use in Atlanta on the corrected register. HR agrees Ryan Okonkwo (E0012) is still Active. TR-00012 ties to MD-00012; dock date 01/31/2026, approval APR-00012. PO PO-2023-0002 on file; no matching FAR row for MD-00012.</t>
        </is>
      </c>
      <c r="L16" s="7" t="inlineStr">
        <is>
          <t>2026-08-05</t>
        </is>
      </c>
      <c r="M16" s="7" t="n">
        <v>6425</v>
      </c>
      <c r="N16" s="7">
        <f>IFERROR(XLOOKUP(A16,'Source Ledger'!$B$5:$B$133,'Source Ledger'!$G$5:$G$133),"")</f>
        <v>553.23</v>
      </c>
      <c r="O16" s="7">
        <f>IFERROR(XLOOKUP(A16,'Source Ledger'!$B$5:$B$133,'Source Ledger'!$A$5:$A$133),"")</f>
        <v/>
      </c>
      <c r="P16" s="7" t="inlineStr">
        <is>
          <t>Yes</t>
        </is>
      </c>
      <c r="Q16" s="9" t="inlineStr">
        <is>
          <t>High</t>
        </is>
      </c>
      <c r="R16" s="7" t="inlineStr"/>
      <c r="S16" s="7" t="inlineStr">
        <is>
          <t>No</t>
        </is>
      </c>
      <c r="T16" t="n">
        <v>6425</v>
      </c>
      <c r="U16" t="inlineStr">
        <is>
          <t>Active</t>
        </is>
      </c>
      <c r="V16" t="n">
        <v>553.23</v>
      </c>
      <c r="W16" t="n">
        <v>0</v>
      </c>
      <c r="X16" t="inlineStr">
        <is>
          <t>Yes</t>
        </is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Laptop</t>
        </is>
      </c>
      <c r="D17" s="7" t="inlineStr">
        <is>
          <t>Lenovo ThinkPad T14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MD-00013 (Lenovo ThinkPad T14) — In Use / Chicago per the cited movement and people records. People file lists E0013 / Active (Lauren Briggs). Movement TR-00013 posted 02/02/2026 and inbound Feb 06, 2026, approval APR-00013. PO PO-2024-0003 on file; no matching FAR row for MD-00013.</t>
        </is>
      </c>
      <c r="L17" s="7" t="inlineStr">
        <is>
          <t>2026-08-05</t>
        </is>
      </c>
      <c r="M17" s="7" t="n">
        <v>2120</v>
      </c>
      <c r="N17" s="7">
        <f>IFERROR(XLOOKUP(A17,'Source Ledger'!$B$5:$B$133,'Source Ledger'!$G$5:$G$133),"")</f>
        <v>0</v>
      </c>
      <c r="O17" s="7">
        <f>IFERROR(XLOOKUP(A17,'Source Ledger'!$B$5:$B$133,'Source Ledger'!$A$5:$A$133),"")</f>
        <v/>
      </c>
      <c r="P17" s="7" t="inlineStr">
        <is>
          <t>No</t>
        </is>
      </c>
      <c r="Q17" s="9" t="inlineStr">
        <is>
          <t>High</t>
        </is>
      </c>
      <c r="R17" s="7" t="inlineStr"/>
      <c r="S17" s="7" t="inlineStr">
        <is>
          <t>No</t>
        </is>
      </c>
      <c r="T17" t="n">
        <v>2120</v>
      </c>
      <c r="U17" t="inlineStr">
        <is>
          <t>Active</t>
        </is>
      </c>
      <c r="V17" t="n">
        <v>0</v>
      </c>
      <c r="W17" t="n">
        <v>0</v>
      </c>
      <c r="X17" t="inlineStr">
        <is>
          <t>Yes</t>
        </is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U2723QE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Register row MD-00014: verified In Use, location Dallas, cost $520. hr_employee_status shows Nathan Kim (E0014) as Active. TR-00014 ties to MD-00014; dock date 2026-03-09, approval APR-00014. PO PO-2024-0003 on file; no matching FAR row for MD-00014.</t>
        </is>
      </c>
      <c r="L18" s="7" t="inlineStr">
        <is>
          <t>2026-08-05</t>
        </is>
      </c>
      <c r="M18" s="7" t="n">
        <v>520</v>
      </c>
      <c r="N18" s="7">
        <f>IFERROR(XLOOKUP(A18,'Source Ledger'!$B$5:$B$133,'Source Ledger'!$G$5:$G$133),"")</f>
        <v>270.29</v>
      </c>
      <c r="O18" s="7">
        <f>IFERROR(XLOOKUP(A18,'Source Ledger'!$B$5:$B$133,'Source Ledger'!$A$5:$A$133),"")</f>
        <v/>
      </c>
      <c r="P18" s="7" t="inlineStr">
        <is>
          <t>No</t>
        </is>
      </c>
      <c r="Q18" s="9" t="inlineStr">
        <is>
          <t>High</t>
        </is>
      </c>
      <c r="R18" s="7" t="inlineStr"/>
      <c r="S18" s="7" t="inlineStr">
        <is>
          <t>No</t>
        </is>
      </c>
      <c r="T18" t="n">
        <v>520</v>
      </c>
      <c r="U18" t="inlineStr">
        <is>
          <t>Active</t>
        </is>
      </c>
      <c r="V18" t="n">
        <v>270.29</v>
      </c>
      <c r="W18" t="n">
        <v>0</v>
      </c>
      <c r="X18" t="inlineStr">
        <is>
          <t>Yes</t>
        </is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Mobile Device</t>
        </is>
      </c>
      <c r="D19" s="7" t="inlineStr">
        <is>
          <t>Samsung Galaxy S24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Outcome on MD-00015: In Use, Denver, $995 acquisition basis. Custodian Camila Ortiz (E0015) is Active in HR. Movement TR-00015 posted 2026-04-12 and inbound 04/13/2026, approval APR-00015. PO PO-2024-0003 on file; no matching FAR row for MD-00015.</t>
        </is>
      </c>
      <c r="L19" s="7" t="inlineStr">
        <is>
          <t>2026-08-05</t>
        </is>
      </c>
      <c r="M19" s="7" t="n">
        <v>995</v>
      </c>
      <c r="N19" s="7">
        <f>IFERROR(XLOOKUP(A19,'Source Ledger'!$B$5:$B$133,'Source Ledger'!$G$5:$G$133),"")</f>
        <v>559.13</v>
      </c>
      <c r="O19" s="7">
        <f>IFERROR(XLOOKUP(A19,'Source Ledger'!$B$5:$B$133,'Source Ledger'!$A$5:$A$133),"")</f>
        <v/>
      </c>
      <c r="P19" s="7" t="inlineStr">
        <is>
          <t>No</t>
        </is>
      </c>
      <c r="Q19" s="9" t="inlineStr">
        <is>
          <t>High</t>
        </is>
      </c>
      <c r="R19" s="7" t="inlineStr"/>
      <c r="S19" s="7" t="inlineStr">
        <is>
          <t>No</t>
        </is>
      </c>
      <c r="T19" t="n">
        <v>995</v>
      </c>
      <c r="U19" t="inlineStr">
        <is>
          <t>Active</t>
        </is>
      </c>
      <c r="V19" t="n">
        <v>559.13</v>
      </c>
      <c r="W19" t="n">
        <v>0</v>
      </c>
      <c r="X19" t="inlineStr">
        <is>
          <t>Yes</t>
        </is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Network Asset</t>
        </is>
      </c>
      <c r="D20" s="7" t="inlineStr">
        <is>
          <t>Cisco C9300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Cisco C9300 MD-00016 ($6290) reconciled to In Use at New York. hr_employee_status shows Patrick Gallagher (E0016) as Active. TR-00016 ties to MD-00016; dock date May 17, 2026, approval APR-00016. PO PO-2024-0003 on file; no matching FAR row for MD-00016.</t>
        </is>
      </c>
      <c r="L20" s="7" t="inlineStr">
        <is>
          <t>2026-08-05</t>
        </is>
      </c>
      <c r="M20" s="7" t="n">
        <v>6290</v>
      </c>
      <c r="N20" s="7">
        <f>IFERROR(XLOOKUP(A20,'Source Ledger'!$B$5:$B$133,'Source Ledger'!$G$5:$G$133),"")</f>
        <v>968.69</v>
      </c>
      <c r="O20" s="7">
        <f>IFERROR(XLOOKUP(A20,'Source Ledger'!$B$5:$B$133,'Source Ledger'!$A$5:$A$133),"")</f>
        <v/>
      </c>
      <c r="P20" s="7" t="inlineStr">
        <is>
          <t>Yes</t>
        </is>
      </c>
      <c r="Q20" s="9" t="inlineStr">
        <is>
          <t>High</t>
        </is>
      </c>
      <c r="R20" s="7" t="inlineStr"/>
      <c r="S20" s="7" t="inlineStr">
        <is>
          <t>No</t>
        </is>
      </c>
      <c r="T20" t="n">
        <v>6290</v>
      </c>
      <c r="U20" t="inlineStr">
        <is>
          <t>Active</t>
        </is>
      </c>
      <c r="V20" t="n">
        <v>968.69</v>
      </c>
      <c r="W20" t="n">
        <v>0</v>
      </c>
      <c r="X20" t="inlineStr">
        <is>
          <t>Yes</t>
        </is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Laptop</t>
        </is>
      </c>
      <c r="D21" s="7" t="inlineStr">
        <is>
          <t>MacBook Pro 14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MD-00017 (MacBook Pro 14) — In Use / Seattle per the cited movement and people records. No term conflict for E0017; status Active. Transfer TR-00017 shows receipt 2026-06-19, approval APR-00017. PO PO-2024-0003 on file; no matching FAR row for MD-00017.</t>
        </is>
      </c>
      <c r="L21" s="7" t="inlineStr">
        <is>
          <t>2026-08-05</t>
        </is>
      </c>
      <c r="M21" s="7" t="n">
        <v>1985</v>
      </c>
      <c r="N21" s="7">
        <f>IFERROR(XLOOKUP(A21,'Source Ledger'!$B$5:$B$133,'Source Ledger'!$G$5:$G$133),"")</f>
        <v>0</v>
      </c>
      <c r="O21" s="7">
        <f>IFERROR(XLOOKUP(A21,'Source Ledger'!$B$5:$B$133,'Source Ledger'!$A$5:$A$133),"")</f>
        <v/>
      </c>
      <c r="P21" s="7" t="inlineStr"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is>
          <t>No</t>
        </is>
      </c>
      <c r="T21" t="n">
        <v>2070</v>
      </c>
      <c r="U21" t="inlineStr">
        <is>
          <t>Active</t>
        </is>
      </c>
      <c r="V21" t="n">
        <v>0</v>
      </c>
      <c r="W21" t="n">
        <v>85</v>
      </c>
      <c r="X21" t="inlineStr">
        <is>
          <t>Yes</t>
        </is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Dell U2723QE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Location Atlanta and status In Use on MD-00018 match the stronger transaction trail. People file lists E0018 / Active (Theo Barnett). TR-00018 ties to MD-00018; dock date 01/23/2026, approval APR-00018. PO PO-2024-0003 on file; no matching FAR row for MD-00018.</t>
        </is>
      </c>
      <c r="L22" s="7" t="inlineStr">
        <is>
          <t>2026-08-05</t>
        </is>
      </c>
      <c r="M22" s="7" t="n">
        <v>700</v>
      </c>
      <c r="N22" s="7">
        <f>IFERROR(XLOOKUP(A22,'Source Ledger'!$B$5:$B$133,'Source Ledger'!$G$5:$G$133),"")</f>
        <v>412.14</v>
      </c>
      <c r="O22" s="7">
        <f>IFERROR(XLOOKUP(A22,'Source Ledger'!$B$5:$B$133,'Source Ledger'!$A$5:$A$133),"")</f>
        <v/>
      </c>
      <c r="P22" s="7" t="inlineStr">
        <is>
          <t>No</t>
        </is>
      </c>
      <c r="Q22" s="9" t="inlineStr">
        <is>
          <t>High</t>
        </is>
      </c>
      <c r="R22" s="7" t="inlineStr"/>
      <c r="S22" s="7" t="inlineStr">
        <is>
          <t>No</t>
        </is>
      </c>
      <c r="T22" t="n">
        <v>700</v>
      </c>
      <c r="U22" t="inlineStr">
        <is>
          <t>Active</t>
        </is>
      </c>
      <c r="V22" t="n">
        <v>412.14</v>
      </c>
      <c r="W22" t="n">
        <v>0</v>
      </c>
      <c r="X22" t="inlineStr">
        <is>
          <t>Yes</t>
        </is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Mobile Device</t>
        </is>
      </c>
      <c r="D23" s="7" t="inlineStr">
        <is>
          <t>Samsung Galaxy S24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MD-00019 (Samsung Galaxy S24) — In Use / Chicago per the cited movement and people records. HR agrees Jasmine Reed (E0019) is still Active. Transfer TR-00019 shows receipt Feb 26, 2026, approval APR-00019. PO PO-2025-0004 on file; no matching FAR row for MD-00019.</t>
        </is>
      </c>
      <c r="L23" s="7" t="inlineStr">
        <is>
          <t>2026-08-05</t>
        </is>
      </c>
      <c r="M23" s="7" t="n">
        <v>1175</v>
      </c>
      <c r="N23" s="7">
        <f>IFERROR(XLOOKUP(A23,'Source Ledger'!$B$5:$B$133,'Source Ledger'!$G$5:$G$133),"")</f>
        <v>795.4</v>
      </c>
      <c r="O23" s="7">
        <f>IFERROR(XLOOKUP(A23,'Source Ledger'!$B$5:$B$133,'Source Ledger'!$A$5:$A$133),"")</f>
        <v/>
      </c>
      <c r="P23" s="7" t="inlineStr">
        <is>
          <t>No</t>
        </is>
      </c>
      <c r="Q23" s="9" t="inlineStr">
        <is>
          <t>High</t>
        </is>
      </c>
      <c r="R23" s="7" t="inlineStr"/>
      <c r="S23" s="7" t="inlineStr">
        <is>
          <t>No</t>
        </is>
      </c>
      <c r="T23" t="n">
        <v>1175</v>
      </c>
      <c r="U23" t="inlineStr">
        <is>
          <t>Active</t>
        </is>
      </c>
      <c r="V23" t="n">
        <v>795.4</v>
      </c>
      <c r="W23" t="n">
        <v>0</v>
      </c>
      <c r="X23" t="inlineStr">
        <is>
          <t>Yes</t>
        </is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Network Asset</t>
        </is>
      </c>
      <c r="D24" s="7" t="inlineStr">
        <is>
          <t>Cisco C9300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Register row MD-00020: verified In Use, location Dallas, cost $6470. HR agrees Luis Navarro (E0020) is still Active. Movement TR-00020 posted Mar 28, 2026 and inbound 2026-03-30, approval APR-00020. PO PO-2025-0004 on file; no matching FAR row for MD-00020.</t>
        </is>
      </c>
      <c r="L24" s="7" t="inlineStr">
        <is>
          <t>2026-08-05</t>
        </is>
      </c>
      <c r="M24" s="7" t="n">
        <v>6470</v>
      </c>
      <c r="N24" s="7">
        <f>IFERROR(XLOOKUP(A24,'Source Ledger'!$B$5:$B$133,'Source Ledger'!$G$5:$G$133),"")</f>
        <v>1446.34</v>
      </c>
      <c r="O24" s="7">
        <f>IFERROR(XLOOKUP(A24,'Source Ledger'!$B$5:$B$133,'Source Ledger'!$A$5:$A$133),"")</f>
        <v/>
      </c>
      <c r="P24" s="7" t="inlineStr">
        <is>
          <t>Yes</t>
        </is>
      </c>
      <c r="Q24" s="9" t="inlineStr">
        <is>
          <t>High</t>
        </is>
      </c>
      <c r="R24" s="7" t="inlineStr"/>
      <c r="S24" s="7" t="inlineStr">
        <is>
          <t>No</t>
        </is>
      </c>
      <c r="T24" t="n">
        <v>6470</v>
      </c>
      <c r="U24" t="inlineStr">
        <is>
          <t>Active</t>
        </is>
      </c>
      <c r="V24" t="n">
        <v>1446.34</v>
      </c>
      <c r="W24" t="n">
        <v>0</v>
      </c>
      <c r="X24" t="inlineStr">
        <is>
          <t>Yes</t>
        </is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Laptop</t>
        </is>
      </c>
      <c r="D25" s="7" t="inlineStr">
        <is>
          <t>Dell Latitude 7440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Register row MD-00021: verified In Use, location Denver, cost $1850. HR agrees Grace Lindholm (E0021) is still Active. TR-00021 ties to MD-00021; dock date 05/03/2026, approval APR-00021. PO PO-2025-0004 on file; no matching FAR row for MD-00021. Also: duplicate serial MD-LA-050021 flagged on the register.</t>
        </is>
      </c>
      <c r="L25" s="7" t="inlineStr">
        <is>
          <t>2026-08-05</t>
        </is>
      </c>
      <c r="M25" s="7" t="n">
        <v>1850</v>
      </c>
      <c r="N25" s="7">
        <f>IFERROR(XLOOKUP(A25,'Source Ledger'!$B$5:$B$133,'Source Ledger'!$G$5:$G$133),"")</f>
        <v>124.52</v>
      </c>
      <c r="O25" s="7">
        <f>IFERROR(XLOOKUP(A25,'Source Ledger'!$B$5:$B$133,'Source Ledger'!$A$5:$A$133),"")</f>
        <v/>
      </c>
      <c r="P25" s="7" t="inlineStr"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is>
          <t>No</t>
        </is>
      </c>
      <c r="T25" t="n">
        <v>1850</v>
      </c>
      <c r="U25" t="inlineStr">
        <is>
          <t>Active</t>
        </is>
      </c>
      <c r="V25" t="n">
        <v>124.52</v>
      </c>
      <c r="W25" t="n">
        <v>0</v>
      </c>
      <c r="X25" t="inlineStr">
        <is>
          <t>Yes</t>
        </is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Dell U2723QE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Reconciliation kept MD-00022 at In Use (New York) once transfers and HR were read. Employment check: E0022 remains Active. Movement TR-00022 posted 06/03/2026 and inbound Jun 05, 2026, approval APR-00022. PO PO-2025-0004 on file; no matching FAR row for MD-00022.</t>
        </is>
      </c>
      <c r="L26" s="7" t="inlineStr">
        <is>
          <t>2026-08-05</t>
        </is>
      </c>
      <c r="M26" s="7" t="n">
        <v>565</v>
      </c>
      <c r="N26" s="7">
        <f>IFERROR(XLOOKUP(A26,'Source Ledger'!$B$5:$B$133,'Source Ledger'!$G$5:$G$133),"")</f>
        <v>371.95</v>
      </c>
      <c r="O26" s="7">
        <f>IFERROR(XLOOKUP(A26,'Source Ledger'!$B$5:$B$133,'Source Ledger'!$A$5:$A$133),"")</f>
        <v/>
      </c>
      <c r="P26" s="7" t="inlineStr">
        <is>
          <t>No</t>
        </is>
      </c>
      <c r="Q26" s="9" t="inlineStr">
        <is>
          <t>High</t>
        </is>
      </c>
      <c r="R26" s="7" t="inlineStr"/>
      <c r="S26" s="7" t="inlineStr">
        <is>
          <t>No</t>
        </is>
      </c>
      <c r="T26" t="n">
        <v>565</v>
      </c>
      <c r="U26" t="inlineStr">
        <is>
          <t>Active</t>
        </is>
      </c>
      <c r="V26" t="n">
        <v>371.95</v>
      </c>
      <c r="W26" t="n">
        <v>0</v>
      </c>
      <c r="X26" t="inlineStr">
        <is>
          <t>Yes</t>
        </is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Mobile Device</t>
        </is>
      </c>
      <c r="D27" s="7" t="inlineStr">
        <is>
          <t>Samsung Galaxy S24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Samsung Galaxy S24 tagged MD-00023 remains In Use in Seattle on the corrected register. HR agrees Nina Kowalski (E0023) is still Active. Movement TR-00023 posted Jul 08, 2026 and inbound 2026-07-09, approval APR-00023. PO PO-2025-0004 on file; no matching FAR row for MD-00023.</t>
        </is>
      </c>
      <c r="L27" s="7" t="inlineStr">
        <is>
          <t>2026-08-05</t>
        </is>
      </c>
      <c r="M27" s="7" t="n">
        <v>1040</v>
      </c>
      <c r="N27" s="7">
        <f>IFERROR(XLOOKUP(A27,'Source Ledger'!$B$5:$B$133,'Source Ledger'!$G$5:$G$133),"")</f>
        <v>823.6</v>
      </c>
      <c r="O27" s="7">
        <f>IFERROR(XLOOKUP(A27,'Source Ledger'!$B$5:$B$133,'Source Ledger'!$A$5:$A$133),"")</f>
        <v/>
      </c>
      <c r="P27" s="7" t="inlineStr">
        <is>
          <t>No</t>
        </is>
      </c>
      <c r="Q27" s="9" t="inlineStr">
        <is>
          <t>High</t>
        </is>
      </c>
      <c r="R27" s="7" t="inlineStr"/>
      <c r="S27" s="7" t="inlineStr">
        <is>
          <t>No</t>
        </is>
      </c>
      <c r="T27" t="n">
        <v>1040</v>
      </c>
      <c r="U27" t="inlineStr">
        <is>
          <t>Active</t>
        </is>
      </c>
      <c r="V27" t="n">
        <v>823.6</v>
      </c>
      <c r="W27" t="n">
        <v>0</v>
      </c>
      <c r="X27" t="inlineStr">
        <is>
          <t>Yes</t>
        </is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Network Asset</t>
        </is>
      </c>
      <c r="D28" s="7" t="inlineStr">
        <is>
          <t>Cisco C9300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MD-00024 (Cisco C9300) — In Use / Atlanta per the cited movement and people records. Custodian Chris Daley (E0024) is Active in HR. Transfer TR-00024 shows receipt 01/21/2026, approval APR-00024. PO PO-2025-0004 on file; no matching FAR row for MD-00024.</t>
        </is>
      </c>
      <c r="L28" s="7" t="inlineStr">
        <is>
          <t>2026-08-05</t>
        </is>
      </c>
      <c r="M28" s="7" t="n">
        <v>6335</v>
      </c>
      <c r="N28" s="7">
        <f>IFERROR(XLOOKUP(A28,'Source Ledger'!$B$5:$B$133,'Source Ledger'!$G$5:$G$133),"")</f>
        <v>503.85</v>
      </c>
      <c r="O28" s="7">
        <f>IFERROR(XLOOKUP(A28,'Source Ledger'!$B$5:$B$133,'Source Ledger'!$A$5:$A$133),"")</f>
        <v/>
      </c>
      <c r="P28" s="7" t="inlineStr">
        <is>
          <t>Yes</t>
        </is>
      </c>
      <c r="Q28" s="9" t="inlineStr">
        <is>
          <t>High</t>
        </is>
      </c>
      <c r="R28" s="7" t="inlineStr"/>
      <c r="S28" s="7" t="inlineStr">
        <is>
          <t>No</t>
        </is>
      </c>
      <c r="T28" t="n">
        <v>6335</v>
      </c>
      <c r="U28" t="inlineStr">
        <is>
          <t>Active</t>
        </is>
      </c>
      <c r="V28" t="n">
        <v>503.85</v>
      </c>
      <c r="W28" t="n">
        <v>0</v>
      </c>
      <c r="X28" t="inlineStr">
        <is>
          <t>Yes</t>
        </is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Laptop</t>
        </is>
      </c>
      <c r="D29" s="7" t="inlineStr">
        <is>
          <t>Lenovo ThinkPad T14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Outcome on MD-00025: In Use, Chicago, $2030 acquisition basis. No term conflict for E0025; status Active. equipment_transfer_log TR-00025, approval APR-00025; received Jan 22, 2026. PO PO-2022-0005 on file; no matching FAR row for MD-00025. duplicate serial MD-LA-050021 flagged on the register.</t>
        </is>
      </c>
      <c r="L29" s="7" t="inlineStr">
        <is>
          <t>2026-08-05</t>
        </is>
      </c>
      <c r="M29" s="7" t="n">
        <v>2030</v>
      </c>
      <c r="N29" s="7">
        <f>IFERROR(XLOOKUP(A29,'Source Ledger'!$B$5:$B$133,'Source Ledger'!$G$5:$G$133),"")</f>
        <v>0</v>
      </c>
      <c r="O29" s="7">
        <f>IFERROR(XLOOKUP(A29,'Source Ledger'!$B$5:$B$133,'Source Ledger'!$A$5:$A$133),"")</f>
        <v/>
      </c>
      <c r="P29" s="7" t="inlineStr"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No</t>
        </is>
      </c>
      <c r="T29" t="n">
        <v>2030</v>
      </c>
      <c r="U29" t="inlineStr">
        <is>
          <t>Active</t>
        </is>
      </c>
      <c r="V29" t="n">
        <v>0</v>
      </c>
      <c r="W29" t="n">
        <v>0</v>
      </c>
      <c r="X29" t="inlineStr">
        <is>
          <t>Yes</t>
        </is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Dell U2723QE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After cross-file review, MD-00026 stays In Use in Dallas. HR agrees Brendan Walsh (E0026) is still Active. Transfer TR-00026 shows receipt 2026-02-27, approval APR-00026. PO PO-2022-0005 on file; no matching FAR row for MD-00026.</t>
        </is>
      </c>
      <c r="L30" s="7" t="inlineStr">
        <is>
          <t>2026-08-05</t>
        </is>
      </c>
      <c r="M30" s="7" t="n">
        <v>745</v>
      </c>
      <c r="N30" s="7">
        <f>IFERROR(XLOOKUP(A30,'Source Ledger'!$B$5:$B$133,'Source Ledger'!$G$5:$G$133),"")</f>
        <v>382.34</v>
      </c>
      <c r="O30" s="7">
        <f>IFERROR(XLOOKUP(A30,'Source Ledger'!$B$5:$B$133,'Source Ledger'!$A$5:$A$133),"")</f>
        <v/>
      </c>
      <c r="P30" s="7" t="inlineStr"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is>
          <t>No</t>
        </is>
      </c>
      <c r="T30" t="n">
        <v>745</v>
      </c>
      <c r="U30" t="inlineStr">
        <is>
          <t>Active</t>
        </is>
      </c>
      <c r="V30" t="n">
        <v>382.34</v>
      </c>
      <c r="W30" t="n">
        <v>0</v>
      </c>
      <c r="X30" t="inlineStr">
        <is>
          <t>Yes</t>
        </is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Mobile Device</t>
        </is>
      </c>
      <c r="D31" s="7" t="inlineStr">
        <is>
          <t>Samsung Galaxy S24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Register row MD-00027: verified In Use, location Denver, cost $1220. People file lists E0027 / Active (Yuki Tanaka). Transfer TR-00027 shows receipt 04/06/2026, approval APR-00027. PO PO-2022-0005 on file; no matching FAR row for MD-00027.</t>
        </is>
      </c>
      <c r="L31" s="7" t="inlineStr">
        <is>
          <t>2026-08-05</t>
        </is>
      </c>
      <c r="M31" s="7" t="n">
        <v>1220</v>
      </c>
      <c r="N31" s="7">
        <f>IFERROR(XLOOKUP(A31,'Source Ledger'!$B$5:$B$133,'Source Ledger'!$G$5:$G$133),"")</f>
        <v>672.21</v>
      </c>
      <c r="O31" s="7">
        <f>IFERROR(XLOOKUP(A31,'Source Ledger'!$B$5:$B$133,'Source Ledger'!$A$5:$A$133),"")</f>
        <v/>
      </c>
      <c r="P31" s="7" t="inlineStr"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is>
          <t>No</t>
        </is>
      </c>
      <c r="T31" t="n">
        <v>1220</v>
      </c>
      <c r="U31" t="inlineStr">
        <is>
          <t>Active</t>
        </is>
      </c>
      <c r="V31" t="n">
        <v>672.21</v>
      </c>
      <c r="W31" t="n">
        <v>0</v>
      </c>
      <c r="X31" t="inlineStr">
        <is>
          <t>Yes</t>
        </is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Network Asset</t>
        </is>
      </c>
      <c r="D32" s="7" t="inlineStr">
        <is>
          <t>Cisco C9300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Cisco C9300 tagged MD-00028 remains In Use in New York on the corrected register. hr_employee_status shows Megan Copeland (E0028) as Active. TR-00028 ties to MD-00028; dock date May 02, 2026, approval APR-00028. PO PO-2022-0005 on file; no matching FAR row for MD-00028.</t>
        </is>
      </c>
      <c r="L32" s="7" t="inlineStr">
        <is>
          <t>2026-08-05</t>
        </is>
      </c>
      <c r="M32" s="7" t="n">
        <v>6200</v>
      </c>
      <c r="N32" s="7">
        <f>IFERROR(XLOOKUP(A32,'Source Ledger'!$B$5:$B$133,'Source Ledger'!$G$5:$G$133),"")</f>
        <v>914.09</v>
      </c>
      <c r="O32" s="7">
        <f>IFERROR(XLOOKUP(A32,'Source Ledger'!$B$5:$B$133,'Source Ledger'!$A$5:$A$133),"")</f>
        <v/>
      </c>
      <c r="P32" s="7" t="inlineStr"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is>
          <t>No</t>
        </is>
      </c>
      <c r="T32" t="n">
        <v>6200</v>
      </c>
      <c r="U32" t="inlineStr">
        <is>
          <t>Active</t>
        </is>
      </c>
      <c r="V32" t="n">
        <v>914.09</v>
      </c>
      <c r="W32" t="n">
        <v>0</v>
      </c>
      <c r="X32" t="inlineStr">
        <is>
          <t>Yes</t>
        </is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Laptop</t>
        </is>
      </c>
      <c r="D33" s="7" t="inlineStr">
        <is>
          <t>MacBook Pro 14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Location Seattle and status In Use on MD-00029 match the stronger transaction trail. Employment check: E0029 remains Active. Transfer TR-00029 shows receipt 2026-06-11, approval APR-00029. PO PO-2022-0005 on file; no matching FAR row for MD-00029.</t>
        </is>
      </c>
      <c r="L33" s="7" t="inlineStr">
        <is>
          <t>2026-08-05</t>
        </is>
      </c>
      <c r="M33" s="7" t="n">
        <v>1895</v>
      </c>
      <c r="N33" s="7">
        <f>IFERROR(XLOOKUP(A33,'Source Ledger'!$B$5:$B$133,'Source Ledger'!$G$5:$G$133),"")</f>
        <v>0</v>
      </c>
      <c r="O33" s="7">
        <f>IFERROR(XLOOKUP(A33,'Source Ledger'!$B$5:$B$133,'Source Ledger'!$A$5:$A$133),"")</f>
        <v/>
      </c>
      <c r="P33" s="7" t="inlineStr"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is>
          <t>No</t>
        </is>
      </c>
      <c r="T33" t="n">
        <v>1895</v>
      </c>
      <c r="U33" t="inlineStr">
        <is>
          <t>Active</t>
        </is>
      </c>
      <c r="V33" t="n">
        <v>0</v>
      </c>
      <c r="W33" t="n">
        <v>0</v>
      </c>
      <c r="X33" t="inlineStr">
        <is>
          <t>Yes</t>
        </is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Dell U2723QE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Location Atlanta and status In Use on MD-00030 match the stronger transaction trail. No term conflict for E0030; status Active. TR-00030 ties to MD-00030; dock date 01/13/2026, approval APR-00030. PO PO-2022-0005 on file; no matching FAR row for MD-00030.</t>
        </is>
      </c>
      <c r="L34" s="7" t="inlineStr">
        <is>
          <t>2026-08-05</t>
        </is>
      </c>
      <c r="M34" s="7" t="n">
        <v>610</v>
      </c>
      <c r="N34" s="7">
        <f>IFERROR(XLOOKUP(A34,'Source Ledger'!$B$5:$B$133,'Source Ledger'!$G$5:$G$133),"")</f>
        <v>355.14</v>
      </c>
      <c r="O34" s="7">
        <f>IFERROR(XLOOKUP(A34,'Source Ledger'!$B$5:$B$133,'Source Ledger'!$A$5:$A$133),"")</f>
        <v/>
      </c>
      <c r="P34" s="7" t="inlineStr"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is>
          <t>No</t>
        </is>
      </c>
      <c r="T34" t="n">
        <v>610</v>
      </c>
      <c r="U34" t="inlineStr">
        <is>
          <t>Active</t>
        </is>
      </c>
      <c r="V34" t="n">
        <v>355.14</v>
      </c>
      <c r="W34" t="n">
        <v>0</v>
      </c>
      <c r="X34" t="inlineStr">
        <is>
          <t>Yes</t>
        </is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Mobile Device</t>
        </is>
      </c>
      <c r="D35" s="7" t="inlineStr">
        <is>
          <t>Samsung Galaxy S24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After cross-file review, MD-00031 stays In Use in Chicago. Custodian Keith Moreau (E0031) is Active in HR. equipment_transfer_log TR-00031, approval APR-00031; received Feb 11, 2026. PO PO-2023-0006 on file; no matching FAR row for MD-00031.</t>
        </is>
      </c>
      <c r="L35" s="7" t="inlineStr">
        <is>
          <t>2026-08-05</t>
        </is>
      </c>
      <c r="M35" s="7" t="n">
        <v>1085</v>
      </c>
      <c r="N35" s="7">
        <f>IFERROR(XLOOKUP(A35,'Source Ledger'!$B$5:$B$133,'Source Ledger'!$G$5:$G$133),"")</f>
        <v>722.59</v>
      </c>
      <c r="O35" s="7">
        <f>IFERROR(XLOOKUP(A35,'Source Ledger'!$B$5:$B$133,'Source Ledger'!$A$5:$A$133),"")</f>
        <v/>
      </c>
      <c r="P35" s="7" t="inlineStr"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is>
          <t>No</t>
        </is>
      </c>
      <c r="T35" t="n">
        <v>1085</v>
      </c>
      <c r="U35" t="inlineStr">
        <is>
          <t>Active</t>
        </is>
      </c>
      <c r="V35" t="n">
        <v>722.59</v>
      </c>
      <c r="W35" t="n">
        <v>0</v>
      </c>
      <c r="X35" t="inlineStr">
        <is>
          <t>Yes</t>
        </is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Network Asset</t>
        </is>
      </c>
      <c r="D36" s="7" t="inlineStr">
        <is>
          <t>Cisco C9300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After cross-file review, MD-00032 stays In Use in Dallas. No term conflict for E0032; status Active. Transfer TR-00032 shows receipt 2026-03-22, approval APR-00032. PO PO-2023-0006 on file; no matching FAR row for MD-00032.</t>
        </is>
      </c>
      <c r="L36" s="7" t="inlineStr">
        <is>
          <t>2026-08-05</t>
        </is>
      </c>
      <c r="M36" s="7" t="n">
        <v>6380</v>
      </c>
      <c r="N36" s="7">
        <f>IFERROR(XLOOKUP(A36,'Source Ledger'!$B$5:$B$133,'Source Ledger'!$G$5:$G$133),"")</f>
        <v>1384.3</v>
      </c>
      <c r="O36" s="7">
        <f>IFERROR(XLOOKUP(A36,'Source Ledger'!$B$5:$B$133,'Source Ledger'!$A$5:$A$133),"")</f>
        <v/>
      </c>
      <c r="P36" s="7" t="inlineStr"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is>
          <t>No</t>
        </is>
      </c>
      <c r="T36" t="n">
        <v>6380</v>
      </c>
      <c r="U36" t="inlineStr">
        <is>
          <t>Active</t>
        </is>
      </c>
      <c r="V36" t="n">
        <v>1384.3</v>
      </c>
      <c r="W36" t="n">
        <v>0</v>
      </c>
      <c r="X36" t="inlineStr">
        <is>
          <t>Yes</t>
        </is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Laptop</t>
        </is>
      </c>
      <c r="D37" s="7" t="inlineStr">
        <is>
          <t>Dell Latitude 7440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Reconciliation kept MD-00033 at In Use (Denver) once transfers and HR were read. People file lists E0033 / Active (Jordan Blake). Movement TR-00033 posted 2026-04-20 and inbound 04/22/2026, approval APR-00033. PO PO-2023-0006 on file; no matching FAR row for MD-00033.</t>
        </is>
      </c>
      <c r="L37" s="7" t="inlineStr">
        <is>
          <t>2026-08-05</t>
        </is>
      </c>
      <c r="M37" s="7" t="n">
        <v>2075</v>
      </c>
      <c r="N37" s="7">
        <f>IFERROR(XLOOKUP(A37,'Source Ledger'!$B$5:$B$133,'Source Ledger'!$G$5:$G$133),"")</f>
        <v>116.93</v>
      </c>
      <c r="O37" s="7">
        <f>IFERROR(XLOOKUP(A37,'Source Ledger'!$B$5:$B$133,'Source Ledger'!$A$5:$A$133),"")</f>
        <v/>
      </c>
      <c r="P37" s="7" t="inlineStr"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is>
          <t>No</t>
        </is>
      </c>
      <c r="T37" t="n">
        <v>2075</v>
      </c>
      <c r="U37" t="inlineStr">
        <is>
          <t>Active</t>
        </is>
      </c>
      <c r="V37" t="n">
        <v>116.93</v>
      </c>
      <c r="W37" t="n">
        <v>0</v>
      </c>
      <c r="X37" t="inlineStr">
        <is>
          <t>Yes</t>
        </is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Dell U2723QE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Verified outcome for MD-00034: In Use at New York; acquisition $790. Employment check: E0034 remains Active. TR-00034 ties to MD-00034; dock date May 22, 2026, approval APR-00034. PO PO-2023-0006 on file; no matching FAR row for MD-00034.</t>
        </is>
      </c>
      <c r="L38" s="7" t="inlineStr">
        <is>
          <t>2026-08-05</t>
        </is>
      </c>
      <c r="M38" s="7" t="n">
        <v>790</v>
      </c>
      <c r="N38" s="7">
        <f>IFERROR(XLOOKUP(A38,'Source Ledger'!$B$5:$B$133,'Source Ledger'!$G$5:$G$133),"")</f>
        <v>514.88</v>
      </c>
      <c r="O38" s="7">
        <f>IFERROR(XLOOKUP(A38,'Source Ledger'!$B$5:$B$133,'Source Ledger'!$A$5:$A$133),"")</f>
        <v/>
      </c>
      <c r="P38" s="7" t="inlineStr"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No</t>
        </is>
      </c>
      <c r="T38" t="n">
        <v>930</v>
      </c>
      <c r="U38" t="inlineStr">
        <is>
          <t>Active</t>
        </is>
      </c>
      <c r="V38" t="n">
        <v>514.88</v>
      </c>
      <c r="W38" t="n">
        <v>140</v>
      </c>
      <c r="X38" t="inlineStr">
        <is>
          <t>Yes</t>
        </is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Mobile Device</t>
        </is>
      </c>
      <c r="D39" s="7" t="inlineStr">
        <is>
          <t>Samsung Galaxy S24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MD-00035 (Samsung Galaxy S24) — In Use / Seattle per the cited movement and people records. People file lists E0035 / Active (Rafael Mendes). equipment_transfer_log TR-00035, approval APR-00035; received 2026-06-30. PO PO-2023-0006 on file; no matching FAR row for MD-00035.</t>
        </is>
      </c>
      <c r="L39" s="7" t="inlineStr">
        <is>
          <t>2026-08-05</t>
        </is>
      </c>
      <c r="M39" s="7" t="n">
        <v>950</v>
      </c>
      <c r="N39" s="7">
        <f>IFERROR(XLOOKUP(A39,'Source Ledger'!$B$5:$B$133,'Source Ledger'!$G$5:$G$133),"")</f>
        <v>741.92</v>
      </c>
      <c r="O39" s="7">
        <f>IFERROR(XLOOKUP(A39,'Source Ledger'!$B$5:$B$133,'Source Ledger'!$A$5:$A$133),"")</f>
        <v/>
      </c>
      <c r="P39" s="7" t="inlineStr"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is>
          <t>No</t>
        </is>
      </c>
      <c r="T39" t="n">
        <v>950</v>
      </c>
      <c r="U39" t="inlineStr">
        <is>
          <t>Active</t>
        </is>
      </c>
      <c r="V39" t="n">
        <v>741.92</v>
      </c>
      <c r="W39" t="n">
        <v>0</v>
      </c>
      <c r="X39" t="inlineStr">
        <is>
          <t>Yes</t>
        </is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Network Asset</t>
        </is>
      </c>
      <c r="D40" s="7" t="inlineStr">
        <is>
          <t>Cisco C9300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Outcome on MD-00036: In Use, Atlanta, $6245 acquisition basis. Custodian Kate Sorenson (E0036) is Active in HR. TR-00036 ties to MD-00036; dock date 02/01/2026, approval APR-00036. PO PO-2023-0006 on file; no matching FAR row for MD-00036.</t>
        </is>
      </c>
      <c r="L40" s="7" t="inlineStr">
        <is>
          <t>2026-08-05</t>
        </is>
      </c>
      <c r="M40" s="7" t="n">
        <v>6245</v>
      </c>
      <c r="N40" s="7">
        <f>IFERROR(XLOOKUP(A40,'Source Ledger'!$B$5:$B$133,'Source Ledger'!$G$5:$G$133),"")</f>
        <v>537.73</v>
      </c>
      <c r="O40" s="7">
        <f>IFERROR(XLOOKUP(A40,'Source Ledger'!$B$5:$B$133,'Source Ledger'!$A$5:$A$133),"")</f>
        <v/>
      </c>
      <c r="P40" s="7" t="inlineStr"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is>
          <t>No</t>
        </is>
      </c>
      <c r="T40" t="n">
        <v>6245</v>
      </c>
      <c r="U40" t="inlineStr">
        <is>
          <t>Active</t>
        </is>
      </c>
      <c r="V40" t="n">
        <v>537.73</v>
      </c>
      <c r="W40" t="n">
        <v>0</v>
      </c>
      <c r="X40" t="inlineStr">
        <is>
          <t>Yes</t>
        </is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Laptop</t>
        </is>
      </c>
      <c r="D41" s="7" t="inlineStr">
        <is>
          <t>Lenovo ThinkPad T14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Location Chicago and status In Use on MD-00037 match the stronger transaction trail. No term conflict for E0037; status Active. equipment_transfer_log TR-00037, approval APR-00037; received Feb 02, 2026. PO PO-2024-0007 on file; no matching FAR row for MD-00037.</t>
        </is>
      </c>
      <c r="L41" s="7" t="inlineStr">
        <is>
          <t>2026-08-05</t>
        </is>
      </c>
      <c r="M41" s="7" t="n">
        <v>1940</v>
      </c>
      <c r="N41" s="7">
        <f>IFERROR(XLOOKUP(A41,'Source Ledger'!$B$5:$B$133,'Source Ledger'!$G$5:$G$133),"")</f>
        <v>0</v>
      </c>
      <c r="O41" s="7">
        <f>IFERROR(XLOOKUP(A41,'Source Ledger'!$B$5:$B$133,'Source Ledger'!$A$5:$A$133),"")</f>
        <v/>
      </c>
      <c r="P41" s="7" t="inlineStr"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is>
          <t>No</t>
        </is>
      </c>
      <c r="T41" t="n">
        <v>1940</v>
      </c>
      <c r="U41" t="inlineStr">
        <is>
          <t>Active</t>
        </is>
      </c>
      <c r="V41" t="n">
        <v>0</v>
      </c>
      <c r="W41" t="n">
        <v>0</v>
      </c>
      <c r="X41" t="inlineStr">
        <is>
          <t>Yes</t>
        </is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Monitor</t>
        </is>
      </c>
      <c r="D42" s="7" t="inlineStr">
        <is>
          <t>Dell U2723QE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Register row MD-00038: verified In Use, location Dallas, cost $655. Employment check: E0038 remains Active. Transfer TR-00038 shows receipt 2026-03-11, approval APR-00038. PO PO-2024-0007 on file; no matching FAR row for MD-00038.</t>
        </is>
      </c>
      <c r="L42" s="7" t="inlineStr">
        <is>
          <t>2026-08-05</t>
        </is>
      </c>
      <c r="M42" s="7" t="n">
        <v>655</v>
      </c>
      <c r="N42" s="7">
        <f>IFERROR(XLOOKUP(A42,'Source Ledger'!$B$5:$B$133,'Source Ledger'!$G$5:$G$133),"")</f>
        <v>340.46</v>
      </c>
      <c r="O42" s="7">
        <f>IFERROR(XLOOKUP(A42,'Source Ledger'!$B$5:$B$133,'Source Ledger'!$A$5:$A$133),"")</f>
        <v/>
      </c>
      <c r="P42" s="7" t="inlineStr"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is>
          <t>No</t>
        </is>
      </c>
      <c r="T42" t="n">
        <v>655</v>
      </c>
      <c r="U42" t="inlineStr">
        <is>
          <t>Active</t>
        </is>
      </c>
      <c r="V42" t="n">
        <v>340.46</v>
      </c>
      <c r="W42" t="n">
        <v>0</v>
      </c>
      <c r="X42" t="inlineStr">
        <is>
          <t>Yes</t>
        </is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Samsung Galaxy S24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Samsung Galaxy S24 tagged MD-00039 remains In Use in Denver on the corrected register. Employment check: E0039 remains Active. Transfer TR-00039 shows receipt 04/14/2026, approval APR-00039. PO PO-2024-0007 on file; no matching FAR row for MD-00039.</t>
        </is>
      </c>
      <c r="L43" s="7" t="inlineStr">
        <is>
          <t>2026-08-05</t>
        </is>
      </c>
      <c r="M43" s="7" t="n">
        <v>1130</v>
      </c>
      <c r="N43" s="7">
        <f>IFERROR(XLOOKUP(A43,'Source Ledger'!$B$5:$B$133,'Source Ledger'!$G$5:$G$133),"")</f>
        <v>635</v>
      </c>
      <c r="O43" s="7">
        <f>IFERROR(XLOOKUP(A43,'Source Ledger'!$B$5:$B$133,'Source Ledger'!$A$5:$A$133),"")</f>
        <v/>
      </c>
      <c r="P43" s="7" t="inlineStr"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is>
          <t>No</t>
        </is>
      </c>
      <c r="T43" t="n">
        <v>1130</v>
      </c>
      <c r="U43" t="inlineStr">
        <is>
          <t>Active</t>
        </is>
      </c>
      <c r="V43" t="n">
        <v>635</v>
      </c>
      <c r="W43" t="n">
        <v>0</v>
      </c>
      <c r="X43" t="inlineStr">
        <is>
          <t>Yes</t>
        </is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Network Asset</t>
        </is>
      </c>
      <c r="D44" s="7" t="inlineStr">
        <is>
          <t>Cisco C9300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Cisco C9300 MD-00040 ($6425) reconciled to In Use at New York. Employment check: E0040 remains Active. Transfer TR-00040 shows receipt May 13, 2026, approval APR-00040. PO PO-2024-0007 on file; no matching FAR row for MD-00040.</t>
        </is>
      </c>
      <c r="L44" s="7" t="inlineStr">
        <is>
          <t>2026-08-05</t>
        </is>
      </c>
      <c r="M44" s="7" t="n">
        <v>6425</v>
      </c>
      <c r="N44" s="7">
        <f>IFERROR(XLOOKUP(A44,'Source Ledger'!$B$5:$B$133,'Source Ledger'!$G$5:$G$133),"")</f>
        <v>989.48</v>
      </c>
      <c r="O44" s="7">
        <f>IFERROR(XLOOKUP(A44,'Source Ledger'!$B$5:$B$133,'Source Ledger'!$A$5:$A$133),"")</f>
        <v/>
      </c>
      <c r="P44" s="7" t="inlineStr"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is>
          <t>No</t>
        </is>
      </c>
      <c r="T44" t="n">
        <v>6425</v>
      </c>
      <c r="U44" t="inlineStr">
        <is>
          <t>Active</t>
        </is>
      </c>
      <c r="V44" t="n">
        <v>989.48</v>
      </c>
      <c r="W44" t="n">
        <v>0</v>
      </c>
      <c r="X44" t="inlineStr">
        <is>
          <t>Yes</t>
        </is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Laptop</t>
        </is>
      </c>
      <c r="D45" s="7" t="inlineStr">
        <is>
          <t>MacBook Pro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MD-00041 closed as In Use; operating site Seattle; unit cost $2120. Employment check: E0041 remains Active. Transfer TR-00041 shows receipt 2026-06-20, approval APR-00041. PO PO-2024-0007 on file; no matching FAR row for MD-00041.</t>
        </is>
      </c>
      <c r="L45" s="7" t="inlineStr">
        <is>
          <t>2026-08-05</t>
        </is>
      </c>
      <c r="M45" s="7" t="n">
        <v>2120</v>
      </c>
      <c r="N45" s="7">
        <f>IFERROR(XLOOKUP(A45,'Source Ledger'!$B$5:$B$133,'Source Ledger'!$G$5:$G$133),"")</f>
        <v>0</v>
      </c>
      <c r="O45" s="7">
        <f>IFERROR(XLOOKUP(A45,'Source Ledger'!$B$5:$B$133,'Source Ledger'!$A$5:$A$133),"")</f>
        <v/>
      </c>
      <c r="P45" s="7" t="inlineStr"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is>
          <t>No</t>
        </is>
      </c>
      <c r="T45" t="n">
        <v>2120</v>
      </c>
      <c r="U45" t="inlineStr">
        <is>
          <t>Active</t>
        </is>
      </c>
      <c r="V45" t="n">
        <v>0</v>
      </c>
      <c r="W45" t="n">
        <v>0</v>
      </c>
      <c r="X45" t="inlineStr">
        <is>
          <t>Yes</t>
        </is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Monitor</t>
        </is>
      </c>
      <c r="D46" s="7" t="inlineStr">
        <is>
          <t>Dell U2723QE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Dell U2723QE MD-00042 ($520) reconciled to In Use at Atlanta. People file lists E0042 / Active (Claudia Rossi). equipment_transfer_log TR-00042, approval APR-00042; received 01/24/2026. PO PO-2024-0007 on file; no matching FAR row for MD-00042.</t>
        </is>
      </c>
      <c r="L46" s="7" t="inlineStr">
        <is>
          <t>2026-08-05</t>
        </is>
      </c>
      <c r="M46" s="7" t="n">
        <v>520</v>
      </c>
      <c r="N46" s="7">
        <f>IFERROR(XLOOKUP(A46,'Source Ledger'!$B$5:$B$133,'Source Ledger'!$G$5:$G$133),"")</f>
        <v>306.16</v>
      </c>
      <c r="O46" s="7">
        <f>IFERROR(XLOOKUP(A46,'Source Ledger'!$B$5:$B$133,'Source Ledger'!$A$5:$A$133),"")</f>
        <v/>
      </c>
      <c r="P46" s="7" t="inlineStr"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is>
          <t>No</t>
        </is>
      </c>
      <c r="T46" t="n">
        <v>520</v>
      </c>
      <c r="U46" t="inlineStr">
        <is>
          <t>Active</t>
        </is>
      </c>
      <c r="V46" t="n">
        <v>306.16</v>
      </c>
      <c r="W46" t="n">
        <v>0</v>
      </c>
      <c r="X46" t="inlineStr">
        <is>
          <t>Yes</t>
        </is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Samsung Galaxy S24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Verified outcome for MD-00043: In Use at Chicago; acquisition $995. No term conflict for E0043; status Active. Movement TR-00043 posted 02/23/2026 and inbound Mar 01, 2026, approval APR-00043. PO PO-2025-0008 on file; no matching FAR row for MD-00043.</t>
        </is>
      </c>
      <c r="L47" s="7" t="inlineStr">
        <is>
          <t>2026-08-05</t>
        </is>
      </c>
      <c r="M47" s="7" t="n">
        <v>995</v>
      </c>
      <c r="N47" s="7">
        <f>IFERROR(XLOOKUP(A47,'Source Ledger'!$B$5:$B$133,'Source Ledger'!$G$5:$G$133),"")</f>
        <v>673.55</v>
      </c>
      <c r="O47" s="7">
        <f>IFERROR(XLOOKUP(A47,'Source Ledger'!$B$5:$B$133,'Source Ledger'!$A$5:$A$133),"")</f>
        <v/>
      </c>
      <c r="P47" s="7" t="inlineStr"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is>
          <t>No</t>
        </is>
      </c>
      <c r="T47" t="n">
        <v>995</v>
      </c>
      <c r="U47" t="inlineStr">
        <is>
          <t>Active</t>
        </is>
      </c>
      <c r="V47" t="n">
        <v>673.55</v>
      </c>
      <c r="W47" t="n">
        <v>0</v>
      </c>
      <c r="X47" t="inlineStr">
        <is>
          <t>Yes</t>
        </is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Network Asset</t>
        </is>
      </c>
      <c r="D48" s="7" t="inlineStr">
        <is>
          <t>Cisco C9300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Reconciliation kept MD-00044 at In Use (Dallas) once transfers and HR were read. Custodian Leah Okada (E0044) is Active in HR. Movement TR-00044 posted Mar 28, 2026 and inbound 2026-03-31, approval APR-00044. PO PO-2025-0008 on file; no matching FAR row for MD-00044.</t>
        </is>
      </c>
      <c r="L48" s="7" t="inlineStr">
        <is>
          <t>2026-08-05</t>
        </is>
      </c>
      <c r="M48" s="7" t="n">
        <v>6290</v>
      </c>
      <c r="N48" s="7">
        <f>IFERROR(XLOOKUP(A48,'Source Ledger'!$B$5:$B$133,'Source Ledger'!$G$5:$G$133),"")</f>
        <v>1406.1</v>
      </c>
      <c r="O48" s="7">
        <f>IFERROR(XLOOKUP(A48,'Source Ledger'!$B$5:$B$133,'Source Ledger'!$A$5:$A$133),"")</f>
        <v/>
      </c>
      <c r="P48" s="7" t="inlineStr"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is>
          <t>No</t>
        </is>
      </c>
      <c r="T48" t="n">
        <v>6290</v>
      </c>
      <c r="U48" t="inlineStr">
        <is>
          <t>Active</t>
        </is>
      </c>
      <c r="V48" t="n">
        <v>1406.1</v>
      </c>
      <c r="W48" t="n">
        <v>0</v>
      </c>
      <c r="X48" t="inlineStr">
        <is>
          <t>Yes</t>
        </is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Laptop</t>
        </is>
      </c>
      <c r="D49" s="7" t="inlineStr">
        <is>
          <t>Dell Latitude 7440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MD-00045 closed as In Use; operating site Denver; unit cost $1985. No term conflict for E0045; status Active. equipment_transfer_log TR-00045, approval APR-00045; received 05/03/2026. PO PO-2025-0008 on file; no matching FAR row for MD-00045.</t>
        </is>
      </c>
      <c r="L49" s="7" t="inlineStr">
        <is>
          <t>2026-08-05</t>
        </is>
      </c>
      <c r="M49" s="7" t="n">
        <v>1985</v>
      </c>
      <c r="N49" s="7">
        <f>IFERROR(XLOOKUP(A49,'Source Ledger'!$B$5:$B$133,'Source Ledger'!$G$5:$G$133),"")</f>
        <v>133.6</v>
      </c>
      <c r="O49" s="7">
        <f>IFERROR(XLOOKUP(A49,'Source Ledger'!$B$5:$B$133,'Source Ledger'!$A$5:$A$133),"")</f>
        <v/>
      </c>
      <c r="P49" s="7" t="inlineStr"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is>
          <t>No</t>
        </is>
      </c>
      <c r="T49" t="n">
        <v>1985</v>
      </c>
      <c r="U49" t="inlineStr">
        <is>
          <t>Active</t>
        </is>
      </c>
      <c r="V49" t="n">
        <v>133.6</v>
      </c>
      <c r="W49" t="n">
        <v>0</v>
      </c>
      <c r="X49" t="inlineStr">
        <is>
          <t>Yes</t>
        </is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Monitor</t>
        </is>
      </c>
      <c r="D50" s="7" t="inlineStr">
        <is>
          <t>Dell U2723QE</t>
        </is>
      </c>
      <c r="E50" s="7" t="inlineStr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After cross-file review, MD-00046 stays Available in New York. Transfer TR-00046 shows receipt Jun 07, 2026, approval APR-00046. PO PO-2025-0008 on file; no matching FAR row for MD-00046.</t>
        </is>
      </c>
      <c r="L50" s="7" t="inlineStr">
        <is>
          <t>2026-05-24</t>
        </is>
      </c>
      <c r="M50" s="7" t="n">
        <v>700</v>
      </c>
      <c r="N50" s="7">
        <f>IFERROR(XLOOKUP(A50,'Source Ledger'!$B$5:$B$133,'Source Ledger'!$G$5:$G$133),"")</f>
        <v>460.82</v>
      </c>
      <c r="O50" s="7">
        <f>IFERROR(XLOOKUP(A50,'Source Ledger'!$B$5:$B$133,'Source Ledger'!$A$5:$A$133),"")</f>
        <v/>
      </c>
      <c r="P50" s="7" t="inlineStr"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is>
          <t>No</t>
        </is>
      </c>
      <c r="T50" t="n">
        <v>700</v>
      </c>
      <c r="U50" t="inlineStr">
        <is>
          <t>Active</t>
        </is>
      </c>
      <c r="V50" t="n">
        <v>460.82</v>
      </c>
      <c r="W50" t="n">
        <v>0</v>
      </c>
      <c r="X50" t="inlineStr">
        <is>
          <t>Yes</t>
        </is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inlineStr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Outcome on MD-00047: Available, Seattle, $1175 acquisition basis. Transfer TR-00047 shows receipt 2026-07-10, approval APR-00047. PO PO-2025-0008 on file; no matching FAR row for MD-00047.</t>
        </is>
      </c>
      <c r="L51" s="7" t="inlineStr">
        <is>
          <t>2026-06-25</t>
        </is>
      </c>
      <c r="M51" s="7" t="n">
        <v>1175</v>
      </c>
      <c r="N51" s="7">
        <f>IFERROR(XLOOKUP(A51,'Source Ledger'!$B$5:$B$133,'Source Ledger'!$G$5:$G$133),"")</f>
        <v>930.51</v>
      </c>
      <c r="O51" s="7">
        <f>IFERROR(XLOOKUP(A51,'Source Ledger'!$B$5:$B$133,'Source Ledger'!$A$5:$A$133),"")</f>
        <v/>
      </c>
      <c r="P51" s="7" t="inlineStr"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is>
          <t>No</t>
        </is>
      </c>
      <c r="T51" t="n">
        <v>1175</v>
      </c>
      <c r="U51" t="inlineStr">
        <is>
          <t>Active</t>
        </is>
      </c>
      <c r="V51" t="n">
        <v>930.51</v>
      </c>
      <c r="W51" t="n">
        <v>0</v>
      </c>
      <c r="X51" t="inlineStr">
        <is>
          <t>Yes</t>
        </is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Network Asset</t>
        </is>
      </c>
      <c r="D52" s="7" t="inlineStr">
        <is>
          <t>Cisco C9300</t>
        </is>
      </c>
      <c r="E52" s="7" t="inlineStr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Verified outcome for MD-00048: Available at Atlanta; acquisition $6470. Movement TR-00048 posted 2026-01-18 and inbound 01/24/2026, approval APR-00048. PO PO-2025-0008 on file; no matching FAR row for MD-00048.</t>
        </is>
      </c>
      <c r="L52" s="7" t="inlineStr">
        <is>
          <t>2026-01-02</t>
        </is>
      </c>
      <c r="M52" s="7" t="n">
        <v>6470</v>
      </c>
      <c r="N52" s="7">
        <f>IFERROR(XLOOKUP(A52,'Source Ledger'!$B$5:$B$133,'Source Ledger'!$G$5:$G$133),"")</f>
        <v>514.59</v>
      </c>
      <c r="O52" s="7">
        <f>IFERROR(XLOOKUP(A52,'Source Ledger'!$B$5:$B$133,'Source Ledger'!$A$5:$A$133),"")</f>
        <v/>
      </c>
      <c r="P52" s="7" t="inlineStr"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is>
          <t>No</t>
        </is>
      </c>
      <c r="T52" t="n">
        <v>6470</v>
      </c>
      <c r="U52" t="inlineStr">
        <is>
          <t>Active</t>
        </is>
      </c>
      <c r="V52" t="n">
        <v>514.59</v>
      </c>
      <c r="W52" t="n">
        <v>0</v>
      </c>
      <c r="X52" t="inlineStr">
        <is>
          <t>Yes</t>
        </is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Laptop</t>
        </is>
      </c>
      <c r="D53" s="7" t="inlineStr">
        <is>
          <t>Lenovo ThinkPad T14</t>
        </is>
      </c>
      <c r="E53" s="7" t="inlineStr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Verified outcome for MD-00049: Available at Chicago; acquisition $1850. TR-00049 ties to MD-00049; dock date Jan 23, 2026, approval APR-00049. PO PO-2022-0009 on file; no matching FAR row for MD-00049.</t>
        </is>
      </c>
      <c r="L53" s="7" t="inlineStr">
        <is>
          <t>2026-02-03</t>
        </is>
      </c>
      <c r="M53" s="7" t="n">
        <v>1850</v>
      </c>
      <c r="N53" s="7">
        <f>IFERROR(XLOOKUP(A53,'Source Ledger'!$B$5:$B$133,'Source Ledger'!$G$5:$G$133),"")</f>
        <v>0</v>
      </c>
      <c r="O53" s="7">
        <f>IFERROR(XLOOKUP(A53,'Source Ledger'!$B$5:$B$133,'Source Ledger'!$A$5:$A$133),"")</f>
        <v/>
      </c>
      <c r="P53" s="7" t="inlineStr"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is>
          <t>No</t>
        </is>
      </c>
      <c r="T53" t="n">
        <v>1850</v>
      </c>
      <c r="U53" t="inlineStr">
        <is>
          <t>Active</t>
        </is>
      </c>
      <c r="V53" t="n">
        <v>0</v>
      </c>
      <c r="W53" t="n">
        <v>0</v>
      </c>
      <c r="X53" t="inlineStr">
        <is>
          <t>Yes</t>
        </is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Monitor</t>
        </is>
      </c>
      <c r="D54" s="7" t="inlineStr">
        <is>
          <t>Dell U2723QE</t>
        </is>
      </c>
      <c r="E54" s="7" t="inlineStr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Dell U2723QE MD-00050 ($565) reconciled to Available at Dallas. Transfer TR-00050 shows receipt 2026-02-23, approval APR-00050. PO PO-2022-0009 on file; no matching FAR row for MD-00050.</t>
        </is>
      </c>
      <c r="L54" s="7" t="inlineStr">
        <is>
          <t>2026-03-04</t>
        </is>
      </c>
      <c r="M54" s="7" t="n">
        <v>565</v>
      </c>
      <c r="N54" s="7">
        <f>IFERROR(XLOOKUP(A54,'Source Ledger'!$B$5:$B$133,'Source Ledger'!$G$5:$G$133),"")</f>
        <v>289.96</v>
      </c>
      <c r="O54" s="7">
        <f>IFERROR(XLOOKUP(A54,'Source Ledger'!$B$5:$B$133,'Source Ledger'!$A$5:$A$133),"")</f>
        <v/>
      </c>
      <c r="P54" s="7" t="inlineStr"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is>
          <t>No</t>
        </is>
      </c>
      <c r="T54" t="n">
        <v>565</v>
      </c>
      <c r="U54" t="inlineStr">
        <is>
          <t>Active</t>
        </is>
      </c>
      <c r="V54" t="n">
        <v>289.96</v>
      </c>
      <c r="W54" t="n">
        <v>0</v>
      </c>
      <c r="X54" t="inlineStr">
        <is>
          <t>Yes</t>
        </is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inlineStr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Outcome on MD-00051: Available, Denver, $1040 acquisition basis. Transfer TR-00051 shows receipt 03/31/2026, approval APR-00051. PO PO-2022-0009 on file; no matching FAR row for MD-00051.</t>
        </is>
      </c>
      <c r="L55" s="7" t="inlineStr">
        <is>
          <t>2026-04-05</t>
        </is>
      </c>
      <c r="M55" s="7" t="n">
        <v>1040</v>
      </c>
      <c r="N55" s="7">
        <f>IFERROR(XLOOKUP(A55,'Source Ledger'!$B$5:$B$133,'Source Ledger'!$G$5:$G$133),"")</f>
        <v>573.03</v>
      </c>
      <c r="O55" s="7">
        <f>IFERROR(XLOOKUP(A55,'Source Ledger'!$B$5:$B$133,'Source Ledger'!$A$5:$A$133),"")</f>
        <v/>
      </c>
      <c r="P55" s="7" t="inlineStr"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No</t>
        </is>
      </c>
      <c r="T55" t="n">
        <v>1250</v>
      </c>
      <c r="U55" t="inlineStr">
        <is>
          <t>Active</t>
        </is>
      </c>
      <c r="V55" t="n">
        <v>573.03</v>
      </c>
      <c r="W55" t="n">
        <v>210</v>
      </c>
      <c r="X55" t="inlineStr">
        <is>
          <t>Yes</t>
        </is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Network Asset</t>
        </is>
      </c>
      <c r="D56" s="7" t="inlineStr">
        <is>
          <t>Cisco C9300</t>
        </is>
      </c>
      <c r="E56" s="7" t="inlineStr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MD-00052 closed as Available; operating site New York; unit cost $6335. equipment_transfer_log TR-00052, approval APR-00052; received May 02, 2026. PO PO-2022-0009 on file; no matching FAR row for MD-00052.</t>
        </is>
      </c>
      <c r="L56" s="7" t="inlineStr">
        <is>
          <t>2026-05-06</t>
        </is>
      </c>
      <c r="M56" s="7" t="n">
        <v>6335</v>
      </c>
      <c r="N56" s="7">
        <f>IFERROR(XLOOKUP(A56,'Source Ledger'!$B$5:$B$133,'Source Ledger'!$G$5:$G$133),"")</f>
        <v>933.99</v>
      </c>
      <c r="O56" s="7">
        <f>IFERROR(XLOOKUP(A56,'Source Ledger'!$B$5:$B$133,'Source Ledger'!$A$5:$A$133),"")</f>
        <v/>
      </c>
      <c r="P56" s="7" t="inlineStr"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is>
          <t>No</t>
        </is>
      </c>
      <c r="T56" t="n">
        <v>6335</v>
      </c>
      <c r="U56" t="inlineStr">
        <is>
          <t>Active</t>
        </is>
      </c>
      <c r="V56" t="n">
        <v>933.99</v>
      </c>
      <c r="W56" t="n">
        <v>0</v>
      </c>
      <c r="X56" t="inlineStr">
        <is>
          <t>Yes</t>
        </is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Laptop</t>
        </is>
      </c>
      <c r="D57" s="7" t="inlineStr">
        <is>
          <t>MacBook Pro 14</t>
        </is>
      </c>
      <c r="E57" s="7" t="inlineStr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Register row MD-00053: verified Available, location Seattle, cost $2030. TR-00053 ties to MD-00053; dock date 2026-06-05, approval APR-00053. PO PO-2022-0009 on file; no matching FAR row for MD-00053.</t>
        </is>
      </c>
      <c r="L57" s="7" t="inlineStr">
        <is>
          <t>2026-06-07</t>
        </is>
      </c>
      <c r="M57" s="7" t="n">
        <v>2030</v>
      </c>
      <c r="N57" s="7">
        <f>IFERROR(XLOOKUP(A57,'Source Ledger'!$B$5:$B$133,'Source Ledger'!$G$5:$G$133),"")</f>
        <v>0</v>
      </c>
      <c r="O57" s="7">
        <f>IFERROR(XLOOKUP(A57,'Source Ledger'!$B$5:$B$133,'Source Ledger'!$A$5:$A$133),"")</f>
        <v/>
      </c>
      <c r="P57" s="7" t="inlineStr"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is>
          <t>No</t>
        </is>
      </c>
      <c r="T57" t="n">
        <v>2030</v>
      </c>
      <c r="U57" t="inlineStr">
        <is>
          <t>Active</t>
        </is>
      </c>
      <c r="V57" t="n">
        <v>0</v>
      </c>
      <c r="W57" t="n">
        <v>0</v>
      </c>
      <c r="X57" t="inlineStr">
        <is>
          <t>Yes</t>
        </is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Monitor</t>
        </is>
      </c>
      <c r="D58" s="7" t="inlineStr">
        <is>
          <t>Dell U2723QE</t>
        </is>
      </c>
      <c r="E58" s="7" t="inlineStr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Location Atlanta and status Available on MD-00054 match the stronger transaction trail. Movement TR-00054 posted 2026-01-10 and inbound 01/16/2026, approval APR-00054. PO PO-2022-0009 on file; no matching FAR row for MD-00054.</t>
        </is>
      </c>
      <c r="L58" s="7" t="inlineStr">
        <is>
          <t>2026-01-08</t>
        </is>
      </c>
      <c r="M58" s="7" t="n">
        <v>745</v>
      </c>
      <c r="N58" s="7">
        <f>IFERROR(XLOOKUP(A58,'Source Ledger'!$B$5:$B$133,'Source Ledger'!$G$5:$G$133),"")</f>
        <v>433.74</v>
      </c>
      <c r="O58" s="7">
        <f>IFERROR(XLOOKUP(A58,'Source Ledger'!$B$5:$B$133,'Source Ledger'!$A$5:$A$133),"")</f>
        <v/>
      </c>
      <c r="P58" s="7" t="inlineStr"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is>
          <t>No</t>
        </is>
      </c>
      <c r="T58" t="n">
        <v>745</v>
      </c>
      <c r="U58" t="inlineStr">
        <is>
          <t>Active</t>
        </is>
      </c>
      <c r="V58" t="n">
        <v>433.74</v>
      </c>
      <c r="W58" t="n">
        <v>0</v>
      </c>
      <c r="X58" t="inlineStr">
        <is>
          <t>Yes</t>
        </is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Samsung Galaxy S24</t>
        </is>
      </c>
      <c r="E59" s="7" t="inlineStr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Location Chicago and status Available on MD-00055 match the stronger transaction trail. equipment_transfer_log TR-00055, approval APR-00055; received Feb 12, 2026. PO PO-2023-0010 on file; no matching FAR row for MD-00055.</t>
        </is>
      </c>
      <c r="L59" s="7" t="inlineStr">
        <is>
          <t>2026-02-09</t>
        </is>
      </c>
      <c r="M59" s="7" t="n">
        <v>1220</v>
      </c>
      <c r="N59" s="7">
        <f>IFERROR(XLOOKUP(A59,'Source Ledger'!$B$5:$B$133,'Source Ledger'!$G$5:$G$133),"")</f>
        <v>812.5</v>
      </c>
      <c r="O59" s="7">
        <f>IFERROR(XLOOKUP(A59,'Source Ledger'!$B$5:$B$133,'Source Ledger'!$A$5:$A$133),"")</f>
        <v/>
      </c>
      <c r="P59" s="7" t="inlineStr"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is>
          <t>No</t>
        </is>
      </c>
      <c r="T59" t="n">
        <v>1220</v>
      </c>
      <c r="U59" t="inlineStr">
        <is>
          <t>Active</t>
        </is>
      </c>
      <c r="V59" t="n">
        <v>812.5</v>
      </c>
      <c r="W59" t="n">
        <v>0</v>
      </c>
      <c r="X59" t="inlineStr">
        <is>
          <t>Yes</t>
        </is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Network Asset</t>
        </is>
      </c>
      <c r="D60" s="7" t="inlineStr">
        <is>
          <t>Cisco C9300</t>
        </is>
      </c>
      <c r="E60" s="7" t="inlineStr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MD-00056 closed as Available; operating site Dallas; unit cost $6200. TR-00056 ties to MD-00056; dock date 2026-03-16, approval APR-00056. PO PO-2023-0010 on file; no matching FAR row for MD-00056.</t>
        </is>
      </c>
      <c r="L60" s="7" t="inlineStr">
        <is>
          <t>2026-03-10</t>
        </is>
      </c>
      <c r="M60" s="7" t="n">
        <v>6200</v>
      </c>
      <c r="N60" s="7">
        <f>IFERROR(XLOOKUP(A60,'Source Ledger'!$B$5:$B$133,'Source Ledger'!$G$5:$G$133),"")</f>
        <v>1345.24</v>
      </c>
      <c r="O60" s="7">
        <f>IFERROR(XLOOKUP(A60,'Source Ledger'!$B$5:$B$133,'Source Ledger'!$A$5:$A$133),"")</f>
        <v/>
      </c>
      <c r="P60" s="7" t="inlineStr"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is>
          <t>No</t>
        </is>
      </c>
      <c r="T60" t="n">
        <v>6200</v>
      </c>
      <c r="U60" t="inlineStr">
        <is>
          <t>Active</t>
        </is>
      </c>
      <c r="V60" t="n">
        <v>1345.24</v>
      </c>
      <c r="W60" t="n">
        <v>0</v>
      </c>
      <c r="X60" t="inlineStr">
        <is>
          <t>Yes</t>
        </is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Laptop</t>
        </is>
      </c>
      <c r="D61" s="7" t="inlineStr">
        <is>
          <t>Dell Latitude 7440</t>
        </is>
      </c>
      <c r="E61" s="7" t="inlineStr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Location Denver and status Available on MD-00057 match the stronger transaction trail. TR-00057 ties to MD-00057; dock date 04/24/2026, approval APR-00057. PO PO-2023-0010 on file; no matching FAR row for MD-00057.</t>
        </is>
      </c>
      <c r="L61" s="7" t="inlineStr">
        <is>
          <t>2026-04-11</t>
        </is>
      </c>
      <c r="M61" s="7" t="n">
        <v>1895</v>
      </c>
      <c r="N61" s="7">
        <f>IFERROR(XLOOKUP(A61,'Source Ledger'!$B$5:$B$133,'Source Ledger'!$G$5:$G$133),"")</f>
        <v>106.79</v>
      </c>
      <c r="O61" s="7">
        <f>IFERROR(XLOOKUP(A61,'Source Ledger'!$B$5:$B$133,'Source Ledger'!$A$5:$A$133),"")</f>
        <v/>
      </c>
      <c r="P61" s="7" t="inlineStr"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is>
          <t>No</t>
        </is>
      </c>
      <c r="T61" t="n">
        <v>1895</v>
      </c>
      <c r="U61" t="inlineStr">
        <is>
          <t>Active</t>
        </is>
      </c>
      <c r="V61" t="n">
        <v>106.79</v>
      </c>
      <c r="W61" t="n">
        <v>0</v>
      </c>
      <c r="X61" t="inlineStr">
        <is>
          <t>Yes</t>
        </is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Monitor</t>
        </is>
      </c>
      <c r="D62" s="7" t="inlineStr">
        <is>
          <t>Dell U2723QE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Verified outcome for MD-00058: Pending Redeployment at New York; acquisition $610. Movement TR-00058 posted 05/22/2026 and inbound May 23, 2026, approval field blank. PO PO-2023-0010 on file; no matching FAR row for MD-00058. Also: offboarding ticket OFF-00058 referenced.</t>
        </is>
      </c>
      <c r="L62" s="7" t="inlineStr">
        <is>
          <t>2026-08-05</t>
        </is>
      </c>
      <c r="M62" s="7" t="n">
        <v>610</v>
      </c>
      <c r="N62" s="7">
        <f>IFERROR(XLOOKUP(A62,'Source Ledger'!$B$5:$B$133,'Source Ledger'!$G$5:$G$133),"")</f>
        <v>397.56</v>
      </c>
      <c r="O62" s="7">
        <f>IFERROR(XLOOKUP(A62,'Source Ledger'!$B$5:$B$133,'Source Ledger'!$A$5:$A$133),"")</f>
        <v/>
      </c>
      <c r="P62" s="7" t="inlineStr"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No</t>
        </is>
      </c>
      <c r="T62" t="n">
        <v>610</v>
      </c>
      <c r="U62" t="inlineStr">
        <is>
          <t>Active</t>
        </is>
      </c>
      <c r="V62" t="n">
        <v>397.56</v>
      </c>
      <c r="W62" t="n">
        <v>0</v>
      </c>
      <c r="X62" t="inlineStr">
        <is>
          <t>Yes</t>
        </is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S24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Reconciliation kept MD-00059 at Pending Redeployment (Seattle) once transfers and HR were read. Transfer TR-00059 shows receipt 2026-06-26, approval field blank. PO PO-2023-0010 on file; no matching FAR row for MD-00059. offboarding ticket OFF-00059 referenced.</t>
        </is>
      </c>
      <c r="L63" s="7" t="inlineStr">
        <is>
          <t>2026-08-05</t>
        </is>
      </c>
      <c r="M63" s="7" t="n">
        <v>1085</v>
      </c>
      <c r="N63" s="7">
        <f>IFERROR(XLOOKUP(A63,'Source Ledger'!$B$5:$B$133,'Source Ledger'!$G$5:$G$133),"")</f>
        <v>847.35</v>
      </c>
      <c r="O63" s="7">
        <f>IFERROR(XLOOKUP(A63,'Source Ledger'!$B$5:$B$133,'Source Ledger'!$A$5:$A$133),"")</f>
        <v/>
      </c>
      <c r="P63" s="7" t="inlineStr"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No</t>
        </is>
      </c>
      <c r="T63" t="n">
        <v>1085</v>
      </c>
      <c r="U63" t="inlineStr">
        <is>
          <t>Active</t>
        </is>
      </c>
      <c r="V63" t="n">
        <v>847.35</v>
      </c>
      <c r="W63" t="n">
        <v>0</v>
      </c>
      <c r="X63" t="inlineStr">
        <is>
          <t>Yes</t>
        </is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Network Asset</t>
        </is>
      </c>
      <c r="D64" s="7" t="inlineStr">
        <is>
          <t>Cisco C9300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Reconciliation kept MD-00060 at Pending Redeployment (Atlanta) once transfers and HR were read. Transfer TR-00060 shows receipt 02/02/2026, approval APR-00060. PO PO-2023-0010 on file; no matching FAR row for MD-00060. offboarding ticket OFF-00060 referenced.</t>
        </is>
      </c>
      <c r="L64" s="7" t="inlineStr">
        <is>
          <t>2026-08-05</t>
        </is>
      </c>
      <c r="M64" s="7" t="n">
        <v>6380</v>
      </c>
      <c r="N64" s="7">
        <f>IFERROR(XLOOKUP(A64,'Source Ledger'!$B$5:$B$133,'Source Ledger'!$G$5:$G$133),"")</f>
        <v>549.35</v>
      </c>
      <c r="O64" s="7">
        <f>IFERROR(XLOOKUP(A64,'Source Ledger'!$B$5:$B$133,'Source Ledger'!$A$5:$A$133),"")</f>
        <v/>
      </c>
      <c r="P64" s="7" t="inlineStr"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No</t>
        </is>
      </c>
      <c r="T64" t="n">
        <v>6380</v>
      </c>
      <c r="U64" t="inlineStr">
        <is>
          <t>Active</t>
        </is>
      </c>
      <c r="V64" t="n">
        <v>549.35</v>
      </c>
      <c r="W64" t="n">
        <v>0</v>
      </c>
      <c r="X64" t="inlineStr">
        <is>
          <t>Yes</t>
        </is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Laptop</t>
        </is>
      </c>
      <c r="D65" s="7" t="inlineStr">
        <is>
          <t>Lenovo ThinkPad T14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Lenovo ThinkPad T14 tagged MD-00061 remains Pending Redeployment in Chicago on the corrected register. Movement TR-00061 posted 02/02/2026 and inbound Feb 03, 2026, approval APR-00061. PO PO-2024-0011 on file; no matching FAR row for MD-00061. offboarding ticket OFF-00061 referenced.</t>
        </is>
      </c>
      <c r="L65" s="7" t="inlineStr">
        <is>
          <t>2026-08-05</t>
        </is>
      </c>
      <c r="M65" s="7" t="n">
        <v>2075</v>
      </c>
      <c r="N65" s="7">
        <f>IFERROR(XLOOKUP(A65,'Source Ledger'!$B$5:$B$133,'Source Ledger'!$G$5:$G$133),"")</f>
        <v>0</v>
      </c>
      <c r="O65" s="7">
        <f>IFERROR(XLOOKUP(A65,'Source Ledger'!$B$5:$B$133,'Source Ledger'!$A$5:$A$133),"")</f>
        <v/>
      </c>
      <c r="P65" s="7" t="inlineStr"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No</t>
        </is>
      </c>
      <c r="T65" t="n">
        <v>2075</v>
      </c>
      <c r="U65" t="inlineStr">
        <is>
          <t>Active</t>
        </is>
      </c>
      <c r="V65" t="n">
        <v>0</v>
      </c>
      <c r="W65" t="n">
        <v>0</v>
      </c>
      <c r="X65" t="inlineStr">
        <is>
          <t>Yes</t>
        </is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Monitor</t>
        </is>
      </c>
      <c r="D66" s="7" t="inlineStr">
        <is>
          <t>Dell U2723QE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After cross-file review, MD-00062 stays Pending Redeployment in Dallas. equipment_transfer_log TR-00062, approval APR-00062; received 2026-03-07. PO PO-2024-0011 on file; no matching FAR row for MD-00062. Note — offboarding ticket OFF-00062 referenced.</t>
        </is>
      </c>
      <c r="L66" s="7" t="inlineStr">
        <is>
          <t>2026-08-05</t>
        </is>
      </c>
      <c r="M66" s="7" t="n">
        <v>790</v>
      </c>
      <c r="N66" s="7">
        <f>IFERROR(XLOOKUP(A66,'Source Ledger'!$B$5:$B$133,'Source Ledger'!$G$5:$G$133),"")</f>
        <v>410.63</v>
      </c>
      <c r="O66" s="7">
        <f>IFERROR(XLOOKUP(A66,'Source Ledger'!$B$5:$B$133,'Source Ledger'!$A$5:$A$133),"")</f>
        <v/>
      </c>
      <c r="P66" s="7" t="inlineStr"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No</t>
        </is>
      </c>
      <c r="T66" t="n">
        <v>790</v>
      </c>
      <c r="U66" t="inlineStr">
        <is>
          <t>Active</t>
        </is>
      </c>
      <c r="V66" t="n">
        <v>410.63</v>
      </c>
      <c r="W66" t="n">
        <v>0</v>
      </c>
      <c r="X66" t="inlineStr">
        <is>
          <t>Yes</t>
        </is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S24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Location Denver and status Pending Redeployment on MD-00063 match the stronger transaction trail. Transfer TR-00063 shows receipt 04/16/2026, approval APR-00063. PO PO-2024-0011 on file; no matching FAR row for MD-00063. Also: offboarding ticket OFF-00063 referenced.</t>
        </is>
      </c>
      <c r="L67" s="7" t="inlineStr">
        <is>
          <t>2026-08-05</t>
        </is>
      </c>
      <c r="M67" s="7" t="n">
        <v>950</v>
      </c>
      <c r="N67" s="7">
        <f>IFERROR(XLOOKUP(A67,'Source Ledger'!$B$5:$B$133,'Source Ledger'!$G$5:$G$133),"")</f>
        <v>533.85</v>
      </c>
      <c r="O67" s="7">
        <f>IFERROR(XLOOKUP(A67,'Source Ledger'!$B$5:$B$133,'Source Ledger'!$A$5:$A$133),"")</f>
        <v/>
      </c>
      <c r="P67" s="7" t="inlineStr"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No</t>
        </is>
      </c>
      <c r="T67" t="n">
        <v>950</v>
      </c>
      <c r="U67" t="inlineStr">
        <is>
          <t>Active</t>
        </is>
      </c>
      <c r="V67" t="n">
        <v>533.85</v>
      </c>
      <c r="W67" t="n">
        <v>0</v>
      </c>
      <c r="X67" t="inlineStr">
        <is>
          <t>Yes</t>
        </is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Network Asset</t>
        </is>
      </c>
      <c r="D68" s="7" t="inlineStr">
        <is>
          <t>Cisco C9300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Verified outcome for MD-00064: Pending Redeployment at New York; acquisition $6245. Movement TR-00064 posted 05/13/2026 and inbound May 14, 2026, approval field blank. PO PO-2024-0011 on file; no matching FAR row for MD-00064. offboarding ticket OFF-00064 referenced.</t>
        </is>
      </c>
      <c r="L68" s="7" t="inlineStr">
        <is>
          <t>2026-08-05</t>
        </is>
      </c>
      <c r="M68" s="7" t="n">
        <v>6245</v>
      </c>
      <c r="N68" s="7">
        <f>IFERROR(XLOOKUP(A68,'Source Ledger'!$B$5:$B$133,'Source Ledger'!$G$5:$G$133),"")</f>
        <v>961.76</v>
      </c>
      <c r="O68" s="7">
        <f>IFERROR(XLOOKUP(A68,'Source Ledger'!$B$5:$B$133,'Source Ledger'!$A$5:$A$133),"")</f>
        <v/>
      </c>
      <c r="P68" s="7" t="inlineStr"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No</t>
        </is>
      </c>
      <c r="T68" t="n">
        <v>6245</v>
      </c>
      <c r="U68" t="inlineStr">
        <is>
          <t>Active</t>
        </is>
      </c>
      <c r="V68" t="n">
        <v>961.76</v>
      </c>
      <c r="W68" t="n">
        <v>0</v>
      </c>
      <c r="X68" t="inlineStr">
        <is>
          <t>Yes</t>
        </is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Laptop</t>
        </is>
      </c>
      <c r="D69" s="7" t="inlineStr">
        <is>
          <t>MacBook Pro 14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Reconciliation kept MD-00065 at Pending Redeployment (Seattle) once transfers and HR were read. Transfer TR-00065 shows receipt 2026-06-23, approval field blank. PO PO-2024-0011 on file; no matching FAR row for MD-00065. offboarding ticket OFF-00065 referenced.</t>
        </is>
      </c>
      <c r="L69" s="7" t="inlineStr">
        <is>
          <t>2026-08-05</t>
        </is>
      </c>
      <c r="M69" s="7" t="n">
        <v>1940</v>
      </c>
      <c r="N69" s="7">
        <f>IFERROR(XLOOKUP(A69,'Source Ledger'!$B$5:$B$133,'Source Ledger'!$G$5:$G$133),"")</f>
        <v>0</v>
      </c>
      <c r="O69" s="7">
        <f>IFERROR(XLOOKUP(A69,'Source Ledger'!$B$5:$B$133,'Source Ledger'!$A$5:$A$133),"")</f>
        <v/>
      </c>
      <c r="P69" s="7" t="inlineStr"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No</t>
        </is>
      </c>
      <c r="T69" t="n">
        <v>1940</v>
      </c>
      <c r="U69" t="inlineStr">
        <is>
          <t>Active</t>
        </is>
      </c>
      <c r="V69" t="n">
        <v>0</v>
      </c>
      <c r="W69" t="n">
        <v>0</v>
      </c>
      <c r="X69" t="inlineStr">
        <is>
          <t>Yes</t>
        </is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Monitor</t>
        </is>
      </c>
      <c r="D70" s="7" t="inlineStr">
        <is>
          <t>Dell U2723QE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Location Atlanta and status Pending Redeployment on MD-00066 match the stronger transaction trail. Transfer TR-00066 shows receipt 01/25/2026, approval APR-00066. PO PO-2024-0011 on file; no matching FAR row for MD-00066. Also: offboarding ticket OFF-00066 referenced.</t>
        </is>
      </c>
      <c r="L70" s="7" t="inlineStr">
        <is>
          <t>2026-08-05</t>
        </is>
      </c>
      <c r="M70" s="7" t="n">
        <v>655</v>
      </c>
      <c r="N70" s="7">
        <f>IFERROR(XLOOKUP(A70,'Source Ledger'!$B$5:$B$133,'Source Ledger'!$G$5:$G$133),"")</f>
        <v>385.65</v>
      </c>
      <c r="O70" s="7">
        <f>IFERROR(XLOOKUP(A70,'Source Ledger'!$B$5:$B$133,'Source Ledger'!$A$5:$A$133),"")</f>
        <v/>
      </c>
      <c r="P70" s="7" t="inlineStr"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No</t>
        </is>
      </c>
      <c r="T70" t="n">
        <v>655</v>
      </c>
      <c r="U70" t="inlineStr">
        <is>
          <t>Active</t>
        </is>
      </c>
      <c r="V70" t="n">
        <v>385.65</v>
      </c>
      <c r="W70" t="n">
        <v>0</v>
      </c>
      <c r="X70" t="inlineStr">
        <is>
          <t>Yes</t>
        </is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Samsung Galaxy S24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Verified outcome for MD-00067: Pending Redeployment at Chicago; acquisition $1130. Movement TR-00067 posted 02/23/2026 and inbound Feb 23, 2026, approval APR-00067. PO PO-2025-0012 on file; no matching FAR row for MD-00067. offboarding ticket OFF-00067 referenced.</t>
        </is>
      </c>
      <c r="L71" s="7" t="inlineStr">
        <is>
          <t>2026-08-05</t>
        </is>
      </c>
      <c r="M71" s="7" t="n">
        <v>1130</v>
      </c>
      <c r="N71" s="7">
        <f>IFERROR(XLOOKUP(A71,'Source Ledger'!$B$5:$B$133,'Source Ledger'!$G$5:$G$133),"")</f>
        <v>764.93</v>
      </c>
      <c r="O71" s="7">
        <f>IFERROR(XLOOKUP(A71,'Source Ledger'!$B$5:$B$133,'Source Ledger'!$A$5:$A$133),"")</f>
        <v/>
      </c>
      <c r="P71" s="7" t="inlineStr"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No</t>
        </is>
      </c>
      <c r="T71" t="n">
        <v>1130</v>
      </c>
      <c r="U71" t="inlineStr">
        <is>
          <t>Active</t>
        </is>
      </c>
      <c r="V71" t="n">
        <v>764.93</v>
      </c>
      <c r="W71" t="n">
        <v>0</v>
      </c>
      <c r="X71" t="inlineStr">
        <is>
          <t>Yes</t>
        </is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Network Asset</t>
        </is>
      </c>
      <c r="D72" s="7" t="inlineStr">
        <is>
          <t>Cisco C9300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Cisco C9300 tagged MD-00068 remains Return Overdue in Remote - Former Employee on the corrected register. People file lists E0081 / Separated (Elliott Park). TR-00068 ties to MD-00068; dock date 2026-04-03, approval APR-00068. PO PO-2025-0012 on file; no matching FAR row for MD-00068. Note — carrier label 1ZMD00000068 is not proof of receipt. Also: offboarding ticket OFF-00068 referenced. return still label-only per shipment file.</t>
        </is>
      </c>
      <c r="L72" s="7" t="inlineStr">
        <is>
          <t>2026-06-25</t>
        </is>
      </c>
      <c r="M72" s="7" t="n">
        <v>6425</v>
      </c>
      <c r="N72" s="7">
        <f>IFERROR(XLOOKUP(A72,'Source Ledger'!$B$5:$B$133,'Source Ledger'!$G$5:$G$133),"")</f>
        <v>1436.28</v>
      </c>
      <c r="O72" s="7">
        <f>IFERROR(XLOOKUP(A72,'Source Ledger'!$B$5:$B$133,'Source Ledger'!$A$5:$A$133),"")</f>
        <v/>
      </c>
      <c r="P72" s="7" t="inlineStr"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 t="n">
        <v>6480</v>
      </c>
      <c r="U72" t="inlineStr">
        <is>
          <t>Active</t>
        </is>
      </c>
      <c r="V72" t="n">
        <v>1436.28</v>
      </c>
      <c r="W72" t="n">
        <v>55</v>
      </c>
      <c r="X72" t="inlineStr">
        <is>
          <t>Yes</t>
        </is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Laptop</t>
        </is>
      </c>
      <c r="D73" s="7" t="inlineStr">
        <is>
          <t>Dell Latitude 7440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Outcome on MD-00069: Return Overdue, Remote - Former Employee, $2120 acquisition basis. HR agrees Carmen Diaz (E0082) is still Separated. Movement TR-00069 posted 2026-05-02 and inbound 05/04/2026, approval APR-00069. PO PO-2025-0012 on file; no matching FAR row for MD-00069. carrier label 1ZMD00000069 is not proof of receipt. offboarding ticket OFF-00069 referenced. return still label-only per shipment file.</t>
        </is>
      </c>
      <c r="L73" s="7" t="inlineStr">
        <is>
          <t>2026-06-25</t>
        </is>
      </c>
      <c r="M73" s="7" t="n">
        <v>2120</v>
      </c>
      <c r="N73" s="7">
        <f>IFERROR(XLOOKUP(A73,'Source Ledger'!$B$5:$B$133,'Source Ledger'!$G$5:$G$133),"")</f>
        <v>142.69</v>
      </c>
      <c r="O73" s="7">
        <f>IFERROR(XLOOKUP(A73,'Source Ledger'!$B$5:$B$133,'Source Ledger'!$A$5:$A$133),"")</f>
        <v/>
      </c>
      <c r="P73" s="7" t="inlineStr"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 t="n">
        <v>2120</v>
      </c>
      <c r="U73" t="inlineStr">
        <is>
          <t>Active</t>
        </is>
      </c>
      <c r="V73" t="n">
        <v>142.69</v>
      </c>
      <c r="W73" t="n">
        <v>0</v>
      </c>
      <c r="X73" t="inlineStr">
        <is>
          <t>Yes</t>
        </is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Monitor</t>
        </is>
      </c>
      <c r="D74" s="7" t="inlineStr">
        <is>
          <t>Dell U2723QE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Location Remote - Former Employee and status Return Overdue on MD-00070 match the stronger transaction trail. Custodian Hugh Talbot (E0083) is Separated in HR. equipment_transfer_log TR-00070, approval APR-00070; received Jun 03, 2026. PO PO-2025-0012 on file; no matching FAR row for MD-00070. Note — carrier label 1ZMD00000070 is not proof of receipt. Note — offboarding ticket OFF-00070 referenced. return still label-only per shipment file.</t>
        </is>
      </c>
      <c r="L74" s="7" t="inlineStr">
        <is>
          <t>2026-06-25</t>
        </is>
      </c>
      <c r="M74" s="7" t="n">
        <v>520</v>
      </c>
      <c r="N74" s="7">
        <f>IFERROR(XLOOKUP(A74,'Source Ledger'!$B$5:$B$133,'Source Ledger'!$G$5:$G$133),"")</f>
        <v>342.32</v>
      </c>
      <c r="O74" s="7">
        <f>IFERROR(XLOOKUP(A74,'Source Ledger'!$B$5:$B$133,'Source Ledger'!$A$5:$A$133),"")</f>
        <v/>
      </c>
      <c r="P74" s="7" t="inlineStr"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 t="n">
        <v>520</v>
      </c>
      <c r="U74" t="inlineStr">
        <is>
          <t>Active</t>
        </is>
      </c>
      <c r="V74" t="n">
        <v>342.32</v>
      </c>
      <c r="W74" t="n">
        <v>0</v>
      </c>
      <c r="X74" t="inlineStr">
        <is>
          <t>Yes</t>
        </is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Samsung Galaxy S24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MD-00071 closed as Return Overdue; operating site Remote - Former Employee; unit cost $995. People file lists E0084 / Separated (Mira Adelman). TR-00071 ties to MD-00071; dock date 2026-07-12, approval APR-00071. PO PO-2025-0012 on file; no matching FAR row for MD-00071. carrier label 1ZMD00000071 is not proof of receipt. Note — offboarding ticket OFF-00071 referenced. Note — return still label-only per shipment file.</t>
        </is>
      </c>
      <c r="L75" s="7" t="inlineStr">
        <is>
          <t>2026-06-25</t>
        </is>
      </c>
      <c r="M75" s="7" t="n">
        <v>995</v>
      </c>
      <c r="N75" s="7">
        <f>IFERROR(XLOOKUP(A75,'Source Ledger'!$B$5:$B$133,'Source Ledger'!$G$5:$G$133),"")</f>
        <v>787.96</v>
      </c>
      <c r="O75" s="7">
        <f>IFERROR(XLOOKUP(A75,'Source Ledger'!$B$5:$B$133,'Source Ledger'!$A$5:$A$133),"")</f>
        <v/>
      </c>
      <c r="P75" s="7" t="inlineStr"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 t="n">
        <v>995</v>
      </c>
      <c r="U75" t="inlineStr">
        <is>
          <t>Active</t>
        </is>
      </c>
      <c r="V75" t="n">
        <v>787.96</v>
      </c>
      <c r="W75" t="n">
        <v>0</v>
      </c>
      <c r="X75" t="inlineStr">
        <is>
          <t>Yes</t>
        </is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Cisco C9300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Outcome on MD-00072: Return Overdue, Remote - Former Employee, $6290 acquisition basis. hr_employee_status shows Quincy Rhodes (E0085) as Separated. Movement TR-00072 posted 2026-01-18 and inbound 01/18/2026, approval APR-00072. PO PO-2025-0012 on file; no matching FAR row for MD-00072. Note — carrier label 1ZMD00000072 is not proof of receipt. offboarding ticket OFF-00072 referenced. return still label-only per shipment file.</t>
        </is>
      </c>
      <c r="L76" s="7" t="inlineStr">
        <is>
          <t>2026-06-25</t>
        </is>
      </c>
      <c r="M76" s="7" t="n">
        <v>6290</v>
      </c>
      <c r="N76" s="7">
        <f>IFERROR(XLOOKUP(A76,'Source Ledger'!$B$5:$B$133,'Source Ledger'!$G$5:$G$133),"")</f>
        <v>500.27</v>
      </c>
      <c r="O76" s="7">
        <f>IFERROR(XLOOKUP(A76,'Source Ledger'!$B$5:$B$133,'Source Ledger'!$A$5:$A$133),"")</f>
        <v/>
      </c>
      <c r="P76" s="7" t="inlineStr"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 t="n">
        <v>6290</v>
      </c>
      <c r="U76" t="inlineStr">
        <is>
          <t>Active</t>
        </is>
      </c>
      <c r="V76" t="n">
        <v>500.27</v>
      </c>
      <c r="W76" t="n">
        <v>0</v>
      </c>
      <c r="X76" t="inlineStr">
        <is>
          <t>Yes</t>
        </is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Laptop</t>
        </is>
      </c>
      <c r="D77" s="7" t="inlineStr">
        <is>
          <t>Lenovo ThinkPad T14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After cross-file review, MD-00073 stays Return Overdue in Remote - Former Employee. No term conflict for E0086; status Separated. Movement TR-00073 posted 01/21/2026 and inbound Jan 24, 2026, approval APR-00073. PO PO-2022-0013 on file; no matching FAR row for MD-00073. Note — carrier label 1ZMD00000073 is not proof of receipt. Note — offboarding ticket OFF-00073 referenced. Note — return still label-only per shipment file.</t>
        </is>
      </c>
      <c r="L77" s="7" t="inlineStr">
        <is>
          <t>2026-06-25</t>
        </is>
      </c>
      <c r="M77" s="7" t="n">
        <v>1985</v>
      </c>
      <c r="N77" s="7">
        <f>IFERROR(XLOOKUP(A77,'Source Ledger'!$B$5:$B$133,'Source Ledger'!$G$5:$G$133),"")</f>
        <v>0</v>
      </c>
      <c r="O77" s="7">
        <f>IFERROR(XLOOKUP(A77,'Source Ledger'!$B$5:$B$133,'Source Ledger'!$A$5:$A$133),"")</f>
        <v/>
      </c>
      <c r="P77" s="7" t="inlineStr"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 t="n">
        <v>1985</v>
      </c>
      <c r="U77" t="inlineStr">
        <is>
          <t>Active</t>
        </is>
      </c>
      <c r="V77" t="n">
        <v>0</v>
      </c>
      <c r="W77" t="n">
        <v>0</v>
      </c>
      <c r="X77" t="inlineStr">
        <is>
          <t>Yes</t>
        </is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Monitor</t>
        </is>
      </c>
      <c r="D78" s="7" t="inlineStr">
        <is>
          <t>Dell U2723QE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Location Carrier Network / Unverified and status Return Overdue on MD-00074 match the stronger transaction trail. People file lists E0087 / Separated (Nolan Vega). TR-00074 ties to MD-00074; dock date 2026-02-24, approval APR-00074. PO PO-2022-0013 on file; no matching FAR row for MD-00074. carrier label 1ZMD00000074 is not proof of receipt. Also: offboarding ticket OFF-00074 referenced. Also: return still label-only per shipment file. Also: shipment serial MISMATCH-0074 vs register MD-MO-050074.</t>
        </is>
      </c>
      <c r="L78" s="7" t="inlineStr">
        <is>
          <t>2026-06-25</t>
        </is>
      </c>
      <c r="M78" s="7" t="n">
        <v>700</v>
      </c>
      <c r="N78" s="7">
        <f>IFERROR(XLOOKUP(A78,'Source Ledger'!$B$5:$B$133,'Source Ledger'!$G$5:$G$133),"")</f>
        <v>359.25</v>
      </c>
      <c r="O78" s="7">
        <f>IFERROR(XLOOKUP(A78,'Source Ledger'!$B$5:$B$133,'Source Ledger'!$A$5:$A$133),"")</f>
        <v/>
      </c>
      <c r="P78" s="7" t="inlineStr"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 t="n">
        <v>700</v>
      </c>
      <c r="U78" t="inlineStr">
        <is>
          <t>Active</t>
        </is>
      </c>
      <c r="V78" t="n">
        <v>359.25</v>
      </c>
      <c r="W78" t="n">
        <v>0</v>
      </c>
      <c r="X78" t="inlineStr">
        <is>
          <t>Yes</t>
        </is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Mobile Device</t>
        </is>
      </c>
      <c r="D79" s="7" t="inlineStr">
        <is>
          <t>Samsung Galaxy S24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After cross-file review, MD-00075 stays Return Overdue in Remote - Former Employee. Custodian Ivy Chenoweth (E0088) is Separated in HR. TR-00075 ties to MD-00075; dock date 04/01/2026, approval APR-00075. PO PO-2022-0013 on file; no matching FAR row for MD-00075. carrier label 1ZMD00000075 is not proof of receipt. Also: offboarding ticket OFF-00075 referenced. return still label-only per shipment file.</t>
        </is>
      </c>
      <c r="L79" s="7" t="inlineStr">
        <is>
          <t>2026-06-25</t>
        </is>
      </c>
      <c r="M79" s="7" t="n">
        <v>1175</v>
      </c>
      <c r="N79" s="7">
        <f>IFERROR(XLOOKUP(A79,'Source Ledger'!$B$5:$B$133,'Source Ledger'!$G$5:$G$133),"")</f>
        <v>647.42</v>
      </c>
      <c r="O79" s="7">
        <f>IFERROR(XLOOKUP(A79,'Source Ledger'!$B$5:$B$133,'Source Ledger'!$A$5:$A$133),"")</f>
        <v/>
      </c>
      <c r="P79" s="7" t="inlineStr"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 t="n">
        <v>1175</v>
      </c>
      <c r="U79" t="inlineStr">
        <is>
          <t>Active</t>
        </is>
      </c>
      <c r="V79" t="n">
        <v>647.42</v>
      </c>
      <c r="W79" t="n">
        <v>0</v>
      </c>
      <c r="X79" t="inlineStr">
        <is>
          <t>Yes</t>
        </is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C9300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Cisco C9300 tagged MD-00076 remains Return Overdue in Carrier Network / Unverified on the corrected register. No term conflict for E0089; status Separated. equipment_transfer_log TR-00076, approval APR-00076; received May 03, 2026. PO PO-2022-0013 on file; no matching FAR row for MD-00076. carrier label 1ZMD00000076 is not proof of receipt. Note — offboarding ticket OFF-00076 referenced. return still label-only per shipment file. Also: shipment serial MISMATCH-0076 vs register MD-NE-050076.</t>
        </is>
      </c>
      <c r="L80" s="7" t="inlineStr">
        <is>
          <t>2026-06-25</t>
        </is>
      </c>
      <c r="M80" s="7" t="n">
        <v>6470</v>
      </c>
      <c r="N80" s="7">
        <f>IFERROR(XLOOKUP(A80,'Source Ledger'!$B$5:$B$133,'Source Ledger'!$G$5:$G$133),"")</f>
        <v>953.89</v>
      </c>
      <c r="O80" s="7">
        <f>IFERROR(XLOOKUP(A80,'Source Ledger'!$B$5:$B$133,'Source Ledger'!$A$5:$A$133),"")</f>
        <v/>
      </c>
      <c r="P80" s="7" t="inlineStr"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 t="n">
        <v>6470</v>
      </c>
      <c r="U80" t="inlineStr">
        <is>
          <t>Active</t>
        </is>
      </c>
      <c r="V80" t="n">
        <v>953.89</v>
      </c>
      <c r="W80" t="n">
        <v>0</v>
      </c>
      <c r="X80" t="inlineStr">
        <is>
          <t>Yes</t>
        </is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Laptop</t>
        </is>
      </c>
      <c r="D81" s="7" t="inlineStr">
        <is>
          <t>MacBook Pro 14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Reconciliation kept MD-00077 at Return Overdue (Remote - Former Employee) once transfers and HR were read. People file lists E0090 / Separated (Dana Ghosh). TR-00077 ties to MD-00077; dock date 2026-06-06, approval APR-00077. PO PO-2022-0013 on file; no matching FAR row for MD-00077. Also: carrier label 1ZMD00000077 is not proof of receipt. offboarding ticket OFF-00077 referenced. Also: return still label-only per shipment file.</t>
        </is>
      </c>
      <c r="L81" s="7" t="inlineStr">
        <is>
          <t>2026-06-25</t>
        </is>
      </c>
      <c r="M81" s="7" t="n">
        <v>1850</v>
      </c>
      <c r="N81" s="7">
        <f>IFERROR(XLOOKUP(A81,'Source Ledger'!$B$5:$B$133,'Source Ledger'!$G$5:$G$133),"")</f>
        <v>0</v>
      </c>
      <c r="O81" s="7">
        <f>IFERROR(XLOOKUP(A81,'Source Ledger'!$B$5:$B$133,'Source Ledger'!$A$5:$A$133),"")</f>
        <v/>
      </c>
      <c r="P81" s="7" t="inlineStr"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 t="n">
        <v>1850</v>
      </c>
      <c r="U81" t="inlineStr">
        <is>
          <t>Active</t>
        </is>
      </c>
      <c r="V81" t="n">
        <v>0</v>
      </c>
      <c r="W81" t="n">
        <v>0</v>
      </c>
      <c r="X81" t="inlineStr">
        <is>
          <t>Yes</t>
        </is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Monitor</t>
        </is>
      </c>
      <c r="D82" s="7" t="inlineStr">
        <is>
          <t>Dell U2723QE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Reconciliation kept MD-00078 at Return Overdue (Remote - Former Employee) once transfers and HR were read. HR agrees Harlan Smith (E0091) is still Separated. equipment_transfer_log TR-00078, approval APR-00078; received 01/10/2026. PO PO-2022-0013 on file; no matching FAR row for MD-00078. carrier label 1ZMD00000078 is not proof of receipt. offboarding ticket OFF-00078 referenced. return still label-only per shipment file.</t>
        </is>
      </c>
      <c r="L82" s="7" t="inlineStr">
        <is>
          <t>2026-06-25</t>
        </is>
      </c>
      <c r="M82" s="7" t="n">
        <v>565</v>
      </c>
      <c r="N82" s="7">
        <f>IFERROR(XLOOKUP(A82,'Source Ledger'!$B$5:$B$133,'Source Ledger'!$G$5:$G$133),"")</f>
        <v>328.95</v>
      </c>
      <c r="O82" s="7">
        <f>IFERROR(XLOOKUP(A82,'Source Ledger'!$B$5:$B$133,'Source Ledger'!$A$5:$A$133),"")</f>
        <v/>
      </c>
      <c r="P82" s="7" t="inlineStr"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 t="n">
        <v>565</v>
      </c>
      <c r="U82" t="inlineStr">
        <is>
          <t>Active</t>
        </is>
      </c>
      <c r="V82" t="n">
        <v>328.95</v>
      </c>
      <c r="W82" t="n">
        <v>0</v>
      </c>
      <c r="X82" t="inlineStr">
        <is>
          <t>Yes</t>
        </is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Mobile Device</t>
        </is>
      </c>
      <c r="D83" s="7" t="inlineStr">
        <is>
          <t>Samsung Galaxy S24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Samsung Galaxy S24 MD-00079 ($1040) reconciled to Return Overdue at Remote - Former Employee. People file lists E0092 / Separated (June Okoye). TR-00079 ties to MD-00079; dock date Feb 13, 2026, approval APR-00079. PO PO-2023-0014 on file; no matching FAR row for MD-00079. carrier label 1ZMD00000079 is not proof of receipt. offboarding ticket OFF-00079 referenced. return still label-only per shipment file.</t>
        </is>
      </c>
      <c r="L83" s="7" t="inlineStr">
        <is>
          <t>2026-06-25</t>
        </is>
      </c>
      <c r="M83" s="7" t="n">
        <v>1040</v>
      </c>
      <c r="N83" s="7">
        <f>IFERROR(XLOOKUP(A83,'Source Ledger'!$B$5:$B$133,'Source Ledger'!$G$5:$G$133),"")</f>
        <v>692.62</v>
      </c>
      <c r="O83" s="7">
        <f>IFERROR(XLOOKUP(A83,'Source Ledger'!$B$5:$B$133,'Source Ledger'!$A$5:$A$133),"")</f>
        <v/>
      </c>
      <c r="P83" s="7" t="inlineStr"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 t="n">
        <v>1040</v>
      </c>
      <c r="U83" t="inlineStr">
        <is>
          <t>Active</t>
        </is>
      </c>
      <c r="V83" t="n">
        <v>692.62</v>
      </c>
      <c r="W83" t="n">
        <v>0</v>
      </c>
      <c r="X83" t="inlineStr">
        <is>
          <t>Yes</t>
        </is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C9300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Cisco C9300 tagged MD-00080 remains Available in Atlanta Warehouse on the corrected register. Movement TR-00080 posted Mar 16, 2026 and inbound 2026-03-17, approval APR-00080. PO PO-2023-0014 on file; no matching FAR row for MD-00080. Note — carrier label 1ZMD00000080 is not proof of receipt. offboarding ticket OFF-00080 referenced.</t>
        </is>
      </c>
      <c r="L84" s="7" t="inlineStr">
        <is>
          <t>2026-07-07</t>
        </is>
      </c>
      <c r="M84" s="7" t="n">
        <v>6335</v>
      </c>
      <c r="N84" s="7">
        <f>IFERROR(XLOOKUP(A84,'Source Ledger'!$B$5:$B$133,'Source Ledger'!$G$5:$G$133),"")</f>
        <v>1374.53</v>
      </c>
      <c r="O84" s="7">
        <f>IFERROR(XLOOKUP(A84,'Source Ledger'!$B$5:$B$133,'Source Ledger'!$A$5:$A$133),"")</f>
        <v/>
      </c>
      <c r="P84" s="7" t="inlineStr"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is>
          <t>No</t>
        </is>
      </c>
      <c r="T84" t="n">
        <v>6335</v>
      </c>
      <c r="U84" t="inlineStr">
        <is>
          <t>Active</t>
        </is>
      </c>
      <c r="V84" t="n">
        <v>1374.53</v>
      </c>
      <c r="W84" t="n">
        <v>0</v>
      </c>
      <c r="X84" t="inlineStr">
        <is>
          <t>Yes</t>
        </is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Laptop</t>
        </is>
      </c>
      <c r="D85" s="7" t="inlineStr">
        <is>
          <t>Dell Latitude 7440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Reconciliation kept MD-00081 at Available (Atlanta Warehouse) once transfers and HR were read. Transfer TR-00081 shows receipt 04/20/2026, approval APR-00081. PO PO-2023-0014 on file; no matching FAR row for MD-00081. Note — carrier label 1ZMD00000081 is not proof of receipt. Note — offboarding ticket OFF-00081 referenced.</t>
        </is>
      </c>
      <c r="L85" s="7" t="inlineStr">
        <is>
          <t>2026-07-07</t>
        </is>
      </c>
      <c r="M85" s="7" t="n">
        <v>2030</v>
      </c>
      <c r="N85" s="7">
        <f>IFERROR(XLOOKUP(A85,'Source Ledger'!$B$5:$B$133,'Source Ledger'!$G$5:$G$133),"")</f>
        <v>114.4</v>
      </c>
      <c r="O85" s="7">
        <f>IFERROR(XLOOKUP(A85,'Source Ledger'!$B$5:$B$133,'Source Ledger'!$A$5:$A$133),"")</f>
        <v/>
      </c>
      <c r="P85" s="7" t="inlineStr"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is>
          <t>No</t>
        </is>
      </c>
      <c r="T85" t="n">
        <v>2030</v>
      </c>
      <c r="U85" t="inlineStr">
        <is>
          <t>Active</t>
        </is>
      </c>
      <c r="V85" t="n">
        <v>114.4</v>
      </c>
      <c r="W85" t="n">
        <v>0</v>
      </c>
      <c r="X85" t="inlineStr">
        <is>
          <t>Yes</t>
        </is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Monitor</t>
        </is>
      </c>
      <c r="D86" s="7" t="inlineStr">
        <is>
          <t>Dell U2723QE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Reconciliation kept MD-00082 at In Transit - Exception (Carrier Network / Unverified) once transfers and HR were read. Employment check: E0095 remains Separated. Movement TR-00082 posted 05/22/2026 and inbound May 24, 2026, approval APR-00082. PO PO-2023-0014 on file; no matching FAR row for MD-00082. carrier label 1ZMD00000082 is not proof of receipt. Note — offboarding ticket OFF-00082 referenced. Also: shipment serial MISMATCH-0082 vs register MD-MO-050082. receiving_exception_scan_1ZMD00000082.png treated as investigative lead only.</t>
        </is>
      </c>
      <c r="L86" s="7" t="inlineStr">
        <is>
          <t>2026-07-02</t>
        </is>
      </c>
      <c r="M86" s="7" t="n">
        <v>745</v>
      </c>
      <c r="N86" s="7">
        <f>IFERROR(XLOOKUP(A86,'Source Ledger'!$B$5:$B$133,'Source Ledger'!$G$5:$G$133),"")</f>
        <v>485.55</v>
      </c>
      <c r="O86" s="7">
        <f>IFERROR(XLOOKUP(A86,'Source Ledger'!$B$5:$B$133,'Source Ledger'!$A$5:$A$133),"")</f>
        <v/>
      </c>
      <c r="P86" s="7" t="inlineStr"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is>
          <t>Yes</t>
        </is>
      </c>
      <c r="T86" t="n">
        <v>745</v>
      </c>
      <c r="U86" t="inlineStr">
        <is>
          <t>Active</t>
        </is>
      </c>
      <c r="V86" t="n">
        <v>485.55</v>
      </c>
      <c r="W86" t="n">
        <v>0</v>
      </c>
      <c r="X86" t="inlineStr">
        <is>
          <t>Yes</t>
        </is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Mobile Device</t>
        </is>
      </c>
      <c r="D87" s="7" t="inlineStr">
        <is>
          <t>Samsung Galaxy S24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Register row MD-00083: verified Available, location Atlanta Warehouse, cost $1220. equipment_transfer_log TR-00083, approval APR-00083; received 2026-06-27. PO PO-2023-0014 on file; no matching FAR row for MD-00083. carrier label 1ZMD00000083 is not proof of receipt. offboarding ticket OFF-00083 referenced.</t>
        </is>
      </c>
      <c r="L87" s="7" t="inlineStr">
        <is>
          <t>2026-07-07</t>
        </is>
      </c>
      <c r="M87" s="7" t="n">
        <v>1220</v>
      </c>
      <c r="N87" s="7">
        <f>IFERROR(XLOOKUP(A87,'Source Ledger'!$B$5:$B$133,'Source Ledger'!$G$5:$G$133),"")</f>
        <v>952.79</v>
      </c>
      <c r="O87" s="7">
        <f>IFERROR(XLOOKUP(A87,'Source Ledger'!$B$5:$B$133,'Source Ledger'!$A$5:$A$133),"")</f>
        <v/>
      </c>
      <c r="P87" s="7" t="inlineStr"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is>
          <t>No</t>
        </is>
      </c>
      <c r="T87" t="n">
        <v>1220</v>
      </c>
      <c r="U87" t="inlineStr">
        <is>
          <t>Active</t>
        </is>
      </c>
      <c r="V87" t="n">
        <v>952.79</v>
      </c>
      <c r="W87" t="n">
        <v>0</v>
      </c>
      <c r="X87" t="inlineStr">
        <is>
          <t>Yes</t>
        </is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Cisco C9300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Cisco C9300 tagged MD-00084 remains In Transit - Exception in Carrier Network / Unverified on the corrected register. Employment check: E0072 remains Separated. equipment_transfer_log TR-00084, approval APR-00084; received 02/05/2026. PO PO-2023-0014 on file; no matching FAR row for MD-00084. carrier label 1ZMD00000084 is not proof of receipt. offboarding ticket OFF-00084 referenced. Note — shipment serial MISMATCH-0084 vs register MD-NE-050084.</t>
        </is>
      </c>
      <c r="L88" s="7" t="inlineStr">
        <is>
          <t>2026-07-02</t>
        </is>
      </c>
      <c r="M88" s="7" t="n">
        <v>6200</v>
      </c>
      <c r="N88" s="7">
        <f>IFERROR(XLOOKUP(A88,'Source Ledger'!$B$5:$B$133,'Source Ledger'!$G$5:$G$133),"")</f>
        <v>533.85</v>
      </c>
      <c r="O88" s="7">
        <f>IFERROR(XLOOKUP(A88,'Source Ledger'!$B$5:$B$133,'Source Ledger'!$A$5:$A$133),"")</f>
        <v/>
      </c>
      <c r="P88" s="7" t="inlineStr"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 t="n">
        <v>6200</v>
      </c>
      <c r="U88" t="inlineStr">
        <is>
          <t>Active</t>
        </is>
      </c>
      <c r="V88" t="n">
        <v>533.85</v>
      </c>
      <c r="W88" t="n">
        <v>0</v>
      </c>
      <c r="X88" t="inlineStr">
        <is>
          <t>Yes</t>
        </is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Laptop</t>
        </is>
      </c>
      <c r="D89" s="7" t="inlineStr">
        <is>
          <t>Lenovo ThinkPad T14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MD-00085 closed as Available; operating site Atlanta Warehouse; unit cost $1895. Transfer TR-00085 shows receipt Feb 03, 2026, approval APR-00085. PO PO-2024-0015 on file; no matching FAR row for MD-00085. Note — carrier label 1ZMD00000085 is not proof of receipt. Note — offboarding ticket OFF-00085 referenced.</t>
        </is>
      </c>
      <c r="L89" s="7" t="inlineStr">
        <is>
          <t>2026-07-07</t>
        </is>
      </c>
      <c r="M89" s="7" t="n">
        <v>1895</v>
      </c>
      <c r="N89" s="7">
        <f>IFERROR(XLOOKUP(A89,'Source Ledger'!$B$5:$B$133,'Source Ledger'!$G$5:$G$133),"")</f>
        <v>0</v>
      </c>
      <c r="O89" s="7">
        <f>IFERROR(XLOOKUP(A89,'Source Ledger'!$B$5:$B$133,'Source Ledger'!$A$5:$A$133),"")</f>
        <v/>
      </c>
      <c r="P89" s="7" t="inlineStr"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No</t>
        </is>
      </c>
      <c r="T89" t="n">
        <v>2090</v>
      </c>
      <c r="U89" t="inlineStr">
        <is>
          <t>Active</t>
        </is>
      </c>
      <c r="V89" t="n">
        <v>0</v>
      </c>
      <c r="W89" t="n">
        <v>195</v>
      </c>
      <c r="X89" t="inlineStr">
        <is>
          <t>Yes</t>
        </is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Monitor</t>
        </is>
      </c>
      <c r="D90" s="7" t="inlineStr">
        <is>
          <t>Dell U2723QE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Verified outcome for MD-00086: Available at Atlanta Warehouse; acquisition $610. Transfer TR-00086 shows receipt 2026-03-08, approval APR-00086. PO PO-2024-0015 on file; no matching FAR row for MD-00086. carrier label 1ZMD00000086 is not proof of receipt. Note — offboarding ticket OFF-00086 referenced.</t>
        </is>
      </c>
      <c r="L90" s="7" t="inlineStr">
        <is>
          <t>2026-07-07</t>
        </is>
      </c>
      <c r="M90" s="7" t="n">
        <v>610</v>
      </c>
      <c r="N90" s="7">
        <f>IFERROR(XLOOKUP(A90,'Source Ledger'!$B$5:$B$133,'Source Ledger'!$G$5:$G$133),"")</f>
        <v>317.07</v>
      </c>
      <c r="O90" s="7">
        <f>IFERROR(XLOOKUP(A90,'Source Ledger'!$B$5:$B$133,'Source Ledger'!$A$5:$A$133),"")</f>
        <v/>
      </c>
      <c r="P90" s="7" t="inlineStr"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is>
          <t>No</t>
        </is>
      </c>
      <c r="T90" t="n">
        <v>610</v>
      </c>
      <c r="U90" t="inlineStr">
        <is>
          <t>Active</t>
        </is>
      </c>
      <c r="V90" t="n">
        <v>317.07</v>
      </c>
      <c r="W90" t="n">
        <v>0</v>
      </c>
      <c r="X90" t="inlineStr">
        <is>
          <t>Yes</t>
        </is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Mobile Device</t>
        </is>
      </c>
      <c r="D91" s="7" t="inlineStr">
        <is>
          <t>Samsung Galaxy S24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Register row MD-00087: verified Available, location Atlanta Warehouse, cost $1085. TR-00087 ties to MD-00087; dock date 04/12/2026, approval APR-00087. PO PO-2024-0015 on file; no matching FAR row for MD-00087. Note — carrier label 1ZMD00000087 is not proof of receipt. offboarding ticket OFF-00087 referenced.</t>
        </is>
      </c>
      <c r="L91" s="7" t="inlineStr">
        <is>
          <t>2026-07-07</t>
        </is>
      </c>
      <c r="M91" s="7" t="n">
        <v>1085</v>
      </c>
      <c r="N91" s="7">
        <f>IFERROR(XLOOKUP(A91,'Source Ledger'!$B$5:$B$133,'Source Ledger'!$G$5:$G$133),"")</f>
        <v>609.71</v>
      </c>
      <c r="O91" s="7">
        <f>IFERROR(XLOOKUP(A91,'Source Ledger'!$B$5:$B$133,'Source Ledger'!$A$5:$A$133),"")</f>
        <v/>
      </c>
      <c r="P91" s="7" t="inlineStr"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is>
          <t>No</t>
        </is>
      </c>
      <c r="T91" t="n">
        <v>1085</v>
      </c>
      <c r="U91" t="inlineStr">
        <is>
          <t>Active</t>
        </is>
      </c>
      <c r="V91" t="n">
        <v>609.71</v>
      </c>
      <c r="W91" t="n">
        <v>0</v>
      </c>
      <c r="X91" t="inlineStr">
        <is>
          <t>Yes</t>
        </is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Cisco C9300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Outcome on MD-00088: Available, Atlanta Warehouse, $6380 acquisition basis. Transfer TR-00088 shows receipt May 14, 2026, approval APR-00088. PO PO-2024-0015 on file; no matching FAR row for MD-00088. Note — carrier label 1ZMD00000088 is not proof of receipt. offboarding ticket OFF-00088 referenced. Also: duplicate serial MD-NE-050088 flagged on the register.</t>
        </is>
      </c>
      <c r="L92" s="7" t="inlineStr">
        <is>
          <t>2026-07-07</t>
        </is>
      </c>
      <c r="M92" s="7" t="n">
        <v>6380</v>
      </c>
      <c r="N92" s="7">
        <f>IFERROR(XLOOKUP(A92,'Source Ledger'!$B$5:$B$133,'Source Ledger'!$G$5:$G$133),"")</f>
        <v>982.55</v>
      </c>
      <c r="O92" s="7">
        <f>IFERROR(XLOOKUP(A92,'Source Ledger'!$B$5:$B$133,'Source Ledger'!$A$5:$A$133),"")</f>
        <v/>
      </c>
      <c r="P92" s="7" t="inlineStr"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No</t>
        </is>
      </c>
      <c r="T92" t="n">
        <v>6380</v>
      </c>
      <c r="U92" t="inlineStr">
        <is>
          <t>Active</t>
        </is>
      </c>
      <c r="V92" t="n">
        <v>982.55</v>
      </c>
      <c r="W92" t="n">
        <v>0</v>
      </c>
      <c r="X92" t="inlineStr">
        <is>
          <t>Yes</t>
        </is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Laptop</t>
        </is>
      </c>
      <c r="D93" s="7" t="inlineStr">
        <is>
          <t>MacBook Pro 14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Outcome on MD-00089: Missing, Unknown, $2075 acquisition basis. Custodian Jonah Freedman (E0077) is Separated in HR. Transfer TR-00089 shows receipt 2026-06-17, approval APR-00089. PO PO-2024-0015 on file; no matching FAR row for MD-00089. Also: offboarding ticket OFF-00089 referenced. last operational site on register was Denver - Closed.</t>
        </is>
      </c>
      <c r="L93" s="7" t="inlineStr">
        <is>
          <t>2026-06-18</t>
        </is>
      </c>
      <c r="M93" s="7" t="n">
        <v>2075</v>
      </c>
      <c r="N93" s="7">
        <f>IFERROR(XLOOKUP(A93,'Source Ledger'!$B$5:$B$133,'Source Ledger'!$G$5:$G$133),"")</f>
        <v>0</v>
      </c>
      <c r="O93" s="7">
        <f>IFERROR(XLOOKUP(A93,'Source Ledger'!$B$5:$B$133,'Source Ledger'!$A$5:$A$133),"")</f>
        <v/>
      </c>
      <c r="P93" s="7" t="inlineStr"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 t="n">
        <v>2075</v>
      </c>
      <c r="U93" t="inlineStr">
        <is>
          <t>Active</t>
        </is>
      </c>
      <c r="V93" t="n">
        <v>0</v>
      </c>
      <c r="W93" t="n">
        <v>0</v>
      </c>
      <c r="X93" t="inlineStr">
        <is>
          <t>Yes</t>
        </is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Monitor</t>
        </is>
      </c>
      <c r="D94" s="7" t="inlineStr">
        <is>
          <t>Dell U2723QE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Register row MD-00090: verified Missing, location Unknown, cost $790. People file lists E0078 / Separated (Regina Lowe). Movement TR-00090 posted 2026-01-22 and inbound 01/28/2026, approval APR-00090. PO PO-2024-0015 on file; no matching FAR row for MD-00090. Note — offboarding ticket OFF-00090 referenced. last operational site on register was Chicago - Closed.</t>
        </is>
      </c>
      <c r="L94" s="7" t="inlineStr">
        <is>
          <t>2026-06-07</t>
        </is>
      </c>
      <c r="M94" s="7" t="n">
        <v>790</v>
      </c>
      <c r="N94" s="7">
        <f>IFERROR(XLOOKUP(A94,'Source Ledger'!$B$5:$B$133,'Source Ledger'!$G$5:$G$133),"")</f>
        <v>465.13</v>
      </c>
      <c r="O94" s="7">
        <f>IFERROR(XLOOKUP(A94,'Source Ledger'!$B$5:$B$133,'Source Ledger'!$A$5:$A$133),"")</f>
        <v/>
      </c>
      <c r="P94" s="7" t="inlineStr"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 t="n">
        <v>790</v>
      </c>
      <c r="U94" t="inlineStr">
        <is>
          <t>Active</t>
        </is>
      </c>
      <c r="V94" t="n">
        <v>465.13</v>
      </c>
      <c r="W94" t="n">
        <v>0</v>
      </c>
      <c r="X94" t="inlineStr">
        <is>
          <t>Yes</t>
        </is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Mobile Device</t>
        </is>
      </c>
      <c r="D95" s="7" t="inlineStr">
        <is>
          <t>Samsung Galaxy S24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Outcome on MD-00091: Missing, Unknown, $950 acquisition basis. hr_employee_status shows Wes Carvalho (E0079) as Separated. equipment_transfer_log TR-00091, approval APR-00091; received Feb 24, 2026. PO PO-2025-0016 on file; no matching FAR row for MD-00091. Also: offboarding ticket OFF-00091 referenced. last operational site on register was Denver - Closed.</t>
        </is>
      </c>
      <c r="L95" s="7" t="inlineStr">
        <is>
          <t>2026-05-08</t>
        </is>
      </c>
      <c r="M95" s="7" t="n">
        <v>950</v>
      </c>
      <c r="N95" s="7">
        <f>IFERROR(XLOOKUP(A95,'Source Ledger'!$B$5:$B$133,'Source Ledger'!$G$5:$G$133),"")</f>
        <v>643.09</v>
      </c>
      <c r="O95" s="7">
        <f>IFERROR(XLOOKUP(A95,'Source Ledger'!$B$5:$B$133,'Source Ledger'!$A$5:$A$133),"")</f>
        <v/>
      </c>
      <c r="P95" s="7" t="inlineStr"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 t="n">
        <v>950</v>
      </c>
      <c r="U95" t="inlineStr">
        <is>
          <t>Active</t>
        </is>
      </c>
      <c r="V95" t="n">
        <v>643.09</v>
      </c>
      <c r="W95" t="n">
        <v>0</v>
      </c>
      <c r="X95" t="inlineStr">
        <is>
          <t>Yes</t>
        </is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Cisco C9300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Outcome on MD-00092: Missing, Unknown, $6245 acquisition basis. hr_employee_status shows Tara Singh (E0080) as Separated. equipment_transfer_log TR-00092, approval APR-00092; received 2026-03-28. PO PO-2025-0016 on file; no matching FAR row for MD-00092. offboarding ticket OFF-00092 referenced. last operational site on register was Chicago - Closed. duplicate serial MD-NE-050088 flagged on the register.</t>
        </is>
      </c>
      <c r="L96" s="7" t="inlineStr">
        <is>
          <t>2026-06-09</t>
        </is>
      </c>
      <c r="M96" s="7" t="n">
        <v>6245</v>
      </c>
      <c r="N96" s="7">
        <f>IFERROR(XLOOKUP(A96,'Source Ledger'!$B$5:$B$133,'Source Ledger'!$G$5:$G$133),"")</f>
        <v>1396.04</v>
      </c>
      <c r="O96" s="7">
        <f>IFERROR(XLOOKUP(A96,'Source Ledger'!$B$5:$B$133,'Source Ledger'!$A$5:$A$133),"")</f>
        <v/>
      </c>
      <c r="P96" s="7" t="inlineStr"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 t="n">
        <v>6245</v>
      </c>
      <c r="U96" t="inlineStr">
        <is>
          <t>Active</t>
        </is>
      </c>
      <c r="V96" t="n">
        <v>1396.04</v>
      </c>
      <c r="W96" t="n">
        <v>0</v>
      </c>
      <c r="X96" t="inlineStr">
        <is>
          <t>Yes</t>
        </is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Laptop</t>
        </is>
      </c>
      <c r="D97" s="7" t="inlineStr">
        <is>
          <t>Dell Latitude 7440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Reconciliation kept MD-00093 at Missing (Unknown) once transfers and HR were read. Custodian Elliott Park (E0081) is Separated in HR. equipment_transfer_log TR-00093, approval APR-00093; received 05/06/2026. PO PO-2025-0016 on file; no matching FAR row for MD-00093. Note — offboarding ticket OFF-00093 referenced. Note — last operational site on register was Denver - Closed.</t>
        </is>
      </c>
      <c r="L97" s="7" t="inlineStr">
        <is>
          <t>2026-05-10</t>
        </is>
      </c>
      <c r="M97" s="7" t="n">
        <v>1940</v>
      </c>
      <c r="N97" s="7">
        <f>IFERROR(XLOOKUP(A97,'Source Ledger'!$B$5:$B$133,'Source Ledger'!$G$5:$G$133),"")</f>
        <v>130.57</v>
      </c>
      <c r="O97" s="7">
        <f>IFERROR(XLOOKUP(A97,'Source Ledger'!$B$5:$B$133,'Source Ledger'!$A$5:$A$133),"")</f>
        <v/>
      </c>
      <c r="P97" s="7" t="inlineStr"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 t="n">
        <v>1940</v>
      </c>
      <c r="U97" t="inlineStr">
        <is>
          <t>Active</t>
        </is>
      </c>
      <c r="V97" t="n">
        <v>130.57</v>
      </c>
      <c r="W97" t="n">
        <v>0</v>
      </c>
      <c r="X97" t="inlineStr">
        <is>
          <t>Yes</t>
        </is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Monitor</t>
        </is>
      </c>
      <c r="D98" s="7" t="inlineStr">
        <is>
          <t>Dell U2723QE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Verified outcome for MD-00094: Missing at Unknown; acquisition $655. No term conflict for E0082; status Separated. Transfer TR-00094 shows receipt Jun 04, 2026, approval APR-00094. PO PO-2025-0016 on file; no matching FAR row for MD-00094. Also: offboarding ticket OFF-00094 referenced. last operational site on register was Chicago - Closed.</t>
        </is>
      </c>
      <c r="L98" s="7" t="inlineStr">
        <is>
          <t>2026-06-11</t>
        </is>
      </c>
      <c r="M98" s="7" t="n">
        <v>655</v>
      </c>
      <c r="N98" s="7">
        <f>IFERROR(XLOOKUP(A98,'Source Ledger'!$B$5:$B$133,'Source Ledger'!$G$5:$G$133),"")</f>
        <v>431.2</v>
      </c>
      <c r="O98" s="7">
        <f>IFERROR(XLOOKUP(A98,'Source Ledger'!$B$5:$B$133,'Source Ledger'!$A$5:$A$133),"")</f>
        <v/>
      </c>
      <c r="P98" s="7" t="inlineStr"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 t="n">
        <v>655</v>
      </c>
      <c r="U98" t="inlineStr">
        <is>
          <t>Active</t>
        </is>
      </c>
      <c r="V98" t="n">
        <v>431.2</v>
      </c>
      <c r="W98" t="n">
        <v>0</v>
      </c>
      <c r="X98" t="inlineStr">
        <is>
          <t>Yes</t>
        </is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Mobile Device</t>
        </is>
      </c>
      <c r="D99" s="7" t="inlineStr">
        <is>
          <t>Samsung Galaxy S24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Verified outcome for MD-00095: Missing at Unknown; acquisition $1130. hr_employee_status shows Hugh Talbot (E0083) as Separated. Movement TR-00095 posted Jul 08, 2026 and inbound 2026-07-08, approval APR-00095. PO PO-2025-0016 on file; no matching FAR row for MD-00095. Also: offboarding ticket OFF-00095 referenced. Also: last operational site on register was Denver - Closed.</t>
        </is>
      </c>
      <c r="L99" s="7" t="inlineStr">
        <is>
          <t>2026-06-24</t>
        </is>
      </c>
      <c r="M99" s="7" t="n">
        <v>1130</v>
      </c>
      <c r="N99" s="7">
        <f>IFERROR(XLOOKUP(A99,'Source Ledger'!$B$5:$B$133,'Source Ledger'!$G$5:$G$133),"")</f>
        <v>894.87</v>
      </c>
      <c r="O99" s="7">
        <f>IFERROR(XLOOKUP(A99,'Source Ledger'!$B$5:$B$133,'Source Ledger'!$A$5:$A$133),"")</f>
        <v/>
      </c>
      <c r="P99" s="7" t="inlineStr"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 t="n">
        <v>1130</v>
      </c>
      <c r="U99" t="inlineStr">
        <is>
          <t>Active</t>
        </is>
      </c>
      <c r="V99" t="n">
        <v>894.87</v>
      </c>
      <c r="W99" t="n">
        <v>0</v>
      </c>
      <c r="X99" t="inlineStr">
        <is>
          <t>Yes</t>
        </is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Outcome on MD-00096: Missing, Unknown, $6425 acquisition basis. HR agrees Mira Adelman (E0084) is still Separated. Movement TR-00096 posted 2026-01-18 and inbound 01/19/2026, approval APR-00096. PO PO-2025-0016 on file; no matching FAR row for MD-00096. offboarding ticket OFF-00096 referenced. last operational site on register was Chicago - Closed.</t>
        </is>
      </c>
      <c r="L100" s="7" t="inlineStr">
        <is>
          <t>2026-06-13</t>
        </is>
      </c>
      <c r="M100" s="7" t="n">
        <v>6425</v>
      </c>
      <c r="N100" s="7">
        <f>IFERROR(XLOOKUP(A100,'Source Ledger'!$B$5:$B$133,'Source Ledger'!$G$5:$G$133),"")</f>
        <v>511.01</v>
      </c>
      <c r="O100" s="7">
        <f>IFERROR(XLOOKUP(A100,'Source Ledger'!$B$5:$B$133,'Source Ledger'!$A$5:$A$133),"")</f>
        <v/>
      </c>
      <c r="P100" s="7" t="inlineStr"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 t="n">
        <v>6425</v>
      </c>
      <c r="U100" t="inlineStr">
        <is>
          <t>Active</t>
        </is>
      </c>
      <c r="V100" t="n">
        <v>511.01</v>
      </c>
      <c r="W100" t="n">
        <v>0</v>
      </c>
      <c r="X100" t="inlineStr">
        <is>
          <t>Yes</t>
        </is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Laptop</t>
        </is>
      </c>
      <c r="D101" s="7" t="inlineStr">
        <is>
          <t>Lenovo ThinkPad T14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Register row MD-00097: verified Missing, location Unknown, cost $2120. No term conflict for E0085; status Separated. Movement TR-00097 posted 01/21/2026 and inbound Jan 27, 2026, approval APR-00097. PO PO-2022-0017 on file; no matching FAR row for MD-00097. offboarding ticket OFF-00097 referenced. Also: last operational site on register was Denver - Closed.</t>
        </is>
      </c>
      <c r="L101" s="7" t="inlineStr">
        <is>
          <t>2026-05-14</t>
        </is>
      </c>
      <c r="M101" s="7" t="n">
        <v>2120</v>
      </c>
      <c r="N101" s="7">
        <f>IFERROR(XLOOKUP(A101,'Source Ledger'!$B$5:$B$133,'Source Ledger'!$G$5:$G$133),"")</f>
        <v>0</v>
      </c>
      <c r="O101" s="7">
        <f>IFERROR(XLOOKUP(A101,'Source Ledger'!$B$5:$B$133,'Source Ledger'!$A$5:$A$133),"")</f>
        <v/>
      </c>
      <c r="P101" s="7" t="inlineStr"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 t="n">
        <v>2120</v>
      </c>
      <c r="U101" t="inlineStr">
        <is>
          <t>Active</t>
        </is>
      </c>
      <c r="V101" t="n">
        <v>0</v>
      </c>
      <c r="W101" t="n">
        <v>0</v>
      </c>
      <c r="X101" t="inlineStr">
        <is>
          <t>Yes</t>
        </is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Monitor</t>
        </is>
      </c>
      <c r="D102" s="7" t="inlineStr">
        <is>
          <t>Dell U2723QE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MD-00098 (Dell U2723QE) — Missing / Unknown per the cited movement and people records. Custodian Sloane Richter (E0086) is Separated in HR. Transfer TR-00098 shows receipt 2026-02-24, approval APR-00098. PO PO-2022-0017 on file; no matching FAR row for MD-00098. offboarding ticket OFF-00098 referenced. last operational site on register was Chicago - Closed.</t>
        </is>
      </c>
      <c r="L102" s="7" t="inlineStr">
        <is>
          <t>2026-06-15</t>
        </is>
      </c>
      <c r="M102" s="7" t="n">
        <v>520</v>
      </c>
      <c r="N102" s="7">
        <f>IFERROR(XLOOKUP(A102,'Source Ledger'!$B$5:$B$133,'Source Ledger'!$G$5:$G$133),"")</f>
        <v>266.87</v>
      </c>
      <c r="O102" s="7">
        <f>IFERROR(XLOOKUP(A102,'Source Ledger'!$B$5:$B$133,'Source Ledger'!$A$5:$A$133),"")</f>
        <v/>
      </c>
      <c r="P102" s="7" t="inlineStr"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 t="n">
        <v>520</v>
      </c>
      <c r="U102" t="inlineStr">
        <is>
          <t>Active</t>
        </is>
      </c>
      <c r="V102" t="n">
        <v>266.87</v>
      </c>
      <c r="W102" t="n">
        <v>0</v>
      </c>
      <c r="X102" t="inlineStr">
        <is>
          <t>Yes</t>
        </is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Mobile Device</t>
        </is>
      </c>
      <c r="D103" s="7" t="inlineStr">
        <is>
          <t>Samsung Galaxy S24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Verified outcome for MD-00099: Missing at Unknown; acquisition $995. Employment check: E0087 remains Separated. Movement TR-00099 posted 2026-03-31 and inbound 04/02/2026, approval APR-00099. PO PO-2022-0017 on file; no matching FAR row for MD-00099. Note — offboarding ticket OFF-00099 referenced. Also: last operational site on register was Denver - Closed.</t>
        </is>
      </c>
      <c r="L103" s="7" t="inlineStr">
        <is>
          <t>2026-05-16</t>
        </is>
      </c>
      <c r="M103" s="7" t="n">
        <v>995</v>
      </c>
      <c r="N103" s="7">
        <f>IFERROR(XLOOKUP(A103,'Source Ledger'!$B$5:$B$133,'Source Ledger'!$G$5:$G$133),"")</f>
        <v>548.24</v>
      </c>
      <c r="O103" s="7">
        <f>IFERROR(XLOOKUP(A103,'Source Ledger'!$B$5:$B$133,'Source Ledger'!$A$5:$A$133),"")</f>
        <v/>
      </c>
      <c r="P103" s="7" t="inlineStr"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 t="n">
        <v>995</v>
      </c>
      <c r="U103" t="inlineStr">
        <is>
          <t>Active</t>
        </is>
      </c>
      <c r="V103" t="n">
        <v>548.24</v>
      </c>
      <c r="W103" t="n">
        <v>0</v>
      </c>
      <c r="X103" t="inlineStr">
        <is>
          <t>Yes</t>
        </is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Network Asset</t>
        </is>
      </c>
      <c r="D104" s="7" t="inlineStr">
        <is>
          <t>Cisco C9300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Cisco C9300 MD-00100 ($6290) reconciled to Missing at Unknown. No term conflict for E0088; status Separated. Movement TR-00100 posted 05/01/2026 and inbound May 05, 2026, approval APR-00100. PO PO-2022-0017 on file; no matching FAR row for MD-00100. offboarding ticket OFF-00100 referenced. last operational site on register was Chicago - Closed.</t>
        </is>
      </c>
      <c r="L104" s="7" t="inlineStr">
        <is>
          <t>2026-06-17</t>
        </is>
      </c>
      <c r="M104" s="7" t="n">
        <v>6290</v>
      </c>
      <c r="N104" s="7">
        <f>IFERROR(XLOOKUP(A104,'Source Ledger'!$B$5:$B$133,'Source Ledger'!$G$5:$G$133),"")</f>
        <v>927.36</v>
      </c>
      <c r="O104" s="7">
        <f>IFERROR(XLOOKUP(A104,'Source Ledger'!$B$5:$B$133,'Source Ledger'!$A$5:$A$133),"")</f>
        <v/>
      </c>
      <c r="P104" s="7" t="inlineStr"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 t="n">
        <v>6290</v>
      </c>
      <c r="U104" t="inlineStr">
        <is>
          <t>Active</t>
        </is>
      </c>
      <c r="V104" t="n">
        <v>927.36</v>
      </c>
      <c r="W104" t="n">
        <v>0</v>
      </c>
      <c r="X104" t="inlineStr">
        <is>
          <t>Yes</t>
        </is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MacBook Pro 14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Verified outcome for MD-00101: Retired/Pending Disposal at Seattle; acquisition $1985. Movement TR-00101 posted Jun 05, 2026 and inbound 2026-06-07, approval APR-00101. PO PO-2022-0017 on file; no matching FAR row for MD-00101. Note — offboarding ticket RET-00101 referenced.</t>
        </is>
      </c>
      <c r="L105" s="7" t="inlineStr">
        <is>
          <t>2026-06-07</t>
        </is>
      </c>
      <c r="M105" s="7" t="n">
        <v>1985</v>
      </c>
      <c r="N105" s="7">
        <f>IFERROR(XLOOKUP(A105,'Source Ledger'!$B$5:$B$133,'Source Ledger'!$G$5:$G$133),"")</f>
        <v>0</v>
      </c>
      <c r="O105" s="7">
        <f>IFERROR(XLOOKUP(A105,'Source Ledger'!$B$5:$B$133,'Source Ledger'!$A$5:$A$133),"")</f>
        <v/>
      </c>
      <c r="P105" s="7" t="inlineStr"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 t="n">
        <v>1985</v>
      </c>
      <c r="U105" t="inlineStr">
        <is>
          <t>Active</t>
        </is>
      </c>
      <c r="V105" t="n">
        <v>0</v>
      </c>
      <c r="W105" t="n">
        <v>0</v>
      </c>
      <c r="X105" t="inlineStr">
        <is>
          <t>Yes</t>
        </is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Monitor</t>
        </is>
      </c>
      <c r="D106" s="7" t="inlineStr">
        <is>
          <t>Dell U2723QE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Dell U2723QE tagged MD-00102 remains Retired/Pending Disposal in Atlanta on the corrected register. equipment_transfer_log TR-00102, approval APR-00102; received 01/11/2026. PO PO-2022-0017 on file; no matching FAR row for MD-00102. Also: offboarding ticket RET-00102 referenced.</t>
        </is>
      </c>
      <c r="L106" s="7" t="inlineStr">
        <is>
          <t>2026-05-31</t>
        </is>
      </c>
      <c r="M106" s="7" t="n">
        <v>700</v>
      </c>
      <c r="N106" s="7">
        <f>IFERROR(XLOOKUP(A106,'Source Ledger'!$B$5:$B$133,'Source Ledger'!$G$5:$G$133),"")</f>
        <v>407.54</v>
      </c>
      <c r="O106" s="7">
        <f>IFERROR(XLOOKUP(A106,'Source Ledger'!$B$5:$B$133,'Source Ledger'!$A$5:$A$133),"")</f>
        <v/>
      </c>
      <c r="P106" s="7" t="inlineStr"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 t="n">
        <v>820</v>
      </c>
      <c r="U106" t="inlineStr">
        <is>
          <t>Active</t>
        </is>
      </c>
      <c r="V106" t="n">
        <v>407.54</v>
      </c>
      <c r="W106" t="n">
        <v>120</v>
      </c>
      <c r="X106" t="inlineStr">
        <is>
          <t>Yes</t>
        </is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Mobile Device</t>
        </is>
      </c>
      <c r="D107" s="7" t="inlineStr">
        <is>
          <t>Samsung Galaxy S24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Outcome on MD-00103: Retired/Pending Disposal, Chicago, $1175 acquisition basis. TR-00103 ties to MD-00103; dock date Feb 14, 2026, approval APR-00103. PO PO-2023-0018 on file; no matching FAR row for MD-00103. Note — offboarding ticket RET-00103 referenced.</t>
        </is>
      </c>
      <c r="L107" s="7" t="inlineStr">
        <is>
          <t>2026-05-31</t>
        </is>
      </c>
      <c r="M107" s="7" t="n">
        <v>1175</v>
      </c>
      <c r="N107" s="7">
        <f>IFERROR(XLOOKUP(A107,'Source Ledger'!$B$5:$B$133,'Source Ledger'!$G$5:$G$133),"")</f>
        <v>782.53</v>
      </c>
      <c r="O107" s="7">
        <f>IFERROR(XLOOKUP(A107,'Source Ledger'!$B$5:$B$133,'Source Ledger'!$A$5:$A$133),"")</f>
        <v/>
      </c>
      <c r="P107" s="7" t="inlineStr"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 t="n">
        <v>1175</v>
      </c>
      <c r="U107" t="inlineStr">
        <is>
          <t>Active</t>
        </is>
      </c>
      <c r="V107" t="n">
        <v>782.53</v>
      </c>
      <c r="W107" t="n">
        <v>0</v>
      </c>
      <c r="X107" t="inlineStr">
        <is>
          <t>Yes</t>
        </is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Network Asset</t>
        </is>
      </c>
      <c r="D108" s="7" t="inlineStr">
        <is>
          <t>Cisco C9300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Reconciliation kept MD-00104 at Retired/Pending Disposal (Dallas) once transfers and HR were read. Transfer TR-00104 shows receipt 2026-03-18, approval APR-00104. PO PO-2023-0018 on file; no matching FAR row for MD-00104. offboarding ticket RET-00104 referenced.</t>
        </is>
      </c>
      <c r="L108" s="7" t="inlineStr">
        <is>
          <t>2026-05-31</t>
        </is>
      </c>
      <c r="M108" s="7" t="n">
        <v>6470</v>
      </c>
      <c r="N108" s="7">
        <f>IFERROR(XLOOKUP(A108,'Source Ledger'!$B$5:$B$133,'Source Ledger'!$G$5:$G$133),"")</f>
        <v>1403.83</v>
      </c>
      <c r="O108" s="7">
        <f>IFERROR(XLOOKUP(A108,'Source Ledger'!$B$5:$B$133,'Source Ledger'!$A$5:$A$133),"")</f>
        <v/>
      </c>
      <c r="P108" s="7" t="inlineStr"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 t="n">
        <v>6470</v>
      </c>
      <c r="U108" t="inlineStr">
        <is>
          <t>Active</t>
        </is>
      </c>
      <c r="V108" t="n">
        <v>1403.83</v>
      </c>
      <c r="W108" t="n">
        <v>0</v>
      </c>
      <c r="X108" t="inlineStr">
        <is>
          <t>Yes</t>
        </is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After cross-file review, MD-00105 stays Retired/Pending Disposal in Denver. equipment_transfer_log TR-00105, approval APR-00105; received 04/21/2026. PO PO-2023-0018 on file; no matching FAR row for MD-00105. Also: offboarding ticket RET-00105 referenced.</t>
        </is>
      </c>
      <c r="L109" s="7" t="inlineStr">
        <is>
          <t>2026-05-31</t>
        </is>
      </c>
      <c r="M109" s="7" t="n">
        <v>1850</v>
      </c>
      <c r="N109" s="7">
        <f>IFERROR(XLOOKUP(A109,'Source Ledger'!$B$5:$B$133,'Source Ledger'!$G$5:$G$133),"")</f>
        <v>104.26</v>
      </c>
      <c r="O109" s="7">
        <f>IFERROR(XLOOKUP(A109,'Source Ledger'!$B$5:$B$133,'Source Ledger'!$A$5:$A$133),"")</f>
        <v/>
      </c>
      <c r="P109" s="7" t="inlineStr"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 t="n">
        <v>1850</v>
      </c>
      <c r="U109" t="inlineStr">
        <is>
          <t>Active</t>
        </is>
      </c>
      <c r="V109" t="n">
        <v>104.26</v>
      </c>
      <c r="W109" t="n">
        <v>0</v>
      </c>
      <c r="X109" t="inlineStr">
        <is>
          <t>Yes</t>
        </is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Monitor</t>
        </is>
      </c>
      <c r="D110" s="7" t="inlineStr">
        <is>
          <t>Dell U2723QE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Reconciliation kept MD-00106 at Retired/Pending Disposal (New York) once transfers and HR were read. equipment_transfer_log TR-00106, approval APR-00106; received May 25, 2026. PO PO-2023-0018 on file; no matching FAR row for MD-00106. offboarding ticket RET-00106 referenced.</t>
        </is>
      </c>
      <c r="L110" s="7" t="inlineStr">
        <is>
          <t>2026-05-31</t>
        </is>
      </c>
      <c r="M110" s="7" t="n">
        <v>565</v>
      </c>
      <c r="N110" s="7">
        <f>IFERROR(XLOOKUP(A110,'Source Ledger'!$B$5:$B$133,'Source Ledger'!$G$5:$G$133),"")</f>
        <v>368.24</v>
      </c>
      <c r="O110" s="7">
        <f>IFERROR(XLOOKUP(A110,'Source Ledger'!$B$5:$B$133,'Source Ledger'!$A$5:$A$133),"")</f>
        <v/>
      </c>
      <c r="P110" s="7" t="inlineStr"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 t="n">
        <v>565</v>
      </c>
      <c r="U110" t="inlineStr">
        <is>
          <t>Active</t>
        </is>
      </c>
      <c r="V110" t="n">
        <v>368.24</v>
      </c>
      <c r="W110" t="n">
        <v>0</v>
      </c>
      <c r="X110" t="inlineStr">
        <is>
          <t>Yes</t>
        </is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Mobile Device</t>
        </is>
      </c>
      <c r="D111" s="7" t="inlineStr">
        <is>
          <t>Samsung Galaxy S24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Samsung Galaxy S24 MD-00107 ($1040) reconciled to Retired/Pending Disposal at Seattle. equipment_transfer_log TR-00107, approval APR-00107; received 2026-06-27. PO PO-2023-0018 on file; no matching FAR row for MD-00107. Note — offboarding ticket RET-00107 referenced.</t>
        </is>
      </c>
      <c r="L111" s="7" t="inlineStr">
        <is>
          <t>2026-06-13</t>
        </is>
      </c>
      <c r="M111" s="7" t="n">
        <v>1040</v>
      </c>
      <c r="N111" s="7">
        <f>IFERROR(XLOOKUP(A111,'Source Ledger'!$B$5:$B$133,'Source Ledger'!$G$5:$G$133),"")</f>
        <v>812.21</v>
      </c>
      <c r="O111" s="7">
        <f>IFERROR(XLOOKUP(A111,'Source Ledger'!$B$5:$B$133,'Source Ledger'!$A$5:$A$133),"")</f>
        <v/>
      </c>
      <c r="P111" s="7" t="inlineStr"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 t="n">
        <v>1040</v>
      </c>
      <c r="U111" t="inlineStr">
        <is>
          <t>Active</t>
        </is>
      </c>
      <c r="V111" t="n">
        <v>812.21</v>
      </c>
      <c r="W111" t="n">
        <v>0</v>
      </c>
      <c r="X111" t="inlineStr">
        <is>
          <t>Yes</t>
        </is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Network Asset</t>
        </is>
      </c>
      <c r="D112" s="7" t="inlineStr">
        <is>
          <t>Cisco C9300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Reconciliation kept MD-00108 at Retired/Pending Disposal (Atlanta) once transfers and HR were read. Movement TR-00108 posted 2026-01-30 and inbound 01/30/2026, approval APR-00108. PO PO-2023-0018 on file; no matching FAR row for MD-00108. offboarding ticket RET-00108 referenced.</t>
        </is>
      </c>
      <c r="L112" s="7" t="inlineStr">
        <is>
          <t>2026-05-31</t>
        </is>
      </c>
      <c r="M112" s="7" t="n">
        <v>6335</v>
      </c>
      <c r="N112" s="7">
        <f>IFERROR(XLOOKUP(A112,'Source Ledger'!$B$5:$B$133,'Source Ledger'!$G$5:$G$133),"")</f>
        <v>545.48</v>
      </c>
      <c r="O112" s="7">
        <f>IFERROR(XLOOKUP(A112,'Source Ledger'!$B$5:$B$133,'Source Ledger'!$A$5:$A$133),"")</f>
        <v/>
      </c>
      <c r="P112" s="7" t="inlineStr"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 t="n">
        <v>6335</v>
      </c>
      <c r="U112" t="inlineStr">
        <is>
          <t>Active</t>
        </is>
      </c>
      <c r="V112" t="n">
        <v>545.48</v>
      </c>
      <c r="W112" t="n">
        <v>0</v>
      </c>
      <c r="X112" t="inlineStr">
        <is>
          <t>Yes</t>
        </is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MD-00109 (Lenovo ThinkPad T14) — Retired/Pending Disposal / Chicago per the cited movement and people records. Movement TR-00109 posted 02/02/2026 and inbound Feb 04, 2026, approval APR-00109. PO PO-2024-0019 on file; no matching FAR row for MD-00109. Also: offboarding ticket RET-00109 referenced.</t>
        </is>
      </c>
      <c r="L113" s="7" t="inlineStr">
        <is>
          <t>2026-05-31</t>
        </is>
      </c>
      <c r="M113" s="7" t="n">
        <v>2030</v>
      </c>
      <c r="N113" s="7">
        <f>IFERROR(XLOOKUP(A113,'Source Ledger'!$B$5:$B$133,'Source Ledger'!$G$5:$G$133),"")</f>
        <v>0</v>
      </c>
      <c r="O113" s="7">
        <f>IFERROR(XLOOKUP(A113,'Source Ledger'!$B$5:$B$133,'Source Ledger'!$A$5:$A$133),"")</f>
        <v/>
      </c>
      <c r="P113" s="7" t="inlineStr"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 t="n">
        <v>2030</v>
      </c>
      <c r="U113" t="inlineStr">
        <is>
          <t>Active</t>
        </is>
      </c>
      <c r="V113" t="n">
        <v>0</v>
      </c>
      <c r="W113" t="n">
        <v>0</v>
      </c>
      <c r="X113" t="inlineStr">
        <is>
          <t>Yes</t>
        </is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Monitor</t>
        </is>
      </c>
      <c r="D114" s="7" t="inlineStr">
        <is>
          <t>Dell U2723QE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MD-00110 (Dell U2723QE) — Retired/Pending Disposal / Dallas per the cited movement and people records. TR-00110 ties to MD-00110; dock date 2026-03-08, approval APR-00110. PO PO-2024-0019 on file; no matching FAR row for MD-00110. Also: offboarding ticket RET-00110 referenced.</t>
        </is>
      </c>
      <c r="L114" s="7" t="inlineStr">
        <is>
          <t>2026-05-31</t>
        </is>
      </c>
      <c r="M114" s="7" t="n">
        <v>745</v>
      </c>
      <c r="N114" s="7">
        <f>IFERROR(XLOOKUP(A114,'Source Ledger'!$B$5:$B$133,'Source Ledger'!$G$5:$G$133),"")</f>
        <v>387.24</v>
      </c>
      <c r="O114" s="7">
        <f>IFERROR(XLOOKUP(A114,'Source Ledger'!$B$5:$B$133,'Source Ledger'!$A$5:$A$133),"")</f>
        <v/>
      </c>
      <c r="P114" s="7" t="inlineStr"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 t="n">
        <v>745</v>
      </c>
      <c r="U114" t="inlineStr">
        <is>
          <t>Active</t>
        </is>
      </c>
      <c r="V114" t="n">
        <v>387.24</v>
      </c>
      <c r="W114" t="n">
        <v>0</v>
      </c>
      <c r="X114" t="inlineStr">
        <is>
          <t>Yes</t>
        </is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Mobile Device</t>
        </is>
      </c>
      <c r="D115" s="7" t="inlineStr">
        <is>
          <t>Samsung Galaxy S24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Outcome on MD-00111: Disposed, Disposed, $1220 acquisition basis. equipment_transfer_log TR-00111, approval APR-00111; received 04/13/2026. PO PO-2024-0019 on file; no matching FAR row for MD-00111. Note — offboarding ticket RET-00111 referenced.</t>
        </is>
      </c>
      <c r="L115" s="7" t="inlineStr">
        <is>
          <t>2026-07-20</t>
        </is>
      </c>
      <c r="M115" s="7" t="n">
        <v>1220</v>
      </c>
      <c r="N115" s="7">
        <f>IFERROR(XLOOKUP(A115,'Source Ledger'!$B$5:$B$133,'Source Ledger'!$G$5:$G$133),"")</f>
        <v>0</v>
      </c>
      <c r="O115" s="7">
        <f>IFERROR(XLOOKUP(A115,'Source Ledger'!$B$5:$B$133,'Source Ledger'!$A$5:$A$133),"")</f>
        <v/>
      </c>
      <c r="P115" s="7" t="inlineStr">
        <is>
          <t>No</t>
        </is>
      </c>
      <c r="Q115" s="9" t="inlineStr">
        <is>
          <t>High</t>
        </is>
      </c>
      <c r="R115" s="7" t="inlineStr"/>
      <c r="S115" s="7" t="inlineStr">
        <is>
          <t>No</t>
        </is>
      </c>
      <c r="T115" t="n">
        <v>1220</v>
      </c>
      <c r="U115" t="inlineStr">
        <is>
          <t>Disposed</t>
        </is>
      </c>
      <c r="V115" t="n">
        <v>0</v>
      </c>
      <c r="W115" t="n">
        <v>0</v>
      </c>
      <c r="X115" t="inlineStr">
        <is>
          <t>Yes</t>
        </is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Network Asset</t>
        </is>
      </c>
      <c r="D116" s="7" t="inlineStr">
        <is>
          <t>Cisco C9300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Verified outcome for MD-00112: Disposed at Disposed; acquisition $6200. Transfer TR-00112 shows receipt May 15, 2026, approval APR-00112. PO PO-2024-0019 on file; no matching FAR row for MD-00112. offboarding ticket RET-00112 referenced.</t>
        </is>
      </c>
      <c r="L116" s="7" t="inlineStr">
        <is>
          <t>2026-07-20</t>
        </is>
      </c>
      <c r="M116" s="7" t="n">
        <v>6200</v>
      </c>
      <c r="N116" s="7">
        <f>IFERROR(XLOOKUP(A116,'Source Ledger'!$B$5:$B$133,'Source Ledger'!$G$5:$G$133),"")</f>
        <v>0</v>
      </c>
      <c r="O116" s="7">
        <f>IFERROR(XLOOKUP(A116,'Source Ledger'!$B$5:$B$133,'Source Ledger'!$A$5:$A$133),"")</f>
        <v/>
      </c>
      <c r="P116" s="7" t="inlineStr">
        <is>
          <t>Yes</t>
        </is>
      </c>
      <c r="Q116" s="9" t="inlineStr">
        <is>
          <t>High</t>
        </is>
      </c>
      <c r="R116" s="7" t="inlineStr"/>
      <c r="S116" s="7" t="inlineStr">
        <is>
          <t>No</t>
        </is>
      </c>
      <c r="T116" t="n">
        <v>6200</v>
      </c>
      <c r="U116" t="inlineStr">
        <is>
          <t>Disposed</t>
        </is>
      </c>
      <c r="V116" t="n">
        <v>0</v>
      </c>
      <c r="W116" t="n">
        <v>0</v>
      </c>
      <c r="X116" t="inlineStr">
        <is>
          <t>Yes</t>
        </is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MacBook Pro 14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Verified outcome for MD-00113: Disposed at Disposed; acquisition $1895. equipment_transfer_log TR-00113, approval APR-00113; received 2026-06-18. PO PO-2024-0019 on file; no matching FAR row for MD-00113. offboarding ticket RET-00113 referenced.</t>
        </is>
      </c>
      <c r="L117" s="7" t="inlineStr">
        <is>
          <t>2026-07-20</t>
        </is>
      </c>
      <c r="M117" s="7" t="n">
        <v>1895</v>
      </c>
      <c r="N117" s="7">
        <f>IFERROR(XLOOKUP(A117,'Source Ledger'!$B$5:$B$133,'Source Ledger'!$G$5:$G$133),"")</f>
        <v>0</v>
      </c>
      <c r="O117" s="7">
        <f>IFERROR(XLOOKUP(A117,'Source Ledger'!$B$5:$B$133,'Source Ledger'!$A$5:$A$133),"")</f>
        <v/>
      </c>
      <c r="P117" s="7" t="inlineStr">
        <is>
          <t>No</t>
        </is>
      </c>
      <c r="Q117" s="9" t="inlineStr">
        <is>
          <t>High</t>
        </is>
      </c>
      <c r="R117" s="7" t="inlineStr"/>
      <c r="S117" s="7" t="inlineStr">
        <is>
          <t>No</t>
        </is>
      </c>
      <c r="T117" t="n">
        <v>1895</v>
      </c>
      <c r="U117" t="inlineStr">
        <is>
          <t>Disposed</t>
        </is>
      </c>
      <c r="V117" t="n">
        <v>0</v>
      </c>
      <c r="W117" t="n">
        <v>0</v>
      </c>
      <c r="X117" t="inlineStr">
        <is>
          <t>Yes</t>
        </is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Monitor</t>
        </is>
      </c>
      <c r="D118" s="7" t="inlineStr">
        <is>
          <t>Dell U2723QE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After cross-file review, MD-00114 stays Retired/Pending Disposal in Disposed (certificate missing). Movement TR-00114 posted 2026-01-22 and inbound 01/22/2026, approval APR-00114. PO PO-2024-0019 on file; no matching FAR row for MD-00114. Also: offboarding ticket RET-00114 referenced. Note — no verified disposal certificate located.</t>
        </is>
      </c>
      <c r="L118" s="7" t="inlineStr">
        <is>
          <t>2026-01-20</t>
        </is>
      </c>
      <c r="M118" s="7" t="n">
        <v>610</v>
      </c>
      <c r="N118" s="7">
        <f>IFERROR(XLOOKUP(A118,'Source Ledger'!$B$5:$B$133,'Source Ledger'!$G$5:$G$133),"")</f>
        <v>0</v>
      </c>
      <c r="O118" s="7">
        <f>IFERROR(XLOOKUP(A118,'Source Ledger'!$B$5:$B$133,'Source Ledger'!$A$5:$A$133),"")</f>
        <v/>
      </c>
      <c r="P118" s="7" t="inlineStr"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 t="n">
        <v>610</v>
      </c>
      <c r="U118" t="inlineStr">
        <is>
          <t>Disposed</t>
        </is>
      </c>
      <c r="V118" t="n">
        <v>0</v>
      </c>
      <c r="W118" t="n">
        <v>0</v>
      </c>
      <c r="X118" t="inlineStr">
        <is>
          <t>Yes</t>
        </is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Mobile Device</t>
        </is>
      </c>
      <c r="D119" s="7" t="inlineStr">
        <is>
          <t>Samsung Galaxy S24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Samsung Galaxy S24 tagged MD-00115 remains Disposed in Disposed on the corrected register. TR-00115 ties to MD-00115; dock date Feb 25, 2026, approval APR-00115. PO PO-2025-0020 on file; no matching FAR row for MD-00115. offboarding ticket RET-00115 referenced.</t>
        </is>
      </c>
      <c r="L119" s="7" t="inlineStr">
        <is>
          <t>2026-07-20</t>
        </is>
      </c>
      <c r="M119" s="7" t="n">
        <v>1085</v>
      </c>
      <c r="N119" s="7">
        <f>IFERROR(XLOOKUP(A119,'Source Ledger'!$B$5:$B$133,'Source Ledger'!$G$5:$G$133),"")</f>
        <v>0</v>
      </c>
      <c r="O119" s="7">
        <f>IFERROR(XLOOKUP(A119,'Source Ledger'!$B$5:$B$133,'Source Ledger'!$A$5:$A$133),"")</f>
        <v/>
      </c>
      <c r="P119" s="7" t="inlineStr">
        <is>
          <t>No</t>
        </is>
      </c>
      <c r="Q119" s="9" t="inlineStr">
        <is>
          <t>High</t>
        </is>
      </c>
      <c r="R119" s="7" t="inlineStr"/>
      <c r="S119" s="7" t="inlineStr">
        <is>
          <t>No</t>
        </is>
      </c>
      <c r="T119" t="n">
        <v>1085</v>
      </c>
      <c r="U119" t="inlineStr">
        <is>
          <t>Disposed</t>
        </is>
      </c>
      <c r="V119" t="n">
        <v>0</v>
      </c>
      <c r="W119" t="n">
        <v>0</v>
      </c>
      <c r="X119" t="inlineStr">
        <is>
          <t>Yes</t>
        </is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Network Asset</t>
        </is>
      </c>
      <c r="D120" s="7" t="inlineStr">
        <is>
          <t>Cisco C9300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Location Disposed and status Disposed on MD-00116 match the stronger transaction trail. equipment_transfer_log TR-00116, approval APR-00116; received 2026-03-29. PO PO-2025-0020 on file; no matching FAR row for MD-00116. offboarding ticket RET-00116 referenced.</t>
        </is>
      </c>
      <c r="L120" s="7" t="inlineStr">
        <is>
          <t>2026-07-20</t>
        </is>
      </c>
      <c r="M120" s="7" t="n">
        <v>6380</v>
      </c>
      <c r="N120" s="7">
        <f>IFERROR(XLOOKUP(A120,'Source Ledger'!$B$5:$B$133,'Source Ledger'!$G$5:$G$133),"")</f>
        <v>0</v>
      </c>
      <c r="O120" s="7">
        <f>IFERROR(XLOOKUP(A120,'Source Ledger'!$B$5:$B$133,'Source Ledger'!$A$5:$A$133),"")</f>
        <v/>
      </c>
      <c r="P120" s="7" t="inlineStr">
        <is>
          <t>Yes</t>
        </is>
      </c>
      <c r="Q120" s="9" t="inlineStr">
        <is>
          <t>High</t>
        </is>
      </c>
      <c r="R120" s="7" t="inlineStr"/>
      <c r="S120" s="7" t="inlineStr">
        <is>
          <t>No</t>
        </is>
      </c>
      <c r="T120" t="n">
        <v>6380</v>
      </c>
      <c r="U120" t="inlineStr">
        <is>
          <t>Disposed</t>
        </is>
      </c>
      <c r="V120" t="n">
        <v>0</v>
      </c>
      <c r="W120" t="n">
        <v>0</v>
      </c>
      <c r="X120" t="inlineStr">
        <is>
          <t>Yes</t>
        </is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Dell Latitude 7440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Location Disposed and status Disposed on MD-00117 match the stronger transaction trail. equipment_transfer_log TR-00117, approval APR-00117; received 05/02/2026. PO PO-2025-0020 on file; no matching FAR row for MD-00117. Also: offboarding ticket RET-00117 referenced.</t>
        </is>
      </c>
      <c r="L121" s="7" t="inlineStr">
        <is>
          <t>2026-07-20</t>
        </is>
      </c>
      <c r="M121" s="7" t="n">
        <v>2075</v>
      </c>
      <c r="N121" s="7">
        <f>IFERROR(XLOOKUP(A121,'Source Ledger'!$B$5:$B$133,'Source Ledger'!$G$5:$G$133),"")</f>
        <v>0</v>
      </c>
      <c r="O121" s="7">
        <f>IFERROR(XLOOKUP(A121,'Source Ledger'!$B$5:$B$133,'Source Ledger'!$A$5:$A$133),"")</f>
        <v/>
      </c>
      <c r="P121" s="7" t="inlineStr">
        <is>
          <t>No</t>
        </is>
      </c>
      <c r="Q121" s="9" t="inlineStr">
        <is>
          <t>High</t>
        </is>
      </c>
      <c r="R121" s="7" t="inlineStr"/>
      <c r="S121" s="7" t="inlineStr">
        <is>
          <t>No</t>
        </is>
      </c>
      <c r="T121" t="n">
        <v>2075</v>
      </c>
      <c r="U121" t="inlineStr">
        <is>
          <t>Disposed</t>
        </is>
      </c>
      <c r="V121" t="n">
        <v>0</v>
      </c>
      <c r="W121" t="n">
        <v>0</v>
      </c>
      <c r="X121" t="inlineStr">
        <is>
          <t>Yes</t>
        </is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Monitor</t>
        </is>
      </c>
      <c r="D122" s="7" t="inlineStr">
        <is>
          <t>Dell U2723QE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MD-00118 (Dell U2723QE) — Retired/Pending Disposal / Disposed (certificate missing) per the cited movement and people records. Movement TR-00118 posted 06/03/2026 and inbound Jun 04, 2026, approval APR-00118. PO PO-2025-0020 on file; no matching FAR row for MD-00118. offboarding ticket RET-00118 referenced. Also: no verified disposal certificate located.</t>
        </is>
      </c>
      <c r="L122" s="7" t="inlineStr">
        <is>
          <t>2026-05-24</t>
        </is>
      </c>
      <c r="M122" s="7" t="n">
        <v>790</v>
      </c>
      <c r="N122" s="7">
        <f>IFERROR(XLOOKUP(A122,'Source Ledger'!$B$5:$B$133,'Source Ledger'!$G$5:$G$133),"")</f>
        <v>0</v>
      </c>
      <c r="O122" s="7">
        <f>IFERROR(XLOOKUP(A122,'Source Ledger'!$B$5:$B$133,'Source Ledger'!$A$5:$A$133),"")</f>
        <v/>
      </c>
      <c r="P122" s="7" t="inlineStr"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 t="n">
        <v>790</v>
      </c>
      <c r="U122" t="inlineStr">
        <is>
          <t>Disposed</t>
        </is>
      </c>
      <c r="V122" t="n">
        <v>0</v>
      </c>
      <c r="W122" t="n">
        <v>0</v>
      </c>
      <c r="X122" t="inlineStr">
        <is>
          <t>Yes</t>
        </is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Mobile Device</t>
        </is>
      </c>
      <c r="D123" s="7" t="inlineStr">
        <is>
          <t>Samsung Galaxy S24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Reconciliation kept MD-00119 at Disposed (Disposed) once transfers and HR were read. equipment_transfer_log TR-00119, approval APR-00119; received 2026-07-09. PO PO-2025-0020 on file; no matching FAR row for MD-00119. offboarding ticket RET-00119 referenced.</t>
        </is>
      </c>
      <c r="L123" s="7" t="inlineStr">
        <is>
          <t>2026-07-20</t>
        </is>
      </c>
      <c r="M123" s="7" t="n">
        <v>950</v>
      </c>
      <c r="N123" s="7">
        <f>IFERROR(XLOOKUP(A123,'Source Ledger'!$B$5:$B$133,'Source Ledger'!$G$5:$G$133),"")</f>
        <v>0</v>
      </c>
      <c r="O123" s="7">
        <f>IFERROR(XLOOKUP(A123,'Source Ledger'!$B$5:$B$133,'Source Ledger'!$A$5:$A$133),"")</f>
        <v/>
      </c>
      <c r="P123" s="7" t="inlineStr"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is>
          <t>No</t>
        </is>
      </c>
      <c r="T123" t="n">
        <v>1115</v>
      </c>
      <c r="U123" t="inlineStr">
        <is>
          <t>Disposed</t>
        </is>
      </c>
      <c r="V123" t="n">
        <v>0</v>
      </c>
      <c r="W123" t="n">
        <v>165</v>
      </c>
      <c r="X123" t="inlineStr">
        <is>
          <t>Yes</t>
        </is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Network Asset</t>
        </is>
      </c>
      <c r="D124" s="7" t="inlineStr">
        <is>
          <t>Cisco C9300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Verified outcome for MD-00120: Disposed at Disposed; acquisition $6245. Movement TR-00120 posted 2026-01-18 and inbound 01/20/2026, approval APR-00120. PO PO-2025-0020 on file; no matching FAR row for MD-00120. Also: offboarding ticket RET-00120 referenced.</t>
        </is>
      </c>
      <c r="L124" s="7" t="inlineStr">
        <is>
          <t>2026-07-20</t>
        </is>
      </c>
      <c r="M124" s="7" t="n">
        <v>6245</v>
      </c>
      <c r="N124" s="7">
        <f>IFERROR(XLOOKUP(A124,'Source Ledger'!$B$5:$B$133,'Source Ledger'!$G$5:$G$133),"")</f>
        <v>0</v>
      </c>
      <c r="O124" s="7">
        <f>IFERROR(XLOOKUP(A124,'Source Ledger'!$B$5:$B$133,'Source Ledger'!$A$5:$A$133),"")</f>
        <v/>
      </c>
      <c r="P124" s="7" t="inlineStr">
        <is>
          <t>Yes</t>
        </is>
      </c>
      <c r="Q124" s="9" t="inlineStr">
        <is>
          <t>High</t>
        </is>
      </c>
      <c r="R124" s="7" t="inlineStr"/>
      <c r="S124" s="7" t="inlineStr">
        <is>
          <t>No</t>
        </is>
      </c>
      <c r="T124" t="n">
        <v>6245</v>
      </c>
      <c r="U124" t="inlineStr">
        <is>
          <t>Disposed</t>
        </is>
      </c>
      <c r="V124" t="n">
        <v>0</v>
      </c>
      <c r="W124" t="n">
        <v>0</v>
      </c>
      <c r="X124" t="inlineStr">
        <is>
          <t>Yes</t>
        </is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Lenovo ThinkPad T14</t>
        </is>
      </c>
      <c r="E125" s="7" t="inlineStr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Reconciliation kept MD-00121 at Available (Chicago) once transfers and HR were read. Transfer TR-00121 shows receipt Jan 21, 2026, approval APR-00121. PO PO-2022-0021 on file; no matching FAR row for MD-00121.</t>
        </is>
      </c>
      <c r="L125" s="7" t="inlineStr">
        <is>
          <t>2026-02-03</t>
        </is>
      </c>
      <c r="M125" s="7" t="n">
        <v>1940</v>
      </c>
      <c r="N125" s="7">
        <f>IFERROR(XLOOKUP(A125,'Source Ledger'!$B$5:$B$133,'Source Ledger'!$G$5:$G$133),"")</f>
        <v>0</v>
      </c>
      <c r="O125" s="7">
        <f>IFERROR(XLOOKUP(A125,'Source Ledger'!$B$5:$B$133,'Source Ledger'!$A$5:$A$133),"")</f>
        <v/>
      </c>
      <c r="P125" s="7" t="inlineStr"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is>
          <t>No</t>
        </is>
      </c>
      <c r="T125" t="n">
        <v>1940</v>
      </c>
      <c r="U125" t="inlineStr">
        <is>
          <t>Active</t>
        </is>
      </c>
      <c r="V125" t="n">
        <v>0</v>
      </c>
      <c r="W125" t="n">
        <v>0</v>
      </c>
      <c r="X125" t="inlineStr">
        <is>
          <t>Yes</t>
        </is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Monitor</t>
        </is>
      </c>
      <c r="D126" s="7" t="inlineStr">
        <is>
          <t>Dell U2723QE</t>
        </is>
      </c>
      <c r="E126" s="7" t="inlineStr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Reconciliation kept MD-00122 at Available (Dallas) once transfers and HR were read. TR-00122 ties to MD-00122; dock date 2026-02-25, approval APR-00122. PO PO-2022-0021 on file; no matching FAR row for MD-00122.</t>
        </is>
      </c>
      <c r="L126" s="7" t="inlineStr">
        <is>
          <t>2026-03-04</t>
        </is>
      </c>
      <c r="M126" s="7" t="n">
        <v>655</v>
      </c>
      <c r="N126" s="7">
        <f>IFERROR(XLOOKUP(A126,'Source Ledger'!$B$5:$B$133,'Source Ledger'!$G$5:$G$133),"")</f>
        <v>336.15</v>
      </c>
      <c r="O126" s="7">
        <f>IFERROR(XLOOKUP(A126,'Source Ledger'!$B$5:$B$133,'Source Ledger'!$A$5:$A$133),"")</f>
        <v/>
      </c>
      <c r="P126" s="7" t="inlineStr"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is>
          <t>No</t>
        </is>
      </c>
      <c r="T126" t="n">
        <v>655</v>
      </c>
      <c r="U126" t="inlineStr">
        <is>
          <t>Active</t>
        </is>
      </c>
      <c r="V126" t="n">
        <v>336.15</v>
      </c>
      <c r="W126" t="n">
        <v>0</v>
      </c>
      <c r="X126" t="inlineStr">
        <is>
          <t>Yes</t>
        </is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Mobile Device</t>
        </is>
      </c>
      <c r="D127" s="7" t="inlineStr">
        <is>
          <t>Samsung Galaxy S24</t>
        </is>
      </c>
      <c r="E127" s="7" t="inlineStr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Verified outcome for MD-00123: Available at Denver; acquisition $1130. Movement TR-00123 posted 2026-03-31 and inbound 04/03/2026, approval APR-00123. PO PO-2022-0021 on file; no matching FAR row for MD-00123.</t>
        </is>
      </c>
      <c r="L127" s="7" t="inlineStr">
        <is>
          <t>2026-04-05</t>
        </is>
      </c>
      <c r="M127" s="7" t="n">
        <v>1130</v>
      </c>
      <c r="N127" s="7">
        <f>IFERROR(XLOOKUP(A127,'Source Ledger'!$B$5:$B$133,'Source Ledger'!$G$5:$G$133),"")</f>
        <v>622.62</v>
      </c>
      <c r="O127" s="7">
        <f>IFERROR(XLOOKUP(A127,'Source Ledger'!$B$5:$B$133,'Source Ledger'!$A$5:$A$133),"")</f>
        <v/>
      </c>
      <c r="P127" s="7" t="inlineStr"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is>
          <t>No</t>
        </is>
      </c>
      <c r="T127" t="n">
        <v>1130</v>
      </c>
      <c r="U127" t="inlineStr">
        <is>
          <t>Active</t>
        </is>
      </c>
      <c r="V127" t="n">
        <v>622.62</v>
      </c>
      <c r="W127" t="n">
        <v>0</v>
      </c>
      <c r="X127" t="inlineStr">
        <is>
          <t>Yes</t>
        </is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Network Asset</t>
        </is>
      </c>
      <c r="D128" s="7" t="inlineStr">
        <is>
          <t>Cisco C9300</t>
        </is>
      </c>
      <c r="E128" s="7" t="inlineStr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Outcome on MD-00124: Available, New York, $6425 acquisition basis. TR-00124 ties to MD-00124; dock date May 01, 2026, approval APR-00124. PO PO-2022-0021 on file; no matching FAR row for MD-00124.</t>
        </is>
      </c>
      <c r="L128" s="7" t="inlineStr">
        <is>
          <t>2026-05-06</t>
        </is>
      </c>
      <c r="M128" s="7" t="n">
        <v>6425</v>
      </c>
      <c r="N128" s="7">
        <f>IFERROR(XLOOKUP(A128,'Source Ledger'!$B$5:$B$133,'Source Ledger'!$G$5:$G$133),"")</f>
        <v>947.26</v>
      </c>
      <c r="O128" s="7">
        <f>IFERROR(XLOOKUP(A128,'Source Ledger'!$B$5:$B$133,'Source Ledger'!$A$5:$A$133),"")</f>
        <v/>
      </c>
      <c r="P128" s="7" t="inlineStr"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is>
          <t>No</t>
        </is>
      </c>
      <c r="T128" t="n">
        <v>6425</v>
      </c>
      <c r="U128" t="inlineStr">
        <is>
          <t>Active</t>
        </is>
      </c>
      <c r="V128" t="n">
        <v>947.26</v>
      </c>
      <c r="W128" t="n">
        <v>0</v>
      </c>
      <c r="X128" t="inlineStr">
        <is>
          <t>Yes</t>
        </is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MacBook Pro 14</t>
        </is>
      </c>
      <c r="E129" s="7" t="inlineStr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Location Seattle and status Available on MD-00125 match the stronger transaction trail. TR-00125 ties to MD-00125; dock date 2026-06-08, approval APR-00125. PO PO-2022-0021 on file; no matching FAR row for MD-00125.</t>
        </is>
      </c>
      <c r="L129" s="7" t="inlineStr">
        <is>
          <t>2026-06-07</t>
        </is>
      </c>
      <c r="M129" s="7" t="n">
        <v>2120</v>
      </c>
      <c r="N129" s="7">
        <f>IFERROR(XLOOKUP(A129,'Source Ledger'!$B$5:$B$133,'Source Ledger'!$G$5:$G$133),"")</f>
        <v>0</v>
      </c>
      <c r="O129" s="7">
        <f>IFERROR(XLOOKUP(A129,'Source Ledger'!$B$5:$B$133,'Source Ledger'!$A$5:$A$133),"")</f>
        <v/>
      </c>
      <c r="P129" s="7" t="inlineStr"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is>
          <t>No</t>
        </is>
      </c>
      <c r="T129" t="n">
        <v>2120</v>
      </c>
      <c r="U129" t="inlineStr">
        <is>
          <t>Active</t>
        </is>
      </c>
      <c r="V129" t="n">
        <v>0</v>
      </c>
      <c r="W129" t="n">
        <v>0</v>
      </c>
      <c r="X129" t="inlineStr">
        <is>
          <t>Yes</t>
        </is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Monitor</t>
        </is>
      </c>
      <c r="D130" s="7" t="inlineStr">
        <is>
          <t>Dell U2723QE</t>
        </is>
      </c>
      <c r="E130" s="7" t="inlineStr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After cross-file review, MD-00126 stays Available in Atlanta. equipment_transfer_log TR-00126, approval APR-00126; received 01/12/2026. PO PO-2022-0021 on file; no matching FAR row for MD-00126.</t>
        </is>
      </c>
      <c r="L130" s="7" t="inlineStr">
        <is>
          <t>2026-01-08</t>
        </is>
      </c>
      <c r="M130" s="7" t="n">
        <v>520</v>
      </c>
      <c r="N130" s="7">
        <f>IFERROR(XLOOKUP(A130,'Source Ledger'!$B$5:$B$133,'Source Ledger'!$G$5:$G$133),"")</f>
        <v>302.75</v>
      </c>
      <c r="O130" s="7">
        <f>IFERROR(XLOOKUP(A130,'Source Ledger'!$B$5:$B$133,'Source Ledger'!$A$5:$A$133),"")</f>
        <v/>
      </c>
      <c r="P130" s="7" t="inlineStr"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is>
          <t>No</t>
        </is>
      </c>
      <c r="T130" t="n">
        <v>520</v>
      </c>
      <c r="U130" t="inlineStr">
        <is>
          <t>Active</t>
        </is>
      </c>
      <c r="V130" t="n">
        <v>302.75</v>
      </c>
      <c r="W130" t="n">
        <v>0</v>
      </c>
      <c r="X130" t="inlineStr">
        <is>
          <t>Yes</t>
        </is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Mobile Device</t>
        </is>
      </c>
      <c r="D131" s="7" t="inlineStr">
        <is>
          <t>Samsung Galaxy S24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Outcome on MD-00127: In Use, Denver, $995 acquisition basis. No term conflict for E0061; status Transferred. equipment_transfer_log TR-00127, approval field blank; received Feb 17, 2026. PO PO-2023-0022 on file; no matching FAR row for MD-00127.</t>
        </is>
      </c>
      <c r="L131" s="7" t="inlineStr">
        <is>
          <t>2026-08-05</t>
        </is>
      </c>
      <c r="M131" s="7" t="n">
        <v>995</v>
      </c>
      <c r="N131" s="7">
        <f>IFERROR(XLOOKUP(A131,'Source Ledger'!$B$5:$B$133,'Source Ledger'!$G$5:$G$133),"")</f>
        <v>662.65</v>
      </c>
      <c r="O131" s="7">
        <f>IFERROR(XLOOKUP(A131,'Source Ledger'!$B$5:$B$133,'Source Ledger'!$A$5:$A$133),"")</f>
        <v/>
      </c>
      <c r="P131" s="7" t="inlineStr"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No</t>
        </is>
      </c>
      <c r="T131" t="n">
        <v>995</v>
      </c>
      <c r="U131" t="inlineStr">
        <is>
          <t>Active</t>
        </is>
      </c>
      <c r="V131" t="n">
        <v>662.65</v>
      </c>
      <c r="W131" t="n">
        <v>0</v>
      </c>
      <c r="X131" t="inlineStr">
        <is>
          <t>Yes</t>
        </is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Network Asset</t>
        </is>
      </c>
      <c r="D132" s="7" t="inlineStr">
        <is>
          <t>Cisco C9300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Cisco C9300 tagged MD-00128 remains In Use in New York on the corrected register. hr_employee_status shows Bianca Silva (E0062) as Transferred. Transfer TR-00128 shows receipt 2026-03-19, approval APR-00128. PO PO-2023-0022 on file; no matching FAR row for MD-00128.</t>
        </is>
      </c>
      <c r="L132" s="7" t="inlineStr">
        <is>
          <t>2026-08-05</t>
        </is>
      </c>
      <c r="M132" s="7" t="n">
        <v>6290</v>
      </c>
      <c r="N132" s="7">
        <f>IFERROR(XLOOKUP(A132,'Source Ledger'!$B$5:$B$133,'Source Ledger'!$G$5:$G$133),"")</f>
        <v>1364.77</v>
      </c>
      <c r="O132" s="7">
        <f>IFERROR(XLOOKUP(A132,'Source Ledger'!$B$5:$B$133,'Source Ledger'!$A$5:$A$133),"")</f>
        <v/>
      </c>
      <c r="P132" s="7" t="inlineStr">
        <is>
          <t>Yes</t>
        </is>
      </c>
      <c r="Q132" s="9" t="inlineStr">
        <is>
          <t>High</t>
        </is>
      </c>
      <c r="R132" s="7" t="inlineStr"/>
      <c r="S132" s="7" t="inlineStr">
        <is>
          <t>No</t>
        </is>
      </c>
      <c r="T132" t="n">
        <v>6290</v>
      </c>
      <c r="U132" t="inlineStr">
        <is>
          <t>Active</t>
        </is>
      </c>
      <c r="V132" t="n">
        <v>1364.77</v>
      </c>
      <c r="W132" t="n">
        <v>0</v>
      </c>
      <c r="X132" t="inlineStr">
        <is>
          <t>Yes</t>
        </is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Dell Latitude 7440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Register row MD-00129: verified In Use, location Seattle, cost $1985. hr_employee_status shows Greg Hollis (E0063) as Transferred. TR-00129 ties to MD-00129; dock date 04/21/2026, approval APR-00129. PO PO-2023-0022 on file; no matching FAR row for MD-00129.</t>
        </is>
      </c>
      <c r="L133" s="7" t="inlineStr">
        <is>
          <t>2026-08-05</t>
        </is>
      </c>
      <c r="M133" s="7" t="n">
        <v>1985</v>
      </c>
      <c r="N133" s="7">
        <f>IFERROR(XLOOKUP(A133,'Source Ledger'!$B$5:$B$133,'Source Ledger'!$G$5:$G$133),"")</f>
        <v>111.86</v>
      </c>
      <c r="O133" s="7">
        <f>IFERROR(XLOOKUP(A133,'Source Ledger'!$B$5:$B$133,'Source Ledger'!$A$5:$A$133),"")</f>
        <v/>
      </c>
      <c r="P133" s="7" t="inlineStr">
        <is>
          <t>No</t>
        </is>
      </c>
      <c r="Q133" s="9" t="inlineStr">
        <is>
          <t>High</t>
        </is>
      </c>
      <c r="R133" s="7" t="inlineStr"/>
      <c r="S133" s="7" t="inlineStr">
        <is>
          <t>No</t>
        </is>
      </c>
      <c r="T133" t="n">
        <v>1985</v>
      </c>
      <c r="U133" t="inlineStr">
        <is>
          <t>Active</t>
        </is>
      </c>
      <c r="V133" t="n">
        <v>111.86</v>
      </c>
      <c r="W133" t="n">
        <v>0</v>
      </c>
      <c r="X133" t="inlineStr">
        <is>
          <t>Yes</t>
        </is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Monitor</t>
        </is>
      </c>
      <c r="D134" s="7" t="inlineStr">
        <is>
          <t>Dell U2723QE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Reconciliation kept MD-00130 at In Use (Atlanta) once transfers and HR were read. No term conflict for E0064; status Transferred. equipment_transfer_log TR-00130, approval APR-00130; received May 28, 2026. PO PO-2023-0022 on file; no matching FAR row for MD-00130. Also: $700 below $2,500 — missing FA expected.</t>
        </is>
      </c>
      <c r="L134" s="7" t="inlineStr">
        <is>
          <t>2026-08-05</t>
        </is>
      </c>
      <c r="M134" s="7" t="n">
        <v>700</v>
      </c>
      <c r="N134" s="7">
        <f>IFERROR(XLOOKUP(A134,'Source Ledger'!$B$5:$B$133,'Source Ledger'!$G$5:$G$133),"")</f>
        <v/>
      </c>
      <c r="O134" s="7">
        <f>IFERROR(XLOOKUP(A134,'Source Ledger'!$B$5:$B$133,'Source Ledger'!$A$5:$A$133),"")</f>
        <v/>
      </c>
      <c r="P134" s="7" t="inlineStr"/>
      <c r="Q134" s="9" t="inlineStr">
        <is>
          <t>High</t>
        </is>
      </c>
      <c r="R134" s="7" t="inlineStr">
        <is>
          <t>EX-0161</t>
        </is>
      </c>
      <c r="S134" s="7" t="inlineStr">
        <is>
          <t>No</t>
        </is>
      </c>
      <c r="X134" t="inlineStr">
        <is>
          <t>No</t>
        </is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Mobile Device</t>
        </is>
      </c>
      <c r="D135" s="7" t="inlineStr">
        <is>
          <t>Samsung Galaxy S24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Location Chicago and status In Use on MD-00131 match the stronger transaction trail. Employment check: E0065 remains Transferred. equipment_transfer_log TR-00131, approval APR-00131; received 2026-06-28. PO PO-2023-0022 on file; no matching FAR row for MD-00131. $1175 below $2,500 — missing FA expected.</t>
        </is>
      </c>
      <c r="L135" s="7" t="inlineStr">
        <is>
          <t>2026-08-05</t>
        </is>
      </c>
      <c r="M135" s="7" t="n">
        <v>1175</v>
      </c>
      <c r="N135" s="7">
        <f>IFERROR(XLOOKUP(A135,'Source Ledger'!$B$5:$B$133,'Source Ledger'!$G$5:$G$133),"")</f>
        <v/>
      </c>
      <c r="O135" s="7">
        <f>IFERROR(XLOOKUP(A135,'Source Ledger'!$B$5:$B$133,'Source Ledger'!$A$5:$A$133),"")</f>
        <v/>
      </c>
      <c r="P135" s="7" t="inlineStr"/>
      <c r="Q135" s="9" t="inlineStr">
        <is>
          <t>High</t>
        </is>
      </c>
      <c r="R135" s="7" t="inlineStr">
        <is>
          <t>EX-0162</t>
        </is>
      </c>
      <c r="S135" s="7" t="inlineStr">
        <is>
          <t>No</t>
        </is>
      </c>
      <c r="X135" t="inlineStr">
        <is>
          <t>No</t>
        </is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Network Asset</t>
        </is>
      </c>
      <c r="D136" s="7" t="inlineStr">
        <is>
          <t>Cisco C9300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MD-00132 closed as In Use; operating site Dallas; unit cost $6470. hr_employee_status shows Sharon Quinlan (E0066) as Transferred. Transfer TR-00132 shows receipt 01/31/2026, approval APR-00132. PO PO-2023-0022 on file; no matching FAR row for MD-00132. Note — RN-0132 under-threshold claim rejected; $6,470 exceeds capitalization gate with no FA row.</t>
        </is>
      </c>
      <c r="L136" s="7" t="inlineStr">
        <is>
          <t>2026-08-05</t>
        </is>
      </c>
      <c r="M136" s="7" t="n">
        <v>6470</v>
      </c>
      <c r="N136" s="7">
        <f>IFERROR(XLOOKUP(A136,'Source Ledger'!$B$5:$B$133,'Source Ledger'!$G$5:$G$133),"")</f>
        <v/>
      </c>
      <c r="O136" s="7">
        <f>IFERROR(XLOOKUP(A136,'Source Ledger'!$B$5:$B$133,'Source Ledger'!$A$5:$A$133),"")</f>
        <v/>
      </c>
      <c r="P136" s="7" t="inlineStr"/>
      <c r="Q136" s="9" t="inlineStr">
        <is>
          <t>High</t>
        </is>
      </c>
      <c r="R136" s="7" t="inlineStr">
        <is>
          <t>EX-0163</t>
        </is>
      </c>
      <c r="S136" s="7" t="inlineStr">
        <is>
          <t>No</t>
        </is>
      </c>
      <c r="X136" t="inlineStr">
        <is>
          <t>No</t>
        </is>
      </c>
    </row>
  </sheetData>
  <mergeCells count="2">
    <mergeCell ref="A2:S2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1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3" t="inlineStr">
        <is>
          <t>Exception ID</t>
        </is>
      </c>
      <c r="B4" s="3" t="inlineStr">
        <is>
          <t>Type</t>
        </is>
      </c>
      <c r="C4" s="3" t="inlineStr">
        <is>
          <t>Severity</t>
        </is>
      </c>
      <c r="D4" s="3" t="inlineStr">
        <is>
          <t>Asset Tag</t>
        </is>
      </c>
      <c r="E4" s="3" t="inlineStr">
        <is>
          <t>Serial Number</t>
        </is>
      </c>
      <c r="F4" s="3" t="inlineStr">
        <is>
          <t>Related Record(s)</t>
        </is>
      </c>
      <c r="G4" s="3" t="inlineStr">
        <is>
          <t>Financial Exposure</t>
        </is>
      </c>
      <c r="H4" s="3" t="inlineStr">
        <is>
          <t>Required Action</t>
        </is>
      </c>
      <c r="I4" s="3" t="inlineStr">
        <is>
          <t>Owner by Role</t>
        </is>
      </c>
      <c r="J4" s="3" t="inlineStr">
        <is>
          <t>Resolution Deadline</t>
        </is>
      </c>
      <c r="K4" s="3" t="inlineStr">
        <is>
          <t>Status</t>
        </is>
      </c>
      <c r="L4" s="3" t="inlineStr">
        <is>
          <t>Evidence Assessment</t>
        </is>
      </c>
      <c r="M4" s="3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PO:PO-2024-0003; RegisterCost:1985.0; LedgerCost:2070.0</t>
        </is>
      </c>
      <c r="G5" s="7">
        <f>IF(B5="Inventory-to-Ledger Difference",IF(IFERROR(XLOOKUP(D5,'Source Ledger'!$B$5:$B$133,'Source Ledger'!$E$5:$E$133),"")="",IFERROR(XLOOKUP(D5,'Corrected Register'!$A$5:$A$136,'Corrected Register'!$M$5:$M$136),0),ABS(IFERROR(XLOOKUP(D5,'Source Ledger'!$B$5:$B$133,'Source Ledger'!$E$5:$E$133),0)-IFERROR(XLOOKUP(D5,'Corrected Register'!$A$5:$A$136,'Corrected Register'!$M$5:$M$136),0))),IFERROR(XLOOKUP(D5,'Corrected Register'!$A$5:$A$136,'Corrected Register'!$N$5:$N$136),0))</f>
        <v>85</v>
      </c>
      <c r="H5" s="7" t="inlineStr">
        <is>
          <t>Reconcile PO-2024-0003 / FA-000017 / register cost for MD-00017.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FA-000017 cost 2070.0 vs register 1985.0. PO-2024-0003.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Difference",IF(IFERROR(XLOOKUP(D6,'Source Ledger'!$B$5:$B$133,'Source Ledger'!$E$5:$E$133),"")="",IFERROR(XLOOKUP(D6,'Corrected Register'!$A$5:$A$136,'Corrected Register'!$M$5:$M$136),0),ABS(IFERROR(XLOOKUP(D6,'Source Ledger'!$B$5:$B$133,'Source Ledger'!$E$5:$E$133),0)-IFERROR(XLOOKUP(D6,'Corrected Register'!$A$5:$A$136,'Corrected Register'!$M$5:$M$136),0))),IFERROR(XLOOKUP(D6,'Corrected Register'!$A$5:$A$136,'Corrected Register'!$N$5:$N$136),0))</f>
        <v>124.52</v>
      </c>
      <c r="H6" s="7" t="inlineStr">
        <is>
          <t>Break the duplicate. MD-LA-050021 cannot stay on both MD-00021,MD-00025.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Duplicate MD-LA-050021 is in the extract. Physical next.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Ledger'!$B$5:$B$133,'Source Ledger'!$E$5:$E$133),"")="",IFERROR(XLOOKUP(D7,'Corrected Register'!$A$5:$A$136,'Corrected Register'!$M$5:$M$136),0),ABS(IFERROR(XLOOKUP(D7,'Source Ledger'!$B$5:$B$133,'Source Ledger'!$E$5:$E$133),0)-IFERROR(XLOOKUP(D7,'Corrected Register'!$A$5:$A$136,'Corrected Register'!$M$5:$M$136),0))),IFERROR(XLOOKUP(D7,'Corrected Register'!$A$5:$A$136,'Corrected Register'!$N$5:$N$136),0))</f>
        <v>0</v>
      </c>
      <c r="H7" s="7" t="inlineStr">
        <is>
          <t>Get MD-00025 off Denver - Closed. Operating location is Chicago.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Register location Denver - Closed is a closed site. TR-00025 points elsewhere. Live office Chicago.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Difference",IF(IFERROR(XLOOKUP(D8,'Source Ledger'!$B$5:$B$133,'Source Ledger'!$E$5:$E$133),"")="",IFERROR(XLOOKUP(D8,'Corrected Register'!$A$5:$A$136,'Corrected Register'!$M$5:$M$136),0),ABS(IFERROR(XLOOKUP(D8,'Source Ledger'!$B$5:$B$133,'Source Ledger'!$E$5:$E$133),0)-IFERROR(XLOOKUP(D8,'Corrected Register'!$A$5:$A$136,'Corrected Register'!$M$5:$M$136),0))),IFERROR(XLOOKUP(D8,'Corrected Register'!$A$5:$A$136,'Corrected Register'!$N$5:$N$136),0))</f>
        <v>0</v>
      </c>
      <c r="H8" s="7" t="inlineStr">
        <is>
          <t>Two assets share MD-LA-050021 (MD-00021,MD-00025). Validate on the bench and issue a new serial.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Two tags, one serial (MD-LA-050021). Flagged both.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Ledger'!$B$5:$B$133,'Source Ledger'!$E$5:$E$133),"")="",IFERROR(XLOOKUP(D9,'Corrected Register'!$A$5:$A$136,'Corrected Register'!$M$5:$M$136),0),ABS(IFERROR(XLOOKUP(D9,'Source Ledger'!$B$5:$B$133,'Source Ledger'!$E$5:$E$133),0)-IFERROR(XLOOKUP(D9,'Corrected Register'!$A$5:$A$136,'Corrected Register'!$M$5:$M$136),0))),IFERROR(XLOOKUP(D9,'Corrected Register'!$A$5:$A$136,'Corrected Register'!$N$5:$N$136),0))</f>
        <v>382.34</v>
      </c>
      <c r="H9" s="7" t="inlineStr">
        <is>
          <t>Location cleanup for MD-00026: Chicago - Closed → Dallas.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Site code is stale. Chicago - Closed vs Dallas.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Ledger'!$B$5:$B$133,'Source Ledger'!$E$5:$E$133),"")="",IFERROR(XLOOKUP(D10,'Corrected Register'!$A$5:$A$136,'Corrected Register'!$M$5:$M$136),0),ABS(IFERROR(XLOOKUP(D10,'Source Ledger'!$B$5:$B$133,'Source Ledger'!$E$5:$E$133),0)-IFERROR(XLOOKUP(D10,'Corrected Register'!$A$5:$A$136,'Corrected Register'!$M$5:$M$136),0))),IFERROR(XLOOKUP(D10,'Corrected Register'!$A$5:$A$136,'Corrected Register'!$N$5:$N$136),0))</f>
        <v>672.21</v>
      </c>
      <c r="H10" s="7" t="inlineStr">
        <is>
          <t>Closed-office leftover. Update MD-00027 to Denver.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TR-00027 destination isn't the shuttered office on the register.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Ledger'!$B$5:$B$133,'Source Ledger'!$E$5:$E$133),"")="",IFERROR(XLOOKUP(D11,'Corrected Register'!$A$5:$A$136,'Corrected Register'!$M$5:$M$136),0),ABS(IFERROR(XLOOKUP(D11,'Source Ledger'!$B$5:$B$133,'Source Ledger'!$E$5:$E$133),0)-IFERROR(XLOOKUP(D11,'Corrected Register'!$A$5:$A$136,'Corrected Register'!$M$5:$M$136),0))),IFERROR(XLOOKUP(D11,'Corrected Register'!$A$5:$A$136,'Corrected Register'!$N$5:$N$136),0))</f>
        <v>914.09</v>
      </c>
      <c r="H11" s="7" t="inlineStr">
        <is>
          <t>Don't leave MD-00028 coded to Chicago - Closed.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Chicago - Closed is locked. I'm not leaving MD-00028 there on paper. New York is the operating site.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Ledger'!$B$5:$B$133,'Source Ledger'!$E$5:$E$133),"")="",IFERROR(XLOOKUP(D12,'Corrected Register'!$A$5:$A$136,'Corrected Register'!$M$5:$M$136),0),ABS(IFERROR(XLOOKUP(D12,'Source Ledger'!$B$5:$B$133,'Source Ledger'!$E$5:$E$133),0)-IFERROR(XLOOKUP(D12,'Corrected Register'!$A$5:$A$136,'Corrected Register'!$M$5:$M$136),0))),IFERROR(XLOOKUP(D12,'Corrected Register'!$A$5:$A$136,'Corrected Register'!$N$5:$N$136),0))</f>
        <v>0</v>
      </c>
      <c r="H12" s="7" t="inlineStr">
        <is>
          <t>Pull MD-00029 out of Denver - Closed and park it at Seattle.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Consolidation leftover: MD-00029 @ Denver - Closed.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Ledger'!$B$5:$B$133,'Source Ledger'!$E$5:$E$133),"")="",IFERROR(XLOOKUP(D13,'Corrected Register'!$A$5:$A$136,'Corrected Register'!$M$5:$M$136),0),ABS(IFERROR(XLOOKUP(D13,'Source Ledger'!$B$5:$B$133,'Source Ledger'!$E$5:$E$133),0)-IFERROR(XLOOKUP(D13,'Corrected Register'!$A$5:$A$136,'Corrected Register'!$M$5:$M$136),0))),IFERROR(XLOOKUP(D13,'Corrected Register'!$A$5:$A$136,'Corrected Register'!$N$5:$N$136),0))</f>
        <v>355.14</v>
      </c>
      <c r="H13" s="7" t="inlineStr">
        <is>
          <t>Register still has the shuttered floor (Chicago - Closed). Put Atlanta on the row.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MD-00030 still coded to a floor we don't occupy (Chicago - Closed).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Ledger'!$B$5:$B$133,'Source Ledger'!$E$5:$E$133),"")="",IFERROR(XLOOKUP(D14,'Corrected Register'!$A$5:$A$136,'Corrected Register'!$M$5:$M$136),0),ABS(IFERROR(XLOOKUP(D14,'Source Ledger'!$B$5:$B$133,'Source Ledger'!$E$5:$E$133),0)-IFERROR(XLOOKUP(D14,'Corrected Register'!$A$5:$A$136,'Corrected Register'!$M$5:$M$136),0))),IFERROR(XLOOKUP(D14,'Corrected Register'!$A$5:$A$136,'Corrected Register'!$N$5:$N$136),0))</f>
        <v>722.59</v>
      </c>
      <c r="H14" s="7" t="inlineStr">
        <is>
          <t>Location cleanup for MD-00031: Denver - Closed → Chicago.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Site code is stale. Denver - Closed vs Chicago.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Ledger'!$B$5:$B$133,'Source Ledger'!$E$5:$E$133),"")="",IFERROR(XLOOKUP(D15,'Corrected Register'!$A$5:$A$136,'Corrected Register'!$M$5:$M$136),0),ABS(IFERROR(XLOOKUP(D15,'Source Ledger'!$B$5:$B$133,'Source Ledger'!$E$5:$E$133),0)-IFERROR(XLOOKUP(D15,'Corrected Register'!$A$5:$A$136,'Corrected Register'!$M$5:$M$136),0))),IFERROR(XLOOKUP(D15,'Corrected Register'!$A$5:$A$136,'Corrected Register'!$N$5:$N$136),0))</f>
        <v>1384.3</v>
      </c>
      <c r="H15" s="7" t="inlineStr">
        <is>
          <t>Closed-office leftover. Update MD-00032 to Dallas.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TR-00032 destination isn't the shuttered office on the register.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Ledger'!$B$5:$B$133,'Source Ledger'!$E$5:$E$133),"")="",IFERROR(XLOOKUP(D16,'Corrected Register'!$A$5:$A$136,'Corrected Register'!$M$5:$M$136),0),ABS(IFERROR(XLOOKUP(D16,'Source Ledger'!$B$5:$B$133,'Source Ledger'!$E$5:$E$133),0)-IFERROR(XLOOKUP(D16,'Corrected Register'!$A$5:$A$136,'Corrected Register'!$M$5:$M$136),0))),IFERROR(XLOOKUP(D16,'Corrected Register'!$A$5:$A$136,'Corrected Register'!$N$5:$N$136),0))</f>
        <v>116.93</v>
      </c>
      <c r="H16" s="7" t="inlineStr">
        <is>
          <t>Don't leave MD-00033 coded to Denver - Closed.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Denver - Closed is locked. I'm not leaving MD-00033 there on paper. Denver is the operating site.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Ledger'!$B$5:$B$133,'Source Ledger'!$E$5:$E$133),"")="",IFERROR(XLOOKUP(D17,'Corrected Register'!$A$5:$A$136,'Corrected Register'!$M$5:$M$136),0),ABS(IFERROR(XLOOKUP(D17,'Source Ledger'!$B$5:$B$133,'Source Ledger'!$E$5:$E$133),0)-IFERROR(XLOOKUP(D17,'Corrected Register'!$A$5:$A$136,'Corrected Register'!$M$5:$M$136),0))),IFERROR(XLOOKUP(D17,'Corrected Register'!$A$5:$A$136,'Corrected Register'!$N$5:$N$136),0))</f>
        <v>514.88</v>
      </c>
      <c r="H17" s="7" t="inlineStr">
        <is>
          <t>Pull MD-00034 out of Chicago - Closed and park it at New York.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Consolidation leftover: MD-00034 @ Chicago - Closed.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PO:PO-2023-0006; RegisterCost:790.0; LedgerCost:930.0</t>
        </is>
      </c>
      <c r="G18" s="7">
        <f>IF(B18="Inventory-to-Ledger Difference",IF(IFERROR(XLOOKUP(D18,'Source Ledger'!$B$5:$B$133,'Source Ledger'!$E$5:$E$133),"")="",IFERROR(XLOOKUP(D18,'Corrected Register'!$A$5:$A$136,'Corrected Register'!$M$5:$M$136),0),ABS(IFERROR(XLOOKUP(D18,'Source Ledger'!$B$5:$B$133,'Source Ledger'!$E$5:$E$133),0)-IFERROR(XLOOKUP(D18,'Corrected Register'!$A$5:$A$136,'Corrected Register'!$M$5:$M$136),0))),IFERROR(XLOOKUP(D18,'Corrected Register'!$A$5:$A$136,'Corrected Register'!$N$5:$N$136),0))</f>
        <v>140</v>
      </c>
      <c r="H18" s="7" t="inlineStr">
        <is>
          <t>Finance to align cost on MD-00034: register 790.0 vs ledger 930.0 (FA-000034).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FA-000034 cost 930.0 vs register 790.0. PO-2023-0006.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Ledger'!$B$5:$B$133,'Source Ledger'!$E$5:$E$133),"")="",IFERROR(XLOOKUP(D19,'Corrected Register'!$A$5:$A$136,'Corrected Register'!$M$5:$M$136),0),ABS(IFERROR(XLOOKUP(D19,'Source Ledger'!$B$5:$B$133,'Source Ledger'!$E$5:$E$133),0)-IFERROR(XLOOKUP(D19,'Corrected Register'!$A$5:$A$136,'Corrected Register'!$M$5:$M$136),0))),IFERROR(XLOOKUP(D19,'Corrected Register'!$A$5:$A$136,'Corrected Register'!$N$5:$N$136),0))</f>
        <v>741.92</v>
      </c>
      <c r="H19" s="7" t="inlineStr">
        <is>
          <t>Denver - Closed is shut. Rewrite the register location (MD-00035).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Closed-office leftover on the extract. Denver - Closed. TR-00035.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Ledger'!$B$5:$B$133,'Source Ledger'!$E$5:$E$133),"")="",IFERROR(XLOOKUP(D20,'Corrected Register'!$A$5:$A$136,'Corrected Register'!$M$5:$M$136),0),ABS(IFERROR(XLOOKUP(D20,'Source Ledger'!$B$5:$B$133,'Source Ledger'!$E$5:$E$133),0)-IFERROR(XLOOKUP(D20,'Corrected Register'!$A$5:$A$136,'Corrected Register'!$M$5:$M$136),0))),IFERROR(XLOOKUP(D20,'Corrected Register'!$A$5:$A$136,'Corrected Register'!$N$5:$N$136),0))</f>
        <v>537.73</v>
      </c>
      <c r="H20" s="7" t="inlineStr">
        <is>
          <t>Update MD-00036 location. Atlanta is what transfer/HR support.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Didn't treat the closed building as a live location for MD-00036.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Ledger'!$B$5:$B$133,'Source Ledger'!$E$5:$E$133),"")="",IFERROR(XLOOKUP(D21,'Corrected Register'!$A$5:$A$136,'Corrected Register'!$M$5:$M$136),0),ABS(IFERROR(XLOOKUP(D21,'Source Ledger'!$B$5:$B$133,'Source Ledger'!$E$5:$E$133),0)-IFERROR(XLOOKUP(D21,'Corrected Register'!$A$5:$A$136,'Corrected Register'!$M$5:$M$136),0))),IFERROR(XLOOKUP(D21,'Corrected Register'!$A$5:$A$136,'Corrected Register'!$N$5:$N$136),0))</f>
        <v>0</v>
      </c>
      <c r="H21" s="7" t="inlineStr">
        <is>
          <t>Register still has the shuttered floor (Denver - Closed). Put Chicago on the row.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Location on MD-00037 didn't survive the consolidation (Denver - Closed).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Ledger'!$B$5:$B$133,'Source Ledger'!$E$5:$E$133),"")="",IFERROR(XLOOKUP(D22,'Corrected Register'!$A$5:$A$136,'Corrected Register'!$M$5:$M$136),0),ABS(IFERROR(XLOOKUP(D22,'Source Ledger'!$B$5:$B$133,'Source Ledger'!$E$5:$E$133),0)-IFERROR(XLOOKUP(D22,'Corrected Register'!$A$5:$A$136,'Corrected Register'!$M$5:$M$136),0))),IFERROR(XLOOKUP(D22,'Corrected Register'!$A$5:$A$136,'Corrected Register'!$N$5:$N$136),0))</f>
        <v>340.46</v>
      </c>
      <c r="H22" s="7" t="inlineStr">
        <is>
          <t>Location cleanup for MD-00038: Chicago - Closed → Dallas.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Walked the register vs HR/transfer. MD-00038 still says Chicago - Closed.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Ledger'!$B$5:$B$133,'Source Ledger'!$E$5:$E$133),"")="",IFERROR(XLOOKUP(D23,'Corrected Register'!$A$5:$A$136,'Corrected Register'!$M$5:$M$136),0),ABS(IFERROR(XLOOKUP(D23,'Source Ledger'!$B$5:$B$133,'Source Ledger'!$E$5:$E$133),0)-IFERROR(XLOOKUP(D23,'Corrected Register'!$A$5:$A$136,'Corrected Register'!$M$5:$M$136),0))),IFERROR(XLOOKUP(D23,'Corrected Register'!$A$5:$A$136,'Corrected Register'!$N$5:$N$136),0))</f>
        <v>635</v>
      </c>
      <c r="H23" s="7" t="inlineStr">
        <is>
          <t>Closed-office leftover. Update MD-00039 to Denver.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Register location Denver - Closed is a closed site. TR-00039 points elsewhere. Live office Denver.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Ledger'!$B$5:$B$133,'Source Ledger'!$E$5:$E$133),"")="",IFERROR(XLOOKUP(D24,'Corrected Register'!$A$5:$A$136,'Corrected Register'!$M$5:$M$136),0),ABS(IFERROR(XLOOKUP(D24,'Source Ledger'!$B$5:$B$133,'Source Ledger'!$E$5:$E$133),0)-IFERROR(XLOOKUP(D24,'Corrected Register'!$A$5:$A$136,'Corrected Register'!$M$5:$M$136),0))),IFERROR(XLOOKUP(D24,'Corrected Register'!$A$5:$A$136,'Corrected Register'!$N$5:$N$136),0))</f>
        <v>989.48</v>
      </c>
      <c r="H24" s="7" t="inlineStr">
        <is>
          <t>Chicago - Closed is shut. Rewrite the register location (MD-00040).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Closed-office leftover on the extract. Chicago - Closed. TR-00040.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Ledger'!$B$5:$B$133,'Source Ledger'!$E$5:$E$133),"")="",IFERROR(XLOOKUP(D25,'Corrected Register'!$A$5:$A$136,'Corrected Register'!$M$5:$M$136),0),ABS(IFERROR(XLOOKUP(D25,'Source Ledger'!$B$5:$B$133,'Source Ledger'!$E$5:$E$133),0)-IFERROR(XLOOKUP(D25,'Corrected Register'!$A$5:$A$136,'Corrected Register'!$M$5:$M$136),0))),IFERROR(XLOOKUP(D25,'Corrected Register'!$A$5:$A$136,'Corrected Register'!$N$5:$N$136),0))</f>
        <v>0</v>
      </c>
      <c r="H25" s="7" t="inlineStr">
        <is>
          <t>Update MD-00041 location. Seattle is what transfer/HR support.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Didn't treat the closed building as a live location for MD-00041.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Ledger'!$B$5:$B$133,'Source Ledger'!$E$5:$E$133),"")="",IFERROR(XLOOKUP(D26,'Corrected Register'!$A$5:$A$136,'Corrected Register'!$M$5:$M$136),0),ABS(IFERROR(XLOOKUP(D26,'Source Ledger'!$B$5:$B$133,'Source Ledger'!$E$5:$E$133),0)-IFERROR(XLOOKUP(D26,'Corrected Register'!$A$5:$A$136,'Corrected Register'!$M$5:$M$136),0))),IFERROR(XLOOKUP(D26,'Corrected Register'!$A$5:$A$136,'Corrected Register'!$N$5:$N$136),0))</f>
        <v>306.16</v>
      </c>
      <c r="H26" s="7" t="inlineStr">
        <is>
          <t>Register still has the shuttered floor (Chicago - Closed). Put Atlanta on the row. (EX-0022)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Location on MD-00042 didn't survive the consolidation (Chicago - Closed).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Ledger'!$B$5:$B$133,'Source Ledger'!$E$5:$E$133),"")="",IFERROR(XLOOKUP(D27,'Corrected Register'!$A$5:$A$136,'Corrected Register'!$M$5:$M$136),0),ABS(IFERROR(XLOOKUP(D27,'Source Ledger'!$B$5:$B$133,'Source Ledger'!$E$5:$E$133),0)-IFERROR(XLOOKUP(D27,'Corrected Register'!$A$5:$A$136,'Corrected Register'!$M$5:$M$136),0))),IFERROR(XLOOKUP(D27,'Corrected Register'!$A$5:$A$136,'Corrected Register'!$N$5:$N$136),0))</f>
        <v>673.55</v>
      </c>
      <c r="H27" s="7" t="inlineStr">
        <is>
          <t>Location cleanup for MD-00043: Denver - Closed → Chicago.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Walked the register vs HR/transfer. MD-00043 still says Denver - Closed.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Ledger'!$B$5:$B$133,'Source Ledger'!$E$5:$E$133),"")="",IFERROR(XLOOKUP(D28,'Corrected Register'!$A$5:$A$136,'Corrected Register'!$M$5:$M$136),0),ABS(IFERROR(XLOOKUP(D28,'Source Ledger'!$B$5:$B$133,'Source Ledger'!$E$5:$E$133),0)-IFERROR(XLOOKUP(D28,'Corrected Register'!$A$5:$A$136,'Corrected Register'!$M$5:$M$136),0))),IFERROR(XLOOKUP(D28,'Corrected Register'!$A$5:$A$136,'Corrected Register'!$N$5:$N$136),0))</f>
        <v>1406.1</v>
      </c>
      <c r="H28" s="7" t="inlineStr">
        <is>
          <t>Closed-office leftover. Update MD-00044 to Dallas.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Register location Chicago - Closed is a closed site. TR-00044 points elsewhere. Live office Dallas.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Ledger'!$B$5:$B$133,'Source Ledger'!$E$5:$E$133),"")="",IFERROR(XLOOKUP(D29,'Corrected Register'!$A$5:$A$136,'Corrected Register'!$M$5:$M$136),0),ABS(IFERROR(XLOOKUP(D29,'Source Ledger'!$B$5:$B$133,'Source Ledger'!$E$5:$E$133),0)-IFERROR(XLOOKUP(D29,'Corrected Register'!$A$5:$A$136,'Corrected Register'!$M$5:$M$136),0))),IFERROR(XLOOKUP(D29,'Corrected Register'!$A$5:$A$136,'Corrected Register'!$N$5:$N$136),0))</f>
        <v>133.6</v>
      </c>
      <c r="H29" s="7" t="inlineStr">
        <is>
          <t>Don't leave MD-00045 coded to Denver - Closed.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Closed-office leftover on the extract. Denver - Closed. TR-00045.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Ledger'!$B$5:$B$133,'Source Ledger'!$E$5:$E$133),"")="",IFERROR(XLOOKUP(D30,'Corrected Register'!$A$5:$A$136,'Corrected Register'!$M$5:$M$136),0),ABS(IFERROR(XLOOKUP(D30,'Source Ledger'!$B$5:$B$133,'Source Ledger'!$E$5:$E$133),0)-IFERROR(XLOOKUP(D30,'Corrected Register'!$A$5:$A$136,'Corrected Register'!$M$5:$M$136),0))),IFERROR(XLOOKUP(D30,'Corrected Register'!$A$5:$A$136,'Corrected Register'!$N$5:$N$136),0))</f>
        <v>460.82</v>
      </c>
      <c r="H30" s="7" t="inlineStr">
        <is>
          <t>Pull MD-00046 out of Chicago - Closed and park it at New York.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Didn't treat the closed building as a live location for MD-00046.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Ledger'!$B$5:$B$133,'Source Ledger'!$E$5:$E$133),"")="",IFERROR(XLOOKUP(D31,'Corrected Register'!$A$5:$A$136,'Corrected Register'!$M$5:$M$136),0),ABS(IFERROR(XLOOKUP(D31,'Source Ledger'!$B$5:$B$133,'Source Ledger'!$E$5:$E$133),0)-IFERROR(XLOOKUP(D31,'Corrected Register'!$A$5:$A$136,'Corrected Register'!$M$5:$M$136),0))),IFERROR(XLOOKUP(D31,'Corrected Register'!$A$5:$A$136,'Corrected Register'!$N$5:$N$136),0))</f>
        <v>930.51</v>
      </c>
      <c r="H31" s="7" t="inlineStr">
        <is>
          <t>Clear the closed-site assignment. MD-00047 belongs at Seattle.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Location on MD-00047 didn't survive the consolidation (Denver - Closed).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Ledger'!$B$5:$B$133,'Source Ledger'!$E$5:$E$133),"")="",IFERROR(XLOOKUP(D32,'Corrected Register'!$A$5:$A$136,'Corrected Register'!$M$5:$M$136),0),ABS(IFERROR(XLOOKUP(D32,'Source Ledger'!$B$5:$B$133,'Source Ledger'!$E$5:$E$133),0)-IFERROR(XLOOKUP(D32,'Corrected Register'!$A$5:$A$136,'Corrected Register'!$M$5:$M$136),0))),IFERROR(XLOOKUP(D32,'Corrected Register'!$A$5:$A$136,'Corrected Register'!$N$5:$N$136),0))</f>
        <v>514.59</v>
      </c>
      <c r="H32" s="7" t="inlineStr">
        <is>
          <t>Same finding as the walkthrough: MD-00048 still tagged Chicago - Closed. Change it.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Walked the register vs HR/transfer. MD-00048 still says Chicago - Closed.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Ledger'!$B$5:$B$133,'Source Ledger'!$E$5:$E$133),"")="",IFERROR(XLOOKUP(D33,'Corrected Register'!$A$5:$A$136,'Corrected Register'!$M$5:$M$136),0),ABS(IFERROR(XLOOKUP(D33,'Source Ledger'!$B$5:$B$133,'Source Ledger'!$E$5:$E$133),0)-IFERROR(XLOOKUP(D33,'Corrected Register'!$A$5:$A$136,'Corrected Register'!$M$5:$M$136),0))),IFERROR(XLOOKUP(D33,'Corrected Register'!$A$5:$A$136,'Corrected Register'!$N$5:$N$136),0))</f>
        <v>0</v>
      </c>
      <c r="H33" s="7" t="inlineStr">
        <is>
          <t>Get MD-00049 off Denver - Closed. Operating location is Chicago.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Register location Denver - Closed is a closed site. TR-00049 points elsewhere. Live office Chicago.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Ledger'!$B$5:$B$133,'Source Ledger'!$E$5:$E$133),"")="",IFERROR(XLOOKUP(D34,'Corrected Register'!$A$5:$A$136,'Corrected Register'!$M$5:$M$136),0),ABS(IFERROR(XLOOKUP(D34,'Source Ledger'!$B$5:$B$133,'Source Ledger'!$E$5:$E$133),0)-IFERROR(XLOOKUP(D34,'Corrected Register'!$A$5:$A$136,'Corrected Register'!$M$5:$M$136),0))),IFERROR(XLOOKUP(D34,'Corrected Register'!$A$5:$A$136,'Corrected Register'!$N$5:$N$136),0))</f>
        <v>289.96</v>
      </c>
      <c r="H34" s="7" t="inlineStr">
        <is>
          <t>Don't leave MD-00050 coded to Chicago - Closed.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Closed-office leftover on the extract. Chicago - Closed. TR-00050.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Ledger'!$B$5:$B$133,'Source Ledger'!$E$5:$E$133),"")="",IFERROR(XLOOKUP(D35,'Corrected Register'!$A$5:$A$136,'Corrected Register'!$M$5:$M$136),0),ABS(IFERROR(XLOOKUP(D35,'Source Ledger'!$B$5:$B$133,'Source Ledger'!$E$5:$E$133),0)-IFERROR(XLOOKUP(D35,'Corrected Register'!$A$5:$A$136,'Corrected Register'!$M$5:$M$136),0))),IFERROR(XLOOKUP(D35,'Corrected Register'!$A$5:$A$136,'Corrected Register'!$N$5:$N$136),0))</f>
        <v>573.03</v>
      </c>
      <c r="H35" s="7" t="inlineStr">
        <is>
          <t>Pull MD-00051 out of Denver - Closed and park it at Denver.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Didn't treat the closed building as a live location for MD-00051.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PO:PO-2022-0009; RegisterCost:1040.0; LedgerCost:1250.0</t>
        </is>
      </c>
      <c r="G36" s="7">
        <f>IF(B36="Inventory-to-Ledger Difference",IF(IFERROR(XLOOKUP(D36,'Source Ledger'!$B$5:$B$133,'Source Ledger'!$E$5:$E$133),"")="",IFERROR(XLOOKUP(D36,'Corrected Register'!$A$5:$A$136,'Corrected Register'!$M$5:$M$136),0),ABS(IFERROR(XLOOKUP(D36,'Source Ledger'!$B$5:$B$133,'Source Ledger'!$E$5:$E$133),0)-IFERROR(XLOOKUP(D36,'Corrected Register'!$A$5:$A$136,'Corrected Register'!$M$5:$M$136),0))),IFERROR(XLOOKUP(D36,'Corrected Register'!$A$5:$A$136,'Corrected Register'!$N$5:$N$136),0))</f>
        <v>210</v>
      </c>
      <c r="H36" s="7" t="inlineStr">
        <is>
          <t>Cost basis mismatch MD-00051. Pull PO-2022-0009 and fix FA-000051 or the register.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FA-000051 cost 1250.0 vs register 1040.0. PO-2022-0009.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Ledger'!$B$5:$B$133,'Source Ledger'!$E$5:$E$133),"")="",IFERROR(XLOOKUP(D37,'Corrected Register'!$A$5:$A$136,'Corrected Register'!$M$5:$M$136),0),ABS(IFERROR(XLOOKUP(D37,'Source Ledger'!$B$5:$B$133,'Source Ledger'!$E$5:$E$133),0)-IFERROR(XLOOKUP(D37,'Corrected Register'!$A$5:$A$136,'Corrected Register'!$M$5:$M$136),0))),IFERROR(XLOOKUP(D37,'Corrected Register'!$A$5:$A$136,'Corrected Register'!$N$5:$N$136),0))</f>
        <v>933.99</v>
      </c>
      <c r="H37" s="7" t="inlineStr">
        <is>
          <t>Chicago - Closed is shut. Rewrite the register location (MD-00052).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Chicago - Closed is locked. I'm not leaving MD-00052 there on paper. New York is the operating site.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Ledger'!$B$5:$B$133,'Source Ledger'!$E$5:$E$133),"")="",IFERROR(XLOOKUP(D38,'Corrected Register'!$A$5:$A$136,'Corrected Register'!$M$5:$M$136),0),ABS(IFERROR(XLOOKUP(D38,'Source Ledger'!$B$5:$B$133,'Source Ledger'!$E$5:$E$133),0)-IFERROR(XLOOKUP(D38,'Corrected Register'!$A$5:$A$136,'Corrected Register'!$M$5:$M$136),0))),IFERROR(XLOOKUP(D38,'Corrected Register'!$A$5:$A$136,'Corrected Register'!$N$5:$N$136),0))</f>
        <v>0</v>
      </c>
      <c r="H38" s="7" t="inlineStr">
        <is>
          <t>Update MD-00053 location. Seattle is what transfer/HR support.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Consolidation leftover: MD-00053 @ Denver - Closed.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Ledger'!$B$5:$B$133,'Source Ledger'!$E$5:$E$133),"")="",IFERROR(XLOOKUP(D39,'Corrected Register'!$A$5:$A$136,'Corrected Register'!$M$5:$M$136),0),ABS(IFERROR(XLOOKUP(D39,'Source Ledger'!$B$5:$B$133,'Source Ledger'!$E$5:$E$133),0)-IFERROR(XLOOKUP(D39,'Corrected Register'!$A$5:$A$136,'Corrected Register'!$M$5:$M$136),0))),IFERROR(XLOOKUP(D39,'Corrected Register'!$A$5:$A$136,'Corrected Register'!$N$5:$N$136),0))</f>
        <v>433.74</v>
      </c>
      <c r="H39" s="7" t="inlineStr">
        <is>
          <t>Register still has the shuttered floor (Chicago - Closed). Put Atlanta on the row. (EX-0035)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MD-00054 still coded to a floor we don't occupy (Chicago - Closed).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Ledger'!$B$5:$B$133,'Source Ledger'!$E$5:$E$133),"")="",IFERROR(XLOOKUP(D40,'Corrected Register'!$A$5:$A$136,'Corrected Register'!$M$5:$M$136),0),ABS(IFERROR(XLOOKUP(D40,'Source Ledger'!$B$5:$B$133,'Source Ledger'!$E$5:$E$133),0)-IFERROR(XLOOKUP(D40,'Corrected Register'!$A$5:$A$136,'Corrected Register'!$M$5:$M$136),0))),IFERROR(XLOOKUP(D40,'Corrected Register'!$A$5:$A$136,'Corrected Register'!$N$5:$N$136),0))</f>
        <v>812.5</v>
      </c>
      <c r="H40" s="7" t="inlineStr">
        <is>
          <t>Location cleanup for MD-00055: Denver - Closed → Chicago.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Site code is stale. Denver - Closed vs Chicago. (EX-0036)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Ledger'!$B$5:$B$133,'Source Ledger'!$E$5:$E$133),"")="",IFERROR(XLOOKUP(D41,'Corrected Register'!$A$5:$A$136,'Corrected Register'!$M$5:$M$136),0),ABS(IFERROR(XLOOKUP(D41,'Source Ledger'!$B$5:$B$133,'Source Ledger'!$E$5:$E$133),0)-IFERROR(XLOOKUP(D41,'Corrected Register'!$A$5:$A$136,'Corrected Register'!$M$5:$M$136),0))),IFERROR(XLOOKUP(D41,'Corrected Register'!$A$5:$A$136,'Corrected Register'!$N$5:$N$136),0))</f>
        <v>1345.24</v>
      </c>
      <c r="H41" s="7" t="inlineStr">
        <is>
          <t>Closed-office leftover. Update MD-00056 to Dallas.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TR-00056 destination isn't the shuttered office on the register.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Ledger'!$B$5:$B$133,'Source Ledger'!$E$5:$E$133),"")="",IFERROR(XLOOKUP(D42,'Corrected Register'!$A$5:$A$136,'Corrected Register'!$M$5:$M$136),0),ABS(IFERROR(XLOOKUP(D42,'Source Ledger'!$B$5:$B$133,'Source Ledger'!$E$5:$E$133),0)-IFERROR(XLOOKUP(D42,'Corrected Register'!$A$5:$A$136,'Corrected Register'!$M$5:$M$136),0))),IFERROR(XLOOKUP(D42,'Corrected Register'!$A$5:$A$136,'Corrected Register'!$N$5:$N$136),0))</f>
        <v>106.79</v>
      </c>
      <c r="H42" s="7" t="inlineStr">
        <is>
          <t>Don't leave MD-00057 coded to Denver - Closed.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Denver - Closed is locked. I'm not leaving MD-00057 there on paper. Denver is the operating site.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Ledger'!$B$5:$B$133,'Source Ledger'!$E$5:$E$133),"")="",IFERROR(XLOOKUP(D43,'Corrected Register'!$A$5:$A$136,'Corrected Register'!$M$5:$M$136),0),ABS(IFERROR(XLOOKUP(D43,'Source Ledger'!$B$5:$B$133,'Source Ledger'!$E$5:$E$133),0)-IFERROR(XLOOKUP(D43,'Corrected Register'!$A$5:$A$136,'Corrected Register'!$M$5:$M$136),0))),IFERROR(XLOOKUP(D43,'Corrected Register'!$A$5:$A$136,'Corrected Register'!$N$5:$N$136),0))</f>
        <v>397.56</v>
      </c>
      <c r="H43" s="7" t="inlineStr">
        <is>
          <t>E0071 should not still own MD-00058 on the register.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Checked the term date against the assignment. Stale owner on MD-00058.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Ledger'!$B$5:$B$133,'Source Ledger'!$E$5:$E$133),"")="",IFERROR(XLOOKUP(D44,'Corrected Register'!$A$5:$A$136,'Corrected Register'!$M$5:$M$136),0),ABS(IFERROR(XLOOKUP(D44,'Source Ledger'!$B$5:$B$133,'Source Ledger'!$E$5:$E$133),0)-IFERROR(XLOOKUP(D44,'Corrected Register'!$A$5:$A$136,'Corrected Register'!$M$5:$M$136),0))),IFERROR(XLOOKUP(D44,'Corrected Register'!$A$5:$A$136,'Corrected Register'!$N$5:$N$136),0))</f>
        <v>397.56</v>
      </c>
      <c r="H44" s="7" t="inlineStr">
        <is>
          <t>IT Asset Specialist to recode location — MD-00058 is not on the closed floor.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Register location Chicago - Closed is a closed site. TR-00058 points elsewhere. Live office New York.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Ledger'!$B$5:$B$133,'Source Ledger'!$E$5:$E$133),"")="",IFERROR(XLOOKUP(D45,'Corrected Register'!$A$5:$A$136,'Corrected Register'!$M$5:$M$136),0),ABS(IFERROR(XLOOKUP(D45,'Source Ledger'!$B$5:$B$133,'Source Ledger'!$E$5:$E$133),0)-IFERROR(XLOOKUP(D45,'Corrected Register'!$A$5:$A$136,'Corrected Register'!$M$5:$M$136),0))),IFERROR(XLOOKUP(D45,'Corrected Register'!$A$5:$A$136,'Corrected Register'!$N$5:$N$136),0))</f>
        <v>397.56</v>
      </c>
      <c r="H45" s="7" t="inlineStr">
        <is>
          <t>TR-00058 has a blank approval. Ops manager signs or we unwind the move.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Opened TR-00058. No APR- id. That's the finding.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Ledger'!$B$5:$B$133,'Source Ledger'!$E$5:$E$133),"")="",IFERROR(XLOOKUP(D46,'Corrected Register'!$A$5:$A$136,'Corrected Register'!$M$5:$M$136),0),ABS(IFERROR(XLOOKUP(D46,'Source Ledger'!$B$5:$B$133,'Source Ledger'!$E$5:$E$133),0)-IFERROR(XLOOKUP(D46,'Corrected Register'!$A$5:$A$136,'Corrected Register'!$M$5:$M$136),0))),IFERROR(XLOOKUP(D46,'Corrected Register'!$A$5:$A$136,'Corrected Register'!$N$5:$N$136),0))</f>
        <v>847.35</v>
      </c>
      <c r="H46" s="7" t="inlineStr">
        <is>
          <t>Close the people assignment on MD-00059. Ticket OFF-00059.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People record is closed; MD-00059 isn't. OFF-00059.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Ledger'!$B$5:$B$133,'Source Ledger'!$E$5:$E$133),"")="",IFERROR(XLOOKUP(D47,'Corrected Register'!$A$5:$A$136,'Corrected Register'!$M$5:$M$136),0),ABS(IFERROR(XLOOKUP(D47,'Source Ledger'!$B$5:$B$133,'Source Ledger'!$E$5:$E$133),0)-IFERROR(XLOOKUP(D47,'Corrected Register'!$A$5:$A$136,'Corrected Register'!$M$5:$M$136),0))),IFERROR(XLOOKUP(D47,'Corrected Register'!$A$5:$A$136,'Corrected Register'!$N$5:$N$136),0))</f>
        <v>847.35</v>
      </c>
      <c r="H47" s="7" t="inlineStr">
        <is>
          <t>Update MD-00059 location. Seattle is what transfer/HR support.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Didn't treat the closed building as a live location for MD-00059.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Ledger'!$B$5:$B$133,'Source Ledger'!$E$5:$E$133),"")="",IFERROR(XLOOKUP(D48,'Corrected Register'!$A$5:$A$136,'Corrected Register'!$M$5:$M$136),0),ABS(IFERROR(XLOOKUP(D48,'Source Ledger'!$B$5:$B$133,'Source Ledger'!$E$5:$E$133),0)-IFERROR(XLOOKUP(D48,'Corrected Register'!$A$5:$A$136,'Corrected Register'!$M$5:$M$136),0))),IFERROR(XLOOKUP(D48,'Corrected Register'!$A$5:$A$136,'Corrected Register'!$N$5:$N$136),0))</f>
        <v>847.35</v>
      </c>
      <c r="H48" s="7" t="inlineStr">
        <is>
          <t>Get a retrospective approval on TR-00059 or reverse it (ITAM-001 §4).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Opened TR-00059. No APR- id. That's the finding.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Ledger'!$B$5:$B$133,'Source Ledger'!$E$5:$E$133),"")="",IFERROR(XLOOKUP(D49,'Corrected Register'!$A$5:$A$136,'Corrected Register'!$M$5:$M$136),0),ABS(IFERROR(XLOOKUP(D49,'Source Ledger'!$B$5:$B$133,'Source Ledger'!$E$5:$E$133),0)-IFERROR(XLOOKUP(D49,'Corrected Register'!$A$5:$A$136,'Corrected Register'!$M$5:$M$136),0))),IFERROR(XLOOKUP(D49,'Corrected Register'!$A$5:$A$136,'Corrected Register'!$N$5:$N$136),0))</f>
        <v>549.35</v>
      </c>
      <c r="H49" s="7" t="inlineStr">
        <is>
          <t>Recover or lose-process MD-00060, but first drop the former employee as owner.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OFF-00060 vs hr_employee_status: people side is done, asset isn't.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Ledger'!$B$5:$B$133,'Source Ledger'!$E$5:$E$133),"")="",IFERROR(XLOOKUP(D50,'Corrected Register'!$A$5:$A$136,'Corrected Register'!$M$5:$M$136),0),ABS(IFERROR(XLOOKUP(D50,'Source Ledger'!$B$5:$B$133,'Source Ledger'!$E$5:$E$133),0)-IFERROR(XLOOKUP(D50,'Corrected Register'!$A$5:$A$136,'Corrected Register'!$M$5:$M$136),0))),IFERROR(XLOOKUP(D50,'Corrected Register'!$A$5:$A$136,'Corrected Register'!$N$5:$N$136),0))</f>
        <v>549.35</v>
      </c>
      <c r="H50" s="7" t="inlineStr">
        <is>
          <t>Fix the site on MD-00060. Not at Chicago - Closed anymore.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Walked the register vs HR/transfer. MD-00060 still says Chicago - Closed.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Ledger'!$B$5:$B$133,'Source Ledger'!$E$5:$E$133),"")="",IFERROR(XLOOKUP(D51,'Corrected Register'!$A$5:$A$136,'Corrected Register'!$M$5:$M$136),0),ABS(IFERROR(XLOOKUP(D51,'Source Ledger'!$B$5:$B$133,'Source Ledger'!$E$5:$E$133),0)-IFERROR(XLOOKUP(D51,'Corrected Register'!$A$5:$A$136,'Corrected Register'!$M$5:$M$136),0))),IFERROR(XLOOKUP(D51,'Corrected Register'!$A$5:$A$136,'Corrected Register'!$N$5:$N$136),0))</f>
        <v>0</v>
      </c>
      <c r="H51" s="7" t="inlineStr">
        <is>
          <t>Move MD-00061 off the separated custodian before we talk redeploy.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MD-00061 custodian is a former employee in HR (E0074).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Ledger'!$B$5:$B$133,'Source Ledger'!$E$5:$E$133),"")="",IFERROR(XLOOKUP(D52,'Corrected Register'!$A$5:$A$136,'Corrected Register'!$M$5:$M$136),0),ABS(IFERROR(XLOOKUP(D52,'Source Ledger'!$B$5:$B$133,'Source Ledger'!$E$5:$E$133),0)-IFERROR(XLOOKUP(D52,'Corrected Register'!$A$5:$A$136,'Corrected Register'!$M$5:$M$136),0))),IFERROR(XLOOKUP(D52,'Corrected Register'!$A$5:$A$136,'Corrected Register'!$N$5:$N$136),0))</f>
        <v>0</v>
      </c>
      <c r="H52" s="7" t="inlineStr">
        <is>
          <t>Clear the closed-site assignment. MD-00061 belongs at Chicago.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MD-00061 still coded to a floor we don't occupy (Denver - Closed).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Ledger'!$B$5:$B$133,'Source Ledger'!$E$5:$E$133),"")="",IFERROR(XLOOKUP(D53,'Corrected Register'!$A$5:$A$136,'Corrected Register'!$M$5:$M$136),0),ABS(IFERROR(XLOOKUP(D53,'Source Ledger'!$B$5:$B$133,'Source Ledger'!$E$5:$E$133),0)-IFERROR(XLOOKUP(D53,'Corrected Register'!$A$5:$A$136,'Corrected Register'!$M$5:$M$136),0))),IFERROR(XLOOKUP(D53,'Corrected Register'!$A$5:$A$136,'Corrected Register'!$N$5:$N$136),0))</f>
        <v>410.63</v>
      </c>
      <c r="H53" s="7" t="inlineStr">
        <is>
          <t>Close the people assignment on MD-00062. Ticket OFF-00062.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People record is closed; MD-00062 isn't. OFF-00062.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Ledger'!$B$5:$B$133,'Source Ledger'!$E$5:$E$133),"")="",IFERROR(XLOOKUP(D54,'Corrected Register'!$A$5:$A$136,'Corrected Register'!$M$5:$M$136),0),ABS(IFERROR(XLOOKUP(D54,'Source Ledger'!$B$5:$B$133,'Source Ledger'!$E$5:$E$133),0)-IFERROR(XLOOKUP(D54,'Corrected Register'!$A$5:$A$136,'Corrected Register'!$M$5:$M$136),0))),IFERROR(XLOOKUP(D54,'Corrected Register'!$A$5:$A$136,'Corrected Register'!$N$5:$N$136),0))</f>
        <v>410.63</v>
      </c>
      <c r="H54" s="7" t="inlineStr">
        <is>
          <t>Update MD-00062 location. Dallas is what transfer/HR support.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Didn't treat the closed building as a live location for MD-00062.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Ledger'!$B$5:$B$133,'Source Ledger'!$E$5:$E$133),"")="",IFERROR(XLOOKUP(D55,'Corrected Register'!$A$5:$A$136,'Corrected Register'!$M$5:$M$136),0),ABS(IFERROR(XLOOKUP(D55,'Source Ledger'!$B$5:$B$133,'Source Ledger'!$E$5:$E$133),0)-IFERROR(XLOOKUP(D55,'Corrected Register'!$A$5:$A$136,'Corrected Register'!$M$5:$M$136),0))),IFERROR(XLOOKUP(D55,'Corrected Register'!$A$5:$A$136,'Corrected Register'!$N$5:$N$136),0))</f>
        <v>533.85</v>
      </c>
      <c r="H55" s="7" t="inlineStr">
        <is>
          <t>MD-00063 is still on a leaver. Close the assignment; stock holds it until recovered or written off.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Leaver still on MD-00063. E0076. TR-00063.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Ledger'!$B$5:$B$133,'Source Ledger'!$E$5:$E$133),"")="",IFERROR(XLOOKUP(D56,'Corrected Register'!$A$5:$A$136,'Corrected Register'!$M$5:$M$136),0),ABS(IFERROR(XLOOKUP(D56,'Source Ledger'!$B$5:$B$133,'Source Ledger'!$E$5:$E$133),0)-IFERROR(XLOOKUP(D56,'Corrected Register'!$A$5:$A$136,'Corrected Register'!$M$5:$M$136),0))),IFERROR(XLOOKUP(D56,'Corrected Register'!$A$5:$A$136,'Corrected Register'!$N$5:$N$136),0))</f>
        <v>533.85</v>
      </c>
      <c r="H56" s="7" t="inlineStr">
        <is>
          <t>MD-00063 shouldn't sit on a locked site. Move location to Denver.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Denver - Closed is locked. I'm not leaving MD-00063 there on paper. Denver is the operating site.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Ledger'!$B$5:$B$133,'Source Ledger'!$E$5:$E$133),"")="",IFERROR(XLOOKUP(D57,'Corrected Register'!$A$5:$A$136,'Corrected Register'!$M$5:$M$136),0),ABS(IFERROR(XLOOKUP(D57,'Source Ledger'!$B$5:$B$133,'Source Ledger'!$E$5:$E$133),0)-IFERROR(XLOOKUP(D57,'Corrected Register'!$A$5:$A$136,'Corrected Register'!$M$5:$M$136),0))),IFERROR(XLOOKUP(D57,'Corrected Register'!$A$5:$A$136,'Corrected Register'!$N$5:$N$136),0))</f>
        <v>961.76</v>
      </c>
      <c r="H57" s="7" t="inlineStr">
        <is>
          <t>Custodian on MD-00064 is a terminated ID. Put IT Stock / Regional IT on the row.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Offboarding ticket OFF-00064 doesn't put hardware in stock by itself.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Ledger'!$B$5:$B$133,'Source Ledger'!$E$5:$E$133),"")="",IFERROR(XLOOKUP(D58,'Corrected Register'!$A$5:$A$136,'Corrected Register'!$M$5:$M$136),0),ABS(IFERROR(XLOOKUP(D58,'Source Ledger'!$B$5:$B$133,'Source Ledger'!$E$5:$E$133),0)-IFERROR(XLOOKUP(D58,'Corrected Register'!$A$5:$A$136,'Corrected Register'!$M$5:$M$136),0))),IFERROR(XLOOKUP(D58,'Corrected Register'!$A$5:$A$136,'Corrected Register'!$N$5:$N$136),0))</f>
        <v>961.76</v>
      </c>
      <c r="H58" s="7" t="inlineStr">
        <is>
          <t>Closed-office leftover. Update MD-00064 to New York.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Register location Chicago - Closed is a closed site. TR-00064 points elsewhere. Live office New York.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Ledger'!$B$5:$B$133,'Source Ledger'!$E$5:$E$133),"")="",IFERROR(XLOOKUP(D59,'Corrected Register'!$A$5:$A$136,'Corrected Register'!$M$5:$M$136),0),ABS(IFERROR(XLOOKUP(D59,'Source Ledger'!$B$5:$B$133,'Source Ledger'!$E$5:$E$133),0)-IFERROR(XLOOKUP(D59,'Corrected Register'!$A$5:$A$136,'Corrected Register'!$M$5:$M$136),0))),IFERROR(XLOOKUP(D59,'Corrected Register'!$A$5:$A$136,'Corrected Register'!$N$5:$N$136),0))</f>
        <v>961.76</v>
      </c>
      <c r="H59" s="7" t="inlineStr">
        <is>
          <t>TR-00064 has a blank approval. Ops manager signs or we unwind the move.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ITAM-001 §4: TR-00064 isn't a completed approved transfer.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Ledger'!$B$5:$B$133,'Source Ledger'!$E$5:$E$133),"")="",IFERROR(XLOOKUP(D60,'Corrected Register'!$A$5:$A$136,'Corrected Register'!$M$5:$M$136),0),ABS(IFERROR(XLOOKUP(D60,'Source Ledger'!$B$5:$B$133,'Source Ledger'!$E$5:$E$133),0)-IFERROR(XLOOKUP(D60,'Corrected Register'!$A$5:$A$136,'Corrected Register'!$M$5:$M$136),0))),IFERROR(XLOOKUP(D60,'Corrected Register'!$A$5:$A$136,'Corrected Register'!$N$5:$N$136),0))</f>
        <v>0</v>
      </c>
      <c r="H60" s="7" t="inlineStr">
        <is>
          <t>Assignment cleanup: MD-00065 → Regional IT (or IT Stock if it's on the shelf).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OFF-00065 vs hr_employee_status: people side is done, asset isn't.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Ledger'!$B$5:$B$133,'Source Ledger'!$E$5:$E$133),"")="",IFERROR(XLOOKUP(D61,'Corrected Register'!$A$5:$A$136,'Corrected Register'!$M$5:$M$136),0),ABS(IFERROR(XLOOKUP(D61,'Source Ledger'!$B$5:$B$133,'Source Ledger'!$E$5:$E$133),0)-IFERROR(XLOOKUP(D61,'Corrected Register'!$A$5:$A$136,'Corrected Register'!$M$5:$M$136),0))),IFERROR(XLOOKUP(D61,'Corrected Register'!$A$5:$A$136,'Corrected Register'!$N$5:$N$136),0))</f>
        <v>0</v>
      </c>
      <c r="H61" s="7" t="inlineStr">
        <is>
          <t>Pull MD-00065 out of Denver - Closed and park it at Seattle.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Didn't treat the closed building as a live location for MD-00065.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Ledger'!$B$5:$B$133,'Source Ledger'!$E$5:$E$133),"")="",IFERROR(XLOOKUP(D62,'Corrected Register'!$A$5:$A$136,'Corrected Register'!$M$5:$M$136),0),ABS(IFERROR(XLOOKUP(D62,'Source Ledger'!$B$5:$B$133,'Source Ledger'!$E$5:$E$133),0)-IFERROR(XLOOKUP(D62,'Corrected Register'!$A$5:$A$136,'Corrected Register'!$M$5:$M$136),0))),IFERROR(XLOOKUP(D62,'Corrected Register'!$A$5:$A$136,'Corrected Register'!$N$5:$N$136),0))</f>
        <v>0</v>
      </c>
      <c r="H62" s="7" t="inlineStr">
        <is>
          <t>Get a retrospective approval on TR-00065 or reverse it (ITAM-001 §4).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ITAM-001 §4: TR-00065 isn't a completed approved transfer.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Ledger'!$B$5:$B$133,'Source Ledger'!$E$5:$E$133),"")="",IFERROR(XLOOKUP(D63,'Corrected Register'!$A$5:$A$136,'Corrected Register'!$M$5:$M$136),0),ABS(IFERROR(XLOOKUP(D63,'Source Ledger'!$B$5:$B$133,'Source Ledger'!$E$5:$E$133),0)-IFERROR(XLOOKUP(D63,'Corrected Register'!$A$5:$A$136,'Corrected Register'!$M$5:$M$136),0))),IFERROR(XLOOKUP(D63,'Corrected Register'!$A$5:$A$136,'Corrected Register'!$N$5:$N$136),0))</f>
        <v>385.65</v>
      </c>
      <c r="H63" s="7" t="inlineStr">
        <is>
          <t>HR already termed E0079. Update MD-00066 assignment.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Offboarding ticket OFF-00066 doesn't put hardware in stock by itself.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Ledger'!$B$5:$B$133,'Source Ledger'!$E$5:$E$133),"")="",IFERROR(XLOOKUP(D64,'Corrected Register'!$A$5:$A$136,'Corrected Register'!$M$5:$M$136),0),ABS(IFERROR(XLOOKUP(D64,'Source Ledger'!$B$5:$B$133,'Source Ledger'!$E$5:$E$133),0)-IFERROR(XLOOKUP(D64,'Corrected Register'!$A$5:$A$136,'Corrected Register'!$M$5:$M$136),0))),IFERROR(XLOOKUP(D64,'Corrected Register'!$A$5:$A$136,'Corrected Register'!$N$5:$N$136),0))</f>
        <v>385.65</v>
      </c>
      <c r="H64" s="7" t="inlineStr">
        <is>
          <t>Same finding as the walkthrough: MD-00066 still tagged Chicago - Closed. Change it.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Walked the register vs HR/transfer. MD-00066 still says Chicago - Closed.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Ledger'!$B$5:$B$133,'Source Ledger'!$E$5:$E$133),"")="",IFERROR(XLOOKUP(D65,'Corrected Register'!$A$5:$A$136,'Corrected Register'!$M$5:$M$136),0),ABS(IFERROR(XLOOKUP(D65,'Source Ledger'!$B$5:$B$133,'Source Ledger'!$E$5:$E$133),0)-IFERROR(XLOOKUP(D65,'Corrected Register'!$A$5:$A$136,'Corrected Register'!$M$5:$M$136),0))),IFERROR(XLOOKUP(D65,'Corrected Register'!$A$5:$A$136,'Corrected Register'!$N$5:$N$136),0))</f>
        <v>764.93</v>
      </c>
      <c r="H65" s="7" t="inlineStr">
        <is>
          <t>Take E0080 off MD-00067. Park with Regional IT / IT Stock.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HR E0080 is separated. Register still has them on MD-00067. OFF-00067.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Ledger'!$B$5:$B$133,'Source Ledger'!$E$5:$E$133),"")="",IFERROR(XLOOKUP(D66,'Corrected Register'!$A$5:$A$136,'Corrected Register'!$M$5:$M$136),0),ABS(IFERROR(XLOOKUP(D66,'Source Ledger'!$B$5:$B$133,'Source Ledger'!$E$5:$E$133),0)-IFERROR(XLOOKUP(D66,'Corrected Register'!$A$5:$A$136,'Corrected Register'!$M$5:$M$136),0))),IFERROR(XLOOKUP(D66,'Corrected Register'!$A$5:$A$136,'Corrected Register'!$N$5:$N$136),0))</f>
        <v>764.93</v>
      </c>
      <c r="H66" s="7" t="inlineStr">
        <is>
          <t>Register still has the shuttered floor (Denver - Closed). Put Chicago on the row. (EX-0062)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MD-00067 still coded to a floor we don't occupy (Denver - Closed).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Ledger'!$B$5:$B$133,'Source Ledger'!$E$5:$E$133),"")="",IFERROR(XLOOKUP(D67,'Corrected Register'!$A$5:$A$136,'Corrected Register'!$M$5:$M$136),0),ABS(IFERROR(XLOOKUP(D67,'Source Ledger'!$B$5:$B$133,'Source Ledger'!$E$5:$E$133),0)-IFERROR(XLOOKUP(D67,'Corrected Register'!$A$5:$A$136,'Corrected Register'!$M$5:$M$136),0))),IFERROR(XLOOKUP(D67,'Corrected Register'!$A$5:$A$136,'Corrected Register'!$N$5:$N$136),0))</f>
        <v>1436.28</v>
      </c>
      <c r="H67" s="7" t="inlineStr">
        <is>
          <t>Escalate MD-00068. Generated label 1ZMD00000068 is not a return.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Carrier events missing on 1ZMD00000068. That's the assessment.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Ledger'!$B$5:$B$133,'Source Ledger'!$E$5:$E$133),"")="",IFERROR(XLOOKUP(D68,'Corrected Register'!$A$5:$A$136,'Corrected Register'!$M$5:$M$136),0),ABS(IFERROR(XLOOKUP(D68,'Source Ledger'!$B$5:$B$133,'Source Ledger'!$E$5:$E$133),0)-IFERROR(XLOOKUP(D68,'Corrected Register'!$A$5:$A$136,'Corrected Register'!$M$5:$M$136),0))),IFERROR(XLOOKUP(D68,'Corrected Register'!$A$5:$A$136,'Corrected Register'!$N$5:$N$136),0))</f>
        <v>1436.28</v>
      </c>
      <c r="H68" s="7" t="inlineStr">
        <is>
          <t>Custodian on MD-00068 is a terminated ID. Put IT Stock / Regional IT on the row.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MD-00068 custodian is a former employee in HR (E0081).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PO:PO-2025-0012; RegisterCost:6425.0; LedgerCost:6480.0</t>
        </is>
      </c>
      <c r="G69" s="7">
        <f>IF(B69="Inventory-to-Ledger Difference",IF(IFERROR(XLOOKUP(D69,'Source Ledger'!$B$5:$B$133,'Source Ledger'!$E$5:$E$133),"")="",IFERROR(XLOOKUP(D69,'Corrected Register'!$A$5:$A$136,'Corrected Register'!$M$5:$M$136),0),ABS(IFERROR(XLOOKUP(D69,'Source Ledger'!$B$5:$B$133,'Source Ledger'!$E$5:$E$133),0)-IFERROR(XLOOKUP(D69,'Corrected Register'!$A$5:$A$136,'Corrected Register'!$M$5:$M$136),0))),IFERROR(XLOOKUP(D69,'Corrected Register'!$A$5:$A$136,'Corrected Register'!$N$5:$N$136),0))</f>
        <v>55</v>
      </c>
      <c r="H69" s="7" t="inlineStr">
        <is>
          <t>Finance Controller owns the cost-basis cleanup on MD-00068.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FA-000068 cost 6600.0 vs register 6425.0. PO-2025-0012.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Ledger'!$B$5:$B$133,'Source Ledger'!$E$5:$E$133),"")="",IFERROR(XLOOKUP(D70,'Corrected Register'!$A$5:$A$136,'Corrected Register'!$M$5:$M$136),0),ABS(IFERROR(XLOOKUP(D70,'Source Ledger'!$B$5:$B$133,'Source Ledger'!$E$5:$E$133),0)-IFERROR(XLOOKUP(D70,'Corrected Register'!$A$5:$A$136,'Corrected Register'!$M$5:$M$136),0))),IFERROR(XLOOKUP(D70,'Corrected Register'!$A$5:$A$136,'Corrected Register'!$N$5:$N$136),0))</f>
        <v>142.69</v>
      </c>
      <c r="H70" s="7" t="inlineStr">
        <is>
          <t>Past the window on MD-00069. Label-only returns block cert until SCAN-86 / delivery / dock.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Looked at tracking 1ZMD00000069. Never left the printer as far as the file shows.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Ledger'!$B$5:$B$133,'Source Ledger'!$E$5:$E$133),"")="",IFERROR(XLOOKUP(D71,'Corrected Register'!$A$5:$A$136,'Corrected Register'!$M$5:$M$136),0),ABS(IFERROR(XLOOKUP(D71,'Source Ledger'!$B$5:$B$133,'Source Ledger'!$E$5:$E$133),0)-IFERROR(XLOOKUP(D71,'Corrected Register'!$A$5:$A$136,'Corrected Register'!$M$5:$M$136),0))),IFERROR(XLOOKUP(D71,'Corrected Register'!$A$5:$A$136,'Corrected Register'!$N$5:$N$136),0))</f>
        <v>142.69</v>
      </c>
      <c r="H71" s="7" t="inlineStr">
        <is>
          <t>Assignment cleanup: MD-00069 → Regional IT (or IT Stock if it's on the shelf).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HR E0082 is separated. Register still has them on MD-00069. OFF-00069.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Ledger'!$B$5:$B$133,'Source Ledger'!$E$5:$E$133),"")="",IFERROR(XLOOKUP(D72,'Corrected Register'!$A$5:$A$136,'Corrected Register'!$M$5:$M$136),0),ABS(IFERROR(XLOOKUP(D72,'Source Ledger'!$B$5:$B$133,'Source Ledger'!$E$5:$E$133),0)-IFERROR(XLOOKUP(D72,'Corrected Register'!$A$5:$A$136,'Corrected Register'!$M$5:$M$136),0))),IFERROR(XLOOKUP(D72,'Corrected Register'!$A$5:$A$136,'Corrected Register'!$N$5:$N$136),0))</f>
        <v>342.32</v>
      </c>
      <c r="H72" s="7" t="inlineStr">
        <is>
          <t>Chase the return. 1ZMD00000070 is Label Created only — not received.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1ZMD00000070 is still Label Created. No acceptance / delivery / dock scan.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Ledger'!$B$5:$B$133,'Source Ledger'!$E$5:$E$133),"")="",IFERROR(XLOOKUP(D73,'Corrected Register'!$A$5:$A$136,'Corrected Register'!$M$5:$M$136),0),ABS(IFERROR(XLOOKUP(D73,'Source Ledger'!$B$5:$B$133,'Source Ledger'!$E$5:$E$133),0)-IFERROR(XLOOKUP(D73,'Corrected Register'!$A$5:$A$136,'Corrected Register'!$M$5:$M$136),0))),IFERROR(XLOOKUP(D73,'Corrected Register'!$A$5:$A$136,'Corrected Register'!$N$5:$N$136),0))</f>
        <v>342.32</v>
      </c>
      <c r="H73" s="7" t="inlineStr">
        <is>
          <t>MD-00070 is still on a leaver. Close the assignment; stock holds it until recovered or written off.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OFF-00070 vs hr_employee_status: people side is done, asset isn't.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Ledger'!$B$5:$B$133,'Source Ledger'!$E$5:$E$133),"")="",IFERROR(XLOOKUP(D74,'Corrected Register'!$A$5:$A$136,'Corrected Register'!$M$5:$M$136),0),ABS(IFERROR(XLOOKUP(D74,'Source Ledger'!$B$5:$B$133,'Source Ledger'!$E$5:$E$133),0)-IFERROR(XLOOKUP(D74,'Corrected Register'!$A$5:$A$136,'Corrected Register'!$M$5:$M$136),0))),IFERROR(XLOOKUP(D74,'Corrected Register'!$A$5:$A$136,'Corrected Register'!$N$5:$N$136),0))</f>
        <v>787.96</v>
      </c>
      <c r="H74" s="7" t="inlineStr">
        <is>
          <t>Escalate MD-00071. Generated label 1ZMD00000071 is not a return.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Carrier events missing on 1ZMD00000071. That's the assessment.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Ledger'!$B$5:$B$133,'Source Ledger'!$E$5:$E$133),"")="",IFERROR(XLOOKUP(D75,'Corrected Register'!$A$5:$A$136,'Corrected Register'!$M$5:$M$136),0),ABS(IFERROR(XLOOKUP(D75,'Source Ledger'!$B$5:$B$133,'Source Ledger'!$E$5:$E$133),0)-IFERROR(XLOOKUP(D75,'Corrected Register'!$A$5:$A$136,'Corrected Register'!$M$5:$M$136),0))),IFERROR(XLOOKUP(D75,'Corrected Register'!$A$5:$A$136,'Corrected Register'!$N$5:$N$136),0))</f>
        <v>787.96</v>
      </c>
      <c r="H75" s="7" t="inlineStr">
        <is>
          <t>Custodian on MD-00071 is a terminated ID. Put IT Stock / Regional IT on the row.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MD-00071 custodian is a former employee in HR (E0084).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Ledger'!$B$5:$B$133,'Source Ledger'!$E$5:$E$133),"")="",IFERROR(XLOOKUP(D76,'Corrected Register'!$A$5:$A$136,'Corrected Register'!$M$5:$M$136),0),ABS(IFERROR(XLOOKUP(D76,'Source Ledger'!$B$5:$B$133,'Source Ledger'!$E$5:$E$133),0)-IFERROR(XLOOKUP(D76,'Corrected Register'!$A$5:$A$136,'Corrected Register'!$M$5:$M$136),0))),IFERROR(XLOOKUP(D76,'Corrected Register'!$A$5:$A$136,'Corrected Register'!$N$5:$N$136),0))</f>
        <v>500.27</v>
      </c>
      <c r="H76" s="7" t="inlineStr">
        <is>
          <t>OFF-00072: overdue. Keep pressure on the person; carrier file is empty.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Policy §5: label ≠ returned. 1ZMD00000072.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Ledger'!$B$5:$B$133,'Source Ledger'!$E$5:$E$133),"")="",IFERROR(XLOOKUP(D77,'Corrected Register'!$A$5:$A$136,'Corrected Register'!$M$5:$M$136),0),ABS(IFERROR(XLOOKUP(D77,'Source Ledger'!$B$5:$B$133,'Source Ledger'!$E$5:$E$133),0)-IFERROR(XLOOKUP(D77,'Corrected Register'!$A$5:$A$136,'Corrected Register'!$M$5:$M$136),0))),IFERROR(XLOOKUP(D77,'Corrected Register'!$A$5:$A$136,'Corrected Register'!$N$5:$N$136),0))</f>
        <v>500.27</v>
      </c>
      <c r="H77" s="7" t="inlineStr">
        <is>
          <t>Recover or lose-process MD-00072, but first drop the former employee as owner.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People record is closed; MD-00072 isn't. OFF-00072.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Ledger'!$B$5:$B$133,'Source Ledger'!$E$5:$E$133),"")="",IFERROR(XLOOKUP(D78,'Corrected Register'!$A$5:$A$136,'Corrected Register'!$M$5:$M$136),0),ABS(IFERROR(XLOOKUP(D78,'Source Ledger'!$B$5:$B$133,'Source Ledger'!$E$5:$E$133),0)-IFERROR(XLOOKUP(D78,'Corrected Register'!$A$5:$A$136,'Corrected Register'!$M$5:$M$136),0))),IFERROR(XLOOKUP(D78,'Corrected Register'!$A$5:$A$136,'Corrected Register'!$N$5:$N$136),0))</f>
        <v>0</v>
      </c>
      <c r="H78" s="7" t="inlineStr">
        <is>
          <t>Escalate to recovery. MD-00073 / 1ZMD00000073 still label-only.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Ship file for MD-00073: label only. OFF-00073 overdue 2026-07-15.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Ledger'!$B$5:$B$133,'Source Ledger'!$E$5:$E$133),"")="",IFERROR(XLOOKUP(D79,'Corrected Register'!$A$5:$A$136,'Corrected Register'!$M$5:$M$136),0),ABS(IFERROR(XLOOKUP(D79,'Source Ledger'!$B$5:$B$133,'Source Ledger'!$E$5:$E$133),0)-IFERROR(XLOOKUP(D79,'Corrected Register'!$A$5:$A$136,'Corrected Register'!$M$5:$M$136),0))),IFERROR(XLOOKUP(D79,'Corrected Register'!$A$5:$A$136,'Corrected Register'!$N$5:$N$136),0))</f>
        <v>0</v>
      </c>
      <c r="H79" s="7" t="inlineStr">
        <is>
          <t>Move MD-00073 off the separated custodian before we talk redeploy.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Leaver still on MD-00073. E0086.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Ledger'!$B$5:$B$133,'Source Ledger'!$E$5:$E$133),"")="",IFERROR(XLOOKUP(D80,'Corrected Register'!$A$5:$A$136,'Corrected Register'!$M$5:$M$136),0),ABS(IFERROR(XLOOKUP(D80,'Source Ledger'!$B$5:$B$133,'Source Ledger'!$E$5:$E$133),0)-IFERROR(XLOOKUP(D80,'Corrected Register'!$A$5:$A$136,'Corrected Register'!$M$5:$M$136),0))),IFERROR(XLOOKUP(D80,'Corrected Register'!$A$5:$A$136,'Corrected Register'!$N$5:$N$136),0))</f>
        <v>359.25</v>
      </c>
      <c r="H80" s="7" t="inlineStr">
        <is>
          <t>Do not clear custody on MD-00074. Mismatch MISMATCH-0074 vs MD-MO-050074.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Shipment serial MISMATCH-0074 on 1ZMD00000074 vs register MD-MO-050074. Not cleared.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Ledger'!$B$5:$B$133,'Source Ledger'!$E$5:$E$133),"")="",IFERROR(XLOOKUP(D81,'Corrected Register'!$A$5:$A$136,'Corrected Register'!$M$5:$M$136),0),ABS(IFERROR(XLOOKUP(D81,'Source Ledger'!$B$5:$B$133,'Source Ledger'!$E$5:$E$133),0)-IFERROR(XLOOKUP(D81,'Corrected Register'!$A$5:$A$136,'Corrected Register'!$M$5:$M$136),0))),IFERROR(XLOOKUP(D81,'Corrected Register'!$A$5:$A$136,'Corrected Register'!$N$5:$N$136),0))</f>
        <v>359.25</v>
      </c>
      <c r="H81" s="7" t="inlineStr">
        <is>
          <t>Close the people assignment on MD-00074. Ticket OFF-00074.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Offboarding ticket OFF-00074 doesn't put hardware in stock by itself.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Ledger'!$B$5:$B$133,'Source Ledger'!$E$5:$E$133),"")="",IFERROR(XLOOKUP(D82,'Corrected Register'!$A$5:$A$136,'Corrected Register'!$M$5:$M$136),0),ABS(IFERROR(XLOOKUP(D82,'Source Ledger'!$B$5:$B$133,'Source Ledger'!$E$5:$E$133),0)-IFERROR(XLOOKUP(D82,'Corrected Register'!$A$5:$A$136,'Corrected Register'!$M$5:$M$136),0))),IFERROR(XLOOKUP(D82,'Corrected Register'!$A$5:$A$136,'Corrected Register'!$N$5:$N$136),0))</f>
        <v>359.25</v>
      </c>
      <c r="H82" s="7" t="inlineStr">
        <is>
          <t>Recovery, not close-out. 1ZMD00000074 never left Label Created.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Policy §5: label ≠ returned. 1ZMD00000074.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Ledger'!$B$5:$B$133,'Source Ledger'!$E$5:$E$133),"")="",IFERROR(XLOOKUP(D83,'Corrected Register'!$A$5:$A$136,'Corrected Register'!$M$5:$M$136),0),ABS(IFERROR(XLOOKUP(D83,'Source Ledger'!$B$5:$B$133,'Source Ledger'!$E$5:$E$133),0)-IFERROR(XLOOKUP(D83,'Corrected Register'!$A$5:$A$136,'Corrected Register'!$M$5:$M$136),0))),IFERROR(XLOOKUP(D83,'Corrected Register'!$A$5:$A$136,'Corrected Register'!$N$5:$N$136),0))</f>
        <v>647.42</v>
      </c>
      <c r="H83" s="7" t="inlineStr">
        <is>
          <t>OFF-00075: overdue. Keep pressure on the person; carrier file is empty.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1ZMD00000075 is still Label Created. No acceptance / delivery / dock scan.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Ledger'!$B$5:$B$133,'Source Ledger'!$E$5:$E$133),"")="",IFERROR(XLOOKUP(D84,'Corrected Register'!$A$5:$A$136,'Corrected Register'!$M$5:$M$136),0),ABS(IFERROR(XLOOKUP(D84,'Source Ledger'!$B$5:$B$133,'Source Ledger'!$E$5:$E$133),0)-IFERROR(XLOOKUP(D84,'Corrected Register'!$A$5:$A$136,'Corrected Register'!$M$5:$M$136),0))),IFERROR(XLOOKUP(D84,'Corrected Register'!$A$5:$A$136,'Corrected Register'!$N$5:$N$136),0))</f>
        <v>647.42</v>
      </c>
      <c r="H84" s="7" t="inlineStr">
        <is>
          <t>HR E0088 is gone. Register custodian on MD-00075 has to move.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OFF-00075 vs hr_employee_status: people side is done, asset isn't.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Ledger'!$B$5:$B$133,'Source Ledger'!$E$5:$E$133),"")="",IFERROR(XLOOKUP(D85,'Corrected Register'!$A$5:$A$136,'Corrected Register'!$M$5:$M$136),0),ABS(IFERROR(XLOOKUP(D85,'Source Ledger'!$B$5:$B$133,'Source Ledger'!$E$5:$E$133),0)-IFERROR(XLOOKUP(D85,'Corrected Register'!$A$5:$A$136,'Corrected Register'!$M$5:$M$136),0))),IFERROR(XLOOKUP(D85,'Corrected Register'!$A$5:$A$136,'Corrected Register'!$N$5:$N$136),0))</f>
        <v>953.89</v>
      </c>
      <c r="H85" s="7" t="inlineStr">
        <is>
          <t>1ZMD00000076: serial fight. Keep In Transit - Exception.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Carrier exception on 1ZMD00000076. Status stays In Transit - Exception.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Ledger'!$B$5:$B$133,'Source Ledger'!$E$5:$E$133),"")="",IFERROR(XLOOKUP(D86,'Corrected Register'!$A$5:$A$136,'Corrected Register'!$M$5:$M$136),0),ABS(IFERROR(XLOOKUP(D86,'Source Ledger'!$B$5:$B$133,'Source Ledger'!$E$5:$E$133),0)-IFERROR(XLOOKUP(D86,'Corrected Register'!$A$5:$A$136,'Corrected Register'!$M$5:$M$136),0))),IFERROR(XLOOKUP(D86,'Corrected Register'!$A$5:$A$136,'Corrected Register'!$N$5:$N$136),0))</f>
        <v>953.89</v>
      </c>
      <c r="H86" s="7" t="inlineStr">
        <is>
          <t>Don't leave MD-00076 assigned to E0089.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MD-00076 custodian is a former employee in HR (E0089).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Ledger'!$B$5:$B$133,'Source Ledger'!$E$5:$E$133),"")="",IFERROR(XLOOKUP(D87,'Corrected Register'!$A$5:$A$136,'Corrected Register'!$M$5:$M$136),0),ABS(IFERROR(XLOOKUP(D87,'Source Ledger'!$B$5:$B$133,'Source Ledger'!$E$5:$E$133),0)-IFERROR(XLOOKUP(D87,'Corrected Register'!$A$5:$A$136,'Corrected Register'!$M$5:$M$136),0))),IFERROR(XLOOKUP(D87,'Corrected Register'!$A$5:$A$136,'Corrected Register'!$N$5:$N$136),0))</f>
        <v>953.89</v>
      </c>
      <c r="H87" s="7" t="inlineStr">
        <is>
          <t>MD-00076 past due 2026-07-15. Label isn't proof. Escalate recovery.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Label exists. Receipt doesn't. MD-00076.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Ledger'!$B$5:$B$133,'Source Ledger'!$E$5:$E$133),"")="",IFERROR(XLOOKUP(D88,'Corrected Register'!$A$5:$A$136,'Corrected Register'!$M$5:$M$136),0),ABS(IFERROR(XLOOKUP(D88,'Source Ledger'!$B$5:$B$133,'Source Ledger'!$E$5:$E$133),0)-IFERROR(XLOOKUP(D88,'Corrected Register'!$A$5:$A$136,'Corrected Register'!$M$5:$M$136),0))),IFERROR(XLOOKUP(D88,'Corrected Register'!$A$5:$A$136,'Corrected Register'!$N$5:$N$136),0))</f>
        <v>0</v>
      </c>
      <c r="H88" s="7" t="inlineStr">
        <is>
          <t>Escalate MD-00077. Generated label 1ZMD00000077 is not a return.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Looked at tracking 1ZMD00000077. Never left the printer as far as the file shows.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Ledger'!$B$5:$B$133,'Source Ledger'!$E$5:$E$133),"")="",IFERROR(XLOOKUP(D89,'Corrected Register'!$A$5:$A$136,'Corrected Register'!$M$5:$M$136),0),ABS(IFERROR(XLOOKUP(D89,'Source Ledger'!$B$5:$B$133,'Source Ledger'!$E$5:$E$133),0)-IFERROR(XLOOKUP(D89,'Corrected Register'!$A$5:$A$136,'Corrected Register'!$M$5:$M$136),0))),IFERROR(XLOOKUP(D89,'Corrected Register'!$A$5:$A$136,'Corrected Register'!$N$5:$N$136),0))</f>
        <v>0</v>
      </c>
      <c r="H89" s="7" t="inlineStr">
        <is>
          <t>E0090 should not still own MD-00077 on the register.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HR E0090 is separated. Register still has them on MD-00077. OFF-00077.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Ledger'!$B$5:$B$133,'Source Ledger'!$E$5:$E$133),"")="",IFERROR(XLOOKUP(D90,'Corrected Register'!$A$5:$A$136,'Corrected Register'!$M$5:$M$136),0),ABS(IFERROR(XLOOKUP(D90,'Source Ledger'!$B$5:$B$133,'Source Ledger'!$E$5:$E$133),0)-IFERROR(XLOOKUP(D90,'Corrected Register'!$A$5:$A$136,'Corrected Register'!$M$5:$M$136),0))),IFERROR(XLOOKUP(D90,'Corrected Register'!$A$5:$A$136,'Corrected Register'!$N$5:$N$136),0))</f>
        <v>328.95</v>
      </c>
      <c r="H90" s="7" t="inlineStr">
        <is>
          <t>OFF-00078: overdue. Keep pressure on the person; carrier file is empty.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Didn't treat the prepaid label as a return. 1ZMD00000078.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Ledger'!$B$5:$B$133,'Source Ledger'!$E$5:$E$133),"")="",IFERROR(XLOOKUP(D91,'Corrected Register'!$A$5:$A$136,'Corrected Register'!$M$5:$M$136),0),ABS(IFERROR(XLOOKUP(D91,'Source Ledger'!$B$5:$B$133,'Source Ledger'!$E$5:$E$133),0)-IFERROR(XLOOKUP(D91,'Corrected Register'!$A$5:$A$136,'Corrected Register'!$M$5:$M$136),0))),IFERROR(XLOOKUP(D91,'Corrected Register'!$A$5:$A$136,'Corrected Register'!$N$5:$N$136),0))</f>
        <v>328.95</v>
      </c>
      <c r="H91" s="7" t="inlineStr">
        <is>
          <t>HR already termed E0091. Update MD-00078 assignment.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Checked the term date against the assignment. Stale owner on MD-00078.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Ledger'!$B$5:$B$133,'Source Ledger'!$E$5:$E$133),"")="",IFERROR(XLOOKUP(D92,'Corrected Register'!$A$5:$A$136,'Corrected Register'!$M$5:$M$136),0),ABS(IFERROR(XLOOKUP(D92,'Source Ledger'!$B$5:$B$133,'Source Ledger'!$E$5:$E$133),0)-IFERROR(XLOOKUP(D92,'Corrected Register'!$A$5:$A$136,'Corrected Register'!$M$5:$M$136),0))),IFERROR(XLOOKUP(D92,'Corrected Register'!$A$5:$A$136,'Corrected Register'!$N$5:$N$136),0))</f>
        <v>692.62</v>
      </c>
      <c r="H92" s="7" t="inlineStr">
        <is>
          <t>Escalate to recovery. MD-00079 / 1ZMD00000079 still label-only.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Label exists. Receipt doesn't. MD-00079.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Ledger'!$B$5:$B$133,'Source Ledger'!$E$5:$E$133),"")="",IFERROR(XLOOKUP(D93,'Corrected Register'!$A$5:$A$136,'Corrected Register'!$M$5:$M$136),0),ABS(IFERROR(XLOOKUP(D93,'Source Ledger'!$B$5:$B$133,'Source Ledger'!$E$5:$E$133),0)-IFERROR(XLOOKUP(D93,'Corrected Register'!$A$5:$A$136,'Corrected Register'!$M$5:$M$136),0))),IFERROR(XLOOKUP(D93,'Corrected Register'!$A$5:$A$136,'Corrected Register'!$N$5:$N$136),0))</f>
        <v>692.62</v>
      </c>
      <c r="H93" s="7" t="inlineStr">
        <is>
          <t>Take E0092 off MD-00079. Park with Regional IT / IT Stock.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E0092 already termed. MD-00079 assignment wasn't updated.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Ledger'!$B$5:$B$133,'Source Ledger'!$E$5:$E$133),"")="",IFERROR(XLOOKUP(D94,'Corrected Register'!$A$5:$A$136,'Corrected Register'!$M$5:$M$136),0),ABS(IFERROR(XLOOKUP(D94,'Source Ledger'!$B$5:$B$133,'Source Ledger'!$E$5:$E$133),0)-IFERROR(XLOOKUP(D94,'Corrected Register'!$A$5:$A$136,'Corrected Register'!$M$5:$M$136),0))),IFERROR(XLOOKUP(D94,'Corrected Register'!$A$5:$A$136,'Corrected Register'!$N$5:$N$136),0))</f>
        <v>1374.53</v>
      </c>
      <c r="H94" s="7" t="inlineStr">
        <is>
          <t>Recover or lose-process MD-00080, but first drop the former employee as owner.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E0093 already termed. MD-00080 assignment wasn't updated.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Ledger'!$B$5:$B$133,'Source Ledger'!$E$5:$E$133),"")="",IFERROR(XLOOKUP(D95,'Corrected Register'!$A$5:$A$136,'Corrected Register'!$M$5:$M$136),0),ABS(IFERROR(XLOOKUP(D95,'Source Ledger'!$B$5:$B$133,'Source Ledger'!$E$5:$E$133),0)-IFERROR(XLOOKUP(D95,'Corrected Register'!$A$5:$A$136,'Corrected Register'!$M$5:$M$136),0))),IFERROR(XLOOKUP(D95,'Corrected Register'!$A$5:$A$136,'Corrected Register'!$N$5:$N$136),0))</f>
        <v>114.4</v>
      </c>
      <c r="H95" s="7" t="inlineStr">
        <is>
          <t>E0094 should not still own MD-00081 on the register.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HR E0094 is separated. Register still has them on MD-00081. OFF-00081.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Ledger'!$B$5:$B$133,'Source Ledger'!$E$5:$E$133),"")="",IFERROR(XLOOKUP(D96,'Corrected Register'!$A$5:$A$136,'Corrected Register'!$M$5:$M$136),0),ABS(IFERROR(XLOOKUP(D96,'Source Ledger'!$B$5:$B$133,'Source Ledger'!$E$5:$E$133),0)-IFERROR(XLOOKUP(D96,'Corrected Register'!$A$5:$A$136,'Corrected Register'!$M$5:$M$136),0))),IFERROR(XLOOKUP(D96,'Corrected Register'!$A$5:$A$136,'Corrected Register'!$N$5:$N$136),0))</f>
        <v>485.55</v>
      </c>
      <c r="H96" s="7" t="inlineStr">
        <is>
          <t>Do not clear custody on MD-00082. Mismatch MISMATCH-0082 vs MD-MO-050082.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Carrier file and receiving_exception_scan_1ZMD00000082.png. Image ≠ inbound clearance.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Ledger'!$B$5:$B$133,'Source Ledger'!$E$5:$E$133),"")="",IFERROR(XLOOKUP(D97,'Corrected Register'!$A$5:$A$136,'Corrected Register'!$M$5:$M$136),0),ABS(IFERROR(XLOOKUP(D97,'Source Ledger'!$B$5:$B$133,'Source Ledger'!$E$5:$E$133),0)-IFERROR(XLOOKUP(D97,'Corrected Register'!$A$5:$A$136,'Corrected Register'!$M$5:$M$136),0))),IFERROR(XLOOKUP(D97,'Corrected Register'!$A$5:$A$136,'Corrected Register'!$N$5:$N$136),0))</f>
        <v>485.55</v>
      </c>
      <c r="H97" s="7" t="inlineStr">
        <is>
          <t>HR already termed E0095. Update MD-00082 assignment.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Checked the term date against the assignment. Stale owner on MD-00082.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Ledger'!$B$5:$B$133,'Source Ledger'!$E$5:$E$133),"")="",IFERROR(XLOOKUP(D98,'Corrected Register'!$A$5:$A$136,'Corrected Register'!$M$5:$M$136),0),ABS(IFERROR(XLOOKUP(D98,'Source Ledger'!$B$5:$B$133,'Source Ledger'!$E$5:$E$133),0)-IFERROR(XLOOKUP(D98,'Corrected Register'!$A$5:$A$136,'Corrected Register'!$M$5:$M$136),0))),IFERROR(XLOOKUP(D98,'Corrected Register'!$A$5:$A$136,'Corrected Register'!$N$5:$N$136),0))</f>
        <v>952.79</v>
      </c>
      <c r="H98" s="7" t="inlineStr">
        <is>
          <t>MD-00083: former employee still listed. That's the fix.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ticket OFF-00083 doesn't put hardware in stock by itself.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Ledger'!$B$5:$B$133,'Source Ledger'!$E$5:$E$133),"")="",IFERROR(XLOOKUP(D99,'Corrected Register'!$A$5:$A$136,'Corrected Register'!$M$5:$M$136),0),ABS(IFERROR(XLOOKUP(D99,'Source Ledger'!$B$5:$B$133,'Source Ledger'!$E$5:$E$133),0)-IFERROR(XLOOKUP(D99,'Corrected Register'!$A$5:$A$136,'Corrected Register'!$M$5:$M$136),0))),IFERROR(XLOOKUP(D99,'Corrected Register'!$A$5:$A$136,'Corrected Register'!$N$5:$N$136),0))</f>
        <v>533.85</v>
      </c>
      <c r="H99" s="7" t="inlineStr">
        <is>
          <t>Work it with carrier/receiving. 1ZMD00000084 shows MISMATCH-0084; register is MD-NE-050084.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Carrier exception on 1ZMD00000084. Status stays In Transit - Exception.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Ledger'!$B$5:$B$133,'Source Ledger'!$E$5:$E$133),"")="",IFERROR(XLOOKUP(D100,'Corrected Register'!$A$5:$A$136,'Corrected Register'!$M$5:$M$136),0),ABS(IFERROR(XLOOKUP(D100,'Source Ledger'!$B$5:$B$133,'Source Ledger'!$E$5:$E$133),0)-IFERROR(XLOOKUP(D100,'Corrected Register'!$A$5:$A$136,'Corrected Register'!$M$5:$M$136),0))),IFERROR(XLOOKUP(D100,'Corrected Register'!$A$5:$A$136,'Corrected Register'!$N$5:$N$136),0))</f>
        <v>533.85</v>
      </c>
      <c r="H100" s="7" t="inlineStr">
        <is>
          <t>HR E0072 is gone. Register custodian on MD-00084 has to move.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HR E0072 is separated. Register still has them on MD-00084. OFF-00084.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Ledger'!$B$5:$B$133,'Source Ledger'!$E$5:$E$133),"")="",IFERROR(XLOOKUP(D101,'Corrected Register'!$A$5:$A$136,'Corrected Register'!$M$5:$M$136),0),ABS(IFERROR(XLOOKUP(D101,'Source Ledger'!$B$5:$B$133,'Source Ledger'!$E$5:$E$133),0)-IFERROR(XLOOKUP(D101,'Corrected Register'!$A$5:$A$136,'Corrected Register'!$M$5:$M$136),0))),IFERROR(XLOOKUP(D101,'Corrected Register'!$A$5:$A$136,'Corrected Register'!$N$5:$N$136),0))</f>
        <v>0</v>
      </c>
      <c r="H101" s="7" t="inlineStr">
        <is>
          <t>Custodian on MD-00085 is a terminated ID. Put IT Stock / Regional IT on the row.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Leaver still on MD-00085. E0073.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PO:PO-2024-0015; RegisterCost:1895.0; LedgerCost:2090.0</t>
        </is>
      </c>
      <c r="G102" s="7">
        <f>IF(B102="Inventory-to-Ledger Difference",IF(IFERROR(XLOOKUP(D102,'Source Ledger'!$B$5:$B$133,'Source Ledger'!$E$5:$E$133),"")="",IFERROR(XLOOKUP(D102,'Corrected Register'!$A$5:$A$136,'Corrected Register'!$M$5:$M$136),0),ABS(IFERROR(XLOOKUP(D102,'Source Ledger'!$B$5:$B$133,'Source Ledger'!$E$5:$E$133),0)-IFERROR(XLOOKUP(D102,'Corrected Register'!$A$5:$A$136,'Corrected Register'!$M$5:$M$136),0))),IFERROR(XLOOKUP(D102,'Corrected Register'!$A$5:$A$136,'Corrected Register'!$N$5:$N$136),0))</f>
        <v>195</v>
      </c>
      <c r="H102" s="7" t="inlineStr">
        <is>
          <t>Cost basis mismatch MD-00085. Pull PO-2024-0015 and fix FA-000085 or the register.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FA-000085 cost 2070.0 vs register 1895.0. PO-2024-0015.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Ledger'!$B$5:$B$133,'Source Ledger'!$E$5:$E$133),"")="",IFERROR(XLOOKUP(D103,'Corrected Register'!$A$5:$A$136,'Corrected Register'!$M$5:$M$136),0),ABS(IFERROR(XLOOKUP(D103,'Source Ledger'!$B$5:$B$133,'Source Ledger'!$E$5:$E$133),0)-IFERROR(XLOOKUP(D103,'Corrected Register'!$A$5:$A$136,'Corrected Register'!$M$5:$M$136),0))),IFERROR(XLOOKUP(D103,'Corrected Register'!$A$5:$A$136,'Corrected Register'!$N$5:$N$136),0))</f>
        <v>317.07</v>
      </c>
      <c r="H103" s="7" t="inlineStr">
        <is>
          <t>Recover or lose-process MD-00086, but first drop the former employee as owner.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Offboarding ticket OFF-00086 doesn't put hardware in stock by itself.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Ledger'!$B$5:$B$133,'Source Ledger'!$E$5:$E$133),"")="",IFERROR(XLOOKUP(D104,'Corrected Register'!$A$5:$A$136,'Corrected Register'!$M$5:$M$136),0),ABS(IFERROR(XLOOKUP(D104,'Source Ledger'!$B$5:$B$133,'Source Ledger'!$E$5:$E$133),0)-IFERROR(XLOOKUP(D104,'Corrected Register'!$A$5:$A$136,'Corrected Register'!$M$5:$M$136),0))),IFERROR(XLOOKUP(D104,'Corrected Register'!$A$5:$A$136,'Corrected Register'!$N$5:$N$136),0))</f>
        <v>609.71</v>
      </c>
      <c r="H104" s="7" t="inlineStr">
        <is>
          <t>E0075 should not still own MD-00087 on the register.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People record is closed; MD-00087 isn't. OFF-00087.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Ledger'!$B$5:$B$133,'Source Ledger'!$E$5:$E$133),"")="",IFERROR(XLOOKUP(D105,'Corrected Register'!$A$5:$A$136,'Corrected Register'!$M$5:$M$136),0),ABS(IFERROR(XLOOKUP(D105,'Source Ledger'!$B$5:$B$133,'Source Ledger'!$E$5:$E$133),0)-IFERROR(XLOOKUP(D105,'Corrected Register'!$A$5:$A$136,'Corrected Register'!$M$5:$M$136),0))),IFERROR(XLOOKUP(D105,'Corrected Register'!$A$5:$A$136,'Corrected Register'!$N$5:$N$136),0))</f>
        <v>982.55</v>
      </c>
      <c r="H105" s="7" t="inlineStr">
        <is>
          <t>Register owner is stale. MD-00088 needs a stock/regional holder.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OFF-00088 vs hr_employee_status: people side is done, asset isn't.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Difference",IF(IFERROR(XLOOKUP(D106,'Source Ledger'!$B$5:$B$133,'Source Ledger'!$E$5:$E$133),"")="",IFERROR(XLOOKUP(D106,'Corrected Register'!$A$5:$A$136,'Corrected Register'!$M$5:$M$136),0),ABS(IFERROR(XLOOKUP(D106,'Source Ledger'!$B$5:$B$133,'Source Ledger'!$E$5:$E$133),0)-IFERROR(XLOOKUP(D106,'Corrected Register'!$A$5:$A$136,'Corrected Register'!$M$5:$M$136),0))),IFERROR(XLOOKUP(D106,'Corrected Register'!$A$5:$A$136,'Corrected Register'!$N$5:$N$136),0))</f>
        <v>982.55</v>
      </c>
      <c r="H106" s="7" t="inlineStr">
        <is>
          <t>Duplicate MD-NE-050088 — MD-00088 and the other tag in MD-00088,MD-00092. Don't treat either as clean until retag.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Inventory file lists MD-NE-050088 twice (MD-00088,MD-00092).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Ledger'!$B$5:$B$133,'Source Ledger'!$E$5:$E$133),"")="",IFERROR(XLOOKUP(D107,'Corrected Register'!$A$5:$A$136,'Corrected Register'!$M$5:$M$136),0),ABS(IFERROR(XLOOKUP(D107,'Source Ledger'!$B$5:$B$133,'Source Ledger'!$E$5:$E$133),0)-IFERROR(XLOOKUP(D107,'Corrected Register'!$A$5:$A$136,'Corrected Register'!$M$5:$M$136),0))),IFERROR(XLOOKUP(D107,'Corrected Register'!$A$5:$A$136,'Corrected Register'!$N$5:$N$136),0))</f>
        <v>0</v>
      </c>
      <c r="H107" s="7" t="inlineStr">
        <is>
          <t>Classify MD-00089 Missing. Last register site Denver - Closed is a closed floor — not a find.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Walked HR, transfers, tickets. MD-00089 is not in any inbound.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Ledger'!$B$5:$B$133,'Source Ledger'!$E$5:$E$133),"")="",IFERROR(XLOOKUP(D108,'Corrected Register'!$A$5:$A$136,'Corrected Register'!$M$5:$M$136),0),ABS(IFERROR(XLOOKUP(D108,'Source Ledger'!$B$5:$B$133,'Source Ledger'!$E$5:$E$133),0)-IFERROR(XLOOKUP(D108,'Corrected Register'!$A$5:$A$136,'Corrected Register'!$M$5:$M$136),0))),IFERROR(XLOOKUP(D108,'Corrected Register'!$A$5:$A$136,'Corrected Register'!$N$5:$N$136),0))</f>
        <v>0</v>
      </c>
      <c r="H108" s="7" t="inlineStr">
        <is>
          <t>Take E0077 off MD-00089. Park with Regional IT / IT Stock.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Offboarding ticket OFF-00089 doesn't put hardware in stock by itself.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Ledger'!$B$5:$B$133,'Source Ledger'!$E$5:$E$133),"")="",IFERROR(XLOOKUP(D109,'Corrected Register'!$A$5:$A$136,'Corrected Register'!$M$5:$M$136),0),ABS(IFERROR(XLOOKUP(D109,'Source Ledger'!$B$5:$B$133,'Source Ledger'!$E$5:$E$133),0)-IFERROR(XLOOKUP(D109,'Corrected Register'!$A$5:$A$136,'Corrected Register'!$M$5:$M$136),0))),IFERROR(XLOOKUP(D109,'Corrected Register'!$A$5:$A$136,'Corrected Register'!$N$5:$N$136),0))</f>
        <v>465.13</v>
      </c>
      <c r="H109" s="7" t="inlineStr">
        <is>
          <t>No scan, no cert, no count for MD-00090. Missing, not In Use.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OFF-00090 / TR-00090: still gone. Notes don't locate it.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Ledger'!$B$5:$B$133,'Source Ledger'!$E$5:$E$133),"")="",IFERROR(XLOOKUP(D110,'Corrected Register'!$A$5:$A$136,'Corrected Register'!$M$5:$M$136),0),ABS(IFERROR(XLOOKUP(D110,'Source Ledger'!$B$5:$B$133,'Source Ledger'!$E$5:$E$133),0)-IFERROR(XLOOKUP(D110,'Corrected Register'!$A$5:$A$136,'Corrected Register'!$M$5:$M$136),0))),IFERROR(XLOOKUP(D110,'Corrected Register'!$A$5:$A$136,'Corrected Register'!$N$5:$N$136),0))</f>
        <v>465.13</v>
      </c>
      <c r="H110" s="7" t="inlineStr">
        <is>
          <t>Assignment cleanup: MD-00090 → Regional IT (or IT Stock if it's on the shelf).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E0078 already termed. MD-00090 assignment wasn't updated.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Ledger'!$B$5:$B$133,'Source Ledger'!$E$5:$E$133),"")="",IFERROR(XLOOKUP(D111,'Corrected Register'!$A$5:$A$136,'Corrected Register'!$M$5:$M$136),0),ABS(IFERROR(XLOOKUP(D111,'Source Ledger'!$B$5:$B$133,'Source Ledger'!$E$5:$E$133),0)-IFERROR(XLOOKUP(D111,'Corrected Register'!$A$5:$A$136,'Corrected Register'!$M$5:$M$136),0))),IFERROR(XLOOKUP(D111,'Corrected Register'!$A$5:$A$136,'Corrected Register'!$N$5:$N$136),0))</f>
        <v>643.09</v>
      </c>
      <c r="H111" s="7" t="inlineStr">
        <is>
          <t>Loss investigation on MD-00091. Keep Missing until we find it or get a write-off.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MD-00091: nothing higher-precedence than a closed-floor register row.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Ledger'!$B$5:$B$133,'Source Ledger'!$E$5:$E$133),"")="",IFERROR(XLOOKUP(D112,'Corrected Register'!$A$5:$A$136,'Corrected Register'!$M$5:$M$136),0),ABS(IFERROR(XLOOKUP(D112,'Source Ledger'!$B$5:$B$133,'Source Ledger'!$E$5:$E$133),0)-IFERROR(XLOOKUP(D112,'Corrected Register'!$A$5:$A$136,'Corrected Register'!$M$5:$M$136),0))),IFERROR(XLOOKUP(D112,'Corrected Register'!$A$5:$A$136,'Corrected Register'!$N$5:$N$136),0))</f>
        <v>643.09</v>
      </c>
      <c r="H112" s="7" t="inlineStr">
        <is>
          <t>Register owner is stale. MD-00091 needs a stock/regional holder.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OFF-00091 vs hr_employee_status: people side is done, asset isn't.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Ledger'!$B$5:$B$133,'Source Ledger'!$E$5:$E$133),"")="",IFERROR(XLOOKUP(D113,'Corrected Register'!$A$5:$A$136,'Corrected Register'!$M$5:$M$136),0),ABS(IFERROR(XLOOKUP(D113,'Source Ledger'!$B$5:$B$133,'Source Ledger'!$E$5:$E$133),0)-IFERROR(XLOOKUP(D113,'Corrected Register'!$A$5:$A$136,'Corrected Register'!$M$5:$M$136),0))),IFERROR(XLOOKUP(D113,'Corrected Register'!$A$5:$A$136,'Corrected Register'!$N$5:$N$136),0))</f>
        <v>1396.04</v>
      </c>
      <c r="H113" s="7" t="inlineStr">
        <is>
          <t>Start the loss process. MD-00092 is not in Unknown and not in receiving.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OFF-00092 / TR-00092: still gone. Notes don't locate it.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Ledger'!$B$5:$B$133,'Source Ledger'!$E$5:$E$133),"")="",IFERROR(XLOOKUP(D114,'Corrected Register'!$A$5:$A$136,'Corrected Register'!$M$5:$M$136),0),ABS(IFERROR(XLOOKUP(D114,'Source Ledger'!$B$5:$B$133,'Source Ledger'!$E$5:$E$133),0)-IFERROR(XLOOKUP(D114,'Corrected Register'!$A$5:$A$136,'Corrected Register'!$M$5:$M$136),0))),IFERROR(XLOOKUP(D114,'Corrected Register'!$A$5:$A$136,'Corrected Register'!$N$5:$N$136),0))</f>
        <v>1396.04</v>
      </c>
      <c r="H114" s="7" t="inlineStr">
        <is>
          <t>MD-00092: former employee still listed. That's the fix.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MD-00092 custodian is a former employee in HR (E0080).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Difference",IF(IFERROR(XLOOKUP(D115,'Source Ledger'!$B$5:$B$133,'Source Ledger'!$E$5:$E$133),"")="",IFERROR(XLOOKUP(D115,'Corrected Register'!$A$5:$A$136,'Corrected Register'!$M$5:$M$136),0),ABS(IFERROR(XLOOKUP(D115,'Source Ledger'!$B$5:$B$133,'Source Ledger'!$E$5:$E$133),0)-IFERROR(XLOOKUP(D115,'Corrected Register'!$A$5:$A$136,'Corrected Register'!$M$5:$M$136),0))),IFERROR(XLOOKUP(D115,'Corrected Register'!$A$5:$A$136,'Corrected Register'!$N$5:$N$136),0))</f>
        <v>1396.04</v>
      </c>
      <c r="H115" s="7" t="inlineStr">
        <is>
          <t>Two assets share MD-NE-050088 (MD-00088,MD-00092). Validate on the bench and issue a new serial.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Two tags, one serial (MD-NE-050088). Flagged both.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Ledger'!$B$5:$B$133,'Source Ledger'!$E$5:$E$133),"")="",IFERROR(XLOOKUP(D116,'Corrected Register'!$A$5:$A$136,'Corrected Register'!$M$5:$M$136),0),ABS(IFERROR(XLOOKUP(D116,'Source Ledger'!$B$5:$B$133,'Source Ledger'!$E$5:$E$133),0)-IFERROR(XLOOKUP(D116,'Corrected Register'!$A$5:$A$136,'Corrected Register'!$M$5:$M$136),0))),IFERROR(XLOOKUP(D116,'Corrected Register'!$A$5:$A$136,'Corrected Register'!$N$5:$N$136),0))</f>
        <v>130.57</v>
      </c>
      <c r="H116" s="7" t="inlineStr">
        <is>
          <t>No scan, no cert, no count for MD-00093. Missing, not In Use.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Couldn't prove a location. Ticket:OFF-00093; Transfer:TR-00093; LastRegisterLocation:Denver - Closed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Ledger'!$B$5:$B$133,'Source Ledger'!$E$5:$E$133),"")="",IFERROR(XLOOKUP(D117,'Corrected Register'!$A$5:$A$136,'Corrected Register'!$M$5:$M$136),0),ABS(IFERROR(XLOOKUP(D117,'Source Ledger'!$B$5:$B$133,'Source Ledger'!$E$5:$E$133),0)-IFERROR(XLOOKUP(D117,'Corrected Register'!$A$5:$A$136,'Corrected Register'!$M$5:$M$136),0))),IFERROR(XLOOKUP(D117,'Corrected Register'!$A$5:$A$136,'Corrected Register'!$N$5:$N$136),0))</f>
        <v>130.57</v>
      </c>
      <c r="H117" s="7" t="inlineStr">
        <is>
          <t>Unassign MD-00093 from the former employee. OFF-00093 is the offboarding ticket.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E0081 is separated. Register still has them on MD-00093. OFF-00093.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Ledger'!$B$5:$B$133,'Source Ledger'!$E$5:$E$133),"")="",IFERROR(XLOOKUP(D118,'Corrected Register'!$A$5:$A$136,'Corrected Register'!$M$5:$M$136),0),ABS(IFERROR(XLOOKUP(D118,'Source Ledger'!$B$5:$B$133,'Source Ledger'!$E$5:$E$133),0)-IFERROR(XLOOKUP(D118,'Corrected Register'!$A$5:$A$136,'Corrected Register'!$M$5:$M$136),0))),IFERROR(XLOOKUP(D118,'Corrected Register'!$A$5:$A$136,'Corrected Register'!$N$5:$N$136),0))</f>
        <v>431.2</v>
      </c>
      <c r="H118" s="7" t="inlineStr">
        <is>
          <t>Loss investigation on MD-00094. Keep Missing until we find it or get a write-off.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Walked HR, transfers, tickets. MD-00094 is not in any inbound.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Ledger'!$B$5:$B$133,'Source Ledger'!$E$5:$E$133),"")="",IFERROR(XLOOKUP(D119,'Corrected Register'!$A$5:$A$136,'Corrected Register'!$M$5:$M$136),0),ABS(IFERROR(XLOOKUP(D119,'Source Ledger'!$B$5:$B$133,'Source Ledger'!$E$5:$E$133),0)-IFERROR(XLOOKUP(D119,'Corrected Register'!$A$5:$A$136,'Corrected Register'!$M$5:$M$136),0))),IFERROR(XLOOKUP(D119,'Corrected Register'!$A$5:$A$136,'Corrected Register'!$N$5:$N$136),0))</f>
        <v>431.2</v>
      </c>
      <c r="H119" s="7" t="inlineStr">
        <is>
          <t>OFF-00094 closed the people side; asset row still shows the leaver. Fix custodian.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Checked the term date against the assignment. Stale owner on MD-00094.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Ledger'!$B$5:$B$133,'Source Ledger'!$E$5:$E$133),"")="",IFERROR(XLOOKUP(D120,'Corrected Register'!$A$5:$A$136,'Corrected Register'!$M$5:$M$136),0),ABS(IFERROR(XLOOKUP(D120,'Source Ledger'!$B$5:$B$133,'Source Ledger'!$E$5:$E$133),0)-IFERROR(XLOOKUP(D120,'Corrected Register'!$A$5:$A$136,'Corrected Register'!$M$5:$M$136),0))),IFERROR(XLOOKUP(D120,'Corrected Register'!$A$5:$A$136,'Corrected Register'!$N$5:$N$136),0))</f>
        <v>894.87</v>
      </c>
      <c r="H120" s="7" t="inlineStr">
        <is>
          <t>Start the loss process. MD-00095 is not in Unknown and not in receiving.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Couldn't prove a location. Ticket:OFF-00095; Transfer:TR-00095; LastRegisterLocation:Denver - Closed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Ledger'!$B$5:$B$133,'Source Ledger'!$E$5:$E$133),"")="",IFERROR(XLOOKUP(D121,'Corrected Register'!$A$5:$A$136,'Corrected Register'!$M$5:$M$136),0),ABS(IFERROR(XLOOKUP(D121,'Source Ledger'!$B$5:$B$133,'Source Ledger'!$E$5:$E$133),0)-IFERROR(XLOOKUP(D121,'Corrected Register'!$A$5:$A$136,'Corrected Register'!$M$5:$M$136),0))),IFERROR(XLOOKUP(D121,'Corrected Register'!$A$5:$A$136,'Corrected Register'!$N$5:$N$136),0))</f>
        <v>894.87</v>
      </c>
      <c r="H121" s="7" t="inlineStr">
        <is>
          <t>E0083 should not still own MD-00095 on the register.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E0083 already termed. MD-00095 assignment wasn't updated.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Ledger'!$B$5:$B$133,'Source Ledger'!$E$5:$E$133),"")="",IFERROR(XLOOKUP(D122,'Corrected Register'!$A$5:$A$136,'Corrected Register'!$M$5:$M$136),0),ABS(IFERROR(XLOOKUP(D122,'Source Ledger'!$B$5:$B$133,'Source Ledger'!$E$5:$E$133),0)-IFERROR(XLOOKUP(D122,'Corrected Register'!$A$5:$A$136,'Corrected Register'!$M$5:$M$136),0))),IFERROR(XLOOKUP(D122,'Corrected Register'!$A$5:$A$136,'Corrected Register'!$N$5:$N$136),0))</f>
        <v>511.01</v>
      </c>
      <c r="H122" s="7" t="inlineStr">
        <is>
          <t>Security review + locate. MD-00096 stays Missing.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Walked HR, transfers, tickets. MD-00096 is not in any inbound.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Ledger'!$B$5:$B$133,'Source Ledger'!$E$5:$E$133),"")="",IFERROR(XLOOKUP(D123,'Corrected Register'!$A$5:$A$136,'Corrected Register'!$M$5:$M$136),0),ABS(IFERROR(XLOOKUP(D123,'Source Ledger'!$B$5:$B$133,'Source Ledger'!$E$5:$E$133),0)-IFERROR(XLOOKUP(D123,'Corrected Register'!$A$5:$A$136,'Corrected Register'!$M$5:$M$136),0))),IFERROR(XLOOKUP(D123,'Corrected Register'!$A$5:$A$136,'Corrected Register'!$N$5:$N$136),0))</f>
        <v>511.01</v>
      </c>
      <c r="H123" s="7" t="inlineStr">
        <is>
          <t>HR already termed E0084. Update MD-00096 assignment.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OFF-00096 vs hr_employee_status: people side is done, asset isn't.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Ledger'!$B$5:$B$133,'Source Ledger'!$E$5:$E$133),"")="",IFERROR(XLOOKUP(D124,'Corrected Register'!$A$5:$A$136,'Corrected Register'!$M$5:$M$136),0),ABS(IFERROR(XLOOKUP(D124,'Source Ledger'!$B$5:$B$133,'Source Ledger'!$E$5:$E$133),0)-IFERROR(XLOOKUP(D124,'Corrected Register'!$A$5:$A$136,'Corrected Register'!$M$5:$M$136),0))),IFERROR(XLOOKUP(D124,'Corrected Register'!$A$5:$A$136,'Corrected Register'!$N$5:$N$136),0))</f>
        <v>0</v>
      </c>
      <c r="H124" s="7" t="inlineStr">
        <is>
          <t>MD-00097 dropped off the map after Denver - Closed. Investigate; don't tidy the status.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Couldn't prove a location. Ticket:OFF-00097; Transfer:TR-00097; LastRegisterLocation:Denver - Closed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Ledger'!$B$5:$B$133,'Source Ledger'!$E$5:$E$133),"")="",IFERROR(XLOOKUP(D125,'Corrected Register'!$A$5:$A$136,'Corrected Register'!$M$5:$M$136),0),ABS(IFERROR(XLOOKUP(D125,'Source Ledger'!$B$5:$B$133,'Source Ledger'!$E$5:$E$133),0)-IFERROR(XLOOKUP(D125,'Corrected Register'!$A$5:$A$136,'Corrected Register'!$M$5:$M$136),0))),IFERROR(XLOOKUP(D125,'Corrected Register'!$A$5:$A$136,'Corrected Register'!$N$5:$N$136),0))</f>
        <v>0</v>
      </c>
      <c r="H125" s="7" t="inlineStr">
        <is>
          <t>Take E0085 off MD-00097. Park with Regional IT / IT Stock.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MD-00097 custodian is a former employee in HR (E0085).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Ledger'!$B$5:$B$133,'Source Ledger'!$E$5:$E$133),"")="",IFERROR(XLOOKUP(D126,'Corrected Register'!$A$5:$A$136,'Corrected Register'!$M$5:$M$136),0),ABS(IFERROR(XLOOKUP(D126,'Source Ledger'!$B$5:$B$133,'Source Ledger'!$E$5:$E$133),0)-IFERROR(XLOOKUP(D126,'Corrected Register'!$A$5:$A$136,'Corrected Register'!$M$5:$M$136),0))),IFERROR(XLOOKUP(D126,'Corrected Register'!$A$5:$A$136,'Corrected Register'!$N$5:$N$136),0))</f>
        <v>266.87</v>
      </c>
      <c r="H126" s="7" t="inlineStr">
        <is>
          <t>Cannot locate MD-00098. Ticket OFF-00098. Missing until count or approved write-off.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Walked HR, transfers, tickets. MD-00098 is not in any inbound.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Ledger'!$B$5:$B$133,'Source Ledger'!$E$5:$E$133),"")="",IFERROR(XLOOKUP(D127,'Corrected Register'!$A$5:$A$136,'Corrected Register'!$M$5:$M$136),0),ABS(IFERROR(XLOOKUP(D127,'Source Ledger'!$B$5:$B$133,'Source Ledger'!$E$5:$E$133),0)-IFERROR(XLOOKUP(D127,'Corrected Register'!$A$5:$A$136,'Corrected Register'!$M$5:$M$136),0))),IFERROR(XLOOKUP(D127,'Corrected Register'!$A$5:$A$136,'Corrected Register'!$N$5:$N$136),0))</f>
        <v>266.87</v>
      </c>
      <c r="H127" s="7" t="inlineStr">
        <is>
          <t>Unassign MD-00098 from the former employee. OFF-00098 is the offboarding ticket.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People record is closed; MD-00098 isn't. OFF-00098.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Ledger'!$B$5:$B$133,'Source Ledger'!$E$5:$E$133),"")="",IFERROR(XLOOKUP(D128,'Corrected Register'!$A$5:$A$136,'Corrected Register'!$M$5:$M$136),0),ABS(IFERROR(XLOOKUP(D128,'Source Ledger'!$B$5:$B$133,'Source Ledger'!$E$5:$E$133),0)-IFERROR(XLOOKUP(D128,'Corrected Register'!$A$5:$A$136,'Corrected Register'!$M$5:$M$136),0))),IFERROR(XLOOKUP(D128,'Corrected Register'!$A$5:$A$136,'Corrected Register'!$N$5:$N$136),0))</f>
        <v>548.24</v>
      </c>
      <c r="H128" s="7" t="inlineStr">
        <is>
          <t>OFF-00099: still gone. Don't invent a stock location for MD-00099.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Couldn't prove a location. Ticket:OFF-00099; Transfer:TR-00099; LastRegisterLocation:Denver - Closed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Ledger'!$B$5:$B$133,'Source Ledger'!$E$5:$E$133),"")="",IFERROR(XLOOKUP(D129,'Corrected Register'!$A$5:$A$136,'Corrected Register'!$M$5:$M$136),0),ABS(IFERROR(XLOOKUP(D129,'Source Ledger'!$B$5:$B$133,'Source Ledger'!$E$5:$E$133),0)-IFERROR(XLOOKUP(D129,'Corrected Register'!$A$5:$A$136,'Corrected Register'!$M$5:$M$136),0))),IFERROR(XLOOKUP(D129,'Corrected Register'!$A$5:$A$136,'Corrected Register'!$N$5:$N$136),0))</f>
        <v>548.24</v>
      </c>
      <c r="H129" s="7" t="inlineStr">
        <is>
          <t>OFF-00099 closed the people side; asset row still shows the leaver. Fix custodian.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Leaver still on MD-00099. E0087.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Ledger'!$B$5:$B$133,'Source Ledger'!$E$5:$E$133),"")="",IFERROR(XLOOKUP(D130,'Corrected Register'!$A$5:$A$136,'Corrected Register'!$M$5:$M$136),0),ABS(IFERROR(XLOOKUP(D130,'Source Ledger'!$B$5:$B$133,'Source Ledger'!$E$5:$E$133),0)-IFERROR(XLOOKUP(D130,'Corrected Register'!$A$5:$A$136,'Corrected Register'!$M$5:$M$136),0))),IFERROR(XLOOKUP(D130,'Corrected Register'!$A$5:$A$136,'Corrected Register'!$N$5:$N$136),0))</f>
        <v>927.36</v>
      </c>
      <c r="H130" s="7" t="inlineStr">
        <is>
          <t>Write-off only with approval. Until then MD-00100 is Missing.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MD-00100: nothing higher-precedence than a closed-floor register row.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Ledger'!$B$5:$B$133,'Source Ledger'!$E$5:$E$133),"")="",IFERROR(XLOOKUP(D131,'Corrected Register'!$A$5:$A$136,'Corrected Register'!$M$5:$M$136),0),ABS(IFERROR(XLOOKUP(D131,'Source Ledger'!$B$5:$B$133,'Source Ledger'!$E$5:$E$133),0)-IFERROR(XLOOKUP(D131,'Corrected Register'!$A$5:$A$136,'Corrected Register'!$M$5:$M$136),0))),IFERROR(XLOOKUP(D131,'Corrected Register'!$A$5:$A$136,'Corrected Register'!$N$5:$N$136),0))</f>
        <v>927.36</v>
      </c>
      <c r="H131" s="7" t="inlineStr">
        <is>
          <t>MD-00100: former employee still listed. That's the fix.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Checked the term date against the assignment. Stale owner on MD-00100.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Ledger'!$B$5:$B$133,'Source Ledger'!$E$5:$E$133),"")="",IFERROR(XLOOKUP(D132,'Corrected Register'!$A$5:$A$136,'Corrected Register'!$M$5:$M$136),0),ABS(IFERROR(XLOOKUP(D132,'Source Ledger'!$B$5:$B$133,'Source Ledger'!$E$5:$E$133),0)-IFERROR(XLOOKUP(D132,'Corrected Register'!$A$5:$A$136,'Corrected Register'!$M$5:$M$136),0))),IFERROR(XLOOKUP(D132,'Corrected Register'!$A$5:$A$136,'Corrected Register'!$N$5:$N$136),0))</f>
        <v>0</v>
      </c>
      <c r="H132" s="7" t="inlineStr">
        <is>
          <t>RET-00101 has no matching cert. MD-00101 stays pending-disposal.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Disposal file has no row matching MD-00101 / MD-LA-050101.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Ledger'!$B$5:$B$133,'Source Ledger'!$E$5:$E$133),"")="",IFERROR(XLOOKUP(D133,'Corrected Register'!$A$5:$A$136,'Corrected Register'!$M$5:$M$136),0),ABS(IFERROR(XLOOKUP(D133,'Source Ledger'!$B$5:$B$133,'Source Ledger'!$E$5:$E$133),0)-IFERROR(XLOOKUP(D133,'Corrected Register'!$A$5:$A$136,'Corrected Register'!$M$5:$M$136),0))),IFERROR(XLOOKUP(D133,'Corrected Register'!$A$5:$A$136,'Corrected Register'!$N$5:$N$136),0))</f>
        <v>0</v>
      </c>
      <c r="H133" s="7" t="inlineStr">
        <is>
          <t>MD-00101 shouldn't sit on a locked site. Move location to Seattle.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Closed-office leftover on the extract. Denver - Closed. TR-00101.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Ledger'!$B$5:$B$133,'Source Ledger'!$E$5:$E$133),"")="",IFERROR(XLOOKUP(D134,'Corrected Register'!$A$5:$A$136,'Corrected Register'!$M$5:$M$136),0),ABS(IFERROR(XLOOKUP(D134,'Source Ledger'!$B$5:$B$133,'Source Ledger'!$E$5:$E$133),0)-IFERROR(XLOOKUP(D134,'Corrected Register'!$A$5:$A$136,'Corrected Register'!$M$5:$M$136),0))),IFERROR(XLOOKUP(D134,'Corrected Register'!$A$5:$A$136,'Corrected Register'!$N$5:$N$136),0))</f>
        <v>407.54</v>
      </c>
      <c r="H134" s="7" t="inlineStr">
        <is>
          <t>Paperwork gap on MD-00102. Cert or reverse the retire.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No verified certificate. Ticket:RET-00102; Transfer:TR-00102; Certificate:missing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PO:PO-2022-0017; RegisterCost:700.0; LedgerCost:820.0</t>
        </is>
      </c>
      <c r="G135" s="7">
        <f>IF(B135="Inventory-to-Ledger Difference",IF(IFERROR(XLOOKUP(D135,'Source Ledger'!$B$5:$B$133,'Source Ledger'!$E$5:$E$133),"")="",IFERROR(XLOOKUP(D135,'Corrected Register'!$A$5:$A$136,'Corrected Register'!$M$5:$M$136),0),ABS(IFERROR(XLOOKUP(D135,'Source Ledger'!$B$5:$B$133,'Source Ledger'!$E$5:$E$133),0)-IFERROR(XLOOKUP(D135,'Corrected Register'!$A$5:$A$136,'Corrected Register'!$M$5:$M$136),0))),IFERROR(XLOOKUP(D135,'Corrected Register'!$A$5:$A$136,'Corrected Register'!$N$5:$N$136),0))</f>
        <v>120</v>
      </c>
      <c r="H135" s="7" t="inlineStr">
        <is>
          <t>Don't certify the $ on MD-00102 until register and FA-000102 match.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FA-000102 cost 875.0 vs register 700.0. PO-2022-0017.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Ledger'!$B$5:$B$133,'Source Ledger'!$E$5:$E$133),"")="",IFERROR(XLOOKUP(D136,'Corrected Register'!$A$5:$A$136,'Corrected Register'!$M$5:$M$136),0),ABS(IFERROR(XLOOKUP(D136,'Source Ledger'!$B$5:$B$133,'Source Ledger'!$E$5:$E$133),0)-IFERROR(XLOOKUP(D136,'Corrected Register'!$A$5:$A$136,'Corrected Register'!$M$5:$M$136),0))),IFERROR(XLOOKUP(D136,'Corrected Register'!$A$5:$A$136,'Corrected Register'!$N$5:$N$136),0))</f>
        <v>407.54</v>
      </c>
      <c r="H136" s="7" t="inlineStr">
        <is>
          <t>Atlanta is current. Register lagged on Chicago - Closed for MD-00102.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Location on MD-00102 didn't survive the consolidation (Chicago - Closed).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Ledger'!$B$5:$B$133,'Source Ledger'!$E$5:$E$133),"")="",IFERROR(XLOOKUP(D137,'Corrected Register'!$A$5:$A$136,'Corrected Register'!$M$5:$M$136),0),ABS(IFERROR(XLOOKUP(D137,'Source Ledger'!$B$5:$B$133,'Source Ledger'!$E$5:$E$133),0)-IFERROR(XLOOKUP(D137,'Corrected Register'!$A$5:$A$136,'Corrected Register'!$M$5:$M$136),0))),IFERROR(XLOOKUP(D137,'Corrected Register'!$A$5:$A$136,'Corrected Register'!$N$5:$N$136),0))</f>
        <v>782.53</v>
      </c>
      <c r="H137" s="7" t="inlineStr">
        <is>
          <t>Obtain cert or restock MD-00103. Ticket RET-00103.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Looked in asset_disposal_records. Nothing for MD-00103.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Ledger'!$B$5:$B$133,'Source Ledger'!$E$5:$E$133),"")="",IFERROR(XLOOKUP(D138,'Corrected Register'!$A$5:$A$136,'Corrected Register'!$M$5:$M$136),0),ABS(IFERROR(XLOOKUP(D138,'Source Ledger'!$B$5:$B$133,'Source Ledger'!$E$5:$E$133),0)-IFERROR(XLOOKUP(D138,'Corrected Register'!$A$5:$A$136,'Corrected Register'!$M$5:$M$136),0))),IFERROR(XLOOKUP(D138,'Corrected Register'!$A$5:$A$136,'Corrected Register'!$N$5:$N$136),0))</f>
        <v>782.53</v>
      </c>
      <c r="H138" s="7" t="inlineStr">
        <is>
          <t>Pull MD-00103 out of Denver - Closed and park it at Chicago.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Consolidation leftover: MD-00103 @ Denver - Closed.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Ledger'!$B$5:$B$133,'Source Ledger'!$E$5:$E$133),"")="",IFERROR(XLOOKUP(D139,'Corrected Register'!$A$5:$A$136,'Corrected Register'!$M$5:$M$136),0),ABS(IFERROR(XLOOKUP(D139,'Source Ledger'!$B$5:$B$133,'Source Ledger'!$E$5:$E$133),0)-IFERROR(XLOOKUP(D139,'Corrected Register'!$A$5:$A$136,'Corrected Register'!$M$5:$M$136),0))),IFERROR(XLOOKUP(D139,'Corrected Register'!$A$5:$A$136,'Corrected Register'!$N$5:$N$136),0))</f>
        <v>1403.83</v>
      </c>
      <c r="H139" s="7" t="inlineStr">
        <is>
          <t>RET-00104 has no matching cert. MD-00104 stays pending-disposal.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Disposal file has no row matching MD-00104 / MD-NE-050104.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Ledger'!$B$5:$B$133,'Source Ledger'!$E$5:$E$133),"")="",IFERROR(XLOOKUP(D140,'Corrected Register'!$A$5:$A$136,'Corrected Register'!$M$5:$M$136),0),ABS(IFERROR(XLOOKUP(D140,'Source Ledger'!$B$5:$B$133,'Source Ledger'!$E$5:$E$133),0)-IFERROR(XLOOKUP(D140,'Corrected Register'!$A$5:$A$136,'Corrected Register'!$M$5:$M$136),0))),IFERROR(XLOOKUP(D140,'Corrected Register'!$A$5:$A$136,'Corrected Register'!$N$5:$N$136),0))</f>
        <v>1403.83</v>
      </c>
      <c r="H140" s="7" t="inlineStr">
        <is>
          <t>Chicago - Closed is shut. Rewrite the register location (MD-00104).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Closed-office leftover on the extract. Chicago - Closed. TR-00104.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Ledger'!$B$5:$B$133,'Source Ledger'!$E$5:$E$133),"")="",IFERROR(XLOOKUP(D141,'Corrected Register'!$A$5:$A$136,'Corrected Register'!$M$5:$M$136),0),ABS(IFERROR(XLOOKUP(D141,'Source Ledger'!$B$5:$B$133,'Source Ledger'!$E$5:$E$133),0)-IFERROR(XLOOKUP(D141,'Corrected Register'!$A$5:$A$136,'Corrected Register'!$M$5:$M$136),0))),IFERROR(XLOOKUP(D141,'Corrected Register'!$A$5:$A$136,'Corrected Register'!$N$5:$N$136),0))</f>
        <v>104.26</v>
      </c>
      <c r="H141" s="7" t="inlineStr">
        <is>
          <t>Paperwork gap on MD-00105. Cert or reverse the retire.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No verified certificate. Ticket:RET-00105; Transfer:TR-00105; Certificate:missing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Ledger'!$B$5:$B$133,'Source Ledger'!$E$5:$E$133),"")="",IFERROR(XLOOKUP(D142,'Corrected Register'!$A$5:$A$136,'Corrected Register'!$M$5:$M$136),0),ABS(IFERROR(XLOOKUP(D142,'Source Ledger'!$B$5:$B$133,'Source Ledger'!$E$5:$E$133),0)-IFERROR(XLOOKUP(D142,'Corrected Register'!$A$5:$A$136,'Corrected Register'!$M$5:$M$136),0))),IFERROR(XLOOKUP(D142,'Corrected Register'!$A$5:$A$136,'Corrected Register'!$N$5:$N$136),0))</f>
        <v>104.26</v>
      </c>
      <c r="H142" s="7" t="inlineStr">
        <is>
          <t>Get MD-00105 off Denver - Closed. Operating location is Denver.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TR-00105 destination isn't the shuttered office on the register.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Ledger'!$B$5:$B$133,'Source Ledger'!$E$5:$E$133),"")="",IFERROR(XLOOKUP(D143,'Corrected Register'!$A$5:$A$136,'Corrected Register'!$M$5:$M$136),0),ABS(IFERROR(XLOOKUP(D143,'Source Ledger'!$B$5:$B$133,'Source Ledger'!$E$5:$E$133),0)-IFERROR(XLOOKUP(D143,'Corrected Register'!$A$5:$A$136,'Corrected Register'!$M$5:$M$136),0))),IFERROR(XLOOKUP(D143,'Corrected Register'!$A$5:$A$136,'Corrected Register'!$N$5:$N$136),0))</f>
        <v>368.24</v>
      </c>
      <c r="H143" s="7" t="inlineStr">
        <is>
          <t>ITAM hold. MD-00106 is not gone until the certificate shows the tag.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Retirement path without a DC. MD-00106.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Ledger'!$B$5:$B$133,'Source Ledger'!$E$5:$E$133),"")="",IFERROR(XLOOKUP(D144,'Corrected Register'!$A$5:$A$136,'Corrected Register'!$M$5:$M$136),0),ABS(IFERROR(XLOOKUP(D144,'Source Ledger'!$B$5:$B$133,'Source Ledger'!$E$5:$E$133),0)-IFERROR(XLOOKUP(D144,'Corrected Register'!$A$5:$A$136,'Corrected Register'!$M$5:$M$136),0))),IFERROR(XLOOKUP(D144,'Corrected Register'!$A$5:$A$136,'Corrected Register'!$N$5:$N$136),0))</f>
        <v>368.24</v>
      </c>
      <c r="H144" s="7" t="inlineStr">
        <is>
          <t>Location cleanup for MD-00106: Chicago - Closed → New York.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Walked the register vs HR/transfer. MD-00106 still says Chicago - Closed.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Ledger'!$B$5:$B$133,'Source Ledger'!$E$5:$E$133),"")="",IFERROR(XLOOKUP(D145,'Corrected Register'!$A$5:$A$136,'Corrected Register'!$M$5:$M$136),0),ABS(IFERROR(XLOOKUP(D145,'Source Ledger'!$B$5:$B$133,'Source Ledger'!$E$5:$E$133),0)-IFERROR(XLOOKUP(D145,'Corrected Register'!$A$5:$A$136,'Corrected Register'!$M$5:$M$136),0))),IFERROR(XLOOKUP(D145,'Corrected Register'!$A$5:$A$136,'Corrected Register'!$N$5:$N$136),0))</f>
        <v>812.21</v>
      </c>
      <c r="H145" s="7" t="inlineStr">
        <is>
          <t>Hold the retirement on MD-00107. Need a disposal certificate or put it back in stock.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RET-00107 / TR-00107: certificate field empty.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Ledger'!$B$5:$B$133,'Source Ledger'!$E$5:$E$133),"")="",IFERROR(XLOOKUP(D146,'Corrected Register'!$A$5:$A$136,'Corrected Register'!$M$5:$M$136),0),ABS(IFERROR(XLOOKUP(D146,'Source Ledger'!$B$5:$B$133,'Source Ledger'!$E$5:$E$133),0)-IFERROR(XLOOKUP(D146,'Corrected Register'!$A$5:$A$136,'Corrected Register'!$M$5:$M$136),0))),IFERROR(XLOOKUP(D146,'Corrected Register'!$A$5:$A$136,'Corrected Register'!$N$5:$N$136),0))</f>
        <v>812.21</v>
      </c>
      <c r="H146" s="7" t="inlineStr">
        <is>
          <t>Seattle is current. Register lagged on Denver - Closed for MD-00107.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MD-00107 still coded to a floor we don't occupy (Denver - Closed).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Ledger'!$B$5:$B$133,'Source Ledger'!$E$5:$E$133),"")="",IFERROR(XLOOKUP(D147,'Corrected Register'!$A$5:$A$136,'Corrected Register'!$M$5:$M$136),0),ABS(IFERROR(XLOOKUP(D147,'Source Ledger'!$B$5:$B$133,'Source Ledger'!$E$5:$E$133),0)-IFERROR(XLOOKUP(D147,'Corrected Register'!$A$5:$A$136,'Corrected Register'!$M$5:$M$136),0))),IFERROR(XLOOKUP(D147,'Corrected Register'!$A$5:$A$136,'Corrected Register'!$N$5:$N$136),0))</f>
        <v>545.48</v>
      </c>
      <c r="H147" s="7" t="inlineStr">
        <is>
          <t>Don't call MD-00108 disposed. Certificate missing.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Looked in asset_disposal_records. Nothing for MD-00108.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Ledger'!$B$5:$B$133,'Source Ledger'!$E$5:$E$133),"")="",IFERROR(XLOOKUP(D148,'Corrected Register'!$A$5:$A$136,'Corrected Register'!$M$5:$M$136),0),ABS(IFERROR(XLOOKUP(D148,'Source Ledger'!$B$5:$B$133,'Source Ledger'!$E$5:$E$133),0)-IFERROR(XLOOKUP(D148,'Corrected Register'!$A$5:$A$136,'Corrected Register'!$M$5:$M$136),0))),IFERROR(XLOOKUP(D148,'Corrected Register'!$A$5:$A$136,'Corrected Register'!$N$5:$N$136),0))</f>
        <v>545.48</v>
      </c>
      <c r="H148" s="7" t="inlineStr">
        <is>
          <t>Pull MD-00108 out of Chicago - Closed and park it at Atlanta.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Didn't treat the closed building as a live location for MD-00108.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Ledger'!$B$5:$B$133,'Source Ledger'!$E$5:$E$133),"")="",IFERROR(XLOOKUP(D149,'Corrected Register'!$A$5:$A$136,'Corrected Register'!$M$5:$M$136),0),ABS(IFERROR(XLOOKUP(D149,'Source Ledger'!$B$5:$B$133,'Source Ledger'!$E$5:$E$133),0)-IFERROR(XLOOKUP(D149,'Corrected Register'!$A$5:$A$136,'Corrected Register'!$M$5:$M$136),0))),IFERROR(XLOOKUP(D149,'Corrected Register'!$A$5:$A$136,'Corrected Register'!$N$5:$N$136),0))</f>
        <v>0</v>
      </c>
      <c r="H149" s="7" t="inlineStr">
        <is>
          <t>Match a vendor cert to MD-LA-050109 or unwind.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Disposal file has no row matching MD-00109 / MD-LA-050109.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Ledger'!$B$5:$B$133,'Source Ledger'!$E$5:$E$133),"")="",IFERROR(XLOOKUP(D150,'Corrected Register'!$A$5:$A$136,'Corrected Register'!$M$5:$M$136),0),ABS(IFERROR(XLOOKUP(D150,'Source Ledger'!$B$5:$B$133,'Source Ledger'!$E$5:$E$133),0)-IFERROR(XLOOKUP(D150,'Corrected Register'!$A$5:$A$136,'Corrected Register'!$M$5:$M$136),0))),IFERROR(XLOOKUP(D150,'Corrected Register'!$A$5:$A$136,'Corrected Register'!$N$5:$N$136),0))</f>
        <v>0</v>
      </c>
      <c r="H150" s="7" t="inlineStr">
        <is>
          <t>Denver - Closed is shut. Rewrite the register location (MD-00109).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Denver - Closed is locked. I'm not leaving MD-00109 there on paper. Chicago is the operating site.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Ledger'!$B$5:$B$133,'Source Ledger'!$E$5:$E$133),"")="",IFERROR(XLOOKUP(D151,'Corrected Register'!$A$5:$A$136,'Corrected Register'!$M$5:$M$136),0),ABS(IFERROR(XLOOKUP(D151,'Source Ledger'!$B$5:$B$133,'Source Ledger'!$E$5:$E$133),0)-IFERROR(XLOOKUP(D151,'Corrected Register'!$A$5:$A$136,'Corrected Register'!$M$5:$M$136),0))),IFERROR(XLOOKUP(D151,'Corrected Register'!$A$5:$A$136,'Corrected Register'!$N$5:$N$136),0))</f>
        <v>387.24</v>
      </c>
      <c r="H151" s="7" t="inlineStr">
        <is>
          <t>Retirement parked. MD-00110 needs DC evidence.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No verified certificate. Ticket:RET-00110; Transfer:TR-00110; Certificate:missing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Ledger'!$B$5:$B$133,'Source Ledger'!$E$5:$E$133),"")="",IFERROR(XLOOKUP(D152,'Corrected Register'!$A$5:$A$136,'Corrected Register'!$M$5:$M$136),0),ABS(IFERROR(XLOOKUP(D152,'Source Ledger'!$B$5:$B$133,'Source Ledger'!$E$5:$E$133),0)-IFERROR(XLOOKUP(D152,'Corrected Register'!$A$5:$A$136,'Corrected Register'!$M$5:$M$136),0))),IFERROR(XLOOKUP(D152,'Corrected Register'!$A$5:$A$136,'Corrected Register'!$N$5:$N$136),0))</f>
        <v>387.24</v>
      </c>
      <c r="H152" s="7" t="inlineStr">
        <is>
          <t>Closed-office leftover. Update MD-00110 to Dallas.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Register location Chicago - Closed is a closed site. TR-00110 points elsewhere. Live office Dallas.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Ledger'!$B$5:$B$133,'Source Ledger'!$E$5:$E$133),"")="",IFERROR(XLOOKUP(D153,'Corrected Register'!$A$5:$A$136,'Corrected Register'!$M$5:$M$136),0),ABS(IFERROR(XLOOKUP(D153,'Source Ledger'!$B$5:$B$133,'Source Ledger'!$E$5:$E$133),0)-IFERROR(XLOOKUP(D153,'Corrected Register'!$A$5:$A$136,'Corrected Register'!$M$5:$M$136),0))),IFERROR(XLOOKUP(D153,'Corrected Register'!$A$5:$A$136,'Corrected Register'!$N$5:$N$136),0))</f>
        <v>0</v>
      </c>
      <c r="H153" s="7" t="inlineStr">
        <is>
          <t>MD-00114: pending disposal with no DC row. Block retirement close.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RET-00114 / TR-00114: certificate field empty.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Ledger'!$B$5:$B$133,'Source Ledger'!$E$5:$E$133),"")="",IFERROR(XLOOKUP(D154,'Corrected Register'!$A$5:$A$136,'Corrected Register'!$M$5:$M$136),0),ABS(IFERROR(XLOOKUP(D154,'Source Ledger'!$B$5:$B$133,'Source Ledger'!$E$5:$E$133),0)-IFERROR(XLOOKUP(D154,'Corrected Register'!$A$5:$A$136,'Corrected Register'!$M$5:$M$136),0))),IFERROR(XLOOKUP(D154,'Corrected Register'!$A$5:$A$136,'Corrected Register'!$N$5:$N$136),0))</f>
        <v>0</v>
      </c>
      <c r="H154" s="7" t="inlineStr">
        <is>
          <t>Clear the closed-site assignment. MD-00114 belongs at Disposed (certificate missing).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Location on MD-00114 didn't survive the consolidation (Chicago - Closed).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Ledger'!$B$5:$B$133,'Source Ledger'!$E$5:$E$133),"")="",IFERROR(XLOOKUP(D155,'Corrected Register'!$A$5:$A$136,'Corrected Register'!$M$5:$M$136),0),ABS(IFERROR(XLOOKUP(D155,'Source Ledger'!$B$5:$B$133,'Source Ledger'!$E$5:$E$133),0)-IFERROR(XLOOKUP(D155,'Corrected Register'!$A$5:$A$136,'Corrected Register'!$M$5:$M$136),0))),IFERROR(XLOOKUP(D155,'Corrected Register'!$A$5:$A$136,'Corrected Register'!$N$5:$N$136),0))</f>
        <v>0</v>
      </c>
      <c r="H155" s="7" t="inlineStr">
        <is>
          <t>RET-00118 has no matching cert. MD-00118 stays pending-disposal.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Disposal file has no row matching MD-00118 / MD-MO-050118.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Ledger'!$B$5:$B$133,'Source Ledger'!$E$5:$E$133),"")="",IFERROR(XLOOKUP(D156,'Corrected Register'!$A$5:$A$136,'Corrected Register'!$M$5:$M$136),0),ABS(IFERROR(XLOOKUP(D156,'Source Ledger'!$B$5:$B$133,'Source Ledger'!$E$5:$E$133),0)-IFERROR(XLOOKUP(D156,'Corrected Register'!$A$5:$A$136,'Corrected Register'!$M$5:$M$136),0))),IFERROR(XLOOKUP(D156,'Corrected Register'!$A$5:$A$136,'Corrected Register'!$N$5:$N$136),0))</f>
        <v>0</v>
      </c>
      <c r="H156" s="7" t="inlineStr">
        <is>
          <t>MD-00118 shouldn't sit on a locked site. Move location to Disposed (certificate missing).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Closed-office leftover on the extract. Chicago - Closed. TR-00118.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PO:PO-2025-0020; RegisterCost:950.0; LedgerCost:1115.0</t>
        </is>
      </c>
      <c r="G157" s="7">
        <f>IF(B157="Inventory-to-Ledger Difference",IF(IFERROR(XLOOKUP(D157,'Source Ledger'!$B$5:$B$133,'Source Ledger'!$E$5:$E$133),"")="",IFERROR(XLOOKUP(D157,'Corrected Register'!$A$5:$A$136,'Corrected Register'!$M$5:$M$136),0),ABS(IFERROR(XLOOKUP(D157,'Source Ledger'!$B$5:$B$133,'Source Ledger'!$E$5:$E$133),0)-IFERROR(XLOOKUP(D157,'Corrected Register'!$A$5:$A$136,'Corrected Register'!$M$5:$M$136),0))),IFERROR(XLOOKUP(D157,'Corrected Register'!$A$5:$A$136,'Corrected Register'!$N$5:$N$136),0))</f>
        <v>165</v>
      </c>
      <c r="H157" s="7" t="inlineStr">
        <is>
          <t>Reconcile PO-2025-0020 / FA-000119 / register cost for MD-00119.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MD-00119 cost basis: two systems, two amounts.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Ledger'!$B$5:$B$133,'Source Ledger'!$E$5:$E$133),"")="",IFERROR(XLOOKUP(D158,'Corrected Register'!$A$5:$A$136,'Corrected Register'!$M$5:$M$136),0),ABS(IFERROR(XLOOKUP(D158,'Source Ledger'!$B$5:$B$133,'Source Ledger'!$E$5:$E$133),0)-IFERROR(XLOOKUP(D158,'Corrected Register'!$A$5:$A$136,'Corrected Register'!$M$5:$M$136),0))),IFERROR(XLOOKUP(D158,'Corrected Register'!$A$5:$A$136,'Corrected Register'!$N$5:$N$136),0))</f>
        <v>0</v>
      </c>
      <c r="H158" s="7" t="inlineStr">
        <is>
          <t>Denver - Closed is shut. Rewrite the register location (MD-00121).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Denver - Closed is locked. I'm not leaving MD-00121 there on paper. Chicago is the operating site.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Ledger'!$B$5:$B$133,'Source Ledger'!$E$5:$E$133),"")="",IFERROR(XLOOKUP(D159,'Corrected Register'!$A$5:$A$136,'Corrected Register'!$M$5:$M$136),0),ABS(IFERROR(XLOOKUP(D159,'Source Ledger'!$B$5:$B$133,'Source Ledger'!$E$5:$E$133),0)-IFERROR(XLOOKUP(D159,'Corrected Register'!$A$5:$A$136,'Corrected Register'!$M$5:$M$136),0))),IFERROR(XLOOKUP(D159,'Corrected Register'!$A$5:$A$136,'Corrected Register'!$N$5:$N$136),0))</f>
        <v>336.15</v>
      </c>
      <c r="H159" s="7" t="inlineStr">
        <is>
          <t>Update MD-00122 location. Dallas is what transfer/HR support.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Consolidation leftover: MD-00122 @ Chicago - Closed.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Ledger'!$B$5:$B$133,'Source Ledger'!$E$5:$E$133),"")="",IFERROR(XLOOKUP(D160,'Corrected Register'!$A$5:$A$136,'Corrected Register'!$M$5:$M$136),0),ABS(IFERROR(XLOOKUP(D160,'Source Ledger'!$B$5:$B$133,'Source Ledger'!$E$5:$E$133),0)-IFERROR(XLOOKUP(D160,'Corrected Register'!$A$5:$A$136,'Corrected Register'!$M$5:$M$136),0))),IFERROR(XLOOKUP(D160,'Corrected Register'!$A$5:$A$136,'Corrected Register'!$N$5:$N$136),0))</f>
        <v>622.62</v>
      </c>
      <c r="H160" s="7" t="inlineStr">
        <is>
          <t>Register still has the shuttered floor (Denver - Closed). Put Denver on the row.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MD-00123 still coded to a floor we don't occupy (Denver - Closed).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Ledger'!$B$5:$B$133,'Source Ledger'!$E$5:$E$133),"")="",IFERROR(XLOOKUP(D161,'Corrected Register'!$A$5:$A$136,'Corrected Register'!$M$5:$M$136),0),ABS(IFERROR(XLOOKUP(D161,'Source Ledger'!$B$5:$B$133,'Source Ledger'!$E$5:$E$133),0)-IFERROR(XLOOKUP(D161,'Corrected Register'!$A$5:$A$136,'Corrected Register'!$M$5:$M$136),0))),IFERROR(XLOOKUP(D161,'Corrected Register'!$A$5:$A$136,'Corrected Register'!$N$5:$N$136),0))</f>
        <v>947.26</v>
      </c>
      <c r="H161" s="7" t="inlineStr">
        <is>
          <t>Location cleanup for MD-00124: Chicago - Closed → New York.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Site code is stale. Chicago - Closed vs New York.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Ledger'!$B$5:$B$133,'Source Ledger'!$E$5:$E$133),"")="",IFERROR(XLOOKUP(D162,'Corrected Register'!$A$5:$A$136,'Corrected Register'!$M$5:$M$136),0),ABS(IFERROR(XLOOKUP(D162,'Source Ledger'!$B$5:$B$133,'Source Ledger'!$E$5:$E$133),0)-IFERROR(XLOOKUP(D162,'Corrected Register'!$A$5:$A$136,'Corrected Register'!$M$5:$M$136),0))),IFERROR(XLOOKUP(D162,'Corrected Register'!$A$5:$A$136,'Corrected Register'!$N$5:$N$136),0))</f>
        <v>0</v>
      </c>
      <c r="H162" s="7" t="inlineStr">
        <is>
          <t>Closed-office leftover. Update MD-00125 to Seattle.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TR-00125 destination isn't the shuttered office on the register.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Ledger'!$B$5:$B$133,'Source Ledger'!$E$5:$E$133),"")="",IFERROR(XLOOKUP(D163,'Corrected Register'!$A$5:$A$136,'Corrected Register'!$M$5:$M$136),0),ABS(IFERROR(XLOOKUP(D163,'Source Ledger'!$B$5:$B$133,'Source Ledger'!$E$5:$E$133),0)-IFERROR(XLOOKUP(D163,'Corrected Register'!$A$5:$A$136,'Corrected Register'!$M$5:$M$136),0))),IFERROR(XLOOKUP(D163,'Corrected Register'!$A$5:$A$136,'Corrected Register'!$N$5:$N$136),0))</f>
        <v>302.75</v>
      </c>
      <c r="H163" s="7" t="inlineStr">
        <is>
          <t>Don't leave MD-00126 coded to Chicago - Closed.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Chicago - Closed is locked. I'm not leaving MD-00126 there on paper. Atlanta is the operating site.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Ledger'!$B$5:$B$133,'Source Ledger'!$E$5:$E$133),"")="",IFERROR(XLOOKUP(D164,'Corrected Register'!$A$5:$A$136,'Corrected Register'!$M$5:$M$136),0),ABS(IFERROR(XLOOKUP(D164,'Source Ledger'!$B$5:$B$133,'Source Ledger'!$E$5:$E$133),0)-IFERROR(XLOOKUP(D164,'Corrected Register'!$A$5:$A$136,'Corrected Register'!$M$5:$M$136),0))),IFERROR(XLOOKUP(D164,'Corrected Register'!$A$5:$A$136,'Corrected Register'!$N$5:$N$136),0))</f>
        <v>662.65</v>
      </c>
      <c r="H164" s="7" t="inlineStr">
        <is>
          <t>MD-00127: movement TR-00127 never got an approval ID. Fix per §4.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ITAM-001 §4: TR-00127 isn't a completed approved transfer.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PO:PO-2023-0022;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Difference",IF(IFERROR(XLOOKUP(D165,'Source Ledger'!$B$5:$B$133,'Source Ledger'!$E$5:$E$133),"")="",IFERROR(XLOOKUP(D165,'Corrected Register'!$A$5:$A$136,'Corrected Register'!$M$5:$M$136),0),ABS(IFERROR(XLOOKUP(D165,'Source Ledger'!$B$5:$B$133,'Source Ledger'!$E$5:$E$133),0)-IFERROR(XLOOKUP(D165,'Corrected Register'!$A$5:$A$136,'Corrected Register'!$M$5:$M$136),0))),IFERROR(XLOOKUP(D165,'Corrected Register'!$A$5:$A$136,'Corrected Register'!$N$5:$N$136),0))</f>
        <v>0</v>
      </c>
      <c r="H165" s="7" t="inlineStr">
        <is>
          <t>Do not treat MD-00130 as a Critical ledger gap. PO-2023-0022 capitalization_approved doesn't override ITAM-001 §7.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Checked the threshold against MD-00130. Not a capital gap.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PO:PO-2023-0022;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Difference",IF(IFERROR(XLOOKUP(D166,'Source Ledger'!$B$5:$B$133,'Source Ledger'!$E$5:$E$133),"")="",IFERROR(XLOOKUP(D166,'Corrected Register'!$A$5:$A$136,'Corrected Register'!$M$5:$M$136),0),ABS(IFERROR(XLOOKUP(D166,'Source Ledger'!$B$5:$B$133,'Source Ledger'!$E$5:$E$133),0)-IFERROR(XLOOKUP(D166,'Corrected Register'!$A$5:$A$136,'Corrected Register'!$M$5:$M$136),0))),IFERROR(XLOOKUP(D166,'Corrected Register'!$A$5:$A$136,'Corrected Register'!$N$5:$N$136),0))</f>
        <v>0</v>
      </c>
      <c r="H166" s="7" t="inlineStr">
        <is>
          <t>MD-00131: under-threshold. Leave it off the FAR on purpose.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under the gate. Informational.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Ledger'!$B$5:$B$133,'Source Ledger'!$E$5:$E$133),"")="",IFERROR(XLOOKUP(D167,'Corrected Register'!$A$5:$A$136,'Corrected Register'!$M$5:$M$136),0),ABS(IFERROR(XLOOKUP(D167,'Source Ledger'!$B$5:$B$133,'Source Ledger'!$E$5:$E$133),0)-IFERROR(XLOOKUP(D167,'Corrected Register'!$A$5:$A$136,'Corrected Register'!$M$5:$M$136),0))),IFERROR(XLOOKUP(D167,'Corrected Register'!$A$5:$A$136,'Corrected Register'!$N$5:$N$136),0))</f>
        <v>6470</v>
      </c>
      <c r="H167" s="7" t="inlineStr">
        <is>
          <t>MD-00132 is missing from the ledger. Capitalize or write off; do not take RN-0132 as expense-under-threshold.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FAR extract has no MD-00132. Cost $6470 is over $2,500. Note RN-0132 is a claim, not a posting.</t>
        </is>
      </c>
      <c r="M167" s="12" t="inlineStr">
        <is>
          <t>Blocks certification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1" t="inlineStr">
        <is>
          <t>Custody Chain —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3" t="inlineStr">
        <is>
          <t>Asset Tag</t>
        </is>
      </c>
      <c r="B4" s="3" t="inlineStr">
        <is>
          <t>Event Date</t>
        </is>
      </c>
      <c r="C4" s="3" t="inlineStr">
        <is>
          <t>Event Type</t>
        </is>
      </c>
      <c r="D4" s="3" t="inlineStr">
        <is>
          <t>From Party</t>
        </is>
      </c>
      <c r="E4" s="3" t="inlineStr">
        <is>
          <t>To Party</t>
        </is>
      </c>
      <c r="F4" s="3" t="inlineStr">
        <is>
          <t>Location</t>
        </is>
      </c>
      <c r="G4" s="3" t="inlineStr">
        <is>
          <t>Record Reference</t>
        </is>
      </c>
      <c r="H4" s="3" t="inlineStr">
        <is>
          <t>Fact Type</t>
        </is>
      </c>
      <c r="I4" s="3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Acquired MD-00017 (MacBook Pro 14) for $1985 via PO-2024-0003.</t>
        </is>
      </c>
    </row>
    <row r="6">
      <c r="A6" s="7" t="inlineStr">
        <is>
          <t>MD-00017</t>
        </is>
      </c>
      <c r="B6" s="7" t="inlineStr">
        <is>
          <t>2026-06-18</t>
        </is>
      </c>
      <c r="C6" s="7" t="inlineStr">
        <is>
          <t>Assignment/Transfer</t>
        </is>
      </c>
      <c r="D6" s="7" t="inlineStr">
        <is>
          <t>Central Receiving</t>
        </is>
      </c>
      <c r="E6" s="7" t="inlineStr">
        <is>
          <t>E0017</t>
        </is>
      </c>
      <c r="F6" s="7" t="inlineStr">
        <is>
          <t>Seattle</t>
        </is>
      </c>
      <c r="G6" s="7" t="inlineStr">
        <is>
          <t>Transfer:TR-00017; Approval:APR-00017</t>
        </is>
      </c>
      <c r="H6" s="7" t="inlineStr">
        <is>
          <t>Confirmed Fact</t>
        </is>
      </c>
      <c r="I6" s="7" t="inlineStr">
        <is>
          <t>Movement TR-00017 completed inbound 6/19/26.</t>
        </is>
      </c>
    </row>
    <row r="7">
      <c r="A7" s="7" t="inlineStr">
        <is>
          <t>MD-00017</t>
        </is>
      </c>
      <c r="B7" s="7" t="inlineStr">
        <is>
          <t>2026-08-09</t>
        </is>
      </c>
      <c r="C7" s="7" t="inlineStr">
        <is>
          <t>Policy Control Figure</t>
        </is>
      </c>
      <c r="D7" s="7" t="inlineStr">
        <is>
          <t>ITAM-001</t>
        </is>
      </c>
      <c r="E7" s="7" t="inlineStr"/>
      <c r="F7" s="7" t="inlineStr"/>
      <c r="G7" s="7" t="inlineStr">
        <is>
          <t>ITAM_control_matrix.png; IT_asset_management_policy.pdf</t>
        </is>
      </c>
      <c r="H7" s="7" t="inlineStr">
        <is>
          <t>Confirmed Fact</t>
        </is>
      </c>
      <c r="I7" s="7" t="inlineStr">
        <is>
          <t>MD-00017 review — matrix row assignment sets proof expectations; ledger/transfer cite TR-00017.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Landed on In Use (High). EX-0001. E0017 TR-00017 APR-00017 PO-2024-0003 FA-000017 ITAM_control_matrix.png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MD-00021 origin: PO-2025-0004, $1850.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TR-00021 2026-05-02; inbound May 3, 2026.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Policy appendix applied to MD-00021 under financial reconciliation; figure informs the review, TR-00021 carries it.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Verified In Use. EX-0002. Medium. E0021 TR-00021 APR-00021 PO-2025-0004 FA-000021 ITAM_control_matrix.png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$2030 Lenovo ThinkPad T14. PO-2022-0005.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Chicago: TR-00025 received 2026-01-22.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Word file claim on MD-00025 — non-authoritative.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Evidence rubric for MD-00025 pulled from the control matrix (disposal); chain anchor TR-00025; policy PDF §4–§7 read with TR-00025.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MD-00025 → In Use. Confidence Medium. EX-0003, EX-0004. E0025 TR-00025 APR-00025 PO-2022-0005 FA-000025 ITAM_control_matrix.png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Warehouse receipt tied to PO-2023-0006. Dell U2723QE.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Recorded 2026-05-22, received 2026-05-22. TR-00034.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mentions closed-office leftover color on MD-00034. Notes don't beat a scan.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MD-00034 — auditors should read the disposal line on the matrix, then follow TR-00034; ITAM_control_matrix.png attached.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In Use is the status I'm standing behind. EX-0013, EX-0014. High. E0034 TR-00034 APR-00034 PO-2023-0006 FA-000034 ITAM_control_matrix.png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$1040 Samsung Galaxy S24. PO-2022-0009.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Denver: TR-00051 received March 31, 2026.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Word file claim on MD-00051 — non-authoritative.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MD-00051: ITAM-001 appendix defines acceptable return proof — see TR-00051 in this chain.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After the chain: Available. High confidence. EX-0031, EX-0032. TR-00051 APR-00051 PO-2022-0009 FA-000051 ITAM_control_matrix.png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Warehouse receipt tied to PO-2023-0010. Dell U2723QE.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Recorded May 22, 2026, received 5/23. TR-00058.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Opened OFF-00058. Status Closed.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Breadcrumb in regional_IT_notes.docx. Still need a transaction for MD-00058.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Appendix A transfer requirements govern MD-00058; PNG matrix is reference only beside TR-00058.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Call: Pending Redeployment at New York. Medium. Exceptions EX-0039, EX-0040, EX-0041. TR-00058 OFF-00058 PO-2023-0010 FA-000058 ITAM_control_matrix.png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Acquired MD-00059 (Samsung Galaxy S24) for $1085 via PO-2023-0010.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Movement TR-00059 completed inbound 6/26.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Service desk OFF-00059 on MD-00059. Return required Yes.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Didn't let the regional write-up overrule the logs on MD-00059.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When scoring MD-00059, the financial reconciliation column in ITAM_control_matrix.png frames what counts; TR-00059 was checked; ITAM_control_matrix.png attached.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MD-00059 → Pending Redeployment. Confidence Medium. EX-0042, EX-0043, EX-0044. TR-00059 OFF-00059 PO-2023-0010 FA-000059 ITAM_control_matrix.png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Receiving against PO-2023-0010. Cisco C9300, $6380.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Assignment posted January 30, 2026. Docked 2/2 (TR-00060).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OFF-00060 — Closed. Due Jul 15.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Closed-floor story in the notes. Ignored as clearance.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Evidence rubric for MD-00060 pulled from the control matrix (disposal); chain anchor TR-00060; policy PDF §4–§7 read with TR-00060.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Landed on Pending Redeployment (High). EX-0045, EX-0046. TR-00060 APR-00060 OFF-00060 PO-2023-0010 FA-000060 ITAM_control_matrix.png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MD-00061 origin: PO-2024-0011, $2075.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TR-00061 February 2, 2026; inbound 2/3.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People ticket OFF-00061. Doesn't by itself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Someone wrote that it stayed at a closed site. Unverified for MD-00061.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On MD-00061, the matrix documents what transfer evidence looks like; it is not a substitute for TR-00061.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Wrap: MD-00061 Pending Redeployment. EX-0047, EX-0048. TR-00061 APR-00061 OFF-00061 PO-2024-0011 FA-000061 ITAM_control_matrix.png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Dell U2723QE came in on PO-2024-0011 ($790).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Log row TR-00062. Receive date 3/7.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OFF-00062 sits Closed. Hardware return was required. Jul 15.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regional_IT_notes.docx mentions closed-office leftover color on MD-00062. Notes don't beat a scan.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Return/disposal/financial tests for MD-00062 were read against the matrix financial reconciliation row and TR-00062; policy PDF §4–§7 read with TR-00062.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Pending Redeployment is the status I'm standing behind. EX-0049, EX-0050. High. TR-00062 APR-00062 OFF-00062 PO-2024-0011 FA-000062 ITAM_control_matrix.png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$950 Samsung Galaxy S24.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Denver: TR-00063 received 4/16.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Offboarding OFF-00063: Yes. Due Jul 15.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regional_IT_notes.docx is in the packet. Weight = lead only (MD-00063).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Control design for MD-00063 (return) comes from the policy figure; movement proof is TR-00063.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Closing note MD-00063: Pending Redeployment / Denver (High). EX-0051, EX-0052. TR-00063 APR-00063 OFF-00063 PO-2024-0011 FA-000063 ITAM_control_matrix.png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PO-2024-0011: Cisco C9300 at $6245.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Moved to Regional IT in New York on TR-00064. Received 5/14.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OFF-00064 Closed. Return required=Yes, due Jul 15.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I read the note. I didn't relocate MD-00064 off of it.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MD-00064 custody review used the appendix matrix on assignment; TR-00064 remains the auditable source; policy PDF §4–§7 read with TR-00064.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Verified Pending Redeployment. EX-0053, EX-0054, EX-0055. Medium. TR-00064 OFF-00064 PO-2024-0011 FA-000064 ITAM_control_matrix.png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Purchasing file PO-2024-0011 matches MD-00065 at $1940.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TR-00065 — got it 6/23 at Seattle.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MD-00065 tied to OFF-00065 (Closed). SLA Jul 15.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Tech note in the Word dump. Treated as a lead for MD-00065, not location proof.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Matrix figure cited on MD-00065 as the control standard for disposal; transactional weight stays with TR-00065.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After the chain: Pending Redeployment. Medium confidence. EX-0056, EX-0057, EX-0058. TR-00065 OFF-00065 PO-2024-0011 FA-000065 ITAM_control_matrix.png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PO line PO-2024-0011 — Dell U2723QE.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From warehouse to Regional IT. TR-00066, received 1/25.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Opened OFF-00066. Status Closed.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Note exists. Corroboration doesn't. MD-00066.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Policy matrix (transfer row) applied while tracing MD-00066; the figure does not replace TR-00066; policy PDF §4–§7 read with TR-00066.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Call: Pending Redeployment at Atlanta. High. Exceptions EX-0059, EX-0060. TR-00066 APR-00066 OFF-00066 PO-2024-0011 FA-000066 ITAM_control_matrix.png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Bought the Samsung Galaxy S24 ($1130) on PO-2025-0012.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Transfer TR-00067 / APR-00067. Received 2/23.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 on MD-00067. Return required Yes.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Word file claim on MD-00067 — non-authoritative.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MD-00067 chain includes the policy figure as the financial reconciliation rubric only; TR-00067 is dispositive.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MD-00067 → Pending Redeployment. Confidence High. EX-0061, EX-0062. TR-00067 APR-00067 OFF-00067 PO-2025-0012 FA-000067 ITAM_control_matrix.png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Warehouse receipt tied to PO-2025-0012. Cisco C9300.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Recorded March 28, 2026, received 4/3. TR-00068.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OFF-00068 — Past Due. Due Jul 15.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I didn't close MD-00068 on the 1Z print. 1ZMD00000068.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Someone wrote that it stayed at a closed site. Unverified for MD-00068.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MD-00068 — auditors should read the disposal line on the matrix, then follow TR-00068; ITAM_control_matrix.png attached.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MD-00068 → Return Overdue. Confidence Low. EX-0063, EX-0064, EX-0065. OFF-00068 1ZMD00000068 TR-00068 E0081 PO-2025-0012 FA-000068 ITAM_control_matrix.png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Dell Latitude 7440 came in on PO-2025-0012 ($2120).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Log row TR-00069. Receive date May 4.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OFF-00069 — Past Due. Due July 15, 2026.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I didn't close MD-00069 on the 1Z print. 1ZMD00000069.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Tech note in the Word dump. Treated as a lead for MD-00069, not location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MD-00069: return controls in Appendix A; matrix noted alongside TR-00069; policy PDF §4–§7 read with TR-00069.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MD-00069 → Return Overdue. Confidence Low. EX-0066, EX-0067. OFF-00069 1ZMD00000069 TR-00069 E0082 PO-2025-0012 FA-000069 ITAM_control_matrix.png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PO line PO-2025-0012 — Dell U2723QE.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From warehouse to E0073. TR-00070, received June 3, 2026.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OFF-00070 — Past Due. Due 15 Jul.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I didn't close MD-00070 on the 1Z print. 1ZMD00000070.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Didn't let the regional write-up overrule the logs on MD-00070.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MD-00070: return controls in Appendix A; matrix noted alongside TR-00070; policy PDF §4–§7 read with TR-00070.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MD-00070 → Return Overdue. Confidence Low. EX-0068, EX-0069. OFF-00070 1ZMD00000070 TR-00070 E0083 PO-2025-0012 FA-000070 ITAM_control_matrix.png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Receiving against PO-2025-0012. Samsung Galaxy S24, $995.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Assignment posted 7/8/26. Docked 12 Jul (TR-00071).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OFF-00071 — Past Due. Due 2026-07-15.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I didn't close MD-00071 on the 1Z print. 1ZMD00000071.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is in the packet. Weight = lead only (MD-00071).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Appendix A transfer requirements govern MD-00071; PNG matrix is reference only beside TR-00071.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MD-00071 → Return Overdue. Confidence Low. EX-0070, EX-0071. OFF-00071 1ZMD00000071 TR-00071 E0084 PO-2025-0012 FA-000071 ITAM_control_matrix.png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PO-2025-0012: Cisco C9300 at $6290.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Moved to E0075 in Remote - Former Employee on TR-00072. Received 2026-01-18.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OFF-00072 — Past Due. Due 7/15/26.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I didn't close MD-00072 on the 1Z print. 1ZMD00000072.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Word file claim on MD-00072 — non-authoritative.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MD-00072 review — matrix row assignment sets proof expectations; ledger/transfer cite TR-00072.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MD-00072 → Return Overdue. Confidence Low. EX-0072, EX-0073. OFF-00072 1ZMD00000072 TR-00072 E0085 PO-2025-0012 FA-000072 ITAM_control_matrix.png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Warehouse receipt tied to PO-2022-0013. Lenovo ThinkPad T14.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Recorded 1/21, received 1/24/26. TR-00073.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OFF-00073 — Past Due. Due 2026-07-15.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I didn't close MD-00073 on the 1Z print. 1ZMD00000073.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Someone wrote that it stayed at a closed site. Unverified for MD-00073.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When scoring MD-00073, the financial reconciliation column in ITAM_control_matrix.png frames what counts; TR-00073 was checked; ITAM_control_matrix.png attached.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MD-00073 → Return Overdue. Confidence Low. EX-0074, EX-0075. OFF-00073 1ZMD00000073 TR-00073 E0086 PO-2022-0013 FA-000073 ITAM_control_matrix.png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Dell U2723QE came in on PO-2022-0013 ($700).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Log row TR-00074. Receive date 2026-02-24.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OFF-00074 — Past Due. Due 7/15.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I didn't close MD-00074 on the 1Z print. 1ZMD00000074.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Don't Available MD-00074. 1ZMD00000074 serial fight.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Breadcrumb in regional_IT_notes.docx. Still need a transaction for MD-00074.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When scoring MD-00074, the financial reconciliation column in ITAM_control_matrix.png frames what counts; TR-00074 was checked; ITAM_control_matrix.png attached.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Call: Return Overdue at Carrier Network / Unverified. Low. Exceptions EX-0076, EX-0077, EX-0078. 1ZMD00000074 OFF-00074 MISMATCH-0074 MD-MO-050074 PO-2022-0013 FA-000074 ITAM_control_matrix.png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Acquired MD-00075 (Samsung Galaxy S24) for $1175 via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Movement TR-00075 completed inbound Apr 1.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Service desk OFF-00075 on MD-00075. Return required Yes.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Return paperwork only. 1ZMD00000075.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regional_IT_notes.docx mentions closed-office leftover color on MD-00075. Notes don't beat a scan.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Evidence rubric for MD-00075 pulled from the control matrix (disposal); chain anchor TR-00075; policy PDF §4–§7 read with TR-00075.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Call: Return Overdue at Remote - Former Employee. Low. Exceptions EX-0079, EX-0080. OFF-00075 1ZMD00000075 TR-00075 E0088 PO-2022-0013 FA-000075 ITAM_control_matrix.png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$6470 Cisco C9300. PO-2022-0013.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Remote - Former Employee: TR-00076 received May 3, 2026.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Service desk OFF-00076 on MD-00076. Return required Yes.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Return paperwork only. 1ZMD00000076.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1ZMD00000076: serial on the shipment is not MD-NE-050076. Custody not cleared.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Didn't let the regional write-up overrule the logs on MD-00076.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Evidence rubric for MD-00076 pulled from the control matrix (disposal); chain anchor TR-00076; policy PDF §4–§7 read with TR-00076.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After the chain: Return Overdue. Low confidence. EX-0081, EX-0082, EX-0083. 1ZMD00000076 OFF-00076 MISMATCH-0076 MD-NE-050076 PO-2022-0013 FA-000076 ITAM_control_matrix.png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Receiving against PO-2022-0013. MacBook Pro 14, $1850.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Assignment posted 2026-06-05. Docked 2026-06-06 (TR-00077).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Opened OFF-00077. Status Past Due.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1ZMD00000077 is Label Created. Serial on the label MD-LA-050077. Not proof of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regional_IT_notes.docx is in the packet. Weight = lead only (MD-00077).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MD-00077: ITAM-001 appendix defines acceptable return proof — see TR-00077 in this chain.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After the chain: Return Overdue. Low confidence. EX-0084, EX-0085. OFF-00077 1ZMD00000077 TR-00077 E0090 PO-2022-0013 FA-000077 ITAM_control_matrix.png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PO-2022-0013: Dell U2723QE at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Moved to E0081 in Remote - Former Employee on TR-00078. Received 1/10/26.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Opened OFF-00078. Status Past Due.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1ZMD00000078 is Label Created. Serial on the label MD-MO-050078. Not proof of return.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Word file claim on MD-00078 — non-authoritative.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On MD-00078, the matrix documents what transfer evidence looks like; it is not a substitute for TR-00078.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After the chain: Return Overdue. Low confidence. EX-0086, EX-0087. OFF-00078 1ZMD00000078 TR-00078 E0091 PO-2022-0013 FA-000078 ITAM_control_matrix.png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Warehouse receipt tied to PO-2023-0014. Samsung Galaxy S24.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Recorded Feb 11, received 2026-02-13. TR-00079.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Opened OFF-00079. Status Past Due.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1ZMD00000079 is Label Created. Serial on the label MD-MO-050079. Not proof of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Someone wrote that it stayed at a closed site. Unverified for MD-00079.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For MD-00079, Appendix A sets the assignment evidence bar; TR-00079 is the record under review; ITAM_control_matrix.png attached.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After the chain: Return Overdue. Low confidence. EX-0088, EX-0089. OFF-00079 1ZMD00000079 TR-00079 E0092 PO-2023-0014 FA-000079 ITAM_control_matrix.png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Cisco C9300 came in on PO-2023-0014 ($6335).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Log row TR-00080. Receive date 3/17.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Opened OFF-00080. Status Shipment Open.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1ZMD00000080 is Label Created. Serial on the label MD-NE-050080. Not proof of return.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Acceptance event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Carrier delivery event, 1ZMD00000080.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Inbound scan completed (1ZMD00000080).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I read the note. I didn't relocate MD-00080 off of it.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Evidence rubric for MD-00080 pulled from the control matrix (disposal); chain anchor TR-00080; policy PDF §4–§7 read with TR-00080.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Available is the status I'm standing behind. EX-0090. High. 1ZMD00000080 OFF-00080 TR-00080 PO-2023-0014 FA-000080 ITAM_control_matrix.png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Purchasing file PO-2023-0014 matches MD-00081 at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TR-00081 — got it 2026-04-20 at Carrier Network.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Offboarding OFF-00081: Yes. Due 7/15/26.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Printed 1ZMD00000081. Box not in the inbound file.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Carrier accepted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1ZMD00000081 delivered per carrier.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SCAN-86 equivalent on file for 1ZMD00000081.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Word file claim on MD-00081 — non-authoritative.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MD-00081 review — matrix row assignment sets proof expectations; ledger/transfer cite TR-00081.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MD-00081 → Available. Confidence High. EX-0091. 1ZMD00000081 OFF-00081 TR-00081 PO-2023-0014 FA-000081 ITAM_control_matrix.png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Warehouse receipt tied to PO-2023-0014. Dell U2723QE.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Recorded 22 May, received May 24. TR-00082.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OFF-00082 — Shipment Open. Due July 15, 2026.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I didn't close MD-00082 on the 1Z print. 1ZMD00000082.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UPS/carrier take recorded for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1ZMD00000082 / MISMATCH-0082 vs MD-MO-050082. Held.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MISMATCH. Lead only — not a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Closed-floor story in the notes. Ignored as clearance. (MD-00082-Regional IT Note Lead-226)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MD-00082: return controls in Appendix A; matrix noted alongside TR-00082; policy PDF §4–§7 read with TR-00082.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Verified In Transit - Exception. EX-0092, EX-0093. Low. 1ZMD00000082 OFF-00082 MISMATCH-0082 MD-MO-050082 receiving_exception_scan_1ZMD00000082.png PO-2023-0014 FA-000082 ITAM_control_matrix.png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MD-00083 origin: PO-2023-0014, $1220.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TR-00083 6/26; inbound 6/27/26.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MD-00083 tied to OFF-00083 (Shipment Open). SLA 2026-07-15.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Prepaid label 1ZMD00000083 exists. Carrier never accepted it.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1ZMD00000083 picked up (acceptance on file).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Delivered — 1ZMD00000083. Still need a receiving scan to finish returns.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Dock scan on 1ZMD00000083.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regional_IT_notes.docx is in the packet. Weight = lead only (MD-00083).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MD-00083 chain includes the policy figure as the financial reconciliation rubric only; TR-00083 is dispositive.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Wrap: MD-00083 Available. EX-0094. 1ZMD00000083 OFF-00083 TR-00083 PO-2023-0014 FA-000083 ITAM_control_matrix.png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PO-2023-0014: Cisco C9300 at $6200.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Moved to Return Carrier in Carrier Network on TR-00084. Received February 5, 2026.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OFF-00084 sits Shipment Open. Hardware return was required. 15 Jul.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§5: label ≠ returned. 1ZMD00000084 / MD-NE-050084.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Acceptance event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Carrier exception. Register serial MD-NE-050084 didn't show up on the parcel record.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regional_IT_notes.docx is in the packet. Weight = lead only (MD-00084).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IT_asset_management_policy.pdf plus the matrix set the assignment standard for MD-00084; TR-00084 cited.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MD-00084 → In Transit - Exception. Confidence Low. EX-0095, EX-0096. 1ZMD00000084 OFF-00084 MISMATCH-0084 MD-NE-050084 PO-2023-0014 FA-000084 ITAM_control_matrix.png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PO-2024-0015: Lenovo ThinkPad T14 at $1895.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Moved to Return Carrier in Carrier Network on TR-00085. Received 2/3/26.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OFF-00085 — Shipment Open. Due 2026-07-15.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I didn't close MD-00085 on the 1Z print. 1ZMD00000085.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UPS/carrier take recorded for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Delivery posted on 1ZMD00000085.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scanned 1ZMD00000085.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Note exists. Corroboration doesn't. MD-00085.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MD-00085: return gate from Appendix A; supporting transaction file TR-00085; ITAM_control_matrix.png attached.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Verified Available. EX-0097, EX-0098. High. 1ZMD00000085 OFF-00085 TR-00085 PO-2024-0015 FA-000085 ITAM_control_matrix.png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Bought the Dell U2723QE ($610) on PO-2024-0015.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Transfer TR-00086 / APR-00086. Received March 8, 2026.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MD-00086 tied to OFF-00086 (Shipment Open). SLA 15 Jul.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Prepaid label 1ZMD00000086 exists. Carrier never accepted it.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1ZMD00000086 picked up (acceptance on file).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Delivered — 1ZMD00000086. Still need a receiving scan to finish returns.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Dock scan on 1ZMD00000086.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Didn't let the regional write-up overrule the logs on MD-00086.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Policy appendix applied to MD-00086 under financial reconciliation; figure informs the review, TR-00086 carries it.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Wrap: MD-00086 Available. EX-0099. 1ZMD00000086 OFF-00086 TR-00086 PO-2024-0015 FA-000086 ITAM_control_matrix.png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Receiving against PO-2024-0015. Samsung Galaxy S24, $1085.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Assignment posted Apr 12. Docked 2026-04-12 (TR-00087).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OFF-00087 sits Shipment Open. Hardware return was required. 7/15.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§5: label ≠ returned. 1ZMD00000087 / MD-MO-050087.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Acceptance event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Carrier delivery event, 1ZMD00000087.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Inbound scan completed (1ZMD00000087).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regional_IT_notes.docx mentions closed-office leftover color on MD-00087. Notes don't beat a scan.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Used ITAM_control_matrix.png while walking MD-00087 (transfer path); conclusion still tied to TR-00087; ITAM_control_matrix.png attached.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Call: Available at Atlanta Warehouse. High. Exceptions EX-0100. 1ZMD00000087 OFF-00087 TR-00087 PO-2024-0015 FA-000087 ITAM_control_matrix.png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$6380 Cisco C9300.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Carrier Network: TR-00088 received 14 May.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Service desk OFF-00088 on MD-00088. Return required Yes.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Return paperwork only. 1ZMD00000088.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Carrier accepted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1ZMD00000088 delivered per carrier.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SCAN-86 equivalent on file for 1ZMD00000088.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Tech note in the Word dump. Treated as a lead for MD-00088, not location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For certification tracing on MD-00088, disposal criteria came from the matrix; source row TR-00088.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Closing note MD-00088: Available / Atlanta Warehouse (Medium). EX-0101, EX-0102. 1ZMD00000088 OFF-00088 TR-00088 PO-2024-0015 FA-000088 ITAM_control_matrix.png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PO line PO-2024-0015 — MacBook Pro 14.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From warehouse to Unverified. TR-00089, received 6/17.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OFF-00089 Unresolved. Return required=Yes, due Jul 15.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Note exists. Corroboration doesn't. MD-00089.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Used ITAM_control_matrix.png while walking MD-00089 (transfer path); conclusion still tied to TR-00089; ITAM_control_matrix.png attached.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Still no receiving scan, disposal cert, or count that places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Closing note MD-00089: Missing / Unknown (Low). EX-0103, EX-0104. OFF-00089 TR-00089 PO-2024-0015 FA-000089 ITAM_control_matrix.png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Receiving against PO-2024-0015. Dell U2723QE,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Assignment posted 22 Jan. Docked Jan 28 (TR-00090).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OFF-00090 Unresolved. Return required=Yes, due July 15, 2026.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Closed-floor story in the notes. Ignored as clearance. (MD-00090-Regional IT Note Lead-306)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Used ITAM_control_matrix.png while walking MD-00090 (transfer path); conclusion still tied to TR-00090; ITAM_control_matrix.png attached.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Gap: nothing physical confirms MD-00090 right now.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Closing note MD-00090: Missing / Unknown (Low). EX-0105, EX-0106. OFF-00090 TR-00090 PO-2024-0015 FA-000090 ITAM_control_matrix.png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PO-2025-0016: Samsung Galaxy S24 at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Moved to Unverified in Unknown on TR-00091. Received February 24, 2026.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OFF-00091 Unresolved. Return required=Yes, due 15 Jul.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I read the note. I didn't relocate MD-00091 off of it.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MD-00091 custody review used the appendix matrix on assignment; TR-00091 remains the auditable source; policy PDF §4–§7 read with TR-00091.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I won't invent a floor for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Closing note MD-00091: Missing / Unknown (Low). EX-0107, EX-0108. OFF-00091 TR-00091 PO-2025-0016 FA-000091 ITAM_control_matrix.png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Warehouse receipt tied to PO-2025-0016. Cisco C9300.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Recorded 3/28/26, received 28 Mar. TR-00092.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OFF-00092 Unresolved. Return required=Yes, due 2026-07-15.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Breadcrumb in regional_IT_notes.docx. Still need a transaction for MD-00092.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Policy appendix applied to MD-00092 under financial reconciliation; figure informs the review, TR-00092 carries it.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Still no receiving scan, disposal cert, or count that places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Closing note MD-00092: Missing / Unknown (Low). EX-0109, EX-0110, EX-0111. OFF-00092 TR-00092 PO-2025-0016 FA-000092 ITAM_control_matrix.png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Dell Latitude 7440 came in on PO-2025-0016 ($1940).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Log row TR-00093. Receive date 2026-05-06.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OFF-00093 Unresolved. Return required=Yes, due 7/15/26.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mentions closed-office leftover color on MD-00093. Notes don't beat a scan.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Matrix figure cited on MD-00093 as the control standard for disposal; transactional weight stays with TR-00093.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Gap: nothing physical confirms MD-00093 right now.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Closing note MD-00093: Missing / Unknown (Low). EX-0112, EX-0113. OFF-00093 TR-00093 PO-2025-0016 FA-000093 ITAM_control_matrix.png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PO line PO-2025-0016 — Dell U2723QE.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From warehouse to Unverified. TR-00094, received 6/4/26.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OFF-00094 Unresolved. Return required=Yes, due 2026-07-15.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Note exists. Corroboration doesn't. MD-00094.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MD-00094: return gate from Appendix A; supporting transaction file TR-00094; ITAM_control_matrix.png attached.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I won't invent a floor for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Closing note MD-00094: Missing / Unknown (Low). EX-0114, EX-0115. OFF-00094 TR-00094 PO-2025-0016 FA-000094 ITAM_control_matrix.png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Receiving against PO-2025-0016. Samsung Galaxy S24,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Assignment posted Jul 8. Docked 2026-07-08 (TR-00095).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OFF-00095 Unresolved. Return required=Yes, due 7/15.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Closed-floor story in the notes. Ignored as clearance. (MD-00095-Regional IT Note Lead-346)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Policy matrix (transfer row) applied while tracing MD-00095; the figure does not replace TR-00095; policy PDF §4–§7 read with TR-00095.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Still no receiving scan, disposal cert, or count that places MD-00095.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Closing note MD-00095: Missing / Unknown (Low). EX-0116, EX-0117. OFF-00095 TR-00095 PO-2025-0016 FA-000095 ITAM_control_matrix.png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PO-2025-0016: Cisco C9300 at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Moved to Unverified in Unknown on TR-00096. Received 1/19.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OFF-00096 Unresolved. Return required=Yes, due Jul 15.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I read the note. I didn't relocate MD-00096 off of it.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IT_asset_management_policy.pdf plus the matrix set the assignment standard for MD-00096; TR-00096 cited.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Gap: nothing physical confirms MD-00096 right now.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Closing note MD-00096: Missing / Unknown (Low). EX-0118, EX-0119. OFF-00096 TR-00096 PO-2025-0016 FA-000096 ITAM_control_matrix.png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Warehouse receipt tied to PO-2022-0017. Lenovo ThinkPad T14.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Recorded 21 Jan, received Jan 27. TR-00097.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OFF-00097 Unresolved. Return required=Yes, due July 15, 2026.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Breadcrumb in regional_IT_notes.docx. Still need a transaction for MD-00097.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MD-00097 chain includes the policy figure as the financial reconciliation rubric only; TR-00097 is dispositive.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I won't invent a floor for MD-00097.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Closing note MD-00097: Missing / Unknown (Low). EX-0120, EX-0121. OFF-00097 TR-00097 PO-2022-0017 FA-000097 ITAM_control_matrix.png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Dell U2723QE came in on PO-2022-0017 ($520).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Log row TR-00098. Receive date February 24, 2026.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OFF-00098 Unresolved. Return required=Yes, due 15 Jul.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mentions closed-office leftover color on MD-00098. Notes don't beat a scan.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MD-00098 — auditors should read the disposal line on the matrix, then follow TR-00098; ITAM_control_matrix.png attached.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Still no receiving scan, disposal cert, or count that places MD-00098.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Closing note MD-00098: Missing / Unknown (Low). EX-0122, EX-0123. OFF-00098 TR-00098 PO-2022-0017 FA-000098 ITAM_control_matrix.png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PO line PO-2022-0017 — Samsung Galaxy S24.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From warehouse to Unverified. TR-00099, received 2 Apr.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OFF-00099 Unresolved. Return required=Yes, due 2026-07-15.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Note exists. Corroboration doesn't. MD-00099.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MD-00099: return controls in Appendix A; matrix noted alongside TR-00099; policy PDF §4–§7 read with TR-00099.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Gap: nothing physical confirms MD-00099 right now.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Closing note MD-00099: Missing / Unknown (Low). EX-0124, EX-0125. OFF-00099 TR-00099 PO-2022-0017 FA-000099 ITAM_control_matrix.png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Receiving against PO-2022-0017. Cisco C9300, $6290.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Assignment posted 2026-05-01. Docked 2026-05-05 (TR-00100).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OFF-00100 Unresolved. Return required=Yes, due 7/15/26.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Closed-floor story in the notes. Ignored as clearance. (MD-00100-Regional IT Note Lead-386)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MD-00100 — auditors should read the disposal line on the matrix, then follow TR-00100; ITAM_control_matrix.png attached.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I won't invent a floor for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Closing note MD-00100: Missing / Unknown (Low). EX-0126, EX-0127. OFF-00100 TR-00100 PO-2022-0017 FA-000100 ITAM_control_matrix.png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PO-2022-0017: MacBook Pro 14 at $1985.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Moved to Regional IT in Seattle on TR-00101. Received 6/7/26.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RET-00101 Pending Disposal. Return required=No.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I read the note. I didn't relocate MD-00101 off of it.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MD-00101: return controls in Appendix A; matrix noted alongside TR-00101; policy PDF §4–§7 read with TR-00101.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Verified Retired/Pending Disposal. EX-0128, EX-0129. Medium. RET-00101 TR-00101 PO-2022-0017 FA-000101 ITAM_control_matrix.png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Purchasing file PO-2022-0017 matches MD-00102 at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TR-00102 — got it 1/11/26 at Atlanta.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MD-00102 tied to RET-00102 (Pending Disposal).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Tech note in the Word dump. Treated as a lead for MD-00102, not location proof.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MD-00102 review — matrix row assignment sets proof expectations; ledger/transfer cite TR-00102.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After the chain: Retired/Pending Disposal. Medium confidence. EX-0130, EX-0131, EX-0132. RET-00102 TR-00102 PO-2022-0017 FA-000102 ITAM_control_matrix.png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PO line PO-2023-0018 — Samsung Galaxy S24.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From warehouse to Regional IT. TR-00103, received 2/14/26.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Opened RET-00103. Status Pending Disposal.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Note exists. Corroboration doesn't. MD-00103.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Evidence rubric for MD-00103 pulled from the control matrix (disposal); chain anchor TR-00103; policy PDF §4–§7 read with TR-00103.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Call: Retired/Pending Disposal at Chicago. Medium. Exceptions EX-0133, EX-0134. RET-00103 TR-00103 PO-2023-0018 FA-000103 ITAM_control_matrix.png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Bought the Cisco C9300 ($6470) on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Transfer TR-00104 / APR-00104. Received 3/18/26.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 on MD-00104. Return required No.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Word file claim on MD-00104 — non-authoritative.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On MD-00104, the matrix documents what transfer evidence looks like; it is not a substitute for TR-00104.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MD-00104 → Retired/Pending Disposal. Confidence Medium. EX-0135, EX-0136. RET-00104 TR-00104 PO-2023-0018 FA-000104 ITAM_control_matrix.png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Warehouse receipt tied to PO-2023-0018. Dell Latitude 7440.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Recorded 4/20, received 4/21/26. TR-00105.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RET-00105 — Pending Disposal. Due n/a.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Breadcrumb in regional_IT_notes.docx. Still need a transaction for MD-00105.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Return/disposal/financial tests for MD-00105 were read against the matrix financial reconciliation row and TR-00105; policy PDF §4–§7 read with TR-00105.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Landed on Retired/Pending Disposal (Medium). EX-0137, EX-0138. RET-00105 TR-00105 PO-2023-0018 FA-000105 ITAM_control_matrix.png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Acquired MD-00106 (Dell U2723QE) for $565 via PO-2023-0018.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Movement TR-00106 completed inbound 5/25/26.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People ticket RET-00106. Doesn't by itself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Didn't let the regional write-up overrule the logs on MD-00106.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Control design for MD-00106 (return) comes from the policy figure; movement proof is TR-00106.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Wrap: MD-00106 Retired/Pending Disposal. EX-0139, EX-0140. RET-00106 TR-00106 PO-2023-0018 FA-000106 ITAM_control_matrix.png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Receiving against PO-2023-0018. Samsung Galaxy S24, $1040.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Assignment posted 6/26. Docked 6/27/26 (TR-00107).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RET-00107 sits Pending Disposal. Hardware return not required per ticket.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Closed-floor story in the notes. Ignored as clearance. (MD-00107-Regional IT Note Lead-436)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MD-00107 custody review used the appendix matrix on assignment; TR-00107 remains the auditable source; policy PDF §4–§7 read with TR-00107.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Retired/Pending Disposal is the status I'm standing behind. EX-0141, EX-0142. Medium. RET-00107 TR-00107 PO-2023-0018 FA-000107 ITAM_control_matrix.png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MD-00108 origin: PO-2023-0018, $6335.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TR-00108 1/30; inbound 1/30/26.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Offboarding RET-00108: No.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Someone wrote that it stayed at a closed site. Unverified for MD-00108.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Matrix figure cited on MD-00108 as the control standard for disposal; transactional weight stays with TR-00108.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Closing note MD-00108: Retired/Pending Disposal / Atlanta (Medium). EX-0143, EX-0144. RET-00108 TR-00108 PO-2023-0018 FA-000108 ITAM_control_matrix.png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Lenovo ThinkPad T14 came in on PO-2024-0019 ($2030).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Log row TR-00109. Receive date 2/4/26.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RET-00109 Pending Disposal. Return required=No.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regional_IT_notes.docx mentions closed-office leftover color on MD-00109. Notes don't beat a scan.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Policy matrix (transfer row) applied while tracing MD-00109; the figure does not replace TR-00109; policy PDF §4–§7 read with TR-00109.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Verified Retired/Pending Disposal. EX-0145, EX-0146. Medium. RET-00109 TR-00109 PO-2024-0019 FA-000109 ITAM_control_matrix.png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$745 Dell U2723QE. PO-2024-0019.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Dallas: TR-00110 received 3/8/26.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MD-00110 tied to RET-00110 (Pending Disposal).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is in the packet. Weight = lead only (MD-00110).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IT_asset_management_policy.pdf plus the matrix set the assignment standard for MD-00110; TR-00110 cited.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After the chain: Retired/Pending Disposal. Medium confidence. EX-0147, EX-0148. RET-00110 TR-00110 PO-2024-0019 FA-000110 ITAM_control_matrix.png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PO-2024-0019: Dell U2723QE at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Moved to Certified Recycler in Disposed on TR-00114. Received 1/22/26.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Opened RET-00114. Status Closed.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TR-00114: recycler move without a matching certificate.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Word file claim on MD-00114 — non-authoritative.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MD-00114: ITAM-001 appendix defines acceptable return proof — see TR-00114 in this chain.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After the chain: Retired/Pending Disposal. Low confidence. EX-0149, EX-0150. TR-00114 RET-00114 PO-2024-0019 FA-000114 ITAM_control_matrix.png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Warehouse receipt tied to PO-2025-0020. Dell U2723QE.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Recorded Jun 3, received 2026-06-04. TR-00118.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Opened RET-00118. Status Closed.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TR-00118: recycler move without a matching certificate.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Someone wrote that it stayed at a closed site. Unverified for MD-00118.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Policy appendix applied to MD-00118 under financial reconciliation; figure informs the review, TR-00118 carries it.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After the chain: Retired/Pending Disposal. Low confidence. EX-0151, EX-0152. TR-00118 RET-00118 PO-2025-0020 FA-000118 ITAM_control_matrix.png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Samsung Galaxy S24 came in on PO-2025-0020 ($950).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Log row TR-00119. Receive date 7/9.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Opened RET-00119. Status Closed.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DC-00119 on file (verified). DC-00119 on file (verified). DC-00119 on file (verified). Method=NIST 800-88 wipe and recycling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Tech note in the Word dump. Treated as a lead for MD-00119, not location proof.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Matrix figure cited on MD-00119 as the control standard for disposal; transactional weight stays with TR-00119.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After the chain: Disposed. High confidence. EX-0153. DC-00119 TR-00119 RET-00119 PO-2025-0020 FA-000119 ITAM_control_matrix.png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PO line PO-2023-0022 — Samsung Galaxy S24.</t>
        </is>
      </c>
    </row>
    <row r="485">
      <c r="A485" s="7" t="inlineStr">
        <is>
          <t>MD-00127</t>
        </is>
      </c>
      <c r="B485" s="7" t="inlineStr">
        <is>
          <t>2026-02-08</t>
        </is>
      </c>
      <c r="C485" s="7" t="inlineStr">
        <is>
          <t>Assignment/Transfer</t>
        </is>
      </c>
      <c r="D485" s="7" t="inlineStr">
        <is>
          <t>Central Receiving</t>
        </is>
      </c>
      <c r="E485" s="7" t="inlineStr">
        <is>
          <t>E0061</t>
        </is>
      </c>
      <c r="F485" s="7" t="inlineStr">
        <is>
          <t>Denver</t>
        </is>
      </c>
      <c r="G485" s="7" t="inlineStr">
        <is>
          <t>Transfer:TR-00127; Approval:missing</t>
        </is>
      </c>
      <c r="H485" s="7" t="inlineStr">
        <is>
          <t>Confirmed Fact</t>
        </is>
      </c>
      <c r="I485" s="7" t="inlineStr">
        <is>
          <t>From warehouse to E0061. TR-00127, received Feb 17.</t>
        </is>
      </c>
    </row>
    <row r="486">
      <c r="A486" s="7" t="inlineStr">
        <is>
          <t>MD-00127</t>
        </is>
      </c>
      <c r="B486" s="7" t="inlineStr">
        <is>
          <t>2026-08-09</t>
        </is>
      </c>
      <c r="C486" s="7" t="inlineStr">
        <is>
          <t>Policy Control Figure</t>
        </is>
      </c>
      <c r="D486" s="7" t="inlineStr">
        <is>
          <t>ITAM-001</t>
        </is>
      </c>
      <c r="E486" s="7" t="inlineStr"/>
      <c r="F486" s="7" t="inlineStr"/>
      <c r="G486" s="7" t="inlineStr">
        <is>
          <t>ITAM_control_matrix.png; IT_asset_management_policy.pdf</t>
        </is>
      </c>
      <c r="H486" s="7" t="inlineStr">
        <is>
          <t>Confirmed Fact</t>
        </is>
      </c>
      <c r="I486" s="7" t="inlineStr">
        <is>
          <t>Appendix A transfer requirements govern MD-00127; PNG matrix is reference only beside TR-00127.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Wrap: MD-00127 In Use. EX-0160. E0061 TR-00127 PO-2023-0022 FA-000127 ITAM_control_matrix.png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PO:PO-2023-0022</t>
        </is>
      </c>
      <c r="H488" s="7" t="inlineStr">
        <is>
          <t>Confirmed Fact</t>
        </is>
      </c>
      <c r="I488" s="7" t="inlineStr">
        <is>
          <t>Warehouse receipt tied to PO-2023-0022. Dell U2723QE.</t>
        </is>
      </c>
    </row>
    <row r="489">
      <c r="A489" s="7" t="inlineStr">
        <is>
          <t>MD-00130</t>
        </is>
      </c>
      <c r="B489" s="7" t="inlineStr">
        <is>
          <t>2026-05-11</t>
        </is>
      </c>
      <c r="C489" s="7" t="inlineStr">
        <is>
          <t>Assignment/Transfer</t>
        </is>
      </c>
      <c r="D489" s="7" t="inlineStr">
        <is>
          <t>Central Receiving</t>
        </is>
      </c>
      <c r="E489" s="7" t="inlineStr">
        <is>
          <t>E0064</t>
        </is>
      </c>
      <c r="F489" s="7" t="inlineStr">
        <is>
          <t>Atlanta</t>
        </is>
      </c>
      <c r="G489" s="7" t="inlineStr">
        <is>
          <t>Transfer:TR-00130; Approval:APR-00130</t>
        </is>
      </c>
      <c r="H489" s="7" t="inlineStr">
        <is>
          <t>Confirmed Fact</t>
        </is>
      </c>
      <c r="I489" s="7" t="inlineStr">
        <is>
          <t>Recorded 5/22, received 5/28/26. TR-00130.</t>
        </is>
      </c>
    </row>
    <row r="490">
      <c r="A490" s="7" t="inlineStr">
        <is>
          <t>MD-00130</t>
        </is>
      </c>
      <c r="B490" s="7" t="inlineStr">
        <is>
          <t>2026-08-09</t>
        </is>
      </c>
      <c r="C490" s="7" t="inlineStr">
        <is>
          <t>Policy Control Figure</t>
        </is>
      </c>
      <c r="D490" s="7" t="inlineStr">
        <is>
          <t>ITAM-001</t>
        </is>
      </c>
      <c r="E490" s="7" t="inlineStr"/>
      <c r="F490" s="7" t="inlineStr"/>
      <c r="G490" s="7" t="inlineStr">
        <is>
          <t>ITAM_control_matrix.png; IT_asset_management_policy.pdf</t>
        </is>
      </c>
      <c r="H490" s="7" t="inlineStr">
        <is>
          <t>Confirmed Fact</t>
        </is>
      </c>
      <c r="I490" s="7" t="inlineStr">
        <is>
          <t>When scoring MD-00130, the financial reconciliation column in ITAM_control_matrix.png frames what counts; TR-00130 was checked; ITAM_control_matrix.png attached.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PO:PO-2023-0022; PolicyFigure:ITAM_control_matrix.png</t>
        </is>
      </c>
      <c r="H491" s="7" t="inlineStr">
        <is>
          <t>Confirmed Fact</t>
        </is>
      </c>
      <c r="I491" s="7" t="inlineStr">
        <is>
          <t>After the chain: In Use. High confidence. EX-0161. E0064 TR-00130 APR-00130 PO-2023-0022 ITAM_control_matrix.png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PO:PO-2023-0022</t>
        </is>
      </c>
      <c r="H492" s="7" t="inlineStr">
        <is>
          <t>Confirmed Fact</t>
        </is>
      </c>
      <c r="I492" s="7" t="inlineStr">
        <is>
          <t>Receiving against PO-2023-0022. Samsung Galaxy S24,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Assignment posted 2026-06-26. Docked June 28, 2026 (TR-00131).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Return/disposal/financial tests for MD-00131 were read against the matrix financial reconciliation row and TR-00131; policy PDF §4–§7 read with TR-00131.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PO:PO-2023-0022; PolicyFigure:ITAM_control_matrix.png</t>
        </is>
      </c>
      <c r="H495" s="7" t="inlineStr">
        <is>
          <t>Confirmed Fact</t>
        </is>
      </c>
      <c r="I495" s="7" t="inlineStr">
        <is>
          <t>Wrap: MD-00131 In Use. EX-0162. E0065 TR-00131 APR-00131 PO-2023-0022 ITAM_control_matrix.png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Cisco C9300 came in on PO-2023-0022 ($6470).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Log row TR-00132. Receive date 2026-01-31.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Policy appendix applied to MD-00132 under financial reconciliation; figure informs the review, TR-00132 carries it.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After the chain: In Use. High confidence. EX-0163. E0066 TR-00132 APR-00132 PO-2023-0022 ITAM_control_matrix.png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said MD-00132 was expensed under threshold. Rejected: acquisition cost $6,470 is ≥ $2,500, and the FAR still has no row.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capital-qualifying, no FA row. Blocks certification until capitalization or an approved write-off. MD-00130/MD-00131 are a different (under-threshold) story.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1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3" t="inlineStr">
        <is>
          <t>Control Total</t>
        </is>
      </c>
      <c r="B4" s="3" t="inlineStr">
        <is>
          <t>Amount</t>
        </is>
      </c>
    </row>
    <row r="5">
      <c r="A5" s="4" t="inlineStr">
        <is>
          <t>Corrected register — sum of acquisition cost (132 assets)</t>
        </is>
      </c>
      <c r="B5" s="5">
        <f>SUM('Corrected Register'!$M$5:$M$136)</f>
        <v>332115</v>
      </c>
    </row>
    <row r="6">
      <c r="A6" s="4" t="inlineStr">
        <is>
          <t>Fixed-asset ledger — sum of acquisition cost (129 assets)</t>
        </is>
      </c>
      <c r="B6" s="5">
        <f>SUM('Source Ledger'!$E$5:$E$133)</f>
        <v>324740</v>
      </c>
    </row>
    <row r="7">
      <c r="A7" s="4" t="inlineStr">
        <is>
          <t>Acquisition cost difference (register − ledger)</t>
        </is>
      </c>
      <c r="B7" s="5">
        <f>B5-B6</f>
        <v>7375</v>
      </c>
    </row>
    <row r="8">
      <c r="A8" s="4" t="inlineStr">
        <is>
          <t>Corrected register — remaining book value (ledger NBV where present; blank if missing)</t>
        </is>
      </c>
      <c r="B8" s="5">
        <f>SUM('Corrected Register'!$N$5:$N$136)</f>
        <v>61561.6</v>
      </c>
    </row>
    <row r="9">
      <c r="A9" s="4" t="inlineStr">
        <is>
          <t>Ledger — net book value, Active status only</t>
        </is>
      </c>
      <c r="B9" s="5">
        <f>SUMIF('Source Ledger'!$H$5:$H$133,"Active",'Source Ledger'!$G$5:$G$133)</f>
        <v>61561.6</v>
      </c>
    </row>
    <row r="10">
      <c r="A10" s="4" t="inlineStr">
        <is>
          <t>Ledger — net book value, all statuses including Disposed</t>
        </is>
      </c>
      <c r="B10" s="5">
        <f>SUM('Source Ledger'!$G$5:$G$133)</f>
        <v>61561.6</v>
      </c>
    </row>
    <row r="11">
      <c r="A11" s="4" t="inlineStr">
        <is>
          <t>Assets with matching acquisition cost (register vs ledger)</t>
        </is>
      </c>
      <c r="B11" s="5">
        <f>COUNTA('Corrected Register'!$A$5:$A$136)-B12-B13</f>
        <v>122</v>
      </c>
    </row>
    <row r="12">
      <c r="A12" s="4" t="inlineStr">
        <is>
          <t>Assets with acquisition cost mismatch</t>
        </is>
      </c>
      <c r="B12" s="5">
        <f>COUNTIF(B24:B35,"Acquisition cost mismatch")</f>
        <v>7</v>
      </c>
    </row>
    <row r="13">
      <c r="A13" s="4" t="inlineStr">
        <is>
          <t>Assets on inventory missing from ledger</t>
        </is>
      </c>
      <c r="B13" s="5">
        <f>COUNTIF(B24:B35,"On inventory, missing from ledger")</f>
        <v>3</v>
      </c>
    </row>
    <row r="16">
      <c r="A16" s="6" t="inlineStr">
        <is>
          <t>Explanation of remaining differences</t>
        </is>
      </c>
    </row>
    <row r="17" ht="48" customHeight="1">
      <c r="A17" s="13">
        <f>CONCATENATE("1) Three assets (MD-00130, MD-00131, MD-00132) appear on the operational register and PO-2023-0022 but have no fixed-asset ledger row. Combined register acquisition cost = $",TEXT(C33+C34+C35,"0.0"),".")</f>
        <v/>
      </c>
    </row>
    <row r="18" ht="48" customHeight="1">
      <c r="A18" s="13">
        <f>CONCATENATE("2) Seven assets have a systematic $175 ledger-over-register acquisition cost variance (MD-00017, MD-00034, MD-00051, MD-00068, MD-00085, MD-00102, MD-00119). Combined ledger cost excess = $",TEXT(E24+E25+E26+E27+E28+E29+E32,"#,##0"),".")</f>
        <v/>
      </c>
    </row>
    <row r="19" ht="48" customHeight="1">
      <c r="A19" s="13" t="inlineStr">
        <is>
          <t>3)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§9 these are High remediation items, not sole Critical blockers.</t>
        </is>
      </c>
    </row>
    <row r="20" ht="48" customHeight="1">
      <c r="A20" s="13" t="inlineStr">
        <is>
          <t>4)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Register'!$A$5:$A$136,'Corrected Register'!$M$5:$M$136),"")</f>
        <v>1985</v>
      </c>
      <c r="D24" s="7">
        <f>IFERROR(XLOOKUP(A24,'Source Ledger'!$B$5:$B$133,'Source Ledger'!$E$5:$E$133),"")</f>
        <v>2070</v>
      </c>
      <c r="E24" s="7">
        <f>IF(OR(C24="",D24=""),"",D24-C24)</f>
        <v>85</v>
      </c>
      <c r="F24" s="7">
        <f>IFERROR(XLOOKUP(A24,'Corrected Register'!$A$5:$A$136,'Corrected Register'!$N$5:$N$136),"")</f>
        <v>0</v>
      </c>
      <c r="G24" s="7">
        <f>IFERROR(XLOOKUP(A24,'Source Ledger'!$B$5:$B$133,'Source Ledger'!$G$5:$G$133),"")</f>
        <v>0</v>
      </c>
      <c r="H24" s="7" t="inlineStr">
        <is>
          <t>Ledger FA-000017 cost exceeds register by $85. Validate against PO-2024-0003.</t>
        </is>
      </c>
    </row>
    <row r="25">
      <c r="A25" s="7" t="inlineStr">
        <is>
          <t>MD-00034</t>
        </is>
      </c>
      <c r="B25" s="7" t="inlineStr">
        <is>
          <t>Acquisition cost mismatch</t>
        </is>
      </c>
      <c r="C25" s="7">
        <f>IFERROR(XLOOKUP(A25,'Corrected Register'!$A$5:$A$136,'Corrected Register'!$M$5:$M$136),"")</f>
        <v>790</v>
      </c>
      <c r="D25" s="7">
        <f>IFERROR(XLOOKUP(A25,'Source Ledger'!$B$5:$B$133,'Source Ledger'!$E$5:$E$133),"")</f>
        <v>930</v>
      </c>
      <c r="E25" s="7">
        <f>IF(OR(C25="",D25=""),"",D25-C25)</f>
        <v>140</v>
      </c>
      <c r="F25" s="7">
        <f>IFERROR(XLOOKUP(A25,'Corrected Register'!$A$5:$A$136,'Corrected Register'!$N$5:$N$136),"")</f>
        <v>514.88</v>
      </c>
      <c r="G25" s="7">
        <f>IFERROR(XLOOKUP(A25,'Source Ledger'!$B$5:$B$133,'Source Ledger'!$G$5:$G$133),"")</f>
        <v>514.88</v>
      </c>
      <c r="H25" s="7" t="inlineStr">
        <is>
          <t>Ledger FA-000034 cost exceeds register by $140. Validate against PO-2023-0006.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Register'!$A$5:$A$136,'Corrected Register'!$M$5:$M$136),"")</f>
        <v>1040</v>
      </c>
      <c r="D26" s="7">
        <f>IFERROR(XLOOKUP(A26,'Source Ledger'!$B$5:$B$133,'Source Ledger'!$E$5:$E$133),"")</f>
        <v>1250</v>
      </c>
      <c r="E26" s="7">
        <f>IF(OR(C26="",D26=""),"",D26-C26)</f>
        <v>210</v>
      </c>
      <c r="F26" s="7">
        <f>IFERROR(XLOOKUP(A26,'Corrected Register'!$A$5:$A$136,'Corrected Register'!$N$5:$N$136),"")</f>
        <v>573.03</v>
      </c>
      <c r="G26" s="7">
        <f>IFERROR(XLOOKUP(A26,'Source Ledger'!$B$5:$B$133,'Source Ledger'!$G$5:$G$133),"")</f>
        <v>573.03</v>
      </c>
      <c r="H26" s="7" t="inlineStr">
        <is>
          <t>Ledger FA-000051 cost exceeds register by $210. Validate against PO-2022-0009.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Register'!$A$5:$A$136,'Corrected Register'!$M$5:$M$136),"")</f>
        <v>6425</v>
      </c>
      <c r="D27" s="7">
        <f>IFERROR(XLOOKUP(A27,'Source Ledger'!$B$5:$B$133,'Source Ledger'!$E$5:$E$133),"")</f>
        <v>6480</v>
      </c>
      <c r="E27" s="7">
        <f>IF(OR(C27="",D27=""),"",D27-C27)</f>
        <v>55</v>
      </c>
      <c r="F27" s="7">
        <f>IFERROR(XLOOKUP(A27,'Corrected Register'!$A$5:$A$136,'Corrected Register'!$N$5:$N$136),"")</f>
        <v>1436.28</v>
      </c>
      <c r="G27" s="7">
        <f>IFERROR(XLOOKUP(A27,'Source Ledger'!$B$5:$B$133,'Source Ledger'!$G$5:$G$133),"")</f>
        <v>1436.28</v>
      </c>
      <c r="H27" s="7" t="inlineStr">
        <is>
          <t>Ledger FA-000068 cost exceeds register by $55. Validate against PO-2025-0012.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Register'!$A$5:$A$136,'Corrected Register'!$M$5:$M$136),"")</f>
        <v>1895</v>
      </c>
      <c r="D28" s="7">
        <f>IFERROR(XLOOKUP(A28,'Source Ledger'!$B$5:$B$133,'Source Ledger'!$E$5:$E$133),"")</f>
        <v>2090</v>
      </c>
      <c r="E28" s="7">
        <f>IF(OR(C28="",D28=""),"",D28-C28)</f>
        <v>195</v>
      </c>
      <c r="F28" s="7">
        <f>IFERROR(XLOOKUP(A28,'Corrected Register'!$A$5:$A$136,'Corrected Register'!$N$5:$N$136),"")</f>
        <v>0</v>
      </c>
      <c r="G28" s="7">
        <f>IFERROR(XLOOKUP(A28,'Source Ledger'!$B$5:$B$133,'Source Ledger'!$G$5:$G$133),"")</f>
        <v>0</v>
      </c>
      <c r="H28" s="7" t="inlineStr">
        <is>
          <t>Ledger FA-000085 cost exceeds register by $195. Validate against PO-2024-0015.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Register'!$A$5:$A$136,'Corrected Register'!$M$5:$M$136),"")</f>
        <v>700</v>
      </c>
      <c r="D29" s="7">
        <f>IFERROR(XLOOKUP(A29,'Source Ledger'!$B$5:$B$133,'Source Ledger'!$E$5:$E$133),"")</f>
        <v>820</v>
      </c>
      <c r="E29" s="7">
        <f>IF(OR(C29="",D29=""),"",D29-C29)</f>
        <v>120</v>
      </c>
      <c r="F29" s="7">
        <f>IFERROR(XLOOKUP(A29,'Corrected Register'!$A$5:$A$136,'Corrected Register'!$N$5:$N$136),"")</f>
        <v>407.54</v>
      </c>
      <c r="G29" s="7">
        <f>IFERROR(XLOOKUP(A29,'Source Ledger'!$B$5:$B$133,'Source Ledger'!$G$5:$G$133),"")</f>
        <v>407.54</v>
      </c>
      <c r="H29" s="7" t="inlineStr">
        <is>
          <t>Ledger FA-000102 cost exceeds register by $120. Validate against PO-2022-0017.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Register'!$A$5:$A$136,'Corrected Register'!$M$5:$M$136),"")</f>
        <v>610</v>
      </c>
      <c r="D30" s="7">
        <f>IFERROR(XLOOKUP(A30,'Source Ledger'!$B$5:$B$133,'Source Ledger'!$E$5:$E$133),"")</f>
        <v>610</v>
      </c>
      <c r="E30" s="7">
        <f>IF(OR(C30="",D30=""),"",D30-C30)</f>
        <v>0</v>
      </c>
      <c r="F30" s="7">
        <f>IFERROR(XLOOKUP(A30,'Corrected Register'!$A$5:$A$136,'Corrected Register'!$N$5:$N$136),"")</f>
        <v>0</v>
      </c>
      <c r="G30" s="7">
        <f>IFERROR(XLOOKUP(A30,'Source Ledger'!$B$5:$B$133,'Source Ledger'!$G$5:$G$133),"")</f>
        <v>0</v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Register'!$A$5:$A$136,'Corrected Register'!$M$5:$M$136),"")</f>
        <v>790</v>
      </c>
      <c r="D31" s="7">
        <f>IFERROR(XLOOKUP(A31,'Source Ledger'!$B$5:$B$133,'Source Ledger'!$E$5:$E$133),"")</f>
        <v>790</v>
      </c>
      <c r="E31" s="7">
        <f>IF(OR(C31="",D31=""),"",D31-C31)</f>
        <v>0</v>
      </c>
      <c r="F31" s="7">
        <f>IFERROR(XLOOKUP(A31,'Corrected Register'!$A$5:$A$136,'Corrected Register'!$N$5:$N$136),"")</f>
        <v>0</v>
      </c>
      <c r="G31" s="7">
        <f>IFERROR(XLOOKUP(A31,'Source Ledger'!$B$5:$B$133,'Source Ledger'!$G$5:$G$133),"")</f>
        <v>0</v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Register'!$A$5:$A$136,'Corrected Register'!$M$5:$M$136),"")</f>
        <v>950</v>
      </c>
      <c r="D32" s="7">
        <f>IFERROR(XLOOKUP(A32,'Source Ledger'!$B$5:$B$133,'Source Ledger'!$E$5:$E$133),"")</f>
        <v>1115</v>
      </c>
      <c r="E32" s="7">
        <f>IF(OR(C32="",D32=""),"",D32-C32)</f>
        <v>165</v>
      </c>
      <c r="F32" s="7">
        <f>IFERROR(XLOOKUP(A32,'Corrected Register'!$A$5:$A$136,'Corrected Register'!$N$5:$N$136),"")</f>
        <v>0</v>
      </c>
      <c r="G32" s="7">
        <f>IFERROR(XLOOKUP(A32,'Source Ledger'!$B$5:$B$133,'Source Ledger'!$G$5:$G$133),"")</f>
        <v>0</v>
      </c>
      <c r="H32" s="7" t="inlineStr">
        <is>
          <t>Ledger FA-000119 cost exceeds register by $165. Validate against PO-2025-0020.</t>
        </is>
      </c>
    </row>
    <row r="33">
      <c r="A33" s="7" t="inlineStr">
        <is>
          <t>MD-00130</t>
        </is>
      </c>
      <c r="B33" s="7" t="inlineStr">
        <is>
          <t>Below capitalization threshold — ledger absence expected</t>
        </is>
      </c>
      <c r="C33" s="7">
        <f>IFERROR(XLOOKUP(A33,'Corrected Register'!$A$5:$A$136,'Corrected Register'!$M$5:$M$136),"")</f>
        <v>700</v>
      </c>
      <c r="D33" s="7">
        <f>IFERROR(XLOOKUP(A33,'Source Ledger'!$B$5:$B$133,'Source Ledger'!$E$5:$E$133),"")</f>
        <v/>
      </c>
      <c r="E33" s="7">
        <f>IF(OR(C33="",D33=""),"",D33-C33)</f>
        <v/>
      </c>
      <c r="F33" s="7">
        <f>IFERROR(XLOOKUP(A33,'Corrected Register'!$A$5:$A$136,'Corrected Register'!$N$5:$N$136),"")</f>
        <v/>
      </c>
      <c r="G33" s="7">
        <f>IFERROR(XLOOKUP(A33,'Source Ledger'!$B$5:$B$133,'Source Ledger'!$G$5:$G$133),"")</f>
        <v/>
      </c>
      <c r="H33" s="7" t="inlineStr">
        <is>
          <t>Register cost below $2,500. PO-2023-0022 capitalization_approved does not create an FA expectation. Informational only under ITAM-001 §7.</t>
        </is>
      </c>
    </row>
    <row r="34">
      <c r="A34" s="7" t="inlineStr">
        <is>
          <t>MD-00131</t>
        </is>
      </c>
      <c r="B34" s="7" t="inlineStr">
        <is>
          <t>Below capitalization threshold — ledger absence expected</t>
        </is>
      </c>
      <c r="C34" s="7">
        <f>IFERROR(XLOOKUP(A34,'Corrected Register'!$A$5:$A$136,'Corrected Register'!$M$5:$M$136),"")</f>
        <v>1175</v>
      </c>
      <c r="D34" s="7">
        <f>IFERROR(XLOOKUP(A34,'Source Ledger'!$B$5:$B$133,'Source Ledger'!$E$5:$E$133),"")</f>
        <v/>
      </c>
      <c r="E34" s="7">
        <f>IF(OR(C34="",D34=""),"",D34-C34)</f>
        <v/>
      </c>
      <c r="F34" s="7">
        <f>IFERROR(XLOOKUP(A34,'Corrected Register'!$A$5:$A$136,'Corrected Register'!$N$5:$N$136),"")</f>
        <v/>
      </c>
      <c r="G34" s="7">
        <f>IFERROR(XLOOKUP(A34,'Source Ledger'!$B$5:$B$133,'Source Ledger'!$G$5:$G$133),"")</f>
        <v/>
      </c>
      <c r="H34" s="7" t="inlineStr">
        <is>
          <t>Register cost below $2,500. PO-2023-0022 capitalization_approved does not create an FA expectation. Informational only under ITAM-001 §7.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Register'!$A$5:$A$136,'Corrected Register'!$M$5:$M$136),"")</f>
        <v>6470</v>
      </c>
      <c r="D35" s="7">
        <f>IFERROR(XLOOKUP(A35,'Source Ledger'!$B$5:$B$133,'Source Ledger'!$E$5:$E$133),"")</f>
        <v/>
      </c>
      <c r="E35" s="7">
        <f>IF(OR(C35="",D35=""),"",D35-C35)</f>
        <v/>
      </c>
      <c r="F35" s="7">
        <f>IFERROR(XLOOKUP(A35,'Corrected Register'!$A$5:$A$136,'Corrected Register'!$N$5:$N$136),"")</f>
        <v/>
      </c>
      <c r="G35" s="7">
        <f>IFERROR(XLOOKUP(A35,'Source Ledger'!$B$5:$B$133,'Source Ledger'!$G$5:$G$133),"")</f>
        <v/>
      </c>
      <c r="H35" s="7" t="inlineStr">
        <is>
          <t>No FA record for $6,470 network asset. Critical under ITAM-001 §7. Reject RN-0132 under-threshold claim.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1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3" t="inlineStr">
        <is>
          <t>Section</t>
        </is>
      </c>
      <c r="B4" s="3" t="inlineStr">
        <is>
          <t>Determination</t>
        </is>
      </c>
      <c r="C4" s="3" t="inlineStr">
        <is>
          <t>Scope / Count</t>
        </is>
      </c>
      <c r="D4" s="3" t="inlineStr">
        <is>
          <t>Evidence Basis</t>
        </is>
      </c>
      <c r="E4" s="3" t="inlineStr">
        <is>
          <t>Owner</t>
        </is>
      </c>
      <c r="F4" s="3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(MD-00089–MD-00100).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MD-00101–MD-00110)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1" t="inlineStr">
        <is>
          <t>Evidence Index — Source Systems of Record</t>
        </is>
      </c>
    </row>
    <row r="3">
      <c r="A3" s="3" t="inlineStr">
        <is>
          <t>Source File</t>
        </is>
      </c>
      <c r="B3" s="3" t="inlineStr">
        <is>
          <t>Role</t>
        </is>
      </c>
      <c r="C3" s="3" t="inlineStr">
        <is>
          <t>Key Fields Used</t>
        </is>
      </c>
      <c r="D3" s="3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v3.3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Reconciliation Methodology</t>
        </is>
      </c>
    </row>
    <row r="3">
      <c r="A3" s="3" t="inlineStr">
        <is>
          <t>Step</t>
        </is>
      </c>
      <c r="B3" s="3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Etienne Fokou</dc:creator>
  <dcterms:created xmlns:dcterms="http://purl.org/dc/terms/" xmlns:xsi="http://www.w3.org/2001/XMLSchema-instance" xsi:type="dcterms:W3CDTF">2026-08-09T22:46:44Z</dcterms:created>
  <dcterms:modified xmlns:dcterms="http://purl.org/dc/terms/" xmlns:xsi="http://www.w3.org/2001/XMLSchema-instance" xsi:type="dcterms:W3CDTF">2026-08-20T00:06:06Z</dcterms:modified>
</cp:coreProperties>
</file>