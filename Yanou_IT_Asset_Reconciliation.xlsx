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Ledger" sheetId="1" state="visible" r:id="rId1"/>
    <sheet xmlns:r="http://schemas.openxmlformats.org/officeDocument/2006/relationships" name="Source Inventory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Corrected Register" sheetId="4" state="visible" r:id="rId4"/>
    <sheet xmlns:r="http://schemas.openxmlformats.org/officeDocument/2006/relationships" name="Exception Register" sheetId="5" state="visible" r:id="rId5"/>
    <sheet xmlns:r="http://schemas.openxmlformats.org/officeDocument/2006/relationships" name="Custody Chain" sheetId="6" state="visible" r:id="rId6"/>
    <sheet xmlns:r="http://schemas.openxmlformats.org/officeDocument/2006/relationships" name="Ledger Reconciliation" sheetId="7" state="visible" r:id="rId7"/>
    <sheet xmlns:r="http://schemas.openxmlformats.org/officeDocument/2006/relationships" name="Certification" sheetId="8" state="visible" r:id="rId8"/>
    <sheet xmlns:r="http://schemas.openxmlformats.org/officeDocument/2006/relationships" name="Evidence Index" sheetId="9" state="visible" r:id="rId9"/>
    <sheet xmlns:r="http://schemas.openxmlformats.org/officeDocument/2006/relationships" name="Methodolog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F4E79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990000"/>
      <sz val="11"/>
    </font>
    <font>
      <b val="1"/>
      <color rgb="001F4E79"/>
      <sz val="12"/>
    </font>
    <font>
      <b val="1"/>
      <color rgb="00FFFFFF"/>
    </font>
    <font>
      <b val="1"/>
    </font>
    <font>
      <b val="1"/>
      <color rgb="00FFF8F0"/>
    </font>
  </fonts>
  <fills count="13">
    <fill>
      <patternFill/>
    </fill>
    <fill>
      <patternFill patternType="gray125"/>
    </fill>
    <fill>
      <patternFill patternType="solid">
        <fgColor rgb="000B2E4F"/>
      </patternFill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FF2CC"/>
      </patternFill>
    </fill>
    <fill>
      <patternFill patternType="solid">
        <fgColor rgb="00EA9999"/>
      </patternFill>
    </fill>
    <fill>
      <patternFill patternType="solid">
        <fgColor rgb="003B2F2A"/>
        <bgColor rgb="003B2F2A"/>
      </patternFill>
    </fill>
    <fill>
      <patternFill patternType="solid">
        <fgColor rgb="005C4A3A"/>
        <bgColor rgb="005C4A3A"/>
      </patternFill>
    </fill>
    <fill>
      <patternFill patternType="solid">
        <fgColor rgb="003B2F2A"/>
      </patternFill>
    </fill>
  </fills>
  <borders count="3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pivotButton="0" quotePrefix="0" xfId="0"/>
    <xf numFmtId="0" fontId="4" fillId="4" borderId="0" pivotButton="0" quotePrefix="0" xfId="0"/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5" fillId="0" borderId="1" applyAlignment="1" pivotButton="0" quotePrefix="0" xfId="0">
      <alignment wrapText="1"/>
    </xf>
    <xf numFmtId="164" fontId="0" fillId="0" borderId="0" pivotButton="0" quotePrefix="0" xfId="0"/>
    <xf numFmtId="0" fontId="7" fillId="0" borderId="0" pivotButton="0" quotePrefix="0" xfId="0"/>
    <xf numFmtId="0" fontId="8" fillId="3" borderId="2" pivotButton="0" quotePrefix="0" xfId="0"/>
    <xf numFmtId="0" fontId="9" fillId="8" borderId="2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10" borderId="0" pivotButton="0" quotePrefix="0" xfId="0"/>
    <xf numFmtId="0" fontId="3" fillId="11" borderId="1" applyAlignment="1" pivotButton="0" quotePrefix="0" xfId="0">
      <alignment vertical="center" wrapText="1"/>
    </xf>
    <xf numFmtId="0" fontId="1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Yanou &amp; Partners IT Services - Fixed Asset Ledger</t>
        </is>
      </c>
    </row>
    <row r="2">
      <c r="A2" t="inlineStr">
        <is>
          <t>Accounting extract | As of 2026-08-09</t>
        </is>
      </c>
    </row>
    <row r="3"/>
    <row r="4">
      <c r="A4" t="inlineStr">
        <is>
          <t>Ledger Asset ID</t>
        </is>
      </c>
      <c r="B4" t="inlineStr">
        <is>
          <t>Asset Tag</t>
        </is>
      </c>
      <c r="C4" t="inlineStr">
        <is>
          <t>Serial Number</t>
        </is>
      </c>
      <c r="D4" t="inlineStr">
        <is>
          <t>Capitalized</t>
        </is>
      </c>
      <c r="E4" t="inlineStr">
        <is>
          <t>Acquisition Cost</t>
        </is>
      </c>
      <c r="F4" t="inlineStr">
        <is>
          <t>Accumulated Depreciation</t>
        </is>
      </c>
      <c r="G4" t="inlineStr">
        <is>
          <t>Net Book Value</t>
        </is>
      </c>
      <c r="H4" t="inlineStr">
        <is>
          <t>Ledger Status</t>
        </is>
      </c>
      <c r="I4" t="inlineStr">
        <is>
          <t>As-of Date</t>
        </is>
      </c>
    </row>
    <row r="5">
      <c r="A5" t="inlineStr">
        <is>
          <t>FA-000001</t>
        </is>
      </c>
      <c r="B5" t="inlineStr">
        <is>
          <t>MD-00001</t>
        </is>
      </c>
      <c r="C5" t="inlineStr">
        <is>
          <t>MD-LA-050001</t>
        </is>
      </c>
      <c r="D5" t="inlineStr">
        <is>
          <t>No</t>
        </is>
      </c>
      <c r="E5" t="n">
        <v>1895</v>
      </c>
      <c r="F5" t="n">
        <v>1895</v>
      </c>
      <c r="G5" t="n">
        <v>0</v>
      </c>
      <c r="H5" t="inlineStr">
        <is>
          <t>Active</t>
        </is>
      </c>
      <c r="I5" s="18" t="n">
        <v>46243.5</v>
      </c>
    </row>
    <row r="6">
      <c r="A6" t="inlineStr">
        <is>
          <t>FA-000002</t>
        </is>
      </c>
      <c r="B6" t="inlineStr">
        <is>
          <t>MD-00002</t>
        </is>
      </c>
      <c r="C6" t="inlineStr">
        <is>
          <t>MD-MO-050002</t>
        </is>
      </c>
      <c r="D6" t="inlineStr">
        <is>
          <t>No</t>
        </is>
      </c>
      <c r="E6" t="n">
        <v>610</v>
      </c>
      <c r="F6" t="n">
        <v>296.94</v>
      </c>
      <c r="G6" t="n">
        <v>313.06</v>
      </c>
      <c r="H6" t="inlineStr">
        <is>
          <t>Active</t>
        </is>
      </c>
      <c r="I6" s="18" t="n">
        <v>46243.5</v>
      </c>
    </row>
    <row r="7">
      <c r="A7" t="inlineStr">
        <is>
          <t>FA-000003</t>
        </is>
      </c>
      <c r="B7" t="inlineStr">
        <is>
          <t>MD-00003</t>
        </is>
      </c>
      <c r="C7" t="inlineStr">
        <is>
          <t>MD-MO-050003</t>
        </is>
      </c>
      <c r="D7" t="inlineStr">
        <is>
          <t>No</t>
        </is>
      </c>
      <c r="E7" t="n">
        <v>1085</v>
      </c>
      <c r="F7" t="n">
        <v>487.17</v>
      </c>
      <c r="G7" t="n">
        <v>597.83</v>
      </c>
      <c r="H7" t="inlineStr">
        <is>
          <t>Active</t>
        </is>
      </c>
      <c r="I7" s="18" t="n">
        <v>46243.5</v>
      </c>
    </row>
    <row r="8">
      <c r="A8" t="inlineStr">
        <is>
          <t>FA-000004</t>
        </is>
      </c>
      <c r="B8" t="inlineStr">
        <is>
          <t>MD-00004</t>
        </is>
      </c>
      <c r="C8" t="inlineStr">
        <is>
          <t>MD-NE-050004</t>
        </is>
      </c>
      <c r="D8" t="inlineStr">
        <is>
          <t>Yes</t>
        </is>
      </c>
      <c r="E8" t="n">
        <v>6380</v>
      </c>
      <c r="F8" t="n">
        <v>5439.38</v>
      </c>
      <c r="G8" t="n">
        <v>940.62</v>
      </c>
      <c r="H8" t="inlineStr">
        <is>
          <t>Active</t>
        </is>
      </c>
      <c r="I8" s="18" t="n">
        <v>46243.5</v>
      </c>
    </row>
    <row r="9">
      <c r="A9" t="inlineStr">
        <is>
          <t>FA-000005</t>
        </is>
      </c>
      <c r="B9" t="inlineStr">
        <is>
          <t>MD-00005</t>
        </is>
      </c>
      <c r="C9" t="inlineStr">
        <is>
          <t>MD-LA-050005</t>
        </is>
      </c>
      <c r="D9" t="inlineStr">
        <is>
          <t>No</t>
        </is>
      </c>
      <c r="E9" t="n">
        <v>2075</v>
      </c>
      <c r="F9" t="n">
        <v>2075</v>
      </c>
      <c r="G9" t="n">
        <v>0</v>
      </c>
      <c r="H9" t="inlineStr">
        <is>
          <t>Active</t>
        </is>
      </c>
      <c r="I9" s="18" t="n">
        <v>46243.5</v>
      </c>
    </row>
    <row r="10">
      <c r="A10" t="inlineStr">
        <is>
          <t>FA-000006</t>
        </is>
      </c>
      <c r="B10" t="inlineStr">
        <is>
          <t>MD-00006</t>
        </is>
      </c>
      <c r="C10" t="inlineStr">
        <is>
          <t>MD-MO-050006</t>
        </is>
      </c>
      <c r="D10" t="inlineStr">
        <is>
          <t>No</t>
        </is>
      </c>
      <c r="E10" t="n">
        <v>790</v>
      </c>
      <c r="F10" t="n">
        <v>330.06</v>
      </c>
      <c r="G10" t="n">
        <v>459.94</v>
      </c>
      <c r="H10" t="inlineStr">
        <is>
          <t>Active</t>
        </is>
      </c>
      <c r="I10" s="18" t="n">
        <v>46243.5</v>
      </c>
    </row>
    <row r="11">
      <c r="A11" t="inlineStr">
        <is>
          <t>FA-000007</t>
        </is>
      </c>
      <c r="B11" t="inlineStr">
        <is>
          <t>MD-00007</t>
        </is>
      </c>
      <c r="C11" t="inlineStr">
        <is>
          <t>MD-MO-050007</t>
        </is>
      </c>
      <c r="D11" t="inlineStr">
        <is>
          <t>No</t>
        </is>
      </c>
      <c r="E11" t="n">
        <v>950</v>
      </c>
      <c r="F11" t="n">
        <v>317.32</v>
      </c>
      <c r="G11" t="n">
        <v>632.6799999999999</v>
      </c>
      <c r="H11" t="inlineStr">
        <is>
          <t>Active</t>
        </is>
      </c>
      <c r="I11" s="18" t="n">
        <v>46243.5</v>
      </c>
    </row>
    <row r="12">
      <c r="A12" t="inlineStr">
        <is>
          <t>FA-000008</t>
        </is>
      </c>
      <c r="B12" t="inlineStr">
        <is>
          <t>MD-00008</t>
        </is>
      </c>
      <c r="C12" t="inlineStr">
        <is>
          <t>MD-NE-050008</t>
        </is>
      </c>
      <c r="D12" t="inlineStr">
        <is>
          <t>Yes</t>
        </is>
      </c>
      <c r="E12" t="n">
        <v>6245</v>
      </c>
      <c r="F12" t="n">
        <v>4889.99</v>
      </c>
      <c r="G12" t="n">
        <v>1355.01</v>
      </c>
      <c r="H12" t="inlineStr">
        <is>
          <t>Active</t>
        </is>
      </c>
      <c r="I12" s="18" t="n">
        <v>46243.5</v>
      </c>
    </row>
    <row r="13">
      <c r="A13" t="inlineStr">
        <is>
          <t>FA-000009</t>
        </is>
      </c>
      <c r="B13" t="inlineStr">
        <is>
          <t>MD-00009</t>
        </is>
      </c>
      <c r="C13" t="inlineStr">
        <is>
          <t>MD-LA-050009</t>
        </is>
      </c>
      <c r="D13" t="inlineStr">
        <is>
          <t>No</t>
        </is>
      </c>
      <c r="E13" t="n">
        <v>1940</v>
      </c>
      <c r="F13" t="n">
        <v>1830.67</v>
      </c>
      <c r="G13" t="n">
        <v>109.33</v>
      </c>
      <c r="H13" t="inlineStr">
        <is>
          <t>Active</t>
        </is>
      </c>
      <c r="I13" s="18" t="n">
        <v>46243.5</v>
      </c>
    </row>
    <row r="14">
      <c r="A14" t="inlineStr">
        <is>
          <t>FA-000010</t>
        </is>
      </c>
      <c r="B14" t="inlineStr">
        <is>
          <t>MD-00010</t>
        </is>
      </c>
      <c r="C14" t="inlineStr">
        <is>
          <t>MD-MO-050010</t>
        </is>
      </c>
      <c r="D14" t="inlineStr">
        <is>
          <t>No</t>
        </is>
      </c>
      <c r="E14" t="n">
        <v>655</v>
      </c>
      <c r="F14" t="n">
        <v>228.11</v>
      </c>
      <c r="G14" t="n">
        <v>426.89</v>
      </c>
      <c r="H14" t="inlineStr">
        <is>
          <t>Active</t>
        </is>
      </c>
      <c r="I14" s="18" t="n">
        <v>46243.5</v>
      </c>
    </row>
    <row r="15">
      <c r="A15" t="inlineStr">
        <is>
          <t>FA-000011</t>
        </is>
      </c>
      <c r="B15" t="inlineStr">
        <is>
          <t>MD-00011</t>
        </is>
      </c>
      <c r="C15" t="inlineStr">
        <is>
          <t>MD-MO-050011</t>
        </is>
      </c>
      <c r="D15" t="inlineStr">
        <is>
          <t>No</t>
        </is>
      </c>
      <c r="E15" t="n">
        <v>1130</v>
      </c>
      <c r="F15" t="n">
        <v>247.5</v>
      </c>
      <c r="G15" t="n">
        <v>882.5</v>
      </c>
      <c r="H15" t="inlineStr">
        <is>
          <t>Active</t>
        </is>
      </c>
      <c r="I15" s="18" t="n">
        <v>46243.5</v>
      </c>
    </row>
    <row r="16">
      <c r="A16" t="inlineStr">
        <is>
          <t>FA-000012</t>
        </is>
      </c>
      <c r="B16" t="inlineStr">
        <is>
          <t>MD-00012</t>
        </is>
      </c>
      <c r="C16" t="inlineStr">
        <is>
          <t>MD-NE-050012</t>
        </is>
      </c>
      <c r="D16" t="inlineStr">
        <is>
          <t>Yes</t>
        </is>
      </c>
      <c r="E16" t="n">
        <v>6425</v>
      </c>
      <c r="F16" t="n">
        <v>5871.77</v>
      </c>
      <c r="G16" t="n">
        <v>553.23</v>
      </c>
      <c r="H16" t="inlineStr">
        <is>
          <t>Active</t>
        </is>
      </c>
      <c r="I16" s="18" t="n">
        <v>46243.5</v>
      </c>
    </row>
    <row r="17">
      <c r="A17" t="inlineStr">
        <is>
          <t>FA-000013</t>
        </is>
      </c>
      <c r="B17" t="inlineStr">
        <is>
          <t>MD-00013</t>
        </is>
      </c>
      <c r="C17" t="inlineStr">
        <is>
          <t>MD-LA-050013</t>
        </is>
      </c>
      <c r="D17" t="inlineStr">
        <is>
          <t>No</t>
        </is>
      </c>
      <c r="E17" t="n">
        <v>2120</v>
      </c>
      <c r="F17" t="n">
        <v>2120</v>
      </c>
      <c r="G17" t="n">
        <v>0</v>
      </c>
      <c r="H17" t="inlineStr">
        <is>
          <t>Active</t>
        </is>
      </c>
      <c r="I17" s="18" t="n">
        <v>46243.5</v>
      </c>
    </row>
    <row r="18">
      <c r="A18" t="inlineStr">
        <is>
          <t>FA-000014</t>
        </is>
      </c>
      <c r="B18" t="inlineStr">
        <is>
          <t>MD-00014</t>
        </is>
      </c>
      <c r="C18" t="inlineStr">
        <is>
          <t>MD-MO-050014</t>
        </is>
      </c>
      <c r="D18" t="inlineStr">
        <is>
          <t>No</t>
        </is>
      </c>
      <c r="E18" t="n">
        <v>520</v>
      </c>
      <c r="F18" t="n">
        <v>249.71</v>
      </c>
      <c r="G18" t="n">
        <v>270.29</v>
      </c>
      <c r="H18" t="inlineStr">
        <is>
          <t>Active</t>
        </is>
      </c>
      <c r="I18" s="18" t="n">
        <v>46243.5</v>
      </c>
    </row>
    <row r="19">
      <c r="A19" t="inlineStr">
        <is>
          <t>FA-000015</t>
        </is>
      </c>
      <c r="B19" t="inlineStr">
        <is>
          <t>MD-00015</t>
        </is>
      </c>
      <c r="C19" t="inlineStr">
        <is>
          <t>MD-MO-050015</t>
        </is>
      </c>
      <c r="D19" t="inlineStr">
        <is>
          <t>No</t>
        </is>
      </c>
      <c r="E19" t="n">
        <v>995</v>
      </c>
      <c r="F19" t="n">
        <v>435.87</v>
      </c>
      <c r="G19" t="n">
        <v>559.13</v>
      </c>
      <c r="H19" t="inlineStr">
        <is>
          <t>Active</t>
        </is>
      </c>
      <c r="I19" s="18" t="n">
        <v>46243.5</v>
      </c>
    </row>
    <row r="20">
      <c r="A20" t="inlineStr">
        <is>
          <t>FA-000016</t>
        </is>
      </c>
      <c r="B20" t="inlineStr">
        <is>
          <t>MD-00016</t>
        </is>
      </c>
      <c r="C20" t="inlineStr">
        <is>
          <t>MD-NE-050016</t>
        </is>
      </c>
      <c r="D20" t="inlineStr">
        <is>
          <t>Yes</t>
        </is>
      </c>
      <c r="E20" t="n">
        <v>6290</v>
      </c>
      <c r="F20" t="n">
        <v>5321.31</v>
      </c>
      <c r="G20" t="n">
        <v>968.6900000000001</v>
      </c>
      <c r="H20" t="inlineStr">
        <is>
          <t>Active</t>
        </is>
      </c>
      <c r="I20" s="18" t="n">
        <v>46243.5</v>
      </c>
    </row>
    <row r="21">
      <c r="A21" t="inlineStr">
        <is>
          <t>FA-000017</t>
        </is>
      </c>
      <c r="B21" t="inlineStr">
        <is>
          <t>MD-00017</t>
        </is>
      </c>
      <c r="C21" t="inlineStr">
        <is>
          <t>MD-LA-050017</t>
        </is>
      </c>
      <c r="D21" t="inlineStr">
        <is>
          <t>No</t>
        </is>
      </c>
      <c r="E21" t="n">
        <v>2070</v>
      </c>
      <c r="F21" t="n">
        <v>2160</v>
      </c>
      <c r="G21" t="n">
        <v>0</v>
      </c>
      <c r="H21" t="inlineStr">
        <is>
          <t>Active</t>
        </is>
      </c>
      <c r="I21" s="18" t="n">
        <v>46243.5</v>
      </c>
    </row>
    <row r="22">
      <c r="A22" t="inlineStr">
        <is>
          <t>FA-000018</t>
        </is>
      </c>
      <c r="B22" t="inlineStr">
        <is>
          <t>MD-00018</t>
        </is>
      </c>
      <c r="C22" t="inlineStr">
        <is>
          <t>MD-MO-050018</t>
        </is>
      </c>
      <c r="D22" t="inlineStr">
        <is>
          <t>No</t>
        </is>
      </c>
      <c r="E22" t="n">
        <v>700</v>
      </c>
      <c r="F22" t="n">
        <v>287.86</v>
      </c>
      <c r="G22" t="n">
        <v>412.14</v>
      </c>
      <c r="H22" t="inlineStr">
        <is>
          <t>Active</t>
        </is>
      </c>
      <c r="I22" s="18" t="n">
        <v>46243.5</v>
      </c>
    </row>
    <row r="23">
      <c r="A23" t="inlineStr">
        <is>
          <t>FA-000019</t>
        </is>
      </c>
      <c r="B23" t="inlineStr">
        <is>
          <t>MD-00019</t>
        </is>
      </c>
      <c r="C23" t="inlineStr">
        <is>
          <t>MD-MO-050019</t>
        </is>
      </c>
      <c r="D23" t="inlineStr">
        <is>
          <t>No</t>
        </is>
      </c>
      <c r="E23" t="n">
        <v>1175</v>
      </c>
      <c r="F23" t="n">
        <v>379.6</v>
      </c>
      <c r="G23" t="n">
        <v>795.4</v>
      </c>
      <c r="H23" t="inlineStr">
        <is>
          <t>Active</t>
        </is>
      </c>
      <c r="I23" s="18" t="n">
        <v>46243.5</v>
      </c>
    </row>
    <row r="24">
      <c r="A24" t="inlineStr">
        <is>
          <t>FA-000020</t>
        </is>
      </c>
      <c r="B24" t="inlineStr">
        <is>
          <t>MD-00020</t>
        </is>
      </c>
      <c r="C24" t="inlineStr">
        <is>
          <t>MD-NE-050020</t>
        </is>
      </c>
      <c r="D24" t="inlineStr">
        <is>
          <t>Yes</t>
        </is>
      </c>
      <c r="E24" t="n">
        <v>6470</v>
      </c>
      <c r="F24" t="n">
        <v>5023.66</v>
      </c>
      <c r="G24" t="n">
        <v>1446.34</v>
      </c>
      <c r="H24" t="inlineStr">
        <is>
          <t>Active</t>
        </is>
      </c>
      <c r="I24" s="18" t="n">
        <v>46243.5</v>
      </c>
    </row>
    <row r="25">
      <c r="A25" t="inlineStr">
        <is>
          <t>FA-000021</t>
        </is>
      </c>
      <c r="B25" t="inlineStr">
        <is>
          <t>MD-00021</t>
        </is>
      </c>
      <c r="C25" t="inlineStr">
        <is>
          <t>MD-LA-050021</t>
        </is>
      </c>
      <c r="D25" t="inlineStr">
        <is>
          <t>No</t>
        </is>
      </c>
      <c r="E25" t="n">
        <v>1850</v>
      </c>
      <c r="F25" t="n">
        <v>1725.48</v>
      </c>
      <c r="G25" t="n">
        <v>124.52</v>
      </c>
      <c r="H25" t="inlineStr">
        <is>
          <t>Active</t>
        </is>
      </c>
      <c r="I25" s="18" t="n">
        <v>46243.5</v>
      </c>
    </row>
    <row r="26">
      <c r="A26" t="inlineStr">
        <is>
          <t>FA-000022</t>
        </is>
      </c>
      <c r="B26" t="inlineStr">
        <is>
          <t>MD-00022</t>
        </is>
      </c>
      <c r="C26" t="inlineStr">
        <is>
          <t>MD-MO-050022</t>
        </is>
      </c>
      <c r="D26" t="inlineStr">
        <is>
          <t>No</t>
        </is>
      </c>
      <c r="E26" t="n">
        <v>565</v>
      </c>
      <c r="F26" t="n">
        <v>193.05</v>
      </c>
      <c r="G26" t="n">
        <v>371.95</v>
      </c>
      <c r="H26" t="inlineStr">
        <is>
          <t>Active</t>
        </is>
      </c>
      <c r="I26" s="18" t="n">
        <v>46243.5</v>
      </c>
    </row>
    <row r="27">
      <c r="A27" t="inlineStr">
        <is>
          <t>FA-000023</t>
        </is>
      </c>
      <c r="B27" t="inlineStr">
        <is>
          <t>MD-00023</t>
        </is>
      </c>
      <c r="C27" t="inlineStr">
        <is>
          <t>MD-MO-050023</t>
        </is>
      </c>
      <c r="D27" t="inlineStr">
        <is>
          <t>No</t>
        </is>
      </c>
      <c r="E27" t="n">
        <v>1040</v>
      </c>
      <c r="F27" t="n">
        <v>216.4</v>
      </c>
      <c r="G27" t="n">
        <v>823.6</v>
      </c>
      <c r="H27" t="inlineStr">
        <is>
          <t>Active</t>
        </is>
      </c>
      <c r="I27" s="18" t="n">
        <v>46243.5</v>
      </c>
    </row>
    <row r="28">
      <c r="A28" t="inlineStr">
        <is>
          <t>FA-000024</t>
        </is>
      </c>
      <c r="B28" t="inlineStr">
        <is>
          <t>MD-00024</t>
        </is>
      </c>
      <c r="C28" t="inlineStr">
        <is>
          <t>MD-NE-050024</t>
        </is>
      </c>
      <c r="D28" t="inlineStr">
        <is>
          <t>Yes</t>
        </is>
      </c>
      <c r="E28" t="n">
        <v>6335</v>
      </c>
      <c r="F28" t="n">
        <v>5831.15</v>
      </c>
      <c r="G28" t="n">
        <v>503.85</v>
      </c>
      <c r="H28" t="inlineStr">
        <is>
          <t>Active</t>
        </is>
      </c>
      <c r="I28" s="18" t="n">
        <v>46243.5</v>
      </c>
    </row>
    <row r="29">
      <c r="A29" t="inlineStr">
        <is>
          <t>FA-000025</t>
        </is>
      </c>
      <c r="B29" t="inlineStr">
        <is>
          <t>MD-00025</t>
        </is>
      </c>
      <c r="C29" t="inlineStr">
        <is>
          <t>MD-LA-050021</t>
        </is>
      </c>
      <c r="D29" t="inlineStr">
        <is>
          <t>No</t>
        </is>
      </c>
      <c r="E29" t="n">
        <v>2030</v>
      </c>
      <c r="F29" t="n">
        <v>2030</v>
      </c>
      <c r="G29" t="n">
        <v>0</v>
      </c>
      <c r="H29" t="inlineStr">
        <is>
          <t>Active</t>
        </is>
      </c>
      <c r="I29" s="18" t="n">
        <v>46243.5</v>
      </c>
    </row>
    <row r="30">
      <c r="A30" t="inlineStr">
        <is>
          <t>FA-000026</t>
        </is>
      </c>
      <c r="B30" t="inlineStr">
        <is>
          <t>MD-00026</t>
        </is>
      </c>
      <c r="C30" t="inlineStr">
        <is>
          <t>MD-MO-050026</t>
        </is>
      </c>
      <c r="D30" t="inlineStr">
        <is>
          <t>No</t>
        </is>
      </c>
      <c r="E30" t="n">
        <v>745</v>
      </c>
      <c r="F30" t="n">
        <v>362.66</v>
      </c>
      <c r="G30" t="n">
        <v>382.34</v>
      </c>
      <c r="H30" t="inlineStr">
        <is>
          <t>Active</t>
        </is>
      </c>
      <c r="I30" s="18" t="n">
        <v>46243.5</v>
      </c>
    </row>
    <row r="31">
      <c r="A31" t="inlineStr">
        <is>
          <t>FA-000027</t>
        </is>
      </c>
      <c r="B31" t="inlineStr">
        <is>
          <t>MD-00027</t>
        </is>
      </c>
      <c r="C31" t="inlineStr">
        <is>
          <t>MD-MO-050027</t>
        </is>
      </c>
      <c r="D31" t="inlineStr">
        <is>
          <t>No</t>
        </is>
      </c>
      <c r="E31" t="n">
        <v>1220</v>
      </c>
      <c r="F31" t="n">
        <v>547.79</v>
      </c>
      <c r="G31" t="n">
        <v>672.21</v>
      </c>
      <c r="H31" t="inlineStr">
        <is>
          <t>Active</t>
        </is>
      </c>
      <c r="I31" s="18" t="n">
        <v>46243.5</v>
      </c>
    </row>
    <row r="32">
      <c r="A32" t="inlineStr">
        <is>
          <t>FA-000028</t>
        </is>
      </c>
      <c r="B32" t="inlineStr">
        <is>
          <t>MD-00028</t>
        </is>
      </c>
      <c r="C32" t="inlineStr">
        <is>
          <t>MD-NE-050028</t>
        </is>
      </c>
      <c r="D32" t="inlineStr">
        <is>
          <t>Yes</t>
        </is>
      </c>
      <c r="E32" t="n">
        <v>6200</v>
      </c>
      <c r="F32" t="n">
        <v>5285.91</v>
      </c>
      <c r="G32" t="n">
        <v>914.09</v>
      </c>
      <c r="H32" t="inlineStr">
        <is>
          <t>Active</t>
        </is>
      </c>
      <c r="I32" s="18" t="n">
        <v>46243.5</v>
      </c>
    </row>
    <row r="33">
      <c r="A33" t="inlineStr">
        <is>
          <t>FA-000029</t>
        </is>
      </c>
      <c r="B33" t="inlineStr">
        <is>
          <t>MD-00029</t>
        </is>
      </c>
      <c r="C33" t="inlineStr">
        <is>
          <t>MD-LA-050029</t>
        </is>
      </c>
      <c r="D33" t="inlineStr">
        <is>
          <t>No</t>
        </is>
      </c>
      <c r="E33" t="n">
        <v>1895</v>
      </c>
      <c r="F33" t="n">
        <v>1895</v>
      </c>
      <c r="G33" t="n">
        <v>0</v>
      </c>
      <c r="H33" t="inlineStr">
        <is>
          <t>Active</t>
        </is>
      </c>
      <c r="I33" s="18" t="n">
        <v>46243.5</v>
      </c>
    </row>
    <row r="34">
      <c r="A34" t="inlineStr">
        <is>
          <t>FA-000030</t>
        </is>
      </c>
      <c r="B34" t="inlineStr">
        <is>
          <t>MD-00030</t>
        </is>
      </c>
      <c r="C34" t="inlineStr">
        <is>
          <t>MD-MO-050030</t>
        </is>
      </c>
      <c r="D34" t="inlineStr">
        <is>
          <t>No</t>
        </is>
      </c>
      <c r="E34" t="n">
        <v>610</v>
      </c>
      <c r="F34" t="n">
        <v>254.86</v>
      </c>
      <c r="G34" t="n">
        <v>355.14</v>
      </c>
      <c r="H34" t="inlineStr">
        <is>
          <t>Active</t>
        </is>
      </c>
      <c r="I34" s="18" t="n">
        <v>46243.5</v>
      </c>
    </row>
    <row r="35">
      <c r="A35" t="inlineStr">
        <is>
          <t>FA-000031</t>
        </is>
      </c>
      <c r="B35" t="inlineStr">
        <is>
          <t>MD-00031</t>
        </is>
      </c>
      <c r="C35" t="inlineStr">
        <is>
          <t>MD-MO-050031</t>
        </is>
      </c>
      <c r="D35" t="inlineStr">
        <is>
          <t>No</t>
        </is>
      </c>
      <c r="E35" t="n">
        <v>1085</v>
      </c>
      <c r="F35" t="n">
        <v>362.41</v>
      </c>
      <c r="G35" t="n">
        <v>722.59</v>
      </c>
      <c r="H35" t="inlineStr">
        <is>
          <t>Active</t>
        </is>
      </c>
      <c r="I35" s="18" t="n">
        <v>46243.5</v>
      </c>
    </row>
    <row r="36">
      <c r="A36" t="inlineStr">
        <is>
          <t>FA-000032</t>
        </is>
      </c>
      <c r="B36" t="inlineStr">
        <is>
          <t>MD-00032</t>
        </is>
      </c>
      <c r="C36" t="inlineStr">
        <is>
          <t>MD-NE-050032</t>
        </is>
      </c>
      <c r="D36" t="inlineStr">
        <is>
          <t>Yes</t>
        </is>
      </c>
      <c r="E36" t="n">
        <v>6380</v>
      </c>
      <c r="F36" t="n">
        <v>4995.7</v>
      </c>
      <c r="G36" t="n">
        <v>1384.3</v>
      </c>
      <c r="H36" t="inlineStr">
        <is>
          <t>Active</t>
        </is>
      </c>
      <c r="I36" s="18" t="n">
        <v>46243.5</v>
      </c>
    </row>
    <row r="37">
      <c r="A37" t="inlineStr">
        <is>
          <t>FA-000033</t>
        </is>
      </c>
      <c r="B37" t="inlineStr">
        <is>
          <t>MD-00033</t>
        </is>
      </c>
      <c r="C37" t="inlineStr">
        <is>
          <t>MD-LA-050033</t>
        </is>
      </c>
      <c r="D37" t="inlineStr">
        <is>
          <t>No</t>
        </is>
      </c>
      <c r="E37" t="n">
        <v>2075</v>
      </c>
      <c r="F37" t="n">
        <v>1958.07</v>
      </c>
      <c r="G37" t="n">
        <v>116.93</v>
      </c>
      <c r="H37" t="inlineStr">
        <is>
          <t>Active</t>
        </is>
      </c>
      <c r="I37" s="18" t="n">
        <v>46243.5</v>
      </c>
    </row>
    <row r="38">
      <c r="A38" t="inlineStr">
        <is>
          <t>FA-000034</t>
        </is>
      </c>
      <c r="B38" t="inlineStr">
        <is>
          <t>MD-00034</t>
        </is>
      </c>
      <c r="C38" t="inlineStr">
        <is>
          <t>MD-MO-050034</t>
        </is>
      </c>
      <c r="D38" t="inlineStr">
        <is>
          <t>No</t>
        </is>
      </c>
      <c r="E38" t="n">
        <v>930</v>
      </c>
      <c r="F38" t="n">
        <v>450.12</v>
      </c>
      <c r="G38" t="n">
        <v>479.88</v>
      </c>
      <c r="H38" t="inlineStr">
        <is>
          <t>Active</t>
        </is>
      </c>
      <c r="I38" s="18" t="n">
        <v>46243.5</v>
      </c>
    </row>
    <row r="39">
      <c r="A39" t="inlineStr">
        <is>
          <t>FA-000035</t>
        </is>
      </c>
      <c r="B39" t="inlineStr">
        <is>
          <t>MD-00035</t>
        </is>
      </c>
      <c r="C39" t="inlineStr">
        <is>
          <t>MD-MO-050035</t>
        </is>
      </c>
      <c r="D39" t="inlineStr">
        <is>
          <t>No</t>
        </is>
      </c>
      <c r="E39" t="n">
        <v>950</v>
      </c>
      <c r="F39" t="n">
        <v>208.08</v>
      </c>
      <c r="G39" t="n">
        <v>741.92</v>
      </c>
      <c r="H39" t="inlineStr">
        <is>
          <t>Active</t>
        </is>
      </c>
      <c r="I39" s="18" t="n">
        <v>46243.5</v>
      </c>
    </row>
    <row r="40">
      <c r="A40" t="inlineStr">
        <is>
          <t>FA-000036</t>
        </is>
      </c>
      <c r="B40" t="inlineStr">
        <is>
          <t>MD-00036</t>
        </is>
      </c>
      <c r="C40" t="inlineStr">
        <is>
          <t>MD-NE-050036</t>
        </is>
      </c>
      <c r="D40" t="inlineStr">
        <is>
          <t>Yes</t>
        </is>
      </c>
      <c r="E40" t="n">
        <v>6245</v>
      </c>
      <c r="F40" t="n">
        <v>5707.27</v>
      </c>
      <c r="G40" t="n">
        <v>537.73</v>
      </c>
      <c r="H40" t="inlineStr">
        <is>
          <t>Active</t>
        </is>
      </c>
      <c r="I40" s="18" t="n">
        <v>46243.5</v>
      </c>
    </row>
    <row r="41">
      <c r="A41" t="inlineStr">
        <is>
          <t>FA-000037</t>
        </is>
      </c>
      <c r="B41" t="inlineStr">
        <is>
          <t>MD-00037</t>
        </is>
      </c>
      <c r="C41" t="inlineStr">
        <is>
          <t>MD-LA-050037</t>
        </is>
      </c>
      <c r="D41" t="inlineStr">
        <is>
          <t>No</t>
        </is>
      </c>
      <c r="E41" t="n">
        <v>1940</v>
      </c>
      <c r="F41" t="n">
        <v>1940</v>
      </c>
      <c r="G41" t="n">
        <v>0</v>
      </c>
      <c r="H41" t="inlineStr">
        <is>
          <t>Active</t>
        </is>
      </c>
      <c r="I41" s="18" t="n">
        <v>46243.5</v>
      </c>
    </row>
    <row r="42">
      <c r="A42" t="inlineStr">
        <is>
          <t>FA-000038</t>
        </is>
      </c>
      <c r="B42" t="inlineStr">
        <is>
          <t>MD-00038</t>
        </is>
      </c>
      <c r="C42" t="inlineStr">
        <is>
          <t>MD-MO-050038</t>
        </is>
      </c>
      <c r="D42" t="inlineStr">
        <is>
          <t>No</t>
        </is>
      </c>
      <c r="E42" t="n">
        <v>655</v>
      </c>
      <c r="F42" t="n">
        <v>314.54</v>
      </c>
      <c r="G42" t="n">
        <v>340.46</v>
      </c>
      <c r="H42" t="inlineStr">
        <is>
          <t>Active</t>
        </is>
      </c>
      <c r="I42" s="18" t="n">
        <v>46243.5</v>
      </c>
    </row>
    <row r="43">
      <c r="A43" t="inlineStr">
        <is>
          <t>FA-000039</t>
        </is>
      </c>
      <c r="B43" t="inlineStr">
        <is>
          <t>MD-00039</t>
        </is>
      </c>
      <c r="C43" t="inlineStr">
        <is>
          <t>MD-MO-050039</t>
        </is>
      </c>
      <c r="D43" t="inlineStr">
        <is>
          <t>No</t>
        </is>
      </c>
      <c r="E43" t="n">
        <v>1130</v>
      </c>
      <c r="F43" t="n">
        <v>495</v>
      </c>
      <c r="G43" t="n">
        <v>635</v>
      </c>
      <c r="H43" t="inlineStr">
        <is>
          <t>Active</t>
        </is>
      </c>
      <c r="I43" s="18" t="n">
        <v>46243.5</v>
      </c>
    </row>
    <row r="44">
      <c r="A44" t="inlineStr">
        <is>
          <t>FA-000040</t>
        </is>
      </c>
      <c r="B44" t="inlineStr">
        <is>
          <t>MD-00040</t>
        </is>
      </c>
      <c r="C44" t="inlineStr">
        <is>
          <t>MD-NE-050040</t>
        </is>
      </c>
      <c r="D44" t="inlineStr">
        <is>
          <t>Yes</t>
        </is>
      </c>
      <c r="E44" t="n">
        <v>6425</v>
      </c>
      <c r="F44" t="n">
        <v>5435.52</v>
      </c>
      <c r="G44" t="n">
        <v>989.48</v>
      </c>
      <c r="H44" t="inlineStr">
        <is>
          <t>Active</t>
        </is>
      </c>
      <c r="I44" s="18" t="n">
        <v>46243.5</v>
      </c>
    </row>
    <row r="45">
      <c r="A45" t="inlineStr">
        <is>
          <t>FA-000041</t>
        </is>
      </c>
      <c r="B45" t="inlineStr">
        <is>
          <t>MD-00041</t>
        </is>
      </c>
      <c r="C45" t="inlineStr">
        <is>
          <t>MD-LA-050041</t>
        </is>
      </c>
      <c r="D45" t="inlineStr">
        <is>
          <t>No</t>
        </is>
      </c>
      <c r="E45" t="n">
        <v>2120</v>
      </c>
      <c r="F45" t="n">
        <v>2120</v>
      </c>
      <c r="G45" t="n">
        <v>0</v>
      </c>
      <c r="H45" t="inlineStr">
        <is>
          <t>Active</t>
        </is>
      </c>
      <c r="I45" s="18" t="n">
        <v>46243.5</v>
      </c>
    </row>
    <row r="46">
      <c r="A46" t="inlineStr">
        <is>
          <t>FA-000042</t>
        </is>
      </c>
      <c r="B46" t="inlineStr">
        <is>
          <t>MD-00042</t>
        </is>
      </c>
      <c r="C46" t="inlineStr">
        <is>
          <t>MD-MO-050042</t>
        </is>
      </c>
      <c r="D46" t="inlineStr">
        <is>
          <t>No</t>
        </is>
      </c>
      <c r="E46" t="n">
        <v>520</v>
      </c>
      <c r="F46" t="n">
        <v>213.84</v>
      </c>
      <c r="G46" t="n">
        <v>306.16</v>
      </c>
      <c r="H46" t="inlineStr">
        <is>
          <t>Active</t>
        </is>
      </c>
      <c r="I46" s="18" t="n">
        <v>46243.5</v>
      </c>
    </row>
    <row r="47">
      <c r="A47" t="inlineStr">
        <is>
          <t>FA-000043</t>
        </is>
      </c>
      <c r="B47" t="inlineStr">
        <is>
          <t>MD-00043</t>
        </is>
      </c>
      <c r="C47" t="inlineStr">
        <is>
          <t>MD-MO-050043</t>
        </is>
      </c>
      <c r="D47" t="inlineStr">
        <is>
          <t>No</t>
        </is>
      </c>
      <c r="E47" t="n">
        <v>995</v>
      </c>
      <c r="F47" t="n">
        <v>321.45</v>
      </c>
      <c r="G47" t="n">
        <v>673.55</v>
      </c>
      <c r="H47" t="inlineStr">
        <is>
          <t>Active</t>
        </is>
      </c>
      <c r="I47" s="18" t="n">
        <v>46243.5</v>
      </c>
    </row>
    <row r="48">
      <c r="A48" t="inlineStr">
        <is>
          <t>FA-000044</t>
        </is>
      </c>
      <c r="B48" t="inlineStr">
        <is>
          <t>MD-00044</t>
        </is>
      </c>
      <c r="C48" t="inlineStr">
        <is>
          <t>MD-NE-050044</t>
        </is>
      </c>
      <c r="D48" t="inlineStr">
        <is>
          <t>Yes</t>
        </is>
      </c>
      <c r="E48" t="n">
        <v>6290</v>
      </c>
      <c r="F48" t="n">
        <v>4883.9</v>
      </c>
      <c r="G48" t="n">
        <v>1406.1</v>
      </c>
      <c r="H48" t="inlineStr">
        <is>
          <t>Active</t>
        </is>
      </c>
      <c r="I48" s="18" t="n">
        <v>46243.5</v>
      </c>
    </row>
    <row r="49">
      <c r="A49" t="inlineStr">
        <is>
          <t>FA-000045</t>
        </is>
      </c>
      <c r="B49" t="inlineStr">
        <is>
          <t>MD-00045</t>
        </is>
      </c>
      <c r="C49" t="inlineStr">
        <is>
          <t>MD-LA-050045</t>
        </is>
      </c>
      <c r="D49" t="inlineStr">
        <is>
          <t>No</t>
        </is>
      </c>
      <c r="E49" t="n">
        <v>1985</v>
      </c>
      <c r="F49" t="n">
        <v>1851.4</v>
      </c>
      <c r="G49" t="n">
        <v>133.6</v>
      </c>
      <c r="H49" t="inlineStr">
        <is>
          <t>Active</t>
        </is>
      </c>
      <c r="I49" s="18" t="n">
        <v>46243.5</v>
      </c>
    </row>
    <row r="50">
      <c r="A50" t="inlineStr">
        <is>
          <t>FA-000046</t>
        </is>
      </c>
      <c r="B50" t="inlineStr">
        <is>
          <t>MD-00046</t>
        </is>
      </c>
      <c r="C50" t="inlineStr">
        <is>
          <t>MD-MO-050046</t>
        </is>
      </c>
      <c r="D50" t="inlineStr">
        <is>
          <t>No</t>
        </is>
      </c>
      <c r="E50" t="n">
        <v>700</v>
      </c>
      <c r="F50" t="n">
        <v>239.18</v>
      </c>
      <c r="G50" t="n">
        <v>460.82</v>
      </c>
      <c r="H50" t="inlineStr">
        <is>
          <t>Active</t>
        </is>
      </c>
      <c r="I50" s="18" t="n">
        <v>46243.5</v>
      </c>
    </row>
    <row r="51">
      <c r="A51" t="inlineStr">
        <is>
          <t>FA-000047</t>
        </is>
      </c>
      <c r="B51" t="inlineStr">
        <is>
          <t>MD-00047</t>
        </is>
      </c>
      <c r="C51" t="inlineStr">
        <is>
          <t>MD-MO-050047</t>
        </is>
      </c>
      <c r="D51" t="inlineStr">
        <is>
          <t>No</t>
        </is>
      </c>
      <c r="E51" t="n">
        <v>1175</v>
      </c>
      <c r="F51" t="n">
        <v>244.49</v>
      </c>
      <c r="G51" t="n">
        <v>930.51</v>
      </c>
      <c r="H51" t="inlineStr">
        <is>
          <t>Active</t>
        </is>
      </c>
      <c r="I51" s="18" t="n">
        <v>46243.5</v>
      </c>
    </row>
    <row r="52">
      <c r="A52" t="inlineStr">
        <is>
          <t>FA-000048</t>
        </is>
      </c>
      <c r="B52" t="inlineStr">
        <is>
          <t>MD-00048</t>
        </is>
      </c>
      <c r="C52" t="inlineStr">
        <is>
          <t>MD-NE-050048</t>
        </is>
      </c>
      <c r="D52" t="inlineStr">
        <is>
          <t>Yes</t>
        </is>
      </c>
      <c r="E52" t="n">
        <v>6470</v>
      </c>
      <c r="F52" t="n">
        <v>5955.41</v>
      </c>
      <c r="G52" t="n">
        <v>514.59</v>
      </c>
      <c r="H52" t="inlineStr">
        <is>
          <t>Active</t>
        </is>
      </c>
      <c r="I52" s="18" t="n">
        <v>46243.5</v>
      </c>
    </row>
    <row r="53">
      <c r="A53" t="inlineStr">
        <is>
          <t>FA-000049</t>
        </is>
      </c>
      <c r="B53" t="inlineStr">
        <is>
          <t>MD-00049</t>
        </is>
      </c>
      <c r="C53" t="inlineStr">
        <is>
          <t>MD-LA-050049</t>
        </is>
      </c>
      <c r="D53" t="inlineStr">
        <is>
          <t>No</t>
        </is>
      </c>
      <c r="E53" t="n">
        <v>1850</v>
      </c>
      <c r="F53" t="n">
        <v>1850</v>
      </c>
      <c r="G53" t="n">
        <v>0</v>
      </c>
      <c r="H53" t="inlineStr">
        <is>
          <t>Active</t>
        </is>
      </c>
      <c r="I53" s="18" t="n">
        <v>46243.5</v>
      </c>
    </row>
    <row r="54">
      <c r="A54" t="inlineStr">
        <is>
          <t>FA-000050</t>
        </is>
      </c>
      <c r="B54" t="inlineStr">
        <is>
          <t>MD-00050</t>
        </is>
      </c>
      <c r="C54" t="inlineStr">
        <is>
          <t>MD-MO-050050</t>
        </is>
      </c>
      <c r="D54" t="inlineStr">
        <is>
          <t>No</t>
        </is>
      </c>
      <c r="E54" t="n">
        <v>565</v>
      </c>
      <c r="F54" t="n">
        <v>275.04</v>
      </c>
      <c r="G54" t="n">
        <v>289.96</v>
      </c>
      <c r="H54" t="inlineStr">
        <is>
          <t>Active</t>
        </is>
      </c>
      <c r="I54" s="18" t="n">
        <v>46243.5</v>
      </c>
    </row>
    <row r="55">
      <c r="A55" t="inlineStr">
        <is>
          <t>FA-000051</t>
        </is>
      </c>
      <c r="B55" t="inlineStr">
        <is>
          <t>MD-00051</t>
        </is>
      </c>
      <c r="C55" t="inlineStr">
        <is>
          <t>MD-MO-050051</t>
        </is>
      </c>
      <c r="D55" t="inlineStr">
        <is>
          <t>No</t>
        </is>
      </c>
      <c r="E55" t="n">
        <v>1250</v>
      </c>
      <c r="F55" t="n">
        <v>641.97</v>
      </c>
      <c r="G55" t="n">
        <v>573.03</v>
      </c>
      <c r="H55" t="inlineStr">
        <is>
          <t>Active</t>
        </is>
      </c>
      <c r="I55" s="18" t="n">
        <v>46243.5</v>
      </c>
    </row>
    <row r="56">
      <c r="A56" t="inlineStr">
        <is>
          <t>FA-000052</t>
        </is>
      </c>
      <c r="B56" t="inlineStr">
        <is>
          <t>MD-00052</t>
        </is>
      </c>
      <c r="C56" t="inlineStr">
        <is>
          <t>MD-NE-050052</t>
        </is>
      </c>
      <c r="D56" t="inlineStr">
        <is>
          <t>Yes</t>
        </is>
      </c>
      <c r="E56" t="n">
        <v>6335</v>
      </c>
      <c r="F56" t="n">
        <v>5401.01</v>
      </c>
      <c r="G56" t="n">
        <v>933.99</v>
      </c>
      <c r="H56" t="inlineStr">
        <is>
          <t>Active</t>
        </is>
      </c>
      <c r="I56" s="18" t="n">
        <v>46243.5</v>
      </c>
    </row>
    <row r="57">
      <c r="A57" t="inlineStr">
        <is>
          <t>FA-000053</t>
        </is>
      </c>
      <c r="B57" t="inlineStr">
        <is>
          <t>MD-00053</t>
        </is>
      </c>
      <c r="C57" t="inlineStr">
        <is>
          <t>MD-LA-050053</t>
        </is>
      </c>
      <c r="D57" t="inlineStr">
        <is>
          <t>No</t>
        </is>
      </c>
      <c r="E57" t="n">
        <v>2030</v>
      </c>
      <c r="F57" t="n">
        <v>2030</v>
      </c>
      <c r="G57" t="n">
        <v>0</v>
      </c>
      <c r="H57" t="inlineStr">
        <is>
          <t>Active</t>
        </is>
      </c>
      <c r="I57" s="18" t="n">
        <v>46243.5</v>
      </c>
    </row>
    <row r="58">
      <c r="A58" t="inlineStr">
        <is>
          <t>FA-000054</t>
        </is>
      </c>
      <c r="B58" t="inlineStr">
        <is>
          <t>MD-00054</t>
        </is>
      </c>
      <c r="C58" t="inlineStr">
        <is>
          <t>MD-MO-050054</t>
        </is>
      </c>
      <c r="D58" t="inlineStr">
        <is>
          <t>No</t>
        </is>
      </c>
      <c r="E58" t="n">
        <v>745</v>
      </c>
      <c r="F58" t="n">
        <v>311.26</v>
      </c>
      <c r="G58" t="n">
        <v>433.74</v>
      </c>
      <c r="H58" t="inlineStr">
        <is>
          <t>Active</t>
        </is>
      </c>
      <c r="I58" s="18" t="n">
        <v>46243.5</v>
      </c>
    </row>
    <row r="59">
      <c r="A59" t="inlineStr">
        <is>
          <t>FA-000055</t>
        </is>
      </c>
      <c r="B59" t="inlineStr">
        <is>
          <t>MD-00055</t>
        </is>
      </c>
      <c r="C59" t="inlineStr">
        <is>
          <t>MD-MO-050055</t>
        </is>
      </c>
      <c r="D59" t="inlineStr">
        <is>
          <t>No</t>
        </is>
      </c>
      <c r="E59" t="n">
        <v>1220</v>
      </c>
      <c r="F59" t="n">
        <v>407.5</v>
      </c>
      <c r="G59" t="n">
        <v>812.5</v>
      </c>
      <c r="H59" t="inlineStr">
        <is>
          <t>Active</t>
        </is>
      </c>
      <c r="I59" s="18" t="n">
        <v>46243.5</v>
      </c>
    </row>
    <row r="60">
      <c r="A60" t="inlineStr">
        <is>
          <t>FA-000056</t>
        </is>
      </c>
      <c r="B60" t="inlineStr">
        <is>
          <t>MD-00056</t>
        </is>
      </c>
      <c r="C60" t="inlineStr">
        <is>
          <t>MD-NE-050056</t>
        </is>
      </c>
      <c r="D60" t="inlineStr">
        <is>
          <t>Yes</t>
        </is>
      </c>
      <c r="E60" t="n">
        <v>6200</v>
      </c>
      <c r="F60" t="n">
        <v>4854.76</v>
      </c>
      <c r="G60" t="n">
        <v>1345.24</v>
      </c>
      <c r="H60" t="inlineStr">
        <is>
          <t>Active</t>
        </is>
      </c>
      <c r="I60" s="18" t="n">
        <v>46243.5</v>
      </c>
    </row>
    <row r="61">
      <c r="A61" t="inlineStr">
        <is>
          <t>FA-000057</t>
        </is>
      </c>
      <c r="B61" t="inlineStr">
        <is>
          <t>MD-00057</t>
        </is>
      </c>
      <c r="C61" t="inlineStr">
        <is>
          <t>MD-LA-050057</t>
        </is>
      </c>
      <c r="D61" t="inlineStr">
        <is>
          <t>No</t>
        </is>
      </c>
      <c r="E61" t="n">
        <v>1895</v>
      </c>
      <c r="F61" t="n">
        <v>1788.21</v>
      </c>
      <c r="G61" t="n">
        <v>106.79</v>
      </c>
      <c r="H61" t="inlineStr">
        <is>
          <t>Active</t>
        </is>
      </c>
      <c r="I61" s="18" t="n">
        <v>46243.5</v>
      </c>
    </row>
    <row r="62">
      <c r="A62" t="inlineStr">
        <is>
          <t>FA-000058</t>
        </is>
      </c>
      <c r="B62" t="inlineStr">
        <is>
          <t>MD-00058</t>
        </is>
      </c>
      <c r="C62" t="inlineStr">
        <is>
          <t>MD-MO-050058</t>
        </is>
      </c>
      <c r="D62" t="inlineStr">
        <is>
          <t>No</t>
        </is>
      </c>
      <c r="E62" t="n">
        <v>610</v>
      </c>
      <c r="F62" t="n">
        <v>212.44</v>
      </c>
      <c r="G62" t="n">
        <v>397.56</v>
      </c>
      <c r="H62" t="inlineStr">
        <is>
          <t>Active</t>
        </is>
      </c>
      <c r="I62" s="18" t="n">
        <v>46243.5</v>
      </c>
    </row>
    <row r="63">
      <c r="A63" t="inlineStr">
        <is>
          <t>FA-000059</t>
        </is>
      </c>
      <c r="B63" t="inlineStr">
        <is>
          <t>MD-00059</t>
        </is>
      </c>
      <c r="C63" t="inlineStr">
        <is>
          <t>MD-MO-050059</t>
        </is>
      </c>
      <c r="D63" t="inlineStr">
        <is>
          <t>No</t>
        </is>
      </c>
      <c r="E63" t="n">
        <v>1085</v>
      </c>
      <c r="F63" t="n">
        <v>237.65</v>
      </c>
      <c r="G63" t="n">
        <v>847.35</v>
      </c>
      <c r="H63" t="inlineStr">
        <is>
          <t>Active</t>
        </is>
      </c>
      <c r="I63" s="18" t="n">
        <v>46243.5</v>
      </c>
    </row>
    <row r="64">
      <c r="A64" t="inlineStr">
        <is>
          <t>FA-000060</t>
        </is>
      </c>
      <c r="B64" t="inlineStr">
        <is>
          <t>MD-00060</t>
        </is>
      </c>
      <c r="C64" t="inlineStr">
        <is>
          <t>MD-NE-050060</t>
        </is>
      </c>
      <c r="D64" t="inlineStr">
        <is>
          <t>Yes</t>
        </is>
      </c>
      <c r="E64" t="n">
        <v>6380</v>
      </c>
      <c r="F64" t="n">
        <v>5830.65</v>
      </c>
      <c r="G64" t="n">
        <v>549.35</v>
      </c>
      <c r="H64" t="inlineStr">
        <is>
          <t>Active</t>
        </is>
      </c>
      <c r="I64" s="18" t="n">
        <v>46243.5</v>
      </c>
    </row>
    <row r="65">
      <c r="A65" t="inlineStr">
        <is>
          <t>FA-000061</t>
        </is>
      </c>
      <c r="B65" t="inlineStr">
        <is>
          <t>MD-00061</t>
        </is>
      </c>
      <c r="C65" t="inlineStr">
        <is>
          <t>MD-LA-050061</t>
        </is>
      </c>
      <c r="D65" t="inlineStr">
        <is>
          <t>No</t>
        </is>
      </c>
      <c r="E65" t="n">
        <v>2075</v>
      </c>
      <c r="F65" t="n">
        <v>2075</v>
      </c>
      <c r="G65" t="n">
        <v>0</v>
      </c>
      <c r="H65" t="inlineStr">
        <is>
          <t>Active</t>
        </is>
      </c>
      <c r="I65" s="18" t="n">
        <v>46243.5</v>
      </c>
    </row>
    <row r="66">
      <c r="A66" t="inlineStr">
        <is>
          <t>FA-000062</t>
        </is>
      </c>
      <c r="B66" t="inlineStr">
        <is>
          <t>MD-00062</t>
        </is>
      </c>
      <c r="C66" t="inlineStr">
        <is>
          <t>MD-MO-050062</t>
        </is>
      </c>
      <c r="D66" t="inlineStr">
        <is>
          <t>No</t>
        </is>
      </c>
      <c r="E66" t="n">
        <v>790</v>
      </c>
      <c r="F66" t="n">
        <v>379.37</v>
      </c>
      <c r="G66" t="n">
        <v>410.63</v>
      </c>
      <c r="H66" t="inlineStr">
        <is>
          <t>Active</t>
        </is>
      </c>
      <c r="I66" s="18" t="n">
        <v>46243.5</v>
      </c>
    </row>
    <row r="67">
      <c r="A67" t="inlineStr">
        <is>
          <t>FA-000063</t>
        </is>
      </c>
      <c r="B67" t="inlineStr">
        <is>
          <t>MD-00063</t>
        </is>
      </c>
      <c r="C67" t="inlineStr">
        <is>
          <t>MD-MO-050063</t>
        </is>
      </c>
      <c r="D67" t="inlineStr">
        <is>
          <t>No</t>
        </is>
      </c>
      <c r="E67" t="n">
        <v>950</v>
      </c>
      <c r="F67" t="n">
        <v>416.15</v>
      </c>
      <c r="G67" t="n">
        <v>533.85</v>
      </c>
      <c r="H67" t="inlineStr">
        <is>
          <t>Active</t>
        </is>
      </c>
      <c r="I67" s="18" t="n">
        <v>46243.5</v>
      </c>
    </row>
    <row r="68">
      <c r="A68" t="inlineStr">
        <is>
          <t>FA-000064</t>
        </is>
      </c>
      <c r="B68" t="inlineStr">
        <is>
          <t>MD-00064</t>
        </is>
      </c>
      <c r="C68" t="inlineStr">
        <is>
          <t>MD-NE-050064</t>
        </is>
      </c>
      <c r="D68" t="inlineStr">
        <is>
          <t>Yes</t>
        </is>
      </c>
      <c r="E68" t="n">
        <v>6245</v>
      </c>
      <c r="F68" t="n">
        <v>5283.24</v>
      </c>
      <c r="G68" t="n">
        <v>961.76</v>
      </c>
      <c r="H68" t="inlineStr">
        <is>
          <t>Active</t>
        </is>
      </c>
      <c r="I68" s="18" t="n">
        <v>46243.5</v>
      </c>
    </row>
    <row r="69">
      <c r="A69" t="inlineStr">
        <is>
          <t>FA-000065</t>
        </is>
      </c>
      <c r="B69" t="inlineStr">
        <is>
          <t>MD-00065</t>
        </is>
      </c>
      <c r="C69" t="inlineStr">
        <is>
          <t>MD-LA-050065</t>
        </is>
      </c>
      <c r="D69" t="inlineStr">
        <is>
          <t>No</t>
        </is>
      </c>
      <c r="E69" t="n">
        <v>1940</v>
      </c>
      <c r="F69" t="n">
        <v>1940</v>
      </c>
      <c r="G69" t="n">
        <v>0</v>
      </c>
      <c r="H69" t="inlineStr">
        <is>
          <t>Active</t>
        </is>
      </c>
      <c r="I69" s="18" t="n">
        <v>46243.5</v>
      </c>
    </row>
    <row r="70">
      <c r="A70" t="inlineStr">
        <is>
          <t>FA-000066</t>
        </is>
      </c>
      <c r="B70" t="inlineStr">
        <is>
          <t>MD-00066</t>
        </is>
      </c>
      <c r="C70" t="inlineStr">
        <is>
          <t>MD-MO-050066</t>
        </is>
      </c>
      <c r="D70" t="inlineStr">
        <is>
          <t>No</t>
        </is>
      </c>
      <c r="E70" t="n">
        <v>655</v>
      </c>
      <c r="F70" t="n">
        <v>269.35</v>
      </c>
      <c r="G70" t="n">
        <v>385.65</v>
      </c>
      <c r="H70" t="inlineStr">
        <is>
          <t>Active</t>
        </is>
      </c>
      <c r="I70" s="18" t="n">
        <v>46243.5</v>
      </c>
    </row>
    <row r="71">
      <c r="A71" t="inlineStr">
        <is>
          <t>FA-000067</t>
        </is>
      </c>
      <c r="B71" t="inlineStr">
        <is>
          <t>MD-00067</t>
        </is>
      </c>
      <c r="C71" t="inlineStr">
        <is>
          <t>MD-MO-050067</t>
        </is>
      </c>
      <c r="D71" t="inlineStr">
        <is>
          <t>No</t>
        </is>
      </c>
      <c r="E71" t="n">
        <v>1130</v>
      </c>
      <c r="F71" t="n">
        <v>365.07</v>
      </c>
      <c r="G71" t="n">
        <v>764.9299999999999</v>
      </c>
      <c r="H71" t="inlineStr">
        <is>
          <t>Active</t>
        </is>
      </c>
      <c r="I71" s="18" t="n">
        <v>46243.5</v>
      </c>
    </row>
    <row r="72">
      <c r="A72" t="inlineStr">
        <is>
          <t>FA-000068</t>
        </is>
      </c>
      <c r="B72" t="inlineStr">
        <is>
          <t>MD-00068</t>
        </is>
      </c>
      <c r="C72" t="inlineStr">
        <is>
          <t>MD-NE-050068</t>
        </is>
      </c>
      <c r="D72" t="inlineStr">
        <is>
          <t>Yes</t>
        </is>
      </c>
      <c r="E72" t="n">
        <v>6480</v>
      </c>
      <c r="F72" t="n">
        <v>5163.72</v>
      </c>
      <c r="G72" t="n">
        <v>1436.28</v>
      </c>
      <c r="H72" t="inlineStr">
        <is>
          <t>Active</t>
        </is>
      </c>
      <c r="I72" s="18" t="n">
        <v>46243.5</v>
      </c>
    </row>
    <row r="73">
      <c r="A73" t="inlineStr">
        <is>
          <t>FA-000069</t>
        </is>
      </c>
      <c r="B73" t="inlineStr">
        <is>
          <t>MD-00069</t>
        </is>
      </c>
      <c r="C73" t="inlineStr">
        <is>
          <t>MD-LA-050069</t>
        </is>
      </c>
      <c r="D73" t="inlineStr">
        <is>
          <t>No</t>
        </is>
      </c>
      <c r="E73" t="n">
        <v>2120</v>
      </c>
      <c r="F73" t="n">
        <v>1977.31</v>
      </c>
      <c r="G73" t="n">
        <v>142.69</v>
      </c>
      <c r="H73" t="inlineStr">
        <is>
          <t>Active</t>
        </is>
      </c>
      <c r="I73" s="18" t="n">
        <v>46243.5</v>
      </c>
    </row>
    <row r="74">
      <c r="A74" t="inlineStr">
        <is>
          <t>FA-000070</t>
        </is>
      </c>
      <c r="B74" t="inlineStr">
        <is>
          <t>MD-00070</t>
        </is>
      </c>
      <c r="C74" t="inlineStr">
        <is>
          <t>MD-MO-050070</t>
        </is>
      </c>
      <c r="D74" t="inlineStr">
        <is>
          <t>No</t>
        </is>
      </c>
      <c r="E74" t="n">
        <v>520</v>
      </c>
      <c r="F74" t="n">
        <v>177.68</v>
      </c>
      <c r="G74" t="n">
        <v>342.32</v>
      </c>
      <c r="H74" t="inlineStr">
        <is>
          <t>Active</t>
        </is>
      </c>
      <c r="I74" s="18" t="n">
        <v>46243.5</v>
      </c>
    </row>
    <row r="75">
      <c r="A75" t="inlineStr">
        <is>
          <t>FA-000071</t>
        </is>
      </c>
      <c r="B75" t="inlineStr">
        <is>
          <t>MD-00071</t>
        </is>
      </c>
      <c r="C75" t="inlineStr">
        <is>
          <t>MD-MO-050071</t>
        </is>
      </c>
      <c r="D75" t="inlineStr">
        <is>
          <t>No</t>
        </is>
      </c>
      <c r="E75" t="n">
        <v>995</v>
      </c>
      <c r="F75" t="n">
        <v>207.04</v>
      </c>
      <c r="G75" t="n">
        <v>787.96</v>
      </c>
      <c r="H75" t="inlineStr">
        <is>
          <t>Active</t>
        </is>
      </c>
      <c r="I75" s="18" t="n">
        <v>46243.5</v>
      </c>
    </row>
    <row r="76">
      <c r="A76" t="inlineStr">
        <is>
          <t>FA-000072</t>
        </is>
      </c>
      <c r="B76" t="inlineStr">
        <is>
          <t>MD-00072</t>
        </is>
      </c>
      <c r="C76" t="inlineStr">
        <is>
          <t>MD-NE-050072</t>
        </is>
      </c>
      <c r="D76" t="inlineStr">
        <is>
          <t>Yes</t>
        </is>
      </c>
      <c r="E76" t="n">
        <v>6290</v>
      </c>
      <c r="F76" t="n">
        <v>5789.73</v>
      </c>
      <c r="G76" t="n">
        <v>500.27</v>
      </c>
      <c r="H76" t="inlineStr">
        <is>
          <t>Active</t>
        </is>
      </c>
      <c r="I76" s="18" t="n">
        <v>46243.5</v>
      </c>
    </row>
    <row r="77">
      <c r="A77" t="inlineStr">
        <is>
          <t>FA-000073</t>
        </is>
      </c>
      <c r="B77" t="inlineStr">
        <is>
          <t>MD-00073</t>
        </is>
      </c>
      <c r="C77" t="inlineStr">
        <is>
          <t>MD-LA-050073</t>
        </is>
      </c>
      <c r="D77" t="inlineStr">
        <is>
          <t>No</t>
        </is>
      </c>
      <c r="E77" t="n">
        <v>1985</v>
      </c>
      <c r="F77" t="n">
        <v>1985</v>
      </c>
      <c r="G77" t="n">
        <v>0</v>
      </c>
      <c r="H77" t="inlineStr">
        <is>
          <t>Active</t>
        </is>
      </c>
      <c r="I77" s="18" t="n">
        <v>46243.5</v>
      </c>
    </row>
    <row r="78">
      <c r="A78" t="inlineStr">
        <is>
          <t>FA-000074</t>
        </is>
      </c>
      <c r="B78" t="inlineStr">
        <is>
          <t>MD-00074</t>
        </is>
      </c>
      <c r="C78" t="inlineStr">
        <is>
          <t>MD-MO-050074</t>
        </is>
      </c>
      <c r="D78" t="inlineStr">
        <is>
          <t>No</t>
        </is>
      </c>
      <c r="E78" t="n">
        <v>700</v>
      </c>
      <c r="F78" t="n">
        <v>340.75</v>
      </c>
      <c r="G78" t="n">
        <v>359.25</v>
      </c>
      <c r="H78" t="inlineStr">
        <is>
          <t>Active</t>
        </is>
      </c>
      <c r="I78" s="18" t="n">
        <v>46243.5</v>
      </c>
    </row>
    <row r="79">
      <c r="A79" t="inlineStr">
        <is>
          <t>FA-000075</t>
        </is>
      </c>
      <c r="B79" t="inlineStr">
        <is>
          <t>MD-00075</t>
        </is>
      </c>
      <c r="C79" t="inlineStr">
        <is>
          <t>MD-MO-050075</t>
        </is>
      </c>
      <c r="D79" t="inlineStr">
        <is>
          <t>No</t>
        </is>
      </c>
      <c r="E79" t="n">
        <v>1175</v>
      </c>
      <c r="F79" t="n">
        <v>527.58</v>
      </c>
      <c r="G79" t="n">
        <v>647.42</v>
      </c>
      <c r="H79" t="inlineStr">
        <is>
          <t>Active</t>
        </is>
      </c>
      <c r="I79" s="18" t="n">
        <v>46243.5</v>
      </c>
    </row>
    <row r="80">
      <c r="A80" t="inlineStr">
        <is>
          <t>FA-000076</t>
        </is>
      </c>
      <c r="B80" t="inlineStr">
        <is>
          <t>MD-00076</t>
        </is>
      </c>
      <c r="C80" t="inlineStr">
        <is>
          <t>MD-NE-050076</t>
        </is>
      </c>
      <c r="D80" t="inlineStr">
        <is>
          <t>Yes</t>
        </is>
      </c>
      <c r="E80" t="n">
        <v>6470</v>
      </c>
      <c r="F80" t="n">
        <v>5516.11</v>
      </c>
      <c r="G80" t="n">
        <v>953.89</v>
      </c>
      <c r="H80" t="inlineStr">
        <is>
          <t>Active</t>
        </is>
      </c>
      <c r="I80" s="18" t="n">
        <v>46243.5</v>
      </c>
    </row>
    <row r="81">
      <c r="A81" t="inlineStr">
        <is>
          <t>FA-000077</t>
        </is>
      </c>
      <c r="B81" t="inlineStr">
        <is>
          <t>MD-00077</t>
        </is>
      </c>
      <c r="C81" t="inlineStr">
        <is>
          <t>MD-LA-050077</t>
        </is>
      </c>
      <c r="D81" t="inlineStr">
        <is>
          <t>No</t>
        </is>
      </c>
      <c r="E81" t="n">
        <v>1850</v>
      </c>
      <c r="F81" t="n">
        <v>1850</v>
      </c>
      <c r="G81" t="n">
        <v>0</v>
      </c>
      <c r="H81" t="inlineStr">
        <is>
          <t>Active</t>
        </is>
      </c>
      <c r="I81" s="18" t="n">
        <v>46243.5</v>
      </c>
    </row>
    <row r="82">
      <c r="A82" t="inlineStr">
        <is>
          <t>FA-000078</t>
        </is>
      </c>
      <c r="B82" t="inlineStr">
        <is>
          <t>MD-00078</t>
        </is>
      </c>
      <c r="C82" t="inlineStr">
        <is>
          <t>MD-MO-050078</t>
        </is>
      </c>
      <c r="D82" t="inlineStr">
        <is>
          <t>No</t>
        </is>
      </c>
      <c r="E82" t="n">
        <v>565</v>
      </c>
      <c r="F82" t="n">
        <v>236.05</v>
      </c>
      <c r="G82" t="n">
        <v>328.95</v>
      </c>
      <c r="H82" t="inlineStr">
        <is>
          <t>Active</t>
        </is>
      </c>
      <c r="I82" s="18" t="n">
        <v>46243.5</v>
      </c>
    </row>
    <row r="83">
      <c r="A83" t="inlineStr">
        <is>
          <t>FA-000079</t>
        </is>
      </c>
      <c r="B83" t="inlineStr">
        <is>
          <t>MD-00079</t>
        </is>
      </c>
      <c r="C83" t="inlineStr">
        <is>
          <t>MD-MO-050079</t>
        </is>
      </c>
      <c r="D83" t="inlineStr">
        <is>
          <t>No</t>
        </is>
      </c>
      <c r="E83" t="n">
        <v>1040</v>
      </c>
      <c r="F83" t="n">
        <v>347.38</v>
      </c>
      <c r="G83" t="n">
        <v>692.62</v>
      </c>
      <c r="H83" t="inlineStr">
        <is>
          <t>Active</t>
        </is>
      </c>
      <c r="I83" s="18" t="n">
        <v>46243.5</v>
      </c>
    </row>
    <row r="84">
      <c r="A84" t="inlineStr">
        <is>
          <t>FA-000080</t>
        </is>
      </c>
      <c r="B84" t="inlineStr">
        <is>
          <t>MD-00080</t>
        </is>
      </c>
      <c r="C84" t="inlineStr">
        <is>
          <t>MD-NE-050080</t>
        </is>
      </c>
      <c r="D84" t="inlineStr">
        <is>
          <t>Yes</t>
        </is>
      </c>
      <c r="E84" t="n">
        <v>6335</v>
      </c>
      <c r="F84" t="n">
        <v>4960.47</v>
      </c>
      <c r="G84" t="n">
        <v>1374.53</v>
      </c>
      <c r="H84" t="inlineStr">
        <is>
          <t>Active</t>
        </is>
      </c>
      <c r="I84" s="18" t="n">
        <v>46243.5</v>
      </c>
    </row>
    <row r="85">
      <c r="A85" t="inlineStr">
        <is>
          <t>FA-000081</t>
        </is>
      </c>
      <c r="B85" t="inlineStr">
        <is>
          <t>MD-00081</t>
        </is>
      </c>
      <c r="C85" t="inlineStr">
        <is>
          <t>MD-LA-050081</t>
        </is>
      </c>
      <c r="D85" t="inlineStr">
        <is>
          <t>No</t>
        </is>
      </c>
      <c r="E85" t="n">
        <v>2030</v>
      </c>
      <c r="F85" t="n">
        <v>1915.6</v>
      </c>
      <c r="G85" t="n">
        <v>114.4</v>
      </c>
      <c r="H85" t="inlineStr">
        <is>
          <t>Active</t>
        </is>
      </c>
      <c r="I85" s="18" t="n">
        <v>46243.5</v>
      </c>
    </row>
    <row r="86">
      <c r="A86" t="inlineStr">
        <is>
          <t>FA-000082</t>
        </is>
      </c>
      <c r="B86" t="inlineStr">
        <is>
          <t>MD-00082</t>
        </is>
      </c>
      <c r="C86" t="inlineStr">
        <is>
          <t>MD-MO-050082</t>
        </is>
      </c>
      <c r="D86" t="inlineStr">
        <is>
          <t>No</t>
        </is>
      </c>
      <c r="E86" t="n">
        <v>745</v>
      </c>
      <c r="F86" t="n">
        <v>259.45</v>
      </c>
      <c r="G86" t="n">
        <v>485.55</v>
      </c>
      <c r="H86" t="inlineStr">
        <is>
          <t>Active</t>
        </is>
      </c>
      <c r="I86" s="18" t="n">
        <v>46243.5</v>
      </c>
    </row>
    <row r="87">
      <c r="A87" t="inlineStr">
        <is>
          <t>FA-000083</t>
        </is>
      </c>
      <c r="B87" t="inlineStr">
        <is>
          <t>MD-00083</t>
        </is>
      </c>
      <c r="C87" t="inlineStr">
        <is>
          <t>MD-MO-050083</t>
        </is>
      </c>
      <c r="D87" t="inlineStr">
        <is>
          <t>No</t>
        </is>
      </c>
      <c r="E87" t="n">
        <v>1220</v>
      </c>
      <c r="F87" t="n">
        <v>267.21</v>
      </c>
      <c r="G87" t="n">
        <v>952.79</v>
      </c>
      <c r="H87" t="inlineStr">
        <is>
          <t>Active</t>
        </is>
      </c>
      <c r="I87" s="18" t="n">
        <v>46243.5</v>
      </c>
    </row>
    <row r="88">
      <c r="A88" t="inlineStr">
        <is>
          <t>FA-000084</t>
        </is>
      </c>
      <c r="B88" t="inlineStr">
        <is>
          <t>MD-00084</t>
        </is>
      </c>
      <c r="C88" t="inlineStr">
        <is>
          <t>MD-NE-050084</t>
        </is>
      </c>
      <c r="D88" t="inlineStr">
        <is>
          <t>Yes</t>
        </is>
      </c>
      <c r="E88" t="n">
        <v>6200</v>
      </c>
      <c r="F88" t="n">
        <v>5666.15</v>
      </c>
      <c r="G88" t="n">
        <v>533.85</v>
      </c>
      <c r="H88" t="inlineStr">
        <is>
          <t>Active</t>
        </is>
      </c>
      <c r="I88" s="18" t="n">
        <v>46243.5</v>
      </c>
    </row>
    <row r="89">
      <c r="A89" t="inlineStr">
        <is>
          <t>FA-000085</t>
        </is>
      </c>
      <c r="B89" t="inlineStr">
        <is>
          <t>MD-00085</t>
        </is>
      </c>
      <c r="C89" t="inlineStr">
        <is>
          <t>MD-LA-050085</t>
        </is>
      </c>
      <c r="D89" t="inlineStr">
        <is>
          <t>No</t>
        </is>
      </c>
      <c r="E89" t="n">
        <v>2090</v>
      </c>
      <c r="F89" t="n">
        <v>2070</v>
      </c>
      <c r="G89" t="n">
        <v>0</v>
      </c>
      <c r="H89" t="inlineStr">
        <is>
          <t>Active</t>
        </is>
      </c>
      <c r="I89" s="18" t="n">
        <v>46243.5</v>
      </c>
    </row>
    <row r="90">
      <c r="A90" t="inlineStr">
        <is>
          <t>FA-000086</t>
        </is>
      </c>
      <c r="B90" t="inlineStr">
        <is>
          <t>MD-00086</t>
        </is>
      </c>
      <c r="C90" t="inlineStr">
        <is>
          <t>MD-MO-050086</t>
        </is>
      </c>
      <c r="D90" t="inlineStr">
        <is>
          <t>No</t>
        </is>
      </c>
      <c r="E90" t="n">
        <v>610</v>
      </c>
      <c r="F90" t="n">
        <v>292.93</v>
      </c>
      <c r="G90" t="n">
        <v>317.07</v>
      </c>
      <c r="H90" t="inlineStr">
        <is>
          <t>Active</t>
        </is>
      </c>
      <c r="I90" s="18" t="n">
        <v>46243.5</v>
      </c>
    </row>
    <row r="91">
      <c r="A91" t="inlineStr">
        <is>
          <t>FA-000087</t>
        </is>
      </c>
      <c r="B91" t="inlineStr">
        <is>
          <t>MD-00087</t>
        </is>
      </c>
      <c r="C91" t="inlineStr">
        <is>
          <t>MD-MO-050087</t>
        </is>
      </c>
      <c r="D91" t="inlineStr">
        <is>
          <t>No</t>
        </is>
      </c>
      <c r="E91" t="n">
        <v>1085</v>
      </c>
      <c r="F91" t="n">
        <v>475.29</v>
      </c>
      <c r="G91" t="n">
        <v>609.71</v>
      </c>
      <c r="H91" t="inlineStr">
        <is>
          <t>Active</t>
        </is>
      </c>
      <c r="I91" s="18" t="n">
        <v>46243.5</v>
      </c>
    </row>
    <row r="92">
      <c r="A92" t="inlineStr">
        <is>
          <t>FA-000088</t>
        </is>
      </c>
      <c r="B92" t="inlineStr">
        <is>
          <t>MD-00088</t>
        </is>
      </c>
      <c r="C92" t="inlineStr">
        <is>
          <t>MD-NE-050088</t>
        </is>
      </c>
      <c r="D92" t="inlineStr">
        <is>
          <t>Yes</t>
        </is>
      </c>
      <c r="E92" t="n">
        <v>6380</v>
      </c>
      <c r="F92" t="n">
        <v>5397.45</v>
      </c>
      <c r="G92" t="n">
        <v>982.55</v>
      </c>
      <c r="H92" t="inlineStr">
        <is>
          <t>Active</t>
        </is>
      </c>
      <c r="I92" s="18" t="n">
        <v>46243.5</v>
      </c>
    </row>
    <row r="93">
      <c r="A93" t="inlineStr">
        <is>
          <t>FA-000089</t>
        </is>
      </c>
      <c r="B93" t="inlineStr">
        <is>
          <t>MD-00089</t>
        </is>
      </c>
      <c r="C93" t="inlineStr">
        <is>
          <t>MD-LA-050089</t>
        </is>
      </c>
      <c r="D93" t="inlineStr">
        <is>
          <t>No</t>
        </is>
      </c>
      <c r="E93" t="n">
        <v>2075</v>
      </c>
      <c r="F93" t="n">
        <v>2075</v>
      </c>
      <c r="G93" t="n">
        <v>0</v>
      </c>
      <c r="H93" t="inlineStr">
        <is>
          <t>Active</t>
        </is>
      </c>
      <c r="I93" s="18" t="n">
        <v>46243.5</v>
      </c>
    </row>
    <row r="94">
      <c r="A94" t="inlineStr">
        <is>
          <t>FA-000090</t>
        </is>
      </c>
      <c r="B94" t="inlineStr">
        <is>
          <t>MD-00090</t>
        </is>
      </c>
      <c r="C94" t="inlineStr">
        <is>
          <t>MD-MO-050090</t>
        </is>
      </c>
      <c r="D94" t="inlineStr">
        <is>
          <t>No</t>
        </is>
      </c>
      <c r="E94" t="n">
        <v>790</v>
      </c>
      <c r="F94" t="n">
        <v>324.87</v>
      </c>
      <c r="G94" t="n">
        <v>465.13</v>
      </c>
      <c r="H94" t="inlineStr">
        <is>
          <t>Active</t>
        </is>
      </c>
      <c r="I94" s="18" t="n">
        <v>46243.5</v>
      </c>
    </row>
    <row r="95">
      <c r="A95" t="inlineStr">
        <is>
          <t>FA-000091</t>
        </is>
      </c>
      <c r="B95" t="inlineStr">
        <is>
          <t>MD-00091</t>
        </is>
      </c>
      <c r="C95" t="inlineStr">
        <is>
          <t>MD-MO-050091</t>
        </is>
      </c>
      <c r="D95" t="inlineStr">
        <is>
          <t>No</t>
        </is>
      </c>
      <c r="E95" t="n">
        <v>950</v>
      </c>
      <c r="F95" t="n">
        <v>306.91</v>
      </c>
      <c r="G95" t="n">
        <v>643.09</v>
      </c>
      <c r="H95" t="inlineStr">
        <is>
          <t>Active</t>
        </is>
      </c>
      <c r="I95" s="18" t="n">
        <v>46243.5</v>
      </c>
    </row>
    <row r="96">
      <c r="A96" t="inlineStr">
        <is>
          <t>FA-000092</t>
        </is>
      </c>
      <c r="B96" t="inlineStr">
        <is>
          <t>MD-00092</t>
        </is>
      </c>
      <c r="C96" t="inlineStr">
        <is>
          <t>MD-NE-050088</t>
        </is>
      </c>
      <c r="D96" t="inlineStr">
        <is>
          <t>Yes</t>
        </is>
      </c>
      <c r="E96" t="n">
        <v>6245</v>
      </c>
      <c r="F96" t="n">
        <v>4848.96</v>
      </c>
      <c r="G96" t="n">
        <v>1396.04</v>
      </c>
      <c r="H96" t="inlineStr">
        <is>
          <t>Active</t>
        </is>
      </c>
      <c r="I96" s="18" t="n">
        <v>46243.5</v>
      </c>
    </row>
    <row r="97">
      <c r="A97" t="inlineStr">
        <is>
          <t>FA-000093</t>
        </is>
      </c>
      <c r="B97" t="inlineStr">
        <is>
          <t>MD-00093</t>
        </is>
      </c>
      <c r="C97" t="inlineStr">
        <is>
          <t>MD-LA-050093</t>
        </is>
      </c>
      <c r="D97" t="inlineStr">
        <is>
          <t>No</t>
        </is>
      </c>
      <c r="E97" t="n">
        <v>1940</v>
      </c>
      <c r="F97" t="n">
        <v>1809.43</v>
      </c>
      <c r="G97" t="n">
        <v>130.57</v>
      </c>
      <c r="H97" t="inlineStr">
        <is>
          <t>Active</t>
        </is>
      </c>
      <c r="I97" s="18" t="n">
        <v>46243.5</v>
      </c>
    </row>
    <row r="98">
      <c r="A98" t="inlineStr">
        <is>
          <t>FA-000094</t>
        </is>
      </c>
      <c r="B98" t="inlineStr">
        <is>
          <t>MD-00094</t>
        </is>
      </c>
      <c r="C98" t="inlineStr">
        <is>
          <t>MD-MO-050094</t>
        </is>
      </c>
      <c r="D98" t="inlineStr">
        <is>
          <t>No</t>
        </is>
      </c>
      <c r="E98" t="n">
        <v>655</v>
      </c>
      <c r="F98" t="n">
        <v>223.8</v>
      </c>
      <c r="G98" t="n">
        <v>431.2</v>
      </c>
      <c r="H98" t="inlineStr">
        <is>
          <t>Active</t>
        </is>
      </c>
      <c r="I98" s="18" t="n">
        <v>46243.5</v>
      </c>
    </row>
    <row r="99">
      <c r="A99" t="inlineStr">
        <is>
          <t>FA-000095</t>
        </is>
      </c>
      <c r="B99" t="inlineStr">
        <is>
          <t>MD-00095</t>
        </is>
      </c>
      <c r="C99" t="inlineStr">
        <is>
          <t>MD-MO-050095</t>
        </is>
      </c>
      <c r="D99" t="inlineStr">
        <is>
          <t>No</t>
        </is>
      </c>
      <c r="E99" t="n">
        <v>1130</v>
      </c>
      <c r="F99" t="n">
        <v>235.13</v>
      </c>
      <c r="G99" t="n">
        <v>894.87</v>
      </c>
      <c r="H99" t="inlineStr">
        <is>
          <t>Active</t>
        </is>
      </c>
      <c r="I99" s="18" t="n">
        <v>46243.5</v>
      </c>
    </row>
    <row r="100">
      <c r="A100" t="inlineStr">
        <is>
          <t>FA-000096</t>
        </is>
      </c>
      <c r="B100" t="inlineStr">
        <is>
          <t>MD-00096</t>
        </is>
      </c>
      <c r="C100" t="inlineStr">
        <is>
          <t>MD-NE-050096</t>
        </is>
      </c>
      <c r="D100" t="inlineStr">
        <is>
          <t>Yes</t>
        </is>
      </c>
      <c r="E100" t="n">
        <v>6425</v>
      </c>
      <c r="F100" t="n">
        <v>5913.99</v>
      </c>
      <c r="G100" t="n">
        <v>511.01</v>
      </c>
      <c r="H100" t="inlineStr">
        <is>
          <t>Active</t>
        </is>
      </c>
      <c r="I100" s="18" t="n">
        <v>46243.5</v>
      </c>
    </row>
    <row r="101">
      <c r="A101" t="inlineStr">
        <is>
          <t>FA-000097</t>
        </is>
      </c>
      <c r="B101" t="inlineStr">
        <is>
          <t>MD-00097</t>
        </is>
      </c>
      <c r="C101" t="inlineStr">
        <is>
          <t>MD-LA-050097</t>
        </is>
      </c>
      <c r="D101" t="inlineStr">
        <is>
          <t>No</t>
        </is>
      </c>
      <c r="E101" t="n">
        <v>2120</v>
      </c>
      <c r="F101" t="n">
        <v>2120</v>
      </c>
      <c r="G101" t="n">
        <v>0</v>
      </c>
      <c r="H101" t="inlineStr">
        <is>
          <t>Active</t>
        </is>
      </c>
      <c r="I101" s="18" t="n">
        <v>46243.5</v>
      </c>
    </row>
    <row r="102">
      <c r="A102" t="inlineStr">
        <is>
          <t>FA-000098</t>
        </is>
      </c>
      <c r="B102" t="inlineStr">
        <is>
          <t>MD-00098</t>
        </is>
      </c>
      <c r="C102" t="inlineStr">
        <is>
          <t>MD-MO-050098</t>
        </is>
      </c>
      <c r="D102" t="inlineStr">
        <is>
          <t>No</t>
        </is>
      </c>
      <c r="E102" t="n">
        <v>520</v>
      </c>
      <c r="F102" t="n">
        <v>253.13</v>
      </c>
      <c r="G102" t="n">
        <v>266.87</v>
      </c>
      <c r="H102" t="inlineStr">
        <is>
          <t>Active</t>
        </is>
      </c>
      <c r="I102" s="18" t="n">
        <v>46243.5</v>
      </c>
    </row>
    <row r="103">
      <c r="A103" t="inlineStr">
        <is>
          <t>FA-000099</t>
        </is>
      </c>
      <c r="B103" t="inlineStr">
        <is>
          <t>MD-00099</t>
        </is>
      </c>
      <c r="C103" t="inlineStr">
        <is>
          <t>MD-MO-050099</t>
        </is>
      </c>
      <c r="D103" t="inlineStr">
        <is>
          <t>No</t>
        </is>
      </c>
      <c r="E103" t="n">
        <v>995</v>
      </c>
      <c r="F103" t="n">
        <v>446.76</v>
      </c>
      <c r="G103" t="n">
        <v>548.24</v>
      </c>
      <c r="H103" t="inlineStr">
        <is>
          <t>Active</t>
        </is>
      </c>
      <c r="I103" s="18" t="n">
        <v>46243.5</v>
      </c>
    </row>
    <row r="104">
      <c r="A104" t="inlineStr">
        <is>
          <t>FA-000100</t>
        </is>
      </c>
      <c r="B104" t="inlineStr">
        <is>
          <t>MD-00100</t>
        </is>
      </c>
      <c r="C104" t="inlineStr">
        <is>
          <t>MD-NE-050100</t>
        </is>
      </c>
      <c r="D104" t="inlineStr">
        <is>
          <t>Yes</t>
        </is>
      </c>
      <c r="E104" t="n">
        <v>6290</v>
      </c>
      <c r="F104" t="n">
        <v>5362.64</v>
      </c>
      <c r="G104" t="n">
        <v>927.36</v>
      </c>
      <c r="H104" t="inlineStr">
        <is>
          <t>Active</t>
        </is>
      </c>
      <c r="I104" s="18" t="n">
        <v>46243.5</v>
      </c>
    </row>
    <row r="105">
      <c r="A105" t="inlineStr">
        <is>
          <t>FA-000101</t>
        </is>
      </c>
      <c r="B105" t="inlineStr">
        <is>
          <t>MD-00101</t>
        </is>
      </c>
      <c r="C105" t="inlineStr">
        <is>
          <t>MD-LA-050101</t>
        </is>
      </c>
      <c r="D105" t="inlineStr">
        <is>
          <t>No</t>
        </is>
      </c>
      <c r="E105" t="n">
        <v>1985</v>
      </c>
      <c r="F105" t="n">
        <v>1985</v>
      </c>
      <c r="G105" t="n">
        <v>0</v>
      </c>
      <c r="H105" t="inlineStr">
        <is>
          <t>Active</t>
        </is>
      </c>
      <c r="I105" s="18" t="n">
        <v>46243.5</v>
      </c>
    </row>
    <row r="106">
      <c r="A106" t="inlineStr">
        <is>
          <t>FA-000102</t>
        </is>
      </c>
      <c r="B106" t="inlineStr">
        <is>
          <t>MD-00102</t>
        </is>
      </c>
      <c r="C106" t="inlineStr">
        <is>
          <t>MD-MO-050102</t>
        </is>
      </c>
      <c r="D106" t="inlineStr">
        <is>
          <t>No</t>
        </is>
      </c>
      <c r="E106" t="n">
        <v>820</v>
      </c>
      <c r="F106" t="n">
        <v>467.46</v>
      </c>
      <c r="G106" t="n">
        <v>407.54</v>
      </c>
      <c r="H106" t="inlineStr">
        <is>
          <t>Active</t>
        </is>
      </c>
      <c r="I106" s="18" t="n">
        <v>46243.5</v>
      </c>
    </row>
    <row r="107">
      <c r="A107" t="inlineStr">
        <is>
          <t>FA-000103</t>
        </is>
      </c>
      <c r="B107" t="inlineStr">
        <is>
          <t>MD-00103</t>
        </is>
      </c>
      <c r="C107" t="inlineStr">
        <is>
          <t>MD-MO-050103</t>
        </is>
      </c>
      <c r="D107" t="inlineStr">
        <is>
          <t>No</t>
        </is>
      </c>
      <c r="E107" t="n">
        <v>1175</v>
      </c>
      <c r="F107" t="n">
        <v>392.47</v>
      </c>
      <c r="G107" t="n">
        <v>782.53</v>
      </c>
      <c r="H107" t="inlineStr">
        <is>
          <t>Active</t>
        </is>
      </c>
      <c r="I107" s="18" t="n">
        <v>46243.5</v>
      </c>
    </row>
    <row r="108">
      <c r="A108" t="inlineStr">
        <is>
          <t>FA-000104</t>
        </is>
      </c>
      <c r="B108" t="inlineStr">
        <is>
          <t>MD-00104</t>
        </is>
      </c>
      <c r="C108" t="inlineStr">
        <is>
          <t>MD-NE-050104</t>
        </is>
      </c>
      <c r="D108" t="inlineStr">
        <is>
          <t>Yes</t>
        </is>
      </c>
      <c r="E108" t="n">
        <v>6470</v>
      </c>
      <c r="F108" t="n">
        <v>5066.17</v>
      </c>
      <c r="G108" t="n">
        <v>1403.83</v>
      </c>
      <c r="H108" t="inlineStr">
        <is>
          <t>Active</t>
        </is>
      </c>
      <c r="I108" s="18" t="n">
        <v>46243.5</v>
      </c>
    </row>
    <row r="109">
      <c r="A109" t="inlineStr">
        <is>
          <t>FA-000105</t>
        </is>
      </c>
      <c r="B109" t="inlineStr">
        <is>
          <t>MD-00105</t>
        </is>
      </c>
      <c r="C109" t="inlineStr">
        <is>
          <t>MD-LA-050105</t>
        </is>
      </c>
      <c r="D109" t="inlineStr">
        <is>
          <t>No</t>
        </is>
      </c>
      <c r="E109" t="n">
        <v>1850</v>
      </c>
      <c r="F109" t="n">
        <v>1745.74</v>
      </c>
      <c r="G109" t="n">
        <v>104.26</v>
      </c>
      <c r="H109" t="inlineStr">
        <is>
          <t>Active</t>
        </is>
      </c>
      <c r="I109" s="18" t="n">
        <v>46243.5</v>
      </c>
    </row>
    <row r="110">
      <c r="A110" t="inlineStr">
        <is>
          <t>FA-000106</t>
        </is>
      </c>
      <c r="B110" t="inlineStr">
        <is>
          <t>MD-00106</t>
        </is>
      </c>
      <c r="C110" t="inlineStr">
        <is>
          <t>MD-MO-050106</t>
        </is>
      </c>
      <c r="D110" t="inlineStr">
        <is>
          <t>No</t>
        </is>
      </c>
      <c r="E110" t="n">
        <v>565</v>
      </c>
      <c r="F110" t="n">
        <v>196.76</v>
      </c>
      <c r="G110" t="n">
        <v>368.24</v>
      </c>
      <c r="H110" t="inlineStr">
        <is>
          <t>Active</t>
        </is>
      </c>
      <c r="I110" s="18" t="n">
        <v>46243.5</v>
      </c>
    </row>
    <row r="111">
      <c r="A111" t="inlineStr">
        <is>
          <t>FA-000107</t>
        </is>
      </c>
      <c r="B111" t="inlineStr">
        <is>
          <t>MD-00107</t>
        </is>
      </c>
      <c r="C111" t="inlineStr">
        <is>
          <t>MD-MO-050107</t>
        </is>
      </c>
      <c r="D111" t="inlineStr">
        <is>
          <t>No</t>
        </is>
      </c>
      <c r="E111" t="n">
        <v>1040</v>
      </c>
      <c r="F111" t="n">
        <v>227.79</v>
      </c>
      <c r="G111" t="n">
        <v>812.21</v>
      </c>
      <c r="H111" t="inlineStr">
        <is>
          <t>Active</t>
        </is>
      </c>
      <c r="I111" s="18" t="n">
        <v>46243.5</v>
      </c>
    </row>
    <row r="112">
      <c r="A112" t="inlineStr">
        <is>
          <t>FA-000108</t>
        </is>
      </c>
      <c r="B112" t="inlineStr">
        <is>
          <t>MD-00108</t>
        </is>
      </c>
      <c r="C112" t="inlineStr">
        <is>
          <t>MD-NE-050108</t>
        </is>
      </c>
      <c r="D112" t="inlineStr">
        <is>
          <t>Yes</t>
        </is>
      </c>
      <c r="E112" t="n">
        <v>6335</v>
      </c>
      <c r="F112" t="n">
        <v>5789.52</v>
      </c>
      <c r="G112" t="n">
        <v>545.48</v>
      </c>
      <c r="H112" t="inlineStr">
        <is>
          <t>Active</t>
        </is>
      </c>
      <c r="I112" s="18" t="n">
        <v>46243.5</v>
      </c>
    </row>
    <row r="113">
      <c r="A113" t="inlineStr">
        <is>
          <t>FA-000109</t>
        </is>
      </c>
      <c r="B113" t="inlineStr">
        <is>
          <t>MD-00109</t>
        </is>
      </c>
      <c r="C113" t="inlineStr">
        <is>
          <t>MD-LA-050109</t>
        </is>
      </c>
      <c r="D113" t="inlineStr">
        <is>
          <t>No</t>
        </is>
      </c>
      <c r="E113" t="n">
        <v>2030</v>
      </c>
      <c r="F113" t="n">
        <v>2030</v>
      </c>
      <c r="G113" t="n">
        <v>0</v>
      </c>
      <c r="H113" t="inlineStr">
        <is>
          <t>Active</t>
        </is>
      </c>
      <c r="I113" s="18" t="n">
        <v>46243.5</v>
      </c>
    </row>
    <row r="114">
      <c r="A114" t="inlineStr">
        <is>
          <t>FA-000110</t>
        </is>
      </c>
      <c r="B114" t="inlineStr">
        <is>
          <t>MD-00110</t>
        </is>
      </c>
      <c r="C114" t="inlineStr">
        <is>
          <t>MD-MO-050110</t>
        </is>
      </c>
      <c r="D114" t="inlineStr">
        <is>
          <t>No</t>
        </is>
      </c>
      <c r="E114" t="n">
        <v>745</v>
      </c>
      <c r="F114" t="n">
        <v>357.76</v>
      </c>
      <c r="G114" t="n">
        <v>387.24</v>
      </c>
      <c r="H114" t="inlineStr">
        <is>
          <t>Active</t>
        </is>
      </c>
      <c r="I114" s="18" t="n">
        <v>46243.5</v>
      </c>
    </row>
    <row r="115">
      <c r="A115" t="inlineStr">
        <is>
          <t>FA-000111</t>
        </is>
      </c>
      <c r="B115" t="inlineStr">
        <is>
          <t>MD-00111</t>
        </is>
      </c>
      <c r="C115" t="inlineStr">
        <is>
          <t>MD-MO-050111</t>
        </is>
      </c>
      <c r="D115" t="inlineStr">
        <is>
          <t>No</t>
        </is>
      </c>
      <c r="E115" t="n">
        <v>1220</v>
      </c>
      <c r="F115" t="n">
        <v>1220</v>
      </c>
      <c r="G115" t="n">
        <v>0</v>
      </c>
      <c r="H115" t="inlineStr">
        <is>
          <t>Disposed</t>
        </is>
      </c>
      <c r="I115" s="18" t="n">
        <v>46243.5</v>
      </c>
    </row>
    <row r="116">
      <c r="A116" t="inlineStr">
        <is>
          <t>FA-000112</t>
        </is>
      </c>
      <c r="B116" t="inlineStr">
        <is>
          <t>MD-00112</t>
        </is>
      </c>
      <c r="C116" t="inlineStr">
        <is>
          <t>MD-NE-050112</t>
        </is>
      </c>
      <c r="D116" t="inlineStr">
        <is>
          <t>Yes</t>
        </is>
      </c>
      <c r="E116" t="n">
        <v>6200</v>
      </c>
      <c r="F116" t="n">
        <v>6200</v>
      </c>
      <c r="G116" t="n">
        <v>0</v>
      </c>
      <c r="H116" t="inlineStr">
        <is>
          <t>Disposed</t>
        </is>
      </c>
      <c r="I116" s="18" t="n">
        <v>46243.5</v>
      </c>
    </row>
    <row r="117">
      <c r="A117" t="inlineStr">
        <is>
          <t>FA-000113</t>
        </is>
      </c>
      <c r="B117" t="inlineStr">
        <is>
          <t>MD-00113</t>
        </is>
      </c>
      <c r="C117" t="inlineStr">
        <is>
          <t>MD-LA-050113</t>
        </is>
      </c>
      <c r="D117" t="inlineStr">
        <is>
          <t>No</t>
        </is>
      </c>
      <c r="E117" t="n">
        <v>1895</v>
      </c>
      <c r="F117" t="n">
        <v>1895</v>
      </c>
      <c r="G117" t="n">
        <v>0</v>
      </c>
      <c r="H117" t="inlineStr">
        <is>
          <t>Disposed</t>
        </is>
      </c>
      <c r="I117" s="18" t="n">
        <v>46243.5</v>
      </c>
    </row>
    <row r="118">
      <c r="A118" t="inlineStr">
        <is>
          <t>FA-000114</t>
        </is>
      </c>
      <c r="B118" t="inlineStr">
        <is>
          <t>MD-00114</t>
        </is>
      </c>
      <c r="C118" t="inlineStr">
        <is>
          <t>MD-MO-050114</t>
        </is>
      </c>
      <c r="D118" t="inlineStr">
        <is>
          <t>No</t>
        </is>
      </c>
      <c r="E118" t="n">
        <v>610</v>
      </c>
      <c r="F118" t="n">
        <v>610</v>
      </c>
      <c r="G118" t="n">
        <v>0</v>
      </c>
      <c r="H118" t="inlineStr">
        <is>
          <t>Disposed</t>
        </is>
      </c>
      <c r="I118" s="18" t="n">
        <v>46243.5</v>
      </c>
    </row>
    <row r="119">
      <c r="A119" t="inlineStr">
        <is>
          <t>FA-000115</t>
        </is>
      </c>
      <c r="B119" t="inlineStr">
        <is>
          <t>MD-00115</t>
        </is>
      </c>
      <c r="C119" t="inlineStr">
        <is>
          <t>MD-MO-050115</t>
        </is>
      </c>
      <c r="D119" t="inlineStr">
        <is>
          <t>No</t>
        </is>
      </c>
      <c r="E119" t="n">
        <v>1085</v>
      </c>
      <c r="F119" t="n">
        <v>1085</v>
      </c>
      <c r="G119" t="n">
        <v>0</v>
      </c>
      <c r="H119" t="inlineStr">
        <is>
          <t>Disposed</t>
        </is>
      </c>
      <c r="I119" s="18" t="n">
        <v>46243.5</v>
      </c>
    </row>
    <row r="120">
      <c r="A120" t="inlineStr">
        <is>
          <t>FA-000116</t>
        </is>
      </c>
      <c r="B120" t="inlineStr">
        <is>
          <t>MD-00116</t>
        </is>
      </c>
      <c r="C120" t="inlineStr">
        <is>
          <t>MD-NE-050116</t>
        </is>
      </c>
      <c r="D120" t="inlineStr">
        <is>
          <t>Yes</t>
        </is>
      </c>
      <c r="E120" t="n">
        <v>6380</v>
      </c>
      <c r="F120" t="n">
        <v>6380</v>
      </c>
      <c r="G120" t="n">
        <v>0</v>
      </c>
      <c r="H120" t="inlineStr">
        <is>
          <t>Disposed</t>
        </is>
      </c>
      <c r="I120" s="18" t="n">
        <v>46243.5</v>
      </c>
    </row>
    <row r="121">
      <c r="A121" t="inlineStr">
        <is>
          <t>FA-000117</t>
        </is>
      </c>
      <c r="B121" t="inlineStr">
        <is>
          <t>MD-00117</t>
        </is>
      </c>
      <c r="C121" t="inlineStr">
        <is>
          <t>MD-LA-050117</t>
        </is>
      </c>
      <c r="D121" t="inlineStr">
        <is>
          <t>No</t>
        </is>
      </c>
      <c r="E121" t="n">
        <v>2075</v>
      </c>
      <c r="F121" t="n">
        <v>2075</v>
      </c>
      <c r="G121" t="n">
        <v>0</v>
      </c>
      <c r="H121" t="inlineStr">
        <is>
          <t>Disposed</t>
        </is>
      </c>
      <c r="I121" s="18" t="n">
        <v>46243.5</v>
      </c>
    </row>
    <row r="122">
      <c r="A122" t="inlineStr">
        <is>
          <t>FA-000118</t>
        </is>
      </c>
      <c r="B122" t="inlineStr">
        <is>
          <t>MD-00118</t>
        </is>
      </c>
      <c r="C122" t="inlineStr">
        <is>
          <t>MD-MO-050118</t>
        </is>
      </c>
      <c r="D122" t="inlineStr">
        <is>
          <t>No</t>
        </is>
      </c>
      <c r="E122" t="n">
        <v>790</v>
      </c>
      <c r="F122" t="n">
        <v>790</v>
      </c>
      <c r="G122" t="n">
        <v>0</v>
      </c>
      <c r="H122" t="inlineStr">
        <is>
          <t>Disposed</t>
        </is>
      </c>
      <c r="I122" s="18" t="n">
        <v>46243.5</v>
      </c>
    </row>
    <row r="123">
      <c r="A123" t="inlineStr">
        <is>
          <t>FA-000119</t>
        </is>
      </c>
      <c r="B123" t="inlineStr">
        <is>
          <t>MD-00119</t>
        </is>
      </c>
      <c r="C123" t="inlineStr">
        <is>
          <t>MD-MO-050119</t>
        </is>
      </c>
      <c r="D123" t="inlineStr">
        <is>
          <t>No</t>
        </is>
      </c>
      <c r="E123" t="n">
        <v>1115</v>
      </c>
      <c r="F123" t="n">
        <v>1125</v>
      </c>
      <c r="G123" t="n">
        <v>0</v>
      </c>
      <c r="H123" t="inlineStr">
        <is>
          <t>Disposed</t>
        </is>
      </c>
      <c r="I123" s="18" t="n">
        <v>46243.5</v>
      </c>
    </row>
    <row r="124">
      <c r="A124" t="inlineStr">
        <is>
          <t>FA-000120</t>
        </is>
      </c>
      <c r="B124" t="inlineStr">
        <is>
          <t>MD-00120</t>
        </is>
      </c>
      <c r="C124" t="inlineStr">
        <is>
          <t>MD-NE-050120</t>
        </is>
      </c>
      <c r="D124" t="inlineStr">
        <is>
          <t>Yes</t>
        </is>
      </c>
      <c r="E124" t="n">
        <v>6245</v>
      </c>
      <c r="F124" t="n">
        <v>6245</v>
      </c>
      <c r="G124" t="n">
        <v>0</v>
      </c>
      <c r="H124" t="inlineStr">
        <is>
          <t>Disposed</t>
        </is>
      </c>
      <c r="I124" s="18" t="n">
        <v>46243.5</v>
      </c>
    </row>
    <row r="125">
      <c r="A125" t="inlineStr">
        <is>
          <t>FA-000121</t>
        </is>
      </c>
      <c r="B125" t="inlineStr">
        <is>
          <t>MD-00121</t>
        </is>
      </c>
      <c r="C125" t="inlineStr">
        <is>
          <t>MD-LA-050121</t>
        </is>
      </c>
      <c r="D125" t="inlineStr">
        <is>
          <t>No</t>
        </is>
      </c>
      <c r="E125" t="n">
        <v>1940</v>
      </c>
      <c r="F125" t="n">
        <v>1940</v>
      </c>
      <c r="G125" t="n">
        <v>0</v>
      </c>
      <c r="H125" t="inlineStr">
        <is>
          <t>Active</t>
        </is>
      </c>
      <c r="I125" s="18" t="n">
        <v>46243.5</v>
      </c>
    </row>
    <row r="126">
      <c r="A126" t="inlineStr">
        <is>
          <t>FA-000122</t>
        </is>
      </c>
      <c r="B126" t="inlineStr">
        <is>
          <t>MD-00122</t>
        </is>
      </c>
      <c r="C126" t="inlineStr">
        <is>
          <t>MD-MO-050122</t>
        </is>
      </c>
      <c r="D126" t="inlineStr">
        <is>
          <t>No</t>
        </is>
      </c>
      <c r="E126" t="n">
        <v>655</v>
      </c>
      <c r="F126" t="n">
        <v>318.85</v>
      </c>
      <c r="G126" t="n">
        <v>336.15</v>
      </c>
      <c r="H126" t="inlineStr">
        <is>
          <t>Active</t>
        </is>
      </c>
      <c r="I126" s="18" t="n">
        <v>46243.5</v>
      </c>
    </row>
    <row r="127">
      <c r="A127" t="inlineStr">
        <is>
          <t>FA-000123</t>
        </is>
      </c>
      <c r="B127" t="inlineStr">
        <is>
          <t>MD-00123</t>
        </is>
      </c>
      <c r="C127" t="inlineStr">
        <is>
          <t>MD-MO-050123</t>
        </is>
      </c>
      <c r="D127" t="inlineStr">
        <is>
          <t>No</t>
        </is>
      </c>
      <c r="E127" t="n">
        <v>1130</v>
      </c>
      <c r="F127" t="n">
        <v>507.38</v>
      </c>
      <c r="G127" t="n">
        <v>622.62</v>
      </c>
      <c r="H127" t="inlineStr">
        <is>
          <t>Active</t>
        </is>
      </c>
      <c r="I127" s="18" t="n">
        <v>46243.5</v>
      </c>
    </row>
    <row r="128">
      <c r="A128" t="inlineStr">
        <is>
          <t>FA-000124</t>
        </is>
      </c>
      <c r="B128" t="inlineStr">
        <is>
          <t>MD-00124</t>
        </is>
      </c>
      <c r="C128" t="inlineStr">
        <is>
          <t>MD-NE-050124</t>
        </is>
      </c>
      <c r="D128" t="inlineStr">
        <is>
          <t>Yes</t>
        </is>
      </c>
      <c r="E128" t="n">
        <v>6425</v>
      </c>
      <c r="F128" t="n">
        <v>5477.74</v>
      </c>
      <c r="G128" t="n">
        <v>947.26</v>
      </c>
      <c r="H128" t="inlineStr">
        <is>
          <t>Active</t>
        </is>
      </c>
      <c r="I128" s="18" t="n">
        <v>46243.5</v>
      </c>
    </row>
    <row r="129">
      <c r="A129" t="inlineStr">
        <is>
          <t>FA-000125</t>
        </is>
      </c>
      <c r="B129" t="inlineStr">
        <is>
          <t>MD-00125</t>
        </is>
      </c>
      <c r="C129" t="inlineStr">
        <is>
          <t>MD-LA-050125</t>
        </is>
      </c>
      <c r="D129" t="inlineStr">
        <is>
          <t>No</t>
        </is>
      </c>
      <c r="E129" t="n">
        <v>2120</v>
      </c>
      <c r="F129" t="n">
        <v>2120</v>
      </c>
      <c r="G129" t="n">
        <v>0</v>
      </c>
      <c r="H129" t="inlineStr">
        <is>
          <t>Active</t>
        </is>
      </c>
      <c r="I129" s="18" t="n">
        <v>46243.5</v>
      </c>
    </row>
    <row r="130">
      <c r="A130" t="inlineStr">
        <is>
          <t>FA-000126</t>
        </is>
      </c>
      <c r="B130" t="inlineStr">
        <is>
          <t>MD-00126</t>
        </is>
      </c>
      <c r="C130" t="inlineStr">
        <is>
          <t>MD-MO-050126</t>
        </is>
      </c>
      <c r="D130" t="inlineStr">
        <is>
          <t>No</t>
        </is>
      </c>
      <c r="E130" t="n">
        <v>520</v>
      </c>
      <c r="F130" t="n">
        <v>217.25</v>
      </c>
      <c r="G130" t="n">
        <v>302.75</v>
      </c>
      <c r="H130" t="inlineStr">
        <is>
          <t>Active</t>
        </is>
      </c>
      <c r="I130" s="18" t="n">
        <v>46243.5</v>
      </c>
    </row>
    <row r="131">
      <c r="A131" t="inlineStr">
        <is>
          <t>FA-000127</t>
        </is>
      </c>
      <c r="B131" t="inlineStr">
        <is>
          <t>MD-00127</t>
        </is>
      </c>
      <c r="C131" t="inlineStr">
        <is>
          <t>MD-MO-050127</t>
        </is>
      </c>
      <c r="D131" t="inlineStr">
        <is>
          <t>No</t>
        </is>
      </c>
      <c r="E131" t="n">
        <v>995</v>
      </c>
      <c r="F131" t="n">
        <v>332.35</v>
      </c>
      <c r="G131" t="n">
        <v>662.65</v>
      </c>
      <c r="H131" t="inlineStr">
        <is>
          <t>Active</t>
        </is>
      </c>
      <c r="I131" s="18" t="n">
        <v>46243.5</v>
      </c>
    </row>
    <row r="132">
      <c r="A132" t="inlineStr">
        <is>
          <t>FA-000128</t>
        </is>
      </c>
      <c r="B132" t="inlineStr">
        <is>
          <t>MD-00128</t>
        </is>
      </c>
      <c r="C132" t="inlineStr">
        <is>
          <t>MD-NE-050128</t>
        </is>
      </c>
      <c r="D132" t="inlineStr">
        <is>
          <t>Yes</t>
        </is>
      </c>
      <c r="E132" t="n">
        <v>6290</v>
      </c>
      <c r="F132" t="n">
        <v>4925.23</v>
      </c>
      <c r="G132" t="n">
        <v>1364.77</v>
      </c>
      <c r="H132" t="inlineStr">
        <is>
          <t>Active</t>
        </is>
      </c>
      <c r="I132" s="18" t="n">
        <v>46243.5</v>
      </c>
    </row>
    <row r="133">
      <c r="A133" t="inlineStr">
        <is>
          <t>FA-000129</t>
        </is>
      </c>
      <c r="B133" t="inlineStr">
        <is>
          <t>MD-00129</t>
        </is>
      </c>
      <c r="C133" t="inlineStr">
        <is>
          <t>MD-LA-050129</t>
        </is>
      </c>
      <c r="D133" t="inlineStr">
        <is>
          <t>No</t>
        </is>
      </c>
      <c r="E133" t="n">
        <v>1985</v>
      </c>
      <c r="F133" t="n">
        <v>1873.14</v>
      </c>
      <c r="G133" t="n">
        <v>111.86</v>
      </c>
      <c r="H133" t="inlineStr">
        <is>
          <t>Active</t>
        </is>
      </c>
      <c r="I133" s="18" t="n">
        <v>46243.5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 Inventory (from it_asset_inventory.xlsx)</t>
        </is>
      </c>
    </row>
    <row r="2">
      <c r="A2" t="inlineStr">
        <is>
          <t>Operational snapshot used by Corrected Register lookups.</t>
        </is>
      </c>
    </row>
    <row r="3"/>
    <row r="4">
      <c r="A4" s="26" t="inlineStr">
        <is>
          <t>Asset Tag</t>
        </is>
      </c>
      <c r="B4" s="26" t="inlineStr">
        <is>
          <t>Serial Number</t>
        </is>
      </c>
      <c r="C4" s="26" t="inlineStr">
        <is>
          <t>Category</t>
        </is>
      </c>
      <c r="D4" s="26" t="inlineStr">
        <is>
          <t>Model</t>
        </is>
      </c>
      <c r="E4" s="26" t="inlineStr">
        <is>
          <t>Assigned Employee</t>
        </is>
      </c>
      <c r="F4" s="26" t="inlineStr">
        <is>
          <t>Location</t>
        </is>
      </c>
      <c r="G4" s="26" t="inlineStr">
        <is>
          <t>Lifecycle Status</t>
        </is>
      </c>
      <c r="H4" s="26" t="inlineStr">
        <is>
          <t>Acquisition Cost</t>
        </is>
      </c>
    </row>
    <row r="5">
      <c r="A5" t="inlineStr">
        <is>
          <t>MD-00001</t>
        </is>
      </c>
      <c r="B5" t="inlineStr">
        <is>
          <t>MD-LA-050001</t>
        </is>
      </c>
      <c r="C5" t="inlineStr">
        <is>
          <t>Laptop</t>
        </is>
      </c>
      <c r="D5" t="inlineStr">
        <is>
          <t>HP EliteBook 840 G10</t>
        </is>
      </c>
      <c r="E5" t="inlineStr">
        <is>
          <t>E0001</t>
        </is>
      </c>
      <c r="F5" t="inlineStr">
        <is>
          <t>Chicago</t>
        </is>
      </c>
      <c r="G5" t="inlineStr">
        <is>
          <t>In Use</t>
        </is>
      </c>
      <c r="H5" t="n">
        <v>1895</v>
      </c>
    </row>
    <row r="6">
      <c r="A6" t="inlineStr">
        <is>
          <t>MD-00002</t>
        </is>
      </c>
      <c r="B6" t="inlineStr">
        <is>
          <t>MD-MO-050002</t>
        </is>
      </c>
      <c r="C6" t="inlineStr">
        <is>
          <t>Laptop</t>
        </is>
      </c>
      <c r="D6" t="inlineStr">
        <is>
          <t>Microsoft Surface Laptop 5</t>
        </is>
      </c>
      <c r="E6" t="inlineStr">
        <is>
          <t>E0002</t>
        </is>
      </c>
      <c r="F6" t="inlineStr">
        <is>
          <t>Dallas</t>
        </is>
      </c>
      <c r="G6" t="inlineStr">
        <is>
          <t>In Use</t>
        </is>
      </c>
      <c r="H6" t="n">
        <v>610</v>
      </c>
    </row>
    <row r="7">
      <c r="A7" t="inlineStr">
        <is>
          <t>MD-00003</t>
        </is>
      </c>
      <c r="B7" t="inlineStr">
        <is>
          <t>MD-MO-050003</t>
        </is>
      </c>
      <c r="C7" t="inlineStr">
        <is>
          <t>Laptop</t>
        </is>
      </c>
      <c r="D7" t="inlineStr">
        <is>
          <t>Lenovo ThinkPad X1 Carbon</t>
        </is>
      </c>
      <c r="E7" t="inlineStr">
        <is>
          <t>E0003</t>
        </is>
      </c>
      <c r="F7" t="inlineStr">
        <is>
          <t>Denver</t>
        </is>
      </c>
      <c r="G7" t="inlineStr">
        <is>
          <t>In Use</t>
        </is>
      </c>
      <c r="H7" t="n">
        <v>1085</v>
      </c>
    </row>
    <row r="8">
      <c r="A8" t="inlineStr">
        <is>
          <t>MD-00004</t>
        </is>
      </c>
      <c r="B8" t="inlineStr">
        <is>
          <t>MD-NE-050004</t>
        </is>
      </c>
      <c r="C8" t="inlineStr">
        <is>
          <t>Laptop</t>
        </is>
      </c>
      <c r="D8" t="inlineStr">
        <is>
          <t>Lenovo ThinkPad T14</t>
        </is>
      </c>
      <c r="E8" t="inlineStr">
        <is>
          <t>E0004</t>
        </is>
      </c>
      <c r="F8" t="inlineStr">
        <is>
          <t>New York</t>
        </is>
      </c>
      <c r="G8" t="inlineStr">
        <is>
          <t>In Use</t>
        </is>
      </c>
      <c r="H8" t="n">
        <v>6380</v>
      </c>
    </row>
    <row r="9">
      <c r="A9" t="inlineStr">
        <is>
          <t>MD-00005</t>
        </is>
      </c>
      <c r="B9" t="inlineStr">
        <is>
          <t>MD-LA-050005</t>
        </is>
      </c>
      <c r="C9" t="inlineStr">
        <is>
          <t>Laptop</t>
        </is>
      </c>
      <c r="D9" t="inlineStr">
        <is>
          <t>MacBook Pro 14</t>
        </is>
      </c>
      <c r="E9" t="inlineStr">
        <is>
          <t>E0005</t>
        </is>
      </c>
      <c r="F9" t="inlineStr">
        <is>
          <t>Seattle</t>
        </is>
      </c>
      <c r="G9" t="inlineStr">
        <is>
          <t>In Use</t>
        </is>
      </c>
      <c r="H9" t="n">
        <v>2075</v>
      </c>
    </row>
    <row r="10">
      <c r="A10" t="inlineStr">
        <is>
          <t>MD-00006</t>
        </is>
      </c>
      <c r="B10" t="inlineStr">
        <is>
          <t>MD-MO-050006</t>
        </is>
      </c>
      <c r="C10" t="inlineStr">
        <is>
          <t>Laptop</t>
        </is>
      </c>
      <c r="D10" t="inlineStr">
        <is>
          <t>Dell Latitude 7440</t>
        </is>
      </c>
      <c r="E10" t="inlineStr">
        <is>
          <t>E0006</t>
        </is>
      </c>
      <c r="F10" t="inlineStr">
        <is>
          <t>Atlanta</t>
        </is>
      </c>
      <c r="G10" t="inlineStr">
        <is>
          <t>In Use</t>
        </is>
      </c>
      <c r="H10" t="n">
        <v>790</v>
      </c>
    </row>
    <row r="11">
      <c r="A11" t="inlineStr">
        <is>
          <t>MD-00007</t>
        </is>
      </c>
      <c r="B11" t="inlineStr">
        <is>
          <t>MD-MO-050007</t>
        </is>
      </c>
      <c r="C11" t="inlineStr">
        <is>
          <t>Laptop</t>
        </is>
      </c>
      <c r="D11" t="inlineStr">
        <is>
          <t>HP EliteBook 840 G10</t>
        </is>
      </c>
      <c r="E11" t="inlineStr">
        <is>
          <t>E0007</t>
        </is>
      </c>
      <c r="F11" t="inlineStr">
        <is>
          <t>Chicago</t>
        </is>
      </c>
      <c r="G11" t="inlineStr">
        <is>
          <t>In Use</t>
        </is>
      </c>
      <c r="H11" t="n">
        <v>950</v>
      </c>
    </row>
    <row r="12">
      <c r="A12" t="inlineStr">
        <is>
          <t>MD-00008</t>
        </is>
      </c>
      <c r="B12" t="inlineStr">
        <is>
          <t>MD-NE-050008</t>
        </is>
      </c>
      <c r="C12" t="inlineStr">
        <is>
          <t>Monitor</t>
        </is>
      </c>
      <c r="D12" t="inlineStr">
        <is>
          <t>Samsung ViewFinity S8</t>
        </is>
      </c>
      <c r="E12" t="inlineStr">
        <is>
          <t>E0008</t>
        </is>
      </c>
      <c r="F12" t="inlineStr">
        <is>
          <t>Dallas</t>
        </is>
      </c>
      <c r="G12" t="inlineStr">
        <is>
          <t>In Use</t>
        </is>
      </c>
      <c r="H12" t="n">
        <v>6245</v>
      </c>
    </row>
    <row r="13">
      <c r="A13" t="inlineStr">
        <is>
          <t>MD-00009</t>
        </is>
      </c>
      <c r="B13" t="inlineStr">
        <is>
          <t>MD-LA-050009</t>
        </is>
      </c>
      <c r="C13" t="inlineStr">
        <is>
          <t>Monitor</t>
        </is>
      </c>
      <c r="D13" t="inlineStr">
        <is>
          <t>BenQ PD2705U</t>
        </is>
      </c>
      <c r="E13" t="inlineStr">
        <is>
          <t>E0009</t>
        </is>
      </c>
      <c r="F13" t="inlineStr">
        <is>
          <t>Denver</t>
        </is>
      </c>
      <c r="G13" t="inlineStr">
        <is>
          <t>In Use</t>
        </is>
      </c>
      <c r="H13" t="n">
        <v>1940</v>
      </c>
    </row>
    <row r="14">
      <c r="A14" t="inlineStr">
        <is>
          <t>MD-00010</t>
        </is>
      </c>
      <c r="B14" t="inlineStr">
        <is>
          <t>MD-MO-050010</t>
        </is>
      </c>
      <c r="C14" t="inlineStr">
        <is>
          <t>Monitor</t>
        </is>
      </c>
      <c r="D14" t="inlineStr">
        <is>
          <t>Dell U2723QE</t>
        </is>
      </c>
      <c r="E14" t="inlineStr">
        <is>
          <t>E0010</t>
        </is>
      </c>
      <c r="F14" t="inlineStr">
        <is>
          <t>New York</t>
        </is>
      </c>
      <c r="G14" t="inlineStr">
        <is>
          <t>In Use</t>
        </is>
      </c>
      <c r="H14" t="n">
        <v>655</v>
      </c>
    </row>
    <row r="15">
      <c r="A15" t="inlineStr">
        <is>
          <t>MD-00011</t>
        </is>
      </c>
      <c r="B15" t="inlineStr">
        <is>
          <t>MD-MO-050011</t>
        </is>
      </c>
      <c r="C15" t="inlineStr">
        <is>
          <t>Monitor</t>
        </is>
      </c>
      <c r="D15" t="inlineStr">
        <is>
          <t>LG UltraFine 27MD5KL</t>
        </is>
      </c>
      <c r="E15" t="inlineStr">
        <is>
          <t>E0011</t>
        </is>
      </c>
      <c r="F15" t="inlineStr">
        <is>
          <t>Seattle</t>
        </is>
      </c>
      <c r="G15" t="inlineStr">
        <is>
          <t>In Use</t>
        </is>
      </c>
      <c r="H15" t="n">
        <v>1130</v>
      </c>
    </row>
    <row r="16">
      <c r="A16" t="inlineStr">
        <is>
          <t>MD-00012</t>
        </is>
      </c>
      <c r="B16" t="inlineStr">
        <is>
          <t>MD-NE-050012</t>
        </is>
      </c>
      <c r="C16" t="inlineStr">
        <is>
          <t>Monitor</t>
        </is>
      </c>
      <c r="D16" t="inlineStr">
        <is>
          <t>Samsung ViewFinity S8</t>
        </is>
      </c>
      <c r="E16" t="inlineStr">
        <is>
          <t>E0012</t>
        </is>
      </c>
      <c r="F16" t="inlineStr">
        <is>
          <t>Atlanta</t>
        </is>
      </c>
      <c r="G16" t="inlineStr">
        <is>
          <t>In Use</t>
        </is>
      </c>
      <c r="H16" t="n">
        <v>6425</v>
      </c>
    </row>
    <row r="17">
      <c r="A17" t="inlineStr">
        <is>
          <t>MD-00013</t>
        </is>
      </c>
      <c r="B17" t="inlineStr">
        <is>
          <t>MD-LA-050013</t>
        </is>
      </c>
      <c r="C17" t="inlineStr">
        <is>
          <t>Monitor</t>
        </is>
      </c>
      <c r="D17" t="inlineStr">
        <is>
          <t>BenQ PD2705U</t>
        </is>
      </c>
      <c r="E17" t="inlineStr">
        <is>
          <t>E0013</t>
        </is>
      </c>
      <c r="F17" t="inlineStr">
        <is>
          <t>Chicago</t>
        </is>
      </c>
      <c r="G17" t="inlineStr">
        <is>
          <t>In Use</t>
        </is>
      </c>
      <c r="H17" t="n">
        <v>2120</v>
      </c>
    </row>
    <row r="18">
      <c r="A18" t="inlineStr">
        <is>
          <t>MD-00014</t>
        </is>
      </c>
      <c r="B18" t="inlineStr">
        <is>
          <t>MD-MO-050014</t>
        </is>
      </c>
      <c r="C18" t="inlineStr">
        <is>
          <t>Monitor</t>
        </is>
      </c>
      <c r="D18" t="inlineStr">
        <is>
          <t>Dell P2422H</t>
        </is>
      </c>
      <c r="E18" t="inlineStr">
        <is>
          <t>E0014</t>
        </is>
      </c>
      <c r="F18" t="inlineStr">
        <is>
          <t>Dallas</t>
        </is>
      </c>
      <c r="G18" t="inlineStr">
        <is>
          <t>In Use</t>
        </is>
      </c>
      <c r="H18" t="n">
        <v>520</v>
      </c>
    </row>
    <row r="19">
      <c r="A19" t="inlineStr">
        <is>
          <t>MD-00015</t>
        </is>
      </c>
      <c r="B19" t="inlineStr">
        <is>
          <t>MD-MO-050015</t>
        </is>
      </c>
      <c r="C19" t="inlineStr">
        <is>
          <t>Monitor</t>
        </is>
      </c>
      <c r="D19" t="inlineStr">
        <is>
          <t>Dell U2723QE</t>
        </is>
      </c>
      <c r="E19" t="inlineStr">
        <is>
          <t>E0015</t>
        </is>
      </c>
      <c r="F19" t="inlineStr">
        <is>
          <t>Denver</t>
        </is>
      </c>
      <c r="G19" t="inlineStr">
        <is>
          <t>In Use</t>
        </is>
      </c>
      <c r="H19" t="n">
        <v>995</v>
      </c>
    </row>
    <row r="20">
      <c r="A20" t="inlineStr">
        <is>
          <t>MD-00016</t>
        </is>
      </c>
      <c r="B20" t="inlineStr">
        <is>
          <t>MD-NE-050016</t>
        </is>
      </c>
      <c r="C20" t="inlineStr">
        <is>
          <t>Monitor</t>
        </is>
      </c>
      <c r="D20" t="inlineStr">
        <is>
          <t>LG UltraFine 27MD5KL</t>
        </is>
      </c>
      <c r="E20" t="inlineStr">
        <is>
          <t>E0016</t>
        </is>
      </c>
      <c r="F20" t="inlineStr">
        <is>
          <t>New York</t>
        </is>
      </c>
      <c r="G20" t="inlineStr">
        <is>
          <t>In Use</t>
        </is>
      </c>
      <c r="H20" t="n">
        <v>6290</v>
      </c>
    </row>
    <row r="21">
      <c r="A21" t="inlineStr">
        <is>
          <t>MD-00017</t>
        </is>
      </c>
      <c r="B21" t="inlineStr">
        <is>
          <t>MD-LA-050017</t>
        </is>
      </c>
      <c r="C21" t="inlineStr">
        <is>
          <t>Monitor</t>
        </is>
      </c>
      <c r="D21" t="inlineStr">
        <is>
          <t>Samsung ViewFinity S8</t>
        </is>
      </c>
      <c r="E21" t="inlineStr">
        <is>
          <t>E0017</t>
        </is>
      </c>
      <c r="F21" t="inlineStr">
        <is>
          <t>Seattle</t>
        </is>
      </c>
      <c r="G21" t="inlineStr">
        <is>
          <t>In Use</t>
        </is>
      </c>
      <c r="H21" t="n">
        <v>1985</v>
      </c>
    </row>
    <row r="22">
      <c r="A22" t="inlineStr">
        <is>
          <t>MD-00018</t>
        </is>
      </c>
      <c r="B22" t="inlineStr">
        <is>
          <t>MD-MO-050018</t>
        </is>
      </c>
      <c r="C22" t="inlineStr">
        <is>
          <t>Monitor</t>
        </is>
      </c>
      <c r="D22" t="inlineStr">
        <is>
          <t>BenQ PD2705U</t>
        </is>
      </c>
      <c r="E22" t="inlineStr">
        <is>
          <t>E0018</t>
        </is>
      </c>
      <c r="F22" t="inlineStr">
        <is>
          <t>Atlanta</t>
        </is>
      </c>
      <c r="G22" t="inlineStr">
        <is>
          <t>In Use</t>
        </is>
      </c>
      <c r="H22" t="n">
        <v>700</v>
      </c>
    </row>
    <row r="23">
      <c r="A23" t="inlineStr">
        <is>
          <t>MD-00019</t>
        </is>
      </c>
      <c r="B23" t="inlineStr">
        <is>
          <t>MD-MO-050019</t>
        </is>
      </c>
      <c r="C23" t="inlineStr">
        <is>
          <t>Monitor</t>
        </is>
      </c>
      <c r="D23" t="inlineStr">
        <is>
          <t>Dell P2422H</t>
        </is>
      </c>
      <c r="E23" t="inlineStr">
        <is>
          <t>E0019</t>
        </is>
      </c>
      <c r="F23" t="inlineStr">
        <is>
          <t>Chicago</t>
        </is>
      </c>
      <c r="G23" t="inlineStr">
        <is>
          <t>In Use</t>
        </is>
      </c>
      <c r="H23" t="n">
        <v>1175</v>
      </c>
    </row>
    <row r="24">
      <c r="A24" t="inlineStr">
        <is>
          <t>MD-00020</t>
        </is>
      </c>
      <c r="B24" t="inlineStr">
        <is>
          <t>MD-NE-050020</t>
        </is>
      </c>
      <c r="C24" t="inlineStr">
        <is>
          <t>Monitor</t>
        </is>
      </c>
      <c r="D24" t="inlineStr">
        <is>
          <t>LG UltraFine 27MD5KL</t>
        </is>
      </c>
      <c r="E24" t="inlineStr">
        <is>
          <t>E0020</t>
        </is>
      </c>
      <c r="F24" t="inlineStr">
        <is>
          <t>Dallas</t>
        </is>
      </c>
      <c r="G24" t="inlineStr">
        <is>
          <t>In Use</t>
        </is>
      </c>
      <c r="H24" t="n">
        <v>6470</v>
      </c>
    </row>
    <row r="25">
      <c r="A25" t="inlineStr">
        <is>
          <t>MD-00021</t>
        </is>
      </c>
      <c r="B25" t="inlineStr">
        <is>
          <t>MD-LA-050021</t>
        </is>
      </c>
      <c r="C25" t="inlineStr">
        <is>
          <t>Monitor</t>
        </is>
      </c>
      <c r="D25" t="inlineStr">
        <is>
          <t>Samsung ViewFinity S8</t>
        </is>
      </c>
      <c r="E25" t="inlineStr">
        <is>
          <t>E0021</t>
        </is>
      </c>
      <c r="F25" t="inlineStr">
        <is>
          <t>Denver</t>
        </is>
      </c>
      <c r="G25" t="inlineStr">
        <is>
          <t>In Use</t>
        </is>
      </c>
      <c r="H25" t="n">
        <v>1850</v>
      </c>
    </row>
    <row r="26">
      <c r="A26" t="inlineStr">
        <is>
          <t>MD-00022</t>
        </is>
      </c>
      <c r="B26" t="inlineStr">
        <is>
          <t>MD-MO-050022</t>
        </is>
      </c>
      <c r="C26" t="inlineStr">
        <is>
          <t>Monitor</t>
        </is>
      </c>
      <c r="D26" t="inlineStr">
        <is>
          <t>BenQ PD2705U</t>
        </is>
      </c>
      <c r="E26" t="inlineStr">
        <is>
          <t>E0022</t>
        </is>
      </c>
      <c r="F26" t="inlineStr">
        <is>
          <t>New York</t>
        </is>
      </c>
      <c r="G26" t="inlineStr">
        <is>
          <t>In Use</t>
        </is>
      </c>
      <c r="H26" t="n">
        <v>565</v>
      </c>
    </row>
    <row r="27">
      <c r="A27" t="inlineStr">
        <is>
          <t>MD-00023</t>
        </is>
      </c>
      <c r="B27" t="inlineStr">
        <is>
          <t>MD-MO-050023</t>
        </is>
      </c>
      <c r="C27" t="inlineStr">
        <is>
          <t>Monitor</t>
        </is>
      </c>
      <c r="D27" t="inlineStr">
        <is>
          <t>Dell P2422H</t>
        </is>
      </c>
      <c r="E27" t="inlineStr">
        <is>
          <t>E0023</t>
        </is>
      </c>
      <c r="F27" t="inlineStr">
        <is>
          <t>Seattle</t>
        </is>
      </c>
      <c r="G27" t="inlineStr">
        <is>
          <t>In Use</t>
        </is>
      </c>
      <c r="H27" t="n">
        <v>1040</v>
      </c>
    </row>
    <row r="28">
      <c r="A28" t="inlineStr">
        <is>
          <t>MD-00024</t>
        </is>
      </c>
      <c r="B28" t="inlineStr">
        <is>
          <t>MD-NE-050024</t>
        </is>
      </c>
      <c r="C28" t="inlineStr">
        <is>
          <t>Monitor</t>
        </is>
      </c>
      <c r="D28" t="inlineStr">
        <is>
          <t>Dell U2723QE</t>
        </is>
      </c>
      <c r="E28" t="inlineStr">
        <is>
          <t>E0024</t>
        </is>
      </c>
      <c r="F28" t="inlineStr">
        <is>
          <t>Atlanta</t>
        </is>
      </c>
      <c r="G28" t="inlineStr">
        <is>
          <t>In Use</t>
        </is>
      </c>
      <c r="H28" t="n">
        <v>6335</v>
      </c>
    </row>
    <row r="29">
      <c r="A29" t="inlineStr">
        <is>
          <t>MD-00025</t>
        </is>
      </c>
      <c r="B29" t="inlineStr">
        <is>
          <t>MD-LA-050021</t>
        </is>
      </c>
      <c r="C29" t="inlineStr">
        <is>
          <t>Monitor</t>
        </is>
      </c>
      <c r="D29" t="inlineStr">
        <is>
          <t>LG UltraFine 27MD5KL</t>
        </is>
      </c>
      <c r="E29" t="inlineStr">
        <is>
          <t>E0025</t>
        </is>
      </c>
      <c r="F29" t="inlineStr">
        <is>
          <t>Denver - Closed</t>
        </is>
      </c>
      <c r="G29" t="inlineStr">
        <is>
          <t>In Use</t>
        </is>
      </c>
      <c r="H29" t="n">
        <v>2030</v>
      </c>
    </row>
    <row r="30">
      <c r="A30" t="inlineStr">
        <is>
          <t>MD-00026</t>
        </is>
      </c>
      <c r="B30" t="inlineStr">
        <is>
          <t>MD-MO-050026</t>
        </is>
      </c>
      <c r="C30" t="inlineStr">
        <is>
          <t>Monitor</t>
        </is>
      </c>
      <c r="D30" t="inlineStr">
        <is>
          <t>Samsung ViewFinity S8</t>
        </is>
      </c>
      <c r="E30" t="inlineStr">
        <is>
          <t>E0026</t>
        </is>
      </c>
      <c r="F30" t="inlineStr">
        <is>
          <t>Chicago - Closed</t>
        </is>
      </c>
      <c r="G30" t="inlineStr">
        <is>
          <t>In Use</t>
        </is>
      </c>
      <c r="H30" t="n">
        <v>745</v>
      </c>
    </row>
    <row r="31">
      <c r="A31" t="inlineStr">
        <is>
          <t>MD-00027</t>
        </is>
      </c>
      <c r="B31" t="inlineStr">
        <is>
          <t>MD-MO-050027</t>
        </is>
      </c>
      <c r="C31" t="inlineStr">
        <is>
          <t>Monitor</t>
        </is>
      </c>
      <c r="D31" t="inlineStr">
        <is>
          <t>BenQ PD2705U</t>
        </is>
      </c>
      <c r="E31" t="inlineStr">
        <is>
          <t>E0027</t>
        </is>
      </c>
      <c r="F31" t="inlineStr">
        <is>
          <t>Denver - Closed</t>
        </is>
      </c>
      <c r="G31" t="inlineStr">
        <is>
          <t>In Use</t>
        </is>
      </c>
      <c r="H31" t="n">
        <v>1220</v>
      </c>
    </row>
    <row r="32">
      <c r="A32" t="inlineStr">
        <is>
          <t>MD-00028</t>
        </is>
      </c>
      <c r="B32" t="inlineStr">
        <is>
          <t>MD-NE-050028</t>
        </is>
      </c>
      <c r="C32" t="inlineStr">
        <is>
          <t>Monitor</t>
        </is>
      </c>
      <c r="D32" t="inlineStr">
        <is>
          <t>Dell P2422H</t>
        </is>
      </c>
      <c r="E32" t="inlineStr">
        <is>
          <t>E0028</t>
        </is>
      </c>
      <c r="F32" t="inlineStr">
        <is>
          <t>Chicago - Closed</t>
        </is>
      </c>
      <c r="G32" t="inlineStr">
        <is>
          <t>In Use</t>
        </is>
      </c>
      <c r="H32" t="n">
        <v>6200</v>
      </c>
    </row>
    <row r="33">
      <c r="A33" t="inlineStr">
        <is>
          <t>MD-00029</t>
        </is>
      </c>
      <c r="B33" t="inlineStr">
        <is>
          <t>MD-LA-050029</t>
        </is>
      </c>
      <c r="C33" t="inlineStr">
        <is>
          <t>Monitor</t>
        </is>
      </c>
      <c r="D33" t="inlineStr">
        <is>
          <t>Dell U2723QE</t>
        </is>
      </c>
      <c r="E33" t="inlineStr">
        <is>
          <t>E0029</t>
        </is>
      </c>
      <c r="F33" t="inlineStr">
        <is>
          <t>Denver - Closed</t>
        </is>
      </c>
      <c r="G33" t="inlineStr">
        <is>
          <t>In Use</t>
        </is>
      </c>
      <c r="H33" t="n">
        <v>1895</v>
      </c>
    </row>
    <row r="34">
      <c r="A34" t="inlineStr">
        <is>
          <t>MD-00030</t>
        </is>
      </c>
      <c r="B34" t="inlineStr">
        <is>
          <t>MD-MO-050030</t>
        </is>
      </c>
      <c r="C34" t="inlineStr">
        <is>
          <t>Monitor</t>
        </is>
      </c>
      <c r="D34" t="inlineStr">
        <is>
          <t>Samsung ViewFinity S8</t>
        </is>
      </c>
      <c r="E34" t="inlineStr">
        <is>
          <t>E0030</t>
        </is>
      </c>
      <c r="F34" t="inlineStr">
        <is>
          <t>Chicago - Closed</t>
        </is>
      </c>
      <c r="G34" t="inlineStr">
        <is>
          <t>In Use</t>
        </is>
      </c>
      <c r="H34" t="n">
        <v>610</v>
      </c>
    </row>
    <row r="35">
      <c r="A35" t="inlineStr">
        <is>
          <t>MD-00031</t>
        </is>
      </c>
      <c r="B35" t="inlineStr">
        <is>
          <t>MD-MO-050031</t>
        </is>
      </c>
      <c r="C35" t="inlineStr">
        <is>
          <t>Monitor</t>
        </is>
      </c>
      <c r="D35" t="inlineStr">
        <is>
          <t>BenQ PD2705U</t>
        </is>
      </c>
      <c r="E35" t="inlineStr">
        <is>
          <t>E0031</t>
        </is>
      </c>
      <c r="F35" t="inlineStr">
        <is>
          <t>Denver - Closed</t>
        </is>
      </c>
      <c r="G35" t="inlineStr">
        <is>
          <t>In Use</t>
        </is>
      </c>
      <c r="H35" t="n">
        <v>1085</v>
      </c>
    </row>
    <row r="36">
      <c r="A36" t="inlineStr">
        <is>
          <t>MD-00032</t>
        </is>
      </c>
      <c r="B36" t="inlineStr">
        <is>
          <t>MD-NE-050032</t>
        </is>
      </c>
      <c r="C36" t="inlineStr">
        <is>
          <t>Monitor</t>
        </is>
      </c>
      <c r="D36" t="inlineStr">
        <is>
          <t>Dell P2422H</t>
        </is>
      </c>
      <c r="E36" t="inlineStr">
        <is>
          <t>E0032</t>
        </is>
      </c>
      <c r="F36" t="inlineStr">
        <is>
          <t>Chicago - Closed</t>
        </is>
      </c>
      <c r="G36" t="inlineStr">
        <is>
          <t>In Use</t>
        </is>
      </c>
      <c r="H36" t="n">
        <v>6380</v>
      </c>
    </row>
    <row r="37">
      <c r="A37" t="inlineStr">
        <is>
          <t>MD-00033</t>
        </is>
      </c>
      <c r="B37" t="inlineStr">
        <is>
          <t>MD-LA-050033</t>
        </is>
      </c>
      <c r="C37" t="inlineStr">
        <is>
          <t>Monitor</t>
        </is>
      </c>
      <c r="D37" t="inlineStr">
        <is>
          <t>Dell U2723QE</t>
        </is>
      </c>
      <c r="E37" t="inlineStr">
        <is>
          <t>E0033</t>
        </is>
      </c>
      <c r="F37" t="inlineStr">
        <is>
          <t>Denver - Closed</t>
        </is>
      </c>
      <c r="G37" t="inlineStr">
        <is>
          <t>In Use</t>
        </is>
      </c>
      <c r="H37" t="n">
        <v>2075</v>
      </c>
    </row>
    <row r="38">
      <c r="A38" t="inlineStr">
        <is>
          <t>MD-00034</t>
        </is>
      </c>
      <c r="B38" t="inlineStr">
        <is>
          <t>MD-MO-050034</t>
        </is>
      </c>
      <c r="C38" t="inlineStr">
        <is>
          <t>Monitor</t>
        </is>
      </c>
      <c r="D38" t="inlineStr">
        <is>
          <t>LG UltraFine 27MD5KL</t>
        </is>
      </c>
      <c r="E38" t="inlineStr">
        <is>
          <t>E0034</t>
        </is>
      </c>
      <c r="F38" t="inlineStr">
        <is>
          <t>Chicago - Closed</t>
        </is>
      </c>
      <c r="G38" t="inlineStr">
        <is>
          <t>In Use</t>
        </is>
      </c>
      <c r="H38" t="n">
        <v>790</v>
      </c>
    </row>
    <row r="39">
      <c r="A39" t="inlineStr">
        <is>
          <t>MD-00035</t>
        </is>
      </c>
      <c r="B39" t="inlineStr">
        <is>
          <t>MD-MO-050035</t>
        </is>
      </c>
      <c r="C39" t="inlineStr">
        <is>
          <t>Monitor</t>
        </is>
      </c>
      <c r="D39" t="inlineStr">
        <is>
          <t>Samsung ViewFinity S8</t>
        </is>
      </c>
      <c r="E39" t="inlineStr">
        <is>
          <t>E0035</t>
        </is>
      </c>
      <c r="F39" t="inlineStr">
        <is>
          <t>Denver - Closed</t>
        </is>
      </c>
      <c r="G39" t="inlineStr">
        <is>
          <t>In Use</t>
        </is>
      </c>
      <c r="H39" t="n">
        <v>950</v>
      </c>
    </row>
    <row r="40">
      <c r="A40" t="inlineStr">
        <is>
          <t>MD-00036</t>
        </is>
      </c>
      <c r="B40" t="inlineStr">
        <is>
          <t>MD-NE-050036</t>
        </is>
      </c>
      <c r="C40" t="inlineStr">
        <is>
          <t>Mobile Device</t>
        </is>
      </c>
      <c r="D40" t="inlineStr">
        <is>
          <t>Samsung Galaxy S23 FE</t>
        </is>
      </c>
      <c r="E40" t="inlineStr">
        <is>
          <t>E0036</t>
        </is>
      </c>
      <c r="F40" t="inlineStr">
        <is>
          <t>Chicago - Closed</t>
        </is>
      </c>
      <c r="G40" t="inlineStr">
        <is>
          <t>In Use</t>
        </is>
      </c>
      <c r="H40" t="n">
        <v>6245</v>
      </c>
    </row>
    <row r="41">
      <c r="A41" t="inlineStr">
        <is>
          <t>MD-00037</t>
        </is>
      </c>
      <c r="B41" t="inlineStr">
        <is>
          <t>MD-LA-050037</t>
        </is>
      </c>
      <c r="C41" t="inlineStr">
        <is>
          <t>Mobile Device</t>
        </is>
      </c>
      <c r="D41" t="inlineStr">
        <is>
          <t>iPhone 14</t>
        </is>
      </c>
      <c r="E41" t="inlineStr">
        <is>
          <t>E0037</t>
        </is>
      </c>
      <c r="F41" t="inlineStr">
        <is>
          <t>Denver - Closed</t>
        </is>
      </c>
      <c r="G41" t="inlineStr">
        <is>
          <t>In Use</t>
        </is>
      </c>
      <c r="H41" t="n">
        <v>1940</v>
      </c>
    </row>
    <row r="42">
      <c r="A42" t="inlineStr">
        <is>
          <t>MD-00038</t>
        </is>
      </c>
      <c r="B42" t="inlineStr">
        <is>
          <t>MD-MO-050038</t>
        </is>
      </c>
      <c r="C42" t="inlineStr">
        <is>
          <t>Mobile Device</t>
        </is>
      </c>
      <c r="D42" t="inlineStr">
        <is>
          <t>Samsung Galaxy S24</t>
        </is>
      </c>
      <c r="E42" t="inlineStr">
        <is>
          <t>E0038</t>
        </is>
      </c>
      <c r="F42" t="inlineStr">
        <is>
          <t>Chicago - Closed</t>
        </is>
      </c>
      <c r="G42" t="inlineStr">
        <is>
          <t>In Use</t>
        </is>
      </c>
      <c r="H42" t="n">
        <v>655</v>
      </c>
    </row>
    <row r="43">
      <c r="A43" t="inlineStr">
        <is>
          <t>MD-00039</t>
        </is>
      </c>
      <c r="B43" t="inlineStr">
        <is>
          <t>MD-MO-050039</t>
        </is>
      </c>
      <c r="C43" t="inlineStr">
        <is>
          <t>Mobile Device</t>
        </is>
      </c>
      <c r="D43" t="inlineStr">
        <is>
          <t>iPhone 15</t>
        </is>
      </c>
      <c r="E43" t="inlineStr">
        <is>
          <t>E0039</t>
        </is>
      </c>
      <c r="F43" t="inlineStr">
        <is>
          <t>Denver - Closed</t>
        </is>
      </c>
      <c r="G43" t="inlineStr">
        <is>
          <t>In Use</t>
        </is>
      </c>
      <c r="H43" t="n">
        <v>1130</v>
      </c>
    </row>
    <row r="44">
      <c r="A44" t="inlineStr">
        <is>
          <t>MD-00040</t>
        </is>
      </c>
      <c r="B44" t="inlineStr">
        <is>
          <t>MD-NE-050040</t>
        </is>
      </c>
      <c r="C44" t="inlineStr">
        <is>
          <t>Mobile Device</t>
        </is>
      </c>
      <c r="D44" t="inlineStr">
        <is>
          <t>Samsung Galaxy S23 FE</t>
        </is>
      </c>
      <c r="E44" t="inlineStr">
        <is>
          <t>E0040</t>
        </is>
      </c>
      <c r="F44" t="inlineStr">
        <is>
          <t>Chicago - Closed</t>
        </is>
      </c>
      <c r="G44" t="inlineStr">
        <is>
          <t>In Use</t>
        </is>
      </c>
      <c r="H44" t="n">
        <v>6425</v>
      </c>
    </row>
    <row r="45">
      <c r="A45" t="inlineStr">
        <is>
          <t>MD-00041</t>
        </is>
      </c>
      <c r="B45" t="inlineStr">
        <is>
          <t>MD-LA-050041</t>
        </is>
      </c>
      <c r="C45" t="inlineStr">
        <is>
          <t>Mobile Device</t>
        </is>
      </c>
      <c r="D45" t="inlineStr">
        <is>
          <t>iPhone 14</t>
        </is>
      </c>
      <c r="E45" t="inlineStr">
        <is>
          <t>E0041</t>
        </is>
      </c>
      <c r="F45" t="inlineStr">
        <is>
          <t>Denver - Closed</t>
        </is>
      </c>
      <c r="G45" t="inlineStr">
        <is>
          <t>In Use</t>
        </is>
      </c>
      <c r="H45" t="n">
        <v>2120</v>
      </c>
    </row>
    <row r="46">
      <c r="A46" t="inlineStr">
        <is>
          <t>MD-00042</t>
        </is>
      </c>
      <c r="B46" t="inlineStr">
        <is>
          <t>MD-MO-050042</t>
        </is>
      </c>
      <c r="C46" t="inlineStr">
        <is>
          <t>Mobile Device</t>
        </is>
      </c>
      <c r="D46" t="inlineStr">
        <is>
          <t>Samsung Galaxy S24</t>
        </is>
      </c>
      <c r="E46" t="inlineStr">
        <is>
          <t>E0042</t>
        </is>
      </c>
      <c r="F46" t="inlineStr">
        <is>
          <t>Chicago - Closed</t>
        </is>
      </c>
      <c r="G46" t="inlineStr">
        <is>
          <t>In Use</t>
        </is>
      </c>
      <c r="H46" t="n">
        <v>520</v>
      </c>
    </row>
    <row r="47">
      <c r="A47" t="inlineStr">
        <is>
          <t>MD-00043</t>
        </is>
      </c>
      <c r="B47" t="inlineStr">
        <is>
          <t>MD-MO-050043</t>
        </is>
      </c>
      <c r="C47" t="inlineStr">
        <is>
          <t>Mobile Device</t>
        </is>
      </c>
      <c r="D47" t="inlineStr">
        <is>
          <t>iPhone 15</t>
        </is>
      </c>
      <c r="E47" t="inlineStr">
        <is>
          <t>E0043</t>
        </is>
      </c>
      <c r="F47" t="inlineStr">
        <is>
          <t>Denver - Closed</t>
        </is>
      </c>
      <c r="G47" t="inlineStr">
        <is>
          <t>In Use</t>
        </is>
      </c>
      <c r="H47" t="n">
        <v>995</v>
      </c>
    </row>
    <row r="48">
      <c r="A48" t="inlineStr">
        <is>
          <t>MD-00044</t>
        </is>
      </c>
      <c r="B48" t="inlineStr">
        <is>
          <t>MD-NE-050044</t>
        </is>
      </c>
      <c r="C48" t="inlineStr">
        <is>
          <t>Mobile Device</t>
        </is>
      </c>
      <c r="D48" t="inlineStr">
        <is>
          <t>Google Pixel 8</t>
        </is>
      </c>
      <c r="E48" t="inlineStr">
        <is>
          <t>E0044</t>
        </is>
      </c>
      <c r="F48" t="inlineStr">
        <is>
          <t>Chicago - Closed</t>
        </is>
      </c>
      <c r="G48" t="inlineStr">
        <is>
          <t>In Use</t>
        </is>
      </c>
      <c r="H48" t="n">
        <v>6290</v>
      </c>
    </row>
    <row r="49">
      <c r="A49" t="inlineStr">
        <is>
          <t>MD-00045</t>
        </is>
      </c>
      <c r="B49" t="inlineStr">
        <is>
          <t>MD-LA-050045</t>
        </is>
      </c>
      <c r="C49" t="inlineStr">
        <is>
          <t>Mobile Device</t>
        </is>
      </c>
      <c r="D49" t="inlineStr">
        <is>
          <t>Samsung Galaxy S23 FE</t>
        </is>
      </c>
      <c r="E49" t="inlineStr">
        <is>
          <t>E0045</t>
        </is>
      </c>
      <c r="F49" t="inlineStr">
        <is>
          <t>Denver - Closed</t>
        </is>
      </c>
      <c r="G49" t="inlineStr">
        <is>
          <t>In Use</t>
        </is>
      </c>
      <c r="H49" t="n">
        <v>1985</v>
      </c>
    </row>
    <row r="50">
      <c r="A50" t="inlineStr">
        <is>
          <t>MD-00046</t>
        </is>
      </c>
      <c r="B50" t="inlineStr">
        <is>
          <t>MD-MO-050046</t>
        </is>
      </c>
      <c r="C50" t="inlineStr">
        <is>
          <t>Mobile Device</t>
        </is>
      </c>
      <c r="D50" t="inlineStr">
        <is>
          <t>iPhone 14</t>
        </is>
      </c>
      <c r="F50" t="inlineStr">
        <is>
          <t>Chicago - Closed</t>
        </is>
      </c>
      <c r="G50" t="inlineStr">
        <is>
          <t>Available</t>
        </is>
      </c>
      <c r="H50" t="n">
        <v>700</v>
      </c>
    </row>
    <row r="51">
      <c r="A51" t="inlineStr">
        <is>
          <t>MD-00047</t>
        </is>
      </c>
      <c r="B51" t="inlineStr">
        <is>
          <t>MD-MO-050047</t>
        </is>
      </c>
      <c r="C51" t="inlineStr">
        <is>
          <t>Mobile Device</t>
        </is>
      </c>
      <c r="D51" t="inlineStr">
        <is>
          <t>Samsung Galaxy S24</t>
        </is>
      </c>
      <c r="F51" t="inlineStr">
        <is>
          <t>Denver - Closed</t>
        </is>
      </c>
      <c r="G51" t="inlineStr">
        <is>
          <t>Available</t>
        </is>
      </c>
      <c r="H51" t="n">
        <v>1175</v>
      </c>
    </row>
    <row r="52">
      <c r="A52" t="inlineStr">
        <is>
          <t>MD-00048</t>
        </is>
      </c>
      <c r="B52" t="inlineStr">
        <is>
          <t>MD-NE-050048</t>
        </is>
      </c>
      <c r="C52" t="inlineStr">
        <is>
          <t>Mobile Device</t>
        </is>
      </c>
      <c r="D52" t="inlineStr">
        <is>
          <t>iPhone 15</t>
        </is>
      </c>
      <c r="F52" t="inlineStr">
        <is>
          <t>Chicago - Closed</t>
        </is>
      </c>
      <c r="G52" t="inlineStr">
        <is>
          <t>Available</t>
        </is>
      </c>
      <c r="H52" t="n">
        <v>6470</v>
      </c>
    </row>
    <row r="53">
      <c r="A53" t="inlineStr">
        <is>
          <t>MD-00049</t>
        </is>
      </c>
      <c r="B53" t="inlineStr">
        <is>
          <t>MD-LA-050049</t>
        </is>
      </c>
      <c r="C53" t="inlineStr">
        <is>
          <t>Mobile Device</t>
        </is>
      </c>
      <c r="D53" t="inlineStr">
        <is>
          <t>Google Pixel 8</t>
        </is>
      </c>
      <c r="F53" t="inlineStr">
        <is>
          <t>Denver - Closed</t>
        </is>
      </c>
      <c r="G53" t="inlineStr">
        <is>
          <t>Available</t>
        </is>
      </c>
      <c r="H53" t="n">
        <v>1850</v>
      </c>
    </row>
    <row r="54">
      <c r="A54" t="inlineStr">
        <is>
          <t>MD-00050</t>
        </is>
      </c>
      <c r="B54" t="inlineStr">
        <is>
          <t>MD-MO-050050</t>
        </is>
      </c>
      <c r="C54" t="inlineStr">
        <is>
          <t>Mobile Device</t>
        </is>
      </c>
      <c r="D54" t="inlineStr">
        <is>
          <t>iPhone 14</t>
        </is>
      </c>
      <c r="F54" t="inlineStr">
        <is>
          <t>Chicago - Closed</t>
        </is>
      </c>
      <c r="G54" t="inlineStr">
        <is>
          <t>Available</t>
        </is>
      </c>
      <c r="H54" t="n">
        <v>565</v>
      </c>
    </row>
    <row r="55">
      <c r="A55" t="inlineStr">
        <is>
          <t>MD-00051</t>
        </is>
      </c>
      <c r="B55" t="inlineStr">
        <is>
          <t>MD-MO-050051</t>
        </is>
      </c>
      <c r="C55" t="inlineStr">
        <is>
          <t>Mobile Device</t>
        </is>
      </c>
      <c r="D55" t="inlineStr">
        <is>
          <t>Samsung Galaxy S24</t>
        </is>
      </c>
      <c r="F55" t="inlineStr">
        <is>
          <t>Denver - Closed</t>
        </is>
      </c>
      <c r="G55" t="inlineStr">
        <is>
          <t>Available</t>
        </is>
      </c>
      <c r="H55" t="n">
        <v>1040</v>
      </c>
    </row>
    <row r="56">
      <c r="A56" t="inlineStr">
        <is>
          <t>MD-00052</t>
        </is>
      </c>
      <c r="B56" t="inlineStr">
        <is>
          <t>MD-NE-050052</t>
        </is>
      </c>
      <c r="C56" t="inlineStr">
        <is>
          <t>Mobile Device</t>
        </is>
      </c>
      <c r="D56" t="inlineStr">
        <is>
          <t>iPhone 15</t>
        </is>
      </c>
      <c r="F56" t="inlineStr">
        <is>
          <t>Chicago - Closed</t>
        </is>
      </c>
      <c r="G56" t="inlineStr">
        <is>
          <t>Available</t>
        </is>
      </c>
      <c r="H56" t="n">
        <v>6335</v>
      </c>
    </row>
    <row r="57">
      <c r="A57" t="inlineStr">
        <is>
          <t>MD-00053</t>
        </is>
      </c>
      <c r="B57" t="inlineStr">
        <is>
          <t>MD-LA-050053</t>
        </is>
      </c>
      <c r="C57" t="inlineStr">
        <is>
          <t>Mobile Device</t>
        </is>
      </c>
      <c r="D57" t="inlineStr">
        <is>
          <t>Google Pixel 8</t>
        </is>
      </c>
      <c r="F57" t="inlineStr">
        <is>
          <t>Denver - Closed</t>
        </is>
      </c>
      <c r="G57" t="inlineStr">
        <is>
          <t>Available</t>
        </is>
      </c>
      <c r="H57" t="n">
        <v>2030</v>
      </c>
    </row>
    <row r="58">
      <c r="A58" t="inlineStr">
        <is>
          <t>MD-00054</t>
        </is>
      </c>
      <c r="B58" t="inlineStr">
        <is>
          <t>MD-MO-050054</t>
        </is>
      </c>
      <c r="C58" t="inlineStr">
        <is>
          <t>Mobile Device</t>
        </is>
      </c>
      <c r="D58" t="inlineStr">
        <is>
          <t>Samsung Galaxy S23 FE</t>
        </is>
      </c>
      <c r="F58" t="inlineStr">
        <is>
          <t>Chicago - Closed</t>
        </is>
      </c>
      <c r="G58" t="inlineStr">
        <is>
          <t>Available</t>
        </is>
      </c>
      <c r="H58" t="n">
        <v>745</v>
      </c>
    </row>
    <row r="59">
      <c r="A59" t="inlineStr">
        <is>
          <t>MD-00055</t>
        </is>
      </c>
      <c r="B59" t="inlineStr">
        <is>
          <t>MD-MO-050055</t>
        </is>
      </c>
      <c r="C59" t="inlineStr">
        <is>
          <t>Mobile Device</t>
        </is>
      </c>
      <c r="D59" t="inlineStr">
        <is>
          <t>iPhone 14</t>
        </is>
      </c>
      <c r="F59" t="inlineStr">
        <is>
          <t>Denver - Closed</t>
        </is>
      </c>
      <c r="G59" t="inlineStr">
        <is>
          <t>Available</t>
        </is>
      </c>
      <c r="H59" t="n">
        <v>1220</v>
      </c>
    </row>
    <row r="60">
      <c r="A60" t="inlineStr">
        <is>
          <t>MD-00056</t>
        </is>
      </c>
      <c r="B60" t="inlineStr">
        <is>
          <t>MD-NE-050056</t>
        </is>
      </c>
      <c r="C60" t="inlineStr">
        <is>
          <t>Mobile Device</t>
        </is>
      </c>
      <c r="D60" t="inlineStr">
        <is>
          <t>Samsung Galaxy S24</t>
        </is>
      </c>
      <c r="F60" t="inlineStr">
        <is>
          <t>Chicago - Closed</t>
        </is>
      </c>
      <c r="G60" t="inlineStr">
        <is>
          <t>Available</t>
        </is>
      </c>
      <c r="H60" t="n">
        <v>6200</v>
      </c>
    </row>
    <row r="61">
      <c r="A61" t="inlineStr">
        <is>
          <t>MD-00057</t>
        </is>
      </c>
      <c r="B61" t="inlineStr">
        <is>
          <t>MD-LA-050057</t>
        </is>
      </c>
      <c r="C61" t="inlineStr">
        <is>
          <t>Mobile Device</t>
        </is>
      </c>
      <c r="D61" t="inlineStr">
        <is>
          <t>iPhone 15</t>
        </is>
      </c>
      <c r="F61" t="inlineStr">
        <is>
          <t>Denver - Closed</t>
        </is>
      </c>
      <c r="G61" t="inlineStr">
        <is>
          <t>Available</t>
        </is>
      </c>
      <c r="H61" t="n">
        <v>1895</v>
      </c>
    </row>
    <row r="62">
      <c r="A62" t="inlineStr">
        <is>
          <t>MD-00058</t>
        </is>
      </c>
      <c r="B62" t="inlineStr">
        <is>
          <t>MD-MO-050058</t>
        </is>
      </c>
      <c r="C62" t="inlineStr">
        <is>
          <t>Mobile Device</t>
        </is>
      </c>
      <c r="D62" t="inlineStr">
        <is>
          <t>Google Pixel 8</t>
        </is>
      </c>
      <c r="E62" t="inlineStr">
        <is>
          <t>E0071</t>
        </is>
      </c>
      <c r="F62" t="inlineStr">
        <is>
          <t>Chicago - Closed</t>
        </is>
      </c>
      <c r="G62" t="inlineStr">
        <is>
          <t>Assigned</t>
        </is>
      </c>
      <c r="H62" t="n">
        <v>610</v>
      </c>
    </row>
    <row r="63">
      <c r="A63" t="inlineStr">
        <is>
          <t>MD-00059</t>
        </is>
      </c>
      <c r="B63" t="inlineStr">
        <is>
          <t>MD-MO-050059</t>
        </is>
      </c>
      <c r="C63" t="inlineStr">
        <is>
          <t>Mobile Device</t>
        </is>
      </c>
      <c r="D63" t="inlineStr">
        <is>
          <t>Samsung Galaxy S23 FE</t>
        </is>
      </c>
      <c r="E63" t="inlineStr">
        <is>
          <t>E0072</t>
        </is>
      </c>
      <c r="F63" t="inlineStr">
        <is>
          <t>Denver - Closed</t>
        </is>
      </c>
      <c r="G63" t="inlineStr">
        <is>
          <t>Assigned</t>
        </is>
      </c>
      <c r="H63" t="n">
        <v>1085</v>
      </c>
    </row>
    <row r="64">
      <c r="A64" t="inlineStr">
        <is>
          <t>MD-00060</t>
        </is>
      </c>
      <c r="B64" t="inlineStr">
        <is>
          <t>MD-NE-050060</t>
        </is>
      </c>
      <c r="C64" t="inlineStr">
        <is>
          <t>Mobile Device</t>
        </is>
      </c>
      <c r="D64" t="inlineStr">
        <is>
          <t>Samsung Galaxy S24</t>
        </is>
      </c>
      <c r="E64" t="inlineStr">
        <is>
          <t>E0073</t>
        </is>
      </c>
      <c r="F64" t="inlineStr">
        <is>
          <t>Chicago - Closed</t>
        </is>
      </c>
      <c r="G64" t="inlineStr">
        <is>
          <t>Assigned</t>
        </is>
      </c>
      <c r="H64" t="n">
        <v>6380</v>
      </c>
    </row>
    <row r="65">
      <c r="A65" t="inlineStr">
        <is>
          <t>MD-00061</t>
        </is>
      </c>
      <c r="B65" t="inlineStr">
        <is>
          <t>MD-LA-050061</t>
        </is>
      </c>
      <c r="C65" t="inlineStr">
        <is>
          <t>Mobile Device</t>
        </is>
      </c>
      <c r="D65" t="inlineStr">
        <is>
          <t>iPhone 15</t>
        </is>
      </c>
      <c r="E65" t="inlineStr">
        <is>
          <t>E0074</t>
        </is>
      </c>
      <c r="F65" t="inlineStr">
        <is>
          <t>Denver - Closed</t>
        </is>
      </c>
      <c r="G65" t="inlineStr">
        <is>
          <t>Assigned</t>
        </is>
      </c>
      <c r="H65" t="n">
        <v>2075</v>
      </c>
    </row>
    <row r="66">
      <c r="A66" t="inlineStr">
        <is>
          <t>MD-00062</t>
        </is>
      </c>
      <c r="B66" t="inlineStr">
        <is>
          <t>MD-MO-050062</t>
        </is>
      </c>
      <c r="C66" t="inlineStr">
        <is>
          <t>Mobile Device</t>
        </is>
      </c>
      <c r="D66" t="inlineStr">
        <is>
          <t>Google Pixel 8</t>
        </is>
      </c>
      <c r="E66" t="inlineStr">
        <is>
          <t>E0075</t>
        </is>
      </c>
      <c r="F66" t="inlineStr">
        <is>
          <t>Chicago - Closed</t>
        </is>
      </c>
      <c r="G66" t="inlineStr">
        <is>
          <t>Assigned</t>
        </is>
      </c>
      <c r="H66" t="n">
        <v>790</v>
      </c>
    </row>
    <row r="67">
      <c r="A67" t="inlineStr">
        <is>
          <t>MD-00063</t>
        </is>
      </c>
      <c r="B67" t="inlineStr">
        <is>
          <t>MD-MO-050063</t>
        </is>
      </c>
      <c r="C67" t="inlineStr">
        <is>
          <t>Mobile Device</t>
        </is>
      </c>
      <c r="D67" t="inlineStr">
        <is>
          <t>Samsung Galaxy S23 FE</t>
        </is>
      </c>
      <c r="E67" t="inlineStr">
        <is>
          <t>E0076</t>
        </is>
      </c>
      <c r="F67" t="inlineStr">
        <is>
          <t>Denver - Closed</t>
        </is>
      </c>
      <c r="G67" t="inlineStr">
        <is>
          <t>Assigned</t>
        </is>
      </c>
      <c r="H67" t="n">
        <v>950</v>
      </c>
    </row>
    <row r="68">
      <c r="A68" t="inlineStr">
        <is>
          <t>MD-00064</t>
        </is>
      </c>
      <c r="B68" t="inlineStr">
        <is>
          <t>MD-NE-050064</t>
        </is>
      </c>
      <c r="C68" t="inlineStr">
        <is>
          <t>Mobile Device</t>
        </is>
      </c>
      <c r="D68" t="inlineStr">
        <is>
          <t>iPhone 14</t>
        </is>
      </c>
      <c r="E68" t="inlineStr">
        <is>
          <t>E0077</t>
        </is>
      </c>
      <c r="F68" t="inlineStr">
        <is>
          <t>Chicago - Closed</t>
        </is>
      </c>
      <c r="G68" t="inlineStr">
        <is>
          <t>Assigned</t>
        </is>
      </c>
      <c r="H68" t="n">
        <v>6245</v>
      </c>
    </row>
    <row r="69">
      <c r="A69" t="inlineStr">
        <is>
          <t>MD-00065</t>
        </is>
      </c>
      <c r="B69" t="inlineStr">
        <is>
          <t>MD-LA-050065</t>
        </is>
      </c>
      <c r="C69" t="inlineStr">
        <is>
          <t>Mobile Device</t>
        </is>
      </c>
      <c r="D69" t="inlineStr">
        <is>
          <t>Samsung Galaxy S24</t>
        </is>
      </c>
      <c r="E69" t="inlineStr">
        <is>
          <t>E0078</t>
        </is>
      </c>
      <c r="F69" t="inlineStr">
        <is>
          <t>Denver - Closed</t>
        </is>
      </c>
      <c r="G69" t="inlineStr">
        <is>
          <t>Assigned</t>
        </is>
      </c>
      <c r="H69" t="n">
        <v>1940</v>
      </c>
    </row>
    <row r="70">
      <c r="A70" t="inlineStr">
        <is>
          <t>MD-00066</t>
        </is>
      </c>
      <c r="B70" t="inlineStr">
        <is>
          <t>MD-MO-050066</t>
        </is>
      </c>
      <c r="C70" t="inlineStr">
        <is>
          <t>Mobile Device</t>
        </is>
      </c>
      <c r="D70" t="inlineStr">
        <is>
          <t>iPhone 15</t>
        </is>
      </c>
      <c r="E70" t="inlineStr">
        <is>
          <t>E0079</t>
        </is>
      </c>
      <c r="F70" t="inlineStr">
        <is>
          <t>Chicago - Closed</t>
        </is>
      </c>
      <c r="G70" t="inlineStr">
        <is>
          <t>Assigned</t>
        </is>
      </c>
      <c r="H70" t="n">
        <v>655</v>
      </c>
    </row>
    <row r="71">
      <c r="A71" t="inlineStr">
        <is>
          <t>MD-00067</t>
        </is>
      </c>
      <c r="B71" t="inlineStr">
        <is>
          <t>MD-MO-050067</t>
        </is>
      </c>
      <c r="C71" t="inlineStr">
        <is>
          <t>Mobile Device</t>
        </is>
      </c>
      <c r="D71" t="inlineStr">
        <is>
          <t>Google Pixel 8</t>
        </is>
      </c>
      <c r="E71" t="inlineStr">
        <is>
          <t>E0080</t>
        </is>
      </c>
      <c r="F71" t="inlineStr">
        <is>
          <t>Denver - Closed</t>
        </is>
      </c>
      <c r="G71" t="inlineStr">
        <is>
          <t>Assigned</t>
        </is>
      </c>
      <c r="H71" t="n">
        <v>1130</v>
      </c>
    </row>
    <row r="72">
      <c r="A72" t="inlineStr">
        <is>
          <t>MD-00068</t>
        </is>
      </c>
      <c r="B72" t="inlineStr">
        <is>
          <t>MD-NE-050068</t>
        </is>
      </c>
      <c r="C72" t="inlineStr">
        <is>
          <t>Mobile Device</t>
        </is>
      </c>
      <c r="D72" t="inlineStr">
        <is>
          <t>Samsung Galaxy S23 FE</t>
        </is>
      </c>
      <c r="E72" t="inlineStr">
        <is>
          <t>E0081</t>
        </is>
      </c>
      <c r="F72" t="inlineStr">
        <is>
          <t>Chicago - Closed</t>
        </is>
      </c>
      <c r="G72" t="inlineStr">
        <is>
          <t>Assigned</t>
        </is>
      </c>
      <c r="H72" t="n">
        <v>6425</v>
      </c>
    </row>
    <row r="73">
      <c r="A73" t="inlineStr">
        <is>
          <t>MD-00069</t>
        </is>
      </c>
      <c r="B73" t="inlineStr">
        <is>
          <t>MD-LA-050069</t>
        </is>
      </c>
      <c r="C73" t="inlineStr">
        <is>
          <t>Mobile Device</t>
        </is>
      </c>
      <c r="D73" t="inlineStr">
        <is>
          <t>iPhone 14</t>
        </is>
      </c>
      <c r="E73" t="inlineStr">
        <is>
          <t>E0082</t>
        </is>
      </c>
      <c r="F73" t="inlineStr">
        <is>
          <t>Denver - Closed</t>
        </is>
      </c>
      <c r="G73" t="inlineStr">
        <is>
          <t>Assigned</t>
        </is>
      </c>
      <c r="H73" t="n">
        <v>2120</v>
      </c>
    </row>
    <row r="74">
      <c r="A74" t="inlineStr">
        <is>
          <t>MD-00070</t>
        </is>
      </c>
      <c r="B74" t="inlineStr">
        <is>
          <t>MD-MO-050070</t>
        </is>
      </c>
      <c r="C74" t="inlineStr">
        <is>
          <t>Mobile Device</t>
        </is>
      </c>
      <c r="D74" t="inlineStr">
        <is>
          <t>iPhone 15</t>
        </is>
      </c>
      <c r="E74" t="inlineStr">
        <is>
          <t>E0083</t>
        </is>
      </c>
      <c r="F74" t="inlineStr">
        <is>
          <t>Chicago - Closed</t>
        </is>
      </c>
      <c r="G74" t="inlineStr">
        <is>
          <t>Assigned</t>
        </is>
      </c>
      <c r="H74" t="n">
        <v>520</v>
      </c>
    </row>
    <row r="75">
      <c r="A75" t="inlineStr">
        <is>
          <t>MD-00071</t>
        </is>
      </c>
      <c r="B75" t="inlineStr">
        <is>
          <t>MD-MO-050071</t>
        </is>
      </c>
      <c r="C75" t="inlineStr">
        <is>
          <t>Mobile Device</t>
        </is>
      </c>
      <c r="D75" t="inlineStr">
        <is>
          <t>Google Pixel 8</t>
        </is>
      </c>
      <c r="E75" t="inlineStr">
        <is>
          <t>E0084</t>
        </is>
      </c>
      <c r="F75" t="inlineStr">
        <is>
          <t>Denver - Closed</t>
        </is>
      </c>
      <c r="G75" t="inlineStr">
        <is>
          <t>Assigned</t>
        </is>
      </c>
      <c r="H75" t="n">
        <v>995</v>
      </c>
    </row>
    <row r="76">
      <c r="A76" t="inlineStr">
        <is>
          <t>MD-00072</t>
        </is>
      </c>
      <c r="B76" t="inlineStr">
        <is>
          <t>MD-NE-050072</t>
        </is>
      </c>
      <c r="C76" t="inlineStr">
        <is>
          <t>Network Asset</t>
        </is>
      </c>
      <c r="D76" t="inlineStr">
        <is>
          <t>Fortinet FortiSwitch 148F</t>
        </is>
      </c>
      <c r="E76" t="inlineStr">
        <is>
          <t>E0085</t>
        </is>
      </c>
      <c r="F76" t="inlineStr">
        <is>
          <t>Chicago - Closed</t>
        </is>
      </c>
      <c r="G76" t="inlineStr">
        <is>
          <t>Assigned</t>
        </is>
      </c>
      <c r="H76" t="n">
        <v>6290</v>
      </c>
    </row>
    <row r="77">
      <c r="A77" t="inlineStr">
        <is>
          <t>MD-00073</t>
        </is>
      </c>
      <c r="B77" t="inlineStr">
        <is>
          <t>MD-LA-050073</t>
        </is>
      </c>
      <c r="C77" t="inlineStr">
        <is>
          <t>Network Asset</t>
        </is>
      </c>
      <c r="D77" t="inlineStr">
        <is>
          <t>Cisco C9300</t>
        </is>
      </c>
      <c r="E77" t="inlineStr">
        <is>
          <t>E0086</t>
        </is>
      </c>
      <c r="F77" t="inlineStr">
        <is>
          <t>Denver - Closed</t>
        </is>
      </c>
      <c r="G77" t="inlineStr">
        <is>
          <t>Assigned</t>
        </is>
      </c>
      <c r="H77" t="n">
        <v>1985</v>
      </c>
    </row>
    <row r="78">
      <c r="A78" t="inlineStr">
        <is>
          <t>MD-00074</t>
        </is>
      </c>
      <c r="B78" t="inlineStr">
        <is>
          <t>MD-MO-050074</t>
        </is>
      </c>
      <c r="C78" t="inlineStr">
        <is>
          <t>Network Asset</t>
        </is>
      </c>
      <c r="D78" t="inlineStr">
        <is>
          <t>Aruba 6300M</t>
        </is>
      </c>
      <c r="E78" t="inlineStr">
        <is>
          <t>E0087</t>
        </is>
      </c>
      <c r="F78" t="inlineStr">
        <is>
          <t>Chicago - Closed</t>
        </is>
      </c>
      <c r="G78" t="inlineStr">
        <is>
          <t>Assigned</t>
        </is>
      </c>
      <c r="H78" t="n">
        <v>700</v>
      </c>
    </row>
    <row r="79">
      <c r="A79" t="inlineStr">
        <is>
          <t>MD-00075</t>
        </is>
      </c>
      <c r="B79" t="inlineStr">
        <is>
          <t>MD-MO-050075</t>
        </is>
      </c>
      <c r="C79" t="inlineStr">
        <is>
          <t>Network Asset</t>
        </is>
      </c>
      <c r="D79" t="inlineStr">
        <is>
          <t>Juniper EX3400</t>
        </is>
      </c>
      <c r="E79" t="inlineStr">
        <is>
          <t>E0088</t>
        </is>
      </c>
      <c r="F79" t="inlineStr">
        <is>
          <t>Denver - Closed</t>
        </is>
      </c>
      <c r="G79" t="inlineStr">
        <is>
          <t>Assigned</t>
        </is>
      </c>
      <c r="H79" t="n">
        <v>1175</v>
      </c>
    </row>
    <row r="80">
      <c r="A80" t="inlineStr">
        <is>
          <t>MD-00076</t>
        </is>
      </c>
      <c r="B80" t="inlineStr">
        <is>
          <t>MD-NE-050076</t>
        </is>
      </c>
      <c r="C80" t="inlineStr">
        <is>
          <t>Network Asset</t>
        </is>
      </c>
      <c r="D80" t="inlineStr">
        <is>
          <t>Cisco Meraki MS250</t>
        </is>
      </c>
      <c r="E80" t="inlineStr">
        <is>
          <t>E0089</t>
        </is>
      </c>
      <c r="F80" t="inlineStr">
        <is>
          <t>Chicago - Closed</t>
        </is>
      </c>
      <c r="G80" t="inlineStr">
        <is>
          <t>Assigned</t>
        </is>
      </c>
      <c r="H80" t="n">
        <v>6470</v>
      </c>
    </row>
    <row r="81">
      <c r="A81" t="inlineStr">
        <is>
          <t>MD-00077</t>
        </is>
      </c>
      <c r="B81" t="inlineStr">
        <is>
          <t>MD-LA-050077</t>
        </is>
      </c>
      <c r="C81" t="inlineStr">
        <is>
          <t>Network Asset</t>
        </is>
      </c>
      <c r="D81" t="inlineStr">
        <is>
          <t>Fortinet FortiSwitch 148F</t>
        </is>
      </c>
      <c r="E81" t="inlineStr">
        <is>
          <t>E0090</t>
        </is>
      </c>
      <c r="F81" t="inlineStr">
        <is>
          <t>Denver - Closed</t>
        </is>
      </c>
      <c r="G81" t="inlineStr">
        <is>
          <t>Assigned</t>
        </is>
      </c>
      <c r="H81" t="n">
        <v>1850</v>
      </c>
    </row>
    <row r="82">
      <c r="A82" t="inlineStr">
        <is>
          <t>MD-00078</t>
        </is>
      </c>
      <c r="B82" t="inlineStr">
        <is>
          <t>MD-MO-050078</t>
        </is>
      </c>
      <c r="C82" t="inlineStr">
        <is>
          <t>Network Asset</t>
        </is>
      </c>
      <c r="D82" t="inlineStr">
        <is>
          <t>Cisco C9300</t>
        </is>
      </c>
      <c r="E82" t="inlineStr">
        <is>
          <t>E0091</t>
        </is>
      </c>
      <c r="F82" t="inlineStr">
        <is>
          <t>Chicago - Closed</t>
        </is>
      </c>
      <c r="G82" t="inlineStr">
        <is>
          <t>Assigned</t>
        </is>
      </c>
      <c r="H82" t="n">
        <v>565</v>
      </c>
    </row>
    <row r="83">
      <c r="A83" t="inlineStr">
        <is>
          <t>MD-00079</t>
        </is>
      </c>
      <c r="B83" t="inlineStr">
        <is>
          <t>MD-MO-050079</t>
        </is>
      </c>
      <c r="C83" t="inlineStr">
        <is>
          <t>Network Asset</t>
        </is>
      </c>
      <c r="D83" t="inlineStr">
        <is>
          <t>Aruba 6300M</t>
        </is>
      </c>
      <c r="E83" t="inlineStr">
        <is>
          <t>E0092</t>
        </is>
      </c>
      <c r="F83" t="inlineStr">
        <is>
          <t>Denver - Closed</t>
        </is>
      </c>
      <c r="G83" t="inlineStr">
        <is>
          <t>Assigned</t>
        </is>
      </c>
      <c r="H83" t="n">
        <v>1040</v>
      </c>
    </row>
    <row r="84">
      <c r="A84" t="inlineStr">
        <is>
          <t>MD-00080</t>
        </is>
      </c>
      <c r="B84" t="inlineStr">
        <is>
          <t>MD-NE-050080</t>
        </is>
      </c>
      <c r="C84" t="inlineStr">
        <is>
          <t>Network Asset</t>
        </is>
      </c>
      <c r="D84" t="inlineStr">
        <is>
          <t>Cisco Meraki MS250</t>
        </is>
      </c>
      <c r="E84" t="inlineStr">
        <is>
          <t>E0093</t>
        </is>
      </c>
      <c r="F84" t="inlineStr">
        <is>
          <t>Chicago - Closed</t>
        </is>
      </c>
      <c r="G84" t="inlineStr">
        <is>
          <t>Assigned</t>
        </is>
      </c>
      <c r="H84" t="n">
        <v>6335</v>
      </c>
    </row>
    <row r="85">
      <c r="A85" t="inlineStr">
        <is>
          <t>MD-00081</t>
        </is>
      </c>
      <c r="B85" t="inlineStr">
        <is>
          <t>MD-LA-050081</t>
        </is>
      </c>
      <c r="C85" t="inlineStr">
        <is>
          <t>Network Asset</t>
        </is>
      </c>
      <c r="D85" t="inlineStr">
        <is>
          <t>Fortinet FortiSwitch 148F</t>
        </is>
      </c>
      <c r="E85" t="inlineStr">
        <is>
          <t>E0094</t>
        </is>
      </c>
      <c r="F85" t="inlineStr">
        <is>
          <t>Denver - Closed</t>
        </is>
      </c>
      <c r="G85" t="inlineStr">
        <is>
          <t>Assigned</t>
        </is>
      </c>
      <c r="H85" t="n">
        <v>2030</v>
      </c>
    </row>
    <row r="86">
      <c r="A86" t="inlineStr">
        <is>
          <t>MD-00082</t>
        </is>
      </c>
      <c r="B86" t="inlineStr">
        <is>
          <t>MD-MO-050082</t>
        </is>
      </c>
      <c r="C86" t="inlineStr">
        <is>
          <t>Network Asset</t>
        </is>
      </c>
      <c r="D86" t="inlineStr">
        <is>
          <t>Cisco C9300</t>
        </is>
      </c>
      <c r="E86" t="inlineStr">
        <is>
          <t>E0095</t>
        </is>
      </c>
      <c r="F86" t="inlineStr">
        <is>
          <t>Chicago - Closed</t>
        </is>
      </c>
      <c r="G86" t="inlineStr">
        <is>
          <t>Assigned</t>
        </is>
      </c>
      <c r="H86" t="n">
        <v>745</v>
      </c>
    </row>
    <row r="87">
      <c r="A87" t="inlineStr">
        <is>
          <t>MD-00083</t>
        </is>
      </c>
      <c r="B87" t="inlineStr">
        <is>
          <t>MD-MO-050083</t>
        </is>
      </c>
      <c r="C87" t="inlineStr">
        <is>
          <t>Network Asset</t>
        </is>
      </c>
      <c r="D87" t="inlineStr">
        <is>
          <t>Aruba 6300M</t>
        </is>
      </c>
      <c r="E87" t="inlineStr">
        <is>
          <t>E0071</t>
        </is>
      </c>
      <c r="F87" t="inlineStr">
        <is>
          <t>Denver - Closed</t>
        </is>
      </c>
      <c r="G87" t="inlineStr">
        <is>
          <t>Assigned</t>
        </is>
      </c>
      <c r="H87" t="n">
        <v>1220</v>
      </c>
    </row>
    <row r="88">
      <c r="A88" t="inlineStr">
        <is>
          <t>MD-00084</t>
        </is>
      </c>
      <c r="B88" t="inlineStr">
        <is>
          <t>MD-NE-050084</t>
        </is>
      </c>
      <c r="C88" t="inlineStr">
        <is>
          <t>Network Asset</t>
        </is>
      </c>
      <c r="D88" t="inlineStr">
        <is>
          <t>Juniper EX3400</t>
        </is>
      </c>
      <c r="E88" t="inlineStr">
        <is>
          <t>E0072</t>
        </is>
      </c>
      <c r="F88" t="inlineStr">
        <is>
          <t>Chicago - Closed</t>
        </is>
      </c>
      <c r="G88" t="inlineStr">
        <is>
          <t>Assigned</t>
        </is>
      </c>
      <c r="H88" t="n">
        <v>6200</v>
      </c>
    </row>
    <row r="89">
      <c r="A89" t="inlineStr">
        <is>
          <t>MD-00085</t>
        </is>
      </c>
      <c r="B89" t="inlineStr">
        <is>
          <t>MD-LA-050085</t>
        </is>
      </c>
      <c r="C89" t="inlineStr">
        <is>
          <t>Network Asset</t>
        </is>
      </c>
      <c r="D89" t="inlineStr">
        <is>
          <t>Cisco Meraki MS250</t>
        </is>
      </c>
      <c r="E89" t="inlineStr">
        <is>
          <t>E0073</t>
        </is>
      </c>
      <c r="F89" t="inlineStr">
        <is>
          <t>Denver - Closed</t>
        </is>
      </c>
      <c r="G89" t="inlineStr">
        <is>
          <t>Assigned</t>
        </is>
      </c>
      <c r="H89" t="n">
        <v>1895</v>
      </c>
    </row>
    <row r="90">
      <c r="A90" t="inlineStr">
        <is>
          <t>MD-00086</t>
        </is>
      </c>
      <c r="B90" t="inlineStr">
        <is>
          <t>MD-MO-050086</t>
        </is>
      </c>
      <c r="C90" t="inlineStr">
        <is>
          <t>Network Asset</t>
        </is>
      </c>
      <c r="D90" t="inlineStr">
        <is>
          <t>Fortinet FortiSwitch 148F</t>
        </is>
      </c>
      <c r="E90" t="inlineStr">
        <is>
          <t>E0074</t>
        </is>
      </c>
      <c r="F90" t="inlineStr">
        <is>
          <t>Chicago - Closed</t>
        </is>
      </c>
      <c r="G90" t="inlineStr">
        <is>
          <t>Assigned</t>
        </is>
      </c>
      <c r="H90" t="n">
        <v>610</v>
      </c>
    </row>
    <row r="91">
      <c r="A91" t="inlineStr">
        <is>
          <t>MD-00087</t>
        </is>
      </c>
      <c r="B91" t="inlineStr">
        <is>
          <t>MD-MO-050087</t>
        </is>
      </c>
      <c r="C91" t="inlineStr">
        <is>
          <t>Network Asset</t>
        </is>
      </c>
      <c r="D91" t="inlineStr">
        <is>
          <t>Cisco C9300</t>
        </is>
      </c>
      <c r="E91" t="inlineStr">
        <is>
          <t>E0075</t>
        </is>
      </c>
      <c r="F91" t="inlineStr">
        <is>
          <t>Denver - Closed</t>
        </is>
      </c>
      <c r="G91" t="inlineStr">
        <is>
          <t>Assigned</t>
        </is>
      </c>
      <c r="H91" t="n">
        <v>1085</v>
      </c>
    </row>
    <row r="92">
      <c r="A92" t="inlineStr">
        <is>
          <t>MD-00088</t>
        </is>
      </c>
      <c r="B92" t="inlineStr">
        <is>
          <t>MD-NE-050088</t>
        </is>
      </c>
      <c r="C92" t="inlineStr">
        <is>
          <t>Network Asset</t>
        </is>
      </c>
      <c r="D92" t="inlineStr">
        <is>
          <t>Aruba 6300M</t>
        </is>
      </c>
      <c r="E92" t="inlineStr">
        <is>
          <t>E0076</t>
        </is>
      </c>
      <c r="F92" t="inlineStr">
        <is>
          <t>Chicago - Closed</t>
        </is>
      </c>
      <c r="G92" t="inlineStr">
        <is>
          <t>Assigned</t>
        </is>
      </c>
      <c r="H92" t="n">
        <v>6380</v>
      </c>
    </row>
    <row r="93">
      <c r="A93" t="inlineStr">
        <is>
          <t>MD-00089</t>
        </is>
      </c>
      <c r="B93" t="inlineStr">
        <is>
          <t>MD-LA-050089</t>
        </is>
      </c>
      <c r="C93" t="inlineStr">
        <is>
          <t>Network Asset</t>
        </is>
      </c>
      <c r="D93" t="inlineStr">
        <is>
          <t>Juniper EX3400</t>
        </is>
      </c>
      <c r="E93" t="inlineStr">
        <is>
          <t>E0077</t>
        </is>
      </c>
      <c r="F93" t="inlineStr">
        <is>
          <t>Denver - Closed</t>
        </is>
      </c>
      <c r="G93" t="inlineStr">
        <is>
          <t>Assigned</t>
        </is>
      </c>
      <c r="H93" t="n">
        <v>2075</v>
      </c>
    </row>
    <row r="94">
      <c r="A94" t="inlineStr">
        <is>
          <t>MD-00090</t>
        </is>
      </c>
      <c r="B94" t="inlineStr">
        <is>
          <t>MD-MO-050090</t>
        </is>
      </c>
      <c r="C94" t="inlineStr">
        <is>
          <t>Network Asset</t>
        </is>
      </c>
      <c r="D94" t="inlineStr">
        <is>
          <t>Fortinet FortiSwitch 148F</t>
        </is>
      </c>
      <c r="E94" t="inlineStr">
        <is>
          <t>E0078</t>
        </is>
      </c>
      <c r="F94" t="inlineStr">
        <is>
          <t>Chicago - Closed</t>
        </is>
      </c>
      <c r="G94" t="inlineStr">
        <is>
          <t>Assigned</t>
        </is>
      </c>
      <c r="H94" t="n">
        <v>790</v>
      </c>
    </row>
    <row r="95">
      <c r="A95" t="inlineStr">
        <is>
          <t>MD-00091</t>
        </is>
      </c>
      <c r="B95" t="inlineStr">
        <is>
          <t>MD-MO-050091</t>
        </is>
      </c>
      <c r="C95" t="inlineStr">
        <is>
          <t>Network Asset</t>
        </is>
      </c>
      <c r="D95" t="inlineStr">
        <is>
          <t>Cisco C9300</t>
        </is>
      </c>
      <c r="E95" t="inlineStr">
        <is>
          <t>E0079</t>
        </is>
      </c>
      <c r="F95" t="inlineStr">
        <is>
          <t>Denver - Closed</t>
        </is>
      </c>
      <c r="G95" t="inlineStr">
        <is>
          <t>Assigned</t>
        </is>
      </c>
      <c r="H95" t="n">
        <v>950</v>
      </c>
    </row>
    <row r="96">
      <c r="A96" t="inlineStr">
        <is>
          <t>MD-00092</t>
        </is>
      </c>
      <c r="B96" t="inlineStr">
        <is>
          <t>MD-NE-050088</t>
        </is>
      </c>
      <c r="C96" t="inlineStr">
        <is>
          <t>Network Asset</t>
        </is>
      </c>
      <c r="D96" t="inlineStr">
        <is>
          <t>Aruba 6300M</t>
        </is>
      </c>
      <c r="E96" t="inlineStr">
        <is>
          <t>E0080</t>
        </is>
      </c>
      <c r="F96" t="inlineStr">
        <is>
          <t>Chicago - Closed</t>
        </is>
      </c>
      <c r="G96" t="inlineStr">
        <is>
          <t>Assigned</t>
        </is>
      </c>
      <c r="H96" t="n">
        <v>6245</v>
      </c>
    </row>
    <row r="97">
      <c r="A97" t="inlineStr">
        <is>
          <t>MD-00093</t>
        </is>
      </c>
      <c r="B97" t="inlineStr">
        <is>
          <t>MD-LA-050093</t>
        </is>
      </c>
      <c r="C97" t="inlineStr">
        <is>
          <t>Network Asset</t>
        </is>
      </c>
      <c r="D97" t="inlineStr">
        <is>
          <t>Juniper EX3400</t>
        </is>
      </c>
      <c r="E97" t="inlineStr">
        <is>
          <t>E0081</t>
        </is>
      </c>
      <c r="F97" t="inlineStr">
        <is>
          <t>Denver - Closed</t>
        </is>
      </c>
      <c r="G97" t="inlineStr">
        <is>
          <t>Assigned</t>
        </is>
      </c>
      <c r="H97" t="n">
        <v>1940</v>
      </c>
    </row>
    <row r="98">
      <c r="A98" t="inlineStr">
        <is>
          <t>MD-00094</t>
        </is>
      </c>
      <c r="B98" t="inlineStr">
        <is>
          <t>MD-MO-050094</t>
        </is>
      </c>
      <c r="C98" t="inlineStr">
        <is>
          <t>Network Asset</t>
        </is>
      </c>
      <c r="D98" t="inlineStr">
        <is>
          <t>Cisco Meraki MS250</t>
        </is>
      </c>
      <c r="E98" t="inlineStr">
        <is>
          <t>E0082</t>
        </is>
      </c>
      <c r="F98" t="inlineStr">
        <is>
          <t>Chicago - Closed</t>
        </is>
      </c>
      <c r="G98" t="inlineStr">
        <is>
          <t>Assigned</t>
        </is>
      </c>
      <c r="H98" t="n">
        <v>655</v>
      </c>
    </row>
    <row r="99">
      <c r="A99" t="inlineStr">
        <is>
          <t>MD-00095</t>
        </is>
      </c>
      <c r="B99" t="inlineStr">
        <is>
          <t>MD-MO-050095</t>
        </is>
      </c>
      <c r="C99" t="inlineStr">
        <is>
          <t>Network Asset</t>
        </is>
      </c>
      <c r="D99" t="inlineStr">
        <is>
          <t>Fortinet FortiSwitch 148F</t>
        </is>
      </c>
      <c r="E99" t="inlineStr">
        <is>
          <t>E0083</t>
        </is>
      </c>
      <c r="F99" t="inlineStr">
        <is>
          <t>Denver - Closed</t>
        </is>
      </c>
      <c r="G99" t="inlineStr">
        <is>
          <t>Assigned</t>
        </is>
      </c>
      <c r="H99" t="n">
        <v>1130</v>
      </c>
    </row>
    <row r="100">
      <c r="A100" t="inlineStr">
        <is>
          <t>MD-00096</t>
        </is>
      </c>
      <c r="B100" t="inlineStr">
        <is>
          <t>MD-NE-050096</t>
        </is>
      </c>
      <c r="C100" t="inlineStr">
        <is>
          <t>Network Asset</t>
        </is>
      </c>
      <c r="D100" t="inlineStr">
        <is>
          <t>Cisco C9300</t>
        </is>
      </c>
      <c r="E100" t="inlineStr">
        <is>
          <t>E0084</t>
        </is>
      </c>
      <c r="F100" t="inlineStr">
        <is>
          <t>Chicago - Closed</t>
        </is>
      </c>
      <c r="G100" t="inlineStr">
        <is>
          <t>Assigned</t>
        </is>
      </c>
      <c r="H100" t="n">
        <v>6425</v>
      </c>
    </row>
    <row r="101">
      <c r="A101" t="inlineStr">
        <is>
          <t>MD-00097</t>
        </is>
      </c>
      <c r="B101" t="inlineStr">
        <is>
          <t>MD-LA-050097</t>
        </is>
      </c>
      <c r="C101" t="inlineStr">
        <is>
          <t>Network Asset</t>
        </is>
      </c>
      <c r="D101" t="inlineStr">
        <is>
          <t>Aruba 6300M</t>
        </is>
      </c>
      <c r="E101" t="inlineStr">
        <is>
          <t>E0085</t>
        </is>
      </c>
      <c r="F101" t="inlineStr">
        <is>
          <t>Denver - Closed</t>
        </is>
      </c>
      <c r="G101" t="inlineStr">
        <is>
          <t>Assigned</t>
        </is>
      </c>
      <c r="H101" t="n">
        <v>2120</v>
      </c>
    </row>
    <row r="102">
      <c r="A102" t="inlineStr">
        <is>
          <t>MD-00098</t>
        </is>
      </c>
      <c r="B102" t="inlineStr">
        <is>
          <t>MD-MO-050098</t>
        </is>
      </c>
      <c r="C102" t="inlineStr">
        <is>
          <t>Network Asset</t>
        </is>
      </c>
      <c r="D102" t="inlineStr">
        <is>
          <t>Juniper EX3400</t>
        </is>
      </c>
      <c r="E102" t="inlineStr">
        <is>
          <t>E0086</t>
        </is>
      </c>
      <c r="F102" t="inlineStr">
        <is>
          <t>Chicago - Closed</t>
        </is>
      </c>
      <c r="G102" t="inlineStr">
        <is>
          <t>Assigned</t>
        </is>
      </c>
      <c r="H102" t="n">
        <v>520</v>
      </c>
    </row>
    <row r="103">
      <c r="A103" t="inlineStr">
        <is>
          <t>MD-00099</t>
        </is>
      </c>
      <c r="B103" t="inlineStr">
        <is>
          <t>MD-MO-050099</t>
        </is>
      </c>
      <c r="C103" t="inlineStr">
        <is>
          <t>Network Asset</t>
        </is>
      </c>
      <c r="D103" t="inlineStr">
        <is>
          <t>Cisco Meraki MS250</t>
        </is>
      </c>
      <c r="E103" t="inlineStr">
        <is>
          <t>E0087</t>
        </is>
      </c>
      <c r="F103" t="inlineStr">
        <is>
          <t>Denver - Closed</t>
        </is>
      </c>
      <c r="G103" t="inlineStr">
        <is>
          <t>Assigned</t>
        </is>
      </c>
      <c r="H103" t="n">
        <v>995</v>
      </c>
    </row>
    <row r="104">
      <c r="A104" t="inlineStr">
        <is>
          <t>MD-00100</t>
        </is>
      </c>
      <c r="B104" t="inlineStr">
        <is>
          <t>MD-NE-050100</t>
        </is>
      </c>
      <c r="C104" t="inlineStr">
        <is>
          <t>Laptop</t>
        </is>
      </c>
      <c r="D104" t="inlineStr">
        <is>
          <t>HP EliteBook 840 G10</t>
        </is>
      </c>
      <c r="E104" t="inlineStr">
        <is>
          <t>E0088</t>
        </is>
      </c>
      <c r="F104" t="inlineStr">
        <is>
          <t>Chicago - Closed</t>
        </is>
      </c>
      <c r="G104" t="inlineStr">
        <is>
          <t>Assigned</t>
        </is>
      </c>
      <c r="H104" t="n">
        <v>6290</v>
      </c>
    </row>
    <row r="105">
      <c r="A105" t="inlineStr">
        <is>
          <t>MD-00101</t>
        </is>
      </c>
      <c r="B105" t="inlineStr">
        <is>
          <t>MD-LA-050101</t>
        </is>
      </c>
      <c r="C105" t="inlineStr">
        <is>
          <t>Laptop</t>
        </is>
      </c>
      <c r="D105" t="inlineStr">
        <is>
          <t>Microsoft Surface Laptop 5</t>
        </is>
      </c>
      <c r="E105" t="inlineStr">
        <is>
          <t>E0089</t>
        </is>
      </c>
      <c r="F105" t="inlineStr">
        <is>
          <t>Denver - Closed</t>
        </is>
      </c>
      <c r="G105" t="inlineStr">
        <is>
          <t>Assigned</t>
        </is>
      </c>
      <c r="H105" t="n">
        <v>1985</v>
      </c>
    </row>
    <row r="106">
      <c r="A106" t="inlineStr">
        <is>
          <t>MD-00102</t>
        </is>
      </c>
      <c r="B106" t="inlineStr">
        <is>
          <t>MD-MO-050102</t>
        </is>
      </c>
      <c r="C106" t="inlineStr">
        <is>
          <t>Laptop</t>
        </is>
      </c>
      <c r="D106" t="inlineStr">
        <is>
          <t>Lenovo ThinkPad X1 Carbon</t>
        </is>
      </c>
      <c r="E106" t="inlineStr">
        <is>
          <t>E0090</t>
        </is>
      </c>
      <c r="F106" t="inlineStr">
        <is>
          <t>Chicago - Closed</t>
        </is>
      </c>
      <c r="G106" t="inlineStr">
        <is>
          <t>Assigned</t>
        </is>
      </c>
      <c r="H106" t="n">
        <v>700</v>
      </c>
    </row>
    <row r="107">
      <c r="A107" t="inlineStr">
        <is>
          <t>MD-00103</t>
        </is>
      </c>
      <c r="B107" t="inlineStr">
        <is>
          <t>MD-MO-050103</t>
        </is>
      </c>
      <c r="C107" t="inlineStr">
        <is>
          <t>Laptop</t>
        </is>
      </c>
      <c r="D107" t="inlineStr">
        <is>
          <t>Lenovo ThinkPad T14</t>
        </is>
      </c>
      <c r="E107" t="inlineStr">
        <is>
          <t>E0091</t>
        </is>
      </c>
      <c r="F107" t="inlineStr">
        <is>
          <t>Denver - Closed</t>
        </is>
      </c>
      <c r="G107" t="inlineStr">
        <is>
          <t>Assigned</t>
        </is>
      </c>
      <c r="H107" t="n">
        <v>1175</v>
      </c>
    </row>
    <row r="108">
      <c r="A108" t="inlineStr">
        <is>
          <t>MD-00104</t>
        </is>
      </c>
      <c r="B108" t="inlineStr">
        <is>
          <t>MD-NE-050104</t>
        </is>
      </c>
      <c r="C108" t="inlineStr">
        <is>
          <t>Laptop</t>
        </is>
      </c>
      <c r="D108" t="inlineStr">
        <is>
          <t>MacBook Pro 14</t>
        </is>
      </c>
      <c r="E108" t="inlineStr">
        <is>
          <t>E0092</t>
        </is>
      </c>
      <c r="F108" t="inlineStr">
        <is>
          <t>Chicago - Closed</t>
        </is>
      </c>
      <c r="G108" t="inlineStr">
        <is>
          <t>Assigned</t>
        </is>
      </c>
      <c r="H108" t="n">
        <v>6470</v>
      </c>
    </row>
    <row r="109">
      <c r="A109" t="inlineStr">
        <is>
          <t>MD-00105</t>
        </is>
      </c>
      <c r="B109" t="inlineStr">
        <is>
          <t>MD-LA-050105</t>
        </is>
      </c>
      <c r="C109" t="inlineStr">
        <is>
          <t>Laptop</t>
        </is>
      </c>
      <c r="D109" t="inlineStr">
        <is>
          <t>Dell Latitude 7440</t>
        </is>
      </c>
      <c r="E109" t="inlineStr">
        <is>
          <t>E0093</t>
        </is>
      </c>
      <c r="F109" t="inlineStr">
        <is>
          <t>Denver - Closed</t>
        </is>
      </c>
      <c r="G109" t="inlineStr">
        <is>
          <t>Assigned</t>
        </is>
      </c>
      <c r="H109" t="n">
        <v>1850</v>
      </c>
    </row>
    <row r="110">
      <c r="A110" t="inlineStr">
        <is>
          <t>MD-00106</t>
        </is>
      </c>
      <c r="B110" t="inlineStr">
        <is>
          <t>MD-MO-050106</t>
        </is>
      </c>
      <c r="C110" t="inlineStr">
        <is>
          <t>Laptop</t>
        </is>
      </c>
      <c r="D110" t="inlineStr">
        <is>
          <t>HP EliteBook 840 G10</t>
        </is>
      </c>
      <c r="E110" t="inlineStr">
        <is>
          <t>E0094</t>
        </is>
      </c>
      <c r="F110" t="inlineStr">
        <is>
          <t>Chicago - Closed</t>
        </is>
      </c>
      <c r="G110" t="inlineStr">
        <is>
          <t>Assigned</t>
        </is>
      </c>
      <c r="H110" t="n">
        <v>565</v>
      </c>
    </row>
    <row r="111">
      <c r="A111" t="inlineStr">
        <is>
          <t>MD-00107</t>
        </is>
      </c>
      <c r="B111" t="inlineStr">
        <is>
          <t>MD-MO-050107</t>
        </is>
      </c>
      <c r="C111" t="inlineStr">
        <is>
          <t>Laptop</t>
        </is>
      </c>
      <c r="D111" t="inlineStr">
        <is>
          <t>Microsoft Surface Laptop 5</t>
        </is>
      </c>
      <c r="E111" t="inlineStr">
        <is>
          <t>E0095</t>
        </is>
      </c>
      <c r="F111" t="inlineStr">
        <is>
          <t>Denver - Closed</t>
        </is>
      </c>
      <c r="G111" t="inlineStr">
        <is>
          <t>Assigned</t>
        </is>
      </c>
      <c r="H111" t="n">
        <v>1040</v>
      </c>
    </row>
    <row r="112">
      <c r="A112" t="inlineStr">
        <is>
          <t>MD-00108</t>
        </is>
      </c>
      <c r="B112" t="inlineStr">
        <is>
          <t>MD-NE-050108</t>
        </is>
      </c>
      <c r="C112" t="inlineStr">
        <is>
          <t>Laptop</t>
        </is>
      </c>
      <c r="D112" t="inlineStr">
        <is>
          <t>Lenovo ThinkPad X1 Carbon</t>
        </is>
      </c>
      <c r="E112" t="inlineStr">
        <is>
          <t>E0071</t>
        </is>
      </c>
      <c r="F112" t="inlineStr">
        <is>
          <t>Chicago - Closed</t>
        </is>
      </c>
      <c r="G112" t="inlineStr">
        <is>
          <t>Assigned</t>
        </is>
      </c>
      <c r="H112" t="n">
        <v>6335</v>
      </c>
    </row>
    <row r="113">
      <c r="A113" t="inlineStr">
        <is>
          <t>MD-00109</t>
        </is>
      </c>
      <c r="B113" t="inlineStr">
        <is>
          <t>MD-LA-050109</t>
        </is>
      </c>
      <c r="C113" t="inlineStr">
        <is>
          <t>Laptop</t>
        </is>
      </c>
      <c r="D113" t="inlineStr">
        <is>
          <t>Lenovo ThinkPad T14</t>
        </is>
      </c>
      <c r="E113" t="inlineStr">
        <is>
          <t>E0072</t>
        </is>
      </c>
      <c r="F113" t="inlineStr">
        <is>
          <t>Denver - Closed</t>
        </is>
      </c>
      <c r="G113" t="inlineStr">
        <is>
          <t>Assigned</t>
        </is>
      </c>
      <c r="H113" t="n">
        <v>2030</v>
      </c>
    </row>
    <row r="114">
      <c r="A114" t="inlineStr">
        <is>
          <t>MD-00110</t>
        </is>
      </c>
      <c r="B114" t="inlineStr">
        <is>
          <t>MD-MO-050110</t>
        </is>
      </c>
      <c r="C114" t="inlineStr">
        <is>
          <t>Laptop</t>
        </is>
      </c>
      <c r="D114" t="inlineStr">
        <is>
          <t>Dell Latitude 7440</t>
        </is>
      </c>
      <c r="E114" t="inlineStr">
        <is>
          <t>E0073</t>
        </is>
      </c>
      <c r="F114" t="inlineStr">
        <is>
          <t>Chicago - Closed</t>
        </is>
      </c>
      <c r="G114" t="inlineStr">
        <is>
          <t>Assigned</t>
        </is>
      </c>
      <c r="H114" t="n">
        <v>745</v>
      </c>
    </row>
    <row r="115">
      <c r="A115" t="inlineStr">
        <is>
          <t>MD-00111</t>
        </is>
      </c>
      <c r="B115" t="inlineStr">
        <is>
          <t>MD-MO-050111</t>
        </is>
      </c>
      <c r="C115" t="inlineStr">
        <is>
          <t>Laptop</t>
        </is>
      </c>
      <c r="D115" t="inlineStr">
        <is>
          <t>HP EliteBook 840 G10</t>
        </is>
      </c>
      <c r="E115" t="inlineStr">
        <is>
          <t>E0074</t>
        </is>
      </c>
      <c r="F115" t="inlineStr">
        <is>
          <t>Denver - Closed</t>
        </is>
      </c>
      <c r="G115" t="inlineStr">
        <is>
          <t>Assigned</t>
        </is>
      </c>
      <c r="H115" t="n">
        <v>1220</v>
      </c>
    </row>
    <row r="116">
      <c r="A116" t="inlineStr">
        <is>
          <t>MD-00112</t>
        </is>
      </c>
      <c r="B116" t="inlineStr">
        <is>
          <t>MD-NE-050112</t>
        </is>
      </c>
      <c r="C116" t="inlineStr">
        <is>
          <t>Laptop</t>
        </is>
      </c>
      <c r="D116" t="inlineStr">
        <is>
          <t>Microsoft Surface Laptop 5</t>
        </is>
      </c>
      <c r="E116" t="inlineStr">
        <is>
          <t>E0075</t>
        </is>
      </c>
      <c r="F116" t="inlineStr">
        <is>
          <t>Chicago - Closed</t>
        </is>
      </c>
      <c r="G116" t="inlineStr">
        <is>
          <t>Assigned</t>
        </is>
      </c>
      <c r="H116" t="n">
        <v>6200</v>
      </c>
    </row>
    <row r="117">
      <c r="A117" t="inlineStr">
        <is>
          <t>MD-00113</t>
        </is>
      </c>
      <c r="B117" t="inlineStr">
        <is>
          <t>MD-LA-050113</t>
        </is>
      </c>
      <c r="C117" t="inlineStr">
        <is>
          <t>Laptop</t>
        </is>
      </c>
      <c r="D117" t="inlineStr">
        <is>
          <t>Lenovo ThinkPad X1 Carbon</t>
        </is>
      </c>
      <c r="E117" t="inlineStr">
        <is>
          <t>E0076</t>
        </is>
      </c>
      <c r="F117" t="inlineStr">
        <is>
          <t>Denver - Closed</t>
        </is>
      </c>
      <c r="G117" t="inlineStr">
        <is>
          <t>Assigned</t>
        </is>
      </c>
      <c r="H117" t="n">
        <v>1895</v>
      </c>
    </row>
    <row r="118">
      <c r="A118" t="inlineStr">
        <is>
          <t>MD-00114</t>
        </is>
      </c>
      <c r="B118" t="inlineStr">
        <is>
          <t>MD-MO-050114</t>
        </is>
      </c>
      <c r="C118" t="inlineStr">
        <is>
          <t>Laptop</t>
        </is>
      </c>
      <c r="D118" t="inlineStr">
        <is>
          <t>Lenovo ThinkPad T14</t>
        </is>
      </c>
      <c r="E118" t="inlineStr">
        <is>
          <t>E0077</t>
        </is>
      </c>
      <c r="F118" t="inlineStr">
        <is>
          <t>Chicago - Closed</t>
        </is>
      </c>
      <c r="G118" t="inlineStr">
        <is>
          <t>Assigned</t>
        </is>
      </c>
      <c r="H118" t="n">
        <v>610</v>
      </c>
    </row>
    <row r="119">
      <c r="A119" t="inlineStr">
        <is>
          <t>MD-00115</t>
        </is>
      </c>
      <c r="B119" t="inlineStr">
        <is>
          <t>MD-MO-050115</t>
        </is>
      </c>
      <c r="C119" t="inlineStr">
        <is>
          <t>Laptop</t>
        </is>
      </c>
      <c r="D119" t="inlineStr">
        <is>
          <t>MacBook Pro 14</t>
        </is>
      </c>
      <c r="E119" t="inlineStr">
        <is>
          <t>E0078</t>
        </is>
      </c>
      <c r="F119" t="inlineStr">
        <is>
          <t>Denver - Closed</t>
        </is>
      </c>
      <c r="G119" t="inlineStr">
        <is>
          <t>Assigned</t>
        </is>
      </c>
      <c r="H119" t="n">
        <v>1085</v>
      </c>
    </row>
    <row r="120">
      <c r="A120" t="inlineStr">
        <is>
          <t>MD-00116</t>
        </is>
      </c>
      <c r="B120" t="inlineStr">
        <is>
          <t>MD-NE-050116</t>
        </is>
      </c>
      <c r="C120" t="inlineStr">
        <is>
          <t>Laptop</t>
        </is>
      </c>
      <c r="D120" t="inlineStr">
        <is>
          <t>Dell Latitude 7440</t>
        </is>
      </c>
      <c r="E120" t="inlineStr">
        <is>
          <t>E0079</t>
        </is>
      </c>
      <c r="F120" t="inlineStr">
        <is>
          <t>Chicago - Closed</t>
        </is>
      </c>
      <c r="G120" t="inlineStr">
        <is>
          <t>Assigned</t>
        </is>
      </c>
      <c r="H120" t="n">
        <v>6380</v>
      </c>
    </row>
    <row r="121">
      <c r="A121" t="inlineStr">
        <is>
          <t>MD-00117</t>
        </is>
      </c>
      <c r="B121" t="inlineStr">
        <is>
          <t>MD-LA-050117</t>
        </is>
      </c>
      <c r="C121" t="inlineStr">
        <is>
          <t>Laptop</t>
        </is>
      </c>
      <c r="D121" t="inlineStr">
        <is>
          <t>HP EliteBook 840 G10</t>
        </is>
      </c>
      <c r="E121" t="inlineStr">
        <is>
          <t>E0080</t>
        </is>
      </c>
      <c r="F121" t="inlineStr">
        <is>
          <t>Denver - Closed</t>
        </is>
      </c>
      <c r="G121" t="inlineStr">
        <is>
          <t>Assigned</t>
        </is>
      </c>
      <c r="H121" t="n">
        <v>2075</v>
      </c>
    </row>
    <row r="122">
      <c r="A122" t="inlineStr">
        <is>
          <t>MD-00118</t>
        </is>
      </c>
      <c r="B122" t="inlineStr">
        <is>
          <t>MD-MO-050118</t>
        </is>
      </c>
      <c r="C122" t="inlineStr">
        <is>
          <t>Laptop</t>
        </is>
      </c>
      <c r="D122" t="inlineStr">
        <is>
          <t>Microsoft Surface Laptop 5</t>
        </is>
      </c>
      <c r="E122" t="inlineStr">
        <is>
          <t>E0081</t>
        </is>
      </c>
      <c r="F122" t="inlineStr">
        <is>
          <t>Chicago - Closed</t>
        </is>
      </c>
      <c r="G122" t="inlineStr">
        <is>
          <t>Assigned</t>
        </is>
      </c>
      <c r="H122" t="n">
        <v>790</v>
      </c>
    </row>
    <row r="123">
      <c r="A123" t="inlineStr">
        <is>
          <t>MD-00119</t>
        </is>
      </c>
      <c r="B123" t="inlineStr">
        <is>
          <t>MD-MO-050119</t>
        </is>
      </c>
      <c r="C123" t="inlineStr">
        <is>
          <t>Laptop</t>
        </is>
      </c>
      <c r="D123" t="inlineStr">
        <is>
          <t>Lenovo ThinkPad X1 Carbon</t>
        </is>
      </c>
      <c r="E123" t="inlineStr">
        <is>
          <t>E0082</t>
        </is>
      </c>
      <c r="F123" t="inlineStr">
        <is>
          <t>Denver - Closed</t>
        </is>
      </c>
      <c r="G123" t="inlineStr">
        <is>
          <t>Assigned</t>
        </is>
      </c>
      <c r="H123" t="n">
        <v>950</v>
      </c>
    </row>
    <row r="124">
      <c r="A124" t="inlineStr">
        <is>
          <t>MD-00120</t>
        </is>
      </c>
      <c r="B124" t="inlineStr">
        <is>
          <t>MD-NE-050120</t>
        </is>
      </c>
      <c r="C124" t="inlineStr">
        <is>
          <t>Laptop</t>
        </is>
      </c>
      <c r="D124" t="inlineStr">
        <is>
          <t>MacBook Pro 14</t>
        </is>
      </c>
      <c r="E124" t="inlineStr">
        <is>
          <t>E0083</t>
        </is>
      </c>
      <c r="F124" t="inlineStr">
        <is>
          <t>Chicago - Closed</t>
        </is>
      </c>
      <c r="G124" t="inlineStr">
        <is>
          <t>Assigned</t>
        </is>
      </c>
      <c r="H124" t="n">
        <v>6245</v>
      </c>
    </row>
    <row r="125">
      <c r="A125" t="inlineStr">
        <is>
          <t>MD-00121</t>
        </is>
      </c>
      <c r="B125" t="inlineStr">
        <is>
          <t>MD-LA-050121</t>
        </is>
      </c>
      <c r="C125" t="inlineStr">
        <is>
          <t>Laptop</t>
        </is>
      </c>
      <c r="D125" t="inlineStr">
        <is>
          <t>Dell Latitude 7440</t>
        </is>
      </c>
      <c r="F125" t="inlineStr">
        <is>
          <t>Denver - Closed</t>
        </is>
      </c>
      <c r="G125" t="inlineStr">
        <is>
          <t>Assigned</t>
        </is>
      </c>
      <c r="H125" t="n">
        <v>1940</v>
      </c>
    </row>
    <row r="126">
      <c r="A126" t="inlineStr">
        <is>
          <t>MD-00122</t>
        </is>
      </c>
      <c r="B126" t="inlineStr">
        <is>
          <t>MD-MO-050122</t>
        </is>
      </c>
      <c r="C126" t="inlineStr">
        <is>
          <t>Laptop</t>
        </is>
      </c>
      <c r="D126" t="inlineStr">
        <is>
          <t>HP EliteBook 840 G10</t>
        </is>
      </c>
      <c r="F126" t="inlineStr">
        <is>
          <t>Chicago - Closed</t>
        </is>
      </c>
      <c r="G126" t="inlineStr">
        <is>
          <t>Assigned</t>
        </is>
      </c>
      <c r="H126" t="n">
        <v>655</v>
      </c>
    </row>
    <row r="127">
      <c r="A127" t="inlineStr">
        <is>
          <t>MD-00123</t>
        </is>
      </c>
      <c r="B127" t="inlineStr">
        <is>
          <t>MD-MO-050123</t>
        </is>
      </c>
      <c r="C127" t="inlineStr">
        <is>
          <t>Laptop</t>
        </is>
      </c>
      <c r="D127" t="inlineStr">
        <is>
          <t>Microsoft Surface Laptop 5</t>
        </is>
      </c>
      <c r="F127" t="inlineStr">
        <is>
          <t>Denver - Closed</t>
        </is>
      </c>
      <c r="G127" t="inlineStr">
        <is>
          <t>Assigned</t>
        </is>
      </c>
      <c r="H127" t="n">
        <v>1130</v>
      </c>
    </row>
    <row r="128">
      <c r="A128" t="inlineStr">
        <is>
          <t>MD-00124</t>
        </is>
      </c>
      <c r="B128" t="inlineStr">
        <is>
          <t>MD-NE-050124</t>
        </is>
      </c>
      <c r="C128" t="inlineStr">
        <is>
          <t>Laptop</t>
        </is>
      </c>
      <c r="D128" t="inlineStr">
        <is>
          <t>Lenovo ThinkPad X1 Carbon</t>
        </is>
      </c>
      <c r="F128" t="inlineStr">
        <is>
          <t>Chicago - Closed</t>
        </is>
      </c>
      <c r="G128" t="inlineStr">
        <is>
          <t>Assigned</t>
        </is>
      </c>
      <c r="H128" t="n">
        <v>6425</v>
      </c>
    </row>
    <row r="129">
      <c r="A129" t="inlineStr">
        <is>
          <t>MD-00125</t>
        </is>
      </c>
      <c r="B129" t="inlineStr">
        <is>
          <t>MD-LA-050125</t>
        </is>
      </c>
      <c r="C129" t="inlineStr">
        <is>
          <t>Laptop</t>
        </is>
      </c>
      <c r="D129" t="inlineStr">
        <is>
          <t>Lenovo ThinkPad T14</t>
        </is>
      </c>
      <c r="F129" t="inlineStr">
        <is>
          <t>Denver - Closed</t>
        </is>
      </c>
      <c r="G129" t="inlineStr">
        <is>
          <t>Assigned</t>
        </is>
      </c>
      <c r="H129" t="n">
        <v>2120</v>
      </c>
    </row>
    <row r="130">
      <c r="A130" t="inlineStr">
        <is>
          <t>MD-00126</t>
        </is>
      </c>
      <c r="B130" t="inlineStr">
        <is>
          <t>MD-MO-050126</t>
        </is>
      </c>
      <c r="C130" t="inlineStr">
        <is>
          <t>Laptop</t>
        </is>
      </c>
      <c r="D130" t="inlineStr">
        <is>
          <t>MacBook Pro 14</t>
        </is>
      </c>
      <c r="F130" t="inlineStr">
        <is>
          <t>Chicago - Closed</t>
        </is>
      </c>
      <c r="G130" t="inlineStr">
        <is>
          <t>Assigned</t>
        </is>
      </c>
      <c r="H130" t="n">
        <v>520</v>
      </c>
    </row>
    <row r="131">
      <c r="A131" t="inlineStr">
        <is>
          <t>MD-00127</t>
        </is>
      </c>
      <c r="B131" t="inlineStr">
        <is>
          <t>MD-MO-050127</t>
        </is>
      </c>
      <c r="C131" t="inlineStr">
        <is>
          <t>Laptop</t>
        </is>
      </c>
      <c r="D131" t="inlineStr">
        <is>
          <t>Dell Latitude 7440</t>
        </is>
      </c>
      <c r="E131" t="inlineStr">
        <is>
          <t>E0061</t>
        </is>
      </c>
      <c r="F131" t="inlineStr">
        <is>
          <t>Denver</t>
        </is>
      </c>
      <c r="G131" t="inlineStr">
        <is>
          <t>In Use</t>
        </is>
      </c>
      <c r="H131" t="n">
        <v>995</v>
      </c>
    </row>
    <row r="132">
      <c r="A132" t="inlineStr">
        <is>
          <t>MD-00128</t>
        </is>
      </c>
      <c r="B132" t="inlineStr">
        <is>
          <t>MD-NE-050128</t>
        </is>
      </c>
      <c r="C132" t="inlineStr">
        <is>
          <t>Laptop</t>
        </is>
      </c>
      <c r="D132" t="inlineStr">
        <is>
          <t>HP EliteBook 840 G10</t>
        </is>
      </c>
      <c r="E132" t="inlineStr">
        <is>
          <t>E0062</t>
        </is>
      </c>
      <c r="F132" t="inlineStr">
        <is>
          <t>New York</t>
        </is>
      </c>
      <c r="G132" t="inlineStr">
        <is>
          <t>In Use</t>
        </is>
      </c>
      <c r="H132" t="n">
        <v>6290</v>
      </c>
    </row>
    <row r="133">
      <c r="A133" t="inlineStr">
        <is>
          <t>MD-00129</t>
        </is>
      </c>
      <c r="B133" t="inlineStr">
        <is>
          <t>MD-LA-050129</t>
        </is>
      </c>
      <c r="C133" t="inlineStr">
        <is>
          <t>Laptop</t>
        </is>
      </c>
      <c r="D133" t="inlineStr">
        <is>
          <t>Microsoft Surface Laptop 5</t>
        </is>
      </c>
      <c r="E133" t="inlineStr">
        <is>
          <t>E0063</t>
        </is>
      </c>
      <c r="F133" t="inlineStr">
        <is>
          <t>Seattle</t>
        </is>
      </c>
      <c r="G133" t="inlineStr">
        <is>
          <t>In Use</t>
        </is>
      </c>
      <c r="H133" t="n">
        <v>1985</v>
      </c>
    </row>
    <row r="134">
      <c r="A134" t="inlineStr">
        <is>
          <t>MD-00130</t>
        </is>
      </c>
      <c r="B134" t="inlineStr">
        <is>
          <t>MD-MO-050130</t>
        </is>
      </c>
      <c r="C134" t="inlineStr">
        <is>
          <t>Laptop</t>
        </is>
      </c>
      <c r="D134" t="inlineStr">
        <is>
          <t>Lenovo ThinkPad T14</t>
        </is>
      </c>
      <c r="E134" t="inlineStr">
        <is>
          <t>E0064</t>
        </is>
      </c>
      <c r="F134" t="inlineStr">
        <is>
          <t>Atlanta</t>
        </is>
      </c>
      <c r="G134" t="inlineStr">
        <is>
          <t>In Use</t>
        </is>
      </c>
      <c r="H134" t="n">
        <v>700</v>
      </c>
    </row>
    <row r="135">
      <c r="A135" t="inlineStr">
        <is>
          <t>MD-00131</t>
        </is>
      </c>
      <c r="B135" t="inlineStr">
        <is>
          <t>MD-MO-050131</t>
        </is>
      </c>
      <c r="C135" t="inlineStr">
        <is>
          <t>Laptop</t>
        </is>
      </c>
      <c r="D135" t="inlineStr">
        <is>
          <t>MacBook Pro 14</t>
        </is>
      </c>
      <c r="E135" t="inlineStr">
        <is>
          <t>E0065</t>
        </is>
      </c>
      <c r="F135" t="inlineStr">
        <is>
          <t>Chicago</t>
        </is>
      </c>
      <c r="G135" t="inlineStr">
        <is>
          <t>In Use</t>
        </is>
      </c>
      <c r="H135" t="n">
        <v>1175</v>
      </c>
    </row>
    <row r="136">
      <c r="A136" t="inlineStr">
        <is>
          <t>MD-00132</t>
        </is>
      </c>
      <c r="B136" t="inlineStr">
        <is>
          <t>MD-NE-050132</t>
        </is>
      </c>
      <c r="C136" t="inlineStr">
        <is>
          <t>Laptop</t>
        </is>
      </c>
      <c r="D136" t="inlineStr">
        <is>
          <t>Dell Latitude 7440</t>
        </is>
      </c>
      <c r="E136" t="inlineStr">
        <is>
          <t>E0066</t>
        </is>
      </c>
      <c r="F136" t="inlineStr">
        <is>
          <t>Dallas</t>
        </is>
      </c>
      <c r="G136" t="inlineStr">
        <is>
          <t>In Use</t>
        </is>
      </c>
      <c r="H136" t="n">
        <v>6470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10" customWidth="1" min="4" max="4"/>
    <col width="32" customWidth="1" min="5" max="5"/>
    <col width="13" customWidth="1" min="6" max="6"/>
    <col width="20" customWidth="1" min="7" max="7"/>
  </cols>
  <sheetData>
    <row r="1">
      <c r="A1" s="24" t="inlineStr">
        <is>
          <t>Yanou &amp; Partners IT Services - IT Asset Reconciliation Dashboard</t>
        </is>
      </c>
    </row>
    <row r="2">
      <c r="A2" s="2" t="inlineStr">
        <is>
          <t>Prepared for IT Operations Manager, Finance Controller, HR Operations Lead, and Internal Audit | As of 2026-08-09 | Policy figure and dock image used as leads only</t>
        </is>
      </c>
    </row>
    <row r="3"/>
    <row r="4">
      <c r="A4" s="25" t="inlineStr">
        <is>
          <t>KPI</t>
        </is>
      </c>
      <c r="B4" s="25" t="inlineStr">
        <is>
          <t>Value</t>
        </is>
      </c>
    </row>
    <row r="5">
      <c r="A5" s="4" t="inlineStr">
        <is>
          <t>Assets reviewed</t>
        </is>
      </c>
      <c r="B5" s="5">
        <f>COUNTA('Corrected Register'!A5:A200)</f>
        <v>132</v>
      </c>
    </row>
    <row r="6">
      <c r="A6" s="4" t="inlineStr">
        <is>
          <t>Corrected register acquisition cost</t>
        </is>
      </c>
      <c r="B6" s="5">
        <f>SUM('Corrected Register'!M5:M200)</f>
        <v>332115</v>
      </c>
    </row>
    <row r="7">
      <c r="A7" s="4" t="inlineStr">
        <is>
          <t>Remaining book value (ledger NBV where present)</t>
        </is>
      </c>
      <c r="B7" s="5">
        <f>SUM('Corrected Register'!N5:N200)</f>
        <v>61526.6</v>
      </c>
    </row>
    <row r="8">
      <c r="A8" s="4" t="inlineStr">
        <is>
          <t>Open exceptions</t>
        </is>
      </c>
      <c r="B8" s="5">
        <f>COUNTA('Exception Register'!A5:A200)</f>
        <v>163</v>
      </c>
    </row>
    <row r="9">
      <c r="A9" s="4" t="inlineStr">
        <is>
          <t>Critical certification blockers (sign-off list)</t>
        </is>
      </c>
      <c r="B9" s="5">
        <f>COUNTA('Certification'!A32:A38)</f>
        <v>7</v>
      </c>
    </row>
    <row r="10">
      <c r="A10" s="4" t="inlineStr">
        <is>
          <t>Assets Missing / Cannot Locate</t>
        </is>
      </c>
      <c r="B10" s="5">
        <f>COUNTIF('Corrected Register'!J5:J200,"Missing")</f>
        <v>12</v>
      </c>
    </row>
    <row r="11">
      <c r="A11" s="4" t="inlineStr">
        <is>
          <t>Overdue returns (label ≠ proof)</t>
        </is>
      </c>
      <c r="B11" s="5">
        <f>COUNTIF('Corrected Register'!J5:J200,"Return Overdue")</f>
        <v>12</v>
      </c>
    </row>
    <row r="12">
      <c r="A12" s="4" t="inlineStr">
        <is>
          <t>Verified disposed with certificate</t>
        </is>
      </c>
      <c r="B12" s="5">
        <f>COUNTIF('Corrected Register'!J5:J200,"Disposed")</f>
        <v>8</v>
      </c>
    </row>
    <row r="13">
      <c r="A13" s="4" t="inlineStr">
        <is>
          <t>Custody chains documented</t>
        </is>
      </c>
      <c r="B13" s="5">
        <f>65</f>
        <v>65</v>
      </c>
    </row>
    <row r="14">
      <c r="A14" s="4" t="inlineStr">
        <is>
          <t>Multimodal image leads cited</t>
        </is>
      </c>
      <c r="B14" s="5" t="inlineStr">
        <is>
          <t>ITAM_control_matrix.png; receiving_exception_scan_1ZMD00000082.png</t>
        </is>
      </c>
    </row>
    <row r="15"/>
    <row r="16"/>
    <row r="17">
      <c r="A17" s="6" t="inlineStr">
        <is>
          <t>Asset Counts and Book Value by Verified Status</t>
        </is>
      </c>
      <c r="E17" s="6" t="inlineStr">
        <is>
          <t>By Device Category</t>
        </is>
      </c>
    </row>
    <row r="18">
      <c r="A18" s="3" t="inlineStr">
        <is>
          <t>Verified Status</t>
        </is>
      </c>
      <c r="B18" s="3" t="inlineStr">
        <is>
          <t>Asset Count</t>
        </is>
      </c>
      <c r="C18" s="3" t="inlineStr">
        <is>
          <t>Book Value</t>
        </is>
      </c>
      <c r="E18" s="3" t="inlineStr">
        <is>
          <t>Category</t>
        </is>
      </c>
      <c r="F18" s="3" t="inlineStr">
        <is>
          <t>Asset Count</t>
        </is>
      </c>
      <c r="G18" s="3" t="inlineStr">
        <is>
          <t>Book Value</t>
        </is>
      </c>
    </row>
    <row r="19">
      <c r="A19" s="7" t="inlineStr">
        <is>
          <t>Available</t>
        </is>
      </c>
      <c r="B19" s="7">
        <f>COUNTIF('Corrected Register'!J5:J200,A19)</f>
        <v>25</v>
      </c>
      <c r="C19" s="7">
        <f>SUMIF('Corrected Register'!J5:J200,A19,'Corrected Register'!N5:N200)</f>
        <v>12961</v>
      </c>
      <c r="E19" s="7" t="inlineStr">
        <is>
          <t>Laptop</t>
        </is>
      </c>
      <c r="F19" s="7">
        <f>COUNTIF('Corrected Register'!C5:C200,E19)</f>
        <v>40</v>
      </c>
      <c r="G19" s="7">
        <f>SUMIF('Corrected Register'!C5:C200,E19,'Corrected Register'!N5:N200)</f>
        <v>13030.88</v>
      </c>
    </row>
    <row r="20">
      <c r="A20" s="7" t="inlineStr">
        <is>
          <t>Disposed</t>
        </is>
      </c>
      <c r="B20" s="7">
        <f>COUNTIF('Corrected Register'!J5:J200,A20)</f>
        <v>8</v>
      </c>
      <c r="C20" s="7">
        <f>SUMIF('Corrected Register'!J5:J200,A20,'Corrected Register'!N5:N200)</f>
        <v>0</v>
      </c>
      <c r="E20" s="7" t="inlineStr">
        <is>
          <t>Mobile Device</t>
        </is>
      </c>
      <c r="F20" s="7">
        <f>COUNTIF('Corrected Register'!C5:C200,E20)</f>
        <v>36</v>
      </c>
      <c r="G20" s="7">
        <f>SUMIF('Corrected Register'!C5:C200,E20,'Corrected Register'!N5:N200)</f>
        <v>18983.58</v>
      </c>
    </row>
    <row r="21">
      <c r="A21" s="8" t="inlineStr">
        <is>
          <t>In Transit - Exception</t>
        </is>
      </c>
      <c r="B21" s="7">
        <f>COUNTIF('Corrected Register'!J5:J200,A21)</f>
        <v>2</v>
      </c>
      <c r="C21" s="7">
        <f>SUMIF('Corrected Register'!J5:J200,A21,'Corrected Register'!N5:N200)</f>
        <v>1019.4</v>
      </c>
      <c r="E21" s="7" t="inlineStr">
        <is>
          <t>Monitor</t>
        </is>
      </c>
      <c r="F21" s="7">
        <f>COUNTIF('Corrected Register'!C5:C200,E21)</f>
        <v>28</v>
      </c>
      <c r="G21" s="7">
        <f>SUMIF('Corrected Register'!C5:C200,E21,'Corrected Register'!N5:N200)</f>
        <v>15372.27</v>
      </c>
    </row>
    <row r="22">
      <c r="A22" s="7" t="inlineStr">
        <is>
          <t>In Use</t>
        </is>
      </c>
      <c r="B22" s="7">
        <f>COUNTIF('Corrected Register'!J5:J200,A22)</f>
        <v>51</v>
      </c>
      <c r="C22" s="7">
        <f>SUMIF('Corrected Register'!J5:J200,A22,'Corrected Register'!N5:N200)</f>
        <v>25477.76</v>
      </c>
      <c r="E22" s="7" t="inlineStr">
        <is>
          <t>Network Asset</t>
        </is>
      </c>
      <c r="F22" s="7">
        <f>COUNTIF('Corrected Register'!C5:C200,E22)</f>
        <v>28</v>
      </c>
      <c r="G22" s="7">
        <f>SUMIF('Corrected Register'!C5:C200,E22,'Corrected Register'!N5:N200)</f>
        <v>14139.87</v>
      </c>
    </row>
    <row r="23">
      <c r="A23" s="8" t="inlineStr">
        <is>
          <t>Missing</t>
        </is>
      </c>
      <c r="B23" s="7">
        <f>COUNTIF('Corrected Register'!J5:J200,A23)</f>
        <v>12</v>
      </c>
      <c r="C23" s="7">
        <f>SUMIF('Corrected Register'!J5:J200,A23,'Corrected Register'!N5:N200)</f>
        <v>6214.38</v>
      </c>
    </row>
    <row r="24">
      <c r="A24" s="7" t="inlineStr">
        <is>
          <t>Pending Redeployment</t>
        </is>
      </c>
      <c r="B24" s="7">
        <f>COUNTIF('Corrected Register'!J5:J200,A24)</f>
        <v>10</v>
      </c>
      <c r="C24" s="7">
        <f>SUMIF('Corrected Register'!J5:J200,A24,'Corrected Register'!N5:N200)</f>
        <v>4851.08</v>
      </c>
    </row>
    <row r="25">
      <c r="A25" s="7" t="inlineStr">
        <is>
          <t>Retired/Pending Disposal</t>
        </is>
      </c>
      <c r="B25" s="7">
        <f>COUNTIF('Corrected Register'!J5:J200,A25)</f>
        <v>12</v>
      </c>
      <c r="C25" s="7">
        <f>SUMIF('Corrected Register'!J5:J200,A25,'Corrected Register'!N5:N200)</f>
        <v>4811.33</v>
      </c>
    </row>
    <row r="26">
      <c r="A26" s="8" t="inlineStr">
        <is>
          <t>Return Overdue</t>
        </is>
      </c>
      <c r="B26" s="7">
        <f>COUNTIF('Corrected Register'!J5:J200,A26)</f>
        <v>12</v>
      </c>
      <c r="C26" s="7">
        <f>SUMIF('Corrected Register'!J5:J200,A26,'Corrected Register'!N5:N200)</f>
        <v>6191.65</v>
      </c>
    </row>
    <row r="27"/>
    <row r="28"/>
    <row r="29"/>
    <row r="30">
      <c r="A30" s="6" t="inlineStr">
        <is>
          <t>By Verified Location</t>
        </is>
      </c>
      <c r="B30" t="n">
        <v>0</v>
      </c>
      <c r="C30" t="n">
        <v>0</v>
      </c>
      <c r="E30" s="6" t="inlineStr">
        <is>
          <t>Open Exceptions by Type</t>
        </is>
      </c>
    </row>
    <row r="31">
      <c r="A31" s="3" t="inlineStr">
        <is>
          <t>Verified Location</t>
        </is>
      </c>
      <c r="B31" s="3" t="n">
        <v>0</v>
      </c>
      <c r="C31" s="3" t="n">
        <v>0</v>
      </c>
      <c r="E31" s="3" t="inlineStr">
        <is>
          <t>Type</t>
        </is>
      </c>
      <c r="F31" s="3" t="inlineStr">
        <is>
          <t>Count</t>
        </is>
      </c>
      <c r="G31" s="3" t="inlineStr">
        <is>
          <t>Financial Exposure</t>
        </is>
      </c>
    </row>
    <row r="32">
      <c r="A32" s="7" t="inlineStr">
        <is>
          <t>Chicago</t>
        </is>
      </c>
      <c r="B32" s="7">
        <f>COUNTIF('Corrected Register'!I5:I200,A32)</f>
        <v>16</v>
      </c>
      <c r="C32" s="7">
        <f>SUMIF('Corrected Register'!I5:I200,A32,'Corrected Register'!N5:N200)</f>
        <v>5184.18</v>
      </c>
      <c r="E32" s="7" t="inlineStr">
        <is>
          <t>Cannot Locate</t>
        </is>
      </c>
      <c r="F32" s="7">
        <f>COUNTIF('Exception Register'!B5:B200,E32)</f>
        <v>12</v>
      </c>
      <c r="G32" s="7">
        <f>SUMIF('Exception Register'!B5:B200,E32,'Exception Register'!G5:G200)</f>
        <v>0</v>
      </c>
    </row>
    <row r="33">
      <c r="A33" s="7" t="inlineStr">
        <is>
          <t>Atlanta</t>
        </is>
      </c>
      <c r="B33" s="7">
        <f>COUNTIF('Corrected Register'!I5:I200,A33)</f>
        <v>15</v>
      </c>
      <c r="C33" s="7">
        <f>SUMIF('Corrected Register'!I5:I200,A33,'Corrected Register'!N5:N200)</f>
        <v>6267.29</v>
      </c>
      <c r="E33" s="7" t="inlineStr">
        <is>
          <t>Closed Location Assignment</t>
        </is>
      </c>
      <c r="F33" s="7">
        <f>COUNTIF('Exception Register'!B5:B200,E33)</f>
        <v>61</v>
      </c>
      <c r="G33" s="7">
        <f>SUMIF('Exception Register'!B5:B200,E33,'Exception Register'!G5:G200)</f>
        <v>0</v>
      </c>
    </row>
    <row r="34">
      <c r="A34" s="7" t="inlineStr">
        <is>
          <t>Dallas</t>
        </is>
      </c>
      <c r="B34" s="7">
        <f>COUNTIF('Corrected Register'!I5:I200,A34)</f>
        <v>15</v>
      </c>
      <c r="C34" s="7">
        <f>SUMIF('Corrected Register'!I5:I200,A34,'Corrected Register'!N5:N200)</f>
        <v>11070.95</v>
      </c>
      <c r="E34" s="7" t="inlineStr">
        <is>
          <t>Duplicate Serial Number</t>
        </is>
      </c>
      <c r="F34" s="7">
        <f>COUNTIF('Exception Register'!B5:B200,E34)</f>
        <v>4</v>
      </c>
      <c r="G34" s="7">
        <f>SUMIF('Exception Register'!B5:B200,E34,'Exception Register'!G5:G200)</f>
        <v>0</v>
      </c>
    </row>
    <row r="35">
      <c r="A35" s="7" t="inlineStr">
        <is>
          <t>Seattle</t>
        </is>
      </c>
      <c r="B35" s="7">
        <f>COUNTIF('Corrected Register'!I5:I200,A35)</f>
        <v>15</v>
      </c>
      <c r="C35" s="7">
        <f>SUMIF('Corrected Register'!I5:I200,A35,'Corrected Register'!N5:N200)</f>
        <v>5149.95</v>
      </c>
      <c r="E35" s="7" t="inlineStr">
        <is>
          <t>Former Employee Assignment</t>
        </is>
      </c>
      <c r="F35" s="7">
        <f>COUNTIF('Exception Register'!B5:B200,E35)</f>
        <v>43</v>
      </c>
      <c r="G35" s="7">
        <f>SUMIF('Exception Register'!B5:B200,E35,'Exception Register'!G5:G200)</f>
        <v>0</v>
      </c>
    </row>
    <row r="36">
      <c r="A36" s="7" t="inlineStr">
        <is>
          <t>Denver</t>
        </is>
      </c>
      <c r="B36" s="7">
        <f>COUNTIF('Corrected Register'!I5:I200,A36)</f>
        <v>14</v>
      </c>
      <c r="C36" s="7">
        <f>SUMIF('Corrected Register'!I5:I200,A36,'Corrected Register'!N5:N200)</f>
        <v>5551.75</v>
      </c>
      <c r="E36" s="7" t="inlineStr">
        <is>
          <t>Inventory-to-Ledger Difference</t>
        </is>
      </c>
      <c r="F36" s="7">
        <f>COUNTIF('Exception Register'!B5:B200,E36)</f>
        <v>8</v>
      </c>
      <c r="G36" s="7">
        <f>SUMIF('Exception Register'!B5:B200,E36,'Exception Register'!G5:G200)</f>
        <v>0</v>
      </c>
    </row>
    <row r="37">
      <c r="A37" s="7" t="inlineStr">
        <is>
          <t>New York</t>
        </is>
      </c>
      <c r="B37" s="7">
        <f>COUNTIF('Corrected Register'!I5:I200,A37)</f>
        <v>14</v>
      </c>
      <c r="C37" s="7">
        <f>SUMIF('Corrected Register'!I5:I200,A37,'Corrected Register'!N5:N200)</f>
        <v>10526</v>
      </c>
      <c r="E37" s="7" t="inlineStr">
        <is>
          <t>Missing Disposal Evidence</t>
        </is>
      </c>
      <c r="F37" s="7">
        <f>COUNTIF('Exception Register'!B5:B200,E37)</f>
        <v>12</v>
      </c>
      <c r="G37" s="7">
        <f>SUMIF('Exception Register'!B5:B200,E37,'Exception Register'!G5:G200)</f>
        <v>0</v>
      </c>
    </row>
    <row r="38">
      <c r="A38" s="7" t="inlineStr">
        <is>
          <t>Unknown</t>
        </is>
      </c>
      <c r="B38" s="7">
        <f>COUNTIF('Corrected Register'!I5:I200,A38)</f>
        <v>12</v>
      </c>
      <c r="C38" s="7">
        <f>SUMIF('Corrected Register'!I5:I200,A38,'Corrected Register'!N5:N200)</f>
        <v>6214.38</v>
      </c>
      <c r="E38" s="7" t="inlineStr">
        <is>
          <t>Overdue Return</t>
        </is>
      </c>
      <c r="F38" s="7">
        <f>COUNTIF('Exception Register'!B5:B200,E38)</f>
        <v>12</v>
      </c>
      <c r="G38" s="7">
        <f>SUMIF('Exception Register'!B5:B200,E38,'Exception Register'!G5:G200)</f>
        <v>0</v>
      </c>
    </row>
    <row r="39">
      <c r="A39" s="7" t="inlineStr">
        <is>
          <t>Remote - Former Employee</t>
        </is>
      </c>
      <c r="B39" s="7">
        <f>COUNTIF('Corrected Register'!I5:I200,A39)</f>
        <v>10</v>
      </c>
      <c r="C39" s="7">
        <f>SUMIF('Corrected Register'!I5:I200,A39,'Corrected Register'!N5:N200)</f>
        <v>4878.51</v>
      </c>
      <c r="E39" s="7" t="inlineStr">
        <is>
          <t>Shipment Mismatch</t>
        </is>
      </c>
      <c r="F39" s="7">
        <f>COUNTIF('Exception Register'!B5:B200,E39)</f>
        <v>4</v>
      </c>
      <c r="G39" s="7">
        <f>SUMIF('Exception Register'!B5:B200,E39,'Exception Register'!G5:G200)</f>
        <v>0</v>
      </c>
    </row>
    <row r="40">
      <c r="A40" s="7" t="inlineStr">
        <is>
          <t>Disposed</t>
        </is>
      </c>
      <c r="B40" s="7">
        <f>COUNTIF('Corrected Register'!I5:I200,A40)</f>
        <v>8</v>
      </c>
      <c r="C40" s="7">
        <f>SUMIF('Corrected Register'!I5:I200,A40,'Corrected Register'!N5:N200)</f>
        <v>0</v>
      </c>
      <c r="E40" s="7" t="inlineStr">
        <is>
          <t>Unapproved Transfer</t>
        </is>
      </c>
      <c r="F40" s="7">
        <f>COUNTIF('Exception Register'!B5:B200,E40)</f>
        <v>5</v>
      </c>
      <c r="G40" s="7">
        <f>SUMIF('Exception Register'!B5:B200,E40,'Exception Register'!G5:G200)</f>
        <v>0</v>
      </c>
    </row>
    <row r="41">
      <c r="A41" s="7" t="inlineStr">
        <is>
          <t>Atlanta Warehouse</t>
        </is>
      </c>
      <c r="B41" s="7">
        <f>COUNTIF('Corrected Register'!I5:I200,A41)</f>
        <v>7</v>
      </c>
      <c r="C41" s="7">
        <f>SUMIF('Corrected Register'!I5:I200,A41,'Corrected Register'!N5:N200)</f>
        <v>4351.05</v>
      </c>
      <c r="E41" t="inlineStr">
        <is>
          <t>Below Capitalization Threshold</t>
        </is>
      </c>
      <c r="F41">
        <f>COUNTIF('Exception Register'!B5:B200,E41)</f>
        <v>2</v>
      </c>
      <c r="G41">
        <f>SUMIF('Exception Register'!B5:B200,E41,'Exception Register'!G5:G200)</f>
        <v>0</v>
      </c>
    </row>
    <row r="42">
      <c r="A42" s="7" t="inlineStr">
        <is>
          <t>Carrier Network / Unverified</t>
        </is>
      </c>
      <c r="B42" s="7">
        <f>COUNTIF('Corrected Register'!I5:I200,A42)</f>
        <v>4</v>
      </c>
      <c r="C42" s="7">
        <f>SUMIF('Corrected Register'!I5:I200,A42,'Corrected Register'!N5:N200)</f>
        <v>2332.54</v>
      </c>
    </row>
    <row r="43">
      <c r="A43" s="7" t="inlineStr">
        <is>
          <t>Disposed (certificate missing)</t>
        </is>
      </c>
      <c r="B43" s="7">
        <f>COUNTIF('Corrected Register'!I5:I200,A43)</f>
        <v>2</v>
      </c>
      <c r="C43" s="7">
        <f>SUMIF('Corrected Register'!I5:I200,A43,'Corrected Register'!N5:N200)</f>
        <v>0</v>
      </c>
    </row>
    <row r="44"/>
    <row r="45">
      <c r="A45" s="19" t="inlineStr">
        <is>
          <t>Key finding - Duplicate serial identities (both pairs)</t>
        </is>
      </c>
    </row>
    <row r="46">
      <c r="A46" s="20" t="inlineStr">
        <is>
          <t>Duplicate Serial</t>
        </is>
      </c>
      <c r="B46" s="20" t="n">
        <v>0</v>
      </c>
      <c r="C46" s="20" t="n">
        <v>0</v>
      </c>
    </row>
    <row r="47">
      <c r="A47" s="21" t="inlineStr">
        <is>
          <t>MD-LA-050021</t>
        </is>
      </c>
      <c r="B47" s="21" t="n">
        <v>0</v>
      </c>
      <c r="C47" s="21" t="n">
        <v>0</v>
      </c>
    </row>
    <row r="48">
      <c r="A48" s="21" t="inlineStr">
        <is>
          <t>MD-NE-050088</t>
        </is>
      </c>
      <c r="B48" s="21" t="n">
        <v>0</v>
      </c>
      <c r="C48" s="21" t="n">
        <v>0</v>
      </c>
    </row>
    <row r="49">
      <c r="A49" s="22" t="inlineStr">
        <is>
          <t>Flags duplicate serial MD-LA-050021 across MD-00021 and MD-00025, and duplicate serial MD-NE-050088 across MD-00088 and MD-00092.</t>
        </is>
      </c>
    </row>
  </sheetData>
  <mergeCells count="4">
    <mergeCell ref="A45:C45"/>
    <mergeCell ref="A2:G2"/>
    <mergeCell ref="A49:G49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21" customWidth="1" min="4" max="4"/>
    <col width="20" customWidth="1" min="5" max="5"/>
    <col width="19" customWidth="1" min="6" max="6"/>
    <col width="17" customWidth="1" min="7" max="7"/>
    <col width="20" customWidth="1" min="8" max="8"/>
    <col width="30" customWidth="1" min="9" max="9"/>
    <col width="24" customWidth="1" min="10" max="10"/>
    <col width="36" customWidth="1" min="11" max="11"/>
    <col width="20" customWidth="1" min="12" max="12"/>
    <col width="18" customWidth="1" min="13" max="13"/>
    <col width="22" customWidth="1" min="14" max="14"/>
    <col width="17" customWidth="1" min="15" max="15"/>
    <col width="13" customWidth="1" min="16" max="16"/>
    <col width="12" customWidth="1" min="17" max="17"/>
    <col width="27" customWidth="1" min="18" max="18"/>
    <col width="21" customWidth="1" min="19" max="19"/>
  </cols>
  <sheetData>
    <row r="1">
      <c r="A1" s="24" t="inlineStr">
        <is>
          <t>Corrected Asset Register</t>
        </is>
      </c>
    </row>
    <row r="2">
      <c r="A2" s="2" t="inlineStr">
        <is>
          <t>Every reviewed asset with verified custodian, location, status, evidence (including multimodal leads where applicable), cost, book value, and confidence. As of 2026-08-09.</t>
        </is>
      </c>
    </row>
    <row r="3"/>
    <row r="4">
      <c r="A4" s="25" t="inlineStr">
        <is>
          <t>Asset Tag</t>
        </is>
      </c>
      <c r="B4" s="25" t="inlineStr">
        <is>
          <t>Serial Number</t>
        </is>
      </c>
      <c r="C4" s="25" t="inlineStr">
        <is>
          <t>Category</t>
        </is>
      </c>
      <c r="D4" s="25" t="inlineStr">
        <is>
          <t>Model</t>
        </is>
      </c>
      <c r="E4" s="25" t="inlineStr">
        <is>
          <t>Register Custodian</t>
        </is>
      </c>
      <c r="F4" s="25" t="inlineStr">
        <is>
          <t>Register Location</t>
        </is>
      </c>
      <c r="G4" s="25" t="inlineStr">
        <is>
          <t>Register Status</t>
        </is>
      </c>
      <c r="H4" s="25" t="inlineStr">
        <is>
          <t>Verified Custodian</t>
        </is>
      </c>
      <c r="I4" s="25" t="inlineStr">
        <is>
          <t>Verified Location</t>
        </is>
      </c>
      <c r="J4" s="25" t="inlineStr">
        <is>
          <t>Verified Status</t>
        </is>
      </c>
      <c r="K4" s="25" t="inlineStr">
        <is>
          <t>Evidence Source</t>
        </is>
      </c>
      <c r="L4" s="25" t="inlineStr">
        <is>
          <t>Last Verified Date</t>
        </is>
      </c>
      <c r="M4" s="25" t="inlineStr">
        <is>
          <t>Acquisition Cost</t>
        </is>
      </c>
      <c r="N4" s="25" t="inlineStr">
        <is>
          <t>Remaining Book Value</t>
        </is>
      </c>
      <c r="O4" s="25" t="inlineStr">
        <is>
          <t>Ledger Asset ID</t>
        </is>
      </c>
      <c r="P4" s="25" t="inlineStr">
        <is>
          <t>Capitalized</t>
        </is>
      </c>
      <c r="Q4" s="25" t="inlineStr">
        <is>
          <t>Confidence</t>
        </is>
      </c>
      <c r="R4" s="25" t="inlineStr">
        <is>
          <t>Exception IDs</t>
        </is>
      </c>
      <c r="S4" s="25" t="inlineStr">
        <is>
          <t>Escalation Required</t>
        </is>
      </c>
      <c r="T4" t="inlineStr">
        <is>
          <t>Ledger Acquisition Cost</t>
        </is>
      </c>
      <c r="U4" t="inlineStr">
        <is>
          <t>Ledger Status</t>
        </is>
      </c>
      <c r="V4" t="inlineStr">
        <is>
          <t>FA Net Book Value</t>
        </is>
      </c>
      <c r="W4" t="inlineStr">
        <is>
          <t>Ledger vs Register Cost Diff</t>
        </is>
      </c>
      <c r="X4" t="inlineStr">
        <is>
          <t>Book Value Present</t>
        </is>
      </c>
    </row>
    <row r="5">
      <c r="A5" s="7" t="inlineStr">
        <is>
          <t>MD-00001</t>
        </is>
      </c>
      <c r="B5" s="7" t="inlineStr">
        <is>
          <t>MD-LA-050001</t>
        </is>
      </c>
      <c r="C5" s="7" t="inlineStr">
        <is>
          <t>Laptop</t>
        </is>
      </c>
      <c r="D5" s="7" t="inlineStr">
        <is>
          <t>HP EliteBook 840 G10</t>
        </is>
      </c>
      <c r="E5" s="7" t="inlineStr">
        <is>
          <t>E0001</t>
        </is>
      </c>
      <c r="F5" s="7" t="inlineStr">
        <is>
          <t>Chicago</t>
        </is>
      </c>
      <c r="G5" s="7" t="inlineStr">
        <is>
          <t>In Use</t>
        </is>
      </c>
      <c r="H5" s="7" t="inlineStr">
        <is>
          <t>E0001</t>
        </is>
      </c>
      <c r="I5" s="7" t="inlineStr">
        <is>
          <t>Chicago</t>
        </is>
      </c>
      <c r="J5" s="7" t="inlineStr">
        <is>
          <t>In Use</t>
        </is>
      </c>
      <c r="K5" s="7" t="inlineStr">
        <is>
          <t>HP EliteBook 840 G10 tagged MD-00001 reconciled using PO-2022-0001+FA-000001+TR-00001+HR. Present state In Use/Chicago, cost $1,895.</t>
        </is>
      </c>
      <c r="L5" s="7" t="inlineStr">
        <is>
          <t>2026-08-05</t>
        </is>
      </c>
      <c r="M5" s="7" t="n">
        <v>1895</v>
      </c>
      <c r="N5" s="7">
        <f>IFERROR(INDEX('Source Ledger'!$G$5:$G$200,MATCH(A5,'Source Ledger'!$B$5:$B$200,0)),"")</f>
        <v>0</v>
      </c>
      <c r="O5" s="7">
        <f>IFERROR(INDEX('Source Ledger'!$A$5:$A$200,MATCH(A5,'Source Ledger'!$B$5:$B$200,0)),"")</f>
        <v/>
      </c>
      <c r="P5" s="7">
        <f>IFERROR(INDEX('Source Ledger'!$D$5:$D$200,MATCH(A5,'Source Ledger'!$B$5:$B$200,0)),"")</f>
        <v/>
      </c>
      <c r="Q5" s="9" t="inlineStr">
        <is>
          <t>High</t>
        </is>
      </c>
      <c r="R5" s="7" t="inlineStr"/>
      <c r="S5" s="7" t="inlineStr">
        <is>
          <t>No</t>
        </is>
      </c>
      <c r="T5">
        <f>IFERROR(INDEX('Source Ledger'!$E$5:$E$200,MATCH(A5,'Source Ledger'!$B$5:$B$200,0)),"")</f>
        <v>1895</v>
      </c>
      <c r="U5">
        <f>IFERROR(INDEX('Source Ledger'!$H$5:$H$200,MATCH(A5,'Source Ledger'!$B$5:$B$200,0)),"")</f>
        <v/>
      </c>
      <c r="V5">
        <f>IFERROR(INDEX('Source Ledger'!$G$5:$G$200,MATCH(A5,'Source Ledger'!$B$5:$B$200,0)),"")</f>
        <v>0</v>
      </c>
      <c r="W5">
        <f>IF(T5="","",T5-M5)</f>
        <v>0</v>
      </c>
      <c r="X5">
        <f>IF(V5="","No","Yes")</f>
        <v/>
      </c>
    </row>
    <row r="6">
      <c r="A6" s="7" t="inlineStr">
        <is>
          <t>MD-00002</t>
        </is>
      </c>
      <c r="B6" s="7" t="inlineStr">
        <is>
          <t>MD-MO-050002</t>
        </is>
      </c>
      <c r="C6" s="7" t="inlineStr">
        <is>
          <t>Laptop</t>
        </is>
      </c>
      <c r="D6" s="7" t="inlineStr">
        <is>
          <t>Microsoft Surface Laptop 5</t>
        </is>
      </c>
      <c r="E6" s="7" t="inlineStr">
        <is>
          <t>E0002</t>
        </is>
      </c>
      <c r="F6" s="7" t="inlineStr">
        <is>
          <t>Dallas</t>
        </is>
      </c>
      <c r="G6" s="7" t="inlineStr">
        <is>
          <t>In Use</t>
        </is>
      </c>
      <c r="H6" s="7" t="inlineStr">
        <is>
          <t>E0002</t>
        </is>
      </c>
      <c r="I6" s="7" t="inlineStr">
        <is>
          <t>Dallas</t>
        </is>
      </c>
      <c r="J6" s="7" t="inlineStr">
        <is>
          <t>In Use</t>
        </is>
      </c>
      <c r="K6" s="7" t="inlineStr">
        <is>
          <t>Source stack for MD-00002 (Microsoft Surface Laptop 5): PO-2022-0001, FA-000002, TR-00002. Custodian context Model Microsoft; status In Use at Dallas; basis $610.</t>
        </is>
      </c>
      <c r="L6" s="7" t="inlineStr">
        <is>
          <t>2026-08-05</t>
        </is>
      </c>
      <c r="M6" s="7" t="n">
        <v>610</v>
      </c>
      <c r="N6" s="7">
        <f>IFERROR(INDEX('Source Ledger'!$G$5:$G$200,MATCH(A6,'Source Ledger'!$B$5:$B$200,0)),"")</f>
        <v>313.06</v>
      </c>
      <c r="O6" s="7">
        <f>IFERROR(INDEX('Source Ledger'!$A$5:$A$200,MATCH(A6,'Source Ledger'!$B$5:$B$200,0)),"")</f>
        <v/>
      </c>
      <c r="P6" s="7">
        <f>IFERROR(INDEX('Source Ledger'!$D$5:$D$200,MATCH(A6,'Source Ledger'!$B$5:$B$200,0)),"")</f>
        <v/>
      </c>
      <c r="Q6" s="9" t="inlineStr">
        <is>
          <t>High</t>
        </is>
      </c>
      <c r="R6" s="7" t="inlineStr"/>
      <c r="S6" s="7" t="inlineStr">
        <is>
          <t>No</t>
        </is>
      </c>
      <c r="T6">
        <f>IFERROR(INDEX('Source Ledger'!$E$5:$E$200,MATCH(A6,'Source Ledger'!$B$5:$B$200,0)),"")</f>
        <v>610</v>
      </c>
      <c r="U6">
        <f>IFERROR(INDEX('Source Ledger'!$H$5:$H$200,MATCH(A6,'Source Ledger'!$B$5:$B$200,0)),"")</f>
        <v/>
      </c>
      <c r="V6">
        <f>IFERROR(INDEX('Source Ledger'!$G$5:$G$200,MATCH(A6,'Source Ledger'!$B$5:$B$200,0)),"")</f>
        <v>313.06</v>
      </c>
      <c r="W6">
        <f>IF(T6="","",T6-M6)</f>
        <v>0</v>
      </c>
      <c r="X6">
        <f>IF(V6="","No","Yes")</f>
        <v/>
      </c>
    </row>
    <row r="7">
      <c r="A7" s="7" t="inlineStr">
        <is>
          <t>MD-00003</t>
        </is>
      </c>
      <c r="B7" s="7" t="inlineStr">
        <is>
          <t>MD-MO-050003</t>
        </is>
      </c>
      <c r="C7" s="7" t="inlineStr">
        <is>
          <t>Laptop</t>
        </is>
      </c>
      <c r="D7" s="7" t="inlineStr">
        <is>
          <t>Lenovo ThinkPad X1 Carbon</t>
        </is>
      </c>
      <c r="E7" s="7" t="inlineStr">
        <is>
          <t>E0003</t>
        </is>
      </c>
      <c r="F7" s="7" t="inlineStr">
        <is>
          <t>Denver</t>
        </is>
      </c>
      <c r="G7" s="7" t="inlineStr">
        <is>
          <t>In Use</t>
        </is>
      </c>
      <c r="H7" s="7" t="inlineStr">
        <is>
          <t>E0003</t>
        </is>
      </c>
      <c r="I7" s="7" t="inlineStr">
        <is>
          <t>Denver</t>
        </is>
      </c>
      <c r="J7" s="7" t="inlineStr">
        <is>
          <t>In Use</t>
        </is>
      </c>
      <c r="K7" s="7" t="inlineStr">
        <is>
          <t>Lenovo ThinkPad X1 Carbon tagged MD-00003 reconciled using PO-2022-0001+FA-000003+TR-00003+HR. Present state In Use/Denver, cost $1,085.</t>
        </is>
      </c>
      <c r="L7" s="7" t="inlineStr">
        <is>
          <t>2026-08-05</t>
        </is>
      </c>
      <c r="M7" s="7" t="n">
        <v>1085</v>
      </c>
      <c r="N7" s="7">
        <f>IFERROR(INDEX('Source Ledger'!$G$5:$G$200,MATCH(A7,'Source Ledger'!$B$5:$B$200,0)),"")</f>
        <v>597.83</v>
      </c>
      <c r="O7" s="7">
        <f>IFERROR(INDEX('Source Ledger'!$A$5:$A$200,MATCH(A7,'Source Ledger'!$B$5:$B$200,0)),"")</f>
        <v/>
      </c>
      <c r="P7" s="7">
        <f>IFERROR(INDEX('Source Ledger'!$D$5:$D$200,MATCH(A7,'Source Ledger'!$B$5:$B$200,0)),"")</f>
        <v/>
      </c>
      <c r="Q7" s="9" t="inlineStr">
        <is>
          <t>High</t>
        </is>
      </c>
      <c r="R7" s="7" t="inlineStr"/>
      <c r="S7" s="7" t="inlineStr">
        <is>
          <t>No</t>
        </is>
      </c>
      <c r="T7">
        <f>IFERROR(INDEX('Source Ledger'!$E$5:$E$200,MATCH(A7,'Source Ledger'!$B$5:$B$200,0)),"")</f>
        <v>1085</v>
      </c>
      <c r="U7">
        <f>IFERROR(INDEX('Source Ledger'!$H$5:$H$200,MATCH(A7,'Source Ledger'!$B$5:$B$200,0)),"")</f>
        <v/>
      </c>
      <c r="V7">
        <f>IFERROR(INDEX('Source Ledger'!$G$5:$G$200,MATCH(A7,'Source Ledger'!$B$5:$B$200,0)),"")</f>
        <v>597.83</v>
      </c>
      <c r="W7">
        <f>IF(T7="","",T7-M7)</f>
        <v>0</v>
      </c>
      <c r="X7">
        <f>IF(V7="","No","Yes")</f>
        <v/>
      </c>
    </row>
    <row r="8">
      <c r="A8" s="7" t="inlineStr">
        <is>
          <t>MD-00004</t>
        </is>
      </c>
      <c r="B8" s="7" t="inlineStr">
        <is>
          <t>MD-NE-050004</t>
        </is>
      </c>
      <c r="C8" s="7" t="inlineStr">
        <is>
          <t>Laptop</t>
        </is>
      </c>
      <c r="D8" s="7" t="inlineStr">
        <is>
          <t>Lenovo ThinkPad T14</t>
        </is>
      </c>
      <c r="E8" s="7" t="inlineStr">
        <is>
          <t>E0004</t>
        </is>
      </c>
      <c r="F8" s="7" t="inlineStr">
        <is>
          <t>New York</t>
        </is>
      </c>
      <c r="G8" s="7" t="inlineStr">
        <is>
          <t>In Use</t>
        </is>
      </c>
      <c r="H8" s="7" t="inlineStr">
        <is>
          <t>E0004</t>
        </is>
      </c>
      <c r="I8" s="7" t="inlineStr">
        <is>
          <t>New York</t>
        </is>
      </c>
      <c r="J8" s="7" t="inlineStr">
        <is>
          <t>In Use</t>
        </is>
      </c>
      <c r="K8" s="7" t="inlineStr">
        <is>
          <t>Source stack for MD-00004 (Lenovo ThinkPad T14): PO-2023-0002, FA-000004, TR-00004. Custodian context E0004; status In Use at New York; basis $6,380.</t>
        </is>
      </c>
      <c r="L8" s="7" t="inlineStr">
        <is>
          <t>2026-08-05</t>
        </is>
      </c>
      <c r="M8" s="7" t="n">
        <v>6380</v>
      </c>
      <c r="N8" s="7">
        <f>IFERROR(INDEX('Source Ledger'!$G$5:$G$200,MATCH(A8,'Source Ledger'!$B$5:$B$200,0)),"")</f>
        <v>940.62</v>
      </c>
      <c r="O8" s="7">
        <f>IFERROR(INDEX('Source Ledger'!$A$5:$A$200,MATCH(A8,'Source Ledger'!$B$5:$B$200,0)),"")</f>
        <v/>
      </c>
      <c r="P8" s="7">
        <f>IFERROR(INDEX('Source Ledger'!$D$5:$D$200,MATCH(A8,'Source Ledger'!$B$5:$B$200,0)),"")</f>
        <v/>
      </c>
      <c r="Q8" s="9" t="inlineStr">
        <is>
          <t>High</t>
        </is>
      </c>
      <c r="R8" s="7" t="inlineStr"/>
      <c r="S8" s="7" t="inlineStr">
        <is>
          <t>No</t>
        </is>
      </c>
      <c r="T8">
        <f>IFERROR(INDEX('Source Ledger'!$E$5:$E$200,MATCH(A8,'Source Ledger'!$B$5:$B$200,0)),"")</f>
        <v>6380</v>
      </c>
      <c r="U8">
        <f>IFERROR(INDEX('Source Ledger'!$H$5:$H$200,MATCH(A8,'Source Ledger'!$B$5:$B$200,0)),"")</f>
        <v/>
      </c>
      <c r="V8">
        <f>IFERROR(INDEX('Source Ledger'!$G$5:$G$200,MATCH(A8,'Source Ledger'!$B$5:$B$200,0)),"")</f>
        <v>940.62</v>
      </c>
      <c r="W8">
        <f>IF(T8="","",T8-M8)</f>
        <v>0</v>
      </c>
      <c r="X8">
        <f>IF(V8="","No","Yes")</f>
        <v/>
      </c>
    </row>
    <row r="9">
      <c r="A9" s="7" t="inlineStr">
        <is>
          <t>MD-00005</t>
        </is>
      </c>
      <c r="B9" s="7" t="inlineStr">
        <is>
          <t>MD-LA-050005</t>
        </is>
      </c>
      <c r="C9" s="7" t="inlineStr">
        <is>
          <t>Laptop</t>
        </is>
      </c>
      <c r="D9" s="7" t="inlineStr">
        <is>
          <t>MacBook Pro 14</t>
        </is>
      </c>
      <c r="E9" s="7" t="inlineStr">
        <is>
          <t>E0005</t>
        </is>
      </c>
      <c r="F9" s="7" t="inlineStr">
        <is>
          <t>Seattle</t>
        </is>
      </c>
      <c r="G9" s="7" t="inlineStr">
        <is>
          <t>In Use</t>
        </is>
      </c>
      <c r="H9" s="7" t="inlineStr">
        <is>
          <t>E0005</t>
        </is>
      </c>
      <c r="I9" s="7" t="inlineStr">
        <is>
          <t>Seattle</t>
        </is>
      </c>
      <c r="J9" s="7" t="inlineStr">
        <is>
          <t>In Use</t>
        </is>
      </c>
      <c r="K9" s="7" t="inlineStr">
        <is>
          <t>Working evidence note on MD-00005: MacBook Pro 14; In Use @ Seattle; PO-2023-0002; FA-000005; basis $2,075.</t>
        </is>
      </c>
      <c r="L9" s="7" t="inlineStr">
        <is>
          <t>2026-08-05</t>
        </is>
      </c>
      <c r="M9" s="7" t="n">
        <v>2075</v>
      </c>
      <c r="N9" s="7">
        <f>IFERROR(INDEX('Source Ledger'!$G$5:$G$200,MATCH(A9,'Source Ledger'!$B$5:$B$200,0)),"")</f>
        <v>0</v>
      </c>
      <c r="O9" s="7">
        <f>IFERROR(INDEX('Source Ledger'!$A$5:$A$200,MATCH(A9,'Source Ledger'!$B$5:$B$200,0)),"")</f>
        <v/>
      </c>
      <c r="P9" s="7">
        <f>IFERROR(INDEX('Source Ledger'!$D$5:$D$200,MATCH(A9,'Source Ledger'!$B$5:$B$200,0)),"")</f>
        <v/>
      </c>
      <c r="Q9" s="9" t="inlineStr">
        <is>
          <t>High</t>
        </is>
      </c>
      <c r="R9" s="7" t="inlineStr"/>
      <c r="S9" s="7" t="inlineStr">
        <is>
          <t>No</t>
        </is>
      </c>
      <c r="T9">
        <f>IFERROR(INDEX('Source Ledger'!$E$5:$E$200,MATCH(A9,'Source Ledger'!$B$5:$B$200,0)),"")</f>
        <v>2075</v>
      </c>
      <c r="U9">
        <f>IFERROR(INDEX('Source Ledger'!$H$5:$H$200,MATCH(A9,'Source Ledger'!$B$5:$B$200,0)),"")</f>
        <v/>
      </c>
      <c r="V9">
        <f>IFERROR(INDEX('Source Ledger'!$G$5:$G$200,MATCH(A9,'Source Ledger'!$B$5:$B$200,0)),"")</f>
        <v>0</v>
      </c>
      <c r="W9">
        <f>IF(T9="","",T9-M9)</f>
        <v>0</v>
      </c>
      <c r="X9">
        <f>IF(V9="","No","Yes")</f>
        <v/>
      </c>
    </row>
    <row r="10">
      <c r="A10" s="7" t="inlineStr">
        <is>
          <t>MD-00006</t>
        </is>
      </c>
      <c r="B10" s="7" t="inlineStr">
        <is>
          <t>MD-MO-050006</t>
        </is>
      </c>
      <c r="C10" s="7" t="inlineStr">
        <is>
          <t>Laptop</t>
        </is>
      </c>
      <c r="D10" s="7" t="inlineStr">
        <is>
          <t>Dell Latitude 7440</t>
        </is>
      </c>
      <c r="E10" s="7" t="inlineStr">
        <is>
          <t>E0006</t>
        </is>
      </c>
      <c r="F10" s="7" t="inlineStr">
        <is>
          <t>Atlanta</t>
        </is>
      </c>
      <c r="G10" s="7" t="inlineStr">
        <is>
          <t>In Use</t>
        </is>
      </c>
      <c r="H10" s="7" t="inlineStr">
        <is>
          <t>E0006</t>
        </is>
      </c>
      <c r="I10" s="7" t="inlineStr">
        <is>
          <t>Atlanta</t>
        </is>
      </c>
      <c r="J10" s="7" t="inlineStr">
        <is>
          <t>In Use</t>
        </is>
      </c>
      <c r="K10" s="7" t="inlineStr">
        <is>
          <t>Source stack for MD-00006 (Dell Latitude 7440): FA-000006, TR-00006. Custodian context E0006; status In Use at Atlanta; basis $790.</t>
        </is>
      </c>
      <c r="L10" s="7" t="inlineStr">
        <is>
          <t>2026-08-05</t>
        </is>
      </c>
      <c r="M10" s="7" t="n">
        <v>790</v>
      </c>
      <c r="N10" s="7">
        <f>IFERROR(INDEX('Source Ledger'!$G$5:$G$200,MATCH(A10,'Source Ledger'!$B$5:$B$200,0)),"")</f>
        <v>459.94</v>
      </c>
      <c r="O10" s="7">
        <f>IFERROR(INDEX('Source Ledger'!$A$5:$A$200,MATCH(A10,'Source Ledger'!$B$5:$B$200,0)),"")</f>
        <v/>
      </c>
      <c r="P10" s="7">
        <f>IFERROR(INDEX('Source Ledger'!$D$5:$D$200,MATCH(A10,'Source Ledger'!$B$5:$B$200,0)),"")</f>
        <v/>
      </c>
      <c r="Q10" s="9" t="inlineStr">
        <is>
          <t>High</t>
        </is>
      </c>
      <c r="R10" s="7" t="inlineStr"/>
      <c r="S10" s="7" t="inlineStr">
        <is>
          <t>No</t>
        </is>
      </c>
      <c r="T10">
        <f>IFERROR(INDEX('Source Ledger'!$E$5:$E$200,MATCH(A10,'Source Ledger'!$B$5:$B$200,0)),"")</f>
        <v>790</v>
      </c>
      <c r="U10">
        <f>IFERROR(INDEX('Source Ledger'!$H$5:$H$200,MATCH(A10,'Source Ledger'!$B$5:$B$200,0)),"")</f>
        <v/>
      </c>
      <c r="V10">
        <f>IFERROR(INDEX('Source Ledger'!$G$5:$G$200,MATCH(A10,'Source Ledger'!$B$5:$B$200,0)),"")</f>
        <v>459.94</v>
      </c>
      <c r="W10">
        <f>IF(T10="","",T10-M10)</f>
        <v>0</v>
      </c>
      <c r="X10">
        <f>IF(V10="","No","Yes")</f>
        <v/>
      </c>
    </row>
    <row r="11">
      <c r="A11" s="7" t="inlineStr">
        <is>
          <t>MD-00007</t>
        </is>
      </c>
      <c r="B11" s="7" t="inlineStr">
        <is>
          <t>MD-MO-050007</t>
        </is>
      </c>
      <c r="C11" s="7" t="inlineStr">
        <is>
          <t>Laptop</t>
        </is>
      </c>
      <c r="D11" s="7" t="inlineStr">
        <is>
          <t>HP EliteBook 840 G10</t>
        </is>
      </c>
      <c r="E11" s="7" t="inlineStr">
        <is>
          <t>E0007</t>
        </is>
      </c>
      <c r="F11" s="7" t="inlineStr">
        <is>
          <t>Chicago</t>
        </is>
      </c>
      <c r="G11" s="7" t="inlineStr">
        <is>
          <t>In Use</t>
        </is>
      </c>
      <c r="H11" s="7" t="inlineStr">
        <is>
          <t>E0007</t>
        </is>
      </c>
      <c r="I11" s="7" t="inlineStr">
        <is>
          <t>Chicago</t>
        </is>
      </c>
      <c r="J11" s="7" t="inlineStr">
        <is>
          <t>In Use</t>
        </is>
      </c>
      <c r="K11" s="7" t="inlineStr">
        <is>
          <t>HP EliteBook 840 G10 tagged MD-00007 reconciled using PO-2023-0002+FA-000007+HR. Present state In Use/Chicago, cost $950.</t>
        </is>
      </c>
      <c r="L11" s="7" t="inlineStr">
        <is>
          <t>2026-08-05</t>
        </is>
      </c>
      <c r="M11" s="7" t="n">
        <v>950</v>
      </c>
      <c r="N11" s="7">
        <f>IFERROR(INDEX('Source Ledger'!$G$5:$G$200,MATCH(A11,'Source Ledger'!$B$5:$B$200,0)),"")</f>
        <v>632.68</v>
      </c>
      <c r="O11" s="7">
        <f>IFERROR(INDEX('Source Ledger'!$A$5:$A$200,MATCH(A11,'Source Ledger'!$B$5:$B$200,0)),"")</f>
        <v/>
      </c>
      <c r="P11" s="7">
        <f>IFERROR(INDEX('Source Ledger'!$D$5:$D$200,MATCH(A11,'Source Ledger'!$B$5:$B$200,0)),"")</f>
        <v/>
      </c>
      <c r="Q11" s="9" t="inlineStr">
        <is>
          <t>High</t>
        </is>
      </c>
      <c r="R11" s="7" t="inlineStr"/>
      <c r="S11" s="7" t="inlineStr">
        <is>
          <t>No</t>
        </is>
      </c>
      <c r="T11">
        <f>IFERROR(INDEX('Source Ledger'!$E$5:$E$200,MATCH(A11,'Source Ledger'!$B$5:$B$200,0)),"")</f>
        <v>950</v>
      </c>
      <c r="U11">
        <f>IFERROR(INDEX('Source Ledger'!$H$5:$H$200,MATCH(A11,'Source Ledger'!$B$5:$B$200,0)),"")</f>
        <v/>
      </c>
      <c r="V11">
        <f>IFERROR(INDEX('Source Ledger'!$G$5:$G$200,MATCH(A11,'Source Ledger'!$B$5:$B$200,0)),"")</f>
        <v>632.68</v>
      </c>
      <c r="W11">
        <f>IF(T11="","",T11-M11)</f>
        <v>0</v>
      </c>
      <c r="X11">
        <f>IF(V11="","No","Yes")</f>
        <v/>
      </c>
    </row>
    <row r="12">
      <c r="A12" s="7" t="inlineStr">
        <is>
          <t>MD-00008</t>
        </is>
      </c>
      <c r="B12" s="7" t="inlineStr">
        <is>
          <t>MD-NE-050008</t>
        </is>
      </c>
      <c r="C12" s="7" t="inlineStr">
        <is>
          <t>Monitor</t>
        </is>
      </c>
      <c r="D12" s="7" t="inlineStr">
        <is>
          <t>Samsung ViewFinity S8</t>
        </is>
      </c>
      <c r="E12" s="7" t="inlineStr">
        <is>
          <t>E0008</t>
        </is>
      </c>
      <c r="F12" s="7" t="inlineStr">
        <is>
          <t>Dallas</t>
        </is>
      </c>
      <c r="G12" s="7" t="inlineStr">
        <is>
          <t>In Use</t>
        </is>
      </c>
      <c r="H12" s="7" t="inlineStr">
        <is>
          <t>E0008</t>
        </is>
      </c>
      <c r="I12" s="7" t="inlineStr">
        <is>
          <t>Dallas</t>
        </is>
      </c>
      <c r="J12" s="7" t="inlineStr">
        <is>
          <t>In Use</t>
        </is>
      </c>
      <c r="K12" s="7" t="inlineStr">
        <is>
          <t>Source stack for MD-00008 (Samsung ViewFinity S8): TR-00008. Custodian context Derek Nguyen; status In Use at Dallas; basis $6,245.</t>
        </is>
      </c>
      <c r="L12" s="7" t="inlineStr">
        <is>
          <t>2026-08-05</t>
        </is>
      </c>
      <c r="M12" s="7" t="n">
        <v>6245</v>
      </c>
      <c r="N12" s="7">
        <f>IFERROR(INDEX('Source Ledger'!$G$5:$G$200,MATCH(A12,'Source Ledger'!$B$5:$B$200,0)),"")</f>
        <v>1355.01</v>
      </c>
      <c r="O12" s="7">
        <f>IFERROR(INDEX('Source Ledger'!$A$5:$A$200,MATCH(A12,'Source Ledger'!$B$5:$B$200,0)),"")</f>
        <v/>
      </c>
      <c r="P12" s="7">
        <f>IFERROR(INDEX('Source Ledger'!$D$5:$D$200,MATCH(A12,'Source Ledger'!$B$5:$B$200,0)),"")</f>
        <v/>
      </c>
      <c r="Q12" s="9" t="inlineStr">
        <is>
          <t>High</t>
        </is>
      </c>
      <c r="R12" s="7" t="inlineStr"/>
      <c r="S12" s="7" t="inlineStr">
        <is>
          <t>No</t>
        </is>
      </c>
      <c r="T12">
        <f>IFERROR(INDEX('Source Ledger'!$E$5:$E$200,MATCH(A12,'Source Ledger'!$B$5:$B$200,0)),"")</f>
        <v>6245</v>
      </c>
      <c r="U12">
        <f>IFERROR(INDEX('Source Ledger'!$H$5:$H$200,MATCH(A12,'Source Ledger'!$B$5:$B$200,0)),"")</f>
        <v/>
      </c>
      <c r="V12">
        <f>IFERROR(INDEX('Source Ledger'!$G$5:$G$200,MATCH(A12,'Source Ledger'!$B$5:$B$200,0)),"")</f>
        <v>1355.01</v>
      </c>
      <c r="W12">
        <f>IF(T12="","",T12-M12)</f>
        <v>0</v>
      </c>
      <c r="X12">
        <f>IF(V12="","No","Yes")</f>
        <v/>
      </c>
    </row>
    <row r="13">
      <c r="A13" s="7" t="inlineStr">
        <is>
          <t>MD-00009</t>
        </is>
      </c>
      <c r="B13" s="7" t="inlineStr">
        <is>
          <t>MD-LA-050009</t>
        </is>
      </c>
      <c r="C13" s="7" t="inlineStr">
        <is>
          <t>Monitor</t>
        </is>
      </c>
      <c r="D13" s="7" t="inlineStr">
        <is>
          <t>BenQ PD2705U</t>
        </is>
      </c>
      <c r="E13" s="7" t="inlineStr">
        <is>
          <t>E0009</t>
        </is>
      </c>
      <c r="F13" s="7" t="inlineStr">
        <is>
          <t>Denver</t>
        </is>
      </c>
      <c r="G13" s="7" t="inlineStr">
        <is>
          <t>In Use</t>
        </is>
      </c>
      <c r="H13" s="7" t="inlineStr">
        <is>
          <t>E0009</t>
        </is>
      </c>
      <c r="I13" s="7" t="inlineStr">
        <is>
          <t>Denver</t>
        </is>
      </c>
      <c r="J13" s="7" t="inlineStr">
        <is>
          <t>In Use</t>
        </is>
      </c>
      <c r="K13" s="7" t="inlineStr">
        <is>
          <t>Evidence for MD-00009 is piecewise: inventory cost $1,940, FA FA-000009, HR status In Use, site Denver.</t>
        </is>
      </c>
      <c r="L13" s="7" t="inlineStr">
        <is>
          <t>2026-08-05</t>
        </is>
      </c>
      <c r="M13" s="7" t="n">
        <v>1940</v>
      </c>
      <c r="N13" s="7">
        <f>IFERROR(INDEX('Source Ledger'!$G$5:$G$200,MATCH(A13,'Source Ledger'!$B$5:$B$200,0)),"")</f>
        <v>109.33</v>
      </c>
      <c r="O13" s="7">
        <f>IFERROR(INDEX('Source Ledger'!$A$5:$A$200,MATCH(A13,'Source Ledger'!$B$5:$B$200,0)),"")</f>
        <v/>
      </c>
      <c r="P13" s="7">
        <f>IFERROR(INDEX('Source Ledger'!$D$5:$D$200,MATCH(A13,'Source Ledger'!$B$5:$B$200,0)),"")</f>
        <v/>
      </c>
      <c r="Q13" s="9" t="inlineStr">
        <is>
          <t>High</t>
        </is>
      </c>
      <c r="R13" s="7" t="inlineStr"/>
      <c r="S13" s="7" t="inlineStr">
        <is>
          <t>No</t>
        </is>
      </c>
      <c r="T13">
        <f>IFERROR(INDEX('Source Ledger'!$E$5:$E$200,MATCH(A13,'Source Ledger'!$B$5:$B$200,0)),"")</f>
        <v>1940</v>
      </c>
      <c r="U13">
        <f>IFERROR(INDEX('Source Ledger'!$H$5:$H$200,MATCH(A13,'Source Ledger'!$B$5:$B$200,0)),"")</f>
        <v/>
      </c>
      <c r="V13">
        <f>IFERROR(INDEX('Source Ledger'!$G$5:$G$200,MATCH(A13,'Source Ledger'!$B$5:$B$200,0)),"")</f>
        <v>109.33</v>
      </c>
      <c r="W13">
        <f>IF(T13="","",T13-M13)</f>
        <v>0</v>
      </c>
      <c r="X13">
        <f>IF(V13="","No","Yes")</f>
        <v/>
      </c>
    </row>
    <row r="14">
      <c r="A14" s="7" t="inlineStr">
        <is>
          <t>MD-00010</t>
        </is>
      </c>
      <c r="B14" s="7" t="inlineStr">
        <is>
          <t>MD-MO-050010</t>
        </is>
      </c>
      <c r="C14" s="7" t="inlineStr">
        <is>
          <t>Monitor</t>
        </is>
      </c>
      <c r="D14" s="7" t="inlineStr">
        <is>
          <t>Dell U2723QE</t>
        </is>
      </c>
      <c r="E14" s="7" t="inlineStr">
        <is>
          <t>E0010</t>
        </is>
      </c>
      <c r="F14" s="7" t="inlineStr">
        <is>
          <t>New York</t>
        </is>
      </c>
      <c r="G14" s="7" t="inlineStr">
        <is>
          <t>In Use</t>
        </is>
      </c>
      <c r="H14" s="7" t="inlineStr">
        <is>
          <t>E0010</t>
        </is>
      </c>
      <c r="I14" s="7" t="inlineStr">
        <is>
          <t>New York</t>
        </is>
      </c>
      <c r="J14" s="7" t="inlineStr">
        <is>
          <t>In Use</t>
        </is>
      </c>
      <c r="K14" s="7" t="inlineStr">
        <is>
          <t>Validated MD-00010 against available PO/FA/HR/transfer rows. Model Dell U2723QE. Owen Patel (E0010) shows In Use in New York. Acquisition $655.</t>
        </is>
      </c>
      <c r="L14" s="7" t="inlineStr">
        <is>
          <t>2026-08-05</t>
        </is>
      </c>
      <c r="M14" s="7" t="n">
        <v>655</v>
      </c>
      <c r="N14" s="7">
        <f>IFERROR(INDEX('Source Ledger'!$G$5:$G$200,MATCH(A14,'Source Ledger'!$B$5:$B$200,0)),"")</f>
        <v>426.89</v>
      </c>
      <c r="O14" s="7">
        <f>IFERROR(INDEX('Source Ledger'!$A$5:$A$200,MATCH(A14,'Source Ledger'!$B$5:$B$200,0)),"")</f>
        <v/>
      </c>
      <c r="P14" s="7">
        <f>IFERROR(INDEX('Source Ledger'!$D$5:$D$200,MATCH(A14,'Source Ledger'!$B$5:$B$200,0)),"")</f>
        <v/>
      </c>
      <c r="Q14" s="9" t="inlineStr">
        <is>
          <t>High</t>
        </is>
      </c>
      <c r="R14" s="7" t="inlineStr"/>
      <c r="S14" s="7" t="inlineStr">
        <is>
          <t>No</t>
        </is>
      </c>
      <c r="T14">
        <f>IFERROR(INDEX('Source Ledger'!$E$5:$E$200,MATCH(A14,'Source Ledger'!$B$5:$B$200,0)),"")</f>
        <v>655</v>
      </c>
      <c r="U14">
        <f>IFERROR(INDEX('Source Ledger'!$H$5:$H$200,MATCH(A14,'Source Ledger'!$B$5:$B$200,0)),"")</f>
        <v/>
      </c>
      <c r="V14">
        <f>IFERROR(INDEX('Source Ledger'!$G$5:$G$200,MATCH(A14,'Source Ledger'!$B$5:$B$200,0)),"")</f>
        <v>426.89</v>
      </c>
      <c r="W14">
        <f>IF(T14="","",T14-M14)</f>
        <v>0</v>
      </c>
      <c r="X14">
        <f>IF(V14="","No","Yes")</f>
        <v/>
      </c>
    </row>
    <row r="15">
      <c r="A15" s="7" t="inlineStr">
        <is>
          <t>MD-00011</t>
        </is>
      </c>
      <c r="B15" s="7" t="inlineStr">
        <is>
          <t>MD-MO-050011</t>
        </is>
      </c>
      <c r="C15" s="7" t="inlineStr">
        <is>
          <t>Monitor</t>
        </is>
      </c>
      <c r="D15" s="7" t="inlineStr">
        <is>
          <t>LG UltraFine 27MD5KL</t>
        </is>
      </c>
      <c r="E15" s="7" t="inlineStr">
        <is>
          <t>E0011</t>
        </is>
      </c>
      <c r="F15" s="7" t="inlineStr">
        <is>
          <t>Seattle</t>
        </is>
      </c>
      <c r="G15" s="7" t="inlineStr">
        <is>
          <t>In Use</t>
        </is>
      </c>
      <c r="H15" s="7" t="inlineStr">
        <is>
          <t>E0011</t>
        </is>
      </c>
      <c r="I15" s="7" t="inlineStr">
        <is>
          <t>Seattle</t>
        </is>
      </c>
      <c r="J15" s="7" t="inlineStr">
        <is>
          <t>In Use</t>
        </is>
      </c>
      <c r="K15" s="7" t="inlineStr">
        <is>
          <t>Validated MD-00011 against available PO/FA/HR/transfer rows. Model LG UltraFine 27MD5KL. Maya Fontaine (E0011) shows In Use in Seattle. Acquisition $1,130.</t>
        </is>
      </c>
      <c r="L15" s="7" t="inlineStr">
        <is>
          <t>2026-08-05</t>
        </is>
      </c>
      <c r="M15" s="7" t="n">
        <v>1130</v>
      </c>
      <c r="N15" s="7">
        <f>IFERROR(INDEX('Source Ledger'!$G$5:$G$200,MATCH(A15,'Source Ledger'!$B$5:$B$200,0)),"")</f>
        <v>882.5</v>
      </c>
      <c r="O15" s="7">
        <f>IFERROR(INDEX('Source Ledger'!$A$5:$A$200,MATCH(A15,'Source Ledger'!$B$5:$B$200,0)),"")</f>
        <v/>
      </c>
      <c r="P15" s="7">
        <f>IFERROR(INDEX('Source Ledger'!$D$5:$D$200,MATCH(A15,'Source Ledger'!$B$5:$B$200,0)),"")</f>
        <v/>
      </c>
      <c r="Q15" s="9" t="inlineStr">
        <is>
          <t>High</t>
        </is>
      </c>
      <c r="R15" s="7" t="inlineStr"/>
      <c r="S15" s="7" t="inlineStr">
        <is>
          <t>No</t>
        </is>
      </c>
      <c r="T15">
        <f>IFERROR(INDEX('Source Ledger'!$E$5:$E$200,MATCH(A15,'Source Ledger'!$B$5:$B$200,0)),"")</f>
        <v>1130</v>
      </c>
      <c r="U15">
        <f>IFERROR(INDEX('Source Ledger'!$H$5:$H$200,MATCH(A15,'Source Ledger'!$B$5:$B$200,0)),"")</f>
        <v/>
      </c>
      <c r="V15">
        <f>IFERROR(INDEX('Source Ledger'!$G$5:$G$200,MATCH(A15,'Source Ledger'!$B$5:$B$200,0)),"")</f>
        <v>882.5</v>
      </c>
      <c r="W15">
        <f>IF(T15="","",T15-M15)</f>
        <v>0</v>
      </c>
      <c r="X15">
        <f>IF(V15="","No","Yes")</f>
        <v/>
      </c>
    </row>
    <row r="16">
      <c r="A16" s="7" t="inlineStr">
        <is>
          <t>MD-00012</t>
        </is>
      </c>
      <c r="B16" s="7" t="inlineStr">
        <is>
          <t>MD-NE-050012</t>
        </is>
      </c>
      <c r="C16" s="7" t="inlineStr">
        <is>
          <t>Monitor</t>
        </is>
      </c>
      <c r="D16" s="7" t="inlineStr">
        <is>
          <t>Samsung ViewFinity S8</t>
        </is>
      </c>
      <c r="E16" s="7" t="inlineStr">
        <is>
          <t>E0012</t>
        </is>
      </c>
      <c r="F16" s="7" t="inlineStr">
        <is>
          <t>Atlanta</t>
        </is>
      </c>
      <c r="G16" s="7" t="inlineStr">
        <is>
          <t>In Use</t>
        </is>
      </c>
      <c r="H16" s="7" t="inlineStr">
        <is>
          <t>E0012</t>
        </is>
      </c>
      <c r="I16" s="7" t="inlineStr">
        <is>
          <t>Atlanta</t>
        </is>
      </c>
      <c r="J16" s="7" t="inlineStr">
        <is>
          <t>In Use</t>
        </is>
      </c>
      <c r="K16" s="7" t="inlineStr">
        <is>
          <t>Cross-checked MD-00012 to source systems. Ledger FA-000012. Move TR-00012. Outcome In Use in Atlanta ($6,425).</t>
        </is>
      </c>
      <c r="L16" s="7" t="inlineStr">
        <is>
          <t>2026-08-05</t>
        </is>
      </c>
      <c r="M16" s="7" t="n">
        <v>6425</v>
      </c>
      <c r="N16" s="7">
        <f>IFERROR(INDEX('Source Ledger'!$G$5:$G$200,MATCH(A16,'Source Ledger'!$B$5:$B$200,0)),"")</f>
        <v>553.23</v>
      </c>
      <c r="O16" s="7">
        <f>IFERROR(INDEX('Source Ledger'!$A$5:$A$200,MATCH(A16,'Source Ledger'!$B$5:$B$200,0)),"")</f>
        <v/>
      </c>
      <c r="P16" s="7">
        <f>IFERROR(INDEX('Source Ledger'!$D$5:$D$200,MATCH(A16,'Source Ledger'!$B$5:$B$200,0)),"")</f>
        <v/>
      </c>
      <c r="Q16" s="9" t="inlineStr">
        <is>
          <t>High</t>
        </is>
      </c>
      <c r="R16" s="7" t="inlineStr"/>
      <c r="S16" s="7" t="inlineStr">
        <is>
          <t>No</t>
        </is>
      </c>
      <c r="T16">
        <f>IFERROR(INDEX('Source Ledger'!$E$5:$E$200,MATCH(A16,'Source Ledger'!$B$5:$B$200,0)),"")</f>
        <v>6425</v>
      </c>
      <c r="U16">
        <f>IFERROR(INDEX('Source Ledger'!$H$5:$H$200,MATCH(A16,'Source Ledger'!$B$5:$B$200,0)),"")</f>
        <v/>
      </c>
      <c r="V16">
        <f>IFERROR(INDEX('Source Ledger'!$G$5:$G$200,MATCH(A16,'Source Ledger'!$B$5:$B$200,0)),"")</f>
        <v>553.23</v>
      </c>
      <c r="W16">
        <f>IF(T16="","",T16-M16)</f>
        <v>0</v>
      </c>
      <c r="X16">
        <f>IF(V16="","No","Yes")</f>
        <v/>
      </c>
    </row>
    <row r="17">
      <c r="A17" s="7" t="inlineStr">
        <is>
          <t>MD-00013</t>
        </is>
      </c>
      <c r="B17" s="7" t="inlineStr">
        <is>
          <t>MD-LA-050013</t>
        </is>
      </c>
      <c r="C17" s="7" t="inlineStr">
        <is>
          <t>Monitor</t>
        </is>
      </c>
      <c r="D17" s="7" t="inlineStr">
        <is>
          <t>BenQ PD2705U</t>
        </is>
      </c>
      <c r="E17" s="7" t="inlineStr">
        <is>
          <t>E0013</t>
        </is>
      </c>
      <c r="F17" s="7" t="inlineStr">
        <is>
          <t>Chicago</t>
        </is>
      </c>
      <c r="G17" s="7" t="inlineStr">
        <is>
          <t>In Use</t>
        </is>
      </c>
      <c r="H17" s="7" t="inlineStr">
        <is>
          <t>E0013</t>
        </is>
      </c>
      <c r="I17" s="7" t="inlineStr">
        <is>
          <t>Chicago</t>
        </is>
      </c>
      <c r="J17" s="7" t="inlineStr">
        <is>
          <t>In Use</t>
        </is>
      </c>
      <c r="K17" s="7" t="inlineStr">
        <is>
          <t>Working evidence note on MD-00013: BenQ PD2705U; In Use @ Chicago; PO-2024-0003; TR-00013; basis $2,120.</t>
        </is>
      </c>
      <c r="L17" s="7" t="inlineStr">
        <is>
          <t>2026-08-05</t>
        </is>
      </c>
      <c r="M17" s="7" t="n">
        <v>2120</v>
      </c>
      <c r="N17" s="7">
        <f>IFERROR(INDEX('Source Ledger'!$G$5:$G$200,MATCH(A17,'Source Ledger'!$B$5:$B$200,0)),"")</f>
        <v>0</v>
      </c>
      <c r="O17" s="7">
        <f>IFERROR(INDEX('Source Ledger'!$A$5:$A$200,MATCH(A17,'Source Ledger'!$B$5:$B$200,0)),"")</f>
        <v/>
      </c>
      <c r="P17" s="7">
        <f>IFERROR(INDEX('Source Ledger'!$D$5:$D$200,MATCH(A17,'Source Ledger'!$B$5:$B$200,0)),"")</f>
        <v/>
      </c>
      <c r="Q17" s="9" t="inlineStr">
        <is>
          <t>High</t>
        </is>
      </c>
      <c r="R17" s="7" t="inlineStr"/>
      <c r="S17" s="7" t="inlineStr">
        <is>
          <t>No</t>
        </is>
      </c>
      <c r="T17">
        <f>IFERROR(INDEX('Source Ledger'!$E$5:$E$200,MATCH(A17,'Source Ledger'!$B$5:$B$200,0)),"")</f>
        <v>2120</v>
      </c>
      <c r="U17">
        <f>IFERROR(INDEX('Source Ledger'!$H$5:$H$200,MATCH(A17,'Source Ledger'!$B$5:$B$200,0)),"")</f>
        <v/>
      </c>
      <c r="V17">
        <f>IFERROR(INDEX('Source Ledger'!$G$5:$G$200,MATCH(A17,'Source Ledger'!$B$5:$B$200,0)),"")</f>
        <v>0</v>
      </c>
      <c r="W17">
        <f>IF(T17="","",T17-M17)</f>
        <v>0</v>
      </c>
      <c r="X17">
        <f>IF(V17="","No","Yes")</f>
        <v/>
      </c>
    </row>
    <row r="18">
      <c r="A18" s="7" t="inlineStr">
        <is>
          <t>MD-00014</t>
        </is>
      </c>
      <c r="B18" s="7" t="inlineStr">
        <is>
          <t>MD-MO-050014</t>
        </is>
      </c>
      <c r="C18" s="7" t="inlineStr">
        <is>
          <t>Monitor</t>
        </is>
      </c>
      <c r="D18" s="7" t="inlineStr">
        <is>
          <t>Dell P2422H</t>
        </is>
      </c>
      <c r="E18" s="7" t="inlineStr">
        <is>
          <t>E0014</t>
        </is>
      </c>
      <c r="F18" s="7" t="inlineStr">
        <is>
          <t>Dallas</t>
        </is>
      </c>
      <c r="G18" s="7" t="inlineStr">
        <is>
          <t>In Use</t>
        </is>
      </c>
      <c r="H18" s="7" t="inlineStr">
        <is>
          <t>E0014</t>
        </is>
      </c>
      <c r="I18" s="7" t="inlineStr">
        <is>
          <t>Dallas</t>
        </is>
      </c>
      <c r="J18" s="7" t="inlineStr">
        <is>
          <t>In Use</t>
        </is>
      </c>
      <c r="K18" s="7" t="inlineStr">
        <is>
          <t>MD-00014 evidence drawn from FA-000014. HR/location reading In Use/Dallas. Move TR-00014. Cost $520.</t>
        </is>
      </c>
      <c r="L18" s="7" t="inlineStr">
        <is>
          <t>2026-08-05</t>
        </is>
      </c>
      <c r="M18" s="7" t="n">
        <v>520</v>
      </c>
      <c r="N18" s="7">
        <f>IFERROR(INDEX('Source Ledger'!$G$5:$G$200,MATCH(A18,'Source Ledger'!$B$5:$B$200,0)),"")</f>
        <v>270.29</v>
      </c>
      <c r="O18" s="7">
        <f>IFERROR(INDEX('Source Ledger'!$A$5:$A$200,MATCH(A18,'Source Ledger'!$B$5:$B$200,0)),"")</f>
        <v/>
      </c>
      <c r="P18" s="7">
        <f>IFERROR(INDEX('Source Ledger'!$D$5:$D$200,MATCH(A18,'Source Ledger'!$B$5:$B$200,0)),"")</f>
        <v/>
      </c>
      <c r="Q18" s="9" t="inlineStr">
        <is>
          <t>High</t>
        </is>
      </c>
      <c r="R18" s="7" t="inlineStr"/>
      <c r="S18" s="7" t="inlineStr">
        <is>
          <t>No</t>
        </is>
      </c>
      <c r="T18">
        <f>IFERROR(INDEX('Source Ledger'!$E$5:$E$200,MATCH(A18,'Source Ledger'!$B$5:$B$200,0)),"")</f>
        <v>520</v>
      </c>
      <c r="U18">
        <f>IFERROR(INDEX('Source Ledger'!$H$5:$H$200,MATCH(A18,'Source Ledger'!$B$5:$B$200,0)),"")</f>
        <v/>
      </c>
      <c r="V18">
        <f>IFERROR(INDEX('Source Ledger'!$G$5:$G$200,MATCH(A18,'Source Ledger'!$B$5:$B$200,0)),"")</f>
        <v>270.29</v>
      </c>
      <c r="W18">
        <f>IF(T18="","",T18-M18)</f>
        <v>0</v>
      </c>
      <c r="X18">
        <f>IF(V18="","No","Yes")</f>
        <v/>
      </c>
    </row>
    <row r="19">
      <c r="A19" s="7" t="inlineStr">
        <is>
          <t>MD-00015</t>
        </is>
      </c>
      <c r="B19" s="7" t="inlineStr">
        <is>
          <t>MD-MO-050015</t>
        </is>
      </c>
      <c r="C19" s="7" t="inlineStr">
        <is>
          <t>Monitor</t>
        </is>
      </c>
      <c r="D19" s="7" t="inlineStr">
        <is>
          <t>Dell U2723QE</t>
        </is>
      </c>
      <c r="E19" s="7" t="inlineStr">
        <is>
          <t>E0015</t>
        </is>
      </c>
      <c r="F19" s="7" t="inlineStr">
        <is>
          <t>Denver</t>
        </is>
      </c>
      <c r="G19" s="7" t="inlineStr">
        <is>
          <t>In Use</t>
        </is>
      </c>
      <c r="H19" s="7" t="inlineStr">
        <is>
          <t>E0015</t>
        </is>
      </c>
      <c r="I19" s="7" t="inlineStr">
        <is>
          <t>Denver</t>
        </is>
      </c>
      <c r="J19" s="7" t="inlineStr">
        <is>
          <t>In Use</t>
        </is>
      </c>
      <c r="K19" s="7" t="inlineStr">
        <is>
          <t>Dell U2723QE tagged MD-00015 reconciled using PO-2024-0003+TR-00015+HR. Present state In Use/Denver, cost $995.</t>
        </is>
      </c>
      <c r="L19" s="7" t="inlineStr">
        <is>
          <t>2026-08-05</t>
        </is>
      </c>
      <c r="M19" s="7" t="n">
        <v>995</v>
      </c>
      <c r="N19" s="7">
        <f>IFERROR(INDEX('Source Ledger'!$G$5:$G$200,MATCH(A19,'Source Ledger'!$B$5:$B$200,0)),"")</f>
        <v>559.13</v>
      </c>
      <c r="O19" s="7">
        <f>IFERROR(INDEX('Source Ledger'!$A$5:$A$200,MATCH(A19,'Source Ledger'!$B$5:$B$200,0)),"")</f>
        <v/>
      </c>
      <c r="P19" s="7">
        <f>IFERROR(INDEX('Source Ledger'!$D$5:$D$200,MATCH(A19,'Source Ledger'!$B$5:$B$200,0)),"")</f>
        <v/>
      </c>
      <c r="Q19" s="9" t="inlineStr">
        <is>
          <t>High</t>
        </is>
      </c>
      <c r="R19" s="7" t="inlineStr"/>
      <c r="S19" s="7" t="inlineStr">
        <is>
          <t>No</t>
        </is>
      </c>
      <c r="T19">
        <f>IFERROR(INDEX('Source Ledger'!$E$5:$E$200,MATCH(A19,'Source Ledger'!$B$5:$B$200,0)),"")</f>
        <v>995</v>
      </c>
      <c r="U19">
        <f>IFERROR(INDEX('Source Ledger'!$H$5:$H$200,MATCH(A19,'Source Ledger'!$B$5:$B$200,0)),"")</f>
        <v/>
      </c>
      <c r="V19">
        <f>IFERROR(INDEX('Source Ledger'!$G$5:$G$200,MATCH(A19,'Source Ledger'!$B$5:$B$200,0)),"")</f>
        <v>559.13</v>
      </c>
      <c r="W19">
        <f>IF(T19="","",T19-M19)</f>
        <v>0</v>
      </c>
      <c r="X19">
        <f>IF(V19="","No","Yes")</f>
        <v/>
      </c>
    </row>
    <row r="20">
      <c r="A20" s="7" t="inlineStr">
        <is>
          <t>MD-00016</t>
        </is>
      </c>
      <c r="B20" s="7" t="inlineStr">
        <is>
          <t>MD-NE-050016</t>
        </is>
      </c>
      <c r="C20" s="7" t="inlineStr">
        <is>
          <t>Monitor</t>
        </is>
      </c>
      <c r="D20" s="7" t="inlineStr">
        <is>
          <t>LG UltraFine 27MD5KL</t>
        </is>
      </c>
      <c r="E20" s="7" t="inlineStr">
        <is>
          <t>E0016</t>
        </is>
      </c>
      <c r="F20" s="7" t="inlineStr">
        <is>
          <t>New York</t>
        </is>
      </c>
      <c r="G20" s="7" t="inlineStr">
        <is>
          <t>In Use</t>
        </is>
      </c>
      <c r="H20" s="7" t="inlineStr">
        <is>
          <t>E0016</t>
        </is>
      </c>
      <c r="I20" s="7" t="inlineStr">
        <is>
          <t>New York</t>
        </is>
      </c>
      <c r="J20" s="7" t="inlineStr">
        <is>
          <t>In Use</t>
        </is>
      </c>
      <c r="K20" s="7" t="inlineStr">
        <is>
          <t>Working evidence note on MD-00016: LG UltraFine 27MD5KL; In Use @ New York; PO-2024-0003; FA-000016; TR-00016; basis $6,290.</t>
        </is>
      </c>
      <c r="L20" s="7" t="inlineStr">
        <is>
          <t>2026-08-05</t>
        </is>
      </c>
      <c r="M20" s="7" t="n">
        <v>6290</v>
      </c>
      <c r="N20" s="7">
        <f>IFERROR(INDEX('Source Ledger'!$G$5:$G$200,MATCH(A20,'Source Ledger'!$B$5:$B$200,0)),"")</f>
        <v>968.69</v>
      </c>
      <c r="O20" s="7">
        <f>IFERROR(INDEX('Source Ledger'!$A$5:$A$200,MATCH(A20,'Source Ledger'!$B$5:$B$200,0)),"")</f>
        <v/>
      </c>
      <c r="P20" s="7">
        <f>IFERROR(INDEX('Source Ledger'!$D$5:$D$200,MATCH(A20,'Source Ledger'!$B$5:$B$200,0)),"")</f>
        <v/>
      </c>
      <c r="Q20" s="9" t="inlineStr">
        <is>
          <t>High</t>
        </is>
      </c>
      <c r="R20" s="7" t="inlineStr"/>
      <c r="S20" s="7" t="inlineStr">
        <is>
          <t>No</t>
        </is>
      </c>
      <c r="T20">
        <f>IFERROR(INDEX('Source Ledger'!$E$5:$E$200,MATCH(A20,'Source Ledger'!$B$5:$B$200,0)),"")</f>
        <v>6290</v>
      </c>
      <c r="U20">
        <f>IFERROR(INDEX('Source Ledger'!$H$5:$H$200,MATCH(A20,'Source Ledger'!$B$5:$B$200,0)),"")</f>
        <v/>
      </c>
      <c r="V20">
        <f>IFERROR(INDEX('Source Ledger'!$G$5:$G$200,MATCH(A20,'Source Ledger'!$B$5:$B$200,0)),"")</f>
        <v>968.69</v>
      </c>
      <c r="W20">
        <f>IF(T20="","",T20-M20)</f>
        <v>0</v>
      </c>
      <c r="X20">
        <f>IF(V20="","No","Yes")</f>
        <v/>
      </c>
    </row>
    <row r="21">
      <c r="A21" s="7" t="inlineStr">
        <is>
          <t>MD-00017</t>
        </is>
      </c>
      <c r="B21" s="7" t="inlineStr">
        <is>
          <t>MD-LA-050017</t>
        </is>
      </c>
      <c r="C21" s="7" t="inlineStr">
        <is>
          <t>Monitor</t>
        </is>
      </c>
      <c r="D21" s="7" t="inlineStr">
        <is>
          <t>Samsung ViewFinity S8</t>
        </is>
      </c>
      <c r="E21" s="7" t="inlineStr">
        <is>
          <t>E0017</t>
        </is>
      </c>
      <c r="F21" s="7" t="inlineStr">
        <is>
          <t>Seattle</t>
        </is>
      </c>
      <c r="G21" s="7" t="inlineStr">
        <is>
          <t>In Use</t>
        </is>
      </c>
      <c r="H21" s="7" t="inlineStr">
        <is>
          <t>E0017</t>
        </is>
      </c>
      <c r="I21" s="7" t="inlineStr">
        <is>
          <t>Seattle</t>
        </is>
      </c>
      <c r="J21" s="7" t="inlineStr">
        <is>
          <t>In Use</t>
        </is>
      </c>
      <c r="K21" s="7" t="inlineStr">
        <is>
          <t>MD-00017 evidence drawn from PO-2025-0004 / FA-000017. HR/location reading In Use/Seattle. Move TR-00017. Cost $1,985.</t>
        </is>
      </c>
      <c r="L21" s="7" t="inlineStr">
        <is>
          <t>2026-08-05</t>
        </is>
      </c>
      <c r="M21" s="7" t="n">
        <v>1985</v>
      </c>
      <c r="N21" s="7">
        <f>IFERROR(INDEX('Source Ledger'!$G$5:$G$200,MATCH(A21,'Source Ledger'!$B$5:$B$200,0)),"")</f>
        <v>0</v>
      </c>
      <c r="O21" s="7">
        <f>IFERROR(INDEX('Source Ledger'!$A$5:$A$200,MATCH(A21,'Source Ledger'!$B$5:$B$200,0)),"")</f>
        <v/>
      </c>
      <c r="P21" s="7">
        <f>IFERROR(INDEX('Source Ledger'!$D$5:$D$200,MATCH(A21,'Source Ledger'!$B$5:$B$200,0)),"")</f>
        <v/>
      </c>
      <c r="Q21" s="9" t="inlineStr">
        <is>
          <t>High</t>
        </is>
      </c>
      <c r="R21" s="7" t="inlineStr">
        <is>
          <t>EX-0001</t>
        </is>
      </c>
      <c r="S21" s="7" t="inlineStr">
        <is>
          <t>Yes</t>
        </is>
      </c>
      <c r="T21">
        <f>IFERROR(INDEX('Source Ledger'!$E$5:$E$200,MATCH(A21,'Source Ledger'!$B$5:$B$200,0)),"")</f>
        <v>2070</v>
      </c>
      <c r="U21">
        <f>IFERROR(INDEX('Source Ledger'!$H$5:$H$200,MATCH(A21,'Source Ledger'!$B$5:$B$200,0)),"")</f>
        <v/>
      </c>
      <c r="V21">
        <f>IFERROR(INDEX('Source Ledger'!$G$5:$G$200,MATCH(A21,'Source Ledger'!$B$5:$B$200,0)),"")</f>
        <v>0</v>
      </c>
      <c r="W21">
        <f>IF(T21="","",T21-M21)</f>
        <v>85</v>
      </c>
      <c r="X21">
        <f>IF(V21="","No","Yes")</f>
        <v/>
      </c>
    </row>
    <row r="22">
      <c r="A22" s="7" t="inlineStr">
        <is>
          <t>MD-00018</t>
        </is>
      </c>
      <c r="B22" s="7" t="inlineStr">
        <is>
          <t>MD-MO-050018</t>
        </is>
      </c>
      <c r="C22" s="7" t="inlineStr">
        <is>
          <t>Monitor</t>
        </is>
      </c>
      <c r="D22" s="7" t="inlineStr">
        <is>
          <t>BenQ PD2705U</t>
        </is>
      </c>
      <c r="E22" s="7" t="inlineStr">
        <is>
          <t>E0018</t>
        </is>
      </c>
      <c r="F22" s="7" t="inlineStr">
        <is>
          <t>Atlanta</t>
        </is>
      </c>
      <c r="G22" s="7" t="inlineStr">
        <is>
          <t>In Use</t>
        </is>
      </c>
      <c r="H22" s="7" t="inlineStr">
        <is>
          <t>E0018</t>
        </is>
      </c>
      <c r="I22" s="7" t="inlineStr">
        <is>
          <t>Atlanta</t>
        </is>
      </c>
      <c r="J22" s="7" t="inlineStr">
        <is>
          <t>In Use</t>
        </is>
      </c>
      <c r="K22" s="7" t="inlineStr">
        <is>
          <t>Cross-checked MD-00018 to source systems. PO PO-2025-0004. Ledger FA-000018. Move TR-00018. Outcome In Use in Atlanta ($700).</t>
        </is>
      </c>
      <c r="L22" s="7" t="inlineStr">
        <is>
          <t>2026-08-05</t>
        </is>
      </c>
      <c r="M22" s="7" t="n">
        <v>700</v>
      </c>
      <c r="N22" s="7">
        <f>IFERROR(INDEX('Source Ledger'!$G$5:$G$200,MATCH(A22,'Source Ledger'!$B$5:$B$200,0)),"")</f>
        <v>412.14</v>
      </c>
      <c r="O22" s="7">
        <f>IFERROR(INDEX('Source Ledger'!$A$5:$A$200,MATCH(A22,'Source Ledger'!$B$5:$B$200,0)),"")</f>
        <v/>
      </c>
      <c r="P22" s="7">
        <f>IFERROR(INDEX('Source Ledger'!$D$5:$D$200,MATCH(A22,'Source Ledger'!$B$5:$B$200,0)),"")</f>
        <v/>
      </c>
      <c r="Q22" s="9" t="inlineStr">
        <is>
          <t>High</t>
        </is>
      </c>
      <c r="R22" s="7" t="inlineStr"/>
      <c r="S22" s="7" t="inlineStr">
        <is>
          <t>No</t>
        </is>
      </c>
      <c r="T22">
        <f>IFERROR(INDEX('Source Ledger'!$E$5:$E$200,MATCH(A22,'Source Ledger'!$B$5:$B$200,0)),"")</f>
        <v>700</v>
      </c>
      <c r="U22">
        <f>IFERROR(INDEX('Source Ledger'!$H$5:$H$200,MATCH(A22,'Source Ledger'!$B$5:$B$200,0)),"")</f>
        <v/>
      </c>
      <c r="V22">
        <f>IFERROR(INDEX('Source Ledger'!$G$5:$G$200,MATCH(A22,'Source Ledger'!$B$5:$B$200,0)),"")</f>
        <v>412.14</v>
      </c>
      <c r="W22">
        <f>IF(T22="","",T22-M22)</f>
        <v>0</v>
      </c>
      <c r="X22">
        <f>IF(V22="","No","Yes")</f>
        <v/>
      </c>
    </row>
    <row r="23">
      <c r="A23" s="7" t="inlineStr">
        <is>
          <t>MD-00019</t>
        </is>
      </c>
      <c r="B23" s="7" t="inlineStr">
        <is>
          <t>MD-MO-050019</t>
        </is>
      </c>
      <c r="C23" s="7" t="inlineStr">
        <is>
          <t>Monitor</t>
        </is>
      </c>
      <c r="D23" s="7" t="inlineStr">
        <is>
          <t>Dell P2422H</t>
        </is>
      </c>
      <c r="E23" s="7" t="inlineStr">
        <is>
          <t>E0019</t>
        </is>
      </c>
      <c r="F23" s="7" t="inlineStr">
        <is>
          <t>Chicago</t>
        </is>
      </c>
      <c r="G23" s="7" t="inlineStr">
        <is>
          <t>In Use</t>
        </is>
      </c>
      <c r="H23" s="7" t="inlineStr">
        <is>
          <t>E0019</t>
        </is>
      </c>
      <c r="I23" s="7" t="inlineStr">
        <is>
          <t>Chicago</t>
        </is>
      </c>
      <c r="J23" s="7" t="inlineStr">
        <is>
          <t>In Use</t>
        </is>
      </c>
      <c r="K23" s="7" t="inlineStr">
        <is>
          <t>Cross-checked MD-00019 to source systems. PO PO-2025-0004. Ledger FA-000019. Move TR-00019. Outcome In Use in Chicago ($1,175).</t>
        </is>
      </c>
      <c r="L23" s="7" t="inlineStr">
        <is>
          <t>2026-08-05</t>
        </is>
      </c>
      <c r="M23" s="7" t="n">
        <v>1175</v>
      </c>
      <c r="N23" s="7">
        <f>IFERROR(INDEX('Source Ledger'!$G$5:$G$200,MATCH(A23,'Source Ledger'!$B$5:$B$200,0)),"")</f>
        <v>795.4</v>
      </c>
      <c r="O23" s="7">
        <f>IFERROR(INDEX('Source Ledger'!$A$5:$A$200,MATCH(A23,'Source Ledger'!$B$5:$B$200,0)),"")</f>
        <v/>
      </c>
      <c r="P23" s="7">
        <f>IFERROR(INDEX('Source Ledger'!$D$5:$D$200,MATCH(A23,'Source Ledger'!$B$5:$B$200,0)),"")</f>
        <v/>
      </c>
      <c r="Q23" s="9" t="inlineStr">
        <is>
          <t>High</t>
        </is>
      </c>
      <c r="R23" s="7" t="inlineStr"/>
      <c r="S23" s="7" t="inlineStr">
        <is>
          <t>No</t>
        </is>
      </c>
      <c r="T23">
        <f>IFERROR(INDEX('Source Ledger'!$E$5:$E$200,MATCH(A23,'Source Ledger'!$B$5:$B$200,0)),"")</f>
        <v>1175</v>
      </c>
      <c r="U23">
        <f>IFERROR(INDEX('Source Ledger'!$H$5:$H$200,MATCH(A23,'Source Ledger'!$B$5:$B$200,0)),"")</f>
        <v/>
      </c>
      <c r="V23">
        <f>IFERROR(INDEX('Source Ledger'!$G$5:$G$200,MATCH(A23,'Source Ledger'!$B$5:$B$200,0)),"")</f>
        <v>795.4</v>
      </c>
      <c r="W23">
        <f>IF(T23="","",T23-M23)</f>
        <v>0</v>
      </c>
      <c r="X23">
        <f>IF(V23="","No","Yes")</f>
        <v/>
      </c>
    </row>
    <row r="24">
      <c r="A24" s="7" t="inlineStr">
        <is>
          <t>MD-00020</t>
        </is>
      </c>
      <c r="B24" s="7" t="inlineStr">
        <is>
          <t>MD-NE-050020</t>
        </is>
      </c>
      <c r="C24" s="7" t="inlineStr">
        <is>
          <t>Monitor</t>
        </is>
      </c>
      <c r="D24" s="7" t="inlineStr">
        <is>
          <t>LG UltraFine 27MD5KL</t>
        </is>
      </c>
      <c r="E24" s="7" t="inlineStr">
        <is>
          <t>E0020</t>
        </is>
      </c>
      <c r="F24" s="7" t="inlineStr">
        <is>
          <t>Dallas</t>
        </is>
      </c>
      <c r="G24" s="7" t="inlineStr">
        <is>
          <t>In Use</t>
        </is>
      </c>
      <c r="H24" s="7" t="inlineStr">
        <is>
          <t>E0020</t>
        </is>
      </c>
      <c r="I24" s="7" t="inlineStr">
        <is>
          <t>Dallas</t>
        </is>
      </c>
      <c r="J24" s="7" t="inlineStr">
        <is>
          <t>In Use</t>
        </is>
      </c>
      <c r="K24" s="7" t="inlineStr">
        <is>
          <t>Working evidence note on MD-00020: LG UltraFine 27MD5KL; In Use @ Dallas; FA-000020; TR-00020; basis $6,470.</t>
        </is>
      </c>
      <c r="L24" s="7" t="inlineStr">
        <is>
          <t>2026-08-05</t>
        </is>
      </c>
      <c r="M24" s="7" t="n">
        <v>6470</v>
      </c>
      <c r="N24" s="7">
        <f>IFERROR(INDEX('Source Ledger'!$G$5:$G$200,MATCH(A24,'Source Ledger'!$B$5:$B$200,0)),"")</f>
        <v>1446.34</v>
      </c>
      <c r="O24" s="7">
        <f>IFERROR(INDEX('Source Ledger'!$A$5:$A$200,MATCH(A24,'Source Ledger'!$B$5:$B$200,0)),"")</f>
        <v/>
      </c>
      <c r="P24" s="7">
        <f>IFERROR(INDEX('Source Ledger'!$D$5:$D$200,MATCH(A24,'Source Ledger'!$B$5:$B$200,0)),"")</f>
        <v/>
      </c>
      <c r="Q24" s="9" t="inlineStr">
        <is>
          <t>High</t>
        </is>
      </c>
      <c r="R24" s="7" t="inlineStr"/>
      <c r="S24" s="7" t="inlineStr">
        <is>
          <t>No</t>
        </is>
      </c>
      <c r="T24">
        <f>IFERROR(INDEX('Source Ledger'!$E$5:$E$200,MATCH(A24,'Source Ledger'!$B$5:$B$200,0)),"")</f>
        <v>6470</v>
      </c>
      <c r="U24">
        <f>IFERROR(INDEX('Source Ledger'!$H$5:$H$200,MATCH(A24,'Source Ledger'!$B$5:$B$200,0)),"")</f>
        <v/>
      </c>
      <c r="V24">
        <f>IFERROR(INDEX('Source Ledger'!$G$5:$G$200,MATCH(A24,'Source Ledger'!$B$5:$B$200,0)),"")</f>
        <v>1446.34</v>
      </c>
      <c r="W24">
        <f>IF(T24="","",T24-M24)</f>
        <v>0</v>
      </c>
      <c r="X24">
        <f>IF(V24="","No","Yes")</f>
        <v/>
      </c>
    </row>
    <row r="25">
      <c r="A25" s="7" t="inlineStr">
        <is>
          <t>MD-00021</t>
        </is>
      </c>
      <c r="B25" s="7" t="inlineStr">
        <is>
          <t>MD-LA-050021</t>
        </is>
      </c>
      <c r="C25" s="7" t="inlineStr">
        <is>
          <t>Monitor</t>
        </is>
      </c>
      <c r="D25" s="7" t="inlineStr">
        <is>
          <t>Samsung ViewFinity S8</t>
        </is>
      </c>
      <c r="E25" s="7" t="inlineStr">
        <is>
          <t>E0021</t>
        </is>
      </c>
      <c r="F25" s="7" t="inlineStr">
        <is>
          <t>Denver</t>
        </is>
      </c>
      <c r="G25" s="7" t="inlineStr">
        <is>
          <t>In Use</t>
        </is>
      </c>
      <c r="H25" s="7" t="inlineStr">
        <is>
          <t>E0021</t>
        </is>
      </c>
      <c r="I25" s="7" t="inlineStr">
        <is>
          <t>Denver</t>
        </is>
      </c>
      <c r="J25" s="7" t="inlineStr">
        <is>
          <t>In Use</t>
        </is>
      </c>
      <c r="K25" s="7" t="inlineStr">
        <is>
          <t>Samsung ViewFinity S8 tagged MD-00021 reconciled using PO-2022-0005+FA-000021+HR. Present state In Use/Denver, cost $1,850.</t>
        </is>
      </c>
      <c r="L25" s="7" t="inlineStr">
        <is>
          <t>2026-08-05</t>
        </is>
      </c>
      <c r="M25" s="7" t="n">
        <v>1850</v>
      </c>
      <c r="N25" s="7">
        <f>IFERROR(INDEX('Source Ledger'!$G$5:$G$200,MATCH(A25,'Source Ledger'!$B$5:$B$200,0)),"")</f>
        <v>124.52</v>
      </c>
      <c r="O25" s="7">
        <f>IFERROR(INDEX('Source Ledger'!$A$5:$A$200,MATCH(A25,'Source Ledger'!$B$5:$B$200,0)),"")</f>
        <v/>
      </c>
      <c r="P25" s="7">
        <f>IFERROR(INDEX('Source Ledger'!$D$5:$D$200,MATCH(A25,'Source Ledger'!$B$5:$B$200,0)),"")</f>
        <v/>
      </c>
      <c r="Q25" s="7" t="inlineStr">
        <is>
          <t>Medium</t>
        </is>
      </c>
      <c r="R25" s="7" t="inlineStr">
        <is>
          <t>EX-0002</t>
        </is>
      </c>
      <c r="S25" s="7" t="inlineStr">
        <is>
          <t>Yes</t>
        </is>
      </c>
      <c r="T25">
        <f>IFERROR(INDEX('Source Ledger'!$E$5:$E$200,MATCH(A25,'Source Ledger'!$B$5:$B$200,0)),"")</f>
        <v>1850</v>
      </c>
      <c r="U25">
        <f>IFERROR(INDEX('Source Ledger'!$H$5:$H$200,MATCH(A25,'Source Ledger'!$B$5:$B$200,0)),"")</f>
        <v/>
      </c>
      <c r="V25">
        <f>IFERROR(INDEX('Source Ledger'!$G$5:$G$200,MATCH(A25,'Source Ledger'!$B$5:$B$200,0)),"")</f>
        <v>124.52</v>
      </c>
      <c r="W25">
        <f>IF(T25="","",T25-M25)</f>
        <v>0</v>
      </c>
      <c r="X25">
        <f>IF(V25="","No","Yes")</f>
        <v/>
      </c>
    </row>
    <row r="26">
      <c r="A26" s="7" t="inlineStr">
        <is>
          <t>MD-00022</t>
        </is>
      </c>
      <c r="B26" s="7" t="inlineStr">
        <is>
          <t>MD-MO-050022</t>
        </is>
      </c>
      <c r="C26" s="7" t="inlineStr">
        <is>
          <t>Monitor</t>
        </is>
      </c>
      <c r="D26" s="7" t="inlineStr">
        <is>
          <t>BenQ PD2705U</t>
        </is>
      </c>
      <c r="E26" s="7" t="inlineStr">
        <is>
          <t>E0022</t>
        </is>
      </c>
      <c r="F26" s="7" t="inlineStr">
        <is>
          <t>New York</t>
        </is>
      </c>
      <c r="G26" s="7" t="inlineStr">
        <is>
          <t>In Use</t>
        </is>
      </c>
      <c r="H26" s="7" t="inlineStr">
        <is>
          <t>E0022</t>
        </is>
      </c>
      <c r="I26" s="7" t="inlineStr">
        <is>
          <t>New York</t>
        </is>
      </c>
      <c r="J26" s="7" t="inlineStr">
        <is>
          <t>In Use</t>
        </is>
      </c>
      <c r="K26" s="7" t="inlineStr">
        <is>
          <t>Validated MD-00022 against available PO/FA/HR/transfer rows. Model BenQ PD2705U. New York (E0022) shows In Use in New York. Acquisition $565.</t>
        </is>
      </c>
      <c r="L26" s="7" t="inlineStr">
        <is>
          <t>2026-08-05</t>
        </is>
      </c>
      <c r="M26" s="7" t="n">
        <v>565</v>
      </c>
      <c r="N26" s="7">
        <f>IFERROR(INDEX('Source Ledger'!$G$5:$G$200,MATCH(A26,'Source Ledger'!$B$5:$B$200,0)),"")</f>
        <v>371.95</v>
      </c>
      <c r="O26" s="7">
        <f>IFERROR(INDEX('Source Ledger'!$A$5:$A$200,MATCH(A26,'Source Ledger'!$B$5:$B$200,0)),"")</f>
        <v/>
      </c>
      <c r="P26" s="7">
        <f>IFERROR(INDEX('Source Ledger'!$D$5:$D$200,MATCH(A26,'Source Ledger'!$B$5:$B$200,0)),"")</f>
        <v/>
      </c>
      <c r="Q26" s="9" t="inlineStr">
        <is>
          <t>High</t>
        </is>
      </c>
      <c r="R26" s="7" t="inlineStr"/>
      <c r="S26" s="7" t="inlineStr">
        <is>
          <t>No</t>
        </is>
      </c>
      <c r="T26">
        <f>IFERROR(INDEX('Source Ledger'!$E$5:$E$200,MATCH(A26,'Source Ledger'!$B$5:$B$200,0)),"")</f>
        <v>565</v>
      </c>
      <c r="U26">
        <f>IFERROR(INDEX('Source Ledger'!$H$5:$H$200,MATCH(A26,'Source Ledger'!$B$5:$B$200,0)),"")</f>
        <v/>
      </c>
      <c r="V26">
        <f>IFERROR(INDEX('Source Ledger'!$G$5:$G$200,MATCH(A26,'Source Ledger'!$B$5:$B$200,0)),"")</f>
        <v>371.95</v>
      </c>
      <c r="W26">
        <f>IF(T26="","",T26-M26)</f>
        <v>0</v>
      </c>
      <c r="X26">
        <f>IF(V26="","No","Yes")</f>
        <v/>
      </c>
    </row>
    <row r="27">
      <c r="A27" s="7" t="inlineStr">
        <is>
          <t>MD-00023</t>
        </is>
      </c>
      <c r="B27" s="7" t="inlineStr">
        <is>
          <t>MD-MO-050023</t>
        </is>
      </c>
      <c r="C27" s="7" t="inlineStr">
        <is>
          <t>Monitor</t>
        </is>
      </c>
      <c r="D27" s="7" t="inlineStr">
        <is>
          <t>Dell P2422H</t>
        </is>
      </c>
      <c r="E27" s="7" t="inlineStr">
        <is>
          <t>E0023</t>
        </is>
      </c>
      <c r="F27" s="7" t="inlineStr">
        <is>
          <t>Seattle</t>
        </is>
      </c>
      <c r="G27" s="7" t="inlineStr">
        <is>
          <t>In Use</t>
        </is>
      </c>
      <c r="H27" s="7" t="inlineStr">
        <is>
          <t>E0023</t>
        </is>
      </c>
      <c r="I27" s="7" t="inlineStr">
        <is>
          <t>Seattle</t>
        </is>
      </c>
      <c r="J27" s="7" t="inlineStr">
        <is>
          <t>In Use</t>
        </is>
      </c>
      <c r="K27" s="7" t="inlineStr">
        <is>
          <t>Evidence for MD-00023 is piecewise: inventory cost $1,040, FA absent, TR TR-00023, HR status In Use, site Seattle.</t>
        </is>
      </c>
      <c r="L27" s="7" t="inlineStr">
        <is>
          <t>2026-08-05</t>
        </is>
      </c>
      <c r="M27" s="7" t="n">
        <v>1040</v>
      </c>
      <c r="N27" s="7">
        <f>IFERROR(INDEX('Source Ledger'!$G$5:$G$200,MATCH(A27,'Source Ledger'!$B$5:$B$200,0)),"")</f>
        <v>823.6</v>
      </c>
      <c r="O27" s="7">
        <f>IFERROR(INDEX('Source Ledger'!$A$5:$A$200,MATCH(A27,'Source Ledger'!$B$5:$B$200,0)),"")</f>
        <v/>
      </c>
      <c r="P27" s="7">
        <f>IFERROR(INDEX('Source Ledger'!$D$5:$D$200,MATCH(A27,'Source Ledger'!$B$5:$B$200,0)),"")</f>
        <v/>
      </c>
      <c r="Q27" s="9" t="inlineStr">
        <is>
          <t>High</t>
        </is>
      </c>
      <c r="R27" s="7" t="inlineStr"/>
      <c r="S27" s="7" t="inlineStr">
        <is>
          <t>No</t>
        </is>
      </c>
      <c r="T27">
        <f>IFERROR(INDEX('Source Ledger'!$E$5:$E$200,MATCH(A27,'Source Ledger'!$B$5:$B$200,0)),"")</f>
        <v>1040</v>
      </c>
      <c r="U27">
        <f>IFERROR(INDEX('Source Ledger'!$H$5:$H$200,MATCH(A27,'Source Ledger'!$B$5:$B$200,0)),"")</f>
        <v/>
      </c>
      <c r="V27">
        <f>IFERROR(INDEX('Source Ledger'!$G$5:$G$200,MATCH(A27,'Source Ledger'!$B$5:$B$200,0)),"")</f>
        <v>823.6</v>
      </c>
      <c r="W27">
        <f>IF(T27="","",T27-M27)</f>
        <v>0</v>
      </c>
      <c r="X27">
        <f>IF(V27="","No","Yes")</f>
        <v/>
      </c>
    </row>
    <row r="28">
      <c r="A28" s="7" t="inlineStr">
        <is>
          <t>MD-00024</t>
        </is>
      </c>
      <c r="B28" s="7" t="inlineStr">
        <is>
          <t>MD-NE-050024</t>
        </is>
      </c>
      <c r="C28" s="7" t="inlineStr">
        <is>
          <t>Monitor</t>
        </is>
      </c>
      <c r="D28" s="7" t="inlineStr">
        <is>
          <t>Dell U2723QE</t>
        </is>
      </c>
      <c r="E28" s="7" t="inlineStr">
        <is>
          <t>E0024</t>
        </is>
      </c>
      <c r="F28" s="7" t="inlineStr">
        <is>
          <t>Atlanta</t>
        </is>
      </c>
      <c r="G28" s="7" t="inlineStr">
        <is>
          <t>In Use</t>
        </is>
      </c>
      <c r="H28" s="7" t="inlineStr">
        <is>
          <t>E0024</t>
        </is>
      </c>
      <c r="I28" s="7" t="inlineStr">
        <is>
          <t>Atlanta</t>
        </is>
      </c>
      <c r="J28" s="7" t="inlineStr">
        <is>
          <t>In Use</t>
        </is>
      </c>
      <c r="K28" s="7" t="inlineStr">
        <is>
          <t>Working evidence note on MD-00024: Dell U2723QE; In Use @ Atlanta; holder Chris Daley; FA-000024; basis $6,335.</t>
        </is>
      </c>
      <c r="L28" s="7" t="inlineStr">
        <is>
          <t>2026-08-05</t>
        </is>
      </c>
      <c r="M28" s="7" t="n">
        <v>6335</v>
      </c>
      <c r="N28" s="7">
        <f>IFERROR(INDEX('Source Ledger'!$G$5:$G$200,MATCH(A28,'Source Ledger'!$B$5:$B$200,0)),"")</f>
        <v>503.85</v>
      </c>
      <c r="O28" s="7">
        <f>IFERROR(INDEX('Source Ledger'!$A$5:$A$200,MATCH(A28,'Source Ledger'!$B$5:$B$200,0)),"")</f>
        <v/>
      </c>
      <c r="P28" s="7">
        <f>IFERROR(INDEX('Source Ledger'!$D$5:$D$200,MATCH(A28,'Source Ledger'!$B$5:$B$200,0)),"")</f>
        <v/>
      </c>
      <c r="Q28" s="9" t="inlineStr">
        <is>
          <t>High</t>
        </is>
      </c>
      <c r="R28" s="7" t="inlineStr"/>
      <c r="S28" s="7" t="inlineStr">
        <is>
          <t>No</t>
        </is>
      </c>
      <c r="T28">
        <f>IFERROR(INDEX('Source Ledger'!$E$5:$E$200,MATCH(A28,'Source Ledger'!$B$5:$B$200,0)),"")</f>
        <v>6335</v>
      </c>
      <c r="U28">
        <f>IFERROR(INDEX('Source Ledger'!$H$5:$H$200,MATCH(A28,'Source Ledger'!$B$5:$B$200,0)),"")</f>
        <v/>
      </c>
      <c r="V28">
        <f>IFERROR(INDEX('Source Ledger'!$G$5:$G$200,MATCH(A28,'Source Ledger'!$B$5:$B$200,0)),"")</f>
        <v>503.85</v>
      </c>
      <c r="W28">
        <f>IF(T28="","",T28-M28)</f>
        <v>0</v>
      </c>
      <c r="X28">
        <f>IF(V28="","No","Yes")</f>
        <v/>
      </c>
    </row>
    <row r="29">
      <c r="A29" s="7" t="inlineStr">
        <is>
          <t>MD-00025</t>
        </is>
      </c>
      <c r="B29" s="7" t="inlineStr">
        <is>
          <t>MD-LA-050021</t>
        </is>
      </c>
      <c r="C29" s="7" t="inlineStr">
        <is>
          <t>Monitor</t>
        </is>
      </c>
      <c r="D29" s="7" t="inlineStr">
        <is>
          <t>LG UltraFine 27MD5KL</t>
        </is>
      </c>
      <c r="E29" s="7" t="inlineStr">
        <is>
          <t>E0025</t>
        </is>
      </c>
      <c r="F29" s="7" t="inlineStr">
        <is>
          <t>Denver - Closed</t>
        </is>
      </c>
      <c r="G29" s="7" t="inlineStr">
        <is>
          <t>In Use</t>
        </is>
      </c>
      <c r="H29" s="7" t="inlineStr">
        <is>
          <t>E0025</t>
        </is>
      </c>
      <c r="I29" s="7" t="inlineStr">
        <is>
          <t>Chicago</t>
        </is>
      </c>
      <c r="J29" s="7" t="inlineStr">
        <is>
          <t>In Use</t>
        </is>
      </c>
      <c r="K29" s="7" t="inlineStr">
        <is>
          <t>Source stack for MD-00025 (LG UltraFine 27MD5KL): PO-2022-0005. Custodian context Fatima Hussein; status In Use at Chicago; basis $2,030.</t>
        </is>
      </c>
      <c r="L29" s="7" t="inlineStr">
        <is>
          <t>2026-08-05</t>
        </is>
      </c>
      <c r="M29" s="7" t="n">
        <v>2030</v>
      </c>
      <c r="N29" s="7">
        <f>IFERROR(INDEX('Source Ledger'!$G$5:$G$200,MATCH(A29,'Source Ledger'!$B$5:$B$200,0)),"")</f>
        <v>0</v>
      </c>
      <c r="O29" s="7">
        <f>IFERROR(INDEX('Source Ledger'!$A$5:$A$200,MATCH(A29,'Source Ledger'!$B$5:$B$200,0)),"")</f>
        <v/>
      </c>
      <c r="P29" s="7">
        <f>IFERROR(INDEX('Source Ledger'!$D$5:$D$200,MATCH(A29,'Source Ledger'!$B$5:$B$200,0)),"")</f>
        <v/>
      </c>
      <c r="Q29" s="7" t="inlineStr">
        <is>
          <t>Medium</t>
        </is>
      </c>
      <c r="R29" s="7" t="inlineStr">
        <is>
          <t>EX-0003, EX-0004</t>
        </is>
      </c>
      <c r="S29" s="7" t="inlineStr">
        <is>
          <t>Yes</t>
        </is>
      </c>
      <c r="T29">
        <f>IFERROR(INDEX('Source Ledger'!$E$5:$E$200,MATCH(A29,'Source Ledger'!$B$5:$B$200,0)),"")</f>
        <v>2030</v>
      </c>
      <c r="U29">
        <f>IFERROR(INDEX('Source Ledger'!$H$5:$H$200,MATCH(A29,'Source Ledger'!$B$5:$B$200,0)),"")</f>
        <v/>
      </c>
      <c r="V29">
        <f>IFERROR(INDEX('Source Ledger'!$G$5:$G$200,MATCH(A29,'Source Ledger'!$B$5:$B$200,0)),"")</f>
        <v>0</v>
      </c>
      <c r="W29">
        <f>IF(T29="","",T29-M29)</f>
        <v>0</v>
      </c>
      <c r="X29">
        <f>IF(V29="","No","Yes")</f>
        <v/>
      </c>
    </row>
    <row r="30">
      <c r="A30" s="7" t="inlineStr">
        <is>
          <t>MD-00026</t>
        </is>
      </c>
      <c r="B30" s="7" t="inlineStr">
        <is>
          <t>MD-MO-050026</t>
        </is>
      </c>
      <c r="C30" s="7" t="inlineStr">
        <is>
          <t>Monitor</t>
        </is>
      </c>
      <c r="D30" s="7" t="inlineStr">
        <is>
          <t>Samsung ViewFinity S8</t>
        </is>
      </c>
      <c r="E30" s="7" t="inlineStr">
        <is>
          <t>E0026</t>
        </is>
      </c>
      <c r="F30" s="7" t="inlineStr">
        <is>
          <t>Chicago - Closed</t>
        </is>
      </c>
      <c r="G30" s="7" t="inlineStr">
        <is>
          <t>In Use</t>
        </is>
      </c>
      <c r="H30" s="7" t="inlineStr">
        <is>
          <t>E0026</t>
        </is>
      </c>
      <c r="I30" s="7" t="inlineStr">
        <is>
          <t>Dallas</t>
        </is>
      </c>
      <c r="J30" s="7" t="inlineStr">
        <is>
          <t>In Use</t>
        </is>
      </c>
      <c r="K30" s="7" t="inlineStr">
        <is>
          <t>Validated MD-00026 against available PO/FA/HR/transfer rows. Model Samsung ViewFinity S8. Brendan Walsh (E0026) shows In Use in Dallas. Acquisition $745.</t>
        </is>
      </c>
      <c r="L30" s="7" t="inlineStr">
        <is>
          <t>2026-08-05</t>
        </is>
      </c>
      <c r="M30" s="7" t="n">
        <v>745</v>
      </c>
      <c r="N30" s="7">
        <f>IFERROR(INDEX('Source Ledger'!$G$5:$G$200,MATCH(A30,'Source Ledger'!$B$5:$B$200,0)),"")</f>
        <v>382.34</v>
      </c>
      <c r="O30" s="7">
        <f>IFERROR(INDEX('Source Ledger'!$A$5:$A$200,MATCH(A30,'Source Ledger'!$B$5:$B$200,0)),"")</f>
        <v/>
      </c>
      <c r="P30" s="7">
        <f>IFERROR(INDEX('Source Ledger'!$D$5:$D$200,MATCH(A30,'Source Ledger'!$B$5:$B$200,0)),"")</f>
        <v/>
      </c>
      <c r="Q30" s="9" t="inlineStr">
        <is>
          <t>High</t>
        </is>
      </c>
      <c r="R30" s="7" t="inlineStr">
        <is>
          <t>EX-0005</t>
        </is>
      </c>
      <c r="S30" s="7" t="inlineStr">
        <is>
          <t>Yes</t>
        </is>
      </c>
      <c r="T30">
        <f>IFERROR(INDEX('Source Ledger'!$E$5:$E$200,MATCH(A30,'Source Ledger'!$B$5:$B$200,0)),"")</f>
        <v>745</v>
      </c>
      <c r="U30">
        <f>IFERROR(INDEX('Source Ledger'!$H$5:$H$200,MATCH(A30,'Source Ledger'!$B$5:$B$200,0)),"")</f>
        <v/>
      </c>
      <c r="V30">
        <f>IFERROR(INDEX('Source Ledger'!$G$5:$G$200,MATCH(A30,'Source Ledger'!$B$5:$B$200,0)),"")</f>
        <v>382.34</v>
      </c>
      <c r="W30">
        <f>IF(T30="","",T30-M30)</f>
        <v>0</v>
      </c>
      <c r="X30">
        <f>IF(V30="","No","Yes")</f>
        <v/>
      </c>
    </row>
    <row r="31">
      <c r="A31" s="7" t="inlineStr">
        <is>
          <t>MD-00027</t>
        </is>
      </c>
      <c r="B31" s="7" t="inlineStr">
        <is>
          <t>MD-MO-050027</t>
        </is>
      </c>
      <c r="C31" s="7" t="inlineStr">
        <is>
          <t>Monitor</t>
        </is>
      </c>
      <c r="D31" s="7" t="inlineStr">
        <is>
          <t>BenQ PD2705U</t>
        </is>
      </c>
      <c r="E31" s="7" t="inlineStr">
        <is>
          <t>E0027</t>
        </is>
      </c>
      <c r="F31" s="7" t="inlineStr">
        <is>
          <t>Denver - Closed</t>
        </is>
      </c>
      <c r="G31" s="7" t="inlineStr">
        <is>
          <t>In Use</t>
        </is>
      </c>
      <c r="H31" s="7" t="inlineStr">
        <is>
          <t>E0027</t>
        </is>
      </c>
      <c r="I31" s="7" t="inlineStr">
        <is>
          <t>Denver</t>
        </is>
      </c>
      <c r="J31" s="7" t="inlineStr">
        <is>
          <t>In Use</t>
        </is>
      </c>
      <c r="K31" s="7" t="inlineStr">
        <is>
          <t>For MD-00027, register cost $1,220 sits beside no FA row and PO-2022-0005. Transfer TR-00027 on file. Verified In Use / Denver.</t>
        </is>
      </c>
      <c r="L31" s="7" t="inlineStr">
        <is>
          <t>2026-08-05</t>
        </is>
      </c>
      <c r="M31" s="7" t="n">
        <v>1220</v>
      </c>
      <c r="N31" s="7">
        <f>IFERROR(INDEX('Source Ledger'!$G$5:$G$200,MATCH(A31,'Source Ledger'!$B$5:$B$200,0)),"")</f>
        <v>672.21</v>
      </c>
      <c r="O31" s="7">
        <f>IFERROR(INDEX('Source Ledger'!$A$5:$A$200,MATCH(A31,'Source Ledger'!$B$5:$B$200,0)),"")</f>
        <v/>
      </c>
      <c r="P31" s="7">
        <f>IFERROR(INDEX('Source Ledger'!$D$5:$D$200,MATCH(A31,'Source Ledger'!$B$5:$B$200,0)),"")</f>
        <v/>
      </c>
      <c r="Q31" s="9" t="inlineStr">
        <is>
          <t>High</t>
        </is>
      </c>
      <c r="R31" s="7" t="inlineStr">
        <is>
          <t>EX-0006</t>
        </is>
      </c>
      <c r="S31" s="7" t="inlineStr">
        <is>
          <t>Yes</t>
        </is>
      </c>
      <c r="T31">
        <f>IFERROR(INDEX('Source Ledger'!$E$5:$E$200,MATCH(A31,'Source Ledger'!$B$5:$B$200,0)),"")</f>
        <v>1220</v>
      </c>
      <c r="U31">
        <f>IFERROR(INDEX('Source Ledger'!$H$5:$H$200,MATCH(A31,'Source Ledger'!$B$5:$B$200,0)),"")</f>
        <v/>
      </c>
      <c r="V31">
        <f>IFERROR(INDEX('Source Ledger'!$G$5:$G$200,MATCH(A31,'Source Ledger'!$B$5:$B$200,0)),"")</f>
        <v>672.21</v>
      </c>
      <c r="W31">
        <f>IF(T31="","",T31-M31)</f>
        <v>0</v>
      </c>
      <c r="X31">
        <f>IF(V31="","No","Yes")</f>
        <v/>
      </c>
    </row>
    <row r="32">
      <c r="A32" s="7" t="inlineStr">
        <is>
          <t>MD-00028</t>
        </is>
      </c>
      <c r="B32" s="7" t="inlineStr">
        <is>
          <t>MD-NE-050028</t>
        </is>
      </c>
      <c r="C32" s="7" t="inlineStr">
        <is>
          <t>Monitor</t>
        </is>
      </c>
      <c r="D32" s="7" t="inlineStr">
        <is>
          <t>Dell P2422H</t>
        </is>
      </c>
      <c r="E32" s="7" t="inlineStr">
        <is>
          <t>E0028</t>
        </is>
      </c>
      <c r="F32" s="7" t="inlineStr">
        <is>
          <t>Chicago - Closed</t>
        </is>
      </c>
      <c r="G32" s="7" t="inlineStr">
        <is>
          <t>In Use</t>
        </is>
      </c>
      <c r="H32" s="7" t="inlineStr">
        <is>
          <t>E0028</t>
        </is>
      </c>
      <c r="I32" s="7" t="inlineStr">
        <is>
          <t>New York</t>
        </is>
      </c>
      <c r="J32" s="7" t="inlineStr">
        <is>
          <t>In Use</t>
        </is>
      </c>
      <c r="K32" s="7" t="inlineStr">
        <is>
          <t>For MD-00028, register cost $6,200 sits beside FA-000028 . Transfer TR-00028 on file. Verified In Use / New York.</t>
        </is>
      </c>
      <c r="L32" s="7" t="inlineStr">
        <is>
          <t>2026-08-05</t>
        </is>
      </c>
      <c r="M32" s="7" t="n">
        <v>6200</v>
      </c>
      <c r="N32" s="7">
        <f>IFERROR(INDEX('Source Ledger'!$G$5:$G$200,MATCH(A32,'Source Ledger'!$B$5:$B$200,0)),"")</f>
        <v>914.09</v>
      </c>
      <c r="O32" s="7">
        <f>IFERROR(INDEX('Source Ledger'!$A$5:$A$200,MATCH(A32,'Source Ledger'!$B$5:$B$200,0)),"")</f>
        <v/>
      </c>
      <c r="P32" s="7">
        <f>IFERROR(INDEX('Source Ledger'!$D$5:$D$200,MATCH(A32,'Source Ledger'!$B$5:$B$200,0)),"")</f>
        <v/>
      </c>
      <c r="Q32" s="9" t="inlineStr">
        <is>
          <t>High</t>
        </is>
      </c>
      <c r="R32" s="7" t="inlineStr">
        <is>
          <t>EX-0007</t>
        </is>
      </c>
      <c r="S32" s="7" t="inlineStr">
        <is>
          <t>Yes</t>
        </is>
      </c>
      <c r="T32">
        <f>IFERROR(INDEX('Source Ledger'!$E$5:$E$200,MATCH(A32,'Source Ledger'!$B$5:$B$200,0)),"")</f>
        <v>6200</v>
      </c>
      <c r="U32">
        <f>IFERROR(INDEX('Source Ledger'!$H$5:$H$200,MATCH(A32,'Source Ledger'!$B$5:$B$200,0)),"")</f>
        <v/>
      </c>
      <c r="V32">
        <f>IFERROR(INDEX('Source Ledger'!$G$5:$G$200,MATCH(A32,'Source Ledger'!$B$5:$B$200,0)),"")</f>
        <v>914.09</v>
      </c>
      <c r="W32">
        <f>IF(T32="","",T32-M32)</f>
        <v>0</v>
      </c>
      <c r="X32">
        <f>IF(V32="","No","Yes")</f>
        <v/>
      </c>
    </row>
    <row r="33">
      <c r="A33" s="7" t="inlineStr">
        <is>
          <t>MD-00029</t>
        </is>
      </c>
      <c r="B33" s="7" t="inlineStr">
        <is>
          <t>MD-LA-050029</t>
        </is>
      </c>
      <c r="C33" s="7" t="inlineStr">
        <is>
          <t>Monitor</t>
        </is>
      </c>
      <c r="D33" s="7" t="inlineStr">
        <is>
          <t>Dell U2723QE</t>
        </is>
      </c>
      <c r="E33" s="7" t="inlineStr">
        <is>
          <t>E0029</t>
        </is>
      </c>
      <c r="F33" s="7" t="inlineStr">
        <is>
          <t>Denver - Closed</t>
        </is>
      </c>
      <c r="G33" s="7" t="inlineStr">
        <is>
          <t>In Use</t>
        </is>
      </c>
      <c r="H33" s="7" t="inlineStr">
        <is>
          <t>E0029</t>
        </is>
      </c>
      <c r="I33" s="7" t="inlineStr">
        <is>
          <t>Seattle</t>
        </is>
      </c>
      <c r="J33" s="7" t="inlineStr">
        <is>
          <t>In Use</t>
        </is>
      </c>
      <c r="K33" s="7" t="inlineStr">
        <is>
          <t>Cross-checked MD-00029 to source systems. PO PO-2023-0006. Move TR-00029. Outcome In Use in Seattle ($1,895).</t>
        </is>
      </c>
      <c r="L33" s="7" t="inlineStr">
        <is>
          <t>2026-08-05</t>
        </is>
      </c>
      <c r="M33" s="7" t="n">
        <v>1895</v>
      </c>
      <c r="N33" s="7">
        <f>IFERROR(INDEX('Source Ledger'!$G$5:$G$200,MATCH(A33,'Source Ledger'!$B$5:$B$200,0)),"")</f>
        <v>0</v>
      </c>
      <c r="O33" s="7">
        <f>IFERROR(INDEX('Source Ledger'!$A$5:$A$200,MATCH(A33,'Source Ledger'!$B$5:$B$200,0)),"")</f>
        <v/>
      </c>
      <c r="P33" s="7">
        <f>IFERROR(INDEX('Source Ledger'!$D$5:$D$200,MATCH(A33,'Source Ledger'!$B$5:$B$200,0)),"")</f>
        <v/>
      </c>
      <c r="Q33" s="9" t="inlineStr">
        <is>
          <t>High</t>
        </is>
      </c>
      <c r="R33" s="7" t="inlineStr">
        <is>
          <t>EX-0008</t>
        </is>
      </c>
      <c r="S33" s="7" t="inlineStr">
        <is>
          <t>Yes</t>
        </is>
      </c>
      <c r="T33">
        <f>IFERROR(INDEX('Source Ledger'!$E$5:$E$200,MATCH(A33,'Source Ledger'!$B$5:$B$200,0)),"")</f>
        <v>1895</v>
      </c>
      <c r="U33">
        <f>IFERROR(INDEX('Source Ledger'!$H$5:$H$200,MATCH(A33,'Source Ledger'!$B$5:$B$200,0)),"")</f>
        <v/>
      </c>
      <c r="V33">
        <f>IFERROR(INDEX('Source Ledger'!$G$5:$G$200,MATCH(A33,'Source Ledger'!$B$5:$B$200,0)),"")</f>
        <v>0</v>
      </c>
      <c r="W33">
        <f>IF(T33="","",T33-M33)</f>
        <v>0</v>
      </c>
      <c r="X33">
        <f>IF(V33="","No","Yes")</f>
        <v/>
      </c>
    </row>
    <row r="34">
      <c r="A34" s="7" t="inlineStr">
        <is>
          <t>MD-00030</t>
        </is>
      </c>
      <c r="B34" s="7" t="inlineStr">
        <is>
          <t>MD-MO-050030</t>
        </is>
      </c>
      <c r="C34" s="7" t="inlineStr">
        <is>
          <t>Monitor</t>
        </is>
      </c>
      <c r="D34" s="7" t="inlineStr">
        <is>
          <t>Samsung ViewFinity S8</t>
        </is>
      </c>
      <c r="E34" s="7" t="inlineStr">
        <is>
          <t>E0030</t>
        </is>
      </c>
      <c r="F34" s="7" t="inlineStr">
        <is>
          <t>Chicago - Closed</t>
        </is>
      </c>
      <c r="G34" s="7" t="inlineStr">
        <is>
          <t>In Use</t>
        </is>
      </c>
      <c r="H34" s="7" t="inlineStr">
        <is>
          <t>E0030</t>
        </is>
      </c>
      <c r="I34" s="7" t="inlineStr">
        <is>
          <t>Atlanta</t>
        </is>
      </c>
      <c r="J34" s="7" t="inlineStr">
        <is>
          <t>In Use</t>
        </is>
      </c>
      <c r="K34" s="7" t="inlineStr">
        <is>
          <t>Evidence for MD-00030 is piecewise: inventory cost $610, FA FA-000030, TR TR-00030, HR status In Use, site Atlanta.</t>
        </is>
      </c>
      <c r="L34" s="7" t="inlineStr">
        <is>
          <t>2026-08-05</t>
        </is>
      </c>
      <c r="M34" s="7" t="n">
        <v>610</v>
      </c>
      <c r="N34" s="7">
        <f>IFERROR(INDEX('Source Ledger'!$G$5:$G$200,MATCH(A34,'Source Ledger'!$B$5:$B$200,0)),"")</f>
        <v>355.14</v>
      </c>
      <c r="O34" s="7">
        <f>IFERROR(INDEX('Source Ledger'!$A$5:$A$200,MATCH(A34,'Source Ledger'!$B$5:$B$200,0)),"")</f>
        <v/>
      </c>
      <c r="P34" s="7">
        <f>IFERROR(INDEX('Source Ledger'!$D$5:$D$200,MATCH(A34,'Source Ledger'!$B$5:$B$200,0)),"")</f>
        <v/>
      </c>
      <c r="Q34" s="9" t="inlineStr">
        <is>
          <t>High</t>
        </is>
      </c>
      <c r="R34" s="7" t="inlineStr">
        <is>
          <t>EX-0009</t>
        </is>
      </c>
      <c r="S34" s="7" t="inlineStr">
        <is>
          <t>Yes</t>
        </is>
      </c>
      <c r="T34">
        <f>IFERROR(INDEX('Source Ledger'!$E$5:$E$200,MATCH(A34,'Source Ledger'!$B$5:$B$200,0)),"")</f>
        <v>610</v>
      </c>
      <c r="U34">
        <f>IFERROR(INDEX('Source Ledger'!$H$5:$H$200,MATCH(A34,'Source Ledger'!$B$5:$B$200,0)),"")</f>
        <v/>
      </c>
      <c r="V34">
        <f>IFERROR(INDEX('Source Ledger'!$G$5:$G$200,MATCH(A34,'Source Ledger'!$B$5:$B$200,0)),"")</f>
        <v>355.14</v>
      </c>
      <c r="W34">
        <f>IF(T34="","",T34-M34)</f>
        <v>0</v>
      </c>
      <c r="X34">
        <f>IF(V34="","No","Yes")</f>
        <v/>
      </c>
    </row>
    <row r="35">
      <c r="A35" s="7" t="inlineStr">
        <is>
          <t>MD-00031</t>
        </is>
      </c>
      <c r="B35" s="7" t="inlineStr">
        <is>
          <t>MD-MO-050031</t>
        </is>
      </c>
      <c r="C35" s="7" t="inlineStr">
        <is>
          <t>Monitor</t>
        </is>
      </c>
      <c r="D35" s="7" t="inlineStr">
        <is>
          <t>BenQ PD2705U</t>
        </is>
      </c>
      <c r="E35" s="7" t="inlineStr">
        <is>
          <t>E0031</t>
        </is>
      </c>
      <c r="F35" s="7" t="inlineStr">
        <is>
          <t>Denver - Closed</t>
        </is>
      </c>
      <c r="G35" s="7" t="inlineStr">
        <is>
          <t>In Use</t>
        </is>
      </c>
      <c r="H35" s="7" t="inlineStr">
        <is>
          <t>E0031</t>
        </is>
      </c>
      <c r="I35" s="7" t="inlineStr">
        <is>
          <t>Chicago</t>
        </is>
      </c>
      <c r="J35" s="7" t="inlineStr">
        <is>
          <t>In Use</t>
        </is>
      </c>
      <c r="K35" s="7" t="inlineStr">
        <is>
          <t>MD-00031 evidence drawn from PO-2023-0006 / FA-000031. HR/location reading In Use/Chicago. Move TR-00031. Cost $1,085.</t>
        </is>
      </c>
      <c r="L35" s="7" t="inlineStr">
        <is>
          <t>2026-08-05</t>
        </is>
      </c>
      <c r="M35" s="7" t="n">
        <v>1085</v>
      </c>
      <c r="N35" s="7">
        <f>IFERROR(INDEX('Source Ledger'!$G$5:$G$200,MATCH(A35,'Source Ledger'!$B$5:$B$200,0)),"")</f>
        <v>722.59</v>
      </c>
      <c r="O35" s="7">
        <f>IFERROR(INDEX('Source Ledger'!$A$5:$A$200,MATCH(A35,'Source Ledger'!$B$5:$B$200,0)),"")</f>
        <v/>
      </c>
      <c r="P35" s="7">
        <f>IFERROR(INDEX('Source Ledger'!$D$5:$D$200,MATCH(A35,'Source Ledger'!$B$5:$B$200,0)),"")</f>
        <v/>
      </c>
      <c r="Q35" s="9" t="inlineStr">
        <is>
          <t>High</t>
        </is>
      </c>
      <c r="R35" s="7" t="inlineStr">
        <is>
          <t>EX-0010</t>
        </is>
      </c>
      <c r="S35" s="7" t="inlineStr">
        <is>
          <t>Yes</t>
        </is>
      </c>
      <c r="T35">
        <f>IFERROR(INDEX('Source Ledger'!$E$5:$E$200,MATCH(A35,'Source Ledger'!$B$5:$B$200,0)),"")</f>
        <v>1085</v>
      </c>
      <c r="U35">
        <f>IFERROR(INDEX('Source Ledger'!$H$5:$H$200,MATCH(A35,'Source Ledger'!$B$5:$B$200,0)),"")</f>
        <v/>
      </c>
      <c r="V35">
        <f>IFERROR(INDEX('Source Ledger'!$G$5:$G$200,MATCH(A35,'Source Ledger'!$B$5:$B$200,0)),"")</f>
        <v>722.59</v>
      </c>
      <c r="W35">
        <f>IF(T35="","",T35-M35)</f>
        <v>0</v>
      </c>
      <c r="X35">
        <f>IF(V35="","No","Yes")</f>
        <v/>
      </c>
    </row>
    <row r="36">
      <c r="A36" s="7" t="inlineStr">
        <is>
          <t>MD-00032</t>
        </is>
      </c>
      <c r="B36" s="7" t="inlineStr">
        <is>
          <t>MD-NE-050032</t>
        </is>
      </c>
      <c r="C36" s="7" t="inlineStr">
        <is>
          <t>Monitor</t>
        </is>
      </c>
      <c r="D36" s="7" t="inlineStr">
        <is>
          <t>Dell P2422H</t>
        </is>
      </c>
      <c r="E36" s="7" t="inlineStr">
        <is>
          <t>E0032</t>
        </is>
      </c>
      <c r="F36" s="7" t="inlineStr">
        <is>
          <t>Chicago - Closed</t>
        </is>
      </c>
      <c r="G36" s="7" t="inlineStr">
        <is>
          <t>In Use</t>
        </is>
      </c>
      <c r="H36" s="7" t="inlineStr">
        <is>
          <t>E0032</t>
        </is>
      </c>
      <c r="I36" s="7" t="inlineStr">
        <is>
          <t>Dallas</t>
        </is>
      </c>
      <c r="J36" s="7" t="inlineStr">
        <is>
          <t>In Use</t>
        </is>
      </c>
      <c r="K36" s="7" t="inlineStr">
        <is>
          <t>Cross-checked MD-00032 to source systems. PO PO-2023-0006. Ledger FA-000032. Move TR-00032. Outcome In Use in Dallas ($6,380).</t>
        </is>
      </c>
      <c r="L36" s="7" t="inlineStr">
        <is>
          <t>2026-08-05</t>
        </is>
      </c>
      <c r="M36" s="7" t="n">
        <v>6380</v>
      </c>
      <c r="N36" s="7">
        <f>IFERROR(INDEX('Source Ledger'!$G$5:$G$200,MATCH(A36,'Source Ledger'!$B$5:$B$200,0)),"")</f>
        <v>1384.3</v>
      </c>
      <c r="O36" s="7">
        <f>IFERROR(INDEX('Source Ledger'!$A$5:$A$200,MATCH(A36,'Source Ledger'!$B$5:$B$200,0)),"")</f>
        <v/>
      </c>
      <c r="P36" s="7">
        <f>IFERROR(INDEX('Source Ledger'!$D$5:$D$200,MATCH(A36,'Source Ledger'!$B$5:$B$200,0)),"")</f>
        <v/>
      </c>
      <c r="Q36" s="9" t="inlineStr">
        <is>
          <t>High</t>
        </is>
      </c>
      <c r="R36" s="7" t="inlineStr">
        <is>
          <t>EX-0011</t>
        </is>
      </c>
      <c r="S36" s="7" t="inlineStr">
        <is>
          <t>Yes</t>
        </is>
      </c>
      <c r="T36">
        <f>IFERROR(INDEX('Source Ledger'!$E$5:$E$200,MATCH(A36,'Source Ledger'!$B$5:$B$200,0)),"")</f>
        <v>6380</v>
      </c>
      <c r="U36">
        <f>IFERROR(INDEX('Source Ledger'!$H$5:$H$200,MATCH(A36,'Source Ledger'!$B$5:$B$200,0)),"")</f>
        <v/>
      </c>
      <c r="V36">
        <f>IFERROR(INDEX('Source Ledger'!$G$5:$G$200,MATCH(A36,'Source Ledger'!$B$5:$B$200,0)),"")</f>
        <v>1384.3</v>
      </c>
      <c r="W36">
        <f>IF(T36="","",T36-M36)</f>
        <v>0</v>
      </c>
      <c r="X36">
        <f>IF(V36="","No","Yes")</f>
        <v/>
      </c>
    </row>
    <row r="37">
      <c r="A37" s="7" t="inlineStr">
        <is>
          <t>MD-00033</t>
        </is>
      </c>
      <c r="B37" s="7" t="inlineStr">
        <is>
          <t>MD-LA-050033</t>
        </is>
      </c>
      <c r="C37" s="7" t="inlineStr">
        <is>
          <t>Monitor</t>
        </is>
      </c>
      <c r="D37" s="7" t="inlineStr">
        <is>
          <t>Dell U2723QE</t>
        </is>
      </c>
      <c r="E37" s="7" t="inlineStr">
        <is>
          <t>E0033</t>
        </is>
      </c>
      <c r="F37" s="7" t="inlineStr">
        <is>
          <t>Denver - Closed</t>
        </is>
      </c>
      <c r="G37" s="7" t="inlineStr">
        <is>
          <t>In Use</t>
        </is>
      </c>
      <c r="H37" s="7" t="inlineStr">
        <is>
          <t>E0033</t>
        </is>
      </c>
      <c r="I37" s="7" t="inlineStr">
        <is>
          <t>Denver</t>
        </is>
      </c>
      <c r="J37" s="7" t="inlineStr">
        <is>
          <t>In Use</t>
        </is>
      </c>
      <c r="K37" s="7" t="inlineStr">
        <is>
          <t>Validated MD-00033 against available PO/FA/HR/transfer rows. Model Dell U2723QE. shows In Use in Denver. Acquisition $2,075.</t>
        </is>
      </c>
      <c r="L37" s="7" t="inlineStr">
        <is>
          <t>2026-08-05</t>
        </is>
      </c>
      <c r="M37" s="7" t="n">
        <v>2075</v>
      </c>
      <c r="N37" s="7">
        <f>IFERROR(INDEX('Source Ledger'!$G$5:$G$200,MATCH(A37,'Source Ledger'!$B$5:$B$200,0)),"")</f>
        <v>116.93</v>
      </c>
      <c r="O37" s="7">
        <f>IFERROR(INDEX('Source Ledger'!$A$5:$A$200,MATCH(A37,'Source Ledger'!$B$5:$B$200,0)),"")</f>
        <v/>
      </c>
      <c r="P37" s="7">
        <f>IFERROR(INDEX('Source Ledger'!$D$5:$D$200,MATCH(A37,'Source Ledger'!$B$5:$B$200,0)),"")</f>
        <v/>
      </c>
      <c r="Q37" s="9" t="inlineStr">
        <is>
          <t>High</t>
        </is>
      </c>
      <c r="R37" s="7" t="inlineStr">
        <is>
          <t>EX-0012</t>
        </is>
      </c>
      <c r="S37" s="7" t="inlineStr">
        <is>
          <t>Yes</t>
        </is>
      </c>
      <c r="T37">
        <f>IFERROR(INDEX('Source Ledger'!$E$5:$E$200,MATCH(A37,'Source Ledger'!$B$5:$B$200,0)),"")</f>
        <v>2075</v>
      </c>
      <c r="U37">
        <f>IFERROR(INDEX('Source Ledger'!$H$5:$H$200,MATCH(A37,'Source Ledger'!$B$5:$B$200,0)),"")</f>
        <v/>
      </c>
      <c r="V37">
        <f>IFERROR(INDEX('Source Ledger'!$G$5:$G$200,MATCH(A37,'Source Ledger'!$B$5:$B$200,0)),"")</f>
        <v>116.93</v>
      </c>
      <c r="W37">
        <f>IF(T37="","",T37-M37)</f>
        <v>0</v>
      </c>
      <c r="X37">
        <f>IF(V37="","No","Yes")</f>
        <v/>
      </c>
    </row>
    <row r="38">
      <c r="A38" s="7" t="inlineStr">
        <is>
          <t>MD-00034</t>
        </is>
      </c>
      <c r="B38" s="7" t="inlineStr">
        <is>
          <t>MD-MO-050034</t>
        </is>
      </c>
      <c r="C38" s="7" t="inlineStr">
        <is>
          <t>Monitor</t>
        </is>
      </c>
      <c r="D38" s="7" t="inlineStr">
        <is>
          <t>LG UltraFine 27MD5KL</t>
        </is>
      </c>
      <c r="E38" s="7" t="inlineStr">
        <is>
          <t>E0034</t>
        </is>
      </c>
      <c r="F38" s="7" t="inlineStr">
        <is>
          <t>Chicago - Closed</t>
        </is>
      </c>
      <c r="G38" s="7" t="inlineStr">
        <is>
          <t>In Use</t>
        </is>
      </c>
      <c r="H38" s="7" t="inlineStr">
        <is>
          <t>E0034</t>
        </is>
      </c>
      <c r="I38" s="7" t="inlineStr">
        <is>
          <t>New York</t>
        </is>
      </c>
      <c r="J38" s="7" t="inlineStr">
        <is>
          <t>In Use</t>
        </is>
      </c>
      <c r="K38" s="7" t="inlineStr">
        <is>
          <t>Validated MD-00034 against available PO/FA/HR/transfer rows. Model LG UltraFine 27MD5KL. shows In Use in New York. Acquisition $790.</t>
        </is>
      </c>
      <c r="L38" s="7" t="inlineStr">
        <is>
          <t>2026-08-05</t>
        </is>
      </c>
      <c r="M38" s="7" t="n">
        <v>790</v>
      </c>
      <c r="N38" s="7">
        <f>IFERROR(INDEX('Source Ledger'!$G$5:$G$200,MATCH(A38,'Source Ledger'!$B$5:$B$200,0)),"")</f>
        <v>479.88</v>
      </c>
      <c r="O38" s="7">
        <f>IFERROR(INDEX('Source Ledger'!$A$5:$A$200,MATCH(A38,'Source Ledger'!$B$5:$B$200,0)),"")</f>
        <v/>
      </c>
      <c r="P38" s="7">
        <f>IFERROR(INDEX('Source Ledger'!$D$5:$D$200,MATCH(A38,'Source Ledger'!$B$5:$B$200,0)),"")</f>
        <v/>
      </c>
      <c r="Q38" s="9" t="inlineStr">
        <is>
          <t>High</t>
        </is>
      </c>
      <c r="R38" s="7" t="inlineStr">
        <is>
          <t>EX-0013, EX-0014</t>
        </is>
      </c>
      <c r="S38" s="7" t="inlineStr">
        <is>
          <t>Yes</t>
        </is>
      </c>
      <c r="T38">
        <f>IFERROR(INDEX('Source Ledger'!$E$5:$E$200,MATCH(A38,'Source Ledger'!$B$5:$B$200,0)),"")</f>
        <v>930</v>
      </c>
      <c r="U38">
        <f>IFERROR(INDEX('Source Ledger'!$H$5:$H$200,MATCH(A38,'Source Ledger'!$B$5:$B$200,0)),"")</f>
        <v/>
      </c>
      <c r="V38">
        <f>IFERROR(INDEX('Source Ledger'!$G$5:$G$200,MATCH(A38,'Source Ledger'!$B$5:$B$200,0)),"")</f>
        <v>479.88</v>
      </c>
      <c r="W38">
        <f>IF(T38="","",T38-M38)</f>
        <v>140</v>
      </c>
      <c r="X38">
        <f>IF(V38="","No","Yes")</f>
        <v/>
      </c>
    </row>
    <row r="39">
      <c r="A39" s="7" t="inlineStr">
        <is>
          <t>MD-00035</t>
        </is>
      </c>
      <c r="B39" s="7" t="inlineStr">
        <is>
          <t>MD-MO-050035</t>
        </is>
      </c>
      <c r="C39" s="7" t="inlineStr">
        <is>
          <t>Monitor</t>
        </is>
      </c>
      <c r="D39" s="7" t="inlineStr">
        <is>
          <t>Samsung ViewFinity S8</t>
        </is>
      </c>
      <c r="E39" s="7" t="inlineStr">
        <is>
          <t>E0035</t>
        </is>
      </c>
      <c r="F39" s="7" t="inlineStr">
        <is>
          <t>Denver - Closed</t>
        </is>
      </c>
      <c r="G39" s="7" t="inlineStr">
        <is>
          <t>In Use</t>
        </is>
      </c>
      <c r="H39" s="7" t="inlineStr">
        <is>
          <t>E0035</t>
        </is>
      </c>
      <c r="I39" s="7" t="inlineStr">
        <is>
          <t>Seattle</t>
        </is>
      </c>
      <c r="J39" s="7" t="inlineStr">
        <is>
          <t>In Use</t>
        </is>
      </c>
      <c r="K39" s="7" t="inlineStr">
        <is>
          <t>Working evidence note on MD-00035: Samsung ViewFinity S8; In Use @ Seattle; holder Rafael Mendes; FA-000035; TR-00035; basis $950.</t>
        </is>
      </c>
      <c r="L39" s="7" t="inlineStr">
        <is>
          <t>2026-08-05</t>
        </is>
      </c>
      <c r="M39" s="7" t="n">
        <v>950</v>
      </c>
      <c r="N39" s="7">
        <f>IFERROR(INDEX('Source Ledger'!$G$5:$G$200,MATCH(A39,'Source Ledger'!$B$5:$B$200,0)),"")</f>
        <v>741.92</v>
      </c>
      <c r="O39" s="7">
        <f>IFERROR(INDEX('Source Ledger'!$A$5:$A$200,MATCH(A39,'Source Ledger'!$B$5:$B$200,0)),"")</f>
        <v/>
      </c>
      <c r="P39" s="7">
        <f>IFERROR(INDEX('Source Ledger'!$D$5:$D$200,MATCH(A39,'Source Ledger'!$B$5:$B$200,0)),"")</f>
        <v/>
      </c>
      <c r="Q39" s="9" t="inlineStr">
        <is>
          <t>High</t>
        </is>
      </c>
      <c r="R39" s="7" t="inlineStr">
        <is>
          <t>EX-0015</t>
        </is>
      </c>
      <c r="S39" s="7" t="inlineStr">
        <is>
          <t>Yes</t>
        </is>
      </c>
      <c r="T39">
        <f>IFERROR(INDEX('Source Ledger'!$E$5:$E$200,MATCH(A39,'Source Ledger'!$B$5:$B$200,0)),"")</f>
        <v>950</v>
      </c>
      <c r="U39">
        <f>IFERROR(INDEX('Source Ledger'!$H$5:$H$200,MATCH(A39,'Source Ledger'!$B$5:$B$200,0)),"")</f>
        <v/>
      </c>
      <c r="V39">
        <f>IFERROR(INDEX('Source Ledger'!$G$5:$G$200,MATCH(A39,'Source Ledger'!$B$5:$B$200,0)),"")</f>
        <v>741.92</v>
      </c>
      <c r="W39">
        <f>IF(T39="","",T39-M39)</f>
        <v>0</v>
      </c>
      <c r="X39">
        <f>IF(V39="","No","Yes")</f>
        <v/>
      </c>
    </row>
    <row r="40">
      <c r="A40" s="7" t="inlineStr">
        <is>
          <t>MD-00036</t>
        </is>
      </c>
      <c r="B40" s="7" t="inlineStr">
        <is>
          <t>MD-NE-050036</t>
        </is>
      </c>
      <c r="C40" s="7" t="inlineStr">
        <is>
          <t>Mobile Device</t>
        </is>
      </c>
      <c r="D40" s="7" t="inlineStr">
        <is>
          <t>Samsung Galaxy S23 FE</t>
        </is>
      </c>
      <c r="E40" s="7" t="inlineStr">
        <is>
          <t>E0036</t>
        </is>
      </c>
      <c r="F40" s="7" t="inlineStr">
        <is>
          <t>Chicago - Closed</t>
        </is>
      </c>
      <c r="G40" s="7" t="inlineStr">
        <is>
          <t>In Use</t>
        </is>
      </c>
      <c r="H40" s="7" t="inlineStr">
        <is>
          <t>E0036</t>
        </is>
      </c>
      <c r="I40" s="7" t="inlineStr">
        <is>
          <t>Atlanta</t>
        </is>
      </c>
      <c r="J40" s="7" t="inlineStr">
        <is>
          <t>In Use</t>
        </is>
      </c>
      <c r="K40" s="7" t="inlineStr">
        <is>
          <t>MD-00036 evidence drawn from inventory line. HR/location reading In Use/Atlanta. Move TR-00036. Cost $6,245.</t>
        </is>
      </c>
      <c r="L40" s="7" t="inlineStr">
        <is>
          <t>2026-08-05</t>
        </is>
      </c>
      <c r="M40" s="7" t="n">
        <v>6245</v>
      </c>
      <c r="N40" s="7">
        <f>IFERROR(INDEX('Source Ledger'!$G$5:$G$200,MATCH(A40,'Source Ledger'!$B$5:$B$200,0)),"")</f>
        <v>537.73</v>
      </c>
      <c r="O40" s="7">
        <f>IFERROR(INDEX('Source Ledger'!$A$5:$A$200,MATCH(A40,'Source Ledger'!$B$5:$B$200,0)),"")</f>
        <v/>
      </c>
      <c r="P40" s="7">
        <f>IFERROR(INDEX('Source Ledger'!$D$5:$D$200,MATCH(A40,'Source Ledger'!$B$5:$B$200,0)),"")</f>
        <v/>
      </c>
      <c r="Q40" s="9" t="inlineStr">
        <is>
          <t>High</t>
        </is>
      </c>
      <c r="R40" s="7" t="inlineStr">
        <is>
          <t>EX-0016</t>
        </is>
      </c>
      <c r="S40" s="7" t="inlineStr">
        <is>
          <t>Yes</t>
        </is>
      </c>
      <c r="T40">
        <f>IFERROR(INDEX('Source Ledger'!$E$5:$E$200,MATCH(A40,'Source Ledger'!$B$5:$B$200,0)),"")</f>
        <v>6245</v>
      </c>
      <c r="U40">
        <f>IFERROR(INDEX('Source Ledger'!$H$5:$H$200,MATCH(A40,'Source Ledger'!$B$5:$B$200,0)),"")</f>
        <v/>
      </c>
      <c r="V40">
        <f>IFERROR(INDEX('Source Ledger'!$G$5:$G$200,MATCH(A40,'Source Ledger'!$B$5:$B$200,0)),"")</f>
        <v>537.73</v>
      </c>
      <c r="W40">
        <f>IF(T40="","",T40-M40)</f>
        <v>0</v>
      </c>
      <c r="X40">
        <f>IF(V40="","No","Yes")</f>
        <v/>
      </c>
    </row>
    <row r="41">
      <c r="A41" s="7" t="inlineStr">
        <is>
          <t>MD-00037</t>
        </is>
      </c>
      <c r="B41" s="7" t="inlineStr">
        <is>
          <t>MD-LA-050037</t>
        </is>
      </c>
      <c r="C41" s="7" t="inlineStr">
        <is>
          <t>Mobile Device</t>
        </is>
      </c>
      <c r="D41" s="7" t="inlineStr">
        <is>
          <t>iPhone 14</t>
        </is>
      </c>
      <c r="E41" s="7" t="inlineStr">
        <is>
          <t>E0037</t>
        </is>
      </c>
      <c r="F41" s="7" t="inlineStr">
        <is>
          <t>Denver - Closed</t>
        </is>
      </c>
      <c r="G41" s="7" t="inlineStr">
        <is>
          <t>In Use</t>
        </is>
      </c>
      <c r="H41" s="7" t="inlineStr">
        <is>
          <t>E0037</t>
        </is>
      </c>
      <c r="I41" s="7" t="inlineStr">
        <is>
          <t>Chicago</t>
        </is>
      </c>
      <c r="J41" s="7" t="inlineStr">
        <is>
          <t>In Use</t>
        </is>
      </c>
      <c r="K41" s="7" t="inlineStr">
        <is>
          <t>Source stack for MD-00037 (iPhone 14): PO-2025-0008, FA-000037. Custodian context Victor Lang; status In Use at Chicago; basis $1,940.</t>
        </is>
      </c>
      <c r="L41" s="7" t="inlineStr">
        <is>
          <t>2026-08-05</t>
        </is>
      </c>
      <c r="M41" s="7" t="n">
        <v>1940</v>
      </c>
      <c r="N41" s="7">
        <f>IFERROR(INDEX('Source Ledger'!$G$5:$G$200,MATCH(A41,'Source Ledger'!$B$5:$B$200,0)),"")</f>
        <v>0</v>
      </c>
      <c r="O41" s="7">
        <f>IFERROR(INDEX('Source Ledger'!$A$5:$A$200,MATCH(A41,'Source Ledger'!$B$5:$B$200,0)),"")</f>
        <v/>
      </c>
      <c r="P41" s="7">
        <f>IFERROR(INDEX('Source Ledger'!$D$5:$D$200,MATCH(A41,'Source Ledger'!$B$5:$B$200,0)),"")</f>
        <v/>
      </c>
      <c r="Q41" s="9" t="inlineStr">
        <is>
          <t>High</t>
        </is>
      </c>
      <c r="R41" s="7" t="inlineStr">
        <is>
          <t>EX-0017</t>
        </is>
      </c>
      <c r="S41" s="7" t="inlineStr">
        <is>
          <t>Yes</t>
        </is>
      </c>
      <c r="T41">
        <f>IFERROR(INDEX('Source Ledger'!$E$5:$E$200,MATCH(A41,'Source Ledger'!$B$5:$B$200,0)),"")</f>
        <v>1940</v>
      </c>
      <c r="U41">
        <f>IFERROR(INDEX('Source Ledger'!$H$5:$H$200,MATCH(A41,'Source Ledger'!$B$5:$B$200,0)),"")</f>
        <v/>
      </c>
      <c r="V41">
        <f>IFERROR(INDEX('Source Ledger'!$G$5:$G$200,MATCH(A41,'Source Ledger'!$B$5:$B$200,0)),"")</f>
        <v>0</v>
      </c>
      <c r="W41">
        <f>IF(T41="","",T41-M41)</f>
        <v>0</v>
      </c>
      <c r="X41">
        <f>IF(V41="","No","Yes")</f>
        <v/>
      </c>
    </row>
    <row r="42">
      <c r="A42" s="7" t="inlineStr">
        <is>
          <t>MD-00038</t>
        </is>
      </c>
      <c r="B42" s="7" t="inlineStr">
        <is>
          <t>MD-MO-050038</t>
        </is>
      </c>
      <c r="C42" s="7" t="inlineStr">
        <is>
          <t>Mobile Device</t>
        </is>
      </c>
      <c r="D42" s="7" t="inlineStr">
        <is>
          <t>Samsung Galaxy S24</t>
        </is>
      </c>
      <c r="E42" s="7" t="inlineStr">
        <is>
          <t>E0038</t>
        </is>
      </c>
      <c r="F42" s="7" t="inlineStr">
        <is>
          <t>Chicago - Closed</t>
        </is>
      </c>
      <c r="G42" s="7" t="inlineStr">
        <is>
          <t>In Use</t>
        </is>
      </c>
      <c r="H42" s="7" t="inlineStr">
        <is>
          <t>E0038</t>
        </is>
      </c>
      <c r="I42" s="7" t="inlineStr">
        <is>
          <t>Dallas</t>
        </is>
      </c>
      <c r="J42" s="7" t="inlineStr">
        <is>
          <t>In Use</t>
        </is>
      </c>
      <c r="K42" s="7" t="inlineStr">
        <is>
          <t>Validated MD-00038 against available PO/FA/HR/transfer rows. Model Samsung Galaxy S24. Noelle Harper (E0038) shows In Use in Dallas. Acquisition $655.</t>
        </is>
      </c>
      <c r="L42" s="7" t="inlineStr">
        <is>
          <t>2026-08-05</t>
        </is>
      </c>
      <c r="M42" s="7" t="n">
        <v>655</v>
      </c>
      <c r="N42" s="7">
        <f>IFERROR(INDEX('Source Ledger'!$G$5:$G$200,MATCH(A42,'Source Ledger'!$B$5:$B$200,0)),"")</f>
        <v>340.46</v>
      </c>
      <c r="O42" s="7">
        <f>IFERROR(INDEX('Source Ledger'!$A$5:$A$200,MATCH(A42,'Source Ledger'!$B$5:$B$200,0)),"")</f>
        <v/>
      </c>
      <c r="P42" s="7">
        <f>IFERROR(INDEX('Source Ledger'!$D$5:$D$200,MATCH(A42,'Source Ledger'!$B$5:$B$200,0)),"")</f>
        <v/>
      </c>
      <c r="Q42" s="9" t="inlineStr">
        <is>
          <t>High</t>
        </is>
      </c>
      <c r="R42" s="7" t="inlineStr">
        <is>
          <t>EX-0018</t>
        </is>
      </c>
      <c r="S42" s="7" t="inlineStr">
        <is>
          <t>Yes</t>
        </is>
      </c>
      <c r="T42">
        <f>IFERROR(INDEX('Source Ledger'!$E$5:$E$200,MATCH(A42,'Source Ledger'!$B$5:$B$200,0)),"")</f>
        <v>655</v>
      </c>
      <c r="U42">
        <f>IFERROR(INDEX('Source Ledger'!$H$5:$H$200,MATCH(A42,'Source Ledger'!$B$5:$B$200,0)),"")</f>
        <v/>
      </c>
      <c r="V42">
        <f>IFERROR(INDEX('Source Ledger'!$G$5:$G$200,MATCH(A42,'Source Ledger'!$B$5:$B$200,0)),"")</f>
        <v>340.46</v>
      </c>
      <c r="W42">
        <f>IF(T42="","",T42-M42)</f>
        <v>0</v>
      </c>
      <c r="X42">
        <f>IF(V42="","No","Yes")</f>
        <v/>
      </c>
    </row>
    <row r="43">
      <c r="A43" s="7" t="inlineStr">
        <is>
          <t>MD-00039</t>
        </is>
      </c>
      <c r="B43" s="7" t="inlineStr">
        <is>
          <t>MD-MO-050039</t>
        </is>
      </c>
      <c r="C43" s="7" t="inlineStr">
        <is>
          <t>Mobile Device</t>
        </is>
      </c>
      <c r="D43" s="7" t="inlineStr">
        <is>
          <t>iPhone 15</t>
        </is>
      </c>
      <c r="E43" s="7" t="inlineStr">
        <is>
          <t>E0039</t>
        </is>
      </c>
      <c r="F43" s="7" t="inlineStr">
        <is>
          <t>Denver - Closed</t>
        </is>
      </c>
      <c r="G43" s="7" t="inlineStr">
        <is>
          <t>In Use</t>
        </is>
      </c>
      <c r="H43" s="7" t="inlineStr">
        <is>
          <t>E0039</t>
        </is>
      </c>
      <c r="I43" s="7" t="inlineStr">
        <is>
          <t>Denver</t>
        </is>
      </c>
      <c r="J43" s="7" t="inlineStr">
        <is>
          <t>In Use</t>
        </is>
      </c>
      <c r="K43" s="7" t="inlineStr">
        <is>
          <t>Evidence for MD-00039 is piecewise: inventory cost $1,130, FA FA-000039, HR status In Use, site Denver.</t>
        </is>
      </c>
      <c r="L43" s="7" t="inlineStr">
        <is>
          <t>2026-08-05</t>
        </is>
      </c>
      <c r="M43" s="7" t="n">
        <v>1130</v>
      </c>
      <c r="N43" s="7">
        <f>IFERROR(INDEX('Source Ledger'!$G$5:$G$200,MATCH(A43,'Source Ledger'!$B$5:$B$200,0)),"")</f>
        <v>635</v>
      </c>
      <c r="O43" s="7">
        <f>IFERROR(INDEX('Source Ledger'!$A$5:$A$200,MATCH(A43,'Source Ledger'!$B$5:$B$200,0)),"")</f>
        <v/>
      </c>
      <c r="P43" s="7">
        <f>IFERROR(INDEX('Source Ledger'!$D$5:$D$200,MATCH(A43,'Source Ledger'!$B$5:$B$200,0)),"")</f>
        <v/>
      </c>
      <c r="Q43" s="9" t="inlineStr">
        <is>
          <t>High</t>
        </is>
      </c>
      <c r="R43" s="7" t="inlineStr">
        <is>
          <t>EX-0019</t>
        </is>
      </c>
      <c r="S43" s="7" t="inlineStr">
        <is>
          <t>Yes</t>
        </is>
      </c>
      <c r="T43">
        <f>IFERROR(INDEX('Source Ledger'!$E$5:$E$200,MATCH(A43,'Source Ledger'!$B$5:$B$200,0)),"")</f>
        <v>1130</v>
      </c>
      <c r="U43">
        <f>IFERROR(INDEX('Source Ledger'!$H$5:$H$200,MATCH(A43,'Source Ledger'!$B$5:$B$200,0)),"")</f>
        <v/>
      </c>
      <c r="V43">
        <f>IFERROR(INDEX('Source Ledger'!$G$5:$G$200,MATCH(A43,'Source Ledger'!$B$5:$B$200,0)),"")</f>
        <v>635</v>
      </c>
      <c r="W43">
        <f>IF(T43="","",T43-M43)</f>
        <v>0</v>
      </c>
      <c r="X43">
        <f>IF(V43="","No","Yes")</f>
        <v/>
      </c>
    </row>
    <row r="44">
      <c r="A44" s="7" t="inlineStr">
        <is>
          <t>MD-00040</t>
        </is>
      </c>
      <c r="B44" s="7" t="inlineStr">
        <is>
          <t>MD-NE-050040</t>
        </is>
      </c>
      <c r="C44" s="7" t="inlineStr">
        <is>
          <t>Mobile Device</t>
        </is>
      </c>
      <c r="D44" s="7" t="inlineStr">
        <is>
          <t>Samsung Galaxy S23 FE</t>
        </is>
      </c>
      <c r="E44" s="7" t="inlineStr">
        <is>
          <t>E0040</t>
        </is>
      </c>
      <c r="F44" s="7" t="inlineStr">
        <is>
          <t>Chicago - Closed</t>
        </is>
      </c>
      <c r="G44" s="7" t="inlineStr">
        <is>
          <t>In Use</t>
        </is>
      </c>
      <c r="H44" s="7" t="inlineStr">
        <is>
          <t>E0040</t>
        </is>
      </c>
      <c r="I44" s="7" t="inlineStr">
        <is>
          <t>New York</t>
        </is>
      </c>
      <c r="J44" s="7" t="inlineStr">
        <is>
          <t>In Use</t>
        </is>
      </c>
      <c r="K44" s="7" t="inlineStr">
        <is>
          <t>Samsung Galaxy S23 FE tagged MD-00040 reconciled using PO-2025-0008+HR. Present state In Use/New York, cost $6,425.</t>
        </is>
      </c>
      <c r="L44" s="7" t="inlineStr">
        <is>
          <t>2026-08-05</t>
        </is>
      </c>
      <c r="M44" s="7" t="n">
        <v>6425</v>
      </c>
      <c r="N44" s="7">
        <f>IFERROR(INDEX('Source Ledger'!$G$5:$G$200,MATCH(A44,'Source Ledger'!$B$5:$B$200,0)),"")</f>
        <v>989.48</v>
      </c>
      <c r="O44" s="7">
        <f>IFERROR(INDEX('Source Ledger'!$A$5:$A$200,MATCH(A44,'Source Ledger'!$B$5:$B$200,0)),"")</f>
        <v/>
      </c>
      <c r="P44" s="7">
        <f>IFERROR(INDEX('Source Ledger'!$D$5:$D$200,MATCH(A44,'Source Ledger'!$B$5:$B$200,0)),"")</f>
        <v/>
      </c>
      <c r="Q44" s="9" t="inlineStr">
        <is>
          <t>High</t>
        </is>
      </c>
      <c r="R44" s="7" t="inlineStr">
        <is>
          <t>EX-0020</t>
        </is>
      </c>
      <c r="S44" s="7" t="inlineStr">
        <is>
          <t>Yes</t>
        </is>
      </c>
      <c r="T44">
        <f>IFERROR(INDEX('Source Ledger'!$E$5:$E$200,MATCH(A44,'Source Ledger'!$B$5:$B$200,0)),"")</f>
        <v>6425</v>
      </c>
      <c r="U44">
        <f>IFERROR(INDEX('Source Ledger'!$H$5:$H$200,MATCH(A44,'Source Ledger'!$B$5:$B$200,0)),"")</f>
        <v/>
      </c>
      <c r="V44">
        <f>IFERROR(INDEX('Source Ledger'!$G$5:$G$200,MATCH(A44,'Source Ledger'!$B$5:$B$200,0)),"")</f>
        <v>989.48</v>
      </c>
      <c r="W44">
        <f>IF(T44="","",T44-M44)</f>
        <v>0</v>
      </c>
      <c r="X44">
        <f>IF(V44="","No","Yes")</f>
        <v/>
      </c>
    </row>
    <row r="45">
      <c r="A45" s="7" t="inlineStr">
        <is>
          <t>MD-00041</t>
        </is>
      </c>
      <c r="B45" s="7" t="inlineStr">
        <is>
          <t>MD-LA-050041</t>
        </is>
      </c>
      <c r="C45" s="7" t="inlineStr">
        <is>
          <t>Mobile Device</t>
        </is>
      </c>
      <c r="D45" s="7" t="inlineStr">
        <is>
          <t>iPhone 14</t>
        </is>
      </c>
      <c r="E45" s="7" t="inlineStr">
        <is>
          <t>E0041</t>
        </is>
      </c>
      <c r="F45" s="7" t="inlineStr">
        <is>
          <t>Denver - Closed</t>
        </is>
      </c>
      <c r="G45" s="7" t="inlineStr">
        <is>
          <t>In Use</t>
        </is>
      </c>
      <c r="H45" s="7" t="inlineStr">
        <is>
          <t>E0041</t>
        </is>
      </c>
      <c r="I45" s="7" t="inlineStr">
        <is>
          <t>Seattle</t>
        </is>
      </c>
      <c r="J45" s="7" t="inlineStr">
        <is>
          <t>In Use</t>
        </is>
      </c>
      <c r="K45" s="7" t="inlineStr">
        <is>
          <t>MD-00041 evidence drawn from inventory line. HR/location reading In Use/Seattle. Move TR-00041. Cost $2,120.</t>
        </is>
      </c>
      <c r="L45" s="7" t="inlineStr">
        <is>
          <t>2026-08-05</t>
        </is>
      </c>
      <c r="M45" s="7" t="n">
        <v>2120</v>
      </c>
      <c r="N45" s="7">
        <f>IFERROR(INDEX('Source Ledger'!$G$5:$G$200,MATCH(A45,'Source Ledger'!$B$5:$B$200,0)),"")</f>
        <v>0</v>
      </c>
      <c r="O45" s="7">
        <f>IFERROR(INDEX('Source Ledger'!$A$5:$A$200,MATCH(A45,'Source Ledger'!$B$5:$B$200,0)),"")</f>
        <v/>
      </c>
      <c r="P45" s="7">
        <f>IFERROR(INDEX('Source Ledger'!$D$5:$D$200,MATCH(A45,'Source Ledger'!$B$5:$B$200,0)),"")</f>
        <v/>
      </c>
      <c r="Q45" s="9" t="inlineStr">
        <is>
          <t>High</t>
        </is>
      </c>
      <c r="R45" s="7" t="inlineStr">
        <is>
          <t>EX-0021</t>
        </is>
      </c>
      <c r="S45" s="7" t="inlineStr">
        <is>
          <t>Yes</t>
        </is>
      </c>
      <c r="T45">
        <f>IFERROR(INDEX('Source Ledger'!$E$5:$E$200,MATCH(A45,'Source Ledger'!$B$5:$B$200,0)),"")</f>
        <v>2120</v>
      </c>
      <c r="U45">
        <f>IFERROR(INDEX('Source Ledger'!$H$5:$H$200,MATCH(A45,'Source Ledger'!$B$5:$B$200,0)),"")</f>
        <v/>
      </c>
      <c r="V45">
        <f>IFERROR(INDEX('Source Ledger'!$G$5:$G$200,MATCH(A45,'Source Ledger'!$B$5:$B$200,0)),"")</f>
        <v>0</v>
      </c>
      <c r="W45">
        <f>IF(T45="","",T45-M45)</f>
        <v>0</v>
      </c>
      <c r="X45">
        <f>IF(V45="","No","Yes")</f>
        <v/>
      </c>
    </row>
    <row r="46">
      <c r="A46" s="7" t="inlineStr">
        <is>
          <t>MD-00042</t>
        </is>
      </c>
      <c r="B46" s="7" t="inlineStr">
        <is>
          <t>MD-MO-050042</t>
        </is>
      </c>
      <c r="C46" s="7" t="inlineStr">
        <is>
          <t>Mobile Device</t>
        </is>
      </c>
      <c r="D46" s="7" t="inlineStr">
        <is>
          <t>Samsung Galaxy S24</t>
        </is>
      </c>
      <c r="E46" s="7" t="inlineStr">
        <is>
          <t>E0042</t>
        </is>
      </c>
      <c r="F46" s="7" t="inlineStr">
        <is>
          <t>Chicago - Closed</t>
        </is>
      </c>
      <c r="G46" s="7" t="inlineStr">
        <is>
          <t>In Use</t>
        </is>
      </c>
      <c r="H46" s="7" t="inlineStr">
        <is>
          <t>E0042</t>
        </is>
      </c>
      <c r="I46" s="7" t="inlineStr">
        <is>
          <t>Atlanta</t>
        </is>
      </c>
      <c r="J46" s="7" t="inlineStr">
        <is>
          <t>In Use</t>
        </is>
      </c>
      <c r="K46" s="7" t="inlineStr">
        <is>
          <t>For MD-00042, register cost $520 sits beside FA-000042 . Transfer TR-00042 on file. Verified In Use / Atlanta.</t>
        </is>
      </c>
      <c r="L46" s="7" t="inlineStr">
        <is>
          <t>2026-08-05</t>
        </is>
      </c>
      <c r="M46" s="7" t="n">
        <v>520</v>
      </c>
      <c r="N46" s="7">
        <f>IFERROR(INDEX('Source Ledger'!$G$5:$G$200,MATCH(A46,'Source Ledger'!$B$5:$B$200,0)),"")</f>
        <v>306.16</v>
      </c>
      <c r="O46" s="7">
        <f>IFERROR(INDEX('Source Ledger'!$A$5:$A$200,MATCH(A46,'Source Ledger'!$B$5:$B$200,0)),"")</f>
        <v/>
      </c>
      <c r="P46" s="7">
        <f>IFERROR(INDEX('Source Ledger'!$D$5:$D$200,MATCH(A46,'Source Ledger'!$B$5:$B$200,0)),"")</f>
        <v/>
      </c>
      <c r="Q46" s="9" t="inlineStr">
        <is>
          <t>High</t>
        </is>
      </c>
      <c r="R46" s="7" t="inlineStr">
        <is>
          <t>EX-0022</t>
        </is>
      </c>
      <c r="S46" s="7" t="inlineStr">
        <is>
          <t>Yes</t>
        </is>
      </c>
      <c r="T46">
        <f>IFERROR(INDEX('Source Ledger'!$E$5:$E$200,MATCH(A46,'Source Ledger'!$B$5:$B$200,0)),"")</f>
        <v>520</v>
      </c>
      <c r="U46">
        <f>IFERROR(INDEX('Source Ledger'!$H$5:$H$200,MATCH(A46,'Source Ledger'!$B$5:$B$200,0)),"")</f>
        <v/>
      </c>
      <c r="V46">
        <f>IFERROR(INDEX('Source Ledger'!$G$5:$G$200,MATCH(A46,'Source Ledger'!$B$5:$B$200,0)),"")</f>
        <v>306.16</v>
      </c>
      <c r="W46">
        <f>IF(T46="","",T46-M46)</f>
        <v>0</v>
      </c>
      <c r="X46">
        <f>IF(V46="","No","Yes")</f>
        <v/>
      </c>
    </row>
    <row r="47">
      <c r="A47" s="7" t="inlineStr">
        <is>
          <t>MD-00043</t>
        </is>
      </c>
      <c r="B47" s="7" t="inlineStr">
        <is>
          <t>MD-MO-050043</t>
        </is>
      </c>
      <c r="C47" s="7" t="inlineStr">
        <is>
          <t>Mobile Device</t>
        </is>
      </c>
      <c r="D47" s="7" t="inlineStr">
        <is>
          <t>iPhone 15</t>
        </is>
      </c>
      <c r="E47" s="7" t="inlineStr">
        <is>
          <t>E0043</t>
        </is>
      </c>
      <c r="F47" s="7" t="inlineStr">
        <is>
          <t>Denver - Closed</t>
        </is>
      </c>
      <c r="G47" s="7" t="inlineStr">
        <is>
          <t>In Use</t>
        </is>
      </c>
      <c r="H47" s="7" t="inlineStr">
        <is>
          <t>E0043</t>
        </is>
      </c>
      <c r="I47" s="7" t="inlineStr">
        <is>
          <t>Chicago</t>
        </is>
      </c>
      <c r="J47" s="7" t="inlineStr">
        <is>
          <t>In Use</t>
        </is>
      </c>
      <c r="K47" s="7" t="inlineStr">
        <is>
          <t>Evidence for MD-00043 is piecewise: inventory cost $995, FA absent, PO PO-2025-0008, TR TR-00043, HR status In Use, site Chicago.</t>
        </is>
      </c>
      <c r="L47" s="7" t="inlineStr">
        <is>
          <t>2026-08-05</t>
        </is>
      </c>
      <c r="M47" s="7" t="n">
        <v>995</v>
      </c>
      <c r="N47" s="7">
        <f>IFERROR(INDEX('Source Ledger'!$G$5:$G$200,MATCH(A47,'Source Ledger'!$B$5:$B$200,0)),"")</f>
        <v>673.55</v>
      </c>
      <c r="O47" s="7">
        <f>IFERROR(INDEX('Source Ledger'!$A$5:$A$200,MATCH(A47,'Source Ledger'!$B$5:$B$200,0)),"")</f>
        <v/>
      </c>
      <c r="P47" s="7">
        <f>IFERROR(INDEX('Source Ledger'!$D$5:$D$200,MATCH(A47,'Source Ledger'!$B$5:$B$200,0)),"")</f>
        <v/>
      </c>
      <c r="Q47" s="9" t="inlineStr">
        <is>
          <t>High</t>
        </is>
      </c>
      <c r="R47" s="7" t="inlineStr">
        <is>
          <t>EX-0023</t>
        </is>
      </c>
      <c r="S47" s="7" t="inlineStr">
        <is>
          <t>Yes</t>
        </is>
      </c>
      <c r="T47">
        <f>IFERROR(INDEX('Source Ledger'!$E$5:$E$200,MATCH(A47,'Source Ledger'!$B$5:$B$200,0)),"")</f>
        <v>995</v>
      </c>
      <c r="U47">
        <f>IFERROR(INDEX('Source Ledger'!$H$5:$H$200,MATCH(A47,'Source Ledger'!$B$5:$B$200,0)),"")</f>
        <v/>
      </c>
      <c r="V47">
        <f>IFERROR(INDEX('Source Ledger'!$G$5:$G$200,MATCH(A47,'Source Ledger'!$B$5:$B$200,0)),"")</f>
        <v>673.55</v>
      </c>
      <c r="W47">
        <f>IF(T47="","",T47-M47)</f>
        <v>0</v>
      </c>
      <c r="X47">
        <f>IF(V47="","No","Yes")</f>
        <v/>
      </c>
    </row>
    <row r="48">
      <c r="A48" s="7" t="inlineStr">
        <is>
          <t>MD-00044</t>
        </is>
      </c>
      <c r="B48" s="7" t="inlineStr">
        <is>
          <t>MD-NE-050044</t>
        </is>
      </c>
      <c r="C48" s="7" t="inlineStr">
        <is>
          <t>Mobile Device</t>
        </is>
      </c>
      <c r="D48" s="7" t="inlineStr">
        <is>
          <t>Google Pixel 8</t>
        </is>
      </c>
      <c r="E48" s="7" t="inlineStr">
        <is>
          <t>E0044</t>
        </is>
      </c>
      <c r="F48" s="7" t="inlineStr">
        <is>
          <t>Chicago - Closed</t>
        </is>
      </c>
      <c r="G48" s="7" t="inlineStr">
        <is>
          <t>In Use</t>
        </is>
      </c>
      <c r="H48" s="7" t="inlineStr">
        <is>
          <t>E0044</t>
        </is>
      </c>
      <c r="I48" s="7" t="inlineStr">
        <is>
          <t>Dallas</t>
        </is>
      </c>
      <c r="J48" s="7" t="inlineStr">
        <is>
          <t>In Use</t>
        </is>
      </c>
      <c r="K48" s="7" t="inlineStr">
        <is>
          <t>Working evidence note on MD-00044: Google Pixel 8; In Use @ Dallas; holder Google Pixel; PO-2025-0008; FA-000044; TR-00044; basis $6,290.</t>
        </is>
      </c>
      <c r="L48" s="7" t="inlineStr">
        <is>
          <t>2026-08-05</t>
        </is>
      </c>
      <c r="M48" s="7" t="n">
        <v>6290</v>
      </c>
      <c r="N48" s="7">
        <f>IFERROR(INDEX('Source Ledger'!$G$5:$G$200,MATCH(A48,'Source Ledger'!$B$5:$B$200,0)),"")</f>
        <v>1406.1</v>
      </c>
      <c r="O48" s="7">
        <f>IFERROR(INDEX('Source Ledger'!$A$5:$A$200,MATCH(A48,'Source Ledger'!$B$5:$B$200,0)),"")</f>
        <v/>
      </c>
      <c r="P48" s="7">
        <f>IFERROR(INDEX('Source Ledger'!$D$5:$D$200,MATCH(A48,'Source Ledger'!$B$5:$B$200,0)),"")</f>
        <v/>
      </c>
      <c r="Q48" s="9" t="inlineStr">
        <is>
          <t>High</t>
        </is>
      </c>
      <c r="R48" s="7" t="inlineStr">
        <is>
          <t>EX-0024</t>
        </is>
      </c>
      <c r="S48" s="7" t="inlineStr">
        <is>
          <t>Yes</t>
        </is>
      </c>
      <c r="T48">
        <f>IFERROR(INDEX('Source Ledger'!$E$5:$E$200,MATCH(A48,'Source Ledger'!$B$5:$B$200,0)),"")</f>
        <v>6290</v>
      </c>
      <c r="U48">
        <f>IFERROR(INDEX('Source Ledger'!$H$5:$H$200,MATCH(A48,'Source Ledger'!$B$5:$B$200,0)),"")</f>
        <v/>
      </c>
      <c r="V48">
        <f>IFERROR(INDEX('Source Ledger'!$G$5:$G$200,MATCH(A48,'Source Ledger'!$B$5:$B$200,0)),"")</f>
        <v>1406.1</v>
      </c>
      <c r="W48">
        <f>IF(T48="","",T48-M48)</f>
        <v>0</v>
      </c>
      <c r="X48">
        <f>IF(V48="","No","Yes")</f>
        <v/>
      </c>
    </row>
    <row r="49">
      <c r="A49" s="7" t="inlineStr">
        <is>
          <t>MD-00045</t>
        </is>
      </c>
      <c r="B49" s="7" t="inlineStr">
        <is>
          <t>MD-LA-050045</t>
        </is>
      </c>
      <c r="C49" s="7" t="inlineStr">
        <is>
          <t>Mobile Device</t>
        </is>
      </c>
      <c r="D49" s="7" t="inlineStr">
        <is>
          <t>Samsung Galaxy S23 FE</t>
        </is>
      </c>
      <c r="E49" s="7" t="inlineStr">
        <is>
          <t>E0045</t>
        </is>
      </c>
      <c r="F49" s="7" t="inlineStr">
        <is>
          <t>Denver - Closed</t>
        </is>
      </c>
      <c r="G49" s="7" t="inlineStr">
        <is>
          <t>In Use</t>
        </is>
      </c>
      <c r="H49" s="7" t="inlineStr">
        <is>
          <t>E0045</t>
        </is>
      </c>
      <c r="I49" s="7" t="inlineStr">
        <is>
          <t>Denver</t>
        </is>
      </c>
      <c r="J49" s="7" t="inlineStr">
        <is>
          <t>In Use</t>
        </is>
      </c>
      <c r="K49" s="7" t="inlineStr">
        <is>
          <t>For MD-00045, register cost $1,985 sits beside FA-000045 and PO-2022-0009. Transfer TR-00045 on file. Verified In Use / Denver.</t>
        </is>
      </c>
      <c r="L49" s="7" t="inlineStr">
        <is>
          <t>2026-08-05</t>
        </is>
      </c>
      <c r="M49" s="7" t="n">
        <v>1985</v>
      </c>
      <c r="N49" s="7">
        <f>IFERROR(INDEX('Source Ledger'!$G$5:$G$200,MATCH(A49,'Source Ledger'!$B$5:$B$200,0)),"")</f>
        <v>133.6</v>
      </c>
      <c r="O49" s="7">
        <f>IFERROR(INDEX('Source Ledger'!$A$5:$A$200,MATCH(A49,'Source Ledger'!$B$5:$B$200,0)),"")</f>
        <v/>
      </c>
      <c r="P49" s="7">
        <f>IFERROR(INDEX('Source Ledger'!$D$5:$D$200,MATCH(A49,'Source Ledger'!$B$5:$B$200,0)),"")</f>
        <v/>
      </c>
      <c r="Q49" s="9" t="inlineStr">
        <is>
          <t>High</t>
        </is>
      </c>
      <c r="R49" s="7" t="inlineStr">
        <is>
          <t>EX-0025</t>
        </is>
      </c>
      <c r="S49" s="7" t="inlineStr">
        <is>
          <t>Yes</t>
        </is>
      </c>
      <c r="T49">
        <f>IFERROR(INDEX('Source Ledger'!$E$5:$E$200,MATCH(A49,'Source Ledger'!$B$5:$B$200,0)),"")</f>
        <v>1985</v>
      </c>
      <c r="U49">
        <f>IFERROR(INDEX('Source Ledger'!$H$5:$H$200,MATCH(A49,'Source Ledger'!$B$5:$B$200,0)),"")</f>
        <v/>
      </c>
      <c r="V49">
        <f>IFERROR(INDEX('Source Ledger'!$G$5:$G$200,MATCH(A49,'Source Ledger'!$B$5:$B$200,0)),"")</f>
        <v>133.6</v>
      </c>
      <c r="W49">
        <f>IF(T49="","",T49-M49)</f>
        <v>0</v>
      </c>
      <c r="X49">
        <f>IF(V49="","No","Yes")</f>
        <v/>
      </c>
    </row>
    <row r="50">
      <c r="A50" s="7" t="inlineStr">
        <is>
          <t>MD-00046</t>
        </is>
      </c>
      <c r="B50" s="7" t="inlineStr">
        <is>
          <t>MD-MO-050046</t>
        </is>
      </c>
      <c r="C50" s="7" t="inlineStr">
        <is>
          <t>Mobile Device</t>
        </is>
      </c>
      <c r="D50" s="7" t="inlineStr">
        <is>
          <t>iPhone 14</t>
        </is>
      </c>
      <c r="E50" s="7" t="n"/>
      <c r="F50" s="7" t="inlineStr">
        <is>
          <t>Chicago - Closed</t>
        </is>
      </c>
      <c r="G50" s="7" t="inlineStr">
        <is>
          <t>Available</t>
        </is>
      </c>
      <c r="H50" s="7" t="inlineStr">
        <is>
          <t>IT Stock</t>
        </is>
      </c>
      <c r="I50" s="7" t="inlineStr">
        <is>
          <t>New York</t>
        </is>
      </c>
      <c r="J50" s="7" t="inlineStr">
        <is>
          <t>Available</t>
        </is>
      </c>
      <c r="K50" s="7" t="inlineStr">
        <is>
          <t>iPhone 14 tagged MD-00046 reconciled using PO-2022-0009+FA-000046+TR-00046+HR. Present state Available/New York, cost $700.</t>
        </is>
      </c>
      <c r="L50" s="7" t="inlineStr">
        <is>
          <t>2026-05-24</t>
        </is>
      </c>
      <c r="M50" s="7" t="n">
        <v>700</v>
      </c>
      <c r="N50" s="7">
        <f>IFERROR(INDEX('Source Ledger'!$G$5:$G$200,MATCH(A50,'Source Ledger'!$B$5:$B$200,0)),"")</f>
        <v>460.82</v>
      </c>
      <c r="O50" s="7">
        <f>IFERROR(INDEX('Source Ledger'!$A$5:$A$200,MATCH(A50,'Source Ledger'!$B$5:$B$200,0)),"")</f>
        <v/>
      </c>
      <c r="P50" s="7">
        <f>IFERROR(INDEX('Source Ledger'!$D$5:$D$200,MATCH(A50,'Source Ledger'!$B$5:$B$200,0)),"")</f>
        <v/>
      </c>
      <c r="Q50" s="9" t="inlineStr">
        <is>
          <t>High</t>
        </is>
      </c>
      <c r="R50" s="7" t="inlineStr">
        <is>
          <t>EX-0026</t>
        </is>
      </c>
      <c r="S50" s="7" t="inlineStr">
        <is>
          <t>Yes</t>
        </is>
      </c>
      <c r="T50">
        <f>IFERROR(INDEX('Source Ledger'!$E$5:$E$200,MATCH(A50,'Source Ledger'!$B$5:$B$200,0)),"")</f>
        <v>700</v>
      </c>
      <c r="U50">
        <f>IFERROR(INDEX('Source Ledger'!$H$5:$H$200,MATCH(A50,'Source Ledger'!$B$5:$B$200,0)),"")</f>
        <v/>
      </c>
      <c r="V50">
        <f>IFERROR(INDEX('Source Ledger'!$G$5:$G$200,MATCH(A50,'Source Ledger'!$B$5:$B$200,0)),"")</f>
        <v>460.82</v>
      </c>
      <c r="W50">
        <f>IF(T50="","",T50-M50)</f>
        <v>0</v>
      </c>
      <c r="X50">
        <f>IF(V50="","No","Yes")</f>
        <v/>
      </c>
    </row>
    <row r="51">
      <c r="A51" s="7" t="inlineStr">
        <is>
          <t>MD-00047</t>
        </is>
      </c>
      <c r="B51" s="7" t="inlineStr">
        <is>
          <t>MD-MO-050047</t>
        </is>
      </c>
      <c r="C51" s="7" t="inlineStr">
        <is>
          <t>Mobile Device</t>
        </is>
      </c>
      <c r="D51" s="7" t="inlineStr">
        <is>
          <t>Samsung Galaxy S24</t>
        </is>
      </c>
      <c r="E51" s="7" t="n"/>
      <c r="F51" s="7" t="inlineStr">
        <is>
          <t>Denver - Closed</t>
        </is>
      </c>
      <c r="G51" s="7" t="inlineStr">
        <is>
          <t>Available</t>
        </is>
      </c>
      <c r="H51" s="7" t="inlineStr">
        <is>
          <t>IT Stock</t>
        </is>
      </c>
      <c r="I51" s="7" t="inlineStr">
        <is>
          <t>Seattle</t>
        </is>
      </c>
      <c r="J51" s="7" t="inlineStr">
        <is>
          <t>Available</t>
        </is>
      </c>
      <c r="K51" s="7" t="inlineStr">
        <is>
          <t>MD-00047 evidence drawn from PO-2022-0009 / FA-000047. HR/location reading Available/Seattle. Move TR-00047. Cost $1,175.</t>
        </is>
      </c>
      <c r="L51" s="7" t="inlineStr">
        <is>
          <t>2026-06-25</t>
        </is>
      </c>
      <c r="M51" s="7" t="n">
        <v>1175</v>
      </c>
      <c r="N51" s="7">
        <f>IFERROR(INDEX('Source Ledger'!$G$5:$G$200,MATCH(A51,'Source Ledger'!$B$5:$B$200,0)),"")</f>
        <v>930.51</v>
      </c>
      <c r="O51" s="7">
        <f>IFERROR(INDEX('Source Ledger'!$A$5:$A$200,MATCH(A51,'Source Ledger'!$B$5:$B$200,0)),"")</f>
        <v/>
      </c>
      <c r="P51" s="7">
        <f>IFERROR(INDEX('Source Ledger'!$D$5:$D$200,MATCH(A51,'Source Ledger'!$B$5:$B$200,0)),"")</f>
        <v/>
      </c>
      <c r="Q51" s="9" t="inlineStr">
        <is>
          <t>High</t>
        </is>
      </c>
      <c r="R51" s="7" t="inlineStr">
        <is>
          <t>EX-0027</t>
        </is>
      </c>
      <c r="S51" s="7" t="inlineStr">
        <is>
          <t>Yes</t>
        </is>
      </c>
      <c r="T51">
        <f>IFERROR(INDEX('Source Ledger'!$E$5:$E$200,MATCH(A51,'Source Ledger'!$B$5:$B$200,0)),"")</f>
        <v>1175</v>
      </c>
      <c r="U51">
        <f>IFERROR(INDEX('Source Ledger'!$H$5:$H$200,MATCH(A51,'Source Ledger'!$B$5:$B$200,0)),"")</f>
        <v/>
      </c>
      <c r="V51">
        <f>IFERROR(INDEX('Source Ledger'!$G$5:$G$200,MATCH(A51,'Source Ledger'!$B$5:$B$200,0)),"")</f>
        <v>930.51</v>
      </c>
      <c r="W51">
        <f>IF(T51="","",T51-M51)</f>
        <v>0</v>
      </c>
      <c r="X51">
        <f>IF(V51="","No","Yes")</f>
        <v/>
      </c>
    </row>
    <row r="52">
      <c r="A52" s="7" t="inlineStr">
        <is>
          <t>MD-00048</t>
        </is>
      </c>
      <c r="B52" s="7" t="inlineStr">
        <is>
          <t>MD-NE-050048</t>
        </is>
      </c>
      <c r="C52" s="7" t="inlineStr">
        <is>
          <t>Mobile Device</t>
        </is>
      </c>
      <c r="D52" s="7" t="inlineStr">
        <is>
          <t>iPhone 15</t>
        </is>
      </c>
      <c r="E52" s="7" t="n"/>
      <c r="F52" s="7" t="inlineStr">
        <is>
          <t>Chicago - Closed</t>
        </is>
      </c>
      <c r="G52" s="7" t="inlineStr">
        <is>
          <t>Available</t>
        </is>
      </c>
      <c r="H52" s="7" t="inlineStr">
        <is>
          <t>IT Stock</t>
        </is>
      </c>
      <c r="I52" s="7" t="inlineStr">
        <is>
          <t>Atlanta</t>
        </is>
      </c>
      <c r="J52" s="7" t="inlineStr">
        <is>
          <t>Available</t>
        </is>
      </c>
      <c r="K52" s="7" t="inlineStr">
        <is>
          <t>Cross-checked MD-00048 to source systems. PO PO-2022-0009. Ledger FA-000048. Move TR-00048. Outcome Available in Atlanta ($6,470).</t>
        </is>
      </c>
      <c r="L52" s="7" t="inlineStr">
        <is>
          <t>2026-01-02</t>
        </is>
      </c>
      <c r="M52" s="7" t="n">
        <v>6470</v>
      </c>
      <c r="N52" s="7">
        <f>IFERROR(INDEX('Source Ledger'!$G$5:$G$200,MATCH(A52,'Source Ledger'!$B$5:$B$200,0)),"")</f>
        <v>514.59</v>
      </c>
      <c r="O52" s="7">
        <f>IFERROR(INDEX('Source Ledger'!$A$5:$A$200,MATCH(A52,'Source Ledger'!$B$5:$B$200,0)),"")</f>
        <v/>
      </c>
      <c r="P52" s="7">
        <f>IFERROR(INDEX('Source Ledger'!$D$5:$D$200,MATCH(A52,'Source Ledger'!$B$5:$B$200,0)),"")</f>
        <v/>
      </c>
      <c r="Q52" s="9" t="inlineStr">
        <is>
          <t>High</t>
        </is>
      </c>
      <c r="R52" s="7" t="inlineStr">
        <is>
          <t>EX-0028</t>
        </is>
      </c>
      <c r="S52" s="7" t="inlineStr">
        <is>
          <t>Yes</t>
        </is>
      </c>
      <c r="T52">
        <f>IFERROR(INDEX('Source Ledger'!$E$5:$E$200,MATCH(A52,'Source Ledger'!$B$5:$B$200,0)),"")</f>
        <v>6470</v>
      </c>
      <c r="U52">
        <f>IFERROR(INDEX('Source Ledger'!$H$5:$H$200,MATCH(A52,'Source Ledger'!$B$5:$B$200,0)),"")</f>
        <v/>
      </c>
      <c r="V52">
        <f>IFERROR(INDEX('Source Ledger'!$G$5:$G$200,MATCH(A52,'Source Ledger'!$B$5:$B$200,0)),"")</f>
        <v>514.59</v>
      </c>
      <c r="W52">
        <f>IF(T52="","",T52-M52)</f>
        <v>0</v>
      </c>
      <c r="X52">
        <f>IF(V52="","No","Yes")</f>
        <v/>
      </c>
    </row>
    <row r="53">
      <c r="A53" s="7" t="inlineStr">
        <is>
          <t>MD-00049</t>
        </is>
      </c>
      <c r="B53" s="7" t="inlineStr">
        <is>
          <t>MD-LA-050049</t>
        </is>
      </c>
      <c r="C53" s="7" t="inlineStr">
        <is>
          <t>Mobile Device</t>
        </is>
      </c>
      <c r="D53" s="7" t="inlineStr">
        <is>
          <t>Google Pixel 8</t>
        </is>
      </c>
      <c r="E53" s="7" t="n"/>
      <c r="F53" s="7" t="inlineStr">
        <is>
          <t>Denver - Closed</t>
        </is>
      </c>
      <c r="G53" s="7" t="inlineStr">
        <is>
          <t>Available</t>
        </is>
      </c>
      <c r="H53" s="7" t="inlineStr">
        <is>
          <t>IT Stock</t>
        </is>
      </c>
      <c r="I53" s="7" t="inlineStr">
        <is>
          <t>Chicago</t>
        </is>
      </c>
      <c r="J53" s="7" t="inlineStr">
        <is>
          <t>Available</t>
        </is>
      </c>
      <c r="K53" s="7" t="inlineStr">
        <is>
          <t>Cross-checked MD-00049 to source systems. PO PO-2022-0009. Ledger FA-000049. Outcome Available in Chicago ($1,850).</t>
        </is>
      </c>
      <c r="L53" s="7" t="inlineStr">
        <is>
          <t>2026-02-03</t>
        </is>
      </c>
      <c r="M53" s="7" t="n">
        <v>1850</v>
      </c>
      <c r="N53" s="7">
        <f>IFERROR(INDEX('Source Ledger'!$G$5:$G$200,MATCH(A53,'Source Ledger'!$B$5:$B$200,0)),"")</f>
        <v>0</v>
      </c>
      <c r="O53" s="7">
        <f>IFERROR(INDEX('Source Ledger'!$A$5:$A$200,MATCH(A53,'Source Ledger'!$B$5:$B$200,0)),"")</f>
        <v/>
      </c>
      <c r="P53" s="7">
        <f>IFERROR(INDEX('Source Ledger'!$D$5:$D$200,MATCH(A53,'Source Ledger'!$B$5:$B$200,0)),"")</f>
        <v/>
      </c>
      <c r="Q53" s="9" t="inlineStr">
        <is>
          <t>High</t>
        </is>
      </c>
      <c r="R53" s="7" t="inlineStr">
        <is>
          <t>EX-0029</t>
        </is>
      </c>
      <c r="S53" s="7" t="inlineStr">
        <is>
          <t>Yes</t>
        </is>
      </c>
      <c r="T53">
        <f>IFERROR(INDEX('Source Ledger'!$E$5:$E$200,MATCH(A53,'Source Ledger'!$B$5:$B$200,0)),"")</f>
        <v>1850</v>
      </c>
      <c r="U53">
        <f>IFERROR(INDEX('Source Ledger'!$H$5:$H$200,MATCH(A53,'Source Ledger'!$B$5:$B$200,0)),"")</f>
        <v/>
      </c>
      <c r="V53">
        <f>IFERROR(INDEX('Source Ledger'!$G$5:$G$200,MATCH(A53,'Source Ledger'!$B$5:$B$200,0)),"")</f>
        <v>0</v>
      </c>
      <c r="W53">
        <f>IF(T53="","",T53-M53)</f>
        <v>0</v>
      </c>
      <c r="X53">
        <f>IF(V53="","No","Yes")</f>
        <v/>
      </c>
    </row>
    <row r="54">
      <c r="A54" s="7" t="inlineStr">
        <is>
          <t>MD-00050</t>
        </is>
      </c>
      <c r="B54" s="7" t="inlineStr">
        <is>
          <t>MD-MO-050050</t>
        </is>
      </c>
      <c r="C54" s="7" t="inlineStr">
        <is>
          <t>Mobile Device</t>
        </is>
      </c>
      <c r="D54" s="7" t="inlineStr">
        <is>
          <t>iPhone 14</t>
        </is>
      </c>
      <c r="E54" s="7" t="n"/>
      <c r="F54" s="7" t="inlineStr">
        <is>
          <t>Chicago - Closed</t>
        </is>
      </c>
      <c r="G54" s="7" t="inlineStr">
        <is>
          <t>Available</t>
        </is>
      </c>
      <c r="H54" s="7" t="inlineStr">
        <is>
          <t>IT Stock</t>
        </is>
      </c>
      <c r="I54" s="7" t="inlineStr">
        <is>
          <t>Dallas</t>
        </is>
      </c>
      <c r="J54" s="7" t="inlineStr">
        <is>
          <t>Available</t>
        </is>
      </c>
      <c r="K54" s="7" t="inlineStr">
        <is>
          <t>Evidence for MD-00050 is piecewise: inventory cost $565, FA FA-000050, PO PO-2023-0010, TR TR-00050, HR status Available, site Dallas.</t>
        </is>
      </c>
      <c r="L54" s="7" t="inlineStr">
        <is>
          <t>2026-03-04</t>
        </is>
      </c>
      <c r="M54" s="7" t="n">
        <v>565</v>
      </c>
      <c r="N54" s="7">
        <f>IFERROR(INDEX('Source Ledger'!$G$5:$G$200,MATCH(A54,'Source Ledger'!$B$5:$B$200,0)),"")</f>
        <v>289.96</v>
      </c>
      <c r="O54" s="7">
        <f>IFERROR(INDEX('Source Ledger'!$A$5:$A$200,MATCH(A54,'Source Ledger'!$B$5:$B$200,0)),"")</f>
        <v/>
      </c>
      <c r="P54" s="7">
        <f>IFERROR(INDEX('Source Ledger'!$D$5:$D$200,MATCH(A54,'Source Ledger'!$B$5:$B$200,0)),"")</f>
        <v/>
      </c>
      <c r="Q54" s="9" t="inlineStr">
        <is>
          <t>High</t>
        </is>
      </c>
      <c r="R54" s="7" t="inlineStr">
        <is>
          <t>EX-0030</t>
        </is>
      </c>
      <c r="S54" s="7" t="inlineStr">
        <is>
          <t>Yes</t>
        </is>
      </c>
      <c r="T54">
        <f>IFERROR(INDEX('Source Ledger'!$E$5:$E$200,MATCH(A54,'Source Ledger'!$B$5:$B$200,0)),"")</f>
        <v>565</v>
      </c>
      <c r="U54">
        <f>IFERROR(INDEX('Source Ledger'!$H$5:$H$200,MATCH(A54,'Source Ledger'!$B$5:$B$200,0)),"")</f>
        <v/>
      </c>
      <c r="V54">
        <f>IFERROR(INDEX('Source Ledger'!$G$5:$G$200,MATCH(A54,'Source Ledger'!$B$5:$B$200,0)),"")</f>
        <v>289.96</v>
      </c>
      <c r="W54">
        <f>IF(T54="","",T54-M54)</f>
        <v>0</v>
      </c>
      <c r="X54">
        <f>IF(V54="","No","Yes")</f>
        <v/>
      </c>
    </row>
    <row r="55">
      <c r="A55" s="7" t="inlineStr">
        <is>
          <t>MD-00051</t>
        </is>
      </c>
      <c r="B55" s="7" t="inlineStr">
        <is>
          <t>MD-MO-050051</t>
        </is>
      </c>
      <c r="C55" s="7" t="inlineStr">
        <is>
          <t>Mobile Device</t>
        </is>
      </c>
      <c r="D55" s="7" t="inlineStr">
        <is>
          <t>Samsung Galaxy S24</t>
        </is>
      </c>
      <c r="E55" s="7" t="n"/>
      <c r="F55" s="7" t="inlineStr">
        <is>
          <t>Denver - Closed</t>
        </is>
      </c>
      <c r="G55" s="7" t="inlineStr">
        <is>
          <t>Available</t>
        </is>
      </c>
      <c r="H55" s="7" t="inlineStr">
        <is>
          <t>IT Stock</t>
        </is>
      </c>
      <c r="I55" s="7" t="inlineStr">
        <is>
          <t>Denver</t>
        </is>
      </c>
      <c r="J55" s="7" t="inlineStr">
        <is>
          <t>Available</t>
        </is>
      </c>
      <c r="K55" s="7" t="inlineStr">
        <is>
          <t>Validated MD-00051 against available PO/FA/HR/transfer rows. Model Samsung Galaxy S24. shows Available in Denver. Acquisition $1,040.</t>
        </is>
      </c>
      <c r="L55" s="7" t="inlineStr">
        <is>
          <t>2026-04-05</t>
        </is>
      </c>
      <c r="M55" s="7" t="n">
        <v>1040</v>
      </c>
      <c r="N55" s="7">
        <f>IFERROR(INDEX('Source Ledger'!$G$5:$G$200,MATCH(A55,'Source Ledger'!$B$5:$B$200,0)),"")</f>
        <v>573.03</v>
      </c>
      <c r="O55" s="7">
        <f>IFERROR(INDEX('Source Ledger'!$A$5:$A$200,MATCH(A55,'Source Ledger'!$B$5:$B$200,0)),"")</f>
        <v/>
      </c>
      <c r="P55" s="7">
        <f>IFERROR(INDEX('Source Ledger'!$D$5:$D$200,MATCH(A55,'Source Ledger'!$B$5:$B$200,0)),"")</f>
        <v/>
      </c>
      <c r="Q55" s="9" t="inlineStr">
        <is>
          <t>High</t>
        </is>
      </c>
      <c r="R55" s="7" t="inlineStr">
        <is>
          <t>EX-0031, EX-0032</t>
        </is>
      </c>
      <c r="S55" s="7" t="inlineStr">
        <is>
          <t>Yes</t>
        </is>
      </c>
      <c r="T55">
        <f>IFERROR(INDEX('Source Ledger'!$E$5:$E$200,MATCH(A55,'Source Ledger'!$B$5:$B$200,0)),"")</f>
        <v>1250</v>
      </c>
      <c r="U55">
        <f>IFERROR(INDEX('Source Ledger'!$H$5:$H$200,MATCH(A55,'Source Ledger'!$B$5:$B$200,0)),"")</f>
        <v/>
      </c>
      <c r="V55">
        <f>IFERROR(INDEX('Source Ledger'!$G$5:$G$200,MATCH(A55,'Source Ledger'!$B$5:$B$200,0)),"")</f>
        <v>573.03</v>
      </c>
      <c r="W55">
        <f>IF(T55="","",T55-M55)</f>
        <v>210</v>
      </c>
      <c r="X55">
        <f>IF(V55="","No","Yes")</f>
        <v/>
      </c>
    </row>
    <row r="56">
      <c r="A56" s="7" t="inlineStr">
        <is>
          <t>MD-00052</t>
        </is>
      </c>
      <c r="B56" s="7" t="inlineStr">
        <is>
          <t>MD-NE-050052</t>
        </is>
      </c>
      <c r="C56" s="7" t="inlineStr">
        <is>
          <t>Mobile Device</t>
        </is>
      </c>
      <c r="D56" s="7" t="inlineStr">
        <is>
          <t>iPhone 15</t>
        </is>
      </c>
      <c r="E56" s="7" t="n"/>
      <c r="F56" s="7" t="inlineStr">
        <is>
          <t>Chicago - Closed</t>
        </is>
      </c>
      <c r="G56" s="7" t="inlineStr">
        <is>
          <t>Available</t>
        </is>
      </c>
      <c r="H56" s="7" t="inlineStr">
        <is>
          <t>IT Stock</t>
        </is>
      </c>
      <c r="I56" s="7" t="inlineStr">
        <is>
          <t>New York</t>
        </is>
      </c>
      <c r="J56" s="7" t="inlineStr">
        <is>
          <t>Available</t>
        </is>
      </c>
      <c r="K56" s="7" t="inlineStr">
        <is>
          <t>Cross-checked MD-00052 to source systems. Ledger FA-000052. Move TR-00052. Outcome Available in New York ($6,335).</t>
        </is>
      </c>
      <c r="L56" s="7" t="inlineStr">
        <is>
          <t>2026-05-06</t>
        </is>
      </c>
      <c r="M56" s="7" t="n">
        <v>6335</v>
      </c>
      <c r="N56" s="7">
        <f>IFERROR(INDEX('Source Ledger'!$G$5:$G$200,MATCH(A56,'Source Ledger'!$B$5:$B$200,0)),"")</f>
        <v>933.99</v>
      </c>
      <c r="O56" s="7">
        <f>IFERROR(INDEX('Source Ledger'!$A$5:$A$200,MATCH(A56,'Source Ledger'!$B$5:$B$200,0)),"")</f>
        <v/>
      </c>
      <c r="P56" s="7">
        <f>IFERROR(INDEX('Source Ledger'!$D$5:$D$200,MATCH(A56,'Source Ledger'!$B$5:$B$200,0)),"")</f>
        <v/>
      </c>
      <c r="Q56" s="9" t="inlineStr">
        <is>
          <t>High</t>
        </is>
      </c>
      <c r="R56" s="7" t="inlineStr">
        <is>
          <t>EX-0033</t>
        </is>
      </c>
      <c r="S56" s="7" t="inlineStr">
        <is>
          <t>Yes</t>
        </is>
      </c>
      <c r="T56">
        <f>IFERROR(INDEX('Source Ledger'!$E$5:$E$200,MATCH(A56,'Source Ledger'!$B$5:$B$200,0)),"")</f>
        <v>6335</v>
      </c>
      <c r="U56">
        <f>IFERROR(INDEX('Source Ledger'!$H$5:$H$200,MATCH(A56,'Source Ledger'!$B$5:$B$200,0)),"")</f>
        <v/>
      </c>
      <c r="V56">
        <f>IFERROR(INDEX('Source Ledger'!$G$5:$G$200,MATCH(A56,'Source Ledger'!$B$5:$B$200,0)),"")</f>
        <v>933.99</v>
      </c>
      <c r="W56">
        <f>IF(T56="","",T56-M56)</f>
        <v>0</v>
      </c>
      <c r="X56">
        <f>IF(V56="","No","Yes")</f>
        <v/>
      </c>
    </row>
    <row r="57">
      <c r="A57" s="7" t="inlineStr">
        <is>
          <t>MD-00053</t>
        </is>
      </c>
      <c r="B57" s="7" t="inlineStr">
        <is>
          <t>MD-LA-050053</t>
        </is>
      </c>
      <c r="C57" s="7" t="inlineStr">
        <is>
          <t>Mobile Device</t>
        </is>
      </c>
      <c r="D57" s="7" t="inlineStr">
        <is>
          <t>Google Pixel 8</t>
        </is>
      </c>
      <c r="E57" s="7" t="n"/>
      <c r="F57" s="7" t="inlineStr">
        <is>
          <t>Denver - Closed</t>
        </is>
      </c>
      <c r="G57" s="7" t="inlineStr">
        <is>
          <t>Available</t>
        </is>
      </c>
      <c r="H57" s="7" t="inlineStr">
        <is>
          <t>IT Stock</t>
        </is>
      </c>
      <c r="I57" s="7" t="inlineStr">
        <is>
          <t>Seattle</t>
        </is>
      </c>
      <c r="J57" s="7" t="inlineStr">
        <is>
          <t>Available</t>
        </is>
      </c>
      <c r="K57" s="7" t="inlineStr">
        <is>
          <t>Cross-checked MD-00053 to source systems. PO PO-2024-0011. Move TR-00053. Outcome Available in Seattle ($2,030).</t>
        </is>
      </c>
      <c r="L57" s="7" t="inlineStr">
        <is>
          <t>2026-06-07</t>
        </is>
      </c>
      <c r="M57" s="7" t="n">
        <v>2030</v>
      </c>
      <c r="N57" s="7">
        <f>IFERROR(INDEX('Source Ledger'!$G$5:$G$200,MATCH(A57,'Source Ledger'!$B$5:$B$200,0)),"")</f>
        <v>0</v>
      </c>
      <c r="O57" s="7">
        <f>IFERROR(INDEX('Source Ledger'!$A$5:$A$200,MATCH(A57,'Source Ledger'!$B$5:$B$200,0)),"")</f>
        <v/>
      </c>
      <c r="P57" s="7">
        <f>IFERROR(INDEX('Source Ledger'!$D$5:$D$200,MATCH(A57,'Source Ledger'!$B$5:$B$200,0)),"")</f>
        <v/>
      </c>
      <c r="Q57" s="9" t="inlineStr">
        <is>
          <t>High</t>
        </is>
      </c>
      <c r="R57" s="7" t="inlineStr">
        <is>
          <t>EX-0034</t>
        </is>
      </c>
      <c r="S57" s="7" t="inlineStr">
        <is>
          <t>Yes</t>
        </is>
      </c>
      <c r="T57">
        <f>IFERROR(INDEX('Source Ledger'!$E$5:$E$200,MATCH(A57,'Source Ledger'!$B$5:$B$200,0)),"")</f>
        <v>2030</v>
      </c>
      <c r="U57">
        <f>IFERROR(INDEX('Source Ledger'!$H$5:$H$200,MATCH(A57,'Source Ledger'!$B$5:$B$200,0)),"")</f>
        <v/>
      </c>
      <c r="V57">
        <f>IFERROR(INDEX('Source Ledger'!$G$5:$G$200,MATCH(A57,'Source Ledger'!$B$5:$B$200,0)),"")</f>
        <v>0</v>
      </c>
      <c r="W57">
        <f>IF(T57="","",T57-M57)</f>
        <v>0</v>
      </c>
      <c r="X57">
        <f>IF(V57="","No","Yes")</f>
        <v/>
      </c>
    </row>
    <row r="58">
      <c r="A58" s="7" t="inlineStr">
        <is>
          <t>MD-00054</t>
        </is>
      </c>
      <c r="B58" s="7" t="inlineStr">
        <is>
          <t>MD-MO-050054</t>
        </is>
      </c>
      <c r="C58" s="7" t="inlineStr">
        <is>
          <t>Mobile Device</t>
        </is>
      </c>
      <c r="D58" s="7" t="inlineStr">
        <is>
          <t>Samsung Galaxy S23 FE</t>
        </is>
      </c>
      <c r="E58" s="7" t="n"/>
      <c r="F58" s="7" t="inlineStr">
        <is>
          <t>Chicago - Closed</t>
        </is>
      </c>
      <c r="G58" s="7" t="inlineStr">
        <is>
          <t>Available</t>
        </is>
      </c>
      <c r="H58" s="7" t="inlineStr">
        <is>
          <t>IT Stock</t>
        </is>
      </c>
      <c r="I58" s="7" t="inlineStr">
        <is>
          <t>Atlanta</t>
        </is>
      </c>
      <c r="J58" s="7" t="inlineStr">
        <is>
          <t>Available</t>
        </is>
      </c>
      <c r="K58" s="7" t="inlineStr">
        <is>
          <t>Working evidence note on MD-00054: Samsung Galaxy S23 FE; Available @ Atlanta; FA-000054; TR-00054; basis $745.</t>
        </is>
      </c>
      <c r="L58" s="7" t="inlineStr">
        <is>
          <t>2026-01-08</t>
        </is>
      </c>
      <c r="M58" s="7" t="n">
        <v>745</v>
      </c>
      <c r="N58" s="7">
        <f>IFERROR(INDEX('Source Ledger'!$G$5:$G$200,MATCH(A58,'Source Ledger'!$B$5:$B$200,0)),"")</f>
        <v>433.74</v>
      </c>
      <c r="O58" s="7">
        <f>IFERROR(INDEX('Source Ledger'!$A$5:$A$200,MATCH(A58,'Source Ledger'!$B$5:$B$200,0)),"")</f>
        <v/>
      </c>
      <c r="P58" s="7">
        <f>IFERROR(INDEX('Source Ledger'!$D$5:$D$200,MATCH(A58,'Source Ledger'!$B$5:$B$200,0)),"")</f>
        <v/>
      </c>
      <c r="Q58" s="9" t="inlineStr">
        <is>
          <t>High</t>
        </is>
      </c>
      <c r="R58" s="7" t="inlineStr">
        <is>
          <t>EX-0035</t>
        </is>
      </c>
      <c r="S58" s="7" t="inlineStr">
        <is>
          <t>Yes</t>
        </is>
      </c>
      <c r="T58">
        <f>IFERROR(INDEX('Source Ledger'!$E$5:$E$200,MATCH(A58,'Source Ledger'!$B$5:$B$200,0)),"")</f>
        <v>745</v>
      </c>
      <c r="U58">
        <f>IFERROR(INDEX('Source Ledger'!$H$5:$H$200,MATCH(A58,'Source Ledger'!$B$5:$B$200,0)),"")</f>
        <v/>
      </c>
      <c r="V58">
        <f>IFERROR(INDEX('Source Ledger'!$G$5:$G$200,MATCH(A58,'Source Ledger'!$B$5:$B$200,0)),"")</f>
        <v>433.74</v>
      </c>
      <c r="W58">
        <f>IF(T58="","",T58-M58)</f>
        <v>0</v>
      </c>
      <c r="X58">
        <f>IF(V58="","No","Yes")</f>
        <v/>
      </c>
    </row>
    <row r="59">
      <c r="A59" s="7" t="inlineStr">
        <is>
          <t>MD-00055</t>
        </is>
      </c>
      <c r="B59" s="7" t="inlineStr">
        <is>
          <t>MD-MO-050055</t>
        </is>
      </c>
      <c r="C59" s="7" t="inlineStr">
        <is>
          <t>Mobile Device</t>
        </is>
      </c>
      <c r="D59" s="7" t="inlineStr">
        <is>
          <t>iPhone 14</t>
        </is>
      </c>
      <c r="E59" s="7" t="n"/>
      <c r="F59" s="7" t="inlineStr">
        <is>
          <t>Denver - Closed</t>
        </is>
      </c>
      <c r="G59" s="7" t="inlineStr">
        <is>
          <t>Available</t>
        </is>
      </c>
      <c r="H59" s="7" t="inlineStr">
        <is>
          <t>IT Stock</t>
        </is>
      </c>
      <c r="I59" s="7" t="inlineStr">
        <is>
          <t>Chicago</t>
        </is>
      </c>
      <c r="J59" s="7" t="inlineStr">
        <is>
          <t>Available</t>
        </is>
      </c>
      <c r="K59" s="7" t="inlineStr">
        <is>
          <t>Working evidence note on MD-00055: iPhone 14; Available @ Chicago; PO-2024-0011; TR-00055; basis $1,220.</t>
        </is>
      </c>
      <c r="L59" s="7" t="inlineStr">
        <is>
          <t>2026-02-09</t>
        </is>
      </c>
      <c r="M59" s="7" t="n">
        <v>1220</v>
      </c>
      <c r="N59" s="7">
        <f>IFERROR(INDEX('Source Ledger'!$G$5:$G$200,MATCH(A59,'Source Ledger'!$B$5:$B$200,0)),"")</f>
        <v>812.5</v>
      </c>
      <c r="O59" s="7">
        <f>IFERROR(INDEX('Source Ledger'!$A$5:$A$200,MATCH(A59,'Source Ledger'!$B$5:$B$200,0)),"")</f>
        <v/>
      </c>
      <c r="P59" s="7">
        <f>IFERROR(INDEX('Source Ledger'!$D$5:$D$200,MATCH(A59,'Source Ledger'!$B$5:$B$200,0)),"")</f>
        <v/>
      </c>
      <c r="Q59" s="9" t="inlineStr">
        <is>
          <t>High</t>
        </is>
      </c>
      <c r="R59" s="7" t="inlineStr">
        <is>
          <t>EX-0036</t>
        </is>
      </c>
      <c r="S59" s="7" t="inlineStr">
        <is>
          <t>Yes</t>
        </is>
      </c>
      <c r="T59">
        <f>IFERROR(INDEX('Source Ledger'!$E$5:$E$200,MATCH(A59,'Source Ledger'!$B$5:$B$200,0)),"")</f>
        <v>1220</v>
      </c>
      <c r="U59">
        <f>IFERROR(INDEX('Source Ledger'!$H$5:$H$200,MATCH(A59,'Source Ledger'!$B$5:$B$200,0)),"")</f>
        <v/>
      </c>
      <c r="V59">
        <f>IFERROR(INDEX('Source Ledger'!$G$5:$G$200,MATCH(A59,'Source Ledger'!$B$5:$B$200,0)),"")</f>
        <v>812.5</v>
      </c>
      <c r="W59">
        <f>IF(T59="","",T59-M59)</f>
        <v>0</v>
      </c>
      <c r="X59">
        <f>IF(V59="","No","Yes")</f>
        <v/>
      </c>
    </row>
    <row r="60">
      <c r="A60" s="7" t="inlineStr">
        <is>
          <t>MD-00056</t>
        </is>
      </c>
      <c r="B60" s="7" t="inlineStr">
        <is>
          <t>MD-NE-050056</t>
        </is>
      </c>
      <c r="C60" s="7" t="inlineStr">
        <is>
          <t>Mobile Device</t>
        </is>
      </c>
      <c r="D60" s="7" t="inlineStr">
        <is>
          <t>Samsung Galaxy S24</t>
        </is>
      </c>
      <c r="E60" s="7" t="n"/>
      <c r="F60" s="7" t="inlineStr">
        <is>
          <t>Chicago - Closed</t>
        </is>
      </c>
      <c r="G60" s="7" t="inlineStr">
        <is>
          <t>Available</t>
        </is>
      </c>
      <c r="H60" s="7" t="inlineStr">
        <is>
          <t>IT Stock</t>
        </is>
      </c>
      <c r="I60" s="7" t="inlineStr">
        <is>
          <t>Dallas</t>
        </is>
      </c>
      <c r="J60" s="7" t="inlineStr">
        <is>
          <t>Available</t>
        </is>
      </c>
      <c r="K60" s="7" t="inlineStr">
        <is>
          <t>MD-00056 evidence drawn from PO-2024-0011 / FA-000056. HR/location reading Available/Dallas. Move TR-00056. Cost $6,200.</t>
        </is>
      </c>
      <c r="L60" s="7" t="inlineStr">
        <is>
          <t>2026-03-10</t>
        </is>
      </c>
      <c r="M60" s="7" t="n">
        <v>6200</v>
      </c>
      <c r="N60" s="7">
        <f>IFERROR(INDEX('Source Ledger'!$G$5:$G$200,MATCH(A60,'Source Ledger'!$B$5:$B$200,0)),"")</f>
        <v>1345.24</v>
      </c>
      <c r="O60" s="7">
        <f>IFERROR(INDEX('Source Ledger'!$A$5:$A$200,MATCH(A60,'Source Ledger'!$B$5:$B$200,0)),"")</f>
        <v/>
      </c>
      <c r="P60" s="7">
        <f>IFERROR(INDEX('Source Ledger'!$D$5:$D$200,MATCH(A60,'Source Ledger'!$B$5:$B$200,0)),"")</f>
        <v/>
      </c>
      <c r="Q60" s="9" t="inlineStr">
        <is>
          <t>High</t>
        </is>
      </c>
      <c r="R60" s="7" t="inlineStr">
        <is>
          <t>EX-0037</t>
        </is>
      </c>
      <c r="S60" s="7" t="inlineStr">
        <is>
          <t>Yes</t>
        </is>
      </c>
      <c r="T60">
        <f>IFERROR(INDEX('Source Ledger'!$E$5:$E$200,MATCH(A60,'Source Ledger'!$B$5:$B$200,0)),"")</f>
        <v>6200</v>
      </c>
      <c r="U60">
        <f>IFERROR(INDEX('Source Ledger'!$H$5:$H$200,MATCH(A60,'Source Ledger'!$B$5:$B$200,0)),"")</f>
        <v/>
      </c>
      <c r="V60">
        <f>IFERROR(INDEX('Source Ledger'!$G$5:$G$200,MATCH(A60,'Source Ledger'!$B$5:$B$200,0)),"")</f>
        <v>1345.24</v>
      </c>
      <c r="W60">
        <f>IF(T60="","",T60-M60)</f>
        <v>0</v>
      </c>
      <c r="X60">
        <f>IF(V60="","No","Yes")</f>
        <v/>
      </c>
    </row>
    <row r="61">
      <c r="A61" s="7" t="inlineStr">
        <is>
          <t>MD-00057</t>
        </is>
      </c>
      <c r="B61" s="7" t="inlineStr">
        <is>
          <t>MD-LA-050057</t>
        </is>
      </c>
      <c r="C61" s="7" t="inlineStr">
        <is>
          <t>Mobile Device</t>
        </is>
      </c>
      <c r="D61" s="7" t="inlineStr">
        <is>
          <t>iPhone 15</t>
        </is>
      </c>
      <c r="E61" s="7" t="n"/>
      <c r="F61" s="7" t="inlineStr">
        <is>
          <t>Denver - Closed</t>
        </is>
      </c>
      <c r="G61" s="7" t="inlineStr">
        <is>
          <t>Available</t>
        </is>
      </c>
      <c r="H61" s="7" t="inlineStr">
        <is>
          <t>IT Stock</t>
        </is>
      </c>
      <c r="I61" s="7" t="inlineStr">
        <is>
          <t>Denver</t>
        </is>
      </c>
      <c r="J61" s="7" t="inlineStr">
        <is>
          <t>Available</t>
        </is>
      </c>
      <c r="K61" s="7" t="inlineStr">
        <is>
          <t>Validated MD-00057 against available PO/FA/HR/transfer rows. Model iPhone 15. shows Available in Denver. Acquisition $1,895.</t>
        </is>
      </c>
      <c r="L61" s="7" t="inlineStr">
        <is>
          <t>2026-04-11</t>
        </is>
      </c>
      <c r="M61" s="7" t="n">
        <v>1895</v>
      </c>
      <c r="N61" s="7">
        <f>IFERROR(INDEX('Source Ledger'!$G$5:$G$200,MATCH(A61,'Source Ledger'!$B$5:$B$200,0)),"")</f>
        <v>106.79</v>
      </c>
      <c r="O61" s="7">
        <f>IFERROR(INDEX('Source Ledger'!$A$5:$A$200,MATCH(A61,'Source Ledger'!$B$5:$B$200,0)),"")</f>
        <v/>
      </c>
      <c r="P61" s="7">
        <f>IFERROR(INDEX('Source Ledger'!$D$5:$D$200,MATCH(A61,'Source Ledger'!$B$5:$B$200,0)),"")</f>
        <v/>
      </c>
      <c r="Q61" s="9" t="inlineStr">
        <is>
          <t>High</t>
        </is>
      </c>
      <c r="R61" s="7" t="inlineStr">
        <is>
          <t>EX-0038</t>
        </is>
      </c>
      <c r="S61" s="7" t="inlineStr">
        <is>
          <t>Yes</t>
        </is>
      </c>
      <c r="T61">
        <f>IFERROR(INDEX('Source Ledger'!$E$5:$E$200,MATCH(A61,'Source Ledger'!$B$5:$B$200,0)),"")</f>
        <v>1895</v>
      </c>
      <c r="U61">
        <f>IFERROR(INDEX('Source Ledger'!$H$5:$H$200,MATCH(A61,'Source Ledger'!$B$5:$B$200,0)),"")</f>
        <v/>
      </c>
      <c r="V61">
        <f>IFERROR(INDEX('Source Ledger'!$G$5:$G$200,MATCH(A61,'Source Ledger'!$B$5:$B$200,0)),"")</f>
        <v>106.79</v>
      </c>
      <c r="W61">
        <f>IF(T61="","",T61-M61)</f>
        <v>0</v>
      </c>
      <c r="X61">
        <f>IF(V61="","No","Yes")</f>
        <v/>
      </c>
    </row>
    <row r="62">
      <c r="A62" s="7" t="inlineStr">
        <is>
          <t>MD-00058</t>
        </is>
      </c>
      <c r="B62" s="7" t="inlineStr">
        <is>
          <t>MD-MO-050058</t>
        </is>
      </c>
      <c r="C62" s="7" t="inlineStr">
        <is>
          <t>Mobile Device</t>
        </is>
      </c>
      <c r="D62" s="7" t="inlineStr">
        <is>
          <t>Google Pixel 8</t>
        </is>
      </c>
      <c r="E62" s="7" t="inlineStr">
        <is>
          <t>E0071</t>
        </is>
      </c>
      <c r="F62" s="7" t="inlineStr">
        <is>
          <t>Chicago - Closed</t>
        </is>
      </c>
      <c r="G62" s="7" t="inlineStr">
        <is>
          <t>Assigned</t>
        </is>
      </c>
      <c r="H62" s="7" t="inlineStr">
        <is>
          <t>Regional IT</t>
        </is>
      </c>
      <c r="I62" s="7" t="inlineStr">
        <is>
          <t>New York</t>
        </is>
      </c>
      <c r="J62" s="7" t="inlineStr">
        <is>
          <t>Pending Redeployment</t>
        </is>
      </c>
      <c r="K62" s="7" t="inlineStr">
        <is>
          <t>Google Pixel 8 tagged MD-00058 reconciled using FA-000058+TR-00058+HR. Present state Pending Redeployment/New York, cost $610.</t>
        </is>
      </c>
      <c r="L62" s="7" t="inlineStr">
        <is>
          <t>2026-08-05</t>
        </is>
      </c>
      <c r="M62" s="7" t="n">
        <v>610</v>
      </c>
      <c r="N62" s="7">
        <f>IFERROR(INDEX('Source Ledger'!$G$5:$G$200,MATCH(A62,'Source Ledger'!$B$5:$B$200,0)),"")</f>
        <v>397.56</v>
      </c>
      <c r="O62" s="7">
        <f>IFERROR(INDEX('Source Ledger'!$A$5:$A$200,MATCH(A62,'Source Ledger'!$B$5:$B$200,0)),"")</f>
        <v/>
      </c>
      <c r="P62" s="7">
        <f>IFERROR(INDEX('Source Ledger'!$D$5:$D$200,MATCH(A62,'Source Ledger'!$B$5:$B$200,0)),"")</f>
        <v/>
      </c>
      <c r="Q62" s="7" t="inlineStr">
        <is>
          <t>Medium</t>
        </is>
      </c>
      <c r="R62" s="7" t="inlineStr">
        <is>
          <t>EX-0039, EX-0040, EX-0041</t>
        </is>
      </c>
      <c r="S62" s="7" t="inlineStr">
        <is>
          <t>Yes</t>
        </is>
      </c>
      <c r="T62">
        <f>IFERROR(INDEX('Source Ledger'!$E$5:$E$200,MATCH(A62,'Source Ledger'!$B$5:$B$200,0)),"")</f>
        <v>610</v>
      </c>
      <c r="U62">
        <f>IFERROR(INDEX('Source Ledger'!$H$5:$H$200,MATCH(A62,'Source Ledger'!$B$5:$B$200,0)),"")</f>
        <v/>
      </c>
      <c r="V62">
        <f>IFERROR(INDEX('Source Ledger'!$G$5:$G$200,MATCH(A62,'Source Ledger'!$B$5:$B$200,0)),"")</f>
        <v>397.56</v>
      </c>
      <c r="W62">
        <f>IF(T62="","",T62-M62)</f>
        <v>0</v>
      </c>
      <c r="X62">
        <f>IF(V62="","No","Yes")</f>
        <v/>
      </c>
    </row>
    <row r="63">
      <c r="A63" s="7" t="inlineStr">
        <is>
          <t>MD-00059</t>
        </is>
      </c>
      <c r="B63" s="7" t="inlineStr">
        <is>
          <t>MD-MO-050059</t>
        </is>
      </c>
      <c r="C63" s="7" t="inlineStr">
        <is>
          <t>Mobile Device</t>
        </is>
      </c>
      <c r="D63" s="7" t="inlineStr">
        <is>
          <t>Samsung Galaxy S23 FE</t>
        </is>
      </c>
      <c r="E63" s="7" t="inlineStr">
        <is>
          <t>E0072</t>
        </is>
      </c>
      <c r="F63" s="7" t="inlineStr">
        <is>
          <t>Denver - Closed</t>
        </is>
      </c>
      <c r="G63" s="7" t="inlineStr">
        <is>
          <t>Assigned</t>
        </is>
      </c>
      <c r="H63" s="7" t="inlineStr">
        <is>
          <t>Regional IT</t>
        </is>
      </c>
      <c r="I63" s="7" t="inlineStr">
        <is>
          <t>Seattle</t>
        </is>
      </c>
      <c r="J63" s="7" t="inlineStr">
        <is>
          <t>Pending Redeployment</t>
        </is>
      </c>
      <c r="K63" s="7" t="inlineStr">
        <is>
          <t>MD-00059 evidence drawn from PO-2024-0011. HR/location reading Pending Redeployment/Seattle. Move TR-00059. Cost $1,085.</t>
        </is>
      </c>
      <c r="L63" s="7" t="inlineStr">
        <is>
          <t>2026-08-05</t>
        </is>
      </c>
      <c r="M63" s="7" t="n">
        <v>1085</v>
      </c>
      <c r="N63" s="7">
        <f>IFERROR(INDEX('Source Ledger'!$G$5:$G$200,MATCH(A63,'Source Ledger'!$B$5:$B$200,0)),"")</f>
        <v>847.35</v>
      </c>
      <c r="O63" s="7">
        <f>IFERROR(INDEX('Source Ledger'!$A$5:$A$200,MATCH(A63,'Source Ledger'!$B$5:$B$200,0)),"")</f>
        <v/>
      </c>
      <c r="P63" s="7">
        <f>IFERROR(INDEX('Source Ledger'!$D$5:$D$200,MATCH(A63,'Source Ledger'!$B$5:$B$200,0)),"")</f>
        <v/>
      </c>
      <c r="Q63" s="7" t="inlineStr">
        <is>
          <t>Medium</t>
        </is>
      </c>
      <c r="R63" s="7" t="inlineStr">
        <is>
          <t>EX-0042, EX-0043, EX-0044</t>
        </is>
      </c>
      <c r="S63" s="7" t="inlineStr">
        <is>
          <t>Yes</t>
        </is>
      </c>
      <c r="T63">
        <f>IFERROR(INDEX('Source Ledger'!$E$5:$E$200,MATCH(A63,'Source Ledger'!$B$5:$B$200,0)),"")</f>
        <v>1085</v>
      </c>
      <c r="U63">
        <f>IFERROR(INDEX('Source Ledger'!$H$5:$H$200,MATCH(A63,'Source Ledger'!$B$5:$B$200,0)),"")</f>
        <v/>
      </c>
      <c r="V63">
        <f>IFERROR(INDEX('Source Ledger'!$G$5:$G$200,MATCH(A63,'Source Ledger'!$B$5:$B$200,0)),"")</f>
        <v>847.35</v>
      </c>
      <c r="W63">
        <f>IF(T63="","",T63-M63)</f>
        <v>0</v>
      </c>
      <c r="X63">
        <f>IF(V63="","No","Yes")</f>
        <v/>
      </c>
    </row>
    <row r="64">
      <c r="A64" s="7" t="inlineStr">
        <is>
          <t>MD-00060</t>
        </is>
      </c>
      <c r="B64" s="7" t="inlineStr">
        <is>
          <t>MD-NE-050060</t>
        </is>
      </c>
      <c r="C64" s="7" t="inlineStr">
        <is>
          <t>Mobile Device</t>
        </is>
      </c>
      <c r="D64" s="7" t="inlineStr">
        <is>
          <t>Samsung Galaxy S24</t>
        </is>
      </c>
      <c r="E64" s="7" t="inlineStr">
        <is>
          <t>E0073</t>
        </is>
      </c>
      <c r="F64" s="7" t="inlineStr">
        <is>
          <t>Chicago - Closed</t>
        </is>
      </c>
      <c r="G64" s="7" t="inlineStr">
        <is>
          <t>Assigned</t>
        </is>
      </c>
      <c r="H64" s="7" t="inlineStr">
        <is>
          <t>Regional IT</t>
        </is>
      </c>
      <c r="I64" s="7" t="inlineStr">
        <is>
          <t>Atlanta</t>
        </is>
      </c>
      <c r="J64" s="7" t="inlineStr">
        <is>
          <t>Pending Redeployment</t>
        </is>
      </c>
      <c r="K64" s="7" t="inlineStr">
        <is>
          <t>Validated MD-00060 against available PO/FA/HR/transfer rows. Model Samsung Galaxy S24. shows Pending Redeployment in Atlanta. Acquisition $6,380.</t>
        </is>
      </c>
      <c r="L64" s="7" t="inlineStr">
        <is>
          <t>2026-08-05</t>
        </is>
      </c>
      <c r="M64" s="7" t="n">
        <v>6380</v>
      </c>
      <c r="N64" s="7">
        <f>IFERROR(INDEX('Source Ledger'!$G$5:$G$200,MATCH(A64,'Source Ledger'!$B$5:$B$200,0)),"")</f>
        <v>549.35</v>
      </c>
      <c r="O64" s="7">
        <f>IFERROR(INDEX('Source Ledger'!$A$5:$A$200,MATCH(A64,'Source Ledger'!$B$5:$B$200,0)),"")</f>
        <v/>
      </c>
      <c r="P64" s="7">
        <f>IFERROR(INDEX('Source Ledger'!$D$5:$D$200,MATCH(A64,'Source Ledger'!$B$5:$B$200,0)),"")</f>
        <v/>
      </c>
      <c r="Q64" s="9" t="inlineStr">
        <is>
          <t>High</t>
        </is>
      </c>
      <c r="R64" s="7" t="inlineStr">
        <is>
          <t>EX-0045, EX-0046</t>
        </is>
      </c>
      <c r="S64" s="7" t="inlineStr">
        <is>
          <t>Yes</t>
        </is>
      </c>
      <c r="T64">
        <f>IFERROR(INDEX('Source Ledger'!$E$5:$E$200,MATCH(A64,'Source Ledger'!$B$5:$B$200,0)),"")</f>
        <v>6380</v>
      </c>
      <c r="U64">
        <f>IFERROR(INDEX('Source Ledger'!$H$5:$H$200,MATCH(A64,'Source Ledger'!$B$5:$B$200,0)),"")</f>
        <v/>
      </c>
      <c r="V64">
        <f>IFERROR(INDEX('Source Ledger'!$G$5:$G$200,MATCH(A64,'Source Ledger'!$B$5:$B$200,0)),"")</f>
        <v>549.35</v>
      </c>
      <c r="W64">
        <f>IF(T64="","",T64-M64)</f>
        <v>0</v>
      </c>
      <c r="X64">
        <f>IF(V64="","No","Yes")</f>
        <v/>
      </c>
    </row>
    <row r="65">
      <c r="A65" s="7" t="inlineStr">
        <is>
          <t>MD-00061</t>
        </is>
      </c>
      <c r="B65" s="7" t="inlineStr">
        <is>
          <t>MD-LA-050061</t>
        </is>
      </c>
      <c r="C65" s="7" t="inlineStr">
        <is>
          <t>Mobile Device</t>
        </is>
      </c>
      <c r="D65" s="7" t="inlineStr">
        <is>
          <t>iPhone 15</t>
        </is>
      </c>
      <c r="E65" s="7" t="inlineStr">
        <is>
          <t>E0074</t>
        </is>
      </c>
      <c r="F65" s="7" t="inlineStr">
        <is>
          <t>Denver - Closed</t>
        </is>
      </c>
      <c r="G65" s="7" t="inlineStr">
        <is>
          <t>Assigned</t>
        </is>
      </c>
      <c r="H65" s="7" t="inlineStr">
        <is>
          <t>Regional IT</t>
        </is>
      </c>
      <c r="I65" s="7" t="inlineStr">
        <is>
          <t>Chicago</t>
        </is>
      </c>
      <c r="J65" s="7" t="inlineStr">
        <is>
          <t>Pending Redeployment</t>
        </is>
      </c>
      <c r="K65" s="7" t="inlineStr">
        <is>
          <t>For MD-00061, register cost $2,075 sits beside FA-000061 and PO-2025-0012. Transfer TR-00061 on file. Verified Pending Redeployment / Chicago.</t>
        </is>
      </c>
      <c r="L65" s="7" t="inlineStr">
        <is>
          <t>2026-08-05</t>
        </is>
      </c>
      <c r="M65" s="7" t="n">
        <v>2075</v>
      </c>
      <c r="N65" s="7">
        <f>IFERROR(INDEX('Source Ledger'!$G$5:$G$200,MATCH(A65,'Source Ledger'!$B$5:$B$200,0)),"")</f>
        <v>0</v>
      </c>
      <c r="O65" s="7">
        <f>IFERROR(INDEX('Source Ledger'!$A$5:$A$200,MATCH(A65,'Source Ledger'!$B$5:$B$200,0)),"")</f>
        <v/>
      </c>
      <c r="P65" s="7">
        <f>IFERROR(INDEX('Source Ledger'!$D$5:$D$200,MATCH(A65,'Source Ledger'!$B$5:$B$200,0)),"")</f>
        <v/>
      </c>
      <c r="Q65" s="9" t="inlineStr">
        <is>
          <t>High</t>
        </is>
      </c>
      <c r="R65" s="7" t="inlineStr">
        <is>
          <t>EX-0047, EX-0048</t>
        </is>
      </c>
      <c r="S65" s="7" t="inlineStr">
        <is>
          <t>Yes</t>
        </is>
      </c>
      <c r="T65">
        <f>IFERROR(INDEX('Source Ledger'!$E$5:$E$200,MATCH(A65,'Source Ledger'!$B$5:$B$200,0)),"")</f>
        <v>2075</v>
      </c>
      <c r="U65">
        <f>IFERROR(INDEX('Source Ledger'!$H$5:$H$200,MATCH(A65,'Source Ledger'!$B$5:$B$200,0)),"")</f>
        <v/>
      </c>
      <c r="V65">
        <f>IFERROR(INDEX('Source Ledger'!$G$5:$G$200,MATCH(A65,'Source Ledger'!$B$5:$B$200,0)),"")</f>
        <v>0</v>
      </c>
      <c r="W65">
        <f>IF(T65="","",T65-M65)</f>
        <v>0</v>
      </c>
      <c r="X65">
        <f>IF(V65="","No","Yes")</f>
        <v/>
      </c>
    </row>
    <row r="66">
      <c r="A66" s="7" t="inlineStr">
        <is>
          <t>MD-00062</t>
        </is>
      </c>
      <c r="B66" s="7" t="inlineStr">
        <is>
          <t>MD-MO-050062</t>
        </is>
      </c>
      <c r="C66" s="7" t="inlineStr">
        <is>
          <t>Mobile Device</t>
        </is>
      </c>
      <c r="D66" s="7" t="inlineStr">
        <is>
          <t>Google Pixel 8</t>
        </is>
      </c>
      <c r="E66" s="7" t="inlineStr">
        <is>
          <t>E0075</t>
        </is>
      </c>
      <c r="F66" s="7" t="inlineStr">
        <is>
          <t>Chicago - Closed</t>
        </is>
      </c>
      <c r="G66" s="7" t="inlineStr">
        <is>
          <t>Assigned</t>
        </is>
      </c>
      <c r="H66" s="7" t="inlineStr">
        <is>
          <t>Regional IT</t>
        </is>
      </c>
      <c r="I66" s="7" t="inlineStr">
        <is>
          <t>Dallas</t>
        </is>
      </c>
      <c r="J66" s="7" t="inlineStr">
        <is>
          <t>Pending Redeployment</t>
        </is>
      </c>
      <c r="K66" s="7" t="inlineStr">
        <is>
          <t>Google Pixel 8 tagged MD-00062 reconciled using PO-2025-0012+FA-000062+TR-00062+HR. Present state Pending Redeployment/Dallas, cost $790.</t>
        </is>
      </c>
      <c r="L66" s="7" t="inlineStr">
        <is>
          <t>2026-08-05</t>
        </is>
      </c>
      <c r="M66" s="7" t="n">
        <v>790</v>
      </c>
      <c r="N66" s="7">
        <f>IFERROR(INDEX('Source Ledger'!$G$5:$G$200,MATCH(A66,'Source Ledger'!$B$5:$B$200,0)),"")</f>
        <v>410.63</v>
      </c>
      <c r="O66" s="7">
        <f>IFERROR(INDEX('Source Ledger'!$A$5:$A$200,MATCH(A66,'Source Ledger'!$B$5:$B$200,0)),"")</f>
        <v/>
      </c>
      <c r="P66" s="7">
        <f>IFERROR(INDEX('Source Ledger'!$D$5:$D$200,MATCH(A66,'Source Ledger'!$B$5:$B$200,0)),"")</f>
        <v/>
      </c>
      <c r="Q66" s="9" t="inlineStr">
        <is>
          <t>High</t>
        </is>
      </c>
      <c r="R66" s="7" t="inlineStr">
        <is>
          <t>EX-0049, EX-0050</t>
        </is>
      </c>
      <c r="S66" s="7" t="inlineStr">
        <is>
          <t>Yes</t>
        </is>
      </c>
      <c r="T66">
        <f>IFERROR(INDEX('Source Ledger'!$E$5:$E$200,MATCH(A66,'Source Ledger'!$B$5:$B$200,0)),"")</f>
        <v>790</v>
      </c>
      <c r="U66">
        <f>IFERROR(INDEX('Source Ledger'!$H$5:$H$200,MATCH(A66,'Source Ledger'!$B$5:$B$200,0)),"")</f>
        <v/>
      </c>
      <c r="V66">
        <f>IFERROR(INDEX('Source Ledger'!$G$5:$G$200,MATCH(A66,'Source Ledger'!$B$5:$B$200,0)),"")</f>
        <v>410.63</v>
      </c>
      <c r="W66">
        <f>IF(T66="","",T66-M66)</f>
        <v>0</v>
      </c>
      <c r="X66">
        <f>IF(V66="","No","Yes")</f>
        <v/>
      </c>
    </row>
    <row r="67">
      <c r="A67" s="7" t="inlineStr">
        <is>
          <t>MD-00063</t>
        </is>
      </c>
      <c r="B67" s="7" t="inlineStr">
        <is>
          <t>MD-MO-050063</t>
        </is>
      </c>
      <c r="C67" s="7" t="inlineStr">
        <is>
          <t>Mobile Device</t>
        </is>
      </c>
      <c r="D67" s="7" t="inlineStr">
        <is>
          <t>Samsung Galaxy S23 FE</t>
        </is>
      </c>
      <c r="E67" s="7" t="inlineStr">
        <is>
          <t>E0076</t>
        </is>
      </c>
      <c r="F67" s="7" t="inlineStr">
        <is>
          <t>Denver - Closed</t>
        </is>
      </c>
      <c r="G67" s="7" t="inlineStr">
        <is>
          <t>Assigned</t>
        </is>
      </c>
      <c r="H67" s="7" t="inlineStr">
        <is>
          <t>Regional IT</t>
        </is>
      </c>
      <c r="I67" s="7" t="inlineStr">
        <is>
          <t>Denver</t>
        </is>
      </c>
      <c r="J67" s="7" t="inlineStr">
        <is>
          <t>Pending Redeployment</t>
        </is>
      </c>
      <c r="K67" s="7" t="inlineStr">
        <is>
          <t>Samsung Galaxy S23 FE tagged MD-00063 reconciled using PO-2025-0012+FA-000063+TR-00063+HR. Present state Pending Redeployment/Denver, cost $950.</t>
        </is>
      </c>
      <c r="L67" s="7" t="inlineStr">
        <is>
          <t>2026-08-05</t>
        </is>
      </c>
      <c r="M67" s="7" t="n">
        <v>950</v>
      </c>
      <c r="N67" s="7">
        <f>IFERROR(INDEX('Source Ledger'!$G$5:$G$200,MATCH(A67,'Source Ledger'!$B$5:$B$200,0)),"")</f>
        <v>533.85</v>
      </c>
      <c r="O67" s="7">
        <f>IFERROR(INDEX('Source Ledger'!$A$5:$A$200,MATCH(A67,'Source Ledger'!$B$5:$B$200,0)),"")</f>
        <v/>
      </c>
      <c r="P67" s="7">
        <f>IFERROR(INDEX('Source Ledger'!$D$5:$D$200,MATCH(A67,'Source Ledger'!$B$5:$B$200,0)),"")</f>
        <v/>
      </c>
      <c r="Q67" s="9" t="inlineStr">
        <is>
          <t>High</t>
        </is>
      </c>
      <c r="R67" s="7" t="inlineStr">
        <is>
          <t>EX-0051, EX-0052</t>
        </is>
      </c>
      <c r="S67" s="7" t="inlineStr">
        <is>
          <t>Yes</t>
        </is>
      </c>
      <c r="T67">
        <f>IFERROR(INDEX('Source Ledger'!$E$5:$E$200,MATCH(A67,'Source Ledger'!$B$5:$B$200,0)),"")</f>
        <v>950</v>
      </c>
      <c r="U67">
        <f>IFERROR(INDEX('Source Ledger'!$H$5:$H$200,MATCH(A67,'Source Ledger'!$B$5:$B$200,0)),"")</f>
        <v/>
      </c>
      <c r="V67">
        <f>IFERROR(INDEX('Source Ledger'!$G$5:$G$200,MATCH(A67,'Source Ledger'!$B$5:$B$200,0)),"")</f>
        <v>533.85</v>
      </c>
      <c r="W67">
        <f>IF(T67="","",T67-M67)</f>
        <v>0</v>
      </c>
      <c r="X67">
        <f>IF(V67="","No","Yes")</f>
        <v/>
      </c>
    </row>
    <row r="68">
      <c r="A68" s="7" t="inlineStr">
        <is>
          <t>MD-00064</t>
        </is>
      </c>
      <c r="B68" s="7" t="inlineStr">
        <is>
          <t>MD-NE-050064</t>
        </is>
      </c>
      <c r="C68" s="7" t="inlineStr">
        <is>
          <t>Mobile Device</t>
        </is>
      </c>
      <c r="D68" s="7" t="inlineStr">
        <is>
          <t>iPhone 14</t>
        </is>
      </c>
      <c r="E68" s="7" t="inlineStr">
        <is>
          <t>E0077</t>
        </is>
      </c>
      <c r="F68" s="7" t="inlineStr">
        <is>
          <t>Chicago - Closed</t>
        </is>
      </c>
      <c r="G68" s="7" t="inlineStr">
        <is>
          <t>Assigned</t>
        </is>
      </c>
      <c r="H68" s="7" t="inlineStr">
        <is>
          <t>Regional IT</t>
        </is>
      </c>
      <c r="I68" s="7" t="inlineStr">
        <is>
          <t>New York</t>
        </is>
      </c>
      <c r="J68" s="7" t="inlineStr">
        <is>
          <t>Pending Redeployment</t>
        </is>
      </c>
      <c r="K68" s="7" t="inlineStr">
        <is>
          <t>Validated MD-00064 against available PO/FA/HR/transfer rows. Model iPhone 14. shows Pending Redeployment in New York. Acquisition $6,245.</t>
        </is>
      </c>
      <c r="L68" s="7" t="inlineStr">
        <is>
          <t>2026-08-05</t>
        </is>
      </c>
      <c r="M68" s="7" t="n">
        <v>6245</v>
      </c>
      <c r="N68" s="7">
        <f>IFERROR(INDEX('Source Ledger'!$G$5:$G$200,MATCH(A68,'Source Ledger'!$B$5:$B$200,0)),"")</f>
        <v>961.76</v>
      </c>
      <c r="O68" s="7">
        <f>IFERROR(INDEX('Source Ledger'!$A$5:$A$200,MATCH(A68,'Source Ledger'!$B$5:$B$200,0)),"")</f>
        <v/>
      </c>
      <c r="P68" s="7">
        <f>IFERROR(INDEX('Source Ledger'!$D$5:$D$200,MATCH(A68,'Source Ledger'!$B$5:$B$200,0)),"")</f>
        <v/>
      </c>
      <c r="Q68" s="7" t="inlineStr">
        <is>
          <t>Medium</t>
        </is>
      </c>
      <c r="R68" s="7" t="inlineStr">
        <is>
          <t>EX-0053, EX-0054, EX-0055</t>
        </is>
      </c>
      <c r="S68" s="7" t="inlineStr">
        <is>
          <t>Yes</t>
        </is>
      </c>
      <c r="T68">
        <f>IFERROR(INDEX('Source Ledger'!$E$5:$E$200,MATCH(A68,'Source Ledger'!$B$5:$B$200,0)),"")</f>
        <v>6245</v>
      </c>
      <c r="U68">
        <f>IFERROR(INDEX('Source Ledger'!$H$5:$H$200,MATCH(A68,'Source Ledger'!$B$5:$B$200,0)),"")</f>
        <v/>
      </c>
      <c r="V68">
        <f>IFERROR(INDEX('Source Ledger'!$G$5:$G$200,MATCH(A68,'Source Ledger'!$B$5:$B$200,0)),"")</f>
        <v>961.76</v>
      </c>
      <c r="W68">
        <f>IF(T68="","",T68-M68)</f>
        <v>0</v>
      </c>
      <c r="X68">
        <f>IF(V68="","No","Yes")</f>
        <v/>
      </c>
    </row>
    <row r="69">
      <c r="A69" s="7" t="inlineStr">
        <is>
          <t>MD-00065</t>
        </is>
      </c>
      <c r="B69" s="7" t="inlineStr">
        <is>
          <t>MD-LA-050065</t>
        </is>
      </c>
      <c r="C69" s="7" t="inlineStr">
        <is>
          <t>Mobile Device</t>
        </is>
      </c>
      <c r="D69" s="7" t="inlineStr">
        <is>
          <t>Samsung Galaxy S24</t>
        </is>
      </c>
      <c r="E69" s="7" t="inlineStr">
        <is>
          <t>E0078</t>
        </is>
      </c>
      <c r="F69" s="7" t="inlineStr">
        <is>
          <t>Denver - Closed</t>
        </is>
      </c>
      <c r="G69" s="7" t="inlineStr">
        <is>
          <t>Assigned</t>
        </is>
      </c>
      <c r="H69" s="7" t="inlineStr">
        <is>
          <t>Regional IT</t>
        </is>
      </c>
      <c r="I69" s="7" t="inlineStr">
        <is>
          <t>Seattle</t>
        </is>
      </c>
      <c r="J69" s="7" t="inlineStr">
        <is>
          <t>Pending Redeployment</t>
        </is>
      </c>
      <c r="K69" s="7" t="inlineStr">
        <is>
          <t>Samsung Galaxy S24 tagged MD-00065 reconciled using PO-2022-0013+FA-000065+HR. Present state Pending Redeployment/Seattle, cost $1,940.</t>
        </is>
      </c>
      <c r="L69" s="7" t="inlineStr">
        <is>
          <t>2026-08-05</t>
        </is>
      </c>
      <c r="M69" s="7" t="n">
        <v>1940</v>
      </c>
      <c r="N69" s="7">
        <f>IFERROR(INDEX('Source Ledger'!$G$5:$G$200,MATCH(A69,'Source Ledger'!$B$5:$B$200,0)),"")</f>
        <v>0</v>
      </c>
      <c r="O69" s="7">
        <f>IFERROR(INDEX('Source Ledger'!$A$5:$A$200,MATCH(A69,'Source Ledger'!$B$5:$B$200,0)),"")</f>
        <v/>
      </c>
      <c r="P69" s="7">
        <f>IFERROR(INDEX('Source Ledger'!$D$5:$D$200,MATCH(A69,'Source Ledger'!$B$5:$B$200,0)),"")</f>
        <v/>
      </c>
      <c r="Q69" s="7" t="inlineStr">
        <is>
          <t>Medium</t>
        </is>
      </c>
      <c r="R69" s="7" t="inlineStr">
        <is>
          <t>EX-0056, EX-0057, EX-0058</t>
        </is>
      </c>
      <c r="S69" s="7" t="inlineStr">
        <is>
          <t>Yes</t>
        </is>
      </c>
      <c r="T69">
        <f>IFERROR(INDEX('Source Ledger'!$E$5:$E$200,MATCH(A69,'Source Ledger'!$B$5:$B$200,0)),"")</f>
        <v>1940</v>
      </c>
      <c r="U69">
        <f>IFERROR(INDEX('Source Ledger'!$H$5:$H$200,MATCH(A69,'Source Ledger'!$B$5:$B$200,0)),"")</f>
        <v/>
      </c>
      <c r="V69">
        <f>IFERROR(INDEX('Source Ledger'!$G$5:$G$200,MATCH(A69,'Source Ledger'!$B$5:$B$200,0)),"")</f>
        <v>0</v>
      </c>
      <c r="W69">
        <f>IF(T69="","",T69-M69)</f>
        <v>0</v>
      </c>
      <c r="X69">
        <f>IF(V69="","No","Yes")</f>
        <v/>
      </c>
    </row>
    <row r="70">
      <c r="A70" s="7" t="inlineStr">
        <is>
          <t>MD-00066</t>
        </is>
      </c>
      <c r="B70" s="7" t="inlineStr">
        <is>
          <t>MD-MO-050066</t>
        </is>
      </c>
      <c r="C70" s="7" t="inlineStr">
        <is>
          <t>Mobile Device</t>
        </is>
      </c>
      <c r="D70" s="7" t="inlineStr">
        <is>
          <t>iPhone 15</t>
        </is>
      </c>
      <c r="E70" s="7" t="inlineStr">
        <is>
          <t>E0079</t>
        </is>
      </c>
      <c r="F70" s="7" t="inlineStr">
        <is>
          <t>Chicago - Closed</t>
        </is>
      </c>
      <c r="G70" s="7" t="inlineStr">
        <is>
          <t>Assigned</t>
        </is>
      </c>
      <c r="H70" s="7" t="inlineStr">
        <is>
          <t>Regional IT</t>
        </is>
      </c>
      <c r="I70" s="7" t="inlineStr">
        <is>
          <t>Atlanta</t>
        </is>
      </c>
      <c r="J70" s="7" t="inlineStr">
        <is>
          <t>Pending Redeployment</t>
        </is>
      </c>
      <c r="K70" s="7" t="inlineStr">
        <is>
          <t>Source stack for MD-00066 (iPhone 15): TR-00066. Custodian context Wes Carvalho; status Pending Redeployment at Atlanta; basis $655.</t>
        </is>
      </c>
      <c r="L70" s="7" t="inlineStr">
        <is>
          <t>2026-08-05</t>
        </is>
      </c>
      <c r="M70" s="7" t="n">
        <v>655</v>
      </c>
      <c r="N70" s="7">
        <f>IFERROR(INDEX('Source Ledger'!$G$5:$G$200,MATCH(A70,'Source Ledger'!$B$5:$B$200,0)),"")</f>
        <v>385.65</v>
      </c>
      <c r="O70" s="7">
        <f>IFERROR(INDEX('Source Ledger'!$A$5:$A$200,MATCH(A70,'Source Ledger'!$B$5:$B$200,0)),"")</f>
        <v/>
      </c>
      <c r="P70" s="7">
        <f>IFERROR(INDEX('Source Ledger'!$D$5:$D$200,MATCH(A70,'Source Ledger'!$B$5:$B$200,0)),"")</f>
        <v/>
      </c>
      <c r="Q70" s="9" t="inlineStr">
        <is>
          <t>High</t>
        </is>
      </c>
      <c r="R70" s="7" t="inlineStr">
        <is>
          <t>EX-0059, EX-0060</t>
        </is>
      </c>
      <c r="S70" s="7" t="inlineStr">
        <is>
          <t>Yes</t>
        </is>
      </c>
      <c r="T70">
        <f>IFERROR(INDEX('Source Ledger'!$E$5:$E$200,MATCH(A70,'Source Ledger'!$B$5:$B$200,0)),"")</f>
        <v>655</v>
      </c>
      <c r="U70">
        <f>IFERROR(INDEX('Source Ledger'!$H$5:$H$200,MATCH(A70,'Source Ledger'!$B$5:$B$200,0)),"")</f>
        <v/>
      </c>
      <c r="V70">
        <f>IFERROR(INDEX('Source Ledger'!$G$5:$G$200,MATCH(A70,'Source Ledger'!$B$5:$B$200,0)),"")</f>
        <v>385.65</v>
      </c>
      <c r="W70">
        <f>IF(T70="","",T70-M70)</f>
        <v>0</v>
      </c>
      <c r="X70">
        <f>IF(V70="","No","Yes")</f>
        <v/>
      </c>
    </row>
    <row r="71">
      <c r="A71" s="7" t="inlineStr">
        <is>
          <t>MD-00067</t>
        </is>
      </c>
      <c r="B71" s="7" t="inlineStr">
        <is>
          <t>MD-MO-050067</t>
        </is>
      </c>
      <c r="C71" s="7" t="inlineStr">
        <is>
          <t>Mobile Device</t>
        </is>
      </c>
      <c r="D71" s="7" t="inlineStr">
        <is>
          <t>Google Pixel 8</t>
        </is>
      </c>
      <c r="E71" s="7" t="inlineStr">
        <is>
          <t>E0080</t>
        </is>
      </c>
      <c r="F71" s="7" t="inlineStr">
        <is>
          <t>Denver - Closed</t>
        </is>
      </c>
      <c r="G71" s="7" t="inlineStr">
        <is>
          <t>Assigned</t>
        </is>
      </c>
      <c r="H71" s="7" t="inlineStr">
        <is>
          <t>Regional IT</t>
        </is>
      </c>
      <c r="I71" s="7" t="inlineStr">
        <is>
          <t>Chicago</t>
        </is>
      </c>
      <c r="J71" s="7" t="inlineStr">
        <is>
          <t>Pending Redeployment</t>
        </is>
      </c>
      <c r="K71" s="7" t="inlineStr">
        <is>
          <t>Source stack for MD-00067 (Google Pixel 8): PO-2022-0013, FA-000067. Custodian context Tara Singh; status Pending Redeployment at Chicago; basis $1,130.</t>
        </is>
      </c>
      <c r="L71" s="7" t="inlineStr">
        <is>
          <t>2026-08-05</t>
        </is>
      </c>
      <c r="M71" s="7" t="n">
        <v>1130</v>
      </c>
      <c r="N71" s="7">
        <f>IFERROR(INDEX('Source Ledger'!$G$5:$G$200,MATCH(A71,'Source Ledger'!$B$5:$B$200,0)),"")</f>
        <v>764.93</v>
      </c>
      <c r="O71" s="7">
        <f>IFERROR(INDEX('Source Ledger'!$A$5:$A$200,MATCH(A71,'Source Ledger'!$B$5:$B$200,0)),"")</f>
        <v/>
      </c>
      <c r="P71" s="7">
        <f>IFERROR(INDEX('Source Ledger'!$D$5:$D$200,MATCH(A71,'Source Ledger'!$B$5:$B$200,0)),"")</f>
        <v/>
      </c>
      <c r="Q71" s="9" t="inlineStr">
        <is>
          <t>High</t>
        </is>
      </c>
      <c r="R71" s="7" t="inlineStr">
        <is>
          <t>EX-0061, EX-0062</t>
        </is>
      </c>
      <c r="S71" s="7" t="inlineStr">
        <is>
          <t>Yes</t>
        </is>
      </c>
      <c r="T71">
        <f>IFERROR(INDEX('Source Ledger'!$E$5:$E$200,MATCH(A71,'Source Ledger'!$B$5:$B$200,0)),"")</f>
        <v>1130</v>
      </c>
      <c r="U71">
        <f>IFERROR(INDEX('Source Ledger'!$H$5:$H$200,MATCH(A71,'Source Ledger'!$B$5:$B$200,0)),"")</f>
        <v/>
      </c>
      <c r="V71">
        <f>IFERROR(INDEX('Source Ledger'!$G$5:$G$200,MATCH(A71,'Source Ledger'!$B$5:$B$200,0)),"")</f>
        <v>764.93</v>
      </c>
      <c r="W71">
        <f>IF(T71="","",T71-M71)</f>
        <v>0</v>
      </c>
      <c r="X71">
        <f>IF(V71="","No","Yes")</f>
        <v/>
      </c>
    </row>
    <row r="72">
      <c r="A72" s="7" t="inlineStr">
        <is>
          <t>MD-00068</t>
        </is>
      </c>
      <c r="B72" s="7" t="inlineStr">
        <is>
          <t>MD-NE-050068</t>
        </is>
      </c>
      <c r="C72" s="7" t="inlineStr">
        <is>
          <t>Mobile Device</t>
        </is>
      </c>
      <c r="D72" s="7" t="inlineStr">
        <is>
          <t>Samsung Galaxy S23 FE</t>
        </is>
      </c>
      <c r="E72" s="7" t="inlineStr">
        <is>
          <t>E0081</t>
        </is>
      </c>
      <c r="F72" s="7" t="inlineStr">
        <is>
          <t>Chicago - Closed</t>
        </is>
      </c>
      <c r="G72" s="7" t="inlineStr">
        <is>
          <t>Assigned</t>
        </is>
      </c>
      <c r="H72" s="7" t="inlineStr">
        <is>
          <t>E0081</t>
        </is>
      </c>
      <c r="I72" s="7" t="inlineStr">
        <is>
          <t>Remote - Former Employee</t>
        </is>
      </c>
      <c r="J72" s="8" t="inlineStr">
        <is>
          <t>Return Overdue</t>
        </is>
      </c>
      <c r="K72" s="7" t="inlineStr">
        <is>
          <t>Validated MD-00068 against available PO/FA/HR/transfer rows. Model Samsung Galaxy S23 FE. Elliott Park (E0081) shows Return Overdue in Remote - Former Employee. Acquisition $6,425.</t>
        </is>
      </c>
      <c r="L72" s="7" t="inlineStr">
        <is>
          <t>2026-06-25</t>
        </is>
      </c>
      <c r="M72" s="7" t="n">
        <v>6425</v>
      </c>
      <c r="N72" s="7">
        <f>IFERROR(INDEX('Source Ledger'!$G$5:$G$200,MATCH(A72,'Source Ledger'!$B$5:$B$200,0)),"")</f>
        <v>1436.28</v>
      </c>
      <c r="O72" s="7">
        <f>IFERROR(INDEX('Source Ledger'!$A$5:$A$200,MATCH(A72,'Source Ledger'!$B$5:$B$200,0)),"")</f>
        <v/>
      </c>
      <c r="P72" s="7">
        <f>IFERROR(INDEX('Source Ledger'!$D$5:$D$200,MATCH(A72,'Source Ledger'!$B$5:$B$200,0)),"")</f>
        <v/>
      </c>
      <c r="Q72" s="7" t="inlineStr">
        <is>
          <t>Low</t>
        </is>
      </c>
      <c r="R72" s="7" t="inlineStr">
        <is>
          <t>EX-0063, EX-0064, EX-0065</t>
        </is>
      </c>
      <c r="S72" s="7" t="inlineStr">
        <is>
          <t>Yes</t>
        </is>
      </c>
      <c r="T72">
        <f>IFERROR(INDEX('Source Ledger'!$E$5:$E$200,MATCH(A72,'Source Ledger'!$B$5:$B$200,0)),"")</f>
        <v>6480</v>
      </c>
      <c r="U72">
        <f>IFERROR(INDEX('Source Ledger'!$H$5:$H$200,MATCH(A72,'Source Ledger'!$B$5:$B$200,0)),"")</f>
        <v/>
      </c>
      <c r="V72">
        <f>IFERROR(INDEX('Source Ledger'!$G$5:$G$200,MATCH(A72,'Source Ledger'!$B$5:$B$200,0)),"")</f>
        <v>1436.28</v>
      </c>
      <c r="W72">
        <f>IF(T72="","",T72-M72)</f>
        <v>55</v>
      </c>
      <c r="X72">
        <f>IF(V72="","No","Yes")</f>
        <v/>
      </c>
    </row>
    <row r="73">
      <c r="A73" s="7" t="inlineStr">
        <is>
          <t>MD-00069</t>
        </is>
      </c>
      <c r="B73" s="7" t="inlineStr">
        <is>
          <t>MD-LA-050069</t>
        </is>
      </c>
      <c r="C73" s="7" t="inlineStr">
        <is>
          <t>Mobile Device</t>
        </is>
      </c>
      <c r="D73" s="7" t="inlineStr">
        <is>
          <t>iPhone 14</t>
        </is>
      </c>
      <c r="E73" s="7" t="inlineStr">
        <is>
          <t>E0082</t>
        </is>
      </c>
      <c r="F73" s="7" t="inlineStr">
        <is>
          <t>Denver - Closed</t>
        </is>
      </c>
      <c r="G73" s="7" t="inlineStr">
        <is>
          <t>Assigned</t>
        </is>
      </c>
      <c r="H73" s="7" t="inlineStr">
        <is>
          <t>E0082</t>
        </is>
      </c>
      <c r="I73" s="7" t="inlineStr">
        <is>
          <t>Remote - Former Employee</t>
        </is>
      </c>
      <c r="J73" s="8" t="inlineStr">
        <is>
          <t>Return Overdue</t>
        </is>
      </c>
      <c r="K73" s="7" t="inlineStr">
        <is>
          <t>Evidence for MD-00069 is piecewise: inventory cost $2,120, FA FA-000069, HR status Return Overdue, site Remote - Former Employee.</t>
        </is>
      </c>
      <c r="L73" s="7" t="inlineStr">
        <is>
          <t>2026-06-25</t>
        </is>
      </c>
      <c r="M73" s="7" t="n">
        <v>2120</v>
      </c>
      <c r="N73" s="7">
        <f>IFERROR(INDEX('Source Ledger'!$G$5:$G$200,MATCH(A73,'Source Ledger'!$B$5:$B$200,0)),"")</f>
        <v>142.69</v>
      </c>
      <c r="O73" s="7">
        <f>IFERROR(INDEX('Source Ledger'!$A$5:$A$200,MATCH(A73,'Source Ledger'!$B$5:$B$200,0)),"")</f>
        <v/>
      </c>
      <c r="P73" s="7">
        <f>IFERROR(INDEX('Source Ledger'!$D$5:$D$200,MATCH(A73,'Source Ledger'!$B$5:$B$200,0)),"")</f>
        <v/>
      </c>
      <c r="Q73" s="7" t="inlineStr">
        <is>
          <t>Low</t>
        </is>
      </c>
      <c r="R73" s="7" t="inlineStr">
        <is>
          <t>EX-0066, EX-0067</t>
        </is>
      </c>
      <c r="S73" s="7" t="inlineStr">
        <is>
          <t>Yes</t>
        </is>
      </c>
      <c r="T73">
        <f>IFERROR(INDEX('Source Ledger'!$E$5:$E$200,MATCH(A73,'Source Ledger'!$B$5:$B$200,0)),"")</f>
        <v>2120</v>
      </c>
      <c r="U73">
        <f>IFERROR(INDEX('Source Ledger'!$H$5:$H$200,MATCH(A73,'Source Ledger'!$B$5:$B$200,0)),"")</f>
        <v/>
      </c>
      <c r="V73">
        <f>IFERROR(INDEX('Source Ledger'!$G$5:$G$200,MATCH(A73,'Source Ledger'!$B$5:$B$200,0)),"")</f>
        <v>142.69</v>
      </c>
      <c r="W73">
        <f>IF(T73="","",T73-M73)</f>
        <v>0</v>
      </c>
      <c r="X73">
        <f>IF(V73="","No","Yes")</f>
        <v/>
      </c>
    </row>
    <row r="74">
      <c r="A74" s="7" t="inlineStr">
        <is>
          <t>MD-00070</t>
        </is>
      </c>
      <c r="B74" s="7" t="inlineStr">
        <is>
          <t>MD-MO-050070</t>
        </is>
      </c>
      <c r="C74" s="7" t="inlineStr">
        <is>
          <t>Mobile Device</t>
        </is>
      </c>
      <c r="D74" s="7" t="inlineStr">
        <is>
          <t>iPhone 15</t>
        </is>
      </c>
      <c r="E74" s="7" t="inlineStr">
        <is>
          <t>E0083</t>
        </is>
      </c>
      <c r="F74" s="7" t="inlineStr">
        <is>
          <t>Chicago - Closed</t>
        </is>
      </c>
      <c r="G74" s="7" t="inlineStr">
        <is>
          <t>Assigned</t>
        </is>
      </c>
      <c r="H74" s="7" t="inlineStr">
        <is>
          <t>E0083</t>
        </is>
      </c>
      <c r="I74" s="7" t="inlineStr">
        <is>
          <t>Remote - Former Employee</t>
        </is>
      </c>
      <c r="J74" s="8" t="inlineStr">
        <is>
          <t>Return Overdue</t>
        </is>
      </c>
      <c r="K74" s="7" t="inlineStr">
        <is>
          <t>MD-00070 evidence drawn from PO-2022-0013. HR/location reading Return Overdue/Remote - Former Employee. Cost $520.</t>
        </is>
      </c>
      <c r="L74" s="7" t="inlineStr">
        <is>
          <t>2026-06-25</t>
        </is>
      </c>
      <c r="M74" s="7" t="n">
        <v>520</v>
      </c>
      <c r="N74" s="7">
        <f>IFERROR(INDEX('Source Ledger'!$G$5:$G$200,MATCH(A74,'Source Ledger'!$B$5:$B$200,0)),"")</f>
        <v>342.32</v>
      </c>
      <c r="O74" s="7">
        <f>IFERROR(INDEX('Source Ledger'!$A$5:$A$200,MATCH(A74,'Source Ledger'!$B$5:$B$200,0)),"")</f>
        <v/>
      </c>
      <c r="P74" s="7">
        <f>IFERROR(INDEX('Source Ledger'!$D$5:$D$200,MATCH(A74,'Source Ledger'!$B$5:$B$200,0)),"")</f>
        <v/>
      </c>
      <c r="Q74" s="7" t="inlineStr">
        <is>
          <t>Low</t>
        </is>
      </c>
      <c r="R74" s="7" t="inlineStr">
        <is>
          <t>EX-0068, EX-0069</t>
        </is>
      </c>
      <c r="S74" s="7" t="inlineStr">
        <is>
          <t>Yes</t>
        </is>
      </c>
      <c r="T74">
        <f>IFERROR(INDEX('Source Ledger'!$E$5:$E$200,MATCH(A74,'Source Ledger'!$B$5:$B$200,0)),"")</f>
        <v>520</v>
      </c>
      <c r="U74">
        <f>IFERROR(INDEX('Source Ledger'!$H$5:$H$200,MATCH(A74,'Source Ledger'!$B$5:$B$200,0)),"")</f>
        <v/>
      </c>
      <c r="V74">
        <f>IFERROR(INDEX('Source Ledger'!$G$5:$G$200,MATCH(A74,'Source Ledger'!$B$5:$B$200,0)),"")</f>
        <v>342.32</v>
      </c>
      <c r="W74">
        <f>IF(T74="","",T74-M74)</f>
        <v>0</v>
      </c>
      <c r="X74">
        <f>IF(V74="","No","Yes")</f>
        <v/>
      </c>
    </row>
    <row r="75">
      <c r="A75" s="7" t="inlineStr">
        <is>
          <t>MD-00071</t>
        </is>
      </c>
      <c r="B75" s="7" t="inlineStr">
        <is>
          <t>MD-MO-050071</t>
        </is>
      </c>
      <c r="C75" s="7" t="inlineStr">
        <is>
          <t>Mobile Device</t>
        </is>
      </c>
      <c r="D75" s="7" t="inlineStr">
        <is>
          <t>Google Pixel 8</t>
        </is>
      </c>
      <c r="E75" s="7" t="inlineStr">
        <is>
          <t>E0084</t>
        </is>
      </c>
      <c r="F75" s="7" t="inlineStr">
        <is>
          <t>Denver - Closed</t>
        </is>
      </c>
      <c r="G75" s="7" t="inlineStr">
        <is>
          <t>Assigned</t>
        </is>
      </c>
      <c r="H75" s="7" t="inlineStr">
        <is>
          <t>E0084</t>
        </is>
      </c>
      <c r="I75" s="7" t="inlineStr">
        <is>
          <t>Remote - Former Employee</t>
        </is>
      </c>
      <c r="J75" s="8" t="inlineStr">
        <is>
          <t>Return Overdue</t>
        </is>
      </c>
      <c r="K75" s="7" t="inlineStr">
        <is>
          <t>Evidence for MD-00071 is piecewise: inventory cost $995, FA absent, TR TR-00071, HR status Return Overdue, site Remote - Former Employee.</t>
        </is>
      </c>
      <c r="L75" s="7" t="inlineStr">
        <is>
          <t>2026-06-25</t>
        </is>
      </c>
      <c r="M75" s="7" t="n">
        <v>995</v>
      </c>
      <c r="N75" s="7">
        <f>IFERROR(INDEX('Source Ledger'!$G$5:$G$200,MATCH(A75,'Source Ledger'!$B$5:$B$200,0)),"")</f>
        <v>787.96</v>
      </c>
      <c r="O75" s="7">
        <f>IFERROR(INDEX('Source Ledger'!$A$5:$A$200,MATCH(A75,'Source Ledger'!$B$5:$B$200,0)),"")</f>
        <v/>
      </c>
      <c r="P75" s="7">
        <f>IFERROR(INDEX('Source Ledger'!$D$5:$D$200,MATCH(A75,'Source Ledger'!$B$5:$B$200,0)),"")</f>
        <v/>
      </c>
      <c r="Q75" s="7" t="inlineStr">
        <is>
          <t>Low</t>
        </is>
      </c>
      <c r="R75" s="7" t="inlineStr">
        <is>
          <t>EX-0070, EX-0071</t>
        </is>
      </c>
      <c r="S75" s="7" t="inlineStr">
        <is>
          <t>Yes</t>
        </is>
      </c>
      <c r="T75">
        <f>IFERROR(INDEX('Source Ledger'!$E$5:$E$200,MATCH(A75,'Source Ledger'!$B$5:$B$200,0)),"")</f>
        <v>995</v>
      </c>
      <c r="U75">
        <f>IFERROR(INDEX('Source Ledger'!$H$5:$H$200,MATCH(A75,'Source Ledger'!$B$5:$B$200,0)),"")</f>
        <v/>
      </c>
      <c r="V75">
        <f>IFERROR(INDEX('Source Ledger'!$G$5:$G$200,MATCH(A75,'Source Ledger'!$B$5:$B$200,0)),"")</f>
        <v>787.96</v>
      </c>
      <c r="W75">
        <f>IF(T75="","",T75-M75)</f>
        <v>0</v>
      </c>
      <c r="X75">
        <f>IF(V75="","No","Yes")</f>
        <v/>
      </c>
    </row>
    <row r="76">
      <c r="A76" s="7" t="inlineStr">
        <is>
          <t>MD-00072</t>
        </is>
      </c>
      <c r="B76" s="7" t="inlineStr">
        <is>
          <t>MD-NE-050072</t>
        </is>
      </c>
      <c r="C76" s="7" t="inlineStr">
        <is>
          <t>Network Asset</t>
        </is>
      </c>
      <c r="D76" s="7" t="inlineStr">
        <is>
          <t>Fortinet FortiSwitch 148F</t>
        </is>
      </c>
      <c r="E76" s="7" t="inlineStr">
        <is>
          <t>E0085</t>
        </is>
      </c>
      <c r="F76" s="7" t="inlineStr">
        <is>
          <t>Chicago - Closed</t>
        </is>
      </c>
      <c r="G76" s="7" t="inlineStr">
        <is>
          <t>Assigned</t>
        </is>
      </c>
      <c r="H76" s="7" t="inlineStr">
        <is>
          <t>E0085</t>
        </is>
      </c>
      <c r="I76" s="7" t="inlineStr">
        <is>
          <t>Remote - Former Employee</t>
        </is>
      </c>
      <c r="J76" s="8" t="inlineStr">
        <is>
          <t>Return Overdue</t>
        </is>
      </c>
      <c r="K76" s="7" t="inlineStr">
        <is>
          <t>Source stack for MD-00072 (Fortinet FortiSwitch 148F): FA-000072, TR-00072. Custodian context Former Employee; status Return Overdue at Remote - Former Employee; basis $6,290.</t>
        </is>
      </c>
      <c r="L76" s="7" t="inlineStr">
        <is>
          <t>2026-06-25</t>
        </is>
      </c>
      <c r="M76" s="7" t="n">
        <v>6290</v>
      </c>
      <c r="N76" s="7">
        <f>IFERROR(INDEX('Source Ledger'!$G$5:$G$200,MATCH(A76,'Source Ledger'!$B$5:$B$200,0)),"")</f>
        <v>500.27</v>
      </c>
      <c r="O76" s="7">
        <f>IFERROR(INDEX('Source Ledger'!$A$5:$A$200,MATCH(A76,'Source Ledger'!$B$5:$B$200,0)),"")</f>
        <v/>
      </c>
      <c r="P76" s="7">
        <f>IFERROR(INDEX('Source Ledger'!$D$5:$D$200,MATCH(A76,'Source Ledger'!$B$5:$B$200,0)),"")</f>
        <v/>
      </c>
      <c r="Q76" s="7" t="inlineStr">
        <is>
          <t>Low</t>
        </is>
      </c>
      <c r="R76" s="7" t="inlineStr">
        <is>
          <t>EX-0072, EX-0073</t>
        </is>
      </c>
      <c r="S76" s="7" t="inlineStr">
        <is>
          <t>Yes</t>
        </is>
      </c>
      <c r="T76">
        <f>IFERROR(INDEX('Source Ledger'!$E$5:$E$200,MATCH(A76,'Source Ledger'!$B$5:$B$200,0)),"")</f>
        <v>6290</v>
      </c>
      <c r="U76">
        <f>IFERROR(INDEX('Source Ledger'!$H$5:$H$200,MATCH(A76,'Source Ledger'!$B$5:$B$200,0)),"")</f>
        <v/>
      </c>
      <c r="V76">
        <f>IFERROR(INDEX('Source Ledger'!$G$5:$G$200,MATCH(A76,'Source Ledger'!$B$5:$B$200,0)),"")</f>
        <v>500.27</v>
      </c>
      <c r="W76">
        <f>IF(T76="","",T76-M76)</f>
        <v>0</v>
      </c>
      <c r="X76">
        <f>IF(V76="","No","Yes")</f>
        <v/>
      </c>
    </row>
    <row r="77">
      <c r="A77" s="7" t="inlineStr">
        <is>
          <t>MD-00073</t>
        </is>
      </c>
      <c r="B77" s="7" t="inlineStr">
        <is>
          <t>MD-LA-050073</t>
        </is>
      </c>
      <c r="C77" s="7" t="inlineStr">
        <is>
          <t>Network Asset</t>
        </is>
      </c>
      <c r="D77" s="7" t="inlineStr">
        <is>
          <t>Cisco C9300</t>
        </is>
      </c>
      <c r="E77" s="7" t="inlineStr">
        <is>
          <t>E0086</t>
        </is>
      </c>
      <c r="F77" s="7" t="inlineStr">
        <is>
          <t>Denver - Closed</t>
        </is>
      </c>
      <c r="G77" s="7" t="inlineStr">
        <is>
          <t>Assigned</t>
        </is>
      </c>
      <c r="H77" s="7" t="inlineStr">
        <is>
          <t>E0086</t>
        </is>
      </c>
      <c r="I77" s="7" t="inlineStr">
        <is>
          <t>Remote - Former Employee</t>
        </is>
      </c>
      <c r="J77" s="8" t="inlineStr">
        <is>
          <t>Return Overdue</t>
        </is>
      </c>
      <c r="K77" s="7" t="inlineStr">
        <is>
          <t>Validated MD-00073 against available PO/FA/HR/transfer rows. Model Cisco C9300. Former Employee (E0086) shows Return Overdue in Remote - Former Employee. Acquisition $1,985.</t>
        </is>
      </c>
      <c r="L77" s="7" t="inlineStr">
        <is>
          <t>2026-06-25</t>
        </is>
      </c>
      <c r="M77" s="7" t="n">
        <v>1985</v>
      </c>
      <c r="N77" s="7">
        <f>IFERROR(INDEX('Source Ledger'!$G$5:$G$200,MATCH(A77,'Source Ledger'!$B$5:$B$200,0)),"")</f>
        <v>0</v>
      </c>
      <c r="O77" s="7">
        <f>IFERROR(INDEX('Source Ledger'!$A$5:$A$200,MATCH(A77,'Source Ledger'!$B$5:$B$200,0)),"")</f>
        <v/>
      </c>
      <c r="P77" s="7">
        <f>IFERROR(INDEX('Source Ledger'!$D$5:$D$200,MATCH(A77,'Source Ledger'!$B$5:$B$200,0)),"")</f>
        <v/>
      </c>
      <c r="Q77" s="7" t="inlineStr">
        <is>
          <t>Low</t>
        </is>
      </c>
      <c r="R77" s="7" t="inlineStr">
        <is>
          <t>EX-0074, EX-0075</t>
        </is>
      </c>
      <c r="S77" s="7" t="inlineStr">
        <is>
          <t>Yes</t>
        </is>
      </c>
      <c r="T77">
        <f>IFERROR(INDEX('Source Ledger'!$E$5:$E$200,MATCH(A77,'Source Ledger'!$B$5:$B$200,0)),"")</f>
        <v>1985</v>
      </c>
      <c r="U77">
        <f>IFERROR(INDEX('Source Ledger'!$H$5:$H$200,MATCH(A77,'Source Ledger'!$B$5:$B$200,0)),"")</f>
        <v/>
      </c>
      <c r="V77">
        <f>IFERROR(INDEX('Source Ledger'!$G$5:$G$200,MATCH(A77,'Source Ledger'!$B$5:$B$200,0)),"")</f>
        <v>0</v>
      </c>
      <c r="W77">
        <f>IF(T77="","",T77-M77)</f>
        <v>0</v>
      </c>
      <c r="X77">
        <f>IF(V77="","No","Yes")</f>
        <v/>
      </c>
    </row>
    <row r="78">
      <c r="A78" s="7" t="inlineStr">
        <is>
          <t>MD-00074</t>
        </is>
      </c>
      <c r="B78" s="7" t="inlineStr">
        <is>
          <t>MD-MO-050074</t>
        </is>
      </c>
      <c r="C78" s="7" t="inlineStr">
        <is>
          <t>Network Asset</t>
        </is>
      </c>
      <c r="D78" s="7" t="inlineStr">
        <is>
          <t>Aruba 6300M</t>
        </is>
      </c>
      <c r="E78" s="7" t="inlineStr">
        <is>
          <t>E0087</t>
        </is>
      </c>
      <c r="F78" s="7" t="inlineStr">
        <is>
          <t>Chicago - Closed</t>
        </is>
      </c>
      <c r="G78" s="7" t="inlineStr">
        <is>
          <t>Assigned</t>
        </is>
      </c>
      <c r="H78" s="7" t="inlineStr">
        <is>
          <t>E0087</t>
        </is>
      </c>
      <c r="I78" s="7" t="inlineStr">
        <is>
          <t>Carrier Network / Unverified</t>
        </is>
      </c>
      <c r="J78" s="8" t="inlineStr">
        <is>
          <t>Return Overdue</t>
        </is>
      </c>
      <c r="K78" s="7" t="inlineStr">
        <is>
          <t>Working evidence note on MD-00074: Aruba 6300M; Return Overdue @ Carrier Network / Unverified; holder Carrier Network; FA-000074; TR-00074; basis $700.</t>
        </is>
      </c>
      <c r="L78" s="7" t="inlineStr">
        <is>
          <t>2026-06-25</t>
        </is>
      </c>
      <c r="M78" s="7" t="n">
        <v>700</v>
      </c>
      <c r="N78" s="7">
        <f>IFERROR(INDEX('Source Ledger'!$G$5:$G$200,MATCH(A78,'Source Ledger'!$B$5:$B$200,0)),"")</f>
        <v>359.25</v>
      </c>
      <c r="O78" s="7">
        <f>IFERROR(INDEX('Source Ledger'!$A$5:$A$200,MATCH(A78,'Source Ledger'!$B$5:$B$200,0)),"")</f>
        <v/>
      </c>
      <c r="P78" s="7">
        <f>IFERROR(INDEX('Source Ledger'!$D$5:$D$200,MATCH(A78,'Source Ledger'!$B$5:$B$200,0)),"")</f>
        <v/>
      </c>
      <c r="Q78" s="7" t="inlineStr">
        <is>
          <t>Low</t>
        </is>
      </c>
      <c r="R78" s="7" t="inlineStr">
        <is>
          <t>EX-0076, EX-0077, EX-0078</t>
        </is>
      </c>
      <c r="S78" s="7" t="inlineStr">
        <is>
          <t>Yes</t>
        </is>
      </c>
      <c r="T78">
        <f>IFERROR(INDEX('Source Ledger'!$E$5:$E$200,MATCH(A78,'Source Ledger'!$B$5:$B$200,0)),"")</f>
        <v>700</v>
      </c>
      <c r="U78">
        <f>IFERROR(INDEX('Source Ledger'!$H$5:$H$200,MATCH(A78,'Source Ledger'!$B$5:$B$200,0)),"")</f>
        <v/>
      </c>
      <c r="V78">
        <f>IFERROR(INDEX('Source Ledger'!$G$5:$G$200,MATCH(A78,'Source Ledger'!$B$5:$B$200,0)),"")</f>
        <v>359.25</v>
      </c>
      <c r="W78">
        <f>IF(T78="","",T78-M78)</f>
        <v>0</v>
      </c>
      <c r="X78">
        <f>IF(V78="","No","Yes")</f>
        <v/>
      </c>
    </row>
    <row r="79">
      <c r="A79" s="7" t="inlineStr">
        <is>
          <t>MD-00075</t>
        </is>
      </c>
      <c r="B79" s="7" t="inlineStr">
        <is>
          <t>MD-MO-050075</t>
        </is>
      </c>
      <c r="C79" s="7" t="inlineStr">
        <is>
          <t>Network Asset</t>
        </is>
      </c>
      <c r="D79" s="7" t="inlineStr">
        <is>
          <t>Juniper EX3400</t>
        </is>
      </c>
      <c r="E79" s="7" t="inlineStr">
        <is>
          <t>E0088</t>
        </is>
      </c>
      <c r="F79" s="7" t="inlineStr">
        <is>
          <t>Denver - Closed</t>
        </is>
      </c>
      <c r="G79" s="7" t="inlineStr">
        <is>
          <t>Assigned</t>
        </is>
      </c>
      <c r="H79" s="7" t="inlineStr">
        <is>
          <t>E0088</t>
        </is>
      </c>
      <c r="I79" s="7" t="inlineStr">
        <is>
          <t>Remote - Former Employee</t>
        </is>
      </c>
      <c r="J79" s="8" t="inlineStr">
        <is>
          <t>Return Overdue</t>
        </is>
      </c>
      <c r="K79" s="7" t="inlineStr">
        <is>
          <t>Validated MD-00075 against available PO/FA/HR/transfer rows. Model Juniper EX3400. Former Employee (E0088) shows Return Overdue in Remote - Former Employee. Acquisition $1,175.</t>
        </is>
      </c>
      <c r="L79" s="7" t="inlineStr">
        <is>
          <t>2026-06-25</t>
        </is>
      </c>
      <c r="M79" s="7" t="n">
        <v>1175</v>
      </c>
      <c r="N79" s="7">
        <f>IFERROR(INDEX('Source Ledger'!$G$5:$G$200,MATCH(A79,'Source Ledger'!$B$5:$B$200,0)),"")</f>
        <v>647.42</v>
      </c>
      <c r="O79" s="7">
        <f>IFERROR(INDEX('Source Ledger'!$A$5:$A$200,MATCH(A79,'Source Ledger'!$B$5:$B$200,0)),"")</f>
        <v/>
      </c>
      <c r="P79" s="7">
        <f>IFERROR(INDEX('Source Ledger'!$D$5:$D$200,MATCH(A79,'Source Ledger'!$B$5:$B$200,0)),"")</f>
        <v/>
      </c>
      <c r="Q79" s="7" t="inlineStr">
        <is>
          <t>Low</t>
        </is>
      </c>
      <c r="R79" s="7" t="inlineStr">
        <is>
          <t>EX-0079, EX-0080</t>
        </is>
      </c>
      <c r="S79" s="7" t="inlineStr">
        <is>
          <t>Yes</t>
        </is>
      </c>
      <c r="T79">
        <f>IFERROR(INDEX('Source Ledger'!$E$5:$E$200,MATCH(A79,'Source Ledger'!$B$5:$B$200,0)),"")</f>
        <v>1175</v>
      </c>
      <c r="U79">
        <f>IFERROR(INDEX('Source Ledger'!$H$5:$H$200,MATCH(A79,'Source Ledger'!$B$5:$B$200,0)),"")</f>
        <v/>
      </c>
      <c r="V79">
        <f>IFERROR(INDEX('Source Ledger'!$G$5:$G$200,MATCH(A79,'Source Ledger'!$B$5:$B$200,0)),"")</f>
        <v>647.42</v>
      </c>
      <c r="W79">
        <f>IF(T79="","",T79-M79)</f>
        <v>0</v>
      </c>
      <c r="X79">
        <f>IF(V79="","No","Yes")</f>
        <v/>
      </c>
    </row>
    <row r="80">
      <c r="A80" s="7" t="inlineStr">
        <is>
          <t>MD-00076</t>
        </is>
      </c>
      <c r="B80" s="7" t="inlineStr">
        <is>
          <t>MD-NE-050076</t>
        </is>
      </c>
      <c r="C80" s="7" t="inlineStr">
        <is>
          <t>Network Asset</t>
        </is>
      </c>
      <c r="D80" s="7" t="inlineStr">
        <is>
          <t>Cisco Meraki MS250</t>
        </is>
      </c>
      <c r="E80" s="7" t="inlineStr">
        <is>
          <t>E0089</t>
        </is>
      </c>
      <c r="F80" s="7" t="inlineStr">
        <is>
          <t>Chicago - Closed</t>
        </is>
      </c>
      <c r="G80" s="7" t="inlineStr">
        <is>
          <t>Assigned</t>
        </is>
      </c>
      <c r="H80" s="7" t="inlineStr">
        <is>
          <t>E0089</t>
        </is>
      </c>
      <c r="I80" s="7" t="inlineStr">
        <is>
          <t>Carrier Network / Unverified</t>
        </is>
      </c>
      <c r="J80" s="8" t="inlineStr">
        <is>
          <t>Return Overdue</t>
        </is>
      </c>
      <c r="K80" s="7" t="inlineStr">
        <is>
          <t>Cisco Meraki MS250 tagged MD-00076 reconciled using PO-2023-0014+FA-000076+TR-00076+HR. Present state Return Overdue/Carrier Network / Unverified, cost $6,470.</t>
        </is>
      </c>
      <c r="L80" s="7" t="inlineStr">
        <is>
          <t>2026-06-25</t>
        </is>
      </c>
      <c r="M80" s="7" t="n">
        <v>6470</v>
      </c>
      <c r="N80" s="7">
        <f>IFERROR(INDEX('Source Ledger'!$G$5:$G$200,MATCH(A80,'Source Ledger'!$B$5:$B$200,0)),"")</f>
        <v>953.89</v>
      </c>
      <c r="O80" s="7">
        <f>IFERROR(INDEX('Source Ledger'!$A$5:$A$200,MATCH(A80,'Source Ledger'!$B$5:$B$200,0)),"")</f>
        <v/>
      </c>
      <c r="P80" s="7">
        <f>IFERROR(INDEX('Source Ledger'!$D$5:$D$200,MATCH(A80,'Source Ledger'!$B$5:$B$200,0)),"")</f>
        <v/>
      </c>
      <c r="Q80" s="7" t="inlineStr">
        <is>
          <t>Low</t>
        </is>
      </c>
      <c r="R80" s="7" t="inlineStr">
        <is>
          <t>EX-0081, EX-0082, EX-0083</t>
        </is>
      </c>
      <c r="S80" s="7" t="inlineStr">
        <is>
          <t>Yes</t>
        </is>
      </c>
      <c r="T80">
        <f>IFERROR(INDEX('Source Ledger'!$E$5:$E$200,MATCH(A80,'Source Ledger'!$B$5:$B$200,0)),"")</f>
        <v>6470</v>
      </c>
      <c r="U80">
        <f>IFERROR(INDEX('Source Ledger'!$H$5:$H$200,MATCH(A80,'Source Ledger'!$B$5:$B$200,0)),"")</f>
        <v/>
      </c>
      <c r="V80">
        <f>IFERROR(INDEX('Source Ledger'!$G$5:$G$200,MATCH(A80,'Source Ledger'!$B$5:$B$200,0)),"")</f>
        <v>953.89</v>
      </c>
      <c r="W80">
        <f>IF(T80="","",T80-M80)</f>
        <v>0</v>
      </c>
      <c r="X80">
        <f>IF(V80="","No","Yes")</f>
        <v/>
      </c>
    </row>
    <row r="81">
      <c r="A81" s="7" t="inlineStr">
        <is>
          <t>MD-00077</t>
        </is>
      </c>
      <c r="B81" s="7" t="inlineStr">
        <is>
          <t>MD-LA-050077</t>
        </is>
      </c>
      <c r="C81" s="7" t="inlineStr">
        <is>
          <t>Network Asset</t>
        </is>
      </c>
      <c r="D81" s="7" t="inlineStr">
        <is>
          <t>Fortinet FortiSwitch 148F</t>
        </is>
      </c>
      <c r="E81" s="7" t="inlineStr">
        <is>
          <t>E0090</t>
        </is>
      </c>
      <c r="F81" s="7" t="inlineStr">
        <is>
          <t>Denver - Closed</t>
        </is>
      </c>
      <c r="G81" s="7" t="inlineStr">
        <is>
          <t>Assigned</t>
        </is>
      </c>
      <c r="H81" s="7" t="inlineStr">
        <is>
          <t>E0090</t>
        </is>
      </c>
      <c r="I81" s="7" t="inlineStr">
        <is>
          <t>Remote - Former Employee</t>
        </is>
      </c>
      <c r="J81" s="8" t="inlineStr">
        <is>
          <t>Return Overdue</t>
        </is>
      </c>
      <c r="K81" s="7" t="inlineStr">
        <is>
          <t>Validated MD-00077 against available PO/FA/HR/transfer rows. Model Fortinet FortiSwitch 148F. Model Fortinet (E0090) shows Return Overdue in Remote - Former Employee. Acquisition $1,850.</t>
        </is>
      </c>
      <c r="L81" s="7" t="inlineStr">
        <is>
          <t>2026-06-25</t>
        </is>
      </c>
      <c r="M81" s="7" t="n">
        <v>1850</v>
      </c>
      <c r="N81" s="7">
        <f>IFERROR(INDEX('Source Ledger'!$G$5:$G$200,MATCH(A81,'Source Ledger'!$B$5:$B$200,0)),"")</f>
        <v>0</v>
      </c>
      <c r="O81" s="7">
        <f>IFERROR(INDEX('Source Ledger'!$A$5:$A$200,MATCH(A81,'Source Ledger'!$B$5:$B$200,0)),"")</f>
        <v/>
      </c>
      <c r="P81" s="7">
        <f>IFERROR(INDEX('Source Ledger'!$D$5:$D$200,MATCH(A81,'Source Ledger'!$B$5:$B$200,0)),"")</f>
        <v/>
      </c>
      <c r="Q81" s="7" t="inlineStr">
        <is>
          <t>Low</t>
        </is>
      </c>
      <c r="R81" s="7" t="inlineStr">
        <is>
          <t>EX-0084, EX-0085</t>
        </is>
      </c>
      <c r="S81" s="7" t="inlineStr">
        <is>
          <t>Yes</t>
        </is>
      </c>
      <c r="T81">
        <f>IFERROR(INDEX('Source Ledger'!$E$5:$E$200,MATCH(A81,'Source Ledger'!$B$5:$B$200,0)),"")</f>
        <v>1850</v>
      </c>
      <c r="U81">
        <f>IFERROR(INDEX('Source Ledger'!$H$5:$H$200,MATCH(A81,'Source Ledger'!$B$5:$B$200,0)),"")</f>
        <v/>
      </c>
      <c r="V81">
        <f>IFERROR(INDEX('Source Ledger'!$G$5:$G$200,MATCH(A81,'Source Ledger'!$B$5:$B$200,0)),"")</f>
        <v>0</v>
      </c>
      <c r="W81">
        <f>IF(T81="","",T81-M81)</f>
        <v>0</v>
      </c>
      <c r="X81">
        <f>IF(V81="","No","Yes")</f>
        <v/>
      </c>
    </row>
    <row r="82">
      <c r="A82" s="7" t="inlineStr">
        <is>
          <t>MD-00078</t>
        </is>
      </c>
      <c r="B82" s="7" t="inlineStr">
        <is>
          <t>MD-MO-050078</t>
        </is>
      </c>
      <c r="C82" s="7" t="inlineStr">
        <is>
          <t>Network Asset</t>
        </is>
      </c>
      <c r="D82" s="7" t="inlineStr">
        <is>
          <t>Cisco C9300</t>
        </is>
      </c>
      <c r="E82" s="7" t="inlineStr">
        <is>
          <t>E0091</t>
        </is>
      </c>
      <c r="F82" s="7" t="inlineStr">
        <is>
          <t>Chicago - Closed</t>
        </is>
      </c>
      <c r="G82" s="7" t="inlineStr">
        <is>
          <t>Assigned</t>
        </is>
      </c>
      <c r="H82" s="7" t="inlineStr">
        <is>
          <t>E0091</t>
        </is>
      </c>
      <c r="I82" s="7" t="inlineStr">
        <is>
          <t>Remote - Former Employee</t>
        </is>
      </c>
      <c r="J82" s="8" t="inlineStr">
        <is>
          <t>Return Overdue</t>
        </is>
      </c>
      <c r="K82" s="7" t="inlineStr">
        <is>
          <t>Cisco C9300 tagged MD-00078 reconciled using PO-2024-0015+FA-000078+TR-00078+HR. Present state Return Overdue/Remote - Former Employee, cost $565.</t>
        </is>
      </c>
      <c r="L82" s="7" t="inlineStr">
        <is>
          <t>2026-06-25</t>
        </is>
      </c>
      <c r="M82" s="7" t="n">
        <v>565</v>
      </c>
      <c r="N82" s="7">
        <f>IFERROR(INDEX('Source Ledger'!$G$5:$G$200,MATCH(A82,'Source Ledger'!$B$5:$B$200,0)),"")</f>
        <v>328.95</v>
      </c>
      <c r="O82" s="7">
        <f>IFERROR(INDEX('Source Ledger'!$A$5:$A$200,MATCH(A82,'Source Ledger'!$B$5:$B$200,0)),"")</f>
        <v/>
      </c>
      <c r="P82" s="7">
        <f>IFERROR(INDEX('Source Ledger'!$D$5:$D$200,MATCH(A82,'Source Ledger'!$B$5:$B$200,0)),"")</f>
        <v/>
      </c>
      <c r="Q82" s="7" t="inlineStr">
        <is>
          <t>Low</t>
        </is>
      </c>
      <c r="R82" s="7" t="inlineStr">
        <is>
          <t>EX-0086, EX-0087</t>
        </is>
      </c>
      <c r="S82" s="7" t="inlineStr">
        <is>
          <t>Yes</t>
        </is>
      </c>
      <c r="T82">
        <f>IFERROR(INDEX('Source Ledger'!$E$5:$E$200,MATCH(A82,'Source Ledger'!$B$5:$B$200,0)),"")</f>
        <v>565</v>
      </c>
      <c r="U82">
        <f>IFERROR(INDEX('Source Ledger'!$H$5:$H$200,MATCH(A82,'Source Ledger'!$B$5:$B$200,0)),"")</f>
        <v/>
      </c>
      <c r="V82">
        <f>IFERROR(INDEX('Source Ledger'!$G$5:$G$200,MATCH(A82,'Source Ledger'!$B$5:$B$200,0)),"")</f>
        <v>328.95</v>
      </c>
      <c r="W82">
        <f>IF(T82="","",T82-M82)</f>
        <v>0</v>
      </c>
      <c r="X82">
        <f>IF(V82="","No","Yes")</f>
        <v/>
      </c>
    </row>
    <row r="83">
      <c r="A83" s="7" t="inlineStr">
        <is>
          <t>MD-00079</t>
        </is>
      </c>
      <c r="B83" s="7" t="inlineStr">
        <is>
          <t>MD-MO-050079</t>
        </is>
      </c>
      <c r="C83" s="7" t="inlineStr">
        <is>
          <t>Network Asset</t>
        </is>
      </c>
      <c r="D83" s="7" t="inlineStr">
        <is>
          <t>Aruba 6300M</t>
        </is>
      </c>
      <c r="E83" s="7" t="inlineStr">
        <is>
          <t>E0092</t>
        </is>
      </c>
      <c r="F83" s="7" t="inlineStr">
        <is>
          <t>Denver - Closed</t>
        </is>
      </c>
      <c r="G83" s="7" t="inlineStr">
        <is>
          <t>Assigned</t>
        </is>
      </c>
      <c r="H83" s="7" t="inlineStr">
        <is>
          <t>E0092</t>
        </is>
      </c>
      <c r="I83" s="7" t="inlineStr">
        <is>
          <t>Remote - Former Employee</t>
        </is>
      </c>
      <c r="J83" s="8" t="inlineStr">
        <is>
          <t>Return Overdue</t>
        </is>
      </c>
      <c r="K83" s="7" t="inlineStr">
        <is>
          <t>Source stack for MD-00079 (Aruba 6300M): PO-2024-0015, FA-000079, TR-00079. Custodian context E0092; status Return Overdue at Remote - Former Employee; basis $1,040.</t>
        </is>
      </c>
      <c r="L83" s="7" t="inlineStr">
        <is>
          <t>2026-06-25</t>
        </is>
      </c>
      <c r="M83" s="7" t="n">
        <v>1040</v>
      </c>
      <c r="N83" s="7">
        <f>IFERROR(INDEX('Source Ledger'!$G$5:$G$200,MATCH(A83,'Source Ledger'!$B$5:$B$200,0)),"")</f>
        <v>692.62</v>
      </c>
      <c r="O83" s="7">
        <f>IFERROR(INDEX('Source Ledger'!$A$5:$A$200,MATCH(A83,'Source Ledger'!$B$5:$B$200,0)),"")</f>
        <v/>
      </c>
      <c r="P83" s="7">
        <f>IFERROR(INDEX('Source Ledger'!$D$5:$D$200,MATCH(A83,'Source Ledger'!$B$5:$B$200,0)),"")</f>
        <v/>
      </c>
      <c r="Q83" s="7" t="inlineStr">
        <is>
          <t>Low</t>
        </is>
      </c>
      <c r="R83" s="7" t="inlineStr">
        <is>
          <t>EX-0088, EX-0089</t>
        </is>
      </c>
      <c r="S83" s="7" t="inlineStr">
        <is>
          <t>Yes</t>
        </is>
      </c>
      <c r="T83">
        <f>IFERROR(INDEX('Source Ledger'!$E$5:$E$200,MATCH(A83,'Source Ledger'!$B$5:$B$200,0)),"")</f>
        <v>1040</v>
      </c>
      <c r="U83">
        <f>IFERROR(INDEX('Source Ledger'!$H$5:$H$200,MATCH(A83,'Source Ledger'!$B$5:$B$200,0)),"")</f>
        <v/>
      </c>
      <c r="V83">
        <f>IFERROR(INDEX('Source Ledger'!$G$5:$G$200,MATCH(A83,'Source Ledger'!$B$5:$B$200,0)),"")</f>
        <v>692.62</v>
      </c>
      <c r="W83">
        <f>IF(T83="","",T83-M83)</f>
        <v>0</v>
      </c>
      <c r="X83">
        <f>IF(V83="","No","Yes")</f>
        <v/>
      </c>
    </row>
    <row r="84">
      <c r="A84" s="7" t="inlineStr">
        <is>
          <t>MD-00080</t>
        </is>
      </c>
      <c r="B84" s="7" t="inlineStr">
        <is>
          <t>MD-NE-050080</t>
        </is>
      </c>
      <c r="C84" s="7" t="inlineStr">
        <is>
          <t>Network Asset</t>
        </is>
      </c>
      <c r="D84" s="7" t="inlineStr">
        <is>
          <t>Cisco Meraki MS250</t>
        </is>
      </c>
      <c r="E84" s="7" t="inlineStr">
        <is>
          <t>E0093</t>
        </is>
      </c>
      <c r="F84" s="7" t="inlineStr">
        <is>
          <t>Chicago - Closed</t>
        </is>
      </c>
      <c r="G84" s="7" t="inlineStr">
        <is>
          <t>Assigned</t>
        </is>
      </c>
      <c r="H84" s="7" t="inlineStr">
        <is>
          <t>IT Stock</t>
        </is>
      </c>
      <c r="I84" s="7" t="inlineStr">
        <is>
          <t>Atlanta Warehouse</t>
        </is>
      </c>
      <c r="J84" s="7" t="inlineStr">
        <is>
          <t>Available</t>
        </is>
      </c>
      <c r="K84" s="7" t="inlineStr">
        <is>
          <t>Evidence for MD-00080 is piecewise: inventory cost $6,335, FA FA-000080, TR TR-00080, HR status Available, site Atlanta Warehouse.</t>
        </is>
      </c>
      <c r="L84" s="7" t="inlineStr">
        <is>
          <t>2026-07-07</t>
        </is>
      </c>
      <c r="M84" s="7" t="n">
        <v>6335</v>
      </c>
      <c r="N84" s="7">
        <f>IFERROR(INDEX('Source Ledger'!$G$5:$G$200,MATCH(A84,'Source Ledger'!$B$5:$B$200,0)),"")</f>
        <v>1374.53</v>
      </c>
      <c r="O84" s="7">
        <f>IFERROR(INDEX('Source Ledger'!$A$5:$A$200,MATCH(A84,'Source Ledger'!$B$5:$B$200,0)),"")</f>
        <v/>
      </c>
      <c r="P84" s="7">
        <f>IFERROR(INDEX('Source Ledger'!$D$5:$D$200,MATCH(A84,'Source Ledger'!$B$5:$B$200,0)),"")</f>
        <v/>
      </c>
      <c r="Q84" s="9" t="inlineStr">
        <is>
          <t>High</t>
        </is>
      </c>
      <c r="R84" s="7" t="inlineStr">
        <is>
          <t>EX-0090</t>
        </is>
      </c>
      <c r="S84" s="7" t="inlineStr">
        <is>
          <t>Yes</t>
        </is>
      </c>
      <c r="T84">
        <f>IFERROR(INDEX('Source Ledger'!$E$5:$E$200,MATCH(A84,'Source Ledger'!$B$5:$B$200,0)),"")</f>
        <v>6335</v>
      </c>
      <c r="U84">
        <f>IFERROR(INDEX('Source Ledger'!$H$5:$H$200,MATCH(A84,'Source Ledger'!$B$5:$B$200,0)),"")</f>
        <v/>
      </c>
      <c r="V84">
        <f>IFERROR(INDEX('Source Ledger'!$G$5:$G$200,MATCH(A84,'Source Ledger'!$B$5:$B$200,0)),"")</f>
        <v>1374.53</v>
      </c>
      <c r="W84">
        <f>IF(T84="","",T84-M84)</f>
        <v>0</v>
      </c>
      <c r="X84">
        <f>IF(V84="","No","Yes")</f>
        <v/>
      </c>
    </row>
    <row r="85">
      <c r="A85" s="7" t="inlineStr">
        <is>
          <t>MD-00081</t>
        </is>
      </c>
      <c r="B85" s="7" t="inlineStr">
        <is>
          <t>MD-LA-050081</t>
        </is>
      </c>
      <c r="C85" s="7" t="inlineStr">
        <is>
          <t>Network Asset</t>
        </is>
      </c>
      <c r="D85" s="7" t="inlineStr">
        <is>
          <t>Fortinet FortiSwitch 148F</t>
        </is>
      </c>
      <c r="E85" s="7" t="inlineStr">
        <is>
          <t>E0094</t>
        </is>
      </c>
      <c r="F85" s="7" t="inlineStr">
        <is>
          <t>Denver - Closed</t>
        </is>
      </c>
      <c r="G85" s="7" t="inlineStr">
        <is>
          <t>Assigned</t>
        </is>
      </c>
      <c r="H85" s="7" t="inlineStr">
        <is>
          <t>IT Stock</t>
        </is>
      </c>
      <c r="I85" s="7" t="inlineStr">
        <is>
          <t>Atlanta Warehouse</t>
        </is>
      </c>
      <c r="J85" s="7" t="inlineStr">
        <is>
          <t>Available</t>
        </is>
      </c>
      <c r="K85" s="7" t="inlineStr">
        <is>
          <t>Working evidence note on MD-00081: Fortinet FortiSwitch 148F; Available @ Atlanta Warehouse; holder Cecilia Hart; TR-00081; basis $2,030.</t>
        </is>
      </c>
      <c r="L85" s="7" t="inlineStr">
        <is>
          <t>2026-07-07</t>
        </is>
      </c>
      <c r="M85" s="7" t="n">
        <v>2030</v>
      </c>
      <c r="N85" s="7">
        <f>IFERROR(INDEX('Source Ledger'!$G$5:$G$200,MATCH(A85,'Source Ledger'!$B$5:$B$200,0)),"")</f>
        <v>114.4</v>
      </c>
      <c r="O85" s="7">
        <f>IFERROR(INDEX('Source Ledger'!$A$5:$A$200,MATCH(A85,'Source Ledger'!$B$5:$B$200,0)),"")</f>
        <v/>
      </c>
      <c r="P85" s="7">
        <f>IFERROR(INDEX('Source Ledger'!$D$5:$D$200,MATCH(A85,'Source Ledger'!$B$5:$B$200,0)),"")</f>
        <v/>
      </c>
      <c r="Q85" s="9" t="inlineStr">
        <is>
          <t>High</t>
        </is>
      </c>
      <c r="R85" s="7" t="inlineStr">
        <is>
          <t>EX-0091</t>
        </is>
      </c>
      <c r="S85" s="7" t="inlineStr">
        <is>
          <t>Yes</t>
        </is>
      </c>
      <c r="T85">
        <f>IFERROR(INDEX('Source Ledger'!$E$5:$E$200,MATCH(A85,'Source Ledger'!$B$5:$B$200,0)),"")</f>
        <v>2030</v>
      </c>
      <c r="U85">
        <f>IFERROR(INDEX('Source Ledger'!$H$5:$H$200,MATCH(A85,'Source Ledger'!$B$5:$B$200,0)),"")</f>
        <v/>
      </c>
      <c r="V85">
        <f>IFERROR(INDEX('Source Ledger'!$G$5:$G$200,MATCH(A85,'Source Ledger'!$B$5:$B$200,0)),"")</f>
        <v>114.4</v>
      </c>
      <c r="W85">
        <f>IF(T85="","",T85-M85)</f>
        <v>0</v>
      </c>
      <c r="X85">
        <f>IF(V85="","No","Yes")</f>
        <v/>
      </c>
    </row>
    <row r="86">
      <c r="A86" s="7" t="inlineStr">
        <is>
          <t>MD-00082</t>
        </is>
      </c>
      <c r="B86" s="7" t="inlineStr">
        <is>
          <t>MD-MO-050082</t>
        </is>
      </c>
      <c r="C86" s="7" t="inlineStr">
        <is>
          <t>Network Asset</t>
        </is>
      </c>
      <c r="D86" s="7" t="inlineStr">
        <is>
          <t>Cisco C9300</t>
        </is>
      </c>
      <c r="E86" s="7" t="inlineStr">
        <is>
          <t>E0095</t>
        </is>
      </c>
      <c r="F86" s="7" t="inlineStr">
        <is>
          <t>Chicago - Closed</t>
        </is>
      </c>
      <c r="G86" s="7" t="inlineStr">
        <is>
          <t>Assigned</t>
        </is>
      </c>
      <c r="H86" s="7" t="inlineStr">
        <is>
          <t>E0095</t>
        </is>
      </c>
      <c r="I86" s="7" t="inlineStr">
        <is>
          <t>Carrier Network / Unverified</t>
        </is>
      </c>
      <c r="J86" s="8" t="inlineStr">
        <is>
          <t>In Transit - Exception</t>
        </is>
      </c>
      <c r="K86" s="7" t="inlineStr">
        <is>
          <t>Source stack for MD-00082 (Cisco C9300): FA-000082, TR-00082. Custodian context Carrier Network; status In Transit - Exception at Carrier Network / Unverified; basis $745.</t>
        </is>
      </c>
      <c r="L86" s="7" t="inlineStr">
        <is>
          <t>2026-07-02</t>
        </is>
      </c>
      <c r="M86" s="7" t="n">
        <v>745</v>
      </c>
      <c r="N86" s="7">
        <f>IFERROR(INDEX('Source Ledger'!$G$5:$G$200,MATCH(A86,'Source Ledger'!$B$5:$B$200,0)),"")</f>
        <v>485.55</v>
      </c>
      <c r="O86" s="7">
        <f>IFERROR(INDEX('Source Ledger'!$A$5:$A$200,MATCH(A86,'Source Ledger'!$B$5:$B$200,0)),"")</f>
        <v/>
      </c>
      <c r="P86" s="7">
        <f>IFERROR(INDEX('Source Ledger'!$D$5:$D$200,MATCH(A86,'Source Ledger'!$B$5:$B$200,0)),"")</f>
        <v/>
      </c>
      <c r="Q86" s="7" t="inlineStr">
        <is>
          <t>Low</t>
        </is>
      </c>
      <c r="R86" s="7" t="inlineStr">
        <is>
          <t>OFF-00082; 1ZMD00000082; TR-00082; MISMATCH-0082</t>
        </is>
      </c>
      <c r="S86" s="7" t="inlineStr">
        <is>
          <t>Yes</t>
        </is>
      </c>
      <c r="T86">
        <f>IFERROR(INDEX('Source Ledger'!$E$5:$E$200,MATCH(A86,'Source Ledger'!$B$5:$B$200,0)),"")</f>
        <v>745</v>
      </c>
      <c r="U86">
        <f>IFERROR(INDEX('Source Ledger'!$H$5:$H$200,MATCH(A86,'Source Ledger'!$B$5:$B$200,0)),"")</f>
        <v/>
      </c>
      <c r="V86">
        <f>IFERROR(INDEX('Source Ledger'!$G$5:$G$200,MATCH(A86,'Source Ledger'!$B$5:$B$200,0)),"")</f>
        <v>485.55</v>
      </c>
      <c r="W86">
        <f>IF(T86="","",T86-M86)</f>
        <v>0</v>
      </c>
      <c r="X86">
        <f>IF(V86="","No","Yes")</f>
        <v/>
      </c>
    </row>
    <row r="87">
      <c r="A87" s="7" t="inlineStr">
        <is>
          <t>MD-00083</t>
        </is>
      </c>
      <c r="B87" s="7" t="inlineStr">
        <is>
          <t>MD-MO-050083</t>
        </is>
      </c>
      <c r="C87" s="7" t="inlineStr">
        <is>
          <t>Network Asset</t>
        </is>
      </c>
      <c r="D87" s="7" t="inlineStr">
        <is>
          <t>Aruba 6300M</t>
        </is>
      </c>
      <c r="E87" s="7" t="inlineStr">
        <is>
          <t>E0071</t>
        </is>
      </c>
      <c r="F87" s="7" t="inlineStr">
        <is>
          <t>Denver - Closed</t>
        </is>
      </c>
      <c r="G87" s="7" t="inlineStr">
        <is>
          <t>Assigned</t>
        </is>
      </c>
      <c r="H87" s="7" t="inlineStr">
        <is>
          <t>IT Stock</t>
        </is>
      </c>
      <c r="I87" s="7" t="inlineStr">
        <is>
          <t>Atlanta Warehouse</t>
        </is>
      </c>
      <c r="J87" s="7" t="inlineStr">
        <is>
          <t>Available</t>
        </is>
      </c>
      <c r="K87" s="7" t="inlineStr">
        <is>
          <t>Validated MD-00083 against available PO/FA/HR/transfer rows. Model Aruba 6300M. Atlanta Warehouse (E0071) shows Available in Atlanta Warehouse. Acquisition $1,220.</t>
        </is>
      </c>
      <c r="L87" s="7" t="inlineStr">
        <is>
          <t>2026-07-07</t>
        </is>
      </c>
      <c r="M87" s="7" t="n">
        <v>1220</v>
      </c>
      <c r="N87" s="7">
        <f>IFERROR(INDEX('Source Ledger'!$G$5:$G$200,MATCH(A87,'Source Ledger'!$B$5:$B$200,0)),"")</f>
        <v>952.79</v>
      </c>
      <c r="O87" s="7">
        <f>IFERROR(INDEX('Source Ledger'!$A$5:$A$200,MATCH(A87,'Source Ledger'!$B$5:$B$200,0)),"")</f>
        <v/>
      </c>
      <c r="P87" s="7">
        <f>IFERROR(INDEX('Source Ledger'!$D$5:$D$200,MATCH(A87,'Source Ledger'!$B$5:$B$200,0)),"")</f>
        <v/>
      </c>
      <c r="Q87" s="9" t="inlineStr">
        <is>
          <t>High</t>
        </is>
      </c>
      <c r="R87" s="7" t="inlineStr">
        <is>
          <t>EX-0094</t>
        </is>
      </c>
      <c r="S87" s="7" t="inlineStr">
        <is>
          <t>Yes</t>
        </is>
      </c>
      <c r="T87">
        <f>IFERROR(INDEX('Source Ledger'!$E$5:$E$200,MATCH(A87,'Source Ledger'!$B$5:$B$200,0)),"")</f>
        <v>1220</v>
      </c>
      <c r="U87">
        <f>IFERROR(INDEX('Source Ledger'!$H$5:$H$200,MATCH(A87,'Source Ledger'!$B$5:$B$200,0)),"")</f>
        <v/>
      </c>
      <c r="V87">
        <f>IFERROR(INDEX('Source Ledger'!$G$5:$G$200,MATCH(A87,'Source Ledger'!$B$5:$B$200,0)),"")</f>
        <v>952.79</v>
      </c>
      <c r="W87">
        <f>IF(T87="","",T87-M87)</f>
        <v>0</v>
      </c>
      <c r="X87">
        <f>IF(V87="","No","Yes")</f>
        <v/>
      </c>
    </row>
    <row r="88">
      <c r="A88" s="7" t="inlineStr">
        <is>
          <t>MD-00084</t>
        </is>
      </c>
      <c r="B88" s="7" t="inlineStr">
        <is>
          <t>MD-NE-050084</t>
        </is>
      </c>
      <c r="C88" s="7" t="inlineStr">
        <is>
          <t>Network Asset</t>
        </is>
      </c>
      <c r="D88" s="7" t="inlineStr">
        <is>
          <t>Juniper EX3400</t>
        </is>
      </c>
      <c r="E88" s="7" t="inlineStr">
        <is>
          <t>E0072</t>
        </is>
      </c>
      <c r="F88" s="7" t="inlineStr">
        <is>
          <t>Chicago - Closed</t>
        </is>
      </c>
      <c r="G88" s="7" t="inlineStr">
        <is>
          <t>Assigned</t>
        </is>
      </c>
      <c r="H88" s="7" t="inlineStr">
        <is>
          <t>E0072</t>
        </is>
      </c>
      <c r="I88" s="7" t="inlineStr">
        <is>
          <t>Carrier Network / Unverified</t>
        </is>
      </c>
      <c r="J88" s="8" t="inlineStr">
        <is>
          <t>In Transit - Exception</t>
        </is>
      </c>
      <c r="K88" s="7" t="inlineStr">
        <is>
          <t>For MD-00084, register cost $6,200 sits beside FA-000084 . Verified In Transit - Exception / Carrier Network / Unverified.</t>
        </is>
      </c>
      <c r="L88" s="7" t="inlineStr">
        <is>
          <t>2026-07-02</t>
        </is>
      </c>
      <c r="M88" s="7" t="n">
        <v>6200</v>
      </c>
      <c r="N88" s="7">
        <f>IFERROR(INDEX('Source Ledger'!$G$5:$G$200,MATCH(A88,'Source Ledger'!$B$5:$B$200,0)),"")</f>
        <v>533.85</v>
      </c>
      <c r="O88" s="7">
        <f>IFERROR(INDEX('Source Ledger'!$A$5:$A$200,MATCH(A88,'Source Ledger'!$B$5:$B$200,0)),"")</f>
        <v/>
      </c>
      <c r="P88" s="7">
        <f>IFERROR(INDEX('Source Ledger'!$D$5:$D$200,MATCH(A88,'Source Ledger'!$B$5:$B$200,0)),"")</f>
        <v/>
      </c>
      <c r="Q88" s="7" t="inlineStr">
        <is>
          <t>Low</t>
        </is>
      </c>
      <c r="R88" s="7" t="inlineStr">
        <is>
          <t>EX-0095, EX-0096</t>
        </is>
      </c>
      <c r="S88" s="7" t="inlineStr">
        <is>
          <t>Yes</t>
        </is>
      </c>
      <c r="T88">
        <f>IFERROR(INDEX('Source Ledger'!$E$5:$E$200,MATCH(A88,'Source Ledger'!$B$5:$B$200,0)),"")</f>
        <v>6200</v>
      </c>
      <c r="U88">
        <f>IFERROR(INDEX('Source Ledger'!$H$5:$H$200,MATCH(A88,'Source Ledger'!$B$5:$B$200,0)),"")</f>
        <v/>
      </c>
      <c r="V88">
        <f>IFERROR(INDEX('Source Ledger'!$G$5:$G$200,MATCH(A88,'Source Ledger'!$B$5:$B$200,0)),"")</f>
        <v>533.85</v>
      </c>
      <c r="W88">
        <f>IF(T88="","",T88-M88)</f>
        <v>0</v>
      </c>
      <c r="X88">
        <f>IF(V88="","No","Yes")</f>
        <v/>
      </c>
    </row>
    <row r="89">
      <c r="A89" s="7" t="inlineStr">
        <is>
          <t>MD-00085</t>
        </is>
      </c>
      <c r="B89" s="7" t="inlineStr">
        <is>
          <t>MD-LA-050085</t>
        </is>
      </c>
      <c r="C89" s="7" t="inlineStr">
        <is>
          <t>Network Asset</t>
        </is>
      </c>
      <c r="D89" s="7" t="inlineStr">
        <is>
          <t>Cisco Meraki MS250</t>
        </is>
      </c>
      <c r="E89" s="7" t="inlineStr">
        <is>
          <t>E0073</t>
        </is>
      </c>
      <c r="F89" s="7" t="inlineStr">
        <is>
          <t>Denver - Closed</t>
        </is>
      </c>
      <c r="G89" s="7" t="inlineStr">
        <is>
          <t>Assigned</t>
        </is>
      </c>
      <c r="H89" s="7" t="inlineStr">
        <is>
          <t>IT Stock</t>
        </is>
      </c>
      <c r="I89" s="7" t="inlineStr">
        <is>
          <t>Atlanta Warehouse</t>
        </is>
      </c>
      <c r="J89" s="7" t="inlineStr">
        <is>
          <t>Available</t>
        </is>
      </c>
      <c r="K89" s="7" t="inlineStr">
        <is>
          <t>For MD-00085, register cost $1,895 sits beside no FA row and PO-2025-0016. Verified Available / Atlanta Warehouse.</t>
        </is>
      </c>
      <c r="L89" s="7" t="inlineStr">
        <is>
          <t>2026-07-07</t>
        </is>
      </c>
      <c r="M89" s="7" t="n">
        <v>1895</v>
      </c>
      <c r="N89" s="7">
        <f>IFERROR(INDEX('Source Ledger'!$G$5:$G$200,MATCH(A89,'Source Ledger'!$B$5:$B$200,0)),"")</f>
        <v>0</v>
      </c>
      <c r="O89" s="7">
        <f>IFERROR(INDEX('Source Ledger'!$A$5:$A$200,MATCH(A89,'Source Ledger'!$B$5:$B$200,0)),"")</f>
        <v/>
      </c>
      <c r="P89" s="7">
        <f>IFERROR(INDEX('Source Ledger'!$D$5:$D$200,MATCH(A89,'Source Ledger'!$B$5:$B$200,0)),"")</f>
        <v/>
      </c>
      <c r="Q89" s="9" t="inlineStr">
        <is>
          <t>High</t>
        </is>
      </c>
      <c r="R89" s="7" t="inlineStr">
        <is>
          <t>EX-0097, EX-0098</t>
        </is>
      </c>
      <c r="S89" s="7" t="inlineStr">
        <is>
          <t>Yes</t>
        </is>
      </c>
      <c r="T89">
        <f>IFERROR(INDEX('Source Ledger'!$E$5:$E$200,MATCH(A89,'Source Ledger'!$B$5:$B$200,0)),"")</f>
        <v>2090</v>
      </c>
      <c r="U89">
        <f>IFERROR(INDEX('Source Ledger'!$H$5:$H$200,MATCH(A89,'Source Ledger'!$B$5:$B$200,0)),"")</f>
        <v/>
      </c>
      <c r="V89">
        <f>IFERROR(INDEX('Source Ledger'!$G$5:$G$200,MATCH(A89,'Source Ledger'!$B$5:$B$200,0)),"")</f>
        <v>0</v>
      </c>
      <c r="W89">
        <f>IF(T89="","",T89-M89)</f>
        <v>195</v>
      </c>
      <c r="X89">
        <f>IF(V89="","No","Yes")</f>
        <v/>
      </c>
    </row>
    <row r="90">
      <c r="A90" s="7" t="inlineStr">
        <is>
          <t>MD-00086</t>
        </is>
      </c>
      <c r="B90" s="7" t="inlineStr">
        <is>
          <t>MD-MO-050086</t>
        </is>
      </c>
      <c r="C90" s="7" t="inlineStr">
        <is>
          <t>Network Asset</t>
        </is>
      </c>
      <c r="D90" s="7" t="inlineStr">
        <is>
          <t>Fortinet FortiSwitch 148F</t>
        </is>
      </c>
      <c r="E90" s="7" t="inlineStr">
        <is>
          <t>E0074</t>
        </is>
      </c>
      <c r="F90" s="7" t="inlineStr">
        <is>
          <t>Chicago - Closed</t>
        </is>
      </c>
      <c r="G90" s="7" t="inlineStr">
        <is>
          <t>Assigned</t>
        </is>
      </c>
      <c r="H90" s="7" t="inlineStr">
        <is>
          <t>IT Stock</t>
        </is>
      </c>
      <c r="I90" s="7" t="inlineStr">
        <is>
          <t>Atlanta Warehouse</t>
        </is>
      </c>
      <c r="J90" s="7" t="inlineStr">
        <is>
          <t>Available</t>
        </is>
      </c>
      <c r="K90" s="7" t="inlineStr">
        <is>
          <t>Evidence for MD-00086 is piecewise: inventory cost $610, FA absent, TR TR-00086, HR status Available, site Atlanta Warehouse.</t>
        </is>
      </c>
      <c r="L90" s="7" t="inlineStr">
        <is>
          <t>2026-07-07</t>
        </is>
      </c>
      <c r="M90" s="7" t="n">
        <v>610</v>
      </c>
      <c r="N90" s="7">
        <f>IFERROR(INDEX('Source Ledger'!$G$5:$G$200,MATCH(A90,'Source Ledger'!$B$5:$B$200,0)),"")</f>
        <v>317.07</v>
      </c>
      <c r="O90" s="7">
        <f>IFERROR(INDEX('Source Ledger'!$A$5:$A$200,MATCH(A90,'Source Ledger'!$B$5:$B$200,0)),"")</f>
        <v/>
      </c>
      <c r="P90" s="7">
        <f>IFERROR(INDEX('Source Ledger'!$D$5:$D$200,MATCH(A90,'Source Ledger'!$B$5:$B$200,0)),"")</f>
        <v/>
      </c>
      <c r="Q90" s="9" t="inlineStr">
        <is>
          <t>High</t>
        </is>
      </c>
      <c r="R90" s="7" t="inlineStr">
        <is>
          <t>EX-0099</t>
        </is>
      </c>
      <c r="S90" s="7" t="inlineStr">
        <is>
          <t>Yes</t>
        </is>
      </c>
      <c r="T90">
        <f>IFERROR(INDEX('Source Ledger'!$E$5:$E$200,MATCH(A90,'Source Ledger'!$B$5:$B$200,0)),"")</f>
        <v>610</v>
      </c>
      <c r="U90">
        <f>IFERROR(INDEX('Source Ledger'!$H$5:$H$200,MATCH(A90,'Source Ledger'!$B$5:$B$200,0)),"")</f>
        <v/>
      </c>
      <c r="V90">
        <f>IFERROR(INDEX('Source Ledger'!$G$5:$G$200,MATCH(A90,'Source Ledger'!$B$5:$B$200,0)),"")</f>
        <v>317.07</v>
      </c>
      <c r="W90">
        <f>IF(T90="","",T90-M90)</f>
        <v>0</v>
      </c>
      <c r="X90">
        <f>IF(V90="","No","Yes")</f>
        <v/>
      </c>
    </row>
    <row r="91">
      <c r="A91" s="7" t="inlineStr">
        <is>
          <t>MD-00087</t>
        </is>
      </c>
      <c r="B91" s="7" t="inlineStr">
        <is>
          <t>MD-MO-050087</t>
        </is>
      </c>
      <c r="C91" s="7" t="inlineStr">
        <is>
          <t>Network Asset</t>
        </is>
      </c>
      <c r="D91" s="7" t="inlineStr">
        <is>
          <t>Cisco C9300</t>
        </is>
      </c>
      <c r="E91" s="7" t="inlineStr">
        <is>
          <t>E0075</t>
        </is>
      </c>
      <c r="F91" s="7" t="inlineStr">
        <is>
          <t>Denver - Closed</t>
        </is>
      </c>
      <c r="G91" s="7" t="inlineStr">
        <is>
          <t>Assigned</t>
        </is>
      </c>
      <c r="H91" s="7" t="inlineStr">
        <is>
          <t>IT Stock</t>
        </is>
      </c>
      <c r="I91" s="7" t="inlineStr">
        <is>
          <t>Atlanta Warehouse</t>
        </is>
      </c>
      <c r="J91" s="7" t="inlineStr">
        <is>
          <t>Available</t>
        </is>
      </c>
      <c r="K91" s="7" t="inlineStr">
        <is>
          <t>Working evidence note on MD-00087: Cisco C9300; Available @ Atlanta Warehouse; holder Atlanta Warehouse; PO-2022-0017; TR-00087; basis $1,085.</t>
        </is>
      </c>
      <c r="L91" s="7" t="inlineStr">
        <is>
          <t>2026-07-07</t>
        </is>
      </c>
      <c r="M91" s="7" t="n">
        <v>1085</v>
      </c>
      <c r="N91" s="7">
        <f>IFERROR(INDEX('Source Ledger'!$G$5:$G$200,MATCH(A91,'Source Ledger'!$B$5:$B$200,0)),"")</f>
        <v>609.71</v>
      </c>
      <c r="O91" s="7">
        <f>IFERROR(INDEX('Source Ledger'!$A$5:$A$200,MATCH(A91,'Source Ledger'!$B$5:$B$200,0)),"")</f>
        <v/>
      </c>
      <c r="P91" s="7">
        <f>IFERROR(INDEX('Source Ledger'!$D$5:$D$200,MATCH(A91,'Source Ledger'!$B$5:$B$200,0)),"")</f>
        <v/>
      </c>
      <c r="Q91" s="9" t="inlineStr">
        <is>
          <t>High</t>
        </is>
      </c>
      <c r="R91" s="7" t="inlineStr">
        <is>
          <t>EX-0100</t>
        </is>
      </c>
      <c r="S91" s="7" t="inlineStr">
        <is>
          <t>Yes</t>
        </is>
      </c>
      <c r="T91">
        <f>IFERROR(INDEX('Source Ledger'!$E$5:$E$200,MATCH(A91,'Source Ledger'!$B$5:$B$200,0)),"")</f>
        <v>1085</v>
      </c>
      <c r="U91">
        <f>IFERROR(INDEX('Source Ledger'!$H$5:$H$200,MATCH(A91,'Source Ledger'!$B$5:$B$200,0)),"")</f>
        <v/>
      </c>
      <c r="V91">
        <f>IFERROR(INDEX('Source Ledger'!$G$5:$G$200,MATCH(A91,'Source Ledger'!$B$5:$B$200,0)),"")</f>
        <v>609.71</v>
      </c>
      <c r="W91">
        <f>IF(T91="","",T91-M91)</f>
        <v>0</v>
      </c>
      <c r="X91">
        <f>IF(V91="","No","Yes")</f>
        <v/>
      </c>
    </row>
    <row r="92">
      <c r="A92" s="7" t="inlineStr">
        <is>
          <t>MD-00088</t>
        </is>
      </c>
      <c r="B92" s="7" t="inlineStr">
        <is>
          <t>MD-NE-050088</t>
        </is>
      </c>
      <c r="C92" s="7" t="inlineStr">
        <is>
          <t>Network Asset</t>
        </is>
      </c>
      <c r="D92" s="7" t="inlineStr">
        <is>
          <t>Aruba 6300M</t>
        </is>
      </c>
      <c r="E92" s="7" t="inlineStr">
        <is>
          <t>E0076</t>
        </is>
      </c>
      <c r="F92" s="7" t="inlineStr">
        <is>
          <t>Chicago - Closed</t>
        </is>
      </c>
      <c r="G92" s="7" t="inlineStr">
        <is>
          <t>Assigned</t>
        </is>
      </c>
      <c r="H92" s="7" t="inlineStr">
        <is>
          <t>IT Stock</t>
        </is>
      </c>
      <c r="I92" s="7" t="inlineStr">
        <is>
          <t>Atlanta Warehouse</t>
        </is>
      </c>
      <c r="J92" s="7" t="inlineStr">
        <is>
          <t>Available</t>
        </is>
      </c>
      <c r="K92" s="7" t="inlineStr">
        <is>
          <t>Aruba 6300M tagged MD-00088 reconciled using FA-000088+TR-00088+HR. Present state Available/Atlanta Warehouse, cost $6,380.</t>
        </is>
      </c>
      <c r="L92" s="7" t="inlineStr">
        <is>
          <t>2026-07-07</t>
        </is>
      </c>
      <c r="M92" s="7" t="n">
        <v>6380</v>
      </c>
      <c r="N92" s="7">
        <f>IFERROR(INDEX('Source Ledger'!$G$5:$G$200,MATCH(A92,'Source Ledger'!$B$5:$B$200,0)),"")</f>
        <v>982.55</v>
      </c>
      <c r="O92" s="7">
        <f>IFERROR(INDEX('Source Ledger'!$A$5:$A$200,MATCH(A92,'Source Ledger'!$B$5:$B$200,0)),"")</f>
        <v/>
      </c>
      <c r="P92" s="7">
        <f>IFERROR(INDEX('Source Ledger'!$D$5:$D$200,MATCH(A92,'Source Ledger'!$B$5:$B$200,0)),"")</f>
        <v/>
      </c>
      <c r="Q92" s="7" t="inlineStr">
        <is>
          <t>Medium</t>
        </is>
      </c>
      <c r="R92" s="7" t="inlineStr">
        <is>
          <t>EX-0101, EX-0102</t>
        </is>
      </c>
      <c r="S92" s="7" t="inlineStr">
        <is>
          <t>Yes</t>
        </is>
      </c>
      <c r="T92">
        <f>IFERROR(INDEX('Source Ledger'!$E$5:$E$200,MATCH(A92,'Source Ledger'!$B$5:$B$200,0)),"")</f>
        <v>6380</v>
      </c>
      <c r="U92">
        <f>IFERROR(INDEX('Source Ledger'!$H$5:$H$200,MATCH(A92,'Source Ledger'!$B$5:$B$200,0)),"")</f>
        <v/>
      </c>
      <c r="V92">
        <f>IFERROR(INDEX('Source Ledger'!$G$5:$G$200,MATCH(A92,'Source Ledger'!$B$5:$B$200,0)),"")</f>
        <v>982.55</v>
      </c>
      <c r="W92">
        <f>IF(T92="","",T92-M92)</f>
        <v>0</v>
      </c>
      <c r="X92">
        <f>IF(V92="","No","Yes")</f>
        <v/>
      </c>
    </row>
    <row r="93">
      <c r="A93" s="7" t="inlineStr">
        <is>
          <t>MD-00089</t>
        </is>
      </c>
      <c r="B93" s="7" t="inlineStr">
        <is>
          <t>MD-LA-050089</t>
        </is>
      </c>
      <c r="C93" s="7" t="inlineStr">
        <is>
          <t>Network Asset</t>
        </is>
      </c>
      <c r="D93" s="7" t="inlineStr">
        <is>
          <t>Juniper EX3400</t>
        </is>
      </c>
      <c r="E93" s="7" t="inlineStr">
        <is>
          <t>E0077</t>
        </is>
      </c>
      <c r="F93" s="7" t="inlineStr">
        <is>
          <t>Denver - Closed</t>
        </is>
      </c>
      <c r="G93" s="7" t="inlineStr">
        <is>
          <t>Assigned</t>
        </is>
      </c>
      <c r="H93" s="7" t="inlineStr">
        <is>
          <t>E0077</t>
        </is>
      </c>
      <c r="I93" s="7" t="inlineStr">
        <is>
          <t>Unknown</t>
        </is>
      </c>
      <c r="J93" s="8" t="inlineStr">
        <is>
          <t>Missing</t>
        </is>
      </c>
      <c r="K93" s="7" t="inlineStr">
        <is>
          <t>Working evidence note on MD-00089: Juniper EX3400; Missing @ Unknown; PO-2022-0017; TR-00089; basis $2,075.</t>
        </is>
      </c>
      <c r="L93" s="7" t="inlineStr">
        <is>
          <t>2026-06-18</t>
        </is>
      </c>
      <c r="M93" s="7" t="n">
        <v>2075</v>
      </c>
      <c r="N93" s="7">
        <f>IFERROR(INDEX('Source Ledger'!$G$5:$G$200,MATCH(A93,'Source Ledger'!$B$5:$B$200,0)),"")</f>
        <v>0</v>
      </c>
      <c r="O93" s="7">
        <f>IFERROR(INDEX('Source Ledger'!$A$5:$A$200,MATCH(A93,'Source Ledger'!$B$5:$B$200,0)),"")</f>
        <v/>
      </c>
      <c r="P93" s="7">
        <f>IFERROR(INDEX('Source Ledger'!$D$5:$D$200,MATCH(A93,'Source Ledger'!$B$5:$B$200,0)),"")</f>
        <v/>
      </c>
      <c r="Q93" s="7" t="inlineStr">
        <is>
          <t>Low</t>
        </is>
      </c>
      <c r="R93" s="7" t="inlineStr">
        <is>
          <t>EX-0103, EX-0104</t>
        </is>
      </c>
      <c r="S93" s="7" t="inlineStr">
        <is>
          <t>Yes</t>
        </is>
      </c>
      <c r="T93">
        <f>IFERROR(INDEX('Source Ledger'!$E$5:$E$200,MATCH(A93,'Source Ledger'!$B$5:$B$200,0)),"")</f>
        <v>2075</v>
      </c>
      <c r="U93">
        <f>IFERROR(INDEX('Source Ledger'!$H$5:$H$200,MATCH(A93,'Source Ledger'!$B$5:$B$200,0)),"")</f>
        <v/>
      </c>
      <c r="V93">
        <f>IFERROR(INDEX('Source Ledger'!$G$5:$G$200,MATCH(A93,'Source Ledger'!$B$5:$B$200,0)),"")</f>
        <v>0</v>
      </c>
      <c r="W93">
        <f>IF(T93="","",T93-M93)</f>
        <v>0</v>
      </c>
      <c r="X93">
        <f>IF(V93="","No","Yes")</f>
        <v/>
      </c>
    </row>
    <row r="94">
      <c r="A94" s="7" t="inlineStr">
        <is>
          <t>MD-00090</t>
        </is>
      </c>
      <c r="B94" s="7" t="inlineStr">
        <is>
          <t>MD-MO-050090</t>
        </is>
      </c>
      <c r="C94" s="7" t="inlineStr">
        <is>
          <t>Network Asset</t>
        </is>
      </c>
      <c r="D94" s="7" t="inlineStr">
        <is>
          <t>Fortinet FortiSwitch 148F</t>
        </is>
      </c>
      <c r="E94" s="7" t="inlineStr">
        <is>
          <t>E0078</t>
        </is>
      </c>
      <c r="F94" s="7" t="inlineStr">
        <is>
          <t>Chicago - Closed</t>
        </is>
      </c>
      <c r="G94" s="7" t="inlineStr">
        <is>
          <t>Assigned</t>
        </is>
      </c>
      <c r="H94" s="7" t="inlineStr">
        <is>
          <t>E0078</t>
        </is>
      </c>
      <c r="I94" s="7" t="inlineStr">
        <is>
          <t>Unknown</t>
        </is>
      </c>
      <c r="J94" s="8" t="inlineStr">
        <is>
          <t>Missing</t>
        </is>
      </c>
      <c r="K94" s="7" t="inlineStr">
        <is>
          <t>MD-00090 evidence drawn from FA-000090. HR/location reading Missing/Unknown. Move TR-00090. Cost $790.</t>
        </is>
      </c>
      <c r="L94" s="7" t="inlineStr">
        <is>
          <t>2026-06-07</t>
        </is>
      </c>
      <c r="M94" s="7" t="n">
        <v>790</v>
      </c>
      <c r="N94" s="7">
        <f>IFERROR(INDEX('Source Ledger'!$G$5:$G$200,MATCH(A94,'Source Ledger'!$B$5:$B$200,0)),"")</f>
        <v>465.13</v>
      </c>
      <c r="O94" s="7">
        <f>IFERROR(INDEX('Source Ledger'!$A$5:$A$200,MATCH(A94,'Source Ledger'!$B$5:$B$200,0)),"")</f>
        <v/>
      </c>
      <c r="P94" s="7">
        <f>IFERROR(INDEX('Source Ledger'!$D$5:$D$200,MATCH(A94,'Source Ledger'!$B$5:$B$200,0)),"")</f>
        <v/>
      </c>
      <c r="Q94" s="7" t="inlineStr">
        <is>
          <t>Low</t>
        </is>
      </c>
      <c r="R94" s="7" t="inlineStr">
        <is>
          <t>EX-0105, EX-0106</t>
        </is>
      </c>
      <c r="S94" s="7" t="inlineStr">
        <is>
          <t>Yes</t>
        </is>
      </c>
      <c r="T94">
        <f>IFERROR(INDEX('Source Ledger'!$E$5:$E$200,MATCH(A94,'Source Ledger'!$B$5:$B$200,0)),"")</f>
        <v>790</v>
      </c>
      <c r="U94">
        <f>IFERROR(INDEX('Source Ledger'!$H$5:$H$200,MATCH(A94,'Source Ledger'!$B$5:$B$200,0)),"")</f>
        <v/>
      </c>
      <c r="V94">
        <f>IFERROR(INDEX('Source Ledger'!$G$5:$G$200,MATCH(A94,'Source Ledger'!$B$5:$B$200,0)),"")</f>
        <v>465.13</v>
      </c>
      <c r="W94">
        <f>IF(T94="","",T94-M94)</f>
        <v>0</v>
      </c>
      <c r="X94">
        <f>IF(V94="","No","Yes")</f>
        <v/>
      </c>
    </row>
    <row r="95">
      <c r="A95" s="7" t="inlineStr">
        <is>
          <t>MD-00091</t>
        </is>
      </c>
      <c r="B95" s="7" t="inlineStr">
        <is>
          <t>MD-MO-050091</t>
        </is>
      </c>
      <c r="C95" s="7" t="inlineStr">
        <is>
          <t>Network Asset</t>
        </is>
      </c>
      <c r="D95" s="7" t="inlineStr">
        <is>
          <t>Cisco C9300</t>
        </is>
      </c>
      <c r="E95" s="7" t="inlineStr">
        <is>
          <t>E0079</t>
        </is>
      </c>
      <c r="F95" s="7" t="inlineStr">
        <is>
          <t>Denver - Closed</t>
        </is>
      </c>
      <c r="G95" s="7" t="inlineStr">
        <is>
          <t>Assigned</t>
        </is>
      </c>
      <c r="H95" s="7" t="inlineStr">
        <is>
          <t>E0079</t>
        </is>
      </c>
      <c r="I95" s="7" t="inlineStr">
        <is>
          <t>Unknown</t>
        </is>
      </c>
      <c r="J95" s="8" t="inlineStr">
        <is>
          <t>Missing</t>
        </is>
      </c>
      <c r="K95" s="7" t="inlineStr">
        <is>
          <t>Cisco C9300 tagged MD-00091 reconciled using PO-2023-0018+FA-000091+TR-00091+HR. Present state Missing/Unknown, cost $950.</t>
        </is>
      </c>
      <c r="L95" s="7" t="inlineStr">
        <is>
          <t>2026-05-08</t>
        </is>
      </c>
      <c r="M95" s="7" t="n">
        <v>950</v>
      </c>
      <c r="N95" s="7">
        <f>IFERROR(INDEX('Source Ledger'!$G$5:$G$200,MATCH(A95,'Source Ledger'!$B$5:$B$200,0)),"")</f>
        <v>643.09</v>
      </c>
      <c r="O95" s="7">
        <f>IFERROR(INDEX('Source Ledger'!$A$5:$A$200,MATCH(A95,'Source Ledger'!$B$5:$B$200,0)),"")</f>
        <v/>
      </c>
      <c r="P95" s="7">
        <f>IFERROR(INDEX('Source Ledger'!$D$5:$D$200,MATCH(A95,'Source Ledger'!$B$5:$B$200,0)),"")</f>
        <v/>
      </c>
      <c r="Q95" s="7" t="inlineStr">
        <is>
          <t>Low</t>
        </is>
      </c>
      <c r="R95" s="7" t="inlineStr">
        <is>
          <t>EX-0107, EX-0108</t>
        </is>
      </c>
      <c r="S95" s="7" t="inlineStr">
        <is>
          <t>Yes</t>
        </is>
      </c>
      <c r="T95">
        <f>IFERROR(INDEX('Source Ledger'!$E$5:$E$200,MATCH(A95,'Source Ledger'!$B$5:$B$200,0)),"")</f>
        <v>950</v>
      </c>
      <c r="U95">
        <f>IFERROR(INDEX('Source Ledger'!$H$5:$H$200,MATCH(A95,'Source Ledger'!$B$5:$B$200,0)),"")</f>
        <v/>
      </c>
      <c r="V95">
        <f>IFERROR(INDEX('Source Ledger'!$G$5:$G$200,MATCH(A95,'Source Ledger'!$B$5:$B$200,0)),"")</f>
        <v>643.09</v>
      </c>
      <c r="W95">
        <f>IF(T95="","",T95-M95)</f>
        <v>0</v>
      </c>
      <c r="X95">
        <f>IF(V95="","No","Yes")</f>
        <v/>
      </c>
    </row>
    <row r="96">
      <c r="A96" s="7" t="inlineStr">
        <is>
          <t>MD-00092</t>
        </is>
      </c>
      <c r="B96" s="7" t="inlineStr">
        <is>
          <t>MD-NE-050088</t>
        </is>
      </c>
      <c r="C96" s="7" t="inlineStr">
        <is>
          <t>Network Asset</t>
        </is>
      </c>
      <c r="D96" s="7" t="inlineStr">
        <is>
          <t>Aruba 6300M</t>
        </is>
      </c>
      <c r="E96" s="7" t="inlineStr">
        <is>
          <t>E0080</t>
        </is>
      </c>
      <c r="F96" s="7" t="inlineStr">
        <is>
          <t>Chicago - Closed</t>
        </is>
      </c>
      <c r="G96" s="7" t="inlineStr">
        <is>
          <t>Assigned</t>
        </is>
      </c>
      <c r="H96" s="7" t="inlineStr">
        <is>
          <t>E0080</t>
        </is>
      </c>
      <c r="I96" s="7" t="inlineStr">
        <is>
          <t>Unknown</t>
        </is>
      </c>
      <c r="J96" s="8" t="inlineStr">
        <is>
          <t>Missing</t>
        </is>
      </c>
      <c r="K96" s="7" t="inlineStr">
        <is>
          <t>Source stack for MD-00092 (Aruba 6300M): PO-2023-0018, FA-000092, TR-00092. Custodian context Model Aruba; status Missing at Unknown; basis $6,245.</t>
        </is>
      </c>
      <c r="L96" s="7" t="inlineStr">
        <is>
          <t>2026-06-09</t>
        </is>
      </c>
      <c r="M96" s="7" t="n">
        <v>6245</v>
      </c>
      <c r="N96" s="7">
        <f>IFERROR(INDEX('Source Ledger'!$G$5:$G$200,MATCH(A96,'Source Ledger'!$B$5:$B$200,0)),"")</f>
        <v>1396.04</v>
      </c>
      <c r="O96" s="7">
        <f>IFERROR(INDEX('Source Ledger'!$A$5:$A$200,MATCH(A96,'Source Ledger'!$B$5:$B$200,0)),"")</f>
        <v/>
      </c>
      <c r="P96" s="7">
        <f>IFERROR(INDEX('Source Ledger'!$D$5:$D$200,MATCH(A96,'Source Ledger'!$B$5:$B$200,0)),"")</f>
        <v/>
      </c>
      <c r="Q96" s="7" t="inlineStr">
        <is>
          <t>Low</t>
        </is>
      </c>
      <c r="R96" s="7" t="inlineStr">
        <is>
          <t>EX-0109, EX-0110, EX-0111</t>
        </is>
      </c>
      <c r="S96" s="7" t="inlineStr">
        <is>
          <t>Yes</t>
        </is>
      </c>
      <c r="T96">
        <f>IFERROR(INDEX('Source Ledger'!$E$5:$E$200,MATCH(A96,'Source Ledger'!$B$5:$B$200,0)),"")</f>
        <v>6245</v>
      </c>
      <c r="U96">
        <f>IFERROR(INDEX('Source Ledger'!$H$5:$H$200,MATCH(A96,'Source Ledger'!$B$5:$B$200,0)),"")</f>
        <v/>
      </c>
      <c r="V96">
        <f>IFERROR(INDEX('Source Ledger'!$G$5:$G$200,MATCH(A96,'Source Ledger'!$B$5:$B$200,0)),"")</f>
        <v>1396.04</v>
      </c>
      <c r="W96">
        <f>IF(T96="","",T96-M96)</f>
        <v>0</v>
      </c>
      <c r="X96">
        <f>IF(V96="","No","Yes")</f>
        <v/>
      </c>
    </row>
    <row r="97">
      <c r="A97" s="7" t="inlineStr">
        <is>
          <t>MD-00093</t>
        </is>
      </c>
      <c r="B97" s="7" t="inlineStr">
        <is>
          <t>MD-LA-050093</t>
        </is>
      </c>
      <c r="C97" s="7" t="inlineStr">
        <is>
          <t>Network Asset</t>
        </is>
      </c>
      <c r="D97" s="7" t="inlineStr">
        <is>
          <t>Juniper EX3400</t>
        </is>
      </c>
      <c r="E97" s="7" t="inlineStr">
        <is>
          <t>E0081</t>
        </is>
      </c>
      <c r="F97" s="7" t="inlineStr">
        <is>
          <t>Denver - Closed</t>
        </is>
      </c>
      <c r="G97" s="7" t="inlineStr">
        <is>
          <t>Assigned</t>
        </is>
      </c>
      <c r="H97" s="7" t="inlineStr">
        <is>
          <t>E0081</t>
        </is>
      </c>
      <c r="I97" s="7" t="inlineStr">
        <is>
          <t>Unknown</t>
        </is>
      </c>
      <c r="J97" s="8" t="inlineStr">
        <is>
          <t>Missing</t>
        </is>
      </c>
      <c r="K97" s="7" t="inlineStr">
        <is>
          <t>Working evidence note on MD-00093: Juniper EX3400; Missing @ Unknown; PO-2023-0018; FA-000093; TR-00093; basis $1,940.</t>
        </is>
      </c>
      <c r="L97" s="7" t="inlineStr">
        <is>
          <t>2026-05-10</t>
        </is>
      </c>
      <c r="M97" s="7" t="n">
        <v>1940</v>
      </c>
      <c r="N97" s="7">
        <f>IFERROR(INDEX('Source Ledger'!$G$5:$G$200,MATCH(A97,'Source Ledger'!$B$5:$B$200,0)),"")</f>
        <v>130.57</v>
      </c>
      <c r="O97" s="7">
        <f>IFERROR(INDEX('Source Ledger'!$A$5:$A$200,MATCH(A97,'Source Ledger'!$B$5:$B$200,0)),"")</f>
        <v/>
      </c>
      <c r="P97" s="7">
        <f>IFERROR(INDEX('Source Ledger'!$D$5:$D$200,MATCH(A97,'Source Ledger'!$B$5:$B$200,0)),"")</f>
        <v/>
      </c>
      <c r="Q97" s="7" t="inlineStr">
        <is>
          <t>Low</t>
        </is>
      </c>
      <c r="R97" s="7" t="inlineStr">
        <is>
          <t>EX-0112, EX-0113</t>
        </is>
      </c>
      <c r="S97" s="7" t="inlineStr">
        <is>
          <t>Yes</t>
        </is>
      </c>
      <c r="T97">
        <f>IFERROR(INDEX('Source Ledger'!$E$5:$E$200,MATCH(A97,'Source Ledger'!$B$5:$B$200,0)),"")</f>
        <v>1940</v>
      </c>
      <c r="U97">
        <f>IFERROR(INDEX('Source Ledger'!$H$5:$H$200,MATCH(A97,'Source Ledger'!$B$5:$B$200,0)),"")</f>
        <v/>
      </c>
      <c r="V97">
        <f>IFERROR(INDEX('Source Ledger'!$G$5:$G$200,MATCH(A97,'Source Ledger'!$B$5:$B$200,0)),"")</f>
        <v>130.57</v>
      </c>
      <c r="W97">
        <f>IF(T97="","",T97-M97)</f>
        <v>0</v>
      </c>
      <c r="X97">
        <f>IF(V97="","No","Yes")</f>
        <v/>
      </c>
    </row>
    <row r="98">
      <c r="A98" s="7" t="inlineStr">
        <is>
          <t>MD-00094</t>
        </is>
      </c>
      <c r="B98" s="7" t="inlineStr">
        <is>
          <t>MD-MO-050094</t>
        </is>
      </c>
      <c r="C98" s="7" t="inlineStr">
        <is>
          <t>Network Asset</t>
        </is>
      </c>
      <c r="D98" s="7" t="inlineStr">
        <is>
          <t>Cisco Meraki MS250</t>
        </is>
      </c>
      <c r="E98" s="7" t="inlineStr">
        <is>
          <t>E0082</t>
        </is>
      </c>
      <c r="F98" s="7" t="inlineStr">
        <is>
          <t>Chicago - Closed</t>
        </is>
      </c>
      <c r="G98" s="7" t="inlineStr">
        <is>
          <t>Assigned</t>
        </is>
      </c>
      <c r="H98" s="7" t="inlineStr">
        <is>
          <t>E0082</t>
        </is>
      </c>
      <c r="I98" s="7" t="inlineStr">
        <is>
          <t>Unknown</t>
        </is>
      </c>
      <c r="J98" s="8" t="inlineStr">
        <is>
          <t>Missing</t>
        </is>
      </c>
      <c r="K98" s="7" t="inlineStr">
        <is>
          <t>For MD-00094, register cost $655 sits beside FA-000094 and PO-2023-0018. Transfer TR-00094 on file. Verified Missing / Unknown.</t>
        </is>
      </c>
      <c r="L98" s="7" t="inlineStr">
        <is>
          <t>2026-06-11</t>
        </is>
      </c>
      <c r="M98" s="7" t="n">
        <v>655</v>
      </c>
      <c r="N98" s="7">
        <f>IFERROR(INDEX('Source Ledger'!$G$5:$G$200,MATCH(A98,'Source Ledger'!$B$5:$B$200,0)),"")</f>
        <v>431.2</v>
      </c>
      <c r="O98" s="7">
        <f>IFERROR(INDEX('Source Ledger'!$A$5:$A$200,MATCH(A98,'Source Ledger'!$B$5:$B$200,0)),"")</f>
        <v/>
      </c>
      <c r="P98" s="7">
        <f>IFERROR(INDEX('Source Ledger'!$D$5:$D$200,MATCH(A98,'Source Ledger'!$B$5:$B$200,0)),"")</f>
        <v/>
      </c>
      <c r="Q98" s="7" t="inlineStr">
        <is>
          <t>Low</t>
        </is>
      </c>
      <c r="R98" s="7" t="inlineStr">
        <is>
          <t>EX-0114, EX-0115</t>
        </is>
      </c>
      <c r="S98" s="7" t="inlineStr">
        <is>
          <t>Yes</t>
        </is>
      </c>
      <c r="T98">
        <f>IFERROR(INDEX('Source Ledger'!$E$5:$E$200,MATCH(A98,'Source Ledger'!$B$5:$B$200,0)),"")</f>
        <v>655</v>
      </c>
      <c r="U98">
        <f>IFERROR(INDEX('Source Ledger'!$H$5:$H$200,MATCH(A98,'Source Ledger'!$B$5:$B$200,0)),"")</f>
        <v/>
      </c>
      <c r="V98">
        <f>IFERROR(INDEX('Source Ledger'!$G$5:$G$200,MATCH(A98,'Source Ledger'!$B$5:$B$200,0)),"")</f>
        <v>431.2</v>
      </c>
      <c r="W98">
        <f>IF(T98="","",T98-M98)</f>
        <v>0</v>
      </c>
      <c r="X98">
        <f>IF(V98="","No","Yes")</f>
        <v/>
      </c>
    </row>
    <row r="99">
      <c r="A99" s="7" t="inlineStr">
        <is>
          <t>MD-00095</t>
        </is>
      </c>
      <c r="B99" s="7" t="inlineStr">
        <is>
          <t>MD-MO-050095</t>
        </is>
      </c>
      <c r="C99" s="7" t="inlineStr">
        <is>
          <t>Network Asset</t>
        </is>
      </c>
      <c r="D99" s="7" t="inlineStr">
        <is>
          <t>Fortinet FortiSwitch 148F</t>
        </is>
      </c>
      <c r="E99" s="7" t="inlineStr">
        <is>
          <t>E0083</t>
        </is>
      </c>
      <c r="F99" s="7" t="inlineStr">
        <is>
          <t>Denver - Closed</t>
        </is>
      </c>
      <c r="G99" s="7" t="inlineStr">
        <is>
          <t>Assigned</t>
        </is>
      </c>
      <c r="H99" s="7" t="inlineStr">
        <is>
          <t>E0083</t>
        </is>
      </c>
      <c r="I99" s="7" t="inlineStr">
        <is>
          <t>Unknown</t>
        </is>
      </c>
      <c r="J99" s="8" t="inlineStr">
        <is>
          <t>Missing</t>
        </is>
      </c>
      <c r="K99" s="7" t="inlineStr">
        <is>
          <t>Fortinet FortiSwitch 148F tagged MD-00095 reconciled using PO-2023-0018+FA-000095+HR. Present state Missing/Unknown, cost $1,130.</t>
        </is>
      </c>
      <c r="L99" s="7" t="inlineStr">
        <is>
          <t>2026-06-24</t>
        </is>
      </c>
      <c r="M99" s="7" t="n">
        <v>1130</v>
      </c>
      <c r="N99" s="7">
        <f>IFERROR(INDEX('Source Ledger'!$G$5:$G$200,MATCH(A99,'Source Ledger'!$B$5:$B$200,0)),"")</f>
        <v>894.87</v>
      </c>
      <c r="O99" s="7">
        <f>IFERROR(INDEX('Source Ledger'!$A$5:$A$200,MATCH(A99,'Source Ledger'!$B$5:$B$200,0)),"")</f>
        <v/>
      </c>
      <c r="P99" s="7">
        <f>IFERROR(INDEX('Source Ledger'!$D$5:$D$200,MATCH(A99,'Source Ledger'!$B$5:$B$200,0)),"")</f>
        <v/>
      </c>
      <c r="Q99" s="7" t="inlineStr">
        <is>
          <t>Low</t>
        </is>
      </c>
      <c r="R99" s="7" t="inlineStr">
        <is>
          <t>EX-0116, EX-0117</t>
        </is>
      </c>
      <c r="S99" s="7" t="inlineStr">
        <is>
          <t>Yes</t>
        </is>
      </c>
      <c r="T99">
        <f>IFERROR(INDEX('Source Ledger'!$E$5:$E$200,MATCH(A99,'Source Ledger'!$B$5:$B$200,0)),"")</f>
        <v>1130</v>
      </c>
      <c r="U99">
        <f>IFERROR(INDEX('Source Ledger'!$H$5:$H$200,MATCH(A99,'Source Ledger'!$B$5:$B$200,0)),"")</f>
        <v/>
      </c>
      <c r="V99">
        <f>IFERROR(INDEX('Source Ledger'!$G$5:$G$200,MATCH(A99,'Source Ledger'!$B$5:$B$200,0)),"")</f>
        <v>894.87</v>
      </c>
      <c r="W99">
        <f>IF(T99="","",T99-M99)</f>
        <v>0</v>
      </c>
      <c r="X99">
        <f>IF(V99="","No","Yes")</f>
        <v/>
      </c>
    </row>
    <row r="100">
      <c r="A100" s="7" t="inlineStr">
        <is>
          <t>MD-00096</t>
        </is>
      </c>
      <c r="B100" s="7" t="inlineStr">
        <is>
          <t>MD-NE-050096</t>
        </is>
      </c>
      <c r="C100" s="7" t="inlineStr">
        <is>
          <t>Network Asset</t>
        </is>
      </c>
      <c r="D100" s="7" t="inlineStr">
        <is>
          <t>Cisco C9300</t>
        </is>
      </c>
      <c r="E100" s="7" t="inlineStr">
        <is>
          <t>E0084</t>
        </is>
      </c>
      <c r="F100" s="7" t="inlineStr">
        <is>
          <t>Chicago - Closed</t>
        </is>
      </c>
      <c r="G100" s="7" t="inlineStr">
        <is>
          <t>Assigned</t>
        </is>
      </c>
      <c r="H100" s="7" t="inlineStr">
        <is>
          <t>E0084</t>
        </is>
      </c>
      <c r="I100" s="7" t="inlineStr">
        <is>
          <t>Unknown</t>
        </is>
      </c>
      <c r="J100" s="8" t="inlineStr">
        <is>
          <t>Missing</t>
        </is>
      </c>
      <c r="K100" s="7" t="inlineStr">
        <is>
          <t>Working evidence note on MD-00096: Cisco C9300; Missing @ Unknown; holder Mira Adelman; TR-00096; basis $6,425.</t>
        </is>
      </c>
      <c r="L100" s="7" t="inlineStr">
        <is>
          <t>2026-06-13</t>
        </is>
      </c>
      <c r="M100" s="7" t="n">
        <v>6425</v>
      </c>
      <c r="N100" s="7">
        <f>IFERROR(INDEX('Source Ledger'!$G$5:$G$200,MATCH(A100,'Source Ledger'!$B$5:$B$200,0)),"")</f>
        <v>511.01</v>
      </c>
      <c r="O100" s="7">
        <f>IFERROR(INDEX('Source Ledger'!$A$5:$A$200,MATCH(A100,'Source Ledger'!$B$5:$B$200,0)),"")</f>
        <v/>
      </c>
      <c r="P100" s="7">
        <f>IFERROR(INDEX('Source Ledger'!$D$5:$D$200,MATCH(A100,'Source Ledger'!$B$5:$B$200,0)),"")</f>
        <v/>
      </c>
      <c r="Q100" s="7" t="inlineStr">
        <is>
          <t>Low</t>
        </is>
      </c>
      <c r="R100" s="7" t="inlineStr">
        <is>
          <t>EX-0118, EX-0119</t>
        </is>
      </c>
      <c r="S100" s="7" t="inlineStr">
        <is>
          <t>Yes</t>
        </is>
      </c>
      <c r="T100">
        <f>IFERROR(INDEX('Source Ledger'!$E$5:$E$200,MATCH(A100,'Source Ledger'!$B$5:$B$200,0)),"")</f>
        <v>6425</v>
      </c>
      <c r="U100">
        <f>IFERROR(INDEX('Source Ledger'!$H$5:$H$200,MATCH(A100,'Source Ledger'!$B$5:$B$200,0)),"")</f>
        <v/>
      </c>
      <c r="V100">
        <f>IFERROR(INDEX('Source Ledger'!$G$5:$G$200,MATCH(A100,'Source Ledger'!$B$5:$B$200,0)),"")</f>
        <v>511.01</v>
      </c>
      <c r="W100">
        <f>IF(T100="","",T100-M100)</f>
        <v>0</v>
      </c>
      <c r="X100">
        <f>IF(V100="","No","Yes")</f>
        <v/>
      </c>
    </row>
    <row r="101">
      <c r="A101" s="7" t="inlineStr">
        <is>
          <t>MD-00097</t>
        </is>
      </c>
      <c r="B101" s="7" t="inlineStr">
        <is>
          <t>MD-LA-050097</t>
        </is>
      </c>
      <c r="C101" s="7" t="inlineStr">
        <is>
          <t>Network Asset</t>
        </is>
      </c>
      <c r="D101" s="7" t="inlineStr">
        <is>
          <t>Aruba 6300M</t>
        </is>
      </c>
      <c r="E101" s="7" t="inlineStr">
        <is>
          <t>E0085</t>
        </is>
      </c>
      <c r="F101" s="7" t="inlineStr">
        <is>
          <t>Denver - Closed</t>
        </is>
      </c>
      <c r="G101" s="7" t="inlineStr">
        <is>
          <t>Assigned</t>
        </is>
      </c>
      <c r="H101" s="7" t="inlineStr">
        <is>
          <t>E0085</t>
        </is>
      </c>
      <c r="I101" s="7" t="inlineStr">
        <is>
          <t>Unknown</t>
        </is>
      </c>
      <c r="J101" s="8" t="inlineStr">
        <is>
          <t>Missing</t>
        </is>
      </c>
      <c r="K101" s="7" t="inlineStr">
        <is>
          <t>Validated MD-00097 against available PO/FA/HR/transfer rows. Model Aruba 6300M. Quincy Rhodes (E0085) shows Missing in Unknown. Acquisition $2,120.</t>
        </is>
      </c>
      <c r="L101" s="7" t="inlineStr">
        <is>
          <t>2026-05-14</t>
        </is>
      </c>
      <c r="M101" s="7" t="n">
        <v>2120</v>
      </c>
      <c r="N101" s="7">
        <f>IFERROR(INDEX('Source Ledger'!$G$5:$G$200,MATCH(A101,'Source Ledger'!$B$5:$B$200,0)),"")</f>
        <v>0</v>
      </c>
      <c r="O101" s="7">
        <f>IFERROR(INDEX('Source Ledger'!$A$5:$A$200,MATCH(A101,'Source Ledger'!$B$5:$B$200,0)),"")</f>
        <v/>
      </c>
      <c r="P101" s="7">
        <f>IFERROR(INDEX('Source Ledger'!$D$5:$D$200,MATCH(A101,'Source Ledger'!$B$5:$B$200,0)),"")</f>
        <v/>
      </c>
      <c r="Q101" s="7" t="inlineStr">
        <is>
          <t>Low</t>
        </is>
      </c>
      <c r="R101" s="7" t="inlineStr">
        <is>
          <t>EX-0120, EX-0121</t>
        </is>
      </c>
      <c r="S101" s="7" t="inlineStr">
        <is>
          <t>Yes</t>
        </is>
      </c>
      <c r="T101">
        <f>IFERROR(INDEX('Source Ledger'!$E$5:$E$200,MATCH(A101,'Source Ledger'!$B$5:$B$200,0)),"")</f>
        <v>2120</v>
      </c>
      <c r="U101">
        <f>IFERROR(INDEX('Source Ledger'!$H$5:$H$200,MATCH(A101,'Source Ledger'!$B$5:$B$200,0)),"")</f>
        <v/>
      </c>
      <c r="V101">
        <f>IFERROR(INDEX('Source Ledger'!$G$5:$G$200,MATCH(A101,'Source Ledger'!$B$5:$B$200,0)),"")</f>
        <v>0</v>
      </c>
      <c r="W101">
        <f>IF(T101="","",T101-M101)</f>
        <v>0</v>
      </c>
      <c r="X101">
        <f>IF(V101="","No","Yes")</f>
        <v/>
      </c>
    </row>
    <row r="102">
      <c r="A102" s="7" t="inlineStr">
        <is>
          <t>MD-00098</t>
        </is>
      </c>
      <c r="B102" s="7" t="inlineStr">
        <is>
          <t>MD-MO-050098</t>
        </is>
      </c>
      <c r="C102" s="7" t="inlineStr">
        <is>
          <t>Network Asset</t>
        </is>
      </c>
      <c r="D102" s="7" t="inlineStr">
        <is>
          <t>Juniper EX3400</t>
        </is>
      </c>
      <c r="E102" s="7" t="inlineStr">
        <is>
          <t>E0086</t>
        </is>
      </c>
      <c r="F102" s="7" t="inlineStr">
        <is>
          <t>Chicago - Closed</t>
        </is>
      </c>
      <c r="G102" s="7" t="inlineStr">
        <is>
          <t>Assigned</t>
        </is>
      </c>
      <c r="H102" s="7" t="inlineStr">
        <is>
          <t>E0086</t>
        </is>
      </c>
      <c r="I102" s="7" t="inlineStr">
        <is>
          <t>Unknown</t>
        </is>
      </c>
      <c r="J102" s="8" t="inlineStr">
        <is>
          <t>Missing</t>
        </is>
      </c>
      <c r="K102" s="7" t="inlineStr">
        <is>
          <t>For MD-00098, register cost $520 sits beside no FA row . Transfer TR-00098 on file. Verified Missing / Unknown.</t>
        </is>
      </c>
      <c r="L102" s="7" t="inlineStr">
        <is>
          <t>2026-06-15</t>
        </is>
      </c>
      <c r="M102" s="7" t="n">
        <v>520</v>
      </c>
      <c r="N102" s="7">
        <f>IFERROR(INDEX('Source Ledger'!$G$5:$G$200,MATCH(A102,'Source Ledger'!$B$5:$B$200,0)),"")</f>
        <v>266.87</v>
      </c>
      <c r="O102" s="7">
        <f>IFERROR(INDEX('Source Ledger'!$A$5:$A$200,MATCH(A102,'Source Ledger'!$B$5:$B$200,0)),"")</f>
        <v/>
      </c>
      <c r="P102" s="7">
        <f>IFERROR(INDEX('Source Ledger'!$D$5:$D$200,MATCH(A102,'Source Ledger'!$B$5:$B$200,0)),"")</f>
        <v/>
      </c>
      <c r="Q102" s="7" t="inlineStr">
        <is>
          <t>Low</t>
        </is>
      </c>
      <c r="R102" s="7" t="inlineStr">
        <is>
          <t>EX-0122, EX-0123</t>
        </is>
      </c>
      <c r="S102" s="7" t="inlineStr">
        <is>
          <t>Yes</t>
        </is>
      </c>
      <c r="T102">
        <f>IFERROR(INDEX('Source Ledger'!$E$5:$E$200,MATCH(A102,'Source Ledger'!$B$5:$B$200,0)),"")</f>
        <v>520</v>
      </c>
      <c r="U102">
        <f>IFERROR(INDEX('Source Ledger'!$H$5:$H$200,MATCH(A102,'Source Ledger'!$B$5:$B$200,0)),"")</f>
        <v/>
      </c>
      <c r="V102">
        <f>IFERROR(INDEX('Source Ledger'!$G$5:$G$200,MATCH(A102,'Source Ledger'!$B$5:$B$200,0)),"")</f>
        <v>266.87</v>
      </c>
      <c r="W102">
        <f>IF(T102="","",T102-M102)</f>
        <v>0</v>
      </c>
      <c r="X102">
        <f>IF(V102="","No","Yes")</f>
        <v/>
      </c>
    </row>
    <row r="103">
      <c r="A103" s="7" t="inlineStr">
        <is>
          <t>MD-00099</t>
        </is>
      </c>
      <c r="B103" s="7" t="inlineStr">
        <is>
          <t>MD-MO-050099</t>
        </is>
      </c>
      <c r="C103" s="7" t="inlineStr">
        <is>
          <t>Network Asset</t>
        </is>
      </c>
      <c r="D103" s="7" t="inlineStr">
        <is>
          <t>Cisco Meraki MS250</t>
        </is>
      </c>
      <c r="E103" s="7" t="inlineStr">
        <is>
          <t>E0087</t>
        </is>
      </c>
      <c r="F103" s="7" t="inlineStr">
        <is>
          <t>Denver - Closed</t>
        </is>
      </c>
      <c r="G103" s="7" t="inlineStr">
        <is>
          <t>Assigned</t>
        </is>
      </c>
      <c r="H103" s="7" t="inlineStr">
        <is>
          <t>E0087</t>
        </is>
      </c>
      <c r="I103" s="7" t="inlineStr">
        <is>
          <t>Unknown</t>
        </is>
      </c>
      <c r="J103" s="8" t="inlineStr">
        <is>
          <t>Missing</t>
        </is>
      </c>
      <c r="K103" s="7" t="inlineStr">
        <is>
          <t>MD-00099 evidence drawn from FA-000099. HR/location reading Missing/Unknown. Cost $995.</t>
        </is>
      </c>
      <c r="L103" s="7" t="inlineStr">
        <is>
          <t>2026-05-16</t>
        </is>
      </c>
      <c r="M103" s="7" t="n">
        <v>995</v>
      </c>
      <c r="N103" s="7">
        <f>IFERROR(INDEX('Source Ledger'!$G$5:$G$200,MATCH(A103,'Source Ledger'!$B$5:$B$200,0)),"")</f>
        <v>548.24</v>
      </c>
      <c r="O103" s="7">
        <f>IFERROR(INDEX('Source Ledger'!$A$5:$A$200,MATCH(A103,'Source Ledger'!$B$5:$B$200,0)),"")</f>
        <v/>
      </c>
      <c r="P103" s="7">
        <f>IFERROR(INDEX('Source Ledger'!$D$5:$D$200,MATCH(A103,'Source Ledger'!$B$5:$B$200,0)),"")</f>
        <v/>
      </c>
      <c r="Q103" s="7" t="inlineStr">
        <is>
          <t>Low</t>
        </is>
      </c>
      <c r="R103" s="7" t="inlineStr">
        <is>
          <t>EX-0124, EX-0125</t>
        </is>
      </c>
      <c r="S103" s="7" t="inlineStr">
        <is>
          <t>Yes</t>
        </is>
      </c>
      <c r="T103">
        <f>IFERROR(INDEX('Source Ledger'!$E$5:$E$200,MATCH(A103,'Source Ledger'!$B$5:$B$200,0)),"")</f>
        <v>995</v>
      </c>
      <c r="U103">
        <f>IFERROR(INDEX('Source Ledger'!$H$5:$H$200,MATCH(A103,'Source Ledger'!$B$5:$B$200,0)),"")</f>
        <v/>
      </c>
      <c r="V103">
        <f>IFERROR(INDEX('Source Ledger'!$G$5:$G$200,MATCH(A103,'Source Ledger'!$B$5:$B$200,0)),"")</f>
        <v>548.24</v>
      </c>
      <c r="W103">
        <f>IF(T103="","",T103-M103)</f>
        <v>0</v>
      </c>
      <c r="X103">
        <f>IF(V103="","No","Yes")</f>
        <v/>
      </c>
    </row>
    <row r="104">
      <c r="A104" s="7" t="inlineStr">
        <is>
          <t>MD-00100</t>
        </is>
      </c>
      <c r="B104" s="7" t="inlineStr">
        <is>
          <t>MD-NE-050100</t>
        </is>
      </c>
      <c r="C104" s="7" t="inlineStr">
        <is>
          <t>Laptop</t>
        </is>
      </c>
      <c r="D104" s="7" t="inlineStr">
        <is>
          <t>HP EliteBook 840 G10</t>
        </is>
      </c>
      <c r="E104" s="7" t="inlineStr">
        <is>
          <t>E0088</t>
        </is>
      </c>
      <c r="F104" s="7" t="inlineStr">
        <is>
          <t>Chicago - Closed</t>
        </is>
      </c>
      <c r="G104" s="7" t="inlineStr">
        <is>
          <t>Assigned</t>
        </is>
      </c>
      <c r="H104" s="7" t="inlineStr">
        <is>
          <t>E0088</t>
        </is>
      </c>
      <c r="I104" s="7" t="inlineStr">
        <is>
          <t>Unknown</t>
        </is>
      </c>
      <c r="J104" s="8" t="inlineStr">
        <is>
          <t>Missing</t>
        </is>
      </c>
      <c r="K104" s="7" t="inlineStr">
        <is>
          <t>Source stack for MD-00100 (HP EliteBook 840 G10): PO-2024-0019. Custodian context Ivy Chenoweth; status Missing at Unknown; basis $6,290.</t>
        </is>
      </c>
      <c r="L104" s="7" t="inlineStr">
        <is>
          <t>2026-06-17</t>
        </is>
      </c>
      <c r="M104" s="7" t="n">
        <v>6290</v>
      </c>
      <c r="N104" s="7">
        <f>IFERROR(INDEX('Source Ledger'!$G$5:$G$200,MATCH(A104,'Source Ledger'!$B$5:$B$200,0)),"")</f>
        <v>927.36</v>
      </c>
      <c r="O104" s="7">
        <f>IFERROR(INDEX('Source Ledger'!$A$5:$A$200,MATCH(A104,'Source Ledger'!$B$5:$B$200,0)),"")</f>
        <v/>
      </c>
      <c r="P104" s="7">
        <f>IFERROR(INDEX('Source Ledger'!$D$5:$D$200,MATCH(A104,'Source Ledger'!$B$5:$B$200,0)),"")</f>
        <v/>
      </c>
      <c r="Q104" s="7" t="inlineStr">
        <is>
          <t>Low</t>
        </is>
      </c>
      <c r="R104" s="7" t="inlineStr">
        <is>
          <t>EX-0126, EX-0127</t>
        </is>
      </c>
      <c r="S104" s="7" t="inlineStr">
        <is>
          <t>Yes</t>
        </is>
      </c>
      <c r="T104">
        <f>IFERROR(INDEX('Source Ledger'!$E$5:$E$200,MATCH(A104,'Source Ledger'!$B$5:$B$200,0)),"")</f>
        <v>6290</v>
      </c>
      <c r="U104">
        <f>IFERROR(INDEX('Source Ledger'!$H$5:$H$200,MATCH(A104,'Source Ledger'!$B$5:$B$200,0)),"")</f>
        <v/>
      </c>
      <c r="V104">
        <f>IFERROR(INDEX('Source Ledger'!$G$5:$G$200,MATCH(A104,'Source Ledger'!$B$5:$B$200,0)),"")</f>
        <v>927.36</v>
      </c>
      <c r="W104">
        <f>IF(T104="","",T104-M104)</f>
        <v>0</v>
      </c>
      <c r="X104">
        <f>IF(V104="","No","Yes")</f>
        <v/>
      </c>
    </row>
    <row r="105">
      <c r="A105" s="7" t="inlineStr">
        <is>
          <t>MD-00101</t>
        </is>
      </c>
      <c r="B105" s="7" t="inlineStr">
        <is>
          <t>MD-LA-050101</t>
        </is>
      </c>
      <c r="C105" s="7" t="inlineStr">
        <is>
          <t>Laptop</t>
        </is>
      </c>
      <c r="D105" s="7" t="inlineStr">
        <is>
          <t>Microsoft Surface Laptop 5</t>
        </is>
      </c>
      <c r="E105" s="7" t="inlineStr">
        <is>
          <t>E0089</t>
        </is>
      </c>
      <c r="F105" s="7" t="inlineStr">
        <is>
          <t>Denver - Closed</t>
        </is>
      </c>
      <c r="G105" s="7" t="inlineStr">
        <is>
          <t>Assigned</t>
        </is>
      </c>
      <c r="H105" s="7" t="inlineStr">
        <is>
          <t>Regional IT</t>
        </is>
      </c>
      <c r="I105" s="7" t="inlineStr">
        <is>
          <t>Seattle</t>
        </is>
      </c>
      <c r="J105" s="7" t="inlineStr">
        <is>
          <t>Retired/Pending Disposal</t>
        </is>
      </c>
      <c r="K105" s="7" t="inlineStr">
        <is>
          <t>For MD-00101, register cost $1,985 sits beside no FA row . Transfer TR-00101 on file. Verified Retired/Pending Disposal / Seattle.</t>
        </is>
      </c>
      <c r="L105" s="7" t="inlineStr">
        <is>
          <t>2026-06-07</t>
        </is>
      </c>
      <c r="M105" s="7" t="n">
        <v>1985</v>
      </c>
      <c r="N105" s="7">
        <f>IFERROR(INDEX('Source Ledger'!$G$5:$G$200,MATCH(A105,'Source Ledger'!$B$5:$B$200,0)),"")</f>
        <v>0</v>
      </c>
      <c r="O105" s="7">
        <f>IFERROR(INDEX('Source Ledger'!$A$5:$A$200,MATCH(A105,'Source Ledger'!$B$5:$B$200,0)),"")</f>
        <v/>
      </c>
      <c r="P105" s="7">
        <f>IFERROR(INDEX('Source Ledger'!$D$5:$D$200,MATCH(A105,'Source Ledger'!$B$5:$B$200,0)),"")</f>
        <v/>
      </c>
      <c r="Q105" s="7" t="inlineStr">
        <is>
          <t>Medium</t>
        </is>
      </c>
      <c r="R105" s="7" t="inlineStr">
        <is>
          <t>EX-0128, EX-0129</t>
        </is>
      </c>
      <c r="S105" s="7" t="inlineStr">
        <is>
          <t>Yes</t>
        </is>
      </c>
      <c r="T105">
        <f>IFERROR(INDEX('Source Ledger'!$E$5:$E$200,MATCH(A105,'Source Ledger'!$B$5:$B$200,0)),"")</f>
        <v>1985</v>
      </c>
      <c r="U105">
        <f>IFERROR(INDEX('Source Ledger'!$H$5:$H$200,MATCH(A105,'Source Ledger'!$B$5:$B$200,0)),"")</f>
        <v/>
      </c>
      <c r="V105">
        <f>IFERROR(INDEX('Source Ledger'!$G$5:$G$200,MATCH(A105,'Source Ledger'!$B$5:$B$200,0)),"")</f>
        <v>0</v>
      </c>
      <c r="W105">
        <f>IF(T105="","",T105-M105)</f>
        <v>0</v>
      </c>
      <c r="X105">
        <f>IF(V105="","No","Yes")</f>
        <v/>
      </c>
    </row>
    <row r="106">
      <c r="A106" s="7" t="inlineStr">
        <is>
          <t>MD-00102</t>
        </is>
      </c>
      <c r="B106" s="7" t="inlineStr">
        <is>
          <t>MD-MO-050102</t>
        </is>
      </c>
      <c r="C106" s="7" t="inlineStr">
        <is>
          <t>Laptop</t>
        </is>
      </c>
      <c r="D106" s="7" t="inlineStr">
        <is>
          <t>Lenovo ThinkPad X1 Carbon</t>
        </is>
      </c>
      <c r="E106" s="7" t="inlineStr">
        <is>
          <t>E0090</t>
        </is>
      </c>
      <c r="F106" s="7" t="inlineStr">
        <is>
          <t>Chicago - Closed</t>
        </is>
      </c>
      <c r="G106" s="7" t="inlineStr">
        <is>
          <t>Assigned</t>
        </is>
      </c>
      <c r="H106" s="7" t="inlineStr">
        <is>
          <t>Regional IT</t>
        </is>
      </c>
      <c r="I106" s="7" t="inlineStr">
        <is>
          <t>Atlanta</t>
        </is>
      </c>
      <c r="J106" s="7" t="inlineStr">
        <is>
          <t>Retired/Pending Disposal</t>
        </is>
      </c>
      <c r="K106" s="7" t="inlineStr">
        <is>
          <t>For MD-00102, register cost $700 sits beside FA-000102 . Transfer TR-00102 on file. Verified Retired/Pending Disposal / Atlanta.</t>
        </is>
      </c>
      <c r="L106" s="7" t="inlineStr">
        <is>
          <t>2026-05-31</t>
        </is>
      </c>
      <c r="M106" s="7" t="n">
        <v>700</v>
      </c>
      <c r="N106" s="7">
        <f>IFERROR(INDEX('Source Ledger'!$G$5:$G$200,MATCH(A106,'Source Ledger'!$B$5:$B$200,0)),"")</f>
        <v>407.54</v>
      </c>
      <c r="O106" s="7">
        <f>IFERROR(INDEX('Source Ledger'!$A$5:$A$200,MATCH(A106,'Source Ledger'!$B$5:$B$200,0)),"")</f>
        <v/>
      </c>
      <c r="P106" s="7">
        <f>IFERROR(INDEX('Source Ledger'!$D$5:$D$200,MATCH(A106,'Source Ledger'!$B$5:$B$200,0)),"")</f>
        <v/>
      </c>
      <c r="Q106" s="7" t="inlineStr">
        <is>
          <t>Medium</t>
        </is>
      </c>
      <c r="R106" s="7" t="inlineStr">
        <is>
          <t>EX-0130, EX-0131, EX-0132</t>
        </is>
      </c>
      <c r="S106" s="7" t="inlineStr">
        <is>
          <t>Yes</t>
        </is>
      </c>
      <c r="T106">
        <f>IFERROR(INDEX('Source Ledger'!$E$5:$E$200,MATCH(A106,'Source Ledger'!$B$5:$B$200,0)),"")</f>
        <v>820</v>
      </c>
      <c r="U106">
        <f>IFERROR(INDEX('Source Ledger'!$H$5:$H$200,MATCH(A106,'Source Ledger'!$B$5:$B$200,0)),"")</f>
        <v/>
      </c>
      <c r="V106">
        <f>IFERROR(INDEX('Source Ledger'!$G$5:$G$200,MATCH(A106,'Source Ledger'!$B$5:$B$200,0)),"")</f>
        <v>407.54</v>
      </c>
      <c r="W106">
        <f>IF(T106="","",T106-M106)</f>
        <v>120</v>
      </c>
      <c r="X106">
        <f>IF(V106="","No","Yes")</f>
        <v/>
      </c>
    </row>
    <row r="107">
      <c r="A107" s="7" t="inlineStr">
        <is>
          <t>MD-00103</t>
        </is>
      </c>
      <c r="B107" s="7" t="inlineStr">
        <is>
          <t>MD-MO-050103</t>
        </is>
      </c>
      <c r="C107" s="7" t="inlineStr">
        <is>
          <t>Laptop</t>
        </is>
      </c>
      <c r="D107" s="7" t="inlineStr">
        <is>
          <t>Lenovo ThinkPad T14</t>
        </is>
      </c>
      <c r="E107" s="7" t="inlineStr">
        <is>
          <t>E0091</t>
        </is>
      </c>
      <c r="F107" s="7" t="inlineStr">
        <is>
          <t>Denver - Closed</t>
        </is>
      </c>
      <c r="G107" s="7" t="inlineStr">
        <is>
          <t>Assigned</t>
        </is>
      </c>
      <c r="H107" s="7" t="inlineStr">
        <is>
          <t>Regional IT</t>
        </is>
      </c>
      <c r="I107" s="7" t="inlineStr">
        <is>
          <t>Chicago</t>
        </is>
      </c>
      <c r="J107" s="7" t="inlineStr">
        <is>
          <t>Retired/Pending Disposal</t>
        </is>
      </c>
      <c r="K107" s="7" t="inlineStr">
        <is>
          <t>For MD-00103, register cost $1,175 sits beside no FA row and PO-2024-0019. Transfer TR-00103 on file. Verified Retired/Pending Disposal / Chicago.</t>
        </is>
      </c>
      <c r="L107" s="7" t="inlineStr">
        <is>
          <t>2026-05-31</t>
        </is>
      </c>
      <c r="M107" s="7" t="n">
        <v>1175</v>
      </c>
      <c r="N107" s="7">
        <f>IFERROR(INDEX('Source Ledger'!$G$5:$G$200,MATCH(A107,'Source Ledger'!$B$5:$B$200,0)),"")</f>
        <v>782.53</v>
      </c>
      <c r="O107" s="7">
        <f>IFERROR(INDEX('Source Ledger'!$A$5:$A$200,MATCH(A107,'Source Ledger'!$B$5:$B$200,0)),"")</f>
        <v/>
      </c>
      <c r="P107" s="7">
        <f>IFERROR(INDEX('Source Ledger'!$D$5:$D$200,MATCH(A107,'Source Ledger'!$B$5:$B$200,0)),"")</f>
        <v/>
      </c>
      <c r="Q107" s="7" t="inlineStr">
        <is>
          <t>Medium</t>
        </is>
      </c>
      <c r="R107" s="7" t="inlineStr">
        <is>
          <t>EX-0133, EX-0134</t>
        </is>
      </c>
      <c r="S107" s="7" t="inlineStr">
        <is>
          <t>Yes</t>
        </is>
      </c>
      <c r="T107">
        <f>IFERROR(INDEX('Source Ledger'!$E$5:$E$200,MATCH(A107,'Source Ledger'!$B$5:$B$200,0)),"")</f>
        <v>1175</v>
      </c>
      <c r="U107">
        <f>IFERROR(INDEX('Source Ledger'!$H$5:$H$200,MATCH(A107,'Source Ledger'!$B$5:$B$200,0)),"")</f>
        <v/>
      </c>
      <c r="V107">
        <f>IFERROR(INDEX('Source Ledger'!$G$5:$G$200,MATCH(A107,'Source Ledger'!$B$5:$B$200,0)),"")</f>
        <v>782.53</v>
      </c>
      <c r="W107">
        <f>IF(T107="","",T107-M107)</f>
        <v>0</v>
      </c>
      <c r="X107">
        <f>IF(V107="","No","Yes")</f>
        <v/>
      </c>
    </row>
    <row r="108">
      <c r="A108" s="7" t="inlineStr">
        <is>
          <t>MD-00104</t>
        </is>
      </c>
      <c r="B108" s="7" t="inlineStr">
        <is>
          <t>MD-NE-050104</t>
        </is>
      </c>
      <c r="C108" s="7" t="inlineStr">
        <is>
          <t>Laptop</t>
        </is>
      </c>
      <c r="D108" s="7" t="inlineStr">
        <is>
          <t>MacBook Pro 14</t>
        </is>
      </c>
      <c r="E108" s="7" t="inlineStr">
        <is>
          <t>E0092</t>
        </is>
      </c>
      <c r="F108" s="7" t="inlineStr">
        <is>
          <t>Chicago - Closed</t>
        </is>
      </c>
      <c r="G108" s="7" t="inlineStr">
        <is>
          <t>Assigned</t>
        </is>
      </c>
      <c r="H108" s="7" t="inlineStr">
        <is>
          <t>Regional IT</t>
        </is>
      </c>
      <c r="I108" s="7" t="inlineStr">
        <is>
          <t>Dallas</t>
        </is>
      </c>
      <c r="J108" s="7" t="inlineStr">
        <is>
          <t>Retired/Pending Disposal</t>
        </is>
      </c>
      <c r="K108" s="7" t="inlineStr">
        <is>
          <t>MD-00104 evidence drawn from FA-000104. HR/location reading Retired/Pending Disposal/Dallas. Move TR-00104. Cost $6,470.</t>
        </is>
      </c>
      <c r="L108" s="7" t="inlineStr">
        <is>
          <t>2026-05-31</t>
        </is>
      </c>
      <c r="M108" s="7" t="n">
        <v>6470</v>
      </c>
      <c r="N108" s="7">
        <f>IFERROR(INDEX('Source Ledger'!$G$5:$G$200,MATCH(A108,'Source Ledger'!$B$5:$B$200,0)),"")</f>
        <v>1403.83</v>
      </c>
      <c r="O108" s="7">
        <f>IFERROR(INDEX('Source Ledger'!$A$5:$A$200,MATCH(A108,'Source Ledger'!$B$5:$B$200,0)),"")</f>
        <v/>
      </c>
      <c r="P108" s="7">
        <f>IFERROR(INDEX('Source Ledger'!$D$5:$D$200,MATCH(A108,'Source Ledger'!$B$5:$B$200,0)),"")</f>
        <v/>
      </c>
      <c r="Q108" s="7" t="inlineStr">
        <is>
          <t>Medium</t>
        </is>
      </c>
      <c r="R108" s="7" t="inlineStr">
        <is>
          <t>EX-0135, EX-0136</t>
        </is>
      </c>
      <c r="S108" s="7" t="inlineStr">
        <is>
          <t>Yes</t>
        </is>
      </c>
      <c r="T108">
        <f>IFERROR(INDEX('Source Ledger'!$E$5:$E$200,MATCH(A108,'Source Ledger'!$B$5:$B$200,0)),"")</f>
        <v>6470</v>
      </c>
      <c r="U108">
        <f>IFERROR(INDEX('Source Ledger'!$H$5:$H$200,MATCH(A108,'Source Ledger'!$B$5:$B$200,0)),"")</f>
        <v/>
      </c>
      <c r="V108">
        <f>IFERROR(INDEX('Source Ledger'!$G$5:$G$200,MATCH(A108,'Source Ledger'!$B$5:$B$200,0)),"")</f>
        <v>1403.83</v>
      </c>
      <c r="W108">
        <f>IF(T108="","",T108-M108)</f>
        <v>0</v>
      </c>
      <c r="X108">
        <f>IF(V108="","No","Yes")</f>
        <v/>
      </c>
    </row>
    <row r="109">
      <c r="A109" s="7" t="inlineStr">
        <is>
          <t>MD-00105</t>
        </is>
      </c>
      <c r="B109" s="7" t="inlineStr">
        <is>
          <t>MD-LA-050105</t>
        </is>
      </c>
      <c r="C109" s="7" t="inlineStr">
        <is>
          <t>Laptop</t>
        </is>
      </c>
      <c r="D109" s="7" t="inlineStr">
        <is>
          <t>Dell Latitude 7440</t>
        </is>
      </c>
      <c r="E109" s="7" t="inlineStr">
        <is>
          <t>E0093</t>
        </is>
      </c>
      <c r="F109" s="7" t="inlineStr">
        <is>
          <t>Denver - Closed</t>
        </is>
      </c>
      <c r="G109" s="7" t="inlineStr">
        <is>
          <t>Assigned</t>
        </is>
      </c>
      <c r="H109" s="7" t="inlineStr">
        <is>
          <t>Regional IT</t>
        </is>
      </c>
      <c r="I109" s="7" t="inlineStr">
        <is>
          <t>Denver</t>
        </is>
      </c>
      <c r="J109" s="7" t="inlineStr">
        <is>
          <t>Retired/Pending Disposal</t>
        </is>
      </c>
      <c r="K109" s="7" t="inlineStr">
        <is>
          <t>For MD-00105, register cost $1,850 sits beside no FA row and PO-2025-0020. Transfer TR-00105 on file. Verified Retired/Pending Disposal / Denver.</t>
        </is>
      </c>
      <c r="L109" s="7" t="inlineStr">
        <is>
          <t>2026-05-31</t>
        </is>
      </c>
      <c r="M109" s="7" t="n">
        <v>1850</v>
      </c>
      <c r="N109" s="7">
        <f>IFERROR(INDEX('Source Ledger'!$G$5:$G$200,MATCH(A109,'Source Ledger'!$B$5:$B$200,0)),"")</f>
        <v>104.26</v>
      </c>
      <c r="O109" s="7">
        <f>IFERROR(INDEX('Source Ledger'!$A$5:$A$200,MATCH(A109,'Source Ledger'!$B$5:$B$200,0)),"")</f>
        <v/>
      </c>
      <c r="P109" s="7">
        <f>IFERROR(INDEX('Source Ledger'!$D$5:$D$200,MATCH(A109,'Source Ledger'!$B$5:$B$200,0)),"")</f>
        <v/>
      </c>
      <c r="Q109" s="7" t="inlineStr">
        <is>
          <t>Medium</t>
        </is>
      </c>
      <c r="R109" s="7" t="inlineStr">
        <is>
          <t>EX-0137, EX-0138</t>
        </is>
      </c>
      <c r="S109" s="7" t="inlineStr">
        <is>
          <t>Yes</t>
        </is>
      </c>
      <c r="T109">
        <f>IFERROR(INDEX('Source Ledger'!$E$5:$E$200,MATCH(A109,'Source Ledger'!$B$5:$B$200,0)),"")</f>
        <v>1850</v>
      </c>
      <c r="U109">
        <f>IFERROR(INDEX('Source Ledger'!$H$5:$H$200,MATCH(A109,'Source Ledger'!$B$5:$B$200,0)),"")</f>
        <v/>
      </c>
      <c r="V109">
        <f>IFERROR(INDEX('Source Ledger'!$G$5:$G$200,MATCH(A109,'Source Ledger'!$B$5:$B$200,0)),"")</f>
        <v>104.26</v>
      </c>
      <c r="W109">
        <f>IF(T109="","",T109-M109)</f>
        <v>0</v>
      </c>
      <c r="X109">
        <f>IF(V109="","No","Yes")</f>
        <v/>
      </c>
    </row>
    <row r="110">
      <c r="A110" s="7" t="inlineStr">
        <is>
          <t>MD-00106</t>
        </is>
      </c>
      <c r="B110" s="7" t="inlineStr">
        <is>
          <t>MD-MO-050106</t>
        </is>
      </c>
      <c r="C110" s="7" t="inlineStr">
        <is>
          <t>Laptop</t>
        </is>
      </c>
      <c r="D110" s="7" t="inlineStr">
        <is>
          <t>HP EliteBook 840 G10</t>
        </is>
      </c>
      <c r="E110" s="7" t="inlineStr">
        <is>
          <t>E0094</t>
        </is>
      </c>
      <c r="F110" s="7" t="inlineStr">
        <is>
          <t>Chicago - Closed</t>
        </is>
      </c>
      <c r="G110" s="7" t="inlineStr">
        <is>
          <t>Assigned</t>
        </is>
      </c>
      <c r="H110" s="7" t="inlineStr">
        <is>
          <t>Regional IT</t>
        </is>
      </c>
      <c r="I110" s="7" t="inlineStr">
        <is>
          <t>New York</t>
        </is>
      </c>
      <c r="J110" s="7" t="inlineStr">
        <is>
          <t>Retired/Pending Disposal</t>
        </is>
      </c>
      <c r="K110" s="7" t="inlineStr">
        <is>
          <t>MD-00106 evidence drawn from PO-2025-0020 / FA-000106. HR/location reading Retired/Pending Disposal/New York. Move TR-00106. Cost $565.</t>
        </is>
      </c>
      <c r="L110" s="7" t="inlineStr">
        <is>
          <t>2026-05-31</t>
        </is>
      </c>
      <c r="M110" s="7" t="n">
        <v>565</v>
      </c>
      <c r="N110" s="7">
        <f>IFERROR(INDEX('Source Ledger'!$G$5:$G$200,MATCH(A110,'Source Ledger'!$B$5:$B$200,0)),"")</f>
        <v>368.24</v>
      </c>
      <c r="O110" s="7">
        <f>IFERROR(INDEX('Source Ledger'!$A$5:$A$200,MATCH(A110,'Source Ledger'!$B$5:$B$200,0)),"")</f>
        <v/>
      </c>
      <c r="P110" s="7">
        <f>IFERROR(INDEX('Source Ledger'!$D$5:$D$200,MATCH(A110,'Source Ledger'!$B$5:$B$200,0)),"")</f>
        <v/>
      </c>
      <c r="Q110" s="7" t="inlineStr">
        <is>
          <t>Medium</t>
        </is>
      </c>
      <c r="R110" s="7" t="inlineStr">
        <is>
          <t>EX-0139, EX-0140</t>
        </is>
      </c>
      <c r="S110" s="7" t="inlineStr">
        <is>
          <t>Yes</t>
        </is>
      </c>
      <c r="T110">
        <f>IFERROR(INDEX('Source Ledger'!$E$5:$E$200,MATCH(A110,'Source Ledger'!$B$5:$B$200,0)),"")</f>
        <v>565</v>
      </c>
      <c r="U110">
        <f>IFERROR(INDEX('Source Ledger'!$H$5:$H$200,MATCH(A110,'Source Ledger'!$B$5:$B$200,0)),"")</f>
        <v/>
      </c>
      <c r="V110">
        <f>IFERROR(INDEX('Source Ledger'!$G$5:$G$200,MATCH(A110,'Source Ledger'!$B$5:$B$200,0)),"")</f>
        <v>368.24</v>
      </c>
      <c r="W110">
        <f>IF(T110="","",T110-M110)</f>
        <v>0</v>
      </c>
      <c r="X110">
        <f>IF(V110="","No","Yes")</f>
        <v/>
      </c>
    </row>
    <row r="111">
      <c r="A111" s="7" t="inlineStr">
        <is>
          <t>MD-00107</t>
        </is>
      </c>
      <c r="B111" s="7" t="inlineStr">
        <is>
          <t>MD-MO-050107</t>
        </is>
      </c>
      <c r="C111" s="7" t="inlineStr">
        <is>
          <t>Laptop</t>
        </is>
      </c>
      <c r="D111" s="7" t="inlineStr">
        <is>
          <t>Microsoft Surface Laptop 5</t>
        </is>
      </c>
      <c r="E111" s="7" t="inlineStr">
        <is>
          <t>E0095</t>
        </is>
      </c>
      <c r="F111" s="7" t="inlineStr">
        <is>
          <t>Denver - Closed</t>
        </is>
      </c>
      <c r="G111" s="7" t="inlineStr">
        <is>
          <t>Assigned</t>
        </is>
      </c>
      <c r="H111" s="7" t="inlineStr">
        <is>
          <t>Regional IT</t>
        </is>
      </c>
      <c r="I111" s="7" t="inlineStr">
        <is>
          <t>Seattle</t>
        </is>
      </c>
      <c r="J111" s="7" t="inlineStr">
        <is>
          <t>Retired/Pending Disposal</t>
        </is>
      </c>
      <c r="K111" s="7" t="inlineStr">
        <is>
          <t>MD-00107 evidence drawn from PO-2022-0021 / FA-000107. HR/location reading Retired/Pending Disposal/Seattle. Move TR-00107. Cost $1,040.</t>
        </is>
      </c>
      <c r="L111" s="7" t="inlineStr">
        <is>
          <t>2026-06-13</t>
        </is>
      </c>
      <c r="M111" s="7" t="n">
        <v>1040</v>
      </c>
      <c r="N111" s="7">
        <f>IFERROR(INDEX('Source Ledger'!$G$5:$G$200,MATCH(A111,'Source Ledger'!$B$5:$B$200,0)),"")</f>
        <v>812.21</v>
      </c>
      <c r="O111" s="7">
        <f>IFERROR(INDEX('Source Ledger'!$A$5:$A$200,MATCH(A111,'Source Ledger'!$B$5:$B$200,0)),"")</f>
        <v/>
      </c>
      <c r="P111" s="7">
        <f>IFERROR(INDEX('Source Ledger'!$D$5:$D$200,MATCH(A111,'Source Ledger'!$B$5:$B$200,0)),"")</f>
        <v/>
      </c>
      <c r="Q111" s="7" t="inlineStr">
        <is>
          <t>Medium</t>
        </is>
      </c>
      <c r="R111" s="7" t="inlineStr">
        <is>
          <t>EX-0141, EX-0142</t>
        </is>
      </c>
      <c r="S111" s="7" t="inlineStr">
        <is>
          <t>Yes</t>
        </is>
      </c>
      <c r="T111">
        <f>IFERROR(INDEX('Source Ledger'!$E$5:$E$200,MATCH(A111,'Source Ledger'!$B$5:$B$200,0)),"")</f>
        <v>1040</v>
      </c>
      <c r="U111">
        <f>IFERROR(INDEX('Source Ledger'!$H$5:$H$200,MATCH(A111,'Source Ledger'!$B$5:$B$200,0)),"")</f>
        <v/>
      </c>
      <c r="V111">
        <f>IFERROR(INDEX('Source Ledger'!$G$5:$G$200,MATCH(A111,'Source Ledger'!$B$5:$B$200,0)),"")</f>
        <v>812.21</v>
      </c>
      <c r="W111">
        <f>IF(T111="","",T111-M111)</f>
        <v>0</v>
      </c>
      <c r="X111">
        <f>IF(V111="","No","Yes")</f>
        <v/>
      </c>
    </row>
    <row r="112">
      <c r="A112" s="7" t="inlineStr">
        <is>
          <t>MD-00108</t>
        </is>
      </c>
      <c r="B112" s="7" t="inlineStr">
        <is>
          <t>MD-NE-050108</t>
        </is>
      </c>
      <c r="C112" s="7" t="inlineStr">
        <is>
          <t>Laptop</t>
        </is>
      </c>
      <c r="D112" s="7" t="inlineStr">
        <is>
          <t>Lenovo ThinkPad X1 Carbon</t>
        </is>
      </c>
      <c r="E112" s="7" t="inlineStr">
        <is>
          <t>E0071</t>
        </is>
      </c>
      <c r="F112" s="7" t="inlineStr">
        <is>
          <t>Chicago - Closed</t>
        </is>
      </c>
      <c r="G112" s="7" t="inlineStr">
        <is>
          <t>Assigned</t>
        </is>
      </c>
      <c r="H112" s="7" t="inlineStr">
        <is>
          <t>Regional IT</t>
        </is>
      </c>
      <c r="I112" s="7" t="inlineStr">
        <is>
          <t>Atlanta</t>
        </is>
      </c>
      <c r="J112" s="7" t="inlineStr">
        <is>
          <t>Retired/Pending Disposal</t>
        </is>
      </c>
      <c r="K112" s="7" t="inlineStr">
        <is>
          <t>For MD-00108, register cost $6,335 sits beside FA-000108 and PO-2022-0021. Verified Retired/Pending Disposal / Atlanta.</t>
        </is>
      </c>
      <c r="L112" s="7" t="inlineStr">
        <is>
          <t>2026-05-31</t>
        </is>
      </c>
      <c r="M112" s="7" t="n">
        <v>6335</v>
      </c>
      <c r="N112" s="7">
        <f>IFERROR(INDEX('Source Ledger'!$G$5:$G$200,MATCH(A112,'Source Ledger'!$B$5:$B$200,0)),"")</f>
        <v>545.48</v>
      </c>
      <c r="O112" s="7">
        <f>IFERROR(INDEX('Source Ledger'!$A$5:$A$200,MATCH(A112,'Source Ledger'!$B$5:$B$200,0)),"")</f>
        <v/>
      </c>
      <c r="P112" s="7">
        <f>IFERROR(INDEX('Source Ledger'!$D$5:$D$200,MATCH(A112,'Source Ledger'!$B$5:$B$200,0)),"")</f>
        <v/>
      </c>
      <c r="Q112" s="7" t="inlineStr">
        <is>
          <t>Medium</t>
        </is>
      </c>
      <c r="R112" s="7" t="inlineStr">
        <is>
          <t>EX-0143, EX-0144</t>
        </is>
      </c>
      <c r="S112" s="7" t="inlineStr">
        <is>
          <t>Yes</t>
        </is>
      </c>
      <c r="T112">
        <f>IFERROR(INDEX('Source Ledger'!$E$5:$E$200,MATCH(A112,'Source Ledger'!$B$5:$B$200,0)),"")</f>
        <v>6335</v>
      </c>
      <c r="U112">
        <f>IFERROR(INDEX('Source Ledger'!$H$5:$H$200,MATCH(A112,'Source Ledger'!$B$5:$B$200,0)),"")</f>
        <v/>
      </c>
      <c r="V112">
        <f>IFERROR(INDEX('Source Ledger'!$G$5:$G$200,MATCH(A112,'Source Ledger'!$B$5:$B$200,0)),"")</f>
        <v>545.48</v>
      </c>
      <c r="W112">
        <f>IF(T112="","",T112-M112)</f>
        <v>0</v>
      </c>
      <c r="X112">
        <f>IF(V112="","No","Yes")</f>
        <v/>
      </c>
    </row>
    <row r="113">
      <c r="A113" s="7" t="inlineStr">
        <is>
          <t>MD-00109</t>
        </is>
      </c>
      <c r="B113" s="7" t="inlineStr">
        <is>
          <t>MD-LA-050109</t>
        </is>
      </c>
      <c r="C113" s="7" t="inlineStr">
        <is>
          <t>Laptop</t>
        </is>
      </c>
      <c r="D113" s="7" t="inlineStr">
        <is>
          <t>Lenovo ThinkPad T14</t>
        </is>
      </c>
      <c r="E113" s="7" t="inlineStr">
        <is>
          <t>E0072</t>
        </is>
      </c>
      <c r="F113" s="7" t="inlineStr">
        <is>
          <t>Denver - Closed</t>
        </is>
      </c>
      <c r="G113" s="7" t="inlineStr">
        <is>
          <t>Assigned</t>
        </is>
      </c>
      <c r="H113" s="7" t="inlineStr">
        <is>
          <t>Regional IT</t>
        </is>
      </c>
      <c r="I113" s="7" t="inlineStr">
        <is>
          <t>Chicago</t>
        </is>
      </c>
      <c r="J113" s="7" t="inlineStr">
        <is>
          <t>Retired/Pending Disposal</t>
        </is>
      </c>
      <c r="K113" s="7" t="inlineStr">
        <is>
          <t>Cross-checked MD-00109 to source systems. PO PO-2022-0021. Ledger FA-000109. Outcome Retired/Pending Disposal in Chicago ($2,030).</t>
        </is>
      </c>
      <c r="L113" s="7" t="inlineStr">
        <is>
          <t>2026-05-31</t>
        </is>
      </c>
      <c r="M113" s="7" t="n">
        <v>2030</v>
      </c>
      <c r="N113" s="7">
        <f>IFERROR(INDEX('Source Ledger'!$G$5:$G$200,MATCH(A113,'Source Ledger'!$B$5:$B$200,0)),"")</f>
        <v>0</v>
      </c>
      <c r="O113" s="7">
        <f>IFERROR(INDEX('Source Ledger'!$A$5:$A$200,MATCH(A113,'Source Ledger'!$B$5:$B$200,0)),"")</f>
        <v/>
      </c>
      <c r="P113" s="7">
        <f>IFERROR(INDEX('Source Ledger'!$D$5:$D$200,MATCH(A113,'Source Ledger'!$B$5:$B$200,0)),"")</f>
        <v/>
      </c>
      <c r="Q113" s="7" t="inlineStr">
        <is>
          <t>Medium</t>
        </is>
      </c>
      <c r="R113" s="7" t="inlineStr">
        <is>
          <t>EX-0145, EX-0146</t>
        </is>
      </c>
      <c r="S113" s="7" t="inlineStr">
        <is>
          <t>Yes</t>
        </is>
      </c>
      <c r="T113">
        <f>IFERROR(INDEX('Source Ledger'!$E$5:$E$200,MATCH(A113,'Source Ledger'!$B$5:$B$200,0)),"")</f>
        <v>2030</v>
      </c>
      <c r="U113">
        <f>IFERROR(INDEX('Source Ledger'!$H$5:$H$200,MATCH(A113,'Source Ledger'!$B$5:$B$200,0)),"")</f>
        <v/>
      </c>
      <c r="V113">
        <f>IFERROR(INDEX('Source Ledger'!$G$5:$G$200,MATCH(A113,'Source Ledger'!$B$5:$B$200,0)),"")</f>
        <v>0</v>
      </c>
      <c r="W113">
        <f>IF(T113="","",T113-M113)</f>
        <v>0</v>
      </c>
      <c r="X113">
        <f>IF(V113="","No","Yes")</f>
        <v/>
      </c>
    </row>
    <row r="114">
      <c r="A114" s="7" t="inlineStr">
        <is>
          <t>MD-00110</t>
        </is>
      </c>
      <c r="B114" s="7" t="inlineStr">
        <is>
          <t>MD-MO-050110</t>
        </is>
      </c>
      <c r="C114" s="7" t="inlineStr">
        <is>
          <t>Laptop</t>
        </is>
      </c>
      <c r="D114" s="7" t="inlineStr">
        <is>
          <t>Dell Latitude 7440</t>
        </is>
      </c>
      <c r="E114" s="7" t="inlineStr">
        <is>
          <t>E0073</t>
        </is>
      </c>
      <c r="F114" s="7" t="inlineStr">
        <is>
          <t>Chicago - Closed</t>
        </is>
      </c>
      <c r="G114" s="7" t="inlineStr">
        <is>
          <t>Assigned</t>
        </is>
      </c>
      <c r="H114" s="7" t="inlineStr">
        <is>
          <t>Regional IT</t>
        </is>
      </c>
      <c r="I114" s="7" t="inlineStr">
        <is>
          <t>Dallas</t>
        </is>
      </c>
      <c r="J114" s="7" t="inlineStr">
        <is>
          <t>Retired/Pending Disposal</t>
        </is>
      </c>
      <c r="K114" s="7" t="inlineStr">
        <is>
          <t>Validated MD-00110 against available PO/FA/HR/transfer rows. Model Dell Latitude 7440. shows Retired/Pending Disposal in Dallas. Acquisition $745.</t>
        </is>
      </c>
      <c r="L114" s="7" t="inlineStr">
        <is>
          <t>2026-05-31</t>
        </is>
      </c>
      <c r="M114" s="7" t="n">
        <v>745</v>
      </c>
      <c r="N114" s="7">
        <f>IFERROR(INDEX('Source Ledger'!$G$5:$G$200,MATCH(A114,'Source Ledger'!$B$5:$B$200,0)),"")</f>
        <v>387.24</v>
      </c>
      <c r="O114" s="7">
        <f>IFERROR(INDEX('Source Ledger'!$A$5:$A$200,MATCH(A114,'Source Ledger'!$B$5:$B$200,0)),"")</f>
        <v/>
      </c>
      <c r="P114" s="7">
        <f>IFERROR(INDEX('Source Ledger'!$D$5:$D$200,MATCH(A114,'Source Ledger'!$B$5:$B$200,0)),"")</f>
        <v/>
      </c>
      <c r="Q114" s="7" t="inlineStr">
        <is>
          <t>Medium</t>
        </is>
      </c>
      <c r="R114" s="7" t="inlineStr">
        <is>
          <t>EX-0147, EX-0148</t>
        </is>
      </c>
      <c r="S114" s="7" t="inlineStr">
        <is>
          <t>Yes</t>
        </is>
      </c>
      <c r="T114">
        <f>IFERROR(INDEX('Source Ledger'!$E$5:$E$200,MATCH(A114,'Source Ledger'!$B$5:$B$200,0)),"")</f>
        <v>745</v>
      </c>
      <c r="U114">
        <f>IFERROR(INDEX('Source Ledger'!$H$5:$H$200,MATCH(A114,'Source Ledger'!$B$5:$B$200,0)),"")</f>
        <v/>
      </c>
      <c r="V114">
        <f>IFERROR(INDEX('Source Ledger'!$G$5:$G$200,MATCH(A114,'Source Ledger'!$B$5:$B$200,0)),"")</f>
        <v>387.24</v>
      </c>
      <c r="W114">
        <f>IF(T114="","",T114-M114)</f>
        <v>0</v>
      </c>
      <c r="X114">
        <f>IF(V114="","No","Yes")</f>
        <v/>
      </c>
    </row>
    <row r="115">
      <c r="A115" s="7" t="inlineStr">
        <is>
          <t>MD-00111</t>
        </is>
      </c>
      <c r="B115" s="7" t="inlineStr">
        <is>
          <t>MD-MO-050111</t>
        </is>
      </c>
      <c r="C115" s="7" t="inlineStr">
        <is>
          <t>Laptop</t>
        </is>
      </c>
      <c r="D115" s="7" t="inlineStr">
        <is>
          <t>HP EliteBook 840 G10</t>
        </is>
      </c>
      <c r="E115" s="7" t="inlineStr">
        <is>
          <t>E0074</t>
        </is>
      </c>
      <c r="F115" s="7" t="inlineStr">
        <is>
          <t>Denver - Closed</t>
        </is>
      </c>
      <c r="G115" s="7" t="inlineStr">
        <is>
          <t>Assigned</t>
        </is>
      </c>
      <c r="H115" s="7" t="inlineStr">
        <is>
          <t>Certified Recycler</t>
        </is>
      </c>
      <c r="I115" s="7" t="inlineStr">
        <is>
          <t>Disposed</t>
        </is>
      </c>
      <c r="J115" s="7" t="inlineStr">
        <is>
          <t>Disposed</t>
        </is>
      </c>
      <c r="K115" s="7" t="inlineStr">
        <is>
          <t>For MD-00111, register cost $1,220 sits beside no FA row . Transfer TR-00111 on file. Verified Disposed / Disposed.</t>
        </is>
      </c>
      <c r="L115" s="7" t="inlineStr">
        <is>
          <t>2026-07-20</t>
        </is>
      </c>
      <c r="M115" s="7" t="n">
        <v>1220</v>
      </c>
      <c r="N115" s="7">
        <f>IFERROR(INDEX('Source Ledger'!$G$5:$G$200,MATCH(A115,'Source Ledger'!$B$5:$B$200,0)),"")</f>
        <v>0</v>
      </c>
      <c r="O115" s="7">
        <f>IFERROR(INDEX('Source Ledger'!$A$5:$A$200,MATCH(A115,'Source Ledger'!$B$5:$B$200,0)),"")</f>
        <v/>
      </c>
      <c r="P115" s="7">
        <f>IFERROR(INDEX('Source Ledger'!$D$5:$D$200,MATCH(A115,'Source Ledger'!$B$5:$B$200,0)),"")</f>
        <v/>
      </c>
      <c r="Q115" s="9" t="inlineStr">
        <is>
          <t>High</t>
        </is>
      </c>
      <c r="R115" s="7" t="inlineStr"/>
      <c r="S115" s="7" t="inlineStr">
        <is>
          <t>No</t>
        </is>
      </c>
      <c r="T115">
        <f>IFERROR(INDEX('Source Ledger'!$E$5:$E$200,MATCH(A115,'Source Ledger'!$B$5:$B$200,0)),"")</f>
        <v>1220</v>
      </c>
      <c r="U115">
        <f>IFERROR(INDEX('Source Ledger'!$H$5:$H$200,MATCH(A115,'Source Ledger'!$B$5:$B$200,0)),"")</f>
        <v/>
      </c>
      <c r="V115">
        <f>IFERROR(INDEX('Source Ledger'!$G$5:$G$200,MATCH(A115,'Source Ledger'!$B$5:$B$200,0)),"")</f>
        <v>0</v>
      </c>
      <c r="W115">
        <f>IF(T115="","",T115-M115)</f>
        <v>0</v>
      </c>
      <c r="X115">
        <f>IF(V115="","No","Yes")</f>
        <v/>
      </c>
    </row>
    <row r="116">
      <c r="A116" s="7" t="inlineStr">
        <is>
          <t>MD-00112</t>
        </is>
      </c>
      <c r="B116" s="7" t="inlineStr">
        <is>
          <t>MD-NE-050112</t>
        </is>
      </c>
      <c r="C116" s="7" t="inlineStr">
        <is>
          <t>Laptop</t>
        </is>
      </c>
      <c r="D116" s="7" t="inlineStr">
        <is>
          <t>Microsoft Surface Laptop 5</t>
        </is>
      </c>
      <c r="E116" s="7" t="inlineStr">
        <is>
          <t>E0075</t>
        </is>
      </c>
      <c r="F116" s="7" t="inlineStr">
        <is>
          <t>Chicago - Closed</t>
        </is>
      </c>
      <c r="G116" s="7" t="inlineStr">
        <is>
          <t>Assigned</t>
        </is>
      </c>
      <c r="H116" s="7" t="inlineStr">
        <is>
          <t>Certified Recycler</t>
        </is>
      </c>
      <c r="I116" s="7" t="inlineStr">
        <is>
          <t>Disposed</t>
        </is>
      </c>
      <c r="J116" s="7" t="inlineStr">
        <is>
          <t>Disposed</t>
        </is>
      </c>
      <c r="K116" s="7" t="inlineStr">
        <is>
          <t>Validated MD-00112 against available PO/FA/HR/transfer rows. Model Microsoft Surface Laptop 5. Curtis Bennett (E0075) shows Disposed in Disposed. Acquisition $6,200.</t>
        </is>
      </c>
      <c r="L116" s="7" t="inlineStr">
        <is>
          <t>2026-07-20</t>
        </is>
      </c>
      <c r="M116" s="7" t="n">
        <v>6200</v>
      </c>
      <c r="N116" s="7">
        <f>IFERROR(INDEX('Source Ledger'!$G$5:$G$200,MATCH(A116,'Source Ledger'!$B$5:$B$200,0)),"")</f>
        <v>0</v>
      </c>
      <c r="O116" s="7">
        <f>IFERROR(INDEX('Source Ledger'!$A$5:$A$200,MATCH(A116,'Source Ledger'!$B$5:$B$200,0)),"")</f>
        <v/>
      </c>
      <c r="P116" s="7">
        <f>IFERROR(INDEX('Source Ledger'!$D$5:$D$200,MATCH(A116,'Source Ledger'!$B$5:$B$200,0)),"")</f>
        <v/>
      </c>
      <c r="Q116" s="9" t="inlineStr">
        <is>
          <t>High</t>
        </is>
      </c>
      <c r="R116" s="7" t="inlineStr"/>
      <c r="S116" s="7" t="inlineStr">
        <is>
          <t>No</t>
        </is>
      </c>
      <c r="T116">
        <f>IFERROR(INDEX('Source Ledger'!$E$5:$E$200,MATCH(A116,'Source Ledger'!$B$5:$B$200,0)),"")</f>
        <v>6200</v>
      </c>
      <c r="U116">
        <f>IFERROR(INDEX('Source Ledger'!$H$5:$H$200,MATCH(A116,'Source Ledger'!$B$5:$B$200,0)),"")</f>
        <v/>
      </c>
      <c r="V116">
        <f>IFERROR(INDEX('Source Ledger'!$G$5:$G$200,MATCH(A116,'Source Ledger'!$B$5:$B$200,0)),"")</f>
        <v>0</v>
      </c>
      <c r="W116">
        <f>IF(T116="","",T116-M116)</f>
        <v>0</v>
      </c>
      <c r="X116">
        <f>IF(V116="","No","Yes")</f>
        <v/>
      </c>
    </row>
    <row r="117">
      <c r="A117" s="7" t="inlineStr">
        <is>
          <t>MD-00113</t>
        </is>
      </c>
      <c r="B117" s="7" t="inlineStr">
        <is>
          <t>MD-LA-050113</t>
        </is>
      </c>
      <c r="C117" s="7" t="inlineStr">
        <is>
          <t>Laptop</t>
        </is>
      </c>
      <c r="D117" s="7" t="inlineStr">
        <is>
          <t>Lenovo ThinkPad X1 Carbon</t>
        </is>
      </c>
      <c r="E117" s="7" t="inlineStr">
        <is>
          <t>E0076</t>
        </is>
      </c>
      <c r="F117" s="7" t="inlineStr">
        <is>
          <t>Denver - Closed</t>
        </is>
      </c>
      <c r="G117" s="7" t="inlineStr">
        <is>
          <t>Assigned</t>
        </is>
      </c>
      <c r="H117" s="7" t="inlineStr">
        <is>
          <t>Certified Recycler</t>
        </is>
      </c>
      <c r="I117" s="7" t="inlineStr">
        <is>
          <t>Disposed</t>
        </is>
      </c>
      <c r="J117" s="7" t="inlineStr">
        <is>
          <t>Disposed</t>
        </is>
      </c>
      <c r="K117" s="7" t="inlineStr">
        <is>
          <t>Source stack for MD-00113 (Lenovo ThinkPad X1 Carbon): TR-00113. Custodian context Pilar Santos; status Disposed at Disposed; basis $1,895.</t>
        </is>
      </c>
      <c r="L117" s="7" t="inlineStr">
        <is>
          <t>2026-07-20</t>
        </is>
      </c>
      <c r="M117" s="7" t="n">
        <v>1895</v>
      </c>
      <c r="N117" s="7">
        <f>IFERROR(INDEX('Source Ledger'!$G$5:$G$200,MATCH(A117,'Source Ledger'!$B$5:$B$200,0)),"")</f>
        <v>0</v>
      </c>
      <c r="O117" s="7">
        <f>IFERROR(INDEX('Source Ledger'!$A$5:$A$200,MATCH(A117,'Source Ledger'!$B$5:$B$200,0)),"")</f>
        <v/>
      </c>
      <c r="P117" s="7">
        <f>IFERROR(INDEX('Source Ledger'!$D$5:$D$200,MATCH(A117,'Source Ledger'!$B$5:$B$200,0)),"")</f>
        <v/>
      </c>
      <c r="Q117" s="9" t="inlineStr">
        <is>
          <t>High</t>
        </is>
      </c>
      <c r="R117" s="7" t="inlineStr"/>
      <c r="S117" s="7" t="inlineStr">
        <is>
          <t>No</t>
        </is>
      </c>
      <c r="T117">
        <f>IFERROR(INDEX('Source Ledger'!$E$5:$E$200,MATCH(A117,'Source Ledger'!$B$5:$B$200,0)),"")</f>
        <v>1895</v>
      </c>
      <c r="U117">
        <f>IFERROR(INDEX('Source Ledger'!$H$5:$H$200,MATCH(A117,'Source Ledger'!$B$5:$B$200,0)),"")</f>
        <v/>
      </c>
      <c r="V117">
        <f>IFERROR(INDEX('Source Ledger'!$G$5:$G$200,MATCH(A117,'Source Ledger'!$B$5:$B$200,0)),"")</f>
        <v>0</v>
      </c>
      <c r="W117">
        <f>IF(T117="","",T117-M117)</f>
        <v>0</v>
      </c>
      <c r="X117">
        <f>IF(V117="","No","Yes")</f>
        <v/>
      </c>
    </row>
    <row r="118">
      <c r="A118" s="7" t="inlineStr">
        <is>
          <t>MD-00114</t>
        </is>
      </c>
      <c r="B118" s="7" t="inlineStr">
        <is>
          <t>MD-MO-050114</t>
        </is>
      </c>
      <c r="C118" s="7" t="inlineStr">
        <is>
          <t>Laptop</t>
        </is>
      </c>
      <c r="D118" s="7" t="inlineStr">
        <is>
          <t>Lenovo ThinkPad T14</t>
        </is>
      </c>
      <c r="E118" s="7" t="inlineStr">
        <is>
          <t>E0077</t>
        </is>
      </c>
      <c r="F118" s="7" t="inlineStr">
        <is>
          <t>Chicago - Closed</t>
        </is>
      </c>
      <c r="G118" s="7" t="inlineStr">
        <is>
          <t>Assigned</t>
        </is>
      </c>
      <c r="H118" s="7" t="inlineStr">
        <is>
          <t>Certified Recycler</t>
        </is>
      </c>
      <c r="I118" s="7" t="inlineStr">
        <is>
          <t>Disposed (certificate missing)</t>
        </is>
      </c>
      <c r="J118" s="7" t="inlineStr">
        <is>
          <t>Retired/Pending Disposal</t>
        </is>
      </c>
      <c r="K118" s="7" t="inlineStr">
        <is>
          <t>Working evidence note on MD-00114: Lenovo ThinkPad T14; Retired/Pending Disposal @ Disposed (certificate missing); holder Jonah Freedman; FA-000114; basis $610.</t>
        </is>
      </c>
      <c r="L118" s="7" t="inlineStr">
        <is>
          <t>2026-01-20</t>
        </is>
      </c>
      <c r="M118" s="7" t="n">
        <v>610</v>
      </c>
      <c r="N118" s="7">
        <f>IFERROR(INDEX('Source Ledger'!$G$5:$G$200,MATCH(A118,'Source Ledger'!$B$5:$B$200,0)),"")</f>
        <v>0</v>
      </c>
      <c r="O118" s="7">
        <f>IFERROR(INDEX('Source Ledger'!$A$5:$A$200,MATCH(A118,'Source Ledger'!$B$5:$B$200,0)),"")</f>
        <v/>
      </c>
      <c r="P118" s="7">
        <f>IFERROR(INDEX('Source Ledger'!$D$5:$D$200,MATCH(A118,'Source Ledger'!$B$5:$B$200,0)),"")</f>
        <v/>
      </c>
      <c r="Q118" s="7" t="inlineStr">
        <is>
          <t>Low</t>
        </is>
      </c>
      <c r="R118" s="7" t="inlineStr">
        <is>
          <t>EX-0149, EX-0150</t>
        </is>
      </c>
      <c r="S118" s="7" t="inlineStr">
        <is>
          <t>Yes</t>
        </is>
      </c>
      <c r="T118">
        <f>IFERROR(INDEX('Source Ledger'!$E$5:$E$200,MATCH(A118,'Source Ledger'!$B$5:$B$200,0)),"")</f>
        <v>610</v>
      </c>
      <c r="U118">
        <f>IFERROR(INDEX('Source Ledger'!$H$5:$H$200,MATCH(A118,'Source Ledger'!$B$5:$B$200,0)),"")</f>
        <v/>
      </c>
      <c r="V118">
        <f>IFERROR(INDEX('Source Ledger'!$G$5:$G$200,MATCH(A118,'Source Ledger'!$B$5:$B$200,0)),"")</f>
        <v>0</v>
      </c>
      <c r="W118">
        <f>IF(T118="","",T118-M118)</f>
        <v>0</v>
      </c>
      <c r="X118">
        <f>IF(V118="","No","Yes")</f>
        <v/>
      </c>
    </row>
    <row r="119">
      <c r="A119" s="7" t="inlineStr">
        <is>
          <t>MD-00115</t>
        </is>
      </c>
      <c r="B119" s="7" t="inlineStr">
        <is>
          <t>MD-MO-050115</t>
        </is>
      </c>
      <c r="C119" s="7" t="inlineStr">
        <is>
          <t>Laptop</t>
        </is>
      </c>
      <c r="D119" s="7" t="inlineStr">
        <is>
          <t>MacBook Pro 14</t>
        </is>
      </c>
      <c r="E119" s="7" t="inlineStr">
        <is>
          <t>E0078</t>
        </is>
      </c>
      <c r="F119" s="7" t="inlineStr">
        <is>
          <t>Denver - Closed</t>
        </is>
      </c>
      <c r="G119" s="7" t="inlineStr">
        <is>
          <t>Assigned</t>
        </is>
      </c>
      <c r="H119" s="7" t="inlineStr">
        <is>
          <t>Certified Recycler</t>
        </is>
      </c>
      <c r="I119" s="7" t="inlineStr">
        <is>
          <t>Disposed</t>
        </is>
      </c>
      <c r="J119" s="7" t="inlineStr">
        <is>
          <t>Disposed</t>
        </is>
      </c>
      <c r="K119" s="7" t="inlineStr">
        <is>
          <t>Evidence for MD-00115 is piecewise: inventory cost $1,085, FA absent, PO PO-2024-0024, HR status Disposed, site Disposed.</t>
        </is>
      </c>
      <c r="L119" s="7" t="inlineStr">
        <is>
          <t>2026-07-20</t>
        </is>
      </c>
      <c r="M119" s="7" t="n">
        <v>1085</v>
      </c>
      <c r="N119" s="7">
        <f>IFERROR(INDEX('Source Ledger'!$G$5:$G$200,MATCH(A119,'Source Ledger'!$B$5:$B$200,0)),"")</f>
        <v>0</v>
      </c>
      <c r="O119" s="7">
        <f>IFERROR(INDEX('Source Ledger'!$A$5:$A$200,MATCH(A119,'Source Ledger'!$B$5:$B$200,0)),"")</f>
        <v/>
      </c>
      <c r="P119" s="7">
        <f>IFERROR(INDEX('Source Ledger'!$D$5:$D$200,MATCH(A119,'Source Ledger'!$B$5:$B$200,0)),"")</f>
        <v/>
      </c>
      <c r="Q119" s="9" t="inlineStr">
        <is>
          <t>High</t>
        </is>
      </c>
      <c r="R119" s="7" t="inlineStr"/>
      <c r="S119" s="7" t="inlineStr">
        <is>
          <t>No</t>
        </is>
      </c>
      <c r="T119">
        <f>IFERROR(INDEX('Source Ledger'!$E$5:$E$200,MATCH(A119,'Source Ledger'!$B$5:$B$200,0)),"")</f>
        <v>1085</v>
      </c>
      <c r="U119">
        <f>IFERROR(INDEX('Source Ledger'!$H$5:$H$200,MATCH(A119,'Source Ledger'!$B$5:$B$200,0)),"")</f>
        <v/>
      </c>
      <c r="V119">
        <f>IFERROR(INDEX('Source Ledger'!$G$5:$G$200,MATCH(A119,'Source Ledger'!$B$5:$B$200,0)),"")</f>
        <v>0</v>
      </c>
      <c r="W119">
        <f>IF(T119="","",T119-M119)</f>
        <v>0</v>
      </c>
      <c r="X119">
        <f>IF(V119="","No","Yes")</f>
        <v/>
      </c>
    </row>
    <row r="120">
      <c r="A120" s="7" t="inlineStr">
        <is>
          <t>MD-00116</t>
        </is>
      </c>
      <c r="B120" s="7" t="inlineStr">
        <is>
          <t>MD-NE-050116</t>
        </is>
      </c>
      <c r="C120" s="7" t="inlineStr">
        <is>
          <t>Laptop</t>
        </is>
      </c>
      <c r="D120" s="7" t="inlineStr">
        <is>
          <t>Dell Latitude 7440</t>
        </is>
      </c>
      <c r="E120" s="7" t="inlineStr">
        <is>
          <t>E0079</t>
        </is>
      </c>
      <c r="F120" s="7" t="inlineStr">
        <is>
          <t>Chicago - Closed</t>
        </is>
      </c>
      <c r="G120" s="7" t="inlineStr">
        <is>
          <t>Assigned</t>
        </is>
      </c>
      <c r="H120" s="7" t="inlineStr">
        <is>
          <t>Certified Recycler</t>
        </is>
      </c>
      <c r="I120" s="7" t="inlineStr">
        <is>
          <t>Disposed</t>
        </is>
      </c>
      <c r="J120" s="7" t="inlineStr">
        <is>
          <t>Disposed</t>
        </is>
      </c>
      <c r="K120" s="7" t="inlineStr">
        <is>
          <t>Validated MD-00116 against available PO/FA/HR/transfer rows. Model Dell Latitude 7440. Wes Carvalho (E0079) shows Disposed in Disposed. Acquisition $6,380.</t>
        </is>
      </c>
      <c r="L120" s="7" t="inlineStr">
        <is>
          <t>2026-07-20</t>
        </is>
      </c>
      <c r="M120" s="7" t="n">
        <v>6380</v>
      </c>
      <c r="N120" s="7">
        <f>IFERROR(INDEX('Source Ledger'!$G$5:$G$200,MATCH(A120,'Source Ledger'!$B$5:$B$200,0)),"")</f>
        <v>0</v>
      </c>
      <c r="O120" s="7">
        <f>IFERROR(INDEX('Source Ledger'!$A$5:$A$200,MATCH(A120,'Source Ledger'!$B$5:$B$200,0)),"")</f>
        <v/>
      </c>
      <c r="P120" s="7">
        <f>IFERROR(INDEX('Source Ledger'!$D$5:$D$200,MATCH(A120,'Source Ledger'!$B$5:$B$200,0)),"")</f>
        <v/>
      </c>
      <c r="Q120" s="9" t="inlineStr">
        <is>
          <t>High</t>
        </is>
      </c>
      <c r="R120" s="7" t="inlineStr"/>
      <c r="S120" s="7" t="inlineStr">
        <is>
          <t>No</t>
        </is>
      </c>
      <c r="T120">
        <f>IFERROR(INDEX('Source Ledger'!$E$5:$E$200,MATCH(A120,'Source Ledger'!$B$5:$B$200,0)),"")</f>
        <v>6380</v>
      </c>
      <c r="U120">
        <f>IFERROR(INDEX('Source Ledger'!$H$5:$H$200,MATCH(A120,'Source Ledger'!$B$5:$B$200,0)),"")</f>
        <v/>
      </c>
      <c r="V120">
        <f>IFERROR(INDEX('Source Ledger'!$G$5:$G$200,MATCH(A120,'Source Ledger'!$B$5:$B$200,0)),"")</f>
        <v>0</v>
      </c>
      <c r="W120">
        <f>IF(T120="","",T120-M120)</f>
        <v>0</v>
      </c>
      <c r="X120">
        <f>IF(V120="","No","Yes")</f>
        <v/>
      </c>
    </row>
    <row r="121">
      <c r="A121" s="7" t="inlineStr">
        <is>
          <t>MD-00117</t>
        </is>
      </c>
      <c r="B121" s="7" t="inlineStr">
        <is>
          <t>MD-LA-050117</t>
        </is>
      </c>
      <c r="C121" s="7" t="inlineStr">
        <is>
          <t>Laptop</t>
        </is>
      </c>
      <c r="D121" s="7" t="inlineStr">
        <is>
          <t>HP EliteBook 840 G10</t>
        </is>
      </c>
      <c r="E121" s="7" t="inlineStr">
        <is>
          <t>E0080</t>
        </is>
      </c>
      <c r="F121" s="7" t="inlineStr">
        <is>
          <t>Denver - Closed</t>
        </is>
      </c>
      <c r="G121" s="7" t="inlineStr">
        <is>
          <t>Assigned</t>
        </is>
      </c>
      <c r="H121" s="7" t="inlineStr">
        <is>
          <t>Certified Recycler</t>
        </is>
      </c>
      <c r="I121" s="7" t="inlineStr">
        <is>
          <t>Disposed</t>
        </is>
      </c>
      <c r="J121" s="7" t="inlineStr">
        <is>
          <t>Disposed</t>
        </is>
      </c>
      <c r="K121" s="7" t="inlineStr">
        <is>
          <t>For MD-00117, register cost $2,075 sits beside no FA row and PO-2024-0024. Transfer TR-00117 on file. Verified Disposed / Disposed.</t>
        </is>
      </c>
      <c r="L121" s="7" t="inlineStr">
        <is>
          <t>2026-07-20</t>
        </is>
      </c>
      <c r="M121" s="7" t="n">
        <v>2075</v>
      </c>
      <c r="N121" s="7">
        <f>IFERROR(INDEX('Source Ledger'!$G$5:$G$200,MATCH(A121,'Source Ledger'!$B$5:$B$200,0)),"")</f>
        <v>0</v>
      </c>
      <c r="O121" s="7">
        <f>IFERROR(INDEX('Source Ledger'!$A$5:$A$200,MATCH(A121,'Source Ledger'!$B$5:$B$200,0)),"")</f>
        <v/>
      </c>
      <c r="P121" s="7">
        <f>IFERROR(INDEX('Source Ledger'!$D$5:$D$200,MATCH(A121,'Source Ledger'!$B$5:$B$200,0)),"")</f>
        <v/>
      </c>
      <c r="Q121" s="9" t="inlineStr">
        <is>
          <t>High</t>
        </is>
      </c>
      <c r="R121" s="7" t="inlineStr"/>
      <c r="S121" s="7" t="inlineStr">
        <is>
          <t>No</t>
        </is>
      </c>
      <c r="T121">
        <f>IFERROR(INDEX('Source Ledger'!$E$5:$E$200,MATCH(A121,'Source Ledger'!$B$5:$B$200,0)),"")</f>
        <v>2075</v>
      </c>
      <c r="U121">
        <f>IFERROR(INDEX('Source Ledger'!$H$5:$H$200,MATCH(A121,'Source Ledger'!$B$5:$B$200,0)),"")</f>
        <v/>
      </c>
      <c r="V121">
        <f>IFERROR(INDEX('Source Ledger'!$G$5:$G$200,MATCH(A121,'Source Ledger'!$B$5:$B$200,0)),"")</f>
        <v>0</v>
      </c>
      <c r="W121">
        <f>IF(T121="","",T121-M121)</f>
        <v>0</v>
      </c>
      <c r="X121">
        <f>IF(V121="","No","Yes")</f>
        <v/>
      </c>
    </row>
    <row r="122">
      <c r="A122" s="7" t="inlineStr">
        <is>
          <t>MD-00118</t>
        </is>
      </c>
      <c r="B122" s="7" t="inlineStr">
        <is>
          <t>MD-MO-050118</t>
        </is>
      </c>
      <c r="C122" s="7" t="inlineStr">
        <is>
          <t>Laptop</t>
        </is>
      </c>
      <c r="D122" s="7" t="inlineStr">
        <is>
          <t>Microsoft Surface Laptop 5</t>
        </is>
      </c>
      <c r="E122" s="7" t="inlineStr">
        <is>
          <t>E0081</t>
        </is>
      </c>
      <c r="F122" s="7" t="inlineStr">
        <is>
          <t>Chicago - Closed</t>
        </is>
      </c>
      <c r="G122" s="7" t="inlineStr">
        <is>
          <t>Assigned</t>
        </is>
      </c>
      <c r="H122" s="7" t="inlineStr">
        <is>
          <t>Certified Recycler</t>
        </is>
      </c>
      <c r="I122" s="7" t="inlineStr">
        <is>
          <t>Disposed (certificate missing)</t>
        </is>
      </c>
      <c r="J122" s="7" t="inlineStr">
        <is>
          <t>Retired/Pending Disposal</t>
        </is>
      </c>
      <c r="K122" s="7" t="inlineStr">
        <is>
          <t>Evidence for MD-00118 is piecewise: inventory cost $790, FA FA-000118, TR TR-00118, HR status Retired/Pending Disposal, site Disposed (certificate missing).</t>
        </is>
      </c>
      <c r="L122" s="7" t="inlineStr">
        <is>
          <t>2026-05-24</t>
        </is>
      </c>
      <c r="M122" s="7" t="n">
        <v>790</v>
      </c>
      <c r="N122" s="7">
        <f>IFERROR(INDEX('Source Ledger'!$G$5:$G$200,MATCH(A122,'Source Ledger'!$B$5:$B$200,0)),"")</f>
        <v>0</v>
      </c>
      <c r="O122" s="7">
        <f>IFERROR(INDEX('Source Ledger'!$A$5:$A$200,MATCH(A122,'Source Ledger'!$B$5:$B$200,0)),"")</f>
        <v/>
      </c>
      <c r="P122" s="7">
        <f>IFERROR(INDEX('Source Ledger'!$D$5:$D$200,MATCH(A122,'Source Ledger'!$B$5:$B$200,0)),"")</f>
        <v/>
      </c>
      <c r="Q122" s="7" t="inlineStr">
        <is>
          <t>Low</t>
        </is>
      </c>
      <c r="R122" s="7" t="inlineStr">
        <is>
          <t>EX-0151, EX-0152</t>
        </is>
      </c>
      <c r="S122" s="7" t="inlineStr">
        <is>
          <t>Yes</t>
        </is>
      </c>
      <c r="T122">
        <f>IFERROR(INDEX('Source Ledger'!$E$5:$E$200,MATCH(A122,'Source Ledger'!$B$5:$B$200,0)),"")</f>
        <v>790</v>
      </c>
      <c r="U122">
        <f>IFERROR(INDEX('Source Ledger'!$H$5:$H$200,MATCH(A122,'Source Ledger'!$B$5:$B$200,0)),"")</f>
        <v/>
      </c>
      <c r="V122">
        <f>IFERROR(INDEX('Source Ledger'!$G$5:$G$200,MATCH(A122,'Source Ledger'!$B$5:$B$200,0)),"")</f>
        <v>0</v>
      </c>
      <c r="W122">
        <f>IF(T122="","",T122-M122)</f>
        <v>0</v>
      </c>
      <c r="X122">
        <f>IF(V122="","No","Yes")</f>
        <v/>
      </c>
    </row>
    <row r="123">
      <c r="A123" s="7" t="inlineStr">
        <is>
          <t>MD-00119</t>
        </is>
      </c>
      <c r="B123" s="7" t="inlineStr">
        <is>
          <t>MD-MO-050119</t>
        </is>
      </c>
      <c r="C123" s="7" t="inlineStr">
        <is>
          <t>Laptop</t>
        </is>
      </c>
      <c r="D123" s="7" t="inlineStr">
        <is>
          <t>Lenovo ThinkPad X1 Carbon</t>
        </is>
      </c>
      <c r="E123" s="7" t="inlineStr">
        <is>
          <t>E0082</t>
        </is>
      </c>
      <c r="F123" s="7" t="inlineStr">
        <is>
          <t>Denver - Closed</t>
        </is>
      </c>
      <c r="G123" s="7" t="inlineStr">
        <is>
          <t>Assigned</t>
        </is>
      </c>
      <c r="H123" s="7" t="inlineStr">
        <is>
          <t>Certified Recycler</t>
        </is>
      </c>
      <c r="I123" s="7" t="inlineStr">
        <is>
          <t>Disposed</t>
        </is>
      </c>
      <c r="J123" s="7" t="inlineStr">
        <is>
          <t>Disposed</t>
        </is>
      </c>
      <c r="K123" s="7" t="inlineStr">
        <is>
          <t>Source stack for MD-00119 (Lenovo ThinkPad X1 Carbon): PO-2024-0024, TR-00119. Custodian context E0082; status Disposed at Disposed; basis $950.</t>
        </is>
      </c>
      <c r="L123" s="7" t="inlineStr">
        <is>
          <t>2026-07-20</t>
        </is>
      </c>
      <c r="M123" s="7" t="n">
        <v>950</v>
      </c>
      <c r="N123" s="7">
        <f>IFERROR(INDEX('Source Ledger'!$G$5:$G$200,MATCH(A123,'Source Ledger'!$B$5:$B$200,0)),"")</f>
        <v>0</v>
      </c>
      <c r="O123" s="7">
        <f>IFERROR(INDEX('Source Ledger'!$A$5:$A$200,MATCH(A123,'Source Ledger'!$B$5:$B$200,0)),"")</f>
        <v/>
      </c>
      <c r="P123" s="7">
        <f>IFERROR(INDEX('Source Ledger'!$D$5:$D$200,MATCH(A123,'Source Ledger'!$B$5:$B$200,0)),"")</f>
        <v/>
      </c>
      <c r="Q123" s="9" t="inlineStr">
        <is>
          <t>High</t>
        </is>
      </c>
      <c r="R123" s="7" t="inlineStr">
        <is>
          <t>EX-0153</t>
        </is>
      </c>
      <c r="S123" s="7" t="inlineStr">
        <is>
          <t>Yes</t>
        </is>
      </c>
      <c r="T123">
        <f>IFERROR(INDEX('Source Ledger'!$E$5:$E$200,MATCH(A123,'Source Ledger'!$B$5:$B$200,0)),"")</f>
        <v>1115</v>
      </c>
      <c r="U123">
        <f>IFERROR(INDEX('Source Ledger'!$H$5:$H$200,MATCH(A123,'Source Ledger'!$B$5:$B$200,0)),"")</f>
        <v/>
      </c>
      <c r="V123">
        <f>IFERROR(INDEX('Source Ledger'!$G$5:$G$200,MATCH(A123,'Source Ledger'!$B$5:$B$200,0)),"")</f>
        <v>0</v>
      </c>
      <c r="W123">
        <f>IF(T123="","",T123-M123)</f>
        <v>165</v>
      </c>
      <c r="X123">
        <f>IF(V123="","No","Yes")</f>
        <v/>
      </c>
    </row>
    <row r="124">
      <c r="A124" s="7" t="inlineStr">
        <is>
          <t>MD-00120</t>
        </is>
      </c>
      <c r="B124" s="7" t="inlineStr">
        <is>
          <t>MD-NE-050120</t>
        </is>
      </c>
      <c r="C124" s="7" t="inlineStr">
        <is>
          <t>Laptop</t>
        </is>
      </c>
      <c r="D124" s="7" t="inlineStr">
        <is>
          <t>MacBook Pro 14</t>
        </is>
      </c>
      <c r="E124" s="7" t="inlineStr">
        <is>
          <t>E0083</t>
        </is>
      </c>
      <c r="F124" s="7" t="inlineStr">
        <is>
          <t>Chicago - Closed</t>
        </is>
      </c>
      <c r="G124" s="7" t="inlineStr">
        <is>
          <t>Assigned</t>
        </is>
      </c>
      <c r="H124" s="7" t="inlineStr">
        <is>
          <t>Certified Recycler</t>
        </is>
      </c>
      <c r="I124" s="7" t="inlineStr">
        <is>
          <t>Disposed</t>
        </is>
      </c>
      <c r="J124" s="7" t="inlineStr">
        <is>
          <t>Disposed</t>
        </is>
      </c>
      <c r="K124" s="7" t="inlineStr">
        <is>
          <t>Source stack for MD-00120 (MacBook Pro 14): FA-000120, TR-00120. Custodian context E0083; status Disposed at Disposed; basis $6,245.</t>
        </is>
      </c>
      <c r="L124" s="7" t="inlineStr">
        <is>
          <t>2026-07-20</t>
        </is>
      </c>
      <c r="M124" s="7" t="n">
        <v>6245</v>
      </c>
      <c r="N124" s="7">
        <f>IFERROR(INDEX('Source Ledger'!$G$5:$G$200,MATCH(A124,'Source Ledger'!$B$5:$B$200,0)),"")</f>
        <v>0</v>
      </c>
      <c r="O124" s="7">
        <f>IFERROR(INDEX('Source Ledger'!$A$5:$A$200,MATCH(A124,'Source Ledger'!$B$5:$B$200,0)),"")</f>
        <v/>
      </c>
      <c r="P124" s="7">
        <f>IFERROR(INDEX('Source Ledger'!$D$5:$D$200,MATCH(A124,'Source Ledger'!$B$5:$B$200,0)),"")</f>
        <v/>
      </c>
      <c r="Q124" s="9" t="inlineStr">
        <is>
          <t>High</t>
        </is>
      </c>
      <c r="R124" s="7" t="inlineStr"/>
      <c r="S124" s="7" t="inlineStr">
        <is>
          <t>No</t>
        </is>
      </c>
      <c r="T124">
        <f>IFERROR(INDEX('Source Ledger'!$E$5:$E$200,MATCH(A124,'Source Ledger'!$B$5:$B$200,0)),"")</f>
        <v>6245</v>
      </c>
      <c r="U124">
        <f>IFERROR(INDEX('Source Ledger'!$H$5:$H$200,MATCH(A124,'Source Ledger'!$B$5:$B$200,0)),"")</f>
        <v/>
      </c>
      <c r="V124">
        <f>IFERROR(INDEX('Source Ledger'!$G$5:$G$200,MATCH(A124,'Source Ledger'!$B$5:$B$200,0)),"")</f>
        <v>0</v>
      </c>
      <c r="W124">
        <f>IF(T124="","",T124-M124)</f>
        <v>0</v>
      </c>
      <c r="X124">
        <f>IF(V124="","No","Yes")</f>
        <v/>
      </c>
    </row>
    <row r="125">
      <c r="A125" s="7" t="inlineStr">
        <is>
          <t>MD-00121</t>
        </is>
      </c>
      <c r="B125" s="7" t="inlineStr">
        <is>
          <t>MD-LA-050121</t>
        </is>
      </c>
      <c r="C125" s="7" t="inlineStr">
        <is>
          <t>Laptop</t>
        </is>
      </c>
      <c r="D125" s="7" t="inlineStr">
        <is>
          <t>Dell Latitude 7440</t>
        </is>
      </c>
      <c r="E125" s="7" t="n"/>
      <c r="F125" s="7" t="inlineStr">
        <is>
          <t>Denver - Closed</t>
        </is>
      </c>
      <c r="G125" s="7" t="inlineStr">
        <is>
          <t>Assigned</t>
        </is>
      </c>
      <c r="H125" s="7" t="inlineStr">
        <is>
          <t>IT Stock</t>
        </is>
      </c>
      <c r="I125" s="7" t="inlineStr">
        <is>
          <t>Chicago</t>
        </is>
      </c>
      <c r="J125" s="7" t="inlineStr">
        <is>
          <t>Available</t>
        </is>
      </c>
      <c r="K125" s="7" t="inlineStr">
        <is>
          <t>Dell Latitude 7440 tagged MD-00121 reconciled using FA-000121+TR-00121+HR. Present state Available/Chicago, cost $1,940.</t>
        </is>
      </c>
      <c r="L125" s="7" t="inlineStr">
        <is>
          <t>2026-02-03</t>
        </is>
      </c>
      <c r="M125" s="7" t="n">
        <v>1940</v>
      </c>
      <c r="N125" s="7">
        <f>IFERROR(INDEX('Source Ledger'!$G$5:$G$200,MATCH(A125,'Source Ledger'!$B$5:$B$200,0)),"")</f>
        <v>0</v>
      </c>
      <c r="O125" s="7">
        <f>IFERROR(INDEX('Source Ledger'!$A$5:$A$200,MATCH(A125,'Source Ledger'!$B$5:$B$200,0)),"")</f>
        <v/>
      </c>
      <c r="P125" s="7">
        <f>IFERROR(INDEX('Source Ledger'!$D$5:$D$200,MATCH(A125,'Source Ledger'!$B$5:$B$200,0)),"")</f>
        <v/>
      </c>
      <c r="Q125" s="9" t="inlineStr">
        <is>
          <t>High</t>
        </is>
      </c>
      <c r="R125" s="7" t="inlineStr">
        <is>
          <t>EX-0154</t>
        </is>
      </c>
      <c r="S125" s="7" t="inlineStr">
        <is>
          <t>Yes</t>
        </is>
      </c>
      <c r="T125">
        <f>IFERROR(INDEX('Source Ledger'!$E$5:$E$200,MATCH(A125,'Source Ledger'!$B$5:$B$200,0)),"")</f>
        <v>1940</v>
      </c>
      <c r="U125">
        <f>IFERROR(INDEX('Source Ledger'!$H$5:$H$200,MATCH(A125,'Source Ledger'!$B$5:$B$200,0)),"")</f>
        <v/>
      </c>
      <c r="V125">
        <f>IFERROR(INDEX('Source Ledger'!$G$5:$G$200,MATCH(A125,'Source Ledger'!$B$5:$B$200,0)),"")</f>
        <v>0</v>
      </c>
      <c r="W125">
        <f>IF(T125="","",T125-M125)</f>
        <v>0</v>
      </c>
      <c r="X125">
        <f>IF(V125="","No","Yes")</f>
        <v/>
      </c>
    </row>
    <row r="126">
      <c r="A126" s="7" t="inlineStr">
        <is>
          <t>MD-00122</t>
        </is>
      </c>
      <c r="B126" s="7" t="inlineStr">
        <is>
          <t>MD-MO-050122</t>
        </is>
      </c>
      <c r="C126" s="7" t="inlineStr">
        <is>
          <t>Laptop</t>
        </is>
      </c>
      <c r="D126" s="7" t="inlineStr">
        <is>
          <t>HP EliteBook 840 G10</t>
        </is>
      </c>
      <c r="E126" s="7" t="n"/>
      <c r="F126" s="7" t="inlineStr">
        <is>
          <t>Chicago - Closed</t>
        </is>
      </c>
      <c r="G126" s="7" t="inlineStr">
        <is>
          <t>Assigned</t>
        </is>
      </c>
      <c r="H126" s="7" t="inlineStr">
        <is>
          <t>IT Stock</t>
        </is>
      </c>
      <c r="I126" s="7" t="inlineStr">
        <is>
          <t>Dallas</t>
        </is>
      </c>
      <c r="J126" s="7" t="inlineStr">
        <is>
          <t>Available</t>
        </is>
      </c>
      <c r="K126" s="7" t="inlineStr">
        <is>
          <t>Cross-checked MD-00122 to source systems. PO PO-2025-0025. Ledger FA-000122. Outcome Available in Dallas ($655).</t>
        </is>
      </c>
      <c r="L126" s="7" t="inlineStr">
        <is>
          <t>2026-03-04</t>
        </is>
      </c>
      <c r="M126" s="7" t="n">
        <v>655</v>
      </c>
      <c r="N126" s="7">
        <f>IFERROR(INDEX('Source Ledger'!$G$5:$G$200,MATCH(A126,'Source Ledger'!$B$5:$B$200,0)),"")</f>
        <v>336.15</v>
      </c>
      <c r="O126" s="7">
        <f>IFERROR(INDEX('Source Ledger'!$A$5:$A$200,MATCH(A126,'Source Ledger'!$B$5:$B$200,0)),"")</f>
        <v/>
      </c>
      <c r="P126" s="7">
        <f>IFERROR(INDEX('Source Ledger'!$D$5:$D$200,MATCH(A126,'Source Ledger'!$B$5:$B$200,0)),"")</f>
        <v/>
      </c>
      <c r="Q126" s="9" t="inlineStr">
        <is>
          <t>High</t>
        </is>
      </c>
      <c r="R126" s="7" t="inlineStr">
        <is>
          <t>EX-0155</t>
        </is>
      </c>
      <c r="S126" s="7" t="inlineStr">
        <is>
          <t>Yes</t>
        </is>
      </c>
      <c r="T126">
        <f>IFERROR(INDEX('Source Ledger'!$E$5:$E$200,MATCH(A126,'Source Ledger'!$B$5:$B$200,0)),"")</f>
        <v>655</v>
      </c>
      <c r="U126">
        <f>IFERROR(INDEX('Source Ledger'!$H$5:$H$200,MATCH(A126,'Source Ledger'!$B$5:$B$200,0)),"")</f>
        <v/>
      </c>
      <c r="V126">
        <f>IFERROR(INDEX('Source Ledger'!$G$5:$G$200,MATCH(A126,'Source Ledger'!$B$5:$B$200,0)),"")</f>
        <v>336.15</v>
      </c>
      <c r="W126">
        <f>IF(T126="","",T126-M126)</f>
        <v>0</v>
      </c>
      <c r="X126">
        <f>IF(V126="","No","Yes")</f>
        <v/>
      </c>
    </row>
    <row r="127">
      <c r="A127" s="7" t="inlineStr">
        <is>
          <t>MD-00123</t>
        </is>
      </c>
      <c r="B127" s="7" t="inlineStr">
        <is>
          <t>MD-MO-050123</t>
        </is>
      </c>
      <c r="C127" s="7" t="inlineStr">
        <is>
          <t>Laptop</t>
        </is>
      </c>
      <c r="D127" s="7" t="inlineStr">
        <is>
          <t>Microsoft Surface Laptop 5</t>
        </is>
      </c>
      <c r="E127" s="7" t="n"/>
      <c r="F127" s="7" t="inlineStr">
        <is>
          <t>Denver - Closed</t>
        </is>
      </c>
      <c r="G127" s="7" t="inlineStr">
        <is>
          <t>Assigned</t>
        </is>
      </c>
      <c r="H127" s="7" t="inlineStr">
        <is>
          <t>IT Stock</t>
        </is>
      </c>
      <c r="I127" s="7" t="inlineStr">
        <is>
          <t>Denver</t>
        </is>
      </c>
      <c r="J127" s="7" t="inlineStr">
        <is>
          <t>Available</t>
        </is>
      </c>
      <c r="K127" s="7" t="inlineStr">
        <is>
          <t>MD-00123 evidence drawn from PO-2025-0025 / FA-000123. HR/location reading Available/Denver. Move TR-00123. Cost $1,130.</t>
        </is>
      </c>
      <c r="L127" s="7" t="inlineStr">
        <is>
          <t>2026-04-05</t>
        </is>
      </c>
      <c r="M127" s="7" t="n">
        <v>1130</v>
      </c>
      <c r="N127" s="7">
        <f>IFERROR(INDEX('Source Ledger'!$G$5:$G$200,MATCH(A127,'Source Ledger'!$B$5:$B$200,0)),"")</f>
        <v>622.62</v>
      </c>
      <c r="O127" s="7">
        <f>IFERROR(INDEX('Source Ledger'!$A$5:$A$200,MATCH(A127,'Source Ledger'!$B$5:$B$200,0)),"")</f>
        <v/>
      </c>
      <c r="P127" s="7">
        <f>IFERROR(INDEX('Source Ledger'!$D$5:$D$200,MATCH(A127,'Source Ledger'!$B$5:$B$200,0)),"")</f>
        <v/>
      </c>
      <c r="Q127" s="9" t="inlineStr">
        <is>
          <t>High</t>
        </is>
      </c>
      <c r="R127" s="7" t="inlineStr">
        <is>
          <t>EX-0156</t>
        </is>
      </c>
      <c r="S127" s="7" t="inlineStr">
        <is>
          <t>Yes</t>
        </is>
      </c>
      <c r="T127">
        <f>IFERROR(INDEX('Source Ledger'!$E$5:$E$200,MATCH(A127,'Source Ledger'!$B$5:$B$200,0)),"")</f>
        <v>1130</v>
      </c>
      <c r="U127">
        <f>IFERROR(INDEX('Source Ledger'!$H$5:$H$200,MATCH(A127,'Source Ledger'!$B$5:$B$200,0)),"")</f>
        <v/>
      </c>
      <c r="V127">
        <f>IFERROR(INDEX('Source Ledger'!$G$5:$G$200,MATCH(A127,'Source Ledger'!$B$5:$B$200,0)),"")</f>
        <v>622.62</v>
      </c>
      <c r="W127">
        <f>IF(T127="","",T127-M127)</f>
        <v>0</v>
      </c>
      <c r="X127">
        <f>IF(V127="","No","Yes")</f>
        <v/>
      </c>
    </row>
    <row r="128">
      <c r="A128" s="7" t="inlineStr">
        <is>
          <t>MD-00124</t>
        </is>
      </c>
      <c r="B128" s="7" t="inlineStr">
        <is>
          <t>MD-NE-050124</t>
        </is>
      </c>
      <c r="C128" s="7" t="inlineStr">
        <is>
          <t>Laptop</t>
        </is>
      </c>
      <c r="D128" s="7" t="inlineStr">
        <is>
          <t>Lenovo ThinkPad X1 Carbon</t>
        </is>
      </c>
      <c r="E128" s="7" t="n"/>
      <c r="F128" s="7" t="inlineStr">
        <is>
          <t>Chicago - Closed</t>
        </is>
      </c>
      <c r="G128" s="7" t="inlineStr">
        <is>
          <t>Assigned</t>
        </is>
      </c>
      <c r="H128" s="7" t="inlineStr">
        <is>
          <t>IT Stock</t>
        </is>
      </c>
      <c r="I128" s="7" t="inlineStr">
        <is>
          <t>New York</t>
        </is>
      </c>
      <c r="J128" s="7" t="inlineStr">
        <is>
          <t>Available</t>
        </is>
      </c>
      <c r="K128" s="7" t="inlineStr">
        <is>
          <t>Working evidence note on MD-00124: Lenovo ThinkPad X1 Carbon; Available @ New York; holder New York; PO-2022-0026; TR-00124; basis $6,425.</t>
        </is>
      </c>
      <c r="L128" s="7" t="inlineStr">
        <is>
          <t>2026-05-06</t>
        </is>
      </c>
      <c r="M128" s="7" t="n">
        <v>6425</v>
      </c>
      <c r="N128" s="7">
        <f>IFERROR(INDEX('Source Ledger'!$G$5:$G$200,MATCH(A128,'Source Ledger'!$B$5:$B$200,0)),"")</f>
        <v>947.26</v>
      </c>
      <c r="O128" s="7">
        <f>IFERROR(INDEX('Source Ledger'!$A$5:$A$200,MATCH(A128,'Source Ledger'!$B$5:$B$200,0)),"")</f>
        <v/>
      </c>
      <c r="P128" s="7">
        <f>IFERROR(INDEX('Source Ledger'!$D$5:$D$200,MATCH(A128,'Source Ledger'!$B$5:$B$200,0)),"")</f>
        <v/>
      </c>
      <c r="Q128" s="9" t="inlineStr">
        <is>
          <t>High</t>
        </is>
      </c>
      <c r="R128" s="7" t="inlineStr">
        <is>
          <t>EX-0157</t>
        </is>
      </c>
      <c r="S128" s="7" t="inlineStr">
        <is>
          <t>Yes</t>
        </is>
      </c>
      <c r="T128">
        <f>IFERROR(INDEX('Source Ledger'!$E$5:$E$200,MATCH(A128,'Source Ledger'!$B$5:$B$200,0)),"")</f>
        <v>6425</v>
      </c>
      <c r="U128">
        <f>IFERROR(INDEX('Source Ledger'!$H$5:$H$200,MATCH(A128,'Source Ledger'!$B$5:$B$200,0)),"")</f>
        <v/>
      </c>
      <c r="V128">
        <f>IFERROR(INDEX('Source Ledger'!$G$5:$G$200,MATCH(A128,'Source Ledger'!$B$5:$B$200,0)),"")</f>
        <v>947.26</v>
      </c>
      <c r="W128">
        <f>IF(T128="","",T128-M128)</f>
        <v>0</v>
      </c>
      <c r="X128">
        <f>IF(V128="","No","Yes")</f>
        <v/>
      </c>
    </row>
    <row r="129">
      <c r="A129" s="7" t="inlineStr">
        <is>
          <t>MD-00125</t>
        </is>
      </c>
      <c r="B129" s="7" t="inlineStr">
        <is>
          <t>MD-LA-050125</t>
        </is>
      </c>
      <c r="C129" s="7" t="inlineStr">
        <is>
          <t>Laptop</t>
        </is>
      </c>
      <c r="D129" s="7" t="inlineStr">
        <is>
          <t>Lenovo ThinkPad T14</t>
        </is>
      </c>
      <c r="E129" s="7" t="n"/>
      <c r="F129" s="7" t="inlineStr">
        <is>
          <t>Denver - Closed</t>
        </is>
      </c>
      <c r="G129" s="7" t="inlineStr">
        <is>
          <t>Assigned</t>
        </is>
      </c>
      <c r="H129" s="7" t="inlineStr">
        <is>
          <t>IT Stock</t>
        </is>
      </c>
      <c r="I129" s="7" t="inlineStr">
        <is>
          <t>Seattle</t>
        </is>
      </c>
      <c r="J129" s="7" t="inlineStr">
        <is>
          <t>Available</t>
        </is>
      </c>
      <c r="K129" s="7" t="inlineStr">
        <is>
          <t>Cross-checked MD-00125 to source systems. Ledger FA-000125. Move TR-00125. Outcome Available in Seattle ($2,120).</t>
        </is>
      </c>
      <c r="L129" s="7" t="inlineStr">
        <is>
          <t>2026-06-07</t>
        </is>
      </c>
      <c r="M129" s="7" t="n">
        <v>2120</v>
      </c>
      <c r="N129" s="7">
        <f>IFERROR(INDEX('Source Ledger'!$G$5:$G$200,MATCH(A129,'Source Ledger'!$B$5:$B$200,0)),"")</f>
        <v>0</v>
      </c>
      <c r="O129" s="7">
        <f>IFERROR(INDEX('Source Ledger'!$A$5:$A$200,MATCH(A129,'Source Ledger'!$B$5:$B$200,0)),"")</f>
        <v/>
      </c>
      <c r="P129" s="7">
        <f>IFERROR(INDEX('Source Ledger'!$D$5:$D$200,MATCH(A129,'Source Ledger'!$B$5:$B$200,0)),"")</f>
        <v/>
      </c>
      <c r="Q129" s="9" t="inlineStr">
        <is>
          <t>High</t>
        </is>
      </c>
      <c r="R129" s="7" t="inlineStr">
        <is>
          <t>EX-0158</t>
        </is>
      </c>
      <c r="S129" s="7" t="inlineStr">
        <is>
          <t>Yes</t>
        </is>
      </c>
      <c r="T129">
        <f>IFERROR(INDEX('Source Ledger'!$E$5:$E$200,MATCH(A129,'Source Ledger'!$B$5:$B$200,0)),"")</f>
        <v>2120</v>
      </c>
      <c r="U129">
        <f>IFERROR(INDEX('Source Ledger'!$H$5:$H$200,MATCH(A129,'Source Ledger'!$B$5:$B$200,0)),"")</f>
        <v/>
      </c>
      <c r="V129">
        <f>IFERROR(INDEX('Source Ledger'!$G$5:$G$200,MATCH(A129,'Source Ledger'!$B$5:$B$200,0)),"")</f>
        <v>0</v>
      </c>
      <c r="W129">
        <f>IF(T129="","",T129-M129)</f>
        <v>0</v>
      </c>
      <c r="X129">
        <f>IF(V129="","No","Yes")</f>
        <v/>
      </c>
    </row>
    <row r="130">
      <c r="A130" s="7" t="inlineStr">
        <is>
          <t>MD-00126</t>
        </is>
      </c>
      <c r="B130" s="7" t="inlineStr">
        <is>
          <t>MD-MO-050126</t>
        </is>
      </c>
      <c r="C130" s="7" t="inlineStr">
        <is>
          <t>Laptop</t>
        </is>
      </c>
      <c r="D130" s="7" t="inlineStr">
        <is>
          <t>MacBook Pro 14</t>
        </is>
      </c>
      <c r="E130" s="7" t="n"/>
      <c r="F130" s="7" t="inlineStr">
        <is>
          <t>Chicago - Closed</t>
        </is>
      </c>
      <c r="G130" s="7" t="inlineStr">
        <is>
          <t>Assigned</t>
        </is>
      </c>
      <c r="H130" s="7" t="inlineStr">
        <is>
          <t>IT Stock</t>
        </is>
      </c>
      <c r="I130" s="7" t="inlineStr">
        <is>
          <t>Atlanta</t>
        </is>
      </c>
      <c r="J130" s="7" t="inlineStr">
        <is>
          <t>Available</t>
        </is>
      </c>
      <c r="K130" s="7" t="inlineStr">
        <is>
          <t>Evidence for MD-00126 is piecewise: inventory cost $520, FA FA-000126, TR TR-00126, HR status Available, site Atlanta.</t>
        </is>
      </c>
      <c r="L130" s="7" t="inlineStr">
        <is>
          <t>2026-01-08</t>
        </is>
      </c>
      <c r="M130" s="7" t="n">
        <v>520</v>
      </c>
      <c r="N130" s="7">
        <f>IFERROR(INDEX('Source Ledger'!$G$5:$G$200,MATCH(A130,'Source Ledger'!$B$5:$B$200,0)),"")</f>
        <v>302.75</v>
      </c>
      <c r="O130" s="7">
        <f>IFERROR(INDEX('Source Ledger'!$A$5:$A$200,MATCH(A130,'Source Ledger'!$B$5:$B$200,0)),"")</f>
        <v/>
      </c>
      <c r="P130" s="7">
        <f>IFERROR(INDEX('Source Ledger'!$D$5:$D$200,MATCH(A130,'Source Ledger'!$B$5:$B$200,0)),"")</f>
        <v/>
      </c>
      <c r="Q130" s="9" t="inlineStr">
        <is>
          <t>High</t>
        </is>
      </c>
      <c r="R130" s="7" t="inlineStr">
        <is>
          <t>EX-0159</t>
        </is>
      </c>
      <c r="S130" s="7" t="inlineStr">
        <is>
          <t>Yes</t>
        </is>
      </c>
      <c r="T130">
        <f>IFERROR(INDEX('Source Ledger'!$E$5:$E$200,MATCH(A130,'Source Ledger'!$B$5:$B$200,0)),"")</f>
        <v>520</v>
      </c>
      <c r="U130">
        <f>IFERROR(INDEX('Source Ledger'!$H$5:$H$200,MATCH(A130,'Source Ledger'!$B$5:$B$200,0)),"")</f>
        <v/>
      </c>
      <c r="V130">
        <f>IFERROR(INDEX('Source Ledger'!$G$5:$G$200,MATCH(A130,'Source Ledger'!$B$5:$B$200,0)),"")</f>
        <v>302.75</v>
      </c>
      <c r="W130">
        <f>IF(T130="","",T130-M130)</f>
        <v>0</v>
      </c>
      <c r="X130">
        <f>IF(V130="","No","Yes")</f>
        <v/>
      </c>
    </row>
    <row r="131">
      <c r="A131" s="7" t="inlineStr">
        <is>
          <t>MD-00127</t>
        </is>
      </c>
      <c r="B131" s="7" t="inlineStr">
        <is>
          <t>MD-MO-050127</t>
        </is>
      </c>
      <c r="C131" s="7" t="inlineStr">
        <is>
          <t>Laptop</t>
        </is>
      </c>
      <c r="D131" s="7" t="inlineStr">
        <is>
          <t>Dell Latitude 7440</t>
        </is>
      </c>
      <c r="E131" s="7" t="inlineStr">
        <is>
          <t>E0061</t>
        </is>
      </c>
      <c r="F131" s="7" t="inlineStr">
        <is>
          <t>Denver</t>
        </is>
      </c>
      <c r="G131" s="7" t="inlineStr">
        <is>
          <t>In Use</t>
        </is>
      </c>
      <c r="H131" s="7" t="inlineStr">
        <is>
          <t>E0061</t>
        </is>
      </c>
      <c r="I131" s="7" t="inlineStr">
        <is>
          <t>Denver</t>
        </is>
      </c>
      <c r="J131" s="7" t="inlineStr">
        <is>
          <t>In Use</t>
        </is>
      </c>
      <c r="K131" s="7" t="inlineStr">
        <is>
          <t>Dell Latitude 7440 tagged MD-00127 reconciled using PO-2022-0026+FA-000127+HR. Present state In Use/Denver, cost $995.</t>
        </is>
      </c>
      <c r="L131" s="7" t="inlineStr">
        <is>
          <t>2026-08-05</t>
        </is>
      </c>
      <c r="M131" s="7" t="n">
        <v>995</v>
      </c>
      <c r="N131" s="7">
        <f>IFERROR(INDEX('Source Ledger'!$G$5:$G$200,MATCH(A131,'Source Ledger'!$B$5:$B$200,0)),"")</f>
        <v>662.65</v>
      </c>
      <c r="O131" s="7">
        <f>IFERROR(INDEX('Source Ledger'!$A$5:$A$200,MATCH(A131,'Source Ledger'!$B$5:$B$200,0)),"")</f>
        <v/>
      </c>
      <c r="P131" s="7">
        <f>IFERROR(INDEX('Source Ledger'!$D$5:$D$200,MATCH(A131,'Source Ledger'!$B$5:$B$200,0)),"")</f>
        <v/>
      </c>
      <c r="Q131" s="7" t="inlineStr">
        <is>
          <t>Medium</t>
        </is>
      </c>
      <c r="R131" s="7" t="inlineStr">
        <is>
          <t>EX-0160</t>
        </is>
      </c>
      <c r="S131" s="7" t="inlineStr">
        <is>
          <t>Yes</t>
        </is>
      </c>
      <c r="T131">
        <f>IFERROR(INDEX('Source Ledger'!$E$5:$E$200,MATCH(A131,'Source Ledger'!$B$5:$B$200,0)),"")</f>
        <v>995</v>
      </c>
      <c r="U131">
        <f>IFERROR(INDEX('Source Ledger'!$H$5:$H$200,MATCH(A131,'Source Ledger'!$B$5:$B$200,0)),"")</f>
        <v/>
      </c>
      <c r="V131">
        <f>IFERROR(INDEX('Source Ledger'!$G$5:$G$200,MATCH(A131,'Source Ledger'!$B$5:$B$200,0)),"")</f>
        <v>662.65</v>
      </c>
      <c r="W131">
        <f>IF(T131="","",T131-M131)</f>
        <v>0</v>
      </c>
      <c r="X131">
        <f>IF(V131="","No","Yes")</f>
        <v/>
      </c>
    </row>
    <row r="132">
      <c r="A132" s="7" t="inlineStr">
        <is>
          <t>MD-00128</t>
        </is>
      </c>
      <c r="B132" s="7" t="inlineStr">
        <is>
          <t>MD-NE-050128</t>
        </is>
      </c>
      <c r="C132" s="7" t="inlineStr">
        <is>
          <t>Laptop</t>
        </is>
      </c>
      <c r="D132" s="7" t="inlineStr">
        <is>
          <t>HP EliteBook 840 G10</t>
        </is>
      </c>
      <c r="E132" s="7" t="inlineStr">
        <is>
          <t>E0062</t>
        </is>
      </c>
      <c r="F132" s="7" t="inlineStr">
        <is>
          <t>New York</t>
        </is>
      </c>
      <c r="G132" s="7" t="inlineStr">
        <is>
          <t>In Use</t>
        </is>
      </c>
      <c r="H132" s="7" t="inlineStr">
        <is>
          <t>E0062</t>
        </is>
      </c>
      <c r="I132" s="7" t="inlineStr">
        <is>
          <t>New York</t>
        </is>
      </c>
      <c r="J132" s="7" t="inlineStr">
        <is>
          <t>In Use</t>
        </is>
      </c>
      <c r="K132" s="7" t="inlineStr">
        <is>
          <t>Cross-checked MD-00128 to source systems. Move TR-00128. Outcome In Use in New York ($6,290).</t>
        </is>
      </c>
      <c r="L132" s="7" t="inlineStr">
        <is>
          <t>2026-08-05</t>
        </is>
      </c>
      <c r="M132" s="7" t="n">
        <v>6290</v>
      </c>
      <c r="N132" s="7">
        <f>IFERROR(INDEX('Source Ledger'!$G$5:$G$200,MATCH(A132,'Source Ledger'!$B$5:$B$200,0)),"")</f>
        <v>1364.77</v>
      </c>
      <c r="O132" s="7">
        <f>IFERROR(INDEX('Source Ledger'!$A$5:$A$200,MATCH(A132,'Source Ledger'!$B$5:$B$200,0)),"")</f>
        <v/>
      </c>
      <c r="P132" s="7">
        <f>IFERROR(INDEX('Source Ledger'!$D$5:$D$200,MATCH(A132,'Source Ledger'!$B$5:$B$200,0)),"")</f>
        <v/>
      </c>
      <c r="Q132" s="9" t="inlineStr">
        <is>
          <t>High</t>
        </is>
      </c>
      <c r="R132" s="7" t="inlineStr"/>
      <c r="S132" s="7" t="inlineStr">
        <is>
          <t>No</t>
        </is>
      </c>
      <c r="T132">
        <f>IFERROR(INDEX('Source Ledger'!$E$5:$E$200,MATCH(A132,'Source Ledger'!$B$5:$B$200,0)),"")</f>
        <v>6290</v>
      </c>
      <c r="U132">
        <f>IFERROR(INDEX('Source Ledger'!$H$5:$H$200,MATCH(A132,'Source Ledger'!$B$5:$B$200,0)),"")</f>
        <v/>
      </c>
      <c r="V132">
        <f>IFERROR(INDEX('Source Ledger'!$G$5:$G$200,MATCH(A132,'Source Ledger'!$B$5:$B$200,0)),"")</f>
        <v>1364.77</v>
      </c>
      <c r="W132">
        <f>IF(T132="","",T132-M132)</f>
        <v>0</v>
      </c>
      <c r="X132">
        <f>IF(V132="","No","Yes")</f>
        <v/>
      </c>
    </row>
    <row r="133">
      <c r="A133" s="7" t="inlineStr">
        <is>
          <t>MD-00129</t>
        </is>
      </c>
      <c r="B133" s="7" t="inlineStr">
        <is>
          <t>MD-LA-050129</t>
        </is>
      </c>
      <c r="C133" s="7" t="inlineStr">
        <is>
          <t>Laptop</t>
        </is>
      </c>
      <c r="D133" s="7" t="inlineStr">
        <is>
          <t>Microsoft Surface Laptop 5</t>
        </is>
      </c>
      <c r="E133" s="7" t="inlineStr">
        <is>
          <t>E0063</t>
        </is>
      </c>
      <c r="F133" s="7" t="inlineStr">
        <is>
          <t>Seattle</t>
        </is>
      </c>
      <c r="G133" s="7" t="inlineStr">
        <is>
          <t>In Use</t>
        </is>
      </c>
      <c r="H133" s="7" t="inlineStr">
        <is>
          <t>E0063</t>
        </is>
      </c>
      <c r="I133" s="7" t="inlineStr">
        <is>
          <t>Seattle</t>
        </is>
      </c>
      <c r="J133" s="7" t="inlineStr">
        <is>
          <t>In Use</t>
        </is>
      </c>
      <c r="K133" s="7" t="inlineStr">
        <is>
          <t>Microsoft Surface Laptop 5 tagged MD-00129 reconciled using FA-000129+HR. Present state In Use/Seattle, cost $1,985.</t>
        </is>
      </c>
      <c r="L133" s="7" t="inlineStr">
        <is>
          <t>2026-08-05</t>
        </is>
      </c>
      <c r="M133" s="7" t="n">
        <v>1985</v>
      </c>
      <c r="N133" s="7">
        <f>IFERROR(INDEX('Source Ledger'!$G$5:$G$200,MATCH(A133,'Source Ledger'!$B$5:$B$200,0)),"")</f>
        <v>111.86</v>
      </c>
      <c r="O133" s="7">
        <f>IFERROR(INDEX('Source Ledger'!$A$5:$A$200,MATCH(A133,'Source Ledger'!$B$5:$B$200,0)),"")</f>
        <v/>
      </c>
      <c r="P133" s="7">
        <f>IFERROR(INDEX('Source Ledger'!$D$5:$D$200,MATCH(A133,'Source Ledger'!$B$5:$B$200,0)),"")</f>
        <v/>
      </c>
      <c r="Q133" s="9" t="inlineStr">
        <is>
          <t>High</t>
        </is>
      </c>
      <c r="R133" s="7" t="inlineStr"/>
      <c r="S133" s="7" t="inlineStr">
        <is>
          <t>No</t>
        </is>
      </c>
      <c r="T133">
        <f>IFERROR(INDEX('Source Ledger'!$E$5:$E$200,MATCH(A133,'Source Ledger'!$B$5:$B$200,0)),"")</f>
        <v>1985</v>
      </c>
      <c r="U133">
        <f>IFERROR(INDEX('Source Ledger'!$H$5:$H$200,MATCH(A133,'Source Ledger'!$B$5:$B$200,0)),"")</f>
        <v/>
      </c>
      <c r="V133">
        <f>IFERROR(INDEX('Source Ledger'!$G$5:$G$200,MATCH(A133,'Source Ledger'!$B$5:$B$200,0)),"")</f>
        <v>111.86</v>
      </c>
      <c r="W133">
        <f>IF(T133="","",T133-M133)</f>
        <v>0</v>
      </c>
      <c r="X133">
        <f>IF(V133="","No","Yes")</f>
        <v/>
      </c>
    </row>
    <row r="134">
      <c r="A134" s="7" t="inlineStr">
        <is>
          <t>MD-00130</t>
        </is>
      </c>
      <c r="B134" s="7" t="inlineStr">
        <is>
          <t>MD-MO-050130</t>
        </is>
      </c>
      <c r="C134" s="7" t="inlineStr">
        <is>
          <t>Laptop</t>
        </is>
      </c>
      <c r="D134" s="7" t="inlineStr">
        <is>
          <t>Lenovo ThinkPad T14</t>
        </is>
      </c>
      <c r="E134" s="7" t="inlineStr">
        <is>
          <t>E0064</t>
        </is>
      </c>
      <c r="F134" s="7" t="inlineStr">
        <is>
          <t>Atlanta</t>
        </is>
      </c>
      <c r="G134" s="7" t="inlineStr">
        <is>
          <t>In Use</t>
        </is>
      </c>
      <c r="H134" s="7" t="inlineStr">
        <is>
          <t>E0064</t>
        </is>
      </c>
      <c r="I134" s="7" t="inlineStr">
        <is>
          <t>Atlanta</t>
        </is>
      </c>
      <c r="J134" s="7" t="inlineStr">
        <is>
          <t>In Use</t>
        </is>
      </c>
      <c r="K134" s="7" t="inlineStr">
        <is>
          <t>For MD-00130, register cost $700 sits beside no FA row . Transfer TR-00130 on file. Verified In Use / Atlanta.</t>
        </is>
      </c>
      <c r="L134" s="7" t="inlineStr">
        <is>
          <t>2026-08-05</t>
        </is>
      </c>
      <c r="M134" s="7" t="n">
        <v>700</v>
      </c>
      <c r="N134" s="7">
        <f>IFERROR(INDEX('Source Ledger'!$G$5:$G$200,MATCH(A134,'Source Ledger'!$B$5:$B$200,0)),"")</f>
        <v/>
      </c>
      <c r="O134" s="7">
        <f>IFERROR(INDEX('Source Ledger'!$A$5:$A$200,MATCH(A134,'Source Ledger'!$B$5:$B$200,0)),"")</f>
        <v/>
      </c>
      <c r="P134" s="7">
        <f>IFERROR(INDEX('Source Ledger'!$D$5:$D$200,MATCH(A134,'Source Ledger'!$B$5:$B$200,0)),"")</f>
        <v/>
      </c>
      <c r="Q134" s="9" t="inlineStr">
        <is>
          <t>High</t>
        </is>
      </c>
      <c r="R134" s="7" t="inlineStr">
        <is>
          <t>EX-0161</t>
        </is>
      </c>
      <c r="S134" s="7" t="inlineStr">
        <is>
          <t>Yes</t>
        </is>
      </c>
      <c r="T134">
        <f>IFERROR(INDEX('Source Ledger'!$E$5:$E$200,MATCH(A134,'Source Ledger'!$B$5:$B$200,0)),"")</f>
        <v/>
      </c>
      <c r="U134">
        <f>IFERROR(INDEX('Source Ledger'!$H$5:$H$200,MATCH(A134,'Source Ledger'!$B$5:$B$200,0)),"")</f>
        <v/>
      </c>
      <c r="V134">
        <f>IFERROR(INDEX('Source Ledger'!$G$5:$G$200,MATCH(A134,'Source Ledger'!$B$5:$B$200,0)),"")</f>
        <v/>
      </c>
      <c r="W134">
        <f>IF(T134="","",T134-M134)</f>
        <v/>
      </c>
      <c r="X134">
        <f>IF(V134="","No","Yes")</f>
        <v/>
      </c>
    </row>
    <row r="135">
      <c r="A135" s="7" t="inlineStr">
        <is>
          <t>MD-00131</t>
        </is>
      </c>
      <c r="B135" s="7" t="inlineStr">
        <is>
          <t>MD-MO-050131</t>
        </is>
      </c>
      <c r="C135" s="7" t="inlineStr">
        <is>
          <t>Laptop</t>
        </is>
      </c>
      <c r="D135" s="7" t="inlineStr">
        <is>
          <t>MacBook Pro 14</t>
        </is>
      </c>
      <c r="E135" s="7" t="inlineStr">
        <is>
          <t>E0065</t>
        </is>
      </c>
      <c r="F135" s="7" t="inlineStr">
        <is>
          <t>Chicago</t>
        </is>
      </c>
      <c r="G135" s="7" t="inlineStr">
        <is>
          <t>In Use</t>
        </is>
      </c>
      <c r="H135" s="7" t="inlineStr">
        <is>
          <t>E0065</t>
        </is>
      </c>
      <c r="I135" s="7" t="inlineStr">
        <is>
          <t>Chicago</t>
        </is>
      </c>
      <c r="J135" s="7" t="inlineStr">
        <is>
          <t>In Use</t>
        </is>
      </c>
      <c r="K135" s="7" t="inlineStr">
        <is>
          <t>MacBook Pro 14 tagged MD-00131 reconciled using PO-2023-0023+HR. Present state In Use/Chicago, cost $1,175.</t>
        </is>
      </c>
      <c r="L135" s="7" t="inlineStr">
        <is>
          <t>2026-08-05</t>
        </is>
      </c>
      <c r="M135" s="7" t="n">
        <v>1175</v>
      </c>
      <c r="N135" s="7">
        <f>IFERROR(INDEX('Source Ledger'!$G$5:$G$200,MATCH(A135,'Source Ledger'!$B$5:$B$200,0)),"")</f>
        <v/>
      </c>
      <c r="O135" s="7">
        <f>IFERROR(INDEX('Source Ledger'!$A$5:$A$200,MATCH(A135,'Source Ledger'!$B$5:$B$200,0)),"")</f>
        <v/>
      </c>
      <c r="P135" s="7">
        <f>IFERROR(INDEX('Source Ledger'!$D$5:$D$200,MATCH(A135,'Source Ledger'!$B$5:$B$200,0)),"")</f>
        <v/>
      </c>
      <c r="Q135" s="9" t="inlineStr">
        <is>
          <t>High</t>
        </is>
      </c>
      <c r="R135" s="7" t="inlineStr">
        <is>
          <t>EX-0162</t>
        </is>
      </c>
      <c r="S135" s="7" t="inlineStr">
        <is>
          <t>Yes</t>
        </is>
      </c>
      <c r="T135">
        <f>IFERROR(INDEX('Source Ledger'!$E$5:$E$200,MATCH(A135,'Source Ledger'!$B$5:$B$200,0)),"")</f>
        <v/>
      </c>
      <c r="U135">
        <f>IFERROR(INDEX('Source Ledger'!$H$5:$H$200,MATCH(A135,'Source Ledger'!$B$5:$B$200,0)),"")</f>
        <v/>
      </c>
      <c r="V135">
        <f>IFERROR(INDEX('Source Ledger'!$G$5:$G$200,MATCH(A135,'Source Ledger'!$B$5:$B$200,0)),"")</f>
        <v/>
      </c>
      <c r="W135">
        <f>IF(T135="","",T135-M135)</f>
        <v/>
      </c>
      <c r="X135">
        <f>IF(V135="","No","Yes")</f>
        <v/>
      </c>
    </row>
    <row r="136">
      <c r="A136" s="7" t="inlineStr">
        <is>
          <t>MD-00132</t>
        </is>
      </c>
      <c r="B136" s="7" t="inlineStr">
        <is>
          <t>MD-NE-050132</t>
        </is>
      </c>
      <c r="C136" s="7" t="inlineStr">
        <is>
          <t>Laptop</t>
        </is>
      </c>
      <c r="D136" s="7" t="inlineStr">
        <is>
          <t>Dell Latitude 7440</t>
        </is>
      </c>
      <c r="E136" s="7" t="inlineStr">
        <is>
          <t>E0066</t>
        </is>
      </c>
      <c r="F136" s="7" t="inlineStr">
        <is>
          <t>Dallas</t>
        </is>
      </c>
      <c r="G136" s="7" t="inlineStr">
        <is>
          <t>In Use</t>
        </is>
      </c>
      <c r="H136" s="7" t="inlineStr">
        <is>
          <t>E0066</t>
        </is>
      </c>
      <c r="I136" s="7" t="inlineStr">
        <is>
          <t>Dallas</t>
        </is>
      </c>
      <c r="J136" s="7" t="inlineStr">
        <is>
          <t>In Use</t>
        </is>
      </c>
      <c r="K136" s="7" t="inlineStr">
        <is>
          <t>Validated MD-00132 against available PO/FA/HR/transfer rows. Model Dell Latitude 7440. Sharon Quinlan (E0066) shows In Use in Dallas. Acquisition $6,470.</t>
        </is>
      </c>
      <c r="L136" s="7" t="inlineStr">
        <is>
          <t>2026-08-05</t>
        </is>
      </c>
      <c r="M136" s="7" t="n">
        <v>6470</v>
      </c>
      <c r="N136" s="7">
        <f>IFERROR(INDEX('Source Ledger'!$G$5:$G$200,MATCH(A136,'Source Ledger'!$B$5:$B$200,0)),"")</f>
        <v/>
      </c>
      <c r="O136" s="7">
        <f>IFERROR(INDEX('Source Ledger'!$A$5:$A$200,MATCH(A136,'Source Ledger'!$B$5:$B$200,0)),"")</f>
        <v/>
      </c>
      <c r="P136" s="7">
        <f>IFERROR(INDEX('Source Ledger'!$D$5:$D$200,MATCH(A136,'Source Ledger'!$B$5:$B$200,0)),"")</f>
        <v/>
      </c>
      <c r="Q136" s="9" t="inlineStr">
        <is>
          <t>High</t>
        </is>
      </c>
      <c r="R136" s="7" t="inlineStr">
        <is>
          <t>EX-0163</t>
        </is>
      </c>
      <c r="S136" s="7" t="inlineStr">
        <is>
          <t>Yes</t>
        </is>
      </c>
      <c r="T136">
        <f>IFERROR(INDEX('Source Ledger'!$E$5:$E$200,MATCH(A136,'Source Ledger'!$B$5:$B$200,0)),"")</f>
        <v/>
      </c>
      <c r="U136">
        <f>IFERROR(INDEX('Source Ledger'!$H$5:$H$200,MATCH(A136,'Source Ledger'!$B$5:$B$200,0)),"")</f>
        <v/>
      </c>
      <c r="V136">
        <f>IFERROR(INDEX('Source Ledger'!$G$5:$G$200,MATCH(A136,'Source Ledger'!$B$5:$B$200,0)),"")</f>
        <v/>
      </c>
      <c r="W136">
        <f>IF(T136="","",T136-M136)</f>
        <v/>
      </c>
      <c r="X136">
        <f>IF(V136="","No","Yes")</f>
        <v/>
      </c>
    </row>
    <row r="137"/>
  </sheetData>
  <mergeCells count="2">
    <mergeCell ref="A2:S2"/>
    <mergeCell ref="A1:S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32" customWidth="1" min="2" max="2"/>
    <col width="10" customWidth="1" min="3" max="3"/>
    <col width="11" customWidth="1" min="4" max="4"/>
    <col width="15" customWidth="1" min="5" max="5"/>
    <col width="40" customWidth="1" min="6" max="6"/>
    <col width="20" customWidth="1" min="7" max="7"/>
    <col width="40" customWidth="1" min="8" max="8"/>
    <col width="23" customWidth="1" min="9" max="9"/>
    <col width="21" customWidth="1" min="10" max="10"/>
    <col width="10" customWidth="1" min="11" max="11"/>
    <col width="40" customWidth="1" min="12" max="12"/>
    <col width="22" customWidth="1" min="13" max="13"/>
  </cols>
  <sheetData>
    <row r="1">
      <c r="A1" s="24" t="inlineStr">
        <is>
          <t>Exception Register</t>
        </is>
      </c>
    </row>
    <row r="2" ht="36" customHeight="1">
      <c r="A2" s="23" t="inlineStr">
        <is>
          <t>Each exception cites exact related records. Image leads are labeled as leads, not clearance. Flags duplicate serial MD-LA-050021 across MD-00021 and MD-00025, and duplicate serial MD-NE-050088 across MD-00088 and MD-00092.</t>
        </is>
      </c>
    </row>
    <row r="3"/>
    <row r="4">
      <c r="A4" s="25" t="inlineStr">
        <is>
          <t>Exception ID</t>
        </is>
      </c>
      <c r="B4" s="25" t="inlineStr">
        <is>
          <t>Type</t>
        </is>
      </c>
      <c r="C4" s="25" t="inlineStr">
        <is>
          <t>Severity</t>
        </is>
      </c>
      <c r="D4" s="25" t="inlineStr">
        <is>
          <t>Asset Tag</t>
        </is>
      </c>
      <c r="E4" s="25" t="inlineStr">
        <is>
          <t>Serial Number</t>
        </is>
      </c>
      <c r="F4" s="25" t="inlineStr">
        <is>
          <t>Related Record(s)</t>
        </is>
      </c>
      <c r="G4" s="25" t="inlineStr">
        <is>
          <t>Financial Exposure</t>
        </is>
      </c>
      <c r="H4" s="25" t="inlineStr">
        <is>
          <t>Required Action</t>
        </is>
      </c>
      <c r="I4" s="25" t="inlineStr">
        <is>
          <t>Owner by Role</t>
        </is>
      </c>
      <c r="J4" s="25" t="inlineStr">
        <is>
          <t>Resolution Deadline</t>
        </is>
      </c>
      <c r="K4" s="25" t="inlineStr">
        <is>
          <t>Status</t>
        </is>
      </c>
      <c r="L4" s="25" t="inlineStr">
        <is>
          <t>Evidence Assessment</t>
        </is>
      </c>
      <c r="M4" s="25" t="inlineStr">
        <is>
          <t>Certification Impact</t>
        </is>
      </c>
    </row>
    <row r="5">
      <c r="A5" s="7" t="inlineStr">
        <is>
          <t>EX-0001</t>
        </is>
      </c>
      <c r="B5" s="7" t="inlineStr">
        <is>
          <t>Inventory-to-Ledger Difference</t>
        </is>
      </c>
      <c r="C5" s="10" t="inlineStr">
        <is>
          <t>High</t>
        </is>
      </c>
      <c r="D5" s="7" t="inlineStr">
        <is>
          <t>MD-00017</t>
        </is>
      </c>
      <c r="E5" s="7" t="inlineStr">
        <is>
          <t>MD-LA-050017</t>
        </is>
      </c>
      <c r="F5" s="7" t="inlineStr">
        <is>
          <t>Ledger:FA-000017; PO:PO-2025-0004; RegisterCost:1985.0; LedgerCost:2070.0; OverDepreciation:90.0</t>
        </is>
      </c>
      <c r="G5" s="7">
        <f>IF(B5="Inventory-to-Ledger Difference",IF(IFERROR(XLOOKUP(D5,'Source Ledger'!$B$5:$B$200,'Source Ledger'!$H$5:$H$200),"")="Disposed",IFERROR(XLOOKUP(D5,'Source Ledger'!$B$5:$B$200,'Source Ledger'!$G$5:$G$200),0),IF(IFERROR(XLOOKUP(D5,'Source Ledger'!$B$5:$B$200,'Source Ledger'!$E$5:$E$200),"")="",IFERROR(XLOOKUP(D5,'Corrected Register'!$A$5:$A$200,'Corrected Register'!$M$5:$M$200),0),ABS(IFERROR(XLOOKUP(D5,'Source Ledger'!$B$5:$B$200,'Source Ledger'!$E$5:$E$200),0)-IFERROR(XLOOKUP(D5,'Corrected Register'!$A$5:$A$200,'Corrected Register'!$M$5:$M$200),0)))),IFERROR(XLOOKUP(D5,'Corrected Register'!$A$5:$A$200,'Corrected Register'!$N$5:$N$200),0))</f>
        <v/>
      </c>
      <c r="H5" s="7" t="inlineStr">
        <is>
          <t>Finance Controller: clear over-depreciation and cost basis on FA-000017 / MD-00017 before relying on NBV.</t>
        </is>
      </c>
      <c r="I5" s="7" t="inlineStr">
        <is>
          <t>Finance Controller</t>
        </is>
      </c>
      <c r="J5" s="7" t="inlineStr">
        <is>
          <t>2026-08-21</t>
        </is>
      </c>
      <c r="K5" s="7" t="inlineStr">
        <is>
          <t>Open</t>
        </is>
      </c>
      <c r="L5" s="7" t="inlineStr">
        <is>
          <t>PO-2025-0004 supports register $1,985 on MD-00017; FA-000017 carries $2,070 and $2,160 accumulated depreciation ( $90 above the ledger acquisition line).</t>
        </is>
      </c>
      <c r="M5" s="7" t="inlineStr">
        <is>
          <t>Requires remediation</t>
        </is>
      </c>
    </row>
    <row r="6">
      <c r="A6" s="7" t="inlineStr">
        <is>
          <t>EX-0002</t>
        </is>
      </c>
      <c r="B6" s="7" t="inlineStr">
        <is>
          <t>Duplicate Serial Number</t>
        </is>
      </c>
      <c r="C6" s="10" t="inlineStr">
        <is>
          <t>High</t>
        </is>
      </c>
      <c r="D6" s="7" t="inlineStr">
        <is>
          <t>MD-00021</t>
        </is>
      </c>
      <c r="E6" s="7" t="inlineStr">
        <is>
          <t>MD-LA-050021</t>
        </is>
      </c>
      <c r="F6" s="7" t="inlineStr">
        <is>
          <t>Duplicate serial MD-LA-050021 on MD-00021; Employee ID:E0021; Transfer ID:TR-00021; Ticket ID:None; PO Number:PO-2022-0005; Tracking Number:None; Serial:MD-LA-050021; AlsoTagged:MD-00021,MD-00025</t>
        </is>
      </c>
      <c r="G6" s="7">
        <f>IF(B6="Inventory-to-Ledger Difference",IF(IFERROR(XLOOKUP(D6,'Source Ledger'!$B$5:$B$200,'Source Ledger'!$H$5:$H$200),"")="Disposed",IFERROR(XLOOKUP(D6,'Source Ledger'!$B$5:$B$200,'Source Ledger'!$G$5:$G$200),0),IF(IFERROR(XLOOKUP(D6,'Source Ledger'!$B$5:$B$200,'Source Ledger'!$E$5:$E$200),"")="",IFERROR(XLOOKUP(D6,'Corrected Register'!$A$5:$A$200,'Corrected Register'!$M$5:$M$200),0),ABS(IFERROR(XLOOKUP(D6,'Source Ledger'!$B$5:$B$200,'Source Ledger'!$E$5:$E$200),0)-IFERROR(XLOOKUP(D6,'Corrected Register'!$A$5:$A$200,'Corrected Register'!$M$5:$M$200),0)))),IFERROR(XLOOKUP(D6,'Corrected Register'!$A$5:$A$200,'Corrected Register'!$N$5:$N$200),0))</f>
        <v/>
      </c>
      <c r="H6" s="7" t="inlineStr">
        <is>
          <t>Bench-validate and retag duplicate serial MD-LA-050021 involving MD-00021 (EX-0002).</t>
        </is>
      </c>
      <c r="I6" s="7" t="inlineStr">
        <is>
          <t>IT Asset Specialist</t>
        </is>
      </c>
      <c r="J6" s="7" t="inlineStr">
        <is>
          <t>2026-08-18</t>
        </is>
      </c>
      <c r="K6" s="7" t="inlineStr">
        <is>
          <t>Open</t>
        </is>
      </c>
      <c r="L6" s="7" t="inlineStr">
        <is>
          <t>Serial MD-LA-050021 is shared by MD-00021 and MD-00021,MD-00025; bench validation and retag required (EX-0002).</t>
        </is>
      </c>
      <c r="M6" s="7" t="inlineStr">
        <is>
          <t>Requires remediation</t>
        </is>
      </c>
    </row>
    <row r="7">
      <c r="A7" s="7" t="inlineStr">
        <is>
          <t>EX-0003</t>
        </is>
      </c>
      <c r="B7" s="7" t="inlineStr">
        <is>
          <t>Closed Location Assignment</t>
        </is>
      </c>
      <c r="C7" s="11" t="inlineStr">
        <is>
          <t>Medium</t>
        </is>
      </c>
      <c r="D7" s="7" t="inlineStr">
        <is>
          <t>MD-00025</t>
        </is>
      </c>
      <c r="E7" s="7" t="inlineStr">
        <is>
          <t>MD-LA-050021</t>
        </is>
      </c>
      <c r="F7" s="7" t="inlineStr">
        <is>
          <t>RegisterLocation:Denver - Closed; Transfer:TR-00025; HRLocation:Chicago</t>
        </is>
      </c>
      <c r="G7" s="7">
        <f>IF(B7="Inventory-to-Ledger Difference",IF(IFERROR(XLOOKUP(D7,'Source Ledger'!$B$5:$B$200,'Source Ledger'!$H$5:$H$200),"")="Disposed",IFERROR(XLOOKUP(D7,'Source Ledger'!$B$5:$B$200,'Source Ledger'!$G$5:$G$200),0),IF(IFERROR(XLOOKUP(D7,'Source Ledger'!$B$5:$B$200,'Source Ledger'!$E$5:$E$200),"")="",IFERROR(XLOOKUP(D7,'Corrected Register'!$A$5:$A$200,'Corrected Register'!$M$5:$M$200),0),ABS(IFERROR(XLOOKUP(D7,'Source Ledger'!$B$5:$B$200,'Source Ledger'!$E$5:$E$200),0)-IFERROR(XLOOKUP(D7,'Corrected Register'!$A$5:$A$200,'Corrected Register'!$M$5:$M$200),0)))),IFERROR(XLOOKUP(D7,'Corrected Register'!$A$5:$A$200,'Corrected Register'!$N$5:$N$200),0))</f>
        <v/>
      </c>
      <c r="H7" s="7" t="inlineStr">
        <is>
          <t>EX-0003 remains open until MD-00025 shows Chicago instead of Denver - Closed.</t>
        </is>
      </c>
      <c r="I7" s="7" t="inlineStr">
        <is>
          <t>IT Asset Specialist</t>
        </is>
      </c>
      <c r="J7" s="7" t="inlineStr">
        <is>
          <t>2026-08-19</t>
        </is>
      </c>
      <c r="K7" s="7" t="inlineStr">
        <is>
          <t>Open</t>
        </is>
      </c>
      <c r="L7" s="7" t="inlineStr">
        <is>
          <t>Do not certify location for MD-00025 from the Denver - Closed string; working city is Chicago after TR-00025 (EX-0003).</t>
        </is>
      </c>
      <c r="M7" s="7" t="inlineStr">
        <is>
          <t>Requires remediation</t>
        </is>
      </c>
    </row>
    <row r="8">
      <c r="A8" s="7" t="inlineStr">
        <is>
          <t>EX-0004</t>
        </is>
      </c>
      <c r="B8" s="7" t="inlineStr">
        <is>
          <t>Duplicate Serial Number</t>
        </is>
      </c>
      <c r="C8" s="10" t="inlineStr">
        <is>
          <t>High</t>
        </is>
      </c>
      <c r="D8" s="7" t="inlineStr">
        <is>
          <t>MD-00025</t>
        </is>
      </c>
      <c r="E8" s="7" t="inlineStr">
        <is>
          <t>MD-LA-050021</t>
        </is>
      </c>
      <c r="F8" s="7" t="inlineStr">
        <is>
          <t>Duplicate serial MD-LA-050021 on MD-00025; Employee ID:E0025; Transfer ID:TR-00025; Ticket ID:None; PO Number:PO-2022-0005; Tracking Number:None; Serial:MD-LA-050021; AlsoTagged:MD-00021,MD-00025</t>
        </is>
      </c>
      <c r="G8" s="7">
        <f>IF(B8="Inventory-to-Ledger Difference",IF(IFERROR(XLOOKUP(D8,'Source Ledger'!$B$5:$B$200,'Source Ledger'!$H$5:$H$200),"")="Disposed",IFERROR(XLOOKUP(D8,'Source Ledger'!$B$5:$B$200,'Source Ledger'!$G$5:$G$200),0),IF(IFERROR(XLOOKUP(D8,'Source Ledger'!$B$5:$B$200,'Source Ledger'!$E$5:$E$200),"")="",IFERROR(XLOOKUP(D8,'Corrected Register'!$A$5:$A$200,'Corrected Register'!$M$5:$M$200),0),ABS(IFERROR(XLOOKUP(D8,'Source Ledger'!$B$5:$B$200,'Source Ledger'!$E$5:$E$200),0)-IFERROR(XLOOKUP(D8,'Corrected Register'!$A$5:$A$200,'Corrected Register'!$M$5:$M$200),0)))),IFERROR(XLOOKUP(D8,'Corrected Register'!$A$5:$A$200,'Corrected Register'!$N$5:$N$200),0))</f>
        <v/>
      </c>
      <c r="H8" s="7" t="inlineStr">
        <is>
          <t>Bench-validate and retag duplicate serial MD-LA-050021 involving MD-00025 (EX-0004).</t>
        </is>
      </c>
      <c r="I8" s="7" t="inlineStr">
        <is>
          <t>IT Asset Specialist</t>
        </is>
      </c>
      <c r="J8" s="7" t="inlineStr">
        <is>
          <t>2026-08-18</t>
        </is>
      </c>
      <c r="K8" s="7" t="inlineStr">
        <is>
          <t>Open</t>
        </is>
      </c>
      <c r="L8" s="7" t="inlineStr">
        <is>
          <t>Serial MD-LA-050021 is shared by MD-00025 and MD-00021,MD-00025; bench validation and retag required (EX-0004).</t>
        </is>
      </c>
      <c r="M8" s="7" t="inlineStr">
        <is>
          <t>Requires remediation</t>
        </is>
      </c>
    </row>
    <row r="9">
      <c r="A9" s="7" t="inlineStr">
        <is>
          <t>EX-0005</t>
        </is>
      </c>
      <c r="B9" s="7" t="inlineStr">
        <is>
          <t>Closed Location Assignment</t>
        </is>
      </c>
      <c r="C9" s="11" t="inlineStr">
        <is>
          <t>Medium</t>
        </is>
      </c>
      <c r="D9" s="7" t="inlineStr">
        <is>
          <t>MD-00026</t>
        </is>
      </c>
      <c r="E9" s="7" t="inlineStr">
        <is>
          <t>MD-MO-050026</t>
        </is>
      </c>
      <c r="F9" s="7" t="inlineStr">
        <is>
          <t>RegisterLocation:Chicago - Closed; Transfer:TR-00026; HRLocation:Dallas</t>
        </is>
      </c>
      <c r="G9" s="7">
        <f>IF(B9="Inventory-to-Ledger Difference",IF(IFERROR(XLOOKUP(D9,'Source Ledger'!$B$5:$B$200,'Source Ledger'!$H$5:$H$200),"")="Disposed",IFERROR(XLOOKUP(D9,'Source Ledger'!$B$5:$B$200,'Source Ledger'!$G$5:$G$200),0),IF(IFERROR(XLOOKUP(D9,'Source Ledger'!$B$5:$B$200,'Source Ledger'!$E$5:$E$200),"")="",IFERROR(XLOOKUP(D9,'Corrected Register'!$A$5:$A$200,'Corrected Register'!$M$5:$M$200),0),ABS(IFERROR(XLOOKUP(D9,'Source Ledger'!$B$5:$B$200,'Source Ledger'!$E$5:$E$200),0)-IFERROR(XLOOKUP(D9,'Corrected Register'!$A$5:$A$200,'Corrected Register'!$M$5:$M$200),0)))),IFERROR(XLOOKUP(D9,'Corrected Register'!$A$5:$A$200,'Corrected Register'!$N$5:$N$200),0))</f>
        <v/>
      </c>
      <c r="H9" s="7" t="inlineStr">
        <is>
          <t>Site string fix on MD-00026 — Dallas in, Chicago - Closed out — then resolve EX-0005.</t>
        </is>
      </c>
      <c r="I9" s="7" t="inlineStr">
        <is>
          <t>IT Asset Specialist</t>
        </is>
      </c>
      <c r="J9" s="7" t="inlineStr">
        <is>
          <t>2026-08-19</t>
        </is>
      </c>
      <c r="K9" s="7" t="inlineStr">
        <is>
          <t>Open</t>
        </is>
      </c>
      <c r="L9" s="7" t="inlineStr">
        <is>
          <t>Drift note: MD-00026 administrative site Chicago - Closed ≠ operating site Dallas. Move id TR-00026. Exception id EX-0005.</t>
        </is>
      </c>
      <c r="M9" s="7" t="inlineStr">
        <is>
          <t>Requires remediation</t>
        </is>
      </c>
    </row>
    <row r="10">
      <c r="A10" s="7" t="inlineStr">
        <is>
          <t>EX-0006</t>
        </is>
      </c>
      <c r="B10" s="7" t="inlineStr">
        <is>
          <t>Closed Location Assignment</t>
        </is>
      </c>
      <c r="C10" s="11" t="inlineStr">
        <is>
          <t>Medium</t>
        </is>
      </c>
      <c r="D10" s="7" t="inlineStr">
        <is>
          <t>MD-00027</t>
        </is>
      </c>
      <c r="E10" s="7" t="inlineStr">
        <is>
          <t>MD-MO-050027</t>
        </is>
      </c>
      <c r="F10" s="7" t="inlineStr">
        <is>
          <t>RegisterLocation:Denver - Closed; Transfer:TR-00027; HRLocation:Denver</t>
        </is>
      </c>
      <c r="G10" s="7">
        <f>IF(B10="Inventory-to-Ledger Difference",IF(IFERROR(XLOOKUP(D10,'Source Ledger'!$B$5:$B$200,'Source Ledger'!$H$5:$H$200),"")="Disposed",IFERROR(XLOOKUP(D10,'Source Ledger'!$B$5:$B$200,'Source Ledger'!$G$5:$G$200),0),IF(IFERROR(XLOOKUP(D10,'Source Ledger'!$B$5:$B$200,'Source Ledger'!$E$5:$E$200),"")="",IFERROR(XLOOKUP(D10,'Corrected Register'!$A$5:$A$200,'Corrected Register'!$M$5:$M$200),0),ABS(IFERROR(XLOOKUP(D10,'Source Ledger'!$B$5:$B$200,'Source Ledger'!$E$5:$E$200),0)-IFERROR(XLOOKUP(D10,'Corrected Register'!$A$5:$A$200,'Corrected Register'!$M$5:$M$200),0)))),IFERROR(XLOOKUP(D10,'Corrected Register'!$A$5:$A$200,'Corrected Register'!$N$5:$N$200),0))</f>
        <v/>
      </c>
      <c r="H10" s="7" t="inlineStr">
        <is>
          <t>Finish EX-0006 with a verified location write of Denver on MD-00027 (currently Denver - Closed).</t>
        </is>
      </c>
      <c r="I10" s="7" t="inlineStr">
        <is>
          <t>IT Asset Specialist</t>
        </is>
      </c>
      <c r="J10" s="7" t="inlineStr">
        <is>
          <t>2026-08-19</t>
        </is>
      </c>
      <c r="K10" s="7" t="inlineStr">
        <is>
          <t>Open</t>
        </is>
      </c>
      <c r="L10" s="7" t="inlineStr">
        <is>
          <t>Site string on MD-00027 is stale (Denver - Closed). Ops and TR-00027 agree on Denver. Opened EX-0006.</t>
        </is>
      </c>
      <c r="M10" s="7" t="inlineStr">
        <is>
          <t>Requires remediation</t>
        </is>
      </c>
    </row>
    <row r="11">
      <c r="A11" s="7" t="inlineStr">
        <is>
          <t>EX-0007</t>
        </is>
      </c>
      <c r="B11" s="7" t="inlineStr">
        <is>
          <t>Closed Location Assignment</t>
        </is>
      </c>
      <c r="C11" s="11" t="inlineStr">
        <is>
          <t>Medium</t>
        </is>
      </c>
      <c r="D11" s="7" t="inlineStr">
        <is>
          <t>MD-00028</t>
        </is>
      </c>
      <c r="E11" s="7" t="inlineStr">
        <is>
          <t>MD-NE-050028</t>
        </is>
      </c>
      <c r="F11" s="7" t="inlineStr">
        <is>
          <t>RegisterLocation:Chicago - Closed; Transfer:TR-00028; HRLocation:New York</t>
        </is>
      </c>
      <c r="G11" s="7">
        <f>IF(B11="Inventory-to-Ledger Difference",IF(IFERROR(XLOOKUP(D11,'Source Ledger'!$B$5:$B$200,'Source Ledger'!$H$5:$H$200),"")="Disposed",IFERROR(XLOOKUP(D11,'Source Ledger'!$B$5:$B$200,'Source Ledger'!$G$5:$G$200),0),IF(IFERROR(XLOOKUP(D11,'Source Ledger'!$B$5:$B$200,'Source Ledger'!$E$5:$E$200),"")="",IFERROR(XLOOKUP(D11,'Corrected Register'!$A$5:$A$200,'Corrected Register'!$M$5:$M$200),0),ABS(IFERROR(XLOOKUP(D11,'Source Ledger'!$B$5:$B$200,'Source Ledger'!$E$5:$E$200),0)-IFERROR(XLOOKUP(D11,'Corrected Register'!$A$5:$A$200,'Corrected Register'!$M$5:$M$200),0)))),IFERROR(XLOOKUP(D11,'Corrected Register'!$A$5:$A$200,'Corrected Register'!$N$5:$N$200),0))</f>
        <v/>
      </c>
      <c r="H11" s="7" t="inlineStr">
        <is>
          <t>Remove Chicago - Closed from MD-00028; enter New York; attach TR-00028; complete EX-0007.</t>
        </is>
      </c>
      <c r="I11" s="7" t="inlineStr">
        <is>
          <t>IT Asset Specialist</t>
        </is>
      </c>
      <c r="J11" s="7" t="inlineStr">
        <is>
          <t>2026-08-19</t>
        </is>
      </c>
      <c r="K11" s="7" t="inlineStr">
        <is>
          <t>Open</t>
        </is>
      </c>
      <c r="L11" s="7" t="inlineStr">
        <is>
          <t>Reporting risk on MD-00028: analysts reading Chicago - Closed will misplace the asset that now sits in New York (TR-00028, EX-0007).</t>
        </is>
      </c>
      <c r="M11" s="7" t="inlineStr">
        <is>
          <t>Requires remediation</t>
        </is>
      </c>
    </row>
    <row r="12">
      <c r="A12" s="7" t="inlineStr">
        <is>
          <t>EX-0008</t>
        </is>
      </c>
      <c r="B12" s="7" t="inlineStr">
        <is>
          <t>Closed Location Assignment</t>
        </is>
      </c>
      <c r="C12" s="11" t="inlineStr">
        <is>
          <t>Medium</t>
        </is>
      </c>
      <c r="D12" s="7" t="inlineStr">
        <is>
          <t>MD-00029</t>
        </is>
      </c>
      <c r="E12" s="7" t="inlineStr">
        <is>
          <t>MD-LA-050029</t>
        </is>
      </c>
      <c r="F12" s="7" t="inlineStr">
        <is>
          <t>RegisterLocation:Denver - Closed; Transfer:TR-00029; HRLocation:Seattle</t>
        </is>
      </c>
      <c r="G12" s="7">
        <f>IF(B12="Inventory-to-Ledger Difference",IF(IFERROR(XLOOKUP(D12,'Source Ledger'!$B$5:$B$200,'Source Ledger'!$H$5:$H$200),"")="Disposed",IFERROR(XLOOKUP(D12,'Source Ledger'!$B$5:$B$200,'Source Ledger'!$G$5:$G$200),0),IF(IFERROR(XLOOKUP(D12,'Source Ledger'!$B$5:$B$200,'Source Ledger'!$E$5:$E$200),"")="",IFERROR(XLOOKUP(D12,'Corrected Register'!$A$5:$A$200,'Corrected Register'!$M$5:$M$200),0),ABS(IFERROR(XLOOKUP(D12,'Source Ledger'!$B$5:$B$200,'Source Ledger'!$E$5:$E$200),0)-IFERROR(XLOOKUP(D12,'Corrected Register'!$A$5:$A$200,'Corrected Register'!$M$5:$M$200),0)))),IFERROR(XLOOKUP(D12,'Corrected Register'!$A$5:$A$200,'Corrected Register'!$N$5:$N$200),0))</f>
        <v/>
      </c>
      <c r="H12" s="7" t="inlineStr">
        <is>
          <t>Complete EX-0008 only after confirming MD-00029 no longer displays Denver - Closed [EX-0008a-1].</t>
        </is>
      </c>
      <c r="I12" s="7" t="inlineStr">
        <is>
          <t>IT Asset Specialist</t>
        </is>
      </c>
      <c r="J12" s="7" t="inlineStr">
        <is>
          <t>2026-08-19</t>
        </is>
      </c>
      <c r="K12" s="7" t="inlineStr">
        <is>
          <t>Open</t>
        </is>
      </c>
      <c r="L12" s="7" t="inlineStr">
        <is>
          <t>When the office closed, MD-00029 should have flipped to Seattle. It still shows Denver - Closed. TR-00029 proves the move (EX-0008).</t>
        </is>
      </c>
      <c r="M12" s="7" t="inlineStr">
        <is>
          <t>Requires remediation</t>
        </is>
      </c>
    </row>
    <row r="13">
      <c r="A13" s="7" t="inlineStr">
        <is>
          <t>EX-0009</t>
        </is>
      </c>
      <c r="B13" s="7" t="inlineStr">
        <is>
          <t>Closed Location Assignment</t>
        </is>
      </c>
      <c r="C13" s="11" t="inlineStr">
        <is>
          <t>Medium</t>
        </is>
      </c>
      <c r="D13" s="7" t="inlineStr">
        <is>
          <t>MD-00030</t>
        </is>
      </c>
      <c r="E13" s="7" t="inlineStr">
        <is>
          <t>MD-MO-050030</t>
        </is>
      </c>
      <c r="F13" s="7" t="inlineStr">
        <is>
          <t>RegisterLocation:Chicago - Closed; Transfer:TR-00030; HRLocation:Atlanta</t>
        </is>
      </c>
      <c r="G13" s="7">
        <f>IF(B13="Inventory-to-Ledger Difference",IF(IFERROR(XLOOKUP(D13,'Source Ledger'!$B$5:$B$200,'Source Ledger'!$H$5:$H$200),"")="Disposed",IFERROR(XLOOKUP(D13,'Source Ledger'!$B$5:$B$200,'Source Ledger'!$G$5:$G$200),0),IF(IFERROR(XLOOKUP(D13,'Source Ledger'!$B$5:$B$200,'Source Ledger'!$E$5:$E$200),"")="",IFERROR(XLOOKUP(D13,'Corrected Register'!$A$5:$A$200,'Corrected Register'!$M$5:$M$200),0),ABS(IFERROR(XLOOKUP(D13,'Source Ledger'!$B$5:$B$200,'Source Ledger'!$E$5:$E$200),0)-IFERROR(XLOOKUP(D13,'Corrected Register'!$A$5:$A$200,'Corrected Register'!$M$5:$M$200),0)))),IFERROR(XLOOKUP(D13,'Corrected Register'!$A$5:$A$200,'Corrected Register'!$N$5:$N$200),0))</f>
        <v/>
      </c>
      <c r="H13" s="7" t="inlineStr">
        <is>
          <t>Park EX-0009 as register hygiene — rewrite MD-00030 site to Atlanta.</t>
        </is>
      </c>
      <c r="I13" s="7" t="inlineStr">
        <is>
          <t>IT Asset Specialist</t>
        </is>
      </c>
      <c r="J13" s="7" t="inlineStr">
        <is>
          <t>2026-08-19</t>
        </is>
      </c>
      <c r="K13" s="7" t="inlineStr">
        <is>
          <t>Open</t>
        </is>
      </c>
      <c r="L13" s="7" t="inlineStr">
        <is>
          <t>Register/location drift on MD-00030 after office shutdown — Chicago - Closed vs Atlanta. Supporting move TR-00030; EX-0009.</t>
        </is>
      </c>
      <c r="M13" s="7" t="inlineStr">
        <is>
          <t>Requires remediation</t>
        </is>
      </c>
    </row>
    <row r="14">
      <c r="A14" s="7" t="inlineStr">
        <is>
          <t>EX-0010</t>
        </is>
      </c>
      <c r="B14" s="7" t="inlineStr">
        <is>
          <t>Closed Location Assignment</t>
        </is>
      </c>
      <c r="C14" s="11" t="inlineStr">
        <is>
          <t>Medium</t>
        </is>
      </c>
      <c r="D14" s="7" t="inlineStr">
        <is>
          <t>MD-00031</t>
        </is>
      </c>
      <c r="E14" s="7" t="inlineStr">
        <is>
          <t>MD-MO-050031</t>
        </is>
      </c>
      <c r="F14" s="7" t="inlineStr">
        <is>
          <t>RegisterLocation:Denver - Closed; Transfer:TR-00031; HRLocation:Chicago</t>
        </is>
      </c>
      <c r="G14" s="7">
        <f>IF(B14="Inventory-to-Ledger Difference",IF(IFERROR(XLOOKUP(D14,'Source Ledger'!$B$5:$B$200,'Source Ledger'!$H$5:$H$200),"")="Disposed",IFERROR(XLOOKUP(D14,'Source Ledger'!$B$5:$B$200,'Source Ledger'!$G$5:$G$200),0),IF(IFERROR(XLOOKUP(D14,'Source Ledger'!$B$5:$B$200,'Source Ledger'!$E$5:$E$200),"")="",IFERROR(XLOOKUP(D14,'Corrected Register'!$A$5:$A$200,'Corrected Register'!$M$5:$M$200),0),ABS(IFERROR(XLOOKUP(D14,'Source Ledger'!$B$5:$B$200,'Source Ledger'!$E$5:$E$200),0)-IFERROR(XLOOKUP(D14,'Corrected Register'!$A$5:$A$200,'Corrected Register'!$M$5:$M$200),0)))),IFERROR(XLOOKUP(D14,'Corrected Register'!$A$5:$A$200,'Corrected Register'!$N$5:$N$200),0))</f>
        <v/>
      </c>
      <c r="H14" s="7" t="inlineStr">
        <is>
          <t>TR-00031 supports setting MD-00031 to Chicago; clear Denver - Closed; finish EX-0010.</t>
        </is>
      </c>
      <c r="I14" s="7" t="inlineStr">
        <is>
          <t>IT Asset Specialist</t>
        </is>
      </c>
      <c r="J14" s="7" t="inlineStr">
        <is>
          <t>2026-08-19</t>
        </is>
      </c>
      <c r="K14" s="7" t="inlineStr">
        <is>
          <t>Open</t>
        </is>
      </c>
      <c r="L14" s="7" t="inlineStr">
        <is>
          <t>Serial MD-MO-050031 on MD-00031: location field stuck on Denver - Closed despite live ops in Chicago and finished TR-00031 (EX-0010).</t>
        </is>
      </c>
      <c r="M14" s="7" t="inlineStr">
        <is>
          <t>Requires remediation</t>
        </is>
      </c>
    </row>
    <row r="15">
      <c r="A15" s="7" t="inlineStr">
        <is>
          <t>EX-0011</t>
        </is>
      </c>
      <c r="B15" s="7" t="inlineStr">
        <is>
          <t>Closed Location Assignment</t>
        </is>
      </c>
      <c r="C15" s="11" t="inlineStr">
        <is>
          <t>Medium</t>
        </is>
      </c>
      <c r="D15" s="7" t="inlineStr">
        <is>
          <t>MD-00032</t>
        </is>
      </c>
      <c r="E15" s="7" t="inlineStr">
        <is>
          <t>MD-NE-050032</t>
        </is>
      </c>
      <c r="F15" s="7" t="inlineStr">
        <is>
          <t>RegisterLocation:Chicago - Closed; Transfer:TR-00032; HRLocation:Dallas</t>
        </is>
      </c>
      <c r="G15" s="7">
        <f>IF(B15="Inventory-to-Ledger Difference",IF(IFERROR(XLOOKUP(D15,'Source Ledger'!$B$5:$B$200,'Source Ledger'!$H$5:$H$200),"")="Disposed",IFERROR(XLOOKUP(D15,'Source Ledger'!$B$5:$B$200,'Source Ledger'!$G$5:$G$200),0),IF(IFERROR(XLOOKUP(D15,'Source Ledger'!$B$5:$B$200,'Source Ledger'!$E$5:$E$200),"")="",IFERROR(XLOOKUP(D15,'Corrected Register'!$A$5:$A$200,'Corrected Register'!$M$5:$M$200),0),ABS(IFERROR(XLOOKUP(D15,'Source Ledger'!$B$5:$B$200,'Source Ledger'!$E$5:$E$200),0)-IFERROR(XLOOKUP(D15,'Corrected Register'!$A$5:$A$200,'Corrected Register'!$M$5:$M$200),0)))),IFERROR(XLOOKUP(D15,'Corrected Register'!$A$5:$A$200,'Corrected Register'!$N$5:$N$200),0))</f>
        <v/>
      </c>
      <c r="H15" s="7" t="inlineStr">
        <is>
          <t>Assign IT Asset Specialist to correct MD-00032 location to Dallas; Chicago - Closed is obsolete after TR-00032 (EX-0011).</t>
        </is>
      </c>
      <c r="I15" s="7" t="inlineStr">
        <is>
          <t>IT Asset Specialist</t>
        </is>
      </c>
      <c r="J15" s="7" t="inlineStr">
        <is>
          <t>2026-08-19</t>
        </is>
      </c>
      <c r="K15" s="7" t="inlineStr">
        <is>
          <t>Open</t>
        </is>
      </c>
      <c r="L15" s="7" t="inlineStr">
        <is>
          <t>Inbound complete on TR-00032 for MD-00032, but location column never flipped off Chicago - Closed. Live site Dallas; EX-0011.</t>
        </is>
      </c>
      <c r="M15" s="7" t="inlineStr">
        <is>
          <t>Requires remediation</t>
        </is>
      </c>
    </row>
    <row r="16">
      <c r="A16" s="7" t="inlineStr">
        <is>
          <t>EX-0012</t>
        </is>
      </c>
      <c r="B16" s="7" t="inlineStr">
        <is>
          <t>Closed Location Assignment</t>
        </is>
      </c>
      <c r="C16" s="11" t="inlineStr">
        <is>
          <t>Medium</t>
        </is>
      </c>
      <c r="D16" s="7" t="inlineStr">
        <is>
          <t>MD-00033</t>
        </is>
      </c>
      <c r="E16" s="7" t="inlineStr">
        <is>
          <t>MD-LA-050033</t>
        </is>
      </c>
      <c r="F16" s="7" t="inlineStr">
        <is>
          <t>RegisterLocation:Denver - Closed; Transfer:TR-00033; HRLocation:Denver</t>
        </is>
      </c>
      <c r="G16" s="7">
        <f>IF(B16="Inventory-to-Ledger Difference",IF(IFERROR(XLOOKUP(D16,'Source Ledger'!$B$5:$B$200,'Source Ledger'!$H$5:$H$200),"")="Disposed",IFERROR(XLOOKUP(D16,'Source Ledger'!$B$5:$B$200,'Source Ledger'!$G$5:$G$200),0),IF(IFERROR(XLOOKUP(D16,'Source Ledger'!$B$5:$B$200,'Source Ledger'!$E$5:$E$200),"")="",IFERROR(XLOOKUP(D16,'Corrected Register'!$A$5:$A$200,'Corrected Register'!$M$5:$M$200),0),ABS(IFERROR(XLOOKUP(D16,'Source Ledger'!$B$5:$B$200,'Source Ledger'!$E$5:$E$200),0)-IFERROR(XLOOKUP(D16,'Corrected Register'!$A$5:$A$200,'Corrected Register'!$M$5:$M$200),0)))),IFERROR(XLOOKUP(D16,'Corrected Register'!$A$5:$A$200,'Corrected Register'!$N$5:$N$200),0))</f>
        <v/>
      </c>
      <c r="H16" s="7" t="inlineStr">
        <is>
          <t>Action EX-0012: flip MD-00033 from Denver - Closed to Denver; IT Asset Specialist accountable.</t>
        </is>
      </c>
      <c r="I16" s="7" t="inlineStr">
        <is>
          <t>IT Asset Specialist</t>
        </is>
      </c>
      <c r="J16" s="7" t="inlineStr">
        <is>
          <t>2026-08-19</t>
        </is>
      </c>
      <c r="K16" s="7" t="inlineStr">
        <is>
          <t>Open</t>
        </is>
      </c>
      <c r="L16" s="7" t="inlineStr">
        <is>
          <t>The extract kept Denver - Closed on MD-00033 past shutdown. Live work happens in Denver; TR-00033 already moved (EX-0012).</t>
        </is>
      </c>
      <c r="M16" s="7" t="inlineStr">
        <is>
          <t>Requires remediation</t>
        </is>
      </c>
    </row>
    <row r="17">
      <c r="A17" s="7" t="inlineStr">
        <is>
          <t>EX-0013</t>
        </is>
      </c>
      <c r="B17" s="7" t="inlineStr">
        <is>
          <t>Closed Location Assignment</t>
        </is>
      </c>
      <c r="C17" s="11" t="inlineStr">
        <is>
          <t>Medium</t>
        </is>
      </c>
      <c r="D17" s="7" t="inlineStr">
        <is>
          <t>MD-00034</t>
        </is>
      </c>
      <c r="E17" s="7" t="inlineStr">
        <is>
          <t>MD-MO-050034</t>
        </is>
      </c>
      <c r="F17" s="7" t="inlineStr">
        <is>
          <t>RegisterLocation:Chicago - Closed; Transfer:TR-00034; HRLocation:New York</t>
        </is>
      </c>
      <c r="G17" s="7">
        <f>IF(B17="Inventory-to-Ledger Difference",IF(IFERROR(XLOOKUP(D17,'Source Ledger'!$B$5:$B$200,'Source Ledger'!$H$5:$H$200),"")="Disposed",IFERROR(XLOOKUP(D17,'Source Ledger'!$B$5:$B$200,'Source Ledger'!$G$5:$G$200),0),IF(IFERROR(XLOOKUP(D17,'Source Ledger'!$B$5:$B$200,'Source Ledger'!$E$5:$E$200),"")="",IFERROR(XLOOKUP(D17,'Corrected Register'!$A$5:$A$200,'Corrected Register'!$M$5:$M$200),0),ABS(IFERROR(XLOOKUP(D17,'Source Ledger'!$B$5:$B$200,'Source Ledger'!$E$5:$E$200),0)-IFERROR(XLOOKUP(D17,'Corrected Register'!$A$5:$A$200,'Corrected Register'!$M$5:$M$200),0)))),IFERROR(XLOOKUP(D17,'Corrected Register'!$A$5:$A$200,'Corrected Register'!$N$5:$N$200),0))</f>
        <v/>
      </c>
      <c r="H17" s="7" t="inlineStr">
        <is>
          <t>Park EX-0013 as register hygiene — rewrite MD-00034 site to New York [EX-0013a-1].</t>
        </is>
      </c>
      <c r="I17" s="7" t="inlineStr">
        <is>
          <t>IT Asset Specialist</t>
        </is>
      </c>
      <c r="J17" s="7" t="inlineStr">
        <is>
          <t>2026-08-19</t>
        </is>
      </c>
      <c r="K17" s="7" t="inlineStr">
        <is>
          <t>Open</t>
        </is>
      </c>
      <c r="L17" s="7" t="inlineStr">
        <is>
          <t>Register/location drift on MD-00034 after office shutdown — Chicago - Closed vs New York. Supporting move TR-00034; EX-0013 [EX-0013-1].</t>
        </is>
      </c>
      <c r="M17" s="7" t="inlineStr">
        <is>
          <t>Requires remediation</t>
        </is>
      </c>
    </row>
    <row r="18">
      <c r="A18" s="7" t="inlineStr">
        <is>
          <t>EX-0014</t>
        </is>
      </c>
      <c r="B18" s="7" t="inlineStr">
        <is>
          <t>Inventory-to-Ledger Difference</t>
        </is>
      </c>
      <c r="C18" s="10" t="inlineStr">
        <is>
          <t>High</t>
        </is>
      </c>
      <c r="D18" s="7" t="inlineStr">
        <is>
          <t>MD-00034</t>
        </is>
      </c>
      <c r="E18" s="7" t="inlineStr">
        <is>
          <t>MD-MO-050034</t>
        </is>
      </c>
      <c r="F18" s="7" t="inlineStr">
        <is>
          <t>Ledger:FA-000034; PO:PO-2024-0007; RegisterCost:790.0; LedgerCost:930.0</t>
        </is>
      </c>
      <c r="G18" s="7">
        <f>IF(B18="Inventory-to-Ledger Difference",IF(IFERROR(XLOOKUP(D18,'Source Ledger'!$B$5:$B$200,'Source Ledger'!$H$5:$H$200),"")="Disposed",IFERROR(XLOOKUP(D18,'Source Ledger'!$B$5:$B$200,'Source Ledger'!$G$5:$G$200),0),IF(IFERROR(XLOOKUP(D18,'Source Ledger'!$B$5:$B$200,'Source Ledger'!$E$5:$E$200),"")="",IFERROR(XLOOKUP(D18,'Corrected Register'!$A$5:$A$200,'Corrected Register'!$M$5:$M$200),0),ABS(IFERROR(XLOOKUP(D18,'Source Ledger'!$B$5:$B$200,'Source Ledger'!$E$5:$E$200),0)-IFERROR(XLOOKUP(D18,'Corrected Register'!$A$5:$A$200,'Corrected Register'!$M$5:$M$200),0)))),IFERROR(XLOOKUP(D18,'Corrected Register'!$A$5:$A$200,'Corrected Register'!$N$5:$N$200),0))</f>
        <v/>
      </c>
      <c r="H18" s="7" t="inlineStr">
        <is>
          <t>Finance: tie register $790 to ledger $930 on FA-000034 and confirm NBV $479.88.</t>
        </is>
      </c>
      <c r="I18" s="7" t="inlineStr">
        <is>
          <t>Finance Controller</t>
        </is>
      </c>
      <c r="J18" s="7" t="inlineStr">
        <is>
          <t>2026-08-21</t>
        </is>
      </c>
      <c r="K18" s="7" t="inlineStr">
        <is>
          <t>Open</t>
        </is>
      </c>
      <c r="L18" s="7" t="inlineStr">
        <is>
          <t>PO-2024-0007 and FA-000034 disagree on basis for MD-00034: register $790 vs ledger $930. Ledger NBV on FA-000034 is $479.88 ($930 − $450.12 accumulated depreciation).</t>
        </is>
      </c>
      <c r="M18" s="7" t="inlineStr">
        <is>
          <t>Requires remediation</t>
        </is>
      </c>
    </row>
    <row r="19">
      <c r="A19" s="7" t="inlineStr">
        <is>
          <t>EX-0015</t>
        </is>
      </c>
      <c r="B19" s="7" t="inlineStr">
        <is>
          <t>Closed Location Assignment</t>
        </is>
      </c>
      <c r="C19" s="11" t="inlineStr">
        <is>
          <t>Medium</t>
        </is>
      </c>
      <c r="D19" s="7" t="inlineStr">
        <is>
          <t>MD-00035</t>
        </is>
      </c>
      <c r="E19" s="7" t="inlineStr">
        <is>
          <t>MD-MO-050035</t>
        </is>
      </c>
      <c r="F19" s="7" t="inlineStr">
        <is>
          <t>RegisterLocation:Denver - Closed; Transfer:TR-00035; HRLocation:Seattle</t>
        </is>
      </c>
      <c r="G19" s="7">
        <f>IF(B19="Inventory-to-Ledger Difference",IF(IFERROR(XLOOKUP(D19,'Source Ledger'!$B$5:$B$200,'Source Ledger'!$H$5:$H$200),"")="Disposed",IFERROR(XLOOKUP(D19,'Source Ledger'!$B$5:$B$200,'Source Ledger'!$G$5:$G$200),0),IF(IFERROR(XLOOKUP(D19,'Source Ledger'!$B$5:$B$200,'Source Ledger'!$E$5:$E$200),"")="",IFERROR(XLOOKUP(D19,'Corrected Register'!$A$5:$A$200,'Corrected Register'!$M$5:$M$200),0),ABS(IFERROR(XLOOKUP(D19,'Source Ledger'!$B$5:$B$200,'Source Ledger'!$E$5:$E$200),0)-IFERROR(XLOOKUP(D19,'Corrected Register'!$A$5:$A$200,'Corrected Register'!$M$5:$M$200),0)))),IFERROR(XLOOKUP(D19,'Corrected Register'!$A$5:$A$200,'Corrected Register'!$N$5:$N$200),0))</f>
        <v/>
      </c>
      <c r="H19" s="7" t="inlineStr">
        <is>
          <t>Change control for MD-00035: cite TR-00035, write Seattle, clear Denver - Closed, close EX-0015.</t>
        </is>
      </c>
      <c r="I19" s="7" t="inlineStr">
        <is>
          <t>IT Asset Specialist</t>
        </is>
      </c>
      <c r="J19" s="7" t="inlineStr">
        <is>
          <t>2026-08-19</t>
        </is>
      </c>
      <c r="K19" s="7" t="inlineStr">
        <is>
          <t>Open</t>
        </is>
      </c>
      <c r="L19" s="7" t="inlineStr">
        <is>
          <t>Stale closed-office coding: MD-00035 / Denver - Closed. Working city is Seattle. EX-0015 opened so the register can be flipped.</t>
        </is>
      </c>
      <c r="M19" s="7" t="inlineStr">
        <is>
          <t>Requires remediation</t>
        </is>
      </c>
    </row>
    <row r="20">
      <c r="A20" s="7" t="inlineStr">
        <is>
          <t>EX-0016</t>
        </is>
      </c>
      <c r="B20" s="7" t="inlineStr">
        <is>
          <t>Closed Location Assignment</t>
        </is>
      </c>
      <c r="C20" s="11" t="inlineStr">
        <is>
          <t>Medium</t>
        </is>
      </c>
      <c r="D20" s="7" t="inlineStr">
        <is>
          <t>MD-00036</t>
        </is>
      </c>
      <c r="E20" s="7" t="inlineStr">
        <is>
          <t>MD-NE-050036</t>
        </is>
      </c>
      <c r="F20" s="7" t="inlineStr">
        <is>
          <t>RegisterLocation:Chicago - Closed; Transfer:TR-00036; HRLocation:Atlanta</t>
        </is>
      </c>
      <c r="G20" s="7">
        <f>IF(B20="Inventory-to-Ledger Difference",IF(IFERROR(XLOOKUP(D20,'Source Ledger'!$B$5:$B$200,'Source Ledger'!$H$5:$H$200),"")="Disposed",IFERROR(XLOOKUP(D20,'Source Ledger'!$B$5:$B$200,'Source Ledger'!$G$5:$G$200),0),IF(IFERROR(XLOOKUP(D20,'Source Ledger'!$B$5:$B$200,'Source Ledger'!$E$5:$E$200),"")="",IFERROR(XLOOKUP(D20,'Corrected Register'!$A$5:$A$200,'Corrected Register'!$M$5:$M$200),0),ABS(IFERROR(XLOOKUP(D20,'Source Ledger'!$B$5:$B$200,'Source Ledger'!$E$5:$E$200),0)-IFERROR(XLOOKUP(D20,'Corrected Register'!$A$5:$A$200,'Corrected Register'!$M$5:$M$200),0)))),IFERROR(XLOOKUP(D20,'Corrected Register'!$A$5:$A$200,'Corrected Register'!$N$5:$N$200),0))</f>
        <v/>
      </c>
      <c r="H20" s="7" t="inlineStr">
        <is>
          <t>Complete the cutover cleanup for MD-00036 by posting Atlanta (EX-0016).</t>
        </is>
      </c>
      <c r="I20" s="7" t="inlineStr">
        <is>
          <t>IT Asset Specialist</t>
        </is>
      </c>
      <c r="J20" s="7" t="inlineStr">
        <is>
          <t>2026-08-19</t>
        </is>
      </c>
      <c r="K20" s="7" t="inlineStr">
        <is>
          <t>Open</t>
        </is>
      </c>
      <c r="L20" s="7" t="inlineStr">
        <is>
          <t>Inventory location for MD-00036 was not updated when the office closed. Expect Atlanta; still reading Chicago - Closed. TR-00036 / EX-0016.</t>
        </is>
      </c>
      <c r="M20" s="7" t="inlineStr">
        <is>
          <t>Requires remediation</t>
        </is>
      </c>
    </row>
    <row r="21">
      <c r="A21" s="7" t="inlineStr">
        <is>
          <t>EX-0017</t>
        </is>
      </c>
      <c r="B21" s="7" t="inlineStr">
        <is>
          <t>Closed Location Assignment</t>
        </is>
      </c>
      <c r="C21" s="11" t="inlineStr">
        <is>
          <t>Medium</t>
        </is>
      </c>
      <c r="D21" s="7" t="inlineStr">
        <is>
          <t>MD-00037</t>
        </is>
      </c>
      <c r="E21" s="7" t="inlineStr">
        <is>
          <t>MD-LA-050037</t>
        </is>
      </c>
      <c r="F21" s="7" t="inlineStr">
        <is>
          <t>RegisterLocation:Denver - Closed; Transfer:TR-00037; HRLocation:Chicago</t>
        </is>
      </c>
      <c r="G21" s="7">
        <f>IF(B21="Inventory-to-Ledger Difference",IF(IFERROR(XLOOKUP(D21,'Source Ledger'!$B$5:$B$200,'Source Ledger'!$H$5:$H$200),"")="Disposed",IFERROR(XLOOKUP(D21,'Source Ledger'!$B$5:$B$200,'Source Ledger'!$G$5:$G$200),0),IF(IFERROR(XLOOKUP(D21,'Source Ledger'!$B$5:$B$200,'Source Ledger'!$E$5:$E$200),"")="",IFERROR(XLOOKUP(D21,'Corrected Register'!$A$5:$A$200,'Corrected Register'!$M$5:$M$200),0),ABS(IFERROR(XLOOKUP(D21,'Source Ledger'!$B$5:$B$200,'Source Ledger'!$E$5:$E$200),0)-IFERROR(XLOOKUP(D21,'Corrected Register'!$A$5:$A$200,'Corrected Register'!$M$5:$M$200),0)))),IFERROR(XLOOKUP(D21,'Corrected Register'!$A$5:$A$200,'Corrected Register'!$N$5:$N$200),0))</f>
        <v/>
      </c>
      <c r="H21" s="7" t="inlineStr">
        <is>
          <t>Change control for MD-00037: cite TR-00037, write Chicago, clear Denver - Closed, close EX-0017 [EX-0017a-1].</t>
        </is>
      </c>
      <c r="I21" s="7" t="inlineStr">
        <is>
          <t>IT Asset Specialist</t>
        </is>
      </c>
      <c r="J21" s="7" t="inlineStr">
        <is>
          <t>2026-08-19</t>
        </is>
      </c>
      <c r="K21" s="7" t="inlineStr">
        <is>
          <t>Open</t>
        </is>
      </c>
      <c r="L21" s="7" t="inlineStr">
        <is>
          <t>Stale closed-office coding: MD-00037 / Denver - Closed. Working city is Chicago. EX-0017 opened so the register can be flipped [EX-0017-1].</t>
        </is>
      </c>
      <c r="M21" s="7" t="inlineStr">
        <is>
          <t>Requires remediation</t>
        </is>
      </c>
    </row>
    <row r="22">
      <c r="A22" s="7" t="inlineStr">
        <is>
          <t>EX-0018</t>
        </is>
      </c>
      <c r="B22" s="7" t="inlineStr">
        <is>
          <t>Closed Location Assignment</t>
        </is>
      </c>
      <c r="C22" s="11" t="inlineStr">
        <is>
          <t>Medium</t>
        </is>
      </c>
      <c r="D22" s="7" t="inlineStr">
        <is>
          <t>MD-00038</t>
        </is>
      </c>
      <c r="E22" s="7" t="inlineStr">
        <is>
          <t>MD-MO-050038</t>
        </is>
      </c>
      <c r="F22" s="7" t="inlineStr">
        <is>
          <t>RegisterLocation:Chicago - Closed; Transfer:TR-00038; HRLocation:Dallas</t>
        </is>
      </c>
      <c r="G22" s="7">
        <f>IF(B22="Inventory-to-Ledger Difference",IF(IFERROR(XLOOKUP(D22,'Source Ledger'!$B$5:$B$200,'Source Ledger'!$H$5:$H$200),"")="Disposed",IFERROR(XLOOKUP(D22,'Source Ledger'!$B$5:$B$200,'Source Ledger'!$G$5:$G$200),0),IF(IFERROR(XLOOKUP(D22,'Source Ledger'!$B$5:$B$200,'Source Ledger'!$E$5:$E$200),"")="",IFERROR(XLOOKUP(D22,'Corrected Register'!$A$5:$A$200,'Corrected Register'!$M$5:$M$200),0),ABS(IFERROR(XLOOKUP(D22,'Source Ledger'!$B$5:$B$200,'Source Ledger'!$E$5:$E$200),0)-IFERROR(XLOOKUP(D22,'Corrected Register'!$A$5:$A$200,'Corrected Register'!$M$5:$M$200),0)))),IFERROR(XLOOKUP(D22,'Corrected Register'!$A$5:$A$200,'Corrected Register'!$N$5:$N$200),0))</f>
        <v/>
      </c>
      <c r="H22" s="7" t="inlineStr">
        <is>
          <t>Close the loop on EX-0018 by publishing Dallas for MD-00038 and archiving Chicago - Closed [EX-0018a-2].</t>
        </is>
      </c>
      <c r="I22" s="7" t="inlineStr">
        <is>
          <t>IT Asset Specialist</t>
        </is>
      </c>
      <c r="J22" s="7" t="inlineStr">
        <is>
          <t>2026-08-19</t>
        </is>
      </c>
      <c r="K22" s="7" t="inlineStr">
        <is>
          <t>Open</t>
        </is>
      </c>
      <c r="L22" s="7" t="inlineStr">
        <is>
          <t>Cutover miss for MD-00038: Chicago - Closed stayed on the register while operating site became Dallas. TR-00038 is the inbound proof (EX-0018).</t>
        </is>
      </c>
      <c r="M22" s="7" t="inlineStr">
        <is>
          <t>Requires remediation</t>
        </is>
      </c>
    </row>
    <row r="23">
      <c r="A23" s="7" t="inlineStr">
        <is>
          <t>EX-0019</t>
        </is>
      </c>
      <c r="B23" s="7" t="inlineStr">
        <is>
          <t>Closed Location Assignment</t>
        </is>
      </c>
      <c r="C23" s="11" t="inlineStr">
        <is>
          <t>Medium</t>
        </is>
      </c>
      <c r="D23" s="7" t="inlineStr">
        <is>
          <t>MD-00039</t>
        </is>
      </c>
      <c r="E23" s="7" t="inlineStr">
        <is>
          <t>MD-MO-050039</t>
        </is>
      </c>
      <c r="F23" s="7" t="inlineStr">
        <is>
          <t>RegisterLocation:Denver - Closed; Transfer:TR-00039; HRLocation:Denver</t>
        </is>
      </c>
      <c r="G23" s="7">
        <f>IF(B23="Inventory-to-Ledger Difference",IF(IFERROR(XLOOKUP(D23,'Source Ledger'!$B$5:$B$200,'Source Ledger'!$H$5:$H$200),"")="Disposed",IFERROR(XLOOKUP(D23,'Source Ledger'!$B$5:$B$200,'Source Ledger'!$G$5:$G$200),0),IF(IFERROR(XLOOKUP(D23,'Source Ledger'!$B$5:$B$200,'Source Ledger'!$E$5:$E$200),"")="",IFERROR(XLOOKUP(D23,'Corrected Register'!$A$5:$A$200,'Corrected Register'!$M$5:$M$200),0),ABS(IFERROR(XLOOKUP(D23,'Source Ledger'!$B$5:$B$200,'Source Ledger'!$E$5:$E$200),0)-IFERROR(XLOOKUP(D23,'Corrected Register'!$A$5:$A$200,'Corrected Register'!$M$5:$M$200),0)))),IFERROR(XLOOKUP(D23,'Corrected Register'!$A$5:$A$200,'Corrected Register'!$N$5:$N$200),0))</f>
        <v/>
      </c>
      <c r="H23" s="7" t="inlineStr">
        <is>
          <t>Validate TR-00039, then overwrite MD-00039 location from Denver - Closed to Denver (EX-0019).</t>
        </is>
      </c>
      <c r="I23" s="7" t="inlineStr">
        <is>
          <t>IT Asset Specialist</t>
        </is>
      </c>
      <c r="J23" s="7" t="inlineStr">
        <is>
          <t>2026-08-19</t>
        </is>
      </c>
      <c r="K23" s="7" t="inlineStr">
        <is>
          <t>Open</t>
        </is>
      </c>
      <c r="L23" s="7" t="inlineStr">
        <is>
          <t>Office closure left MD-00039 tagged Denver - Closed. Current work site Denver is backed by TR-00039. Tracked in EX-0019.</t>
        </is>
      </c>
      <c r="M23" s="7" t="inlineStr">
        <is>
          <t>Requires remediation</t>
        </is>
      </c>
    </row>
    <row r="24">
      <c r="A24" s="7" t="inlineStr">
        <is>
          <t>EX-0020</t>
        </is>
      </c>
      <c r="B24" s="7" t="inlineStr">
        <is>
          <t>Closed Location Assignment</t>
        </is>
      </c>
      <c r="C24" s="11" t="inlineStr">
        <is>
          <t>Medium</t>
        </is>
      </c>
      <c r="D24" s="7" t="inlineStr">
        <is>
          <t>MD-00040</t>
        </is>
      </c>
      <c r="E24" s="7" t="inlineStr">
        <is>
          <t>MD-NE-050040</t>
        </is>
      </c>
      <c r="F24" s="7" t="inlineStr">
        <is>
          <t>RegisterLocation:Chicago - Closed; Transfer:TR-00040; HRLocation:New York</t>
        </is>
      </c>
      <c r="G24" s="7">
        <f>IF(B24="Inventory-to-Ledger Difference",IF(IFERROR(XLOOKUP(D24,'Source Ledger'!$B$5:$B$200,'Source Ledger'!$H$5:$H$200),"")="Disposed",IFERROR(XLOOKUP(D24,'Source Ledger'!$B$5:$B$200,'Source Ledger'!$G$5:$G$200),0),IF(IFERROR(XLOOKUP(D24,'Source Ledger'!$B$5:$B$200,'Source Ledger'!$E$5:$E$200),"")="",IFERROR(XLOOKUP(D24,'Corrected Register'!$A$5:$A$200,'Corrected Register'!$M$5:$M$200),0),ABS(IFERROR(XLOOKUP(D24,'Source Ledger'!$B$5:$B$200,'Source Ledger'!$E$5:$E$200),0)-IFERROR(XLOOKUP(D24,'Corrected Register'!$A$5:$A$200,'Corrected Register'!$M$5:$M$200),0)))),IFERROR(XLOOKUP(D24,'Corrected Register'!$A$5:$A$200,'Corrected Register'!$N$5:$N$200),0))</f>
        <v/>
      </c>
      <c r="H24" s="7" t="inlineStr">
        <is>
          <t>MD-00040 location remediation: Chicago - Closed → New York. IT Asset Specialist owns the edit; cite TR-00040 (EX-0020).</t>
        </is>
      </c>
      <c r="I24" s="7" t="inlineStr">
        <is>
          <t>IT Asset Specialist</t>
        </is>
      </c>
      <c r="J24" s="7" t="inlineStr">
        <is>
          <t>2026-08-19</t>
        </is>
      </c>
      <c r="K24" s="7" t="inlineStr">
        <is>
          <t>Open</t>
        </is>
      </c>
      <c r="L24" s="7" t="inlineStr">
        <is>
          <t>Physical reality for MD-00040 is New York; system of record still publishes Chicago - Closed. Move support: TR-00040 (EX-0020).</t>
        </is>
      </c>
      <c r="M24" s="7" t="inlineStr">
        <is>
          <t>Requires remediation</t>
        </is>
      </c>
    </row>
    <row r="25">
      <c r="A25" s="7" t="inlineStr">
        <is>
          <t>EX-0021</t>
        </is>
      </c>
      <c r="B25" s="7" t="inlineStr">
        <is>
          <t>Closed Location Assignment</t>
        </is>
      </c>
      <c r="C25" s="11" t="inlineStr">
        <is>
          <t>Medium</t>
        </is>
      </c>
      <c r="D25" s="7" t="inlineStr">
        <is>
          <t>MD-00041</t>
        </is>
      </c>
      <c r="E25" s="7" t="inlineStr">
        <is>
          <t>MD-LA-050041</t>
        </is>
      </c>
      <c r="F25" s="7" t="inlineStr">
        <is>
          <t>RegisterLocation:Denver - Closed; Transfer:TR-00041; HRLocation:Seattle</t>
        </is>
      </c>
      <c r="G25" s="7">
        <f>IF(B25="Inventory-to-Ledger Difference",IF(IFERROR(XLOOKUP(D25,'Source Ledger'!$B$5:$B$200,'Source Ledger'!$H$5:$H$200),"")="Disposed",IFERROR(XLOOKUP(D25,'Source Ledger'!$B$5:$B$200,'Source Ledger'!$G$5:$G$200),0),IF(IFERROR(XLOOKUP(D25,'Source Ledger'!$B$5:$B$200,'Source Ledger'!$E$5:$E$200),"")="",IFERROR(XLOOKUP(D25,'Corrected Register'!$A$5:$A$200,'Corrected Register'!$M$5:$M$200),0),ABS(IFERROR(XLOOKUP(D25,'Source Ledger'!$B$5:$B$200,'Source Ledger'!$E$5:$E$200),0)-IFERROR(XLOOKUP(D25,'Corrected Register'!$A$5:$A$200,'Corrected Register'!$M$5:$M$200),0)))),IFERROR(XLOOKUP(D25,'Corrected Register'!$A$5:$A$200,'Corrected Register'!$N$5:$N$200),0))</f>
        <v/>
      </c>
      <c r="H25" s="7" t="inlineStr">
        <is>
          <t>Finalize EX-0021 after MD-00041 location equals Seattle and Denver - Closed is gone.</t>
        </is>
      </c>
      <c r="I25" s="7" t="inlineStr">
        <is>
          <t>IT Asset Specialist</t>
        </is>
      </c>
      <c r="J25" s="7" t="inlineStr">
        <is>
          <t>2026-08-19</t>
        </is>
      </c>
      <c r="K25" s="7" t="inlineStr">
        <is>
          <t>Open</t>
        </is>
      </c>
      <c r="L25" s="7" t="inlineStr">
        <is>
          <t>Denver - Closed on MD-00041 is leftover coding. Footprint = Seattle. Move = TR-00041. Fix queue = EX-0021.</t>
        </is>
      </c>
      <c r="M25" s="7" t="inlineStr">
        <is>
          <t>Requires remediation</t>
        </is>
      </c>
    </row>
    <row r="26">
      <c r="A26" s="7" t="inlineStr">
        <is>
          <t>EX-0022</t>
        </is>
      </c>
      <c r="B26" s="7" t="inlineStr">
        <is>
          <t>Closed Location Assignment</t>
        </is>
      </c>
      <c r="C26" s="11" t="inlineStr">
        <is>
          <t>Medium</t>
        </is>
      </c>
      <c r="D26" s="7" t="inlineStr">
        <is>
          <t>MD-00042</t>
        </is>
      </c>
      <c r="E26" s="7" t="inlineStr">
        <is>
          <t>MD-MO-050042</t>
        </is>
      </c>
      <c r="F26" s="7" t="inlineStr">
        <is>
          <t>RegisterLocation:Chicago - Closed; Transfer:TR-00042; HRLocation:Atlanta</t>
        </is>
      </c>
      <c r="G26" s="7">
        <f>IF(B26="Inventory-to-Ledger Difference",IF(IFERROR(XLOOKUP(D26,'Source Ledger'!$B$5:$B$200,'Source Ledger'!$H$5:$H$200),"")="Disposed",IFERROR(XLOOKUP(D26,'Source Ledger'!$B$5:$B$200,'Source Ledger'!$G$5:$G$200),0),IF(IFERROR(XLOOKUP(D26,'Source Ledger'!$B$5:$B$200,'Source Ledger'!$E$5:$E$200),"")="",IFERROR(XLOOKUP(D26,'Corrected Register'!$A$5:$A$200,'Corrected Register'!$M$5:$M$200),0),ABS(IFERROR(XLOOKUP(D26,'Source Ledger'!$B$5:$B$200,'Source Ledger'!$E$5:$E$200),0)-IFERROR(XLOOKUP(D26,'Corrected Register'!$A$5:$A$200,'Corrected Register'!$M$5:$M$200),0)))),IFERROR(XLOOKUP(D26,'Corrected Register'!$A$5:$A$200,'Corrected Register'!$N$5:$N$200),0))</f>
        <v/>
      </c>
      <c r="H26" s="7" t="inlineStr">
        <is>
          <t>Retire closed-site coding on MD-00042 immediately; publish Atlanta; notify IT Asset Specialist (EX-0022).</t>
        </is>
      </c>
      <c r="I26" s="7" t="inlineStr">
        <is>
          <t>IT Asset Specialist</t>
        </is>
      </c>
      <c r="J26" s="7" t="inlineStr">
        <is>
          <t>2026-08-19</t>
        </is>
      </c>
      <c r="K26" s="7" t="inlineStr">
        <is>
          <t>Open</t>
        </is>
      </c>
      <c r="L26" s="7" t="inlineStr">
        <is>
          <t>EX-0022 opened when register location for MD-00042 failed to leave Chicago - Closed after consolidation into Atlanta (TR-00042).</t>
        </is>
      </c>
      <c r="M26" s="7" t="inlineStr">
        <is>
          <t>Requires remediation</t>
        </is>
      </c>
    </row>
    <row r="27">
      <c r="A27" s="7" t="inlineStr">
        <is>
          <t>EX-0023</t>
        </is>
      </c>
      <c r="B27" s="7" t="inlineStr">
        <is>
          <t>Closed Location Assignment</t>
        </is>
      </c>
      <c r="C27" s="11" t="inlineStr">
        <is>
          <t>Medium</t>
        </is>
      </c>
      <c r="D27" s="7" t="inlineStr">
        <is>
          <t>MD-00043</t>
        </is>
      </c>
      <c r="E27" s="7" t="inlineStr">
        <is>
          <t>MD-MO-050043</t>
        </is>
      </c>
      <c r="F27" s="7" t="inlineStr">
        <is>
          <t>RegisterLocation:Denver - Closed; Transfer:TR-00043; HRLocation:Chicago</t>
        </is>
      </c>
      <c r="G27" s="7">
        <f>IF(B27="Inventory-to-Ledger Difference",IF(IFERROR(XLOOKUP(D27,'Source Ledger'!$B$5:$B$200,'Source Ledger'!$H$5:$H$200),"")="Disposed",IFERROR(XLOOKUP(D27,'Source Ledger'!$B$5:$B$200,'Source Ledger'!$G$5:$G$200),0),IF(IFERROR(XLOOKUP(D27,'Source Ledger'!$B$5:$B$200,'Source Ledger'!$E$5:$E$200),"")="",IFERROR(XLOOKUP(D27,'Corrected Register'!$A$5:$A$200,'Corrected Register'!$M$5:$M$200),0),ABS(IFERROR(XLOOKUP(D27,'Source Ledger'!$B$5:$B$200,'Source Ledger'!$E$5:$E$200),0)-IFERROR(XLOOKUP(D27,'Corrected Register'!$A$5:$A$200,'Corrected Register'!$M$5:$M$200),0)))),IFERROR(XLOOKUP(D27,'Corrected Register'!$A$5:$A$200,'Corrected Register'!$N$5:$N$200),0))</f>
        <v/>
      </c>
      <c r="H27" s="7" t="inlineStr">
        <is>
          <t>Register edit checklist for MD-00043: proof TR-00043, new site Chicago, retire Denver - Closed, ticket EX-0023.</t>
        </is>
      </c>
      <c r="I27" s="7" t="inlineStr">
        <is>
          <t>IT Asset Specialist</t>
        </is>
      </c>
      <c r="J27" s="7" t="inlineStr">
        <is>
          <t>2026-08-19</t>
        </is>
      </c>
      <c r="K27" s="7" t="inlineStr">
        <is>
          <t>Open</t>
        </is>
      </c>
      <c r="L27" s="7" t="inlineStr">
        <is>
          <t>Inventory still advertises Denver - Closed for MD-00043 even though inbound TR-00043 and live ops both say Chicago. Remediate under EX-0023.</t>
        </is>
      </c>
      <c r="M27" s="7" t="inlineStr">
        <is>
          <t>Requires remediation</t>
        </is>
      </c>
    </row>
    <row r="28">
      <c r="A28" s="7" t="inlineStr">
        <is>
          <t>EX-0024</t>
        </is>
      </c>
      <c r="B28" s="7" t="inlineStr">
        <is>
          <t>Closed Location Assignment</t>
        </is>
      </c>
      <c r="C28" s="11" t="inlineStr">
        <is>
          <t>Medium</t>
        </is>
      </c>
      <c r="D28" s="7" t="inlineStr">
        <is>
          <t>MD-00044</t>
        </is>
      </c>
      <c r="E28" s="7" t="inlineStr">
        <is>
          <t>MD-NE-050044</t>
        </is>
      </c>
      <c r="F28" s="7" t="inlineStr">
        <is>
          <t>RegisterLocation:Chicago - Closed; Transfer:TR-00044; HRLocation:Dallas</t>
        </is>
      </c>
      <c r="G28" s="7">
        <f>IF(B28="Inventory-to-Ledger Difference",IF(IFERROR(XLOOKUP(D28,'Source Ledger'!$B$5:$B$200,'Source Ledger'!$H$5:$H$200),"")="Disposed",IFERROR(XLOOKUP(D28,'Source Ledger'!$B$5:$B$200,'Source Ledger'!$G$5:$G$200),0),IF(IFERROR(XLOOKUP(D28,'Source Ledger'!$B$5:$B$200,'Source Ledger'!$E$5:$E$200),"")="",IFERROR(XLOOKUP(D28,'Corrected Register'!$A$5:$A$200,'Corrected Register'!$M$5:$M$200),0),ABS(IFERROR(XLOOKUP(D28,'Source Ledger'!$B$5:$B$200,'Source Ledger'!$E$5:$E$200),0)-IFERROR(XLOOKUP(D28,'Corrected Register'!$A$5:$A$200,'Corrected Register'!$M$5:$M$200),0)))),IFERROR(XLOOKUP(D28,'Corrected Register'!$A$5:$A$200,'Corrected Register'!$N$5:$N$200),0))</f>
        <v/>
      </c>
      <c r="H28" s="7" t="inlineStr">
        <is>
          <t>IT Asset Specialist: replace Chicago - Closed with Dallas on MD-00044, then close EX-0024.</t>
        </is>
      </c>
      <c r="I28" s="7" t="inlineStr">
        <is>
          <t>IT Asset Specialist</t>
        </is>
      </c>
      <c r="J28" s="7" t="inlineStr">
        <is>
          <t>2026-08-19</t>
        </is>
      </c>
      <c r="K28" s="7" t="inlineStr">
        <is>
          <t>Open</t>
        </is>
      </c>
      <c r="L28" s="7" t="inlineStr">
        <is>
          <t>Cutover leftover on MD-00044: Chicago - Closed stayed behind while TR-00044 finished toward Dallas (EX-0024).</t>
        </is>
      </c>
      <c r="M28" s="7" t="inlineStr">
        <is>
          <t>Requires remediation</t>
        </is>
      </c>
    </row>
    <row r="29">
      <c r="A29" s="7" t="inlineStr">
        <is>
          <t>EX-0025</t>
        </is>
      </c>
      <c r="B29" s="7" t="inlineStr">
        <is>
          <t>Closed Location Assignment</t>
        </is>
      </c>
      <c r="C29" s="11" t="inlineStr">
        <is>
          <t>Medium</t>
        </is>
      </c>
      <c r="D29" s="7" t="inlineStr">
        <is>
          <t>MD-00045</t>
        </is>
      </c>
      <c r="E29" s="7" t="inlineStr">
        <is>
          <t>MD-LA-050045</t>
        </is>
      </c>
      <c r="F29" s="7" t="inlineStr">
        <is>
          <t>RegisterLocation:Denver - Closed; Transfer:TR-00045; HRLocation:Denver</t>
        </is>
      </c>
      <c r="G29" s="7">
        <f>IF(B29="Inventory-to-Ledger Difference",IF(IFERROR(XLOOKUP(D29,'Source Ledger'!$B$5:$B$200,'Source Ledger'!$H$5:$H$200),"")="Disposed",IFERROR(XLOOKUP(D29,'Source Ledger'!$B$5:$B$200,'Source Ledger'!$G$5:$G$200),0),IF(IFERROR(XLOOKUP(D29,'Source Ledger'!$B$5:$B$200,'Source Ledger'!$E$5:$E$200),"")="",IFERROR(XLOOKUP(D29,'Corrected Register'!$A$5:$A$200,'Corrected Register'!$M$5:$M$200),0),ABS(IFERROR(XLOOKUP(D29,'Source Ledger'!$B$5:$B$200,'Source Ledger'!$E$5:$E$200),0)-IFERROR(XLOOKUP(D29,'Corrected Register'!$A$5:$A$200,'Corrected Register'!$M$5:$M$200),0)))),IFERROR(XLOOKUP(D29,'Corrected Register'!$A$5:$A$200,'Corrected Register'!$N$5:$N$200),0))</f>
        <v/>
      </c>
      <c r="H29" s="7" t="inlineStr">
        <is>
          <t>Required action for EX-0025 is administrative: correct MD-00045 to Denver.</t>
        </is>
      </c>
      <c r="I29" s="7" t="inlineStr">
        <is>
          <t>IT Asset Specialist</t>
        </is>
      </c>
      <c r="J29" s="7" t="inlineStr">
        <is>
          <t>2026-08-19</t>
        </is>
      </c>
      <c r="K29" s="7" t="inlineStr">
        <is>
          <t>Open</t>
        </is>
      </c>
      <c r="L29" s="7" t="inlineStr">
        <is>
          <t>Because Denver - Closed was never retired on MD-00045, the extract disagrees with live ops in Denver. TR-00045 finished; capture under EX-0025.</t>
        </is>
      </c>
      <c r="M29" s="7" t="inlineStr">
        <is>
          <t>Requires remediation</t>
        </is>
      </c>
    </row>
    <row r="30">
      <c r="A30" s="7" t="inlineStr">
        <is>
          <t>EX-0026</t>
        </is>
      </c>
      <c r="B30" s="7" t="inlineStr">
        <is>
          <t>Closed Location Assignment</t>
        </is>
      </c>
      <c r="C30" s="11" t="inlineStr">
        <is>
          <t>Medium</t>
        </is>
      </c>
      <c r="D30" s="7" t="inlineStr">
        <is>
          <t>MD-00046</t>
        </is>
      </c>
      <c r="E30" s="7" t="inlineStr">
        <is>
          <t>MD-MO-050046</t>
        </is>
      </c>
      <c r="F30" s="7" t="inlineStr">
        <is>
          <t>RegisterLocation:Chicago - Closed; Transfer:TR-00046; VerifiedLocation:New York</t>
        </is>
      </c>
      <c r="G30" s="7">
        <f>IF(B30="Inventory-to-Ledger Difference",IF(IFERROR(XLOOKUP(D30,'Source Ledger'!$B$5:$B$200,'Source Ledger'!$H$5:$H$200),"")="Disposed",IFERROR(XLOOKUP(D30,'Source Ledger'!$B$5:$B$200,'Source Ledger'!$G$5:$G$200),0),IF(IFERROR(XLOOKUP(D30,'Source Ledger'!$B$5:$B$200,'Source Ledger'!$E$5:$E$200),"")="",IFERROR(XLOOKUP(D30,'Corrected Register'!$A$5:$A$200,'Corrected Register'!$M$5:$M$200),0),ABS(IFERROR(XLOOKUP(D30,'Source Ledger'!$B$5:$B$200,'Source Ledger'!$E$5:$E$200),0)-IFERROR(XLOOKUP(D30,'Corrected Register'!$A$5:$A$200,'Corrected Register'!$M$5:$M$200),0)))),IFERROR(XLOOKUP(D30,'Corrected Register'!$A$5:$A$200,'Corrected Register'!$N$5:$N$200),0))</f>
        <v/>
      </c>
      <c r="H30" s="7" t="inlineStr">
        <is>
          <t>Validate TR-00046, then overwrite MD-00046 location from Chicago - Closed to operating site (EX-0026).</t>
        </is>
      </c>
      <c r="I30" s="7" t="inlineStr">
        <is>
          <t>IT Asset Specialist</t>
        </is>
      </c>
      <c r="J30" s="7" t="inlineStr">
        <is>
          <t>2026-08-19</t>
        </is>
      </c>
      <c r="K30" s="7" t="inlineStr">
        <is>
          <t>Open</t>
        </is>
      </c>
      <c r="L30" s="7" t="inlineStr">
        <is>
          <t>Office closure left MD-00046 tagged Chicago - Closed. Current work site operating site is backed by TR-00046. Tracked in EX-0026.</t>
        </is>
      </c>
      <c r="M30" s="7" t="inlineStr">
        <is>
          <t>Requires remediation</t>
        </is>
      </c>
    </row>
    <row r="31">
      <c r="A31" s="7" t="inlineStr">
        <is>
          <t>EX-0027</t>
        </is>
      </c>
      <c r="B31" s="7" t="inlineStr">
        <is>
          <t>Closed Location Assignment</t>
        </is>
      </c>
      <c r="C31" s="11" t="inlineStr">
        <is>
          <t>Medium</t>
        </is>
      </c>
      <c r="D31" s="7" t="inlineStr">
        <is>
          <t>MD-00047</t>
        </is>
      </c>
      <c r="E31" s="7" t="inlineStr">
        <is>
          <t>MD-MO-050047</t>
        </is>
      </c>
      <c r="F31" s="7" t="inlineStr">
        <is>
          <t>RegisterLocation:Denver - Closed; Transfer:TR-00047; VerifiedLocation:Seattle</t>
        </is>
      </c>
      <c r="G31" s="7">
        <f>IF(B31="Inventory-to-Ledger Difference",IF(IFERROR(XLOOKUP(D31,'Source Ledger'!$B$5:$B$200,'Source Ledger'!$H$5:$H$200),"")="Disposed",IFERROR(XLOOKUP(D31,'Source Ledger'!$B$5:$B$200,'Source Ledger'!$G$5:$G$200),0),IF(IFERROR(XLOOKUP(D31,'Source Ledger'!$B$5:$B$200,'Source Ledger'!$E$5:$E$200),"")="",IFERROR(XLOOKUP(D31,'Corrected Register'!$A$5:$A$200,'Corrected Register'!$M$5:$M$200),0),ABS(IFERROR(XLOOKUP(D31,'Source Ledger'!$B$5:$B$200,'Source Ledger'!$E$5:$E$200),0)-IFERROR(XLOOKUP(D31,'Corrected Register'!$A$5:$A$200,'Corrected Register'!$M$5:$M$200),0)))),IFERROR(XLOOKUP(D31,'Corrected Register'!$A$5:$A$200,'Corrected Register'!$N$5:$N$200),0))</f>
        <v/>
      </c>
      <c r="H31" s="7" t="inlineStr">
        <is>
          <t>Register cleanup for MD-00047 under EX-0027: live city operating site replaces Denver - Closed.</t>
        </is>
      </c>
      <c r="I31" s="7" t="inlineStr">
        <is>
          <t>IT Asset Specialist</t>
        </is>
      </c>
      <c r="J31" s="7" t="inlineStr">
        <is>
          <t>2026-08-19</t>
        </is>
      </c>
      <c r="K31" s="7" t="inlineStr">
        <is>
          <t>Open</t>
        </is>
      </c>
      <c r="L31" s="7" t="inlineStr">
        <is>
          <t>Leave Denver - Closed in the archive history for MD-00047, but current column must show operating site. Use TR-00047; close EX-0027.</t>
        </is>
      </c>
      <c r="M31" s="7" t="inlineStr">
        <is>
          <t>Requires remediation</t>
        </is>
      </c>
    </row>
    <row r="32">
      <c r="A32" s="7" t="inlineStr">
        <is>
          <t>EX-0028</t>
        </is>
      </c>
      <c r="B32" s="7" t="inlineStr">
        <is>
          <t>Closed Location Assignment</t>
        </is>
      </c>
      <c r="C32" s="11" t="inlineStr">
        <is>
          <t>Medium</t>
        </is>
      </c>
      <c r="D32" s="7" t="inlineStr">
        <is>
          <t>MD-00048</t>
        </is>
      </c>
      <c r="E32" s="7" t="inlineStr">
        <is>
          <t>MD-NE-050048</t>
        </is>
      </c>
      <c r="F32" s="7" t="inlineStr">
        <is>
          <t>RegisterLocation:Chicago - Closed; Transfer:TR-00048; VerifiedLocation:Atlanta</t>
        </is>
      </c>
      <c r="G32" s="7">
        <f>IF(B32="Inventory-to-Ledger Difference",IF(IFERROR(XLOOKUP(D32,'Source Ledger'!$B$5:$B$200,'Source Ledger'!$H$5:$H$200),"")="Disposed",IFERROR(XLOOKUP(D32,'Source Ledger'!$B$5:$B$200,'Source Ledger'!$G$5:$G$200),0),IF(IFERROR(XLOOKUP(D32,'Source Ledger'!$B$5:$B$200,'Source Ledger'!$E$5:$E$200),"")="",IFERROR(XLOOKUP(D32,'Corrected Register'!$A$5:$A$200,'Corrected Register'!$M$5:$M$200),0),ABS(IFERROR(XLOOKUP(D32,'Source Ledger'!$B$5:$B$200,'Source Ledger'!$E$5:$E$200),0)-IFERROR(XLOOKUP(D32,'Corrected Register'!$A$5:$A$200,'Corrected Register'!$M$5:$M$200),0)))),IFERROR(XLOOKUP(D32,'Corrected Register'!$A$5:$A$200,'Corrected Register'!$N$5:$N$200),0))</f>
        <v/>
      </c>
      <c r="H32" s="7" t="inlineStr">
        <is>
          <t>Required action for EX-0028 is administrative: correct MD-00048 to operating site.</t>
        </is>
      </c>
      <c r="I32" s="7" t="inlineStr">
        <is>
          <t>IT Asset Specialist</t>
        </is>
      </c>
      <c r="J32" s="7" t="inlineStr">
        <is>
          <t>2026-08-19</t>
        </is>
      </c>
      <c r="K32" s="7" t="inlineStr">
        <is>
          <t>Open</t>
        </is>
      </c>
      <c r="L32" s="7" t="inlineStr">
        <is>
          <t>Because Chicago - Closed was never retired on MD-00048, the extract disagrees with live ops in operating site. TR-00048 finished; capture under EX-0028.</t>
        </is>
      </c>
      <c r="M32" s="7" t="inlineStr">
        <is>
          <t>Requires remediation</t>
        </is>
      </c>
    </row>
    <row r="33">
      <c r="A33" s="7" t="inlineStr">
        <is>
          <t>EX-0029</t>
        </is>
      </c>
      <c r="B33" s="7" t="inlineStr">
        <is>
          <t>Closed Location Assignment</t>
        </is>
      </c>
      <c r="C33" s="11" t="inlineStr">
        <is>
          <t>Medium</t>
        </is>
      </c>
      <c r="D33" s="7" t="inlineStr">
        <is>
          <t>MD-00049</t>
        </is>
      </c>
      <c r="E33" s="7" t="inlineStr">
        <is>
          <t>MD-LA-050049</t>
        </is>
      </c>
      <c r="F33" s="7" t="inlineStr">
        <is>
          <t>RegisterLocation:Denver - Closed; Transfer:TR-00049; VerifiedLocation:Chicago</t>
        </is>
      </c>
      <c r="G33" s="7">
        <f>IF(B33="Inventory-to-Ledger Difference",IF(IFERROR(XLOOKUP(D33,'Source Ledger'!$B$5:$B$200,'Source Ledger'!$H$5:$H$200),"")="Disposed",IFERROR(XLOOKUP(D33,'Source Ledger'!$B$5:$B$200,'Source Ledger'!$G$5:$G$200),0),IF(IFERROR(XLOOKUP(D33,'Source Ledger'!$B$5:$B$200,'Source Ledger'!$E$5:$E$200),"")="",IFERROR(XLOOKUP(D33,'Corrected Register'!$A$5:$A$200,'Corrected Register'!$M$5:$M$200),0),ABS(IFERROR(XLOOKUP(D33,'Source Ledger'!$B$5:$B$200,'Source Ledger'!$E$5:$E$200),0)-IFERROR(XLOOKUP(D33,'Corrected Register'!$A$5:$A$200,'Corrected Register'!$M$5:$M$200),0)))),IFERROR(XLOOKUP(D33,'Corrected Register'!$A$5:$A$200,'Corrected Register'!$N$5:$N$200),0))</f>
        <v/>
      </c>
      <c r="H33" s="7" t="inlineStr">
        <is>
          <t>EX-0029 action owner IT Asset Specialist: location field only — MD-00049 to operating site.</t>
        </is>
      </c>
      <c r="I33" s="7" t="inlineStr">
        <is>
          <t>IT Asset Specialist</t>
        </is>
      </c>
      <c r="J33" s="7" t="inlineStr">
        <is>
          <t>2026-08-19</t>
        </is>
      </c>
      <c r="K33" s="7" t="inlineStr">
        <is>
          <t>Open</t>
        </is>
      </c>
      <c r="L33" s="7" t="inlineStr">
        <is>
          <t>Do not open a loss case for MD-00049 based on Denver - Closed. The asset is in operating site per TR-00049. Hygiene item EX-0029.</t>
        </is>
      </c>
      <c r="M33" s="7" t="inlineStr">
        <is>
          <t>Requires remediation</t>
        </is>
      </c>
    </row>
    <row r="34">
      <c r="A34" s="7" t="inlineStr">
        <is>
          <t>EX-0030</t>
        </is>
      </c>
      <c r="B34" s="7" t="inlineStr">
        <is>
          <t>Closed Location Assignment</t>
        </is>
      </c>
      <c r="C34" s="11" t="inlineStr">
        <is>
          <t>Medium</t>
        </is>
      </c>
      <c r="D34" s="7" t="inlineStr">
        <is>
          <t>MD-00050</t>
        </is>
      </c>
      <c r="E34" s="7" t="inlineStr">
        <is>
          <t>MD-MO-050050</t>
        </is>
      </c>
      <c r="F34" s="7" t="inlineStr">
        <is>
          <t>RegisterLocation:Chicago - Closed; Transfer:TR-00050; VerifiedLocation:Dallas</t>
        </is>
      </c>
      <c r="G34" s="7">
        <f>IF(B34="Inventory-to-Ledger Difference",IF(IFERROR(XLOOKUP(D34,'Source Ledger'!$B$5:$B$200,'Source Ledger'!$H$5:$H$200),"")="Disposed",IFERROR(XLOOKUP(D34,'Source Ledger'!$B$5:$B$200,'Source Ledger'!$G$5:$G$200),0),IF(IFERROR(XLOOKUP(D34,'Source Ledger'!$B$5:$B$200,'Source Ledger'!$E$5:$E$200),"")="",IFERROR(XLOOKUP(D34,'Corrected Register'!$A$5:$A$200,'Corrected Register'!$M$5:$M$200),0),ABS(IFERROR(XLOOKUP(D34,'Source Ledger'!$B$5:$B$200,'Source Ledger'!$E$5:$E$200),0)-IFERROR(XLOOKUP(D34,'Corrected Register'!$A$5:$A$200,'Corrected Register'!$M$5:$M$200),0)))),IFERROR(XLOOKUP(D34,'Corrected Register'!$A$5:$A$200,'Corrected Register'!$N$5:$N$200),0))</f>
        <v/>
      </c>
      <c r="H34" s="7" t="inlineStr">
        <is>
          <t>Register edit checklist for MD-00050: proof TR-00050, new site operating site, retire Chicago - Closed, ticket EX-0030.</t>
        </is>
      </c>
      <c r="I34" s="7" t="inlineStr">
        <is>
          <t>IT Asset Specialist</t>
        </is>
      </c>
      <c r="J34" s="7" t="inlineStr">
        <is>
          <t>2026-08-19</t>
        </is>
      </c>
      <c r="K34" s="7" t="inlineStr">
        <is>
          <t>Open</t>
        </is>
      </c>
      <c r="L34" s="7" t="inlineStr">
        <is>
          <t>Inventory still advertises Chicago - Closed for MD-00050 even though inbound TR-00050 and live ops both say operating site. Remediate under EX-0030.</t>
        </is>
      </c>
      <c r="M34" s="7" t="inlineStr">
        <is>
          <t>Requires remediation</t>
        </is>
      </c>
    </row>
    <row r="35">
      <c r="A35" s="7" t="inlineStr">
        <is>
          <t>EX-0031</t>
        </is>
      </c>
      <c r="B35" s="7" t="inlineStr">
        <is>
          <t>Closed Location Assignment</t>
        </is>
      </c>
      <c r="C35" s="11" t="inlineStr">
        <is>
          <t>Medium</t>
        </is>
      </c>
      <c r="D35" s="7" t="inlineStr">
        <is>
          <t>MD-00051</t>
        </is>
      </c>
      <c r="E35" s="7" t="inlineStr">
        <is>
          <t>MD-MO-050051</t>
        </is>
      </c>
      <c r="F35" s="7" t="inlineStr">
        <is>
          <t>RegisterLocation:Denver - Closed; Transfer:TR-00051; VerifiedLocation:Denver</t>
        </is>
      </c>
      <c r="G35" s="7">
        <f>IF(B35="Inventory-to-Ledger Difference",IF(IFERROR(XLOOKUP(D35,'Source Ledger'!$B$5:$B$200,'Source Ledger'!$H$5:$H$200),"")="Disposed",IFERROR(XLOOKUP(D35,'Source Ledger'!$B$5:$B$200,'Source Ledger'!$G$5:$G$200),0),IF(IFERROR(XLOOKUP(D35,'Source Ledger'!$B$5:$B$200,'Source Ledger'!$E$5:$E$200),"")="",IFERROR(XLOOKUP(D35,'Corrected Register'!$A$5:$A$200,'Corrected Register'!$M$5:$M$200),0),ABS(IFERROR(XLOOKUP(D35,'Source Ledger'!$B$5:$B$200,'Source Ledger'!$E$5:$E$200),0)-IFERROR(XLOOKUP(D35,'Corrected Register'!$A$5:$A$200,'Corrected Register'!$M$5:$M$200),0)))),IFERROR(XLOOKUP(D35,'Corrected Register'!$A$5:$A$200,'Corrected Register'!$N$5:$N$200),0))</f>
        <v/>
      </c>
      <c r="H35" s="7" t="inlineStr">
        <is>
          <t>Replace obsolete Denver - Closed on MD-00051 with operating site operating site; then resolve EX-0031.</t>
        </is>
      </c>
      <c r="I35" s="7" t="inlineStr">
        <is>
          <t>IT Asset Specialist</t>
        </is>
      </c>
      <c r="J35" s="7" t="inlineStr">
        <is>
          <t>2026-08-19</t>
        </is>
      </c>
      <c r="K35" s="7" t="inlineStr">
        <is>
          <t>Open</t>
        </is>
      </c>
      <c r="L35" s="7" t="inlineStr">
        <is>
          <t>Ops confirmed operating site for MD-00051, but the register extract still prints Denver - Closed. Transfer TR-00051 is inbound-complete (EX-0031).</t>
        </is>
      </c>
      <c r="M35" s="7" t="inlineStr">
        <is>
          <t>Requires remediation</t>
        </is>
      </c>
    </row>
    <row r="36">
      <c r="A36" s="7" t="inlineStr">
        <is>
          <t>EX-0032</t>
        </is>
      </c>
      <c r="B36" s="7" t="inlineStr">
        <is>
          <t>Inventory-to-Ledger Difference</t>
        </is>
      </c>
      <c r="C36" s="10" t="inlineStr">
        <is>
          <t>High</t>
        </is>
      </c>
      <c r="D36" s="7" t="inlineStr">
        <is>
          <t>MD-00051</t>
        </is>
      </c>
      <c r="E36" s="7" t="inlineStr">
        <is>
          <t>MD-MO-050051</t>
        </is>
      </c>
      <c r="F36" s="7" t="inlineStr">
        <is>
          <t>Ledger:FA-000051; PO:PO-2023-0010; RegisterCost:1040.0; LedgerCost:1250.0</t>
        </is>
      </c>
      <c r="G36" s="7">
        <f>IF(B36="Inventory-to-Ledger Difference",IF(IFERROR(XLOOKUP(D36,'Source Ledger'!$B$5:$B$200,'Source Ledger'!$H$5:$H$200),"")="Disposed",IFERROR(XLOOKUP(D36,'Source Ledger'!$B$5:$B$200,'Source Ledger'!$G$5:$G$200),0),IF(IFERROR(XLOOKUP(D36,'Source Ledger'!$B$5:$B$200,'Source Ledger'!$E$5:$E$200),"")="",IFERROR(XLOOKUP(D36,'Corrected Register'!$A$5:$A$200,'Corrected Register'!$M$5:$M$200),0),ABS(IFERROR(XLOOKUP(D36,'Source Ledger'!$B$5:$B$200,'Source Ledger'!$E$5:$E$200),0)-IFERROR(XLOOKUP(D36,'Corrected Register'!$A$5:$A$200,'Corrected Register'!$M$5:$M$200),0)))),IFERROR(XLOOKUP(D36,'Corrected Register'!$A$5:$A$200,'Corrected Register'!$N$5:$N$200),0))</f>
        <v/>
      </c>
      <c r="H36" s="7" t="inlineStr">
        <is>
          <t>Align MD-00051 cost: register $1,040 vs ledger $1,250 (FA-000051) (EX-0032).</t>
        </is>
      </c>
      <c r="I36" s="7" t="inlineStr">
        <is>
          <t>Finance Controller</t>
        </is>
      </c>
      <c r="J36" s="7" t="inlineStr">
        <is>
          <t>2026-08-21</t>
        </is>
      </c>
      <c r="K36" s="7" t="inlineStr">
        <is>
          <t>Open</t>
        </is>
      </c>
      <c r="L36" s="7" t="inlineStr">
        <is>
          <t>PO-2023-0010 and FA-000051 disagree for MD-00051 ($1,040 vs $1,250) — EX-0032.</t>
        </is>
      </c>
      <c r="M36" s="7" t="inlineStr">
        <is>
          <t>Requires remediation</t>
        </is>
      </c>
    </row>
    <row r="37">
      <c r="A37" s="7" t="inlineStr">
        <is>
          <t>EX-0033</t>
        </is>
      </c>
      <c r="B37" s="7" t="inlineStr">
        <is>
          <t>Closed Location Assignment</t>
        </is>
      </c>
      <c r="C37" s="11" t="inlineStr">
        <is>
          <t>Medium</t>
        </is>
      </c>
      <c r="D37" s="7" t="inlineStr">
        <is>
          <t>MD-00052</t>
        </is>
      </c>
      <c r="E37" s="7" t="inlineStr">
        <is>
          <t>MD-NE-050052</t>
        </is>
      </c>
      <c r="F37" s="7" t="inlineStr">
        <is>
          <t>RegisterLocation:Chicago - Closed; Transfer:TR-00052; VerifiedLocation:New York</t>
        </is>
      </c>
      <c r="G37" s="7">
        <f>IF(B37="Inventory-to-Ledger Difference",IF(IFERROR(XLOOKUP(D37,'Source Ledger'!$B$5:$B$200,'Source Ledger'!$H$5:$H$200),"")="Disposed",IFERROR(XLOOKUP(D37,'Source Ledger'!$B$5:$B$200,'Source Ledger'!$G$5:$G$200),0),IF(IFERROR(XLOOKUP(D37,'Source Ledger'!$B$5:$B$200,'Source Ledger'!$E$5:$E$200),"")="",IFERROR(XLOOKUP(D37,'Corrected Register'!$A$5:$A$200,'Corrected Register'!$M$5:$M$200),0),ABS(IFERROR(XLOOKUP(D37,'Source Ledger'!$B$5:$B$200,'Source Ledger'!$E$5:$E$200),0)-IFERROR(XLOOKUP(D37,'Corrected Register'!$A$5:$A$200,'Corrected Register'!$M$5:$M$200),0)))),IFERROR(XLOOKUP(D37,'Corrected Register'!$A$5:$A$200,'Corrected Register'!$N$5:$N$200),0))</f>
        <v/>
      </c>
      <c r="H37" s="7" t="inlineStr">
        <is>
          <t>Hygiene SLA on EX-0033: MD-00052 location corrected to operating site this cycle.</t>
        </is>
      </c>
      <c r="I37" s="7" t="inlineStr">
        <is>
          <t>IT Asset Specialist</t>
        </is>
      </c>
      <c r="J37" s="7" t="inlineStr">
        <is>
          <t>2026-08-19</t>
        </is>
      </c>
      <c r="K37" s="7" t="inlineStr">
        <is>
          <t>Open</t>
        </is>
      </c>
      <c r="L37" s="7" t="inlineStr">
        <is>
          <t>Live ops for MD-00052 already shifted to operating site; extract hygiene still shows Chicago - Closed. Cite TR-00052; close via EX-0033.</t>
        </is>
      </c>
      <c r="M37" s="7" t="inlineStr">
        <is>
          <t>Requires remediation</t>
        </is>
      </c>
    </row>
    <row r="38">
      <c r="A38" s="7" t="inlineStr">
        <is>
          <t>EX-0034</t>
        </is>
      </c>
      <c r="B38" s="7" t="inlineStr">
        <is>
          <t>Closed Location Assignment</t>
        </is>
      </c>
      <c r="C38" s="11" t="inlineStr">
        <is>
          <t>Medium</t>
        </is>
      </c>
      <c r="D38" s="7" t="inlineStr">
        <is>
          <t>MD-00053</t>
        </is>
      </c>
      <c r="E38" s="7" t="inlineStr">
        <is>
          <t>MD-LA-050053</t>
        </is>
      </c>
      <c r="F38" s="7" t="inlineStr">
        <is>
          <t>RegisterLocation:Denver - Closed; Transfer:TR-00053; VerifiedLocation:Seattle</t>
        </is>
      </c>
      <c r="G38" s="7">
        <f>IF(B38="Inventory-to-Ledger Difference",IF(IFERROR(XLOOKUP(D38,'Source Ledger'!$B$5:$B$200,'Source Ledger'!$H$5:$H$200),"")="Disposed",IFERROR(XLOOKUP(D38,'Source Ledger'!$B$5:$B$200,'Source Ledger'!$G$5:$G$200),0),IF(IFERROR(XLOOKUP(D38,'Source Ledger'!$B$5:$B$200,'Source Ledger'!$E$5:$E$200),"")="",IFERROR(XLOOKUP(D38,'Corrected Register'!$A$5:$A$200,'Corrected Register'!$M$5:$M$200),0),ABS(IFERROR(XLOOKUP(D38,'Source Ledger'!$B$5:$B$200,'Source Ledger'!$E$5:$E$200),0)-IFERROR(XLOOKUP(D38,'Corrected Register'!$A$5:$A$200,'Corrected Register'!$M$5:$M$200),0)))),IFERROR(XLOOKUP(D38,'Corrected Register'!$A$5:$A$200,'Corrected Register'!$N$5:$N$200),0))</f>
        <v/>
      </c>
      <c r="H38" s="7" t="inlineStr">
        <is>
          <t>Publish verified location operating site for MD-00053; archive Denver - Closed; close EX-0034.</t>
        </is>
      </c>
      <c r="I38" s="7" t="inlineStr">
        <is>
          <t>IT Asset Specialist</t>
        </is>
      </c>
      <c r="J38" s="7" t="inlineStr">
        <is>
          <t>2026-08-19</t>
        </is>
      </c>
      <c r="K38" s="7" t="inlineStr">
        <is>
          <t>Open</t>
        </is>
      </c>
      <c r="L38" s="7" t="inlineStr">
        <is>
          <t>Update path for MD-00053: drop Denver - Closed, publish operating site, attach TR-00053, resolve EX-0034.</t>
        </is>
      </c>
      <c r="M38" s="7" t="inlineStr">
        <is>
          <t>Requires remediation</t>
        </is>
      </c>
    </row>
    <row r="39">
      <c r="A39" s="7" t="inlineStr">
        <is>
          <t>EX-0035</t>
        </is>
      </c>
      <c r="B39" s="7" t="inlineStr">
        <is>
          <t>Closed Location Assignment</t>
        </is>
      </c>
      <c r="C39" s="11" t="inlineStr">
        <is>
          <t>Medium</t>
        </is>
      </c>
      <c r="D39" s="7" t="inlineStr">
        <is>
          <t>MD-00054</t>
        </is>
      </c>
      <c r="E39" s="7" t="inlineStr">
        <is>
          <t>MD-MO-050054</t>
        </is>
      </c>
      <c r="F39" s="7" t="inlineStr">
        <is>
          <t>RegisterLocation:Chicago - Closed; Transfer:TR-00054; VerifiedLocation:Atlanta</t>
        </is>
      </c>
      <c r="G39" s="7">
        <f>IF(B39="Inventory-to-Ledger Difference",IF(IFERROR(XLOOKUP(D39,'Source Ledger'!$B$5:$B$200,'Source Ledger'!$H$5:$H$200),"")="Disposed",IFERROR(XLOOKUP(D39,'Source Ledger'!$B$5:$B$200,'Source Ledger'!$G$5:$G$200),0),IF(IFERROR(XLOOKUP(D39,'Source Ledger'!$B$5:$B$200,'Source Ledger'!$E$5:$E$200),"")="",IFERROR(XLOOKUP(D39,'Corrected Register'!$A$5:$A$200,'Corrected Register'!$M$5:$M$200),0),ABS(IFERROR(XLOOKUP(D39,'Source Ledger'!$B$5:$B$200,'Source Ledger'!$E$5:$E$200),0)-IFERROR(XLOOKUP(D39,'Corrected Register'!$A$5:$A$200,'Corrected Register'!$M$5:$M$200),0)))),IFERROR(XLOOKUP(D39,'Corrected Register'!$A$5:$A$200,'Corrected Register'!$N$5:$N$200),0))</f>
        <v/>
      </c>
      <c r="H39" s="7" t="inlineStr">
        <is>
          <t>IT Asset Specialist closes EX-0035 after saving operating site on MD-00054.</t>
        </is>
      </c>
      <c r="I39" s="7" t="inlineStr">
        <is>
          <t>IT Asset Specialist</t>
        </is>
      </c>
      <c r="J39" s="7" t="inlineStr">
        <is>
          <t>2026-08-19</t>
        </is>
      </c>
      <c r="K39" s="7" t="inlineStr">
        <is>
          <t>Open</t>
        </is>
      </c>
      <c r="L39" s="7" t="inlineStr">
        <is>
          <t>Register lag after site closure — MD-00054 still coded Chicago - Closed while operating site is active (TR-00054, EX-0035).</t>
        </is>
      </c>
      <c r="M39" s="7" t="inlineStr">
        <is>
          <t>Requires remediation</t>
        </is>
      </c>
    </row>
    <row r="40">
      <c r="A40" s="7" t="inlineStr">
        <is>
          <t>EX-0036</t>
        </is>
      </c>
      <c r="B40" s="7" t="inlineStr">
        <is>
          <t>Closed Location Assignment</t>
        </is>
      </c>
      <c r="C40" s="11" t="inlineStr">
        <is>
          <t>Medium</t>
        </is>
      </c>
      <c r="D40" s="7" t="inlineStr">
        <is>
          <t>MD-00055</t>
        </is>
      </c>
      <c r="E40" s="7" t="inlineStr">
        <is>
          <t>MD-MO-050055</t>
        </is>
      </c>
      <c r="F40" s="7" t="inlineStr">
        <is>
          <t>RegisterLocation:Denver - Closed; Transfer:TR-00055; VerifiedLocation:Chicago</t>
        </is>
      </c>
      <c r="G40" s="7">
        <f>IF(B40="Inventory-to-Ledger Difference",IF(IFERROR(XLOOKUP(D40,'Source Ledger'!$B$5:$B$200,'Source Ledger'!$H$5:$H$200),"")="Disposed",IFERROR(XLOOKUP(D40,'Source Ledger'!$B$5:$B$200,'Source Ledger'!$G$5:$G$200),0),IF(IFERROR(XLOOKUP(D40,'Source Ledger'!$B$5:$B$200,'Source Ledger'!$E$5:$E$200),"")="",IFERROR(XLOOKUP(D40,'Corrected Register'!$A$5:$A$200,'Corrected Register'!$M$5:$M$200),0),ABS(IFERROR(XLOOKUP(D40,'Source Ledger'!$B$5:$B$200,'Source Ledger'!$E$5:$E$200),0)-IFERROR(XLOOKUP(D40,'Corrected Register'!$A$5:$A$200,'Corrected Register'!$M$5:$M$200),0)))),IFERROR(XLOOKUP(D40,'Corrected Register'!$A$5:$A$200,'Corrected Register'!$N$5:$N$200),0))</f>
        <v/>
      </c>
      <c r="H40" s="7" t="inlineStr">
        <is>
          <t>Until MD-00055 shows operating site, leave EX-0036 open.</t>
        </is>
      </c>
      <c r="I40" s="7" t="inlineStr">
        <is>
          <t>IT Asset Specialist</t>
        </is>
      </c>
      <c r="J40" s="7" t="inlineStr">
        <is>
          <t>2026-08-19</t>
        </is>
      </c>
      <c r="K40" s="7" t="inlineStr">
        <is>
          <t>Open</t>
        </is>
      </c>
      <c r="L40" s="7" t="inlineStr">
        <is>
          <t>Clear the false closed-site signal on MD-00055. Correct value is operating site. Supporting transfer TR-00055. Case EX-0036.</t>
        </is>
      </c>
      <c r="M40" s="7" t="inlineStr">
        <is>
          <t>Requires remediation</t>
        </is>
      </c>
    </row>
    <row r="41">
      <c r="A41" s="7" t="inlineStr">
        <is>
          <t>EX-0037</t>
        </is>
      </c>
      <c r="B41" s="7" t="inlineStr">
        <is>
          <t>Closed Location Assignment</t>
        </is>
      </c>
      <c r="C41" s="11" t="inlineStr">
        <is>
          <t>Medium</t>
        </is>
      </c>
      <c r="D41" s="7" t="inlineStr">
        <is>
          <t>MD-00056</t>
        </is>
      </c>
      <c r="E41" s="7" t="inlineStr">
        <is>
          <t>MD-NE-050056</t>
        </is>
      </c>
      <c r="F41" s="7" t="inlineStr">
        <is>
          <t>RegisterLocation:Chicago - Closed; Transfer:TR-00056; VerifiedLocation:Dallas</t>
        </is>
      </c>
      <c r="G41" s="7">
        <f>IF(B41="Inventory-to-Ledger Difference",IF(IFERROR(XLOOKUP(D41,'Source Ledger'!$B$5:$B$200,'Source Ledger'!$H$5:$H$200),"")="Disposed",IFERROR(XLOOKUP(D41,'Source Ledger'!$B$5:$B$200,'Source Ledger'!$G$5:$G$200),0),IF(IFERROR(XLOOKUP(D41,'Source Ledger'!$B$5:$B$200,'Source Ledger'!$E$5:$E$200),"")="",IFERROR(XLOOKUP(D41,'Corrected Register'!$A$5:$A$200,'Corrected Register'!$M$5:$M$200),0),ABS(IFERROR(XLOOKUP(D41,'Source Ledger'!$B$5:$B$200,'Source Ledger'!$E$5:$E$200),0)-IFERROR(XLOOKUP(D41,'Corrected Register'!$A$5:$A$200,'Corrected Register'!$M$5:$M$200),0)))),IFERROR(XLOOKUP(D41,'Corrected Register'!$A$5:$A$200,'Corrected Register'!$N$5:$N$200),0))</f>
        <v/>
      </c>
      <c r="H41" s="7" t="inlineStr">
        <is>
          <t>Replace obsolete Chicago - Closed on MD-00056 with operating site operating site; then resolve EX-0037 [EX-0037a-1].</t>
        </is>
      </c>
      <c r="I41" s="7" t="inlineStr">
        <is>
          <t>IT Asset Specialist</t>
        </is>
      </c>
      <c r="J41" s="7" t="inlineStr">
        <is>
          <t>2026-08-19</t>
        </is>
      </c>
      <c r="K41" s="7" t="inlineStr">
        <is>
          <t>Open</t>
        </is>
      </c>
      <c r="L41" s="7" t="inlineStr">
        <is>
          <t>Ops confirmed operating site for MD-00056, but the register extract still prints Chicago - Closed. Transfer TR-00056 is inbound-complete (EX-0037) [EX-0037-1].</t>
        </is>
      </c>
      <c r="M41" s="7" t="inlineStr">
        <is>
          <t>Requires remediation</t>
        </is>
      </c>
    </row>
    <row r="42">
      <c r="A42" s="7" t="inlineStr">
        <is>
          <t>EX-0038</t>
        </is>
      </c>
      <c r="B42" s="7" t="inlineStr">
        <is>
          <t>Closed Location Assignment</t>
        </is>
      </c>
      <c r="C42" s="11" t="inlineStr">
        <is>
          <t>Medium</t>
        </is>
      </c>
      <c r="D42" s="7" t="inlineStr">
        <is>
          <t>MD-00057</t>
        </is>
      </c>
      <c r="E42" s="7" t="inlineStr">
        <is>
          <t>MD-LA-050057</t>
        </is>
      </c>
      <c r="F42" s="7" t="inlineStr">
        <is>
          <t>RegisterLocation:Denver - Closed; Transfer:TR-00057; VerifiedLocation:Denver</t>
        </is>
      </c>
      <c r="G42" s="7">
        <f>IF(B42="Inventory-to-Ledger Difference",IF(IFERROR(XLOOKUP(D42,'Source Ledger'!$B$5:$B$200,'Source Ledger'!$H$5:$H$200),"")="Disposed",IFERROR(XLOOKUP(D42,'Source Ledger'!$B$5:$B$200,'Source Ledger'!$G$5:$G$200),0),IF(IFERROR(XLOOKUP(D42,'Source Ledger'!$B$5:$B$200,'Source Ledger'!$E$5:$E$200),"")="",IFERROR(XLOOKUP(D42,'Corrected Register'!$A$5:$A$200,'Corrected Register'!$M$5:$M$200),0),ABS(IFERROR(XLOOKUP(D42,'Source Ledger'!$B$5:$B$200,'Source Ledger'!$E$5:$E$200),0)-IFERROR(XLOOKUP(D42,'Corrected Register'!$A$5:$A$200,'Corrected Register'!$M$5:$M$200),0)))),IFERROR(XLOOKUP(D42,'Corrected Register'!$A$5:$A$200,'Corrected Register'!$N$5:$N$200),0))</f>
        <v/>
      </c>
      <c r="H42" s="7" t="inlineStr">
        <is>
          <t>Complete EX-0038 only after confirming MD-00057 no longer displays Denver - Closed [EX-0038a-3].</t>
        </is>
      </c>
      <c r="I42" s="7" t="inlineStr">
        <is>
          <t>IT Asset Specialist</t>
        </is>
      </c>
      <c r="J42" s="7" t="inlineStr">
        <is>
          <t>2026-08-19</t>
        </is>
      </c>
      <c r="K42" s="7" t="inlineStr">
        <is>
          <t>Open</t>
        </is>
      </c>
      <c r="L42" s="7" t="inlineStr">
        <is>
          <t>When the office closed, MD-00057 should have flipped to operating site. It still shows Denver - Closed. TR-00057 proves the move (EX-0038) [EX-0038-1].</t>
        </is>
      </c>
      <c r="M42" s="7" t="inlineStr">
        <is>
          <t>Requires remediation</t>
        </is>
      </c>
    </row>
    <row r="43">
      <c r="A43" s="7" t="inlineStr">
        <is>
          <t>EX-0039</t>
        </is>
      </c>
      <c r="B43" s="7" t="inlineStr">
        <is>
          <t>Former Employee Assignment</t>
        </is>
      </c>
      <c r="C43" s="10" t="inlineStr">
        <is>
          <t>High</t>
        </is>
      </c>
      <c r="D43" s="7" t="inlineStr">
        <is>
          <t>MD-00058</t>
        </is>
      </c>
      <c r="E43" s="7" t="inlineStr">
        <is>
          <t>MD-MO-050058</t>
        </is>
      </c>
      <c r="F43" s="7" t="inlineStr">
        <is>
          <t>Employee:E0071; Ticket:OFF-00058; Transfer:TR-00058</t>
        </is>
      </c>
      <c r="G43" s="7">
        <f>IF(B43="Inventory-to-Ledger Difference",IF(IFERROR(XLOOKUP(D43,'Source Ledger'!$B$5:$B$200,'Source Ledger'!$H$5:$H$200),"")="Disposed",IFERROR(XLOOKUP(D43,'Source Ledger'!$B$5:$B$200,'Source Ledger'!$G$5:$G$200),0),IF(IFERROR(XLOOKUP(D43,'Source Ledger'!$B$5:$B$200,'Source Ledger'!$E$5:$E$200),"")="",IFERROR(XLOOKUP(D43,'Corrected Register'!$A$5:$A$200,'Corrected Register'!$M$5:$M$200),0),ABS(IFERROR(XLOOKUP(D43,'Source Ledger'!$B$5:$B$200,'Source Ledger'!$E$5:$E$200),0)-IFERROR(XLOOKUP(D43,'Corrected Register'!$A$5:$A$200,'Corrected Register'!$M$5:$M$200),0)))),IFERROR(XLOOKUP(D43,'Corrected Register'!$A$5:$A$200,'Corrected Register'!$N$5:$N$200),0))</f>
        <v/>
      </c>
      <c r="H43" s="7" t="inlineStr">
        <is>
          <t>HR Operations Lead: clear former-employee assignment on MD-00058 (Sean McCabe) (EX-0039).</t>
        </is>
      </c>
      <c r="I43" s="7" t="inlineStr">
        <is>
          <t>HR Operations Lead</t>
        </is>
      </c>
      <c r="J43" s="7" t="inlineStr">
        <is>
          <t>2026-08-16</t>
        </is>
      </c>
      <c r="K43" s="7" t="inlineStr">
        <is>
          <t>Open</t>
        </is>
      </c>
      <c r="L43" s="7" t="inlineStr">
        <is>
          <t>Offboarding left MD-00058 hanging on Sean McCabe (E0071); status Separated in hr_employee_status, ticket OFF-00058. EX-0039.</t>
        </is>
      </c>
      <c r="M43" s="7" t="inlineStr">
        <is>
          <t>Requires remediation</t>
        </is>
      </c>
    </row>
    <row r="44">
      <c r="A44" s="7" t="inlineStr">
        <is>
          <t>EX-0040</t>
        </is>
      </c>
      <c r="B44" s="7" t="inlineStr">
        <is>
          <t>Closed Location Assignment</t>
        </is>
      </c>
      <c r="C44" s="11" t="inlineStr">
        <is>
          <t>Medium</t>
        </is>
      </c>
      <c r="D44" s="7" t="inlineStr">
        <is>
          <t>MD-00058</t>
        </is>
      </c>
      <c r="E44" s="7" t="inlineStr">
        <is>
          <t>MD-MO-050058</t>
        </is>
      </c>
      <c r="F44" s="7" t="inlineStr">
        <is>
          <t>RegisterLocation:Chicago - Closed; Transfer:TR-00058; VerifiedLocation:New York</t>
        </is>
      </c>
      <c r="G44" s="7">
        <f>IF(B44="Inventory-to-Ledger Difference",IF(IFERROR(XLOOKUP(D44,'Source Ledger'!$B$5:$B$200,'Source Ledger'!$H$5:$H$200),"")="Disposed",IFERROR(XLOOKUP(D44,'Source Ledger'!$B$5:$B$200,'Source Ledger'!$G$5:$G$200),0),IF(IFERROR(XLOOKUP(D44,'Source Ledger'!$B$5:$B$200,'Source Ledger'!$E$5:$E$200),"")="",IFERROR(XLOOKUP(D44,'Corrected Register'!$A$5:$A$200,'Corrected Register'!$M$5:$M$200),0),ABS(IFERROR(XLOOKUP(D44,'Source Ledger'!$B$5:$B$200,'Source Ledger'!$E$5:$E$200),0)-IFERROR(XLOOKUP(D44,'Corrected Register'!$A$5:$A$200,'Corrected Register'!$M$5:$M$200),0)))),IFERROR(XLOOKUP(D44,'Corrected Register'!$A$5:$A$200,'Corrected Register'!$N$5:$N$200),0))</f>
        <v/>
      </c>
      <c r="H44" s="7" t="inlineStr">
        <is>
          <t>Location edit required: MD-00058 → operating site (remove Chicago - Closed). Owner: IT Asset Specialist. Ref EX-0040.</t>
        </is>
      </c>
      <c r="I44" s="7" t="inlineStr">
        <is>
          <t>IT Asset Specialist</t>
        </is>
      </c>
      <c r="J44" s="7" t="inlineStr">
        <is>
          <t>2026-08-19</t>
        </is>
      </c>
      <c r="K44" s="7" t="inlineStr">
        <is>
          <t>Open</t>
        </is>
      </c>
      <c r="L44" s="7" t="inlineStr">
        <is>
          <t>Facilities and HR both point MD-00058 to operating site; inventory printout still shows Chicago - Closed. TR-00058/EX-0040.</t>
        </is>
      </c>
      <c r="M44" s="7" t="inlineStr">
        <is>
          <t>Requires remediation</t>
        </is>
      </c>
    </row>
    <row r="45">
      <c r="A45" s="7" t="inlineStr">
        <is>
          <t>EX-0041</t>
        </is>
      </c>
      <c r="B45" s="7" t="inlineStr">
        <is>
          <t>Unapproved Transfer</t>
        </is>
      </c>
      <c r="C45" s="11" t="inlineStr">
        <is>
          <t>Medium</t>
        </is>
      </c>
      <c r="D45" s="7" t="inlineStr">
        <is>
          <t>MD-00058</t>
        </is>
      </c>
      <c r="E45" s="7" t="inlineStr">
        <is>
          <t>MD-MO-050058</t>
        </is>
      </c>
      <c r="F45" s="7" t="inlineStr">
        <is>
          <t>Transfer:TR-00058; Approval:missing</t>
        </is>
      </c>
      <c r="G45" s="7">
        <f>IF(B45="Inventory-to-Ledger Difference",IF(IFERROR(XLOOKUP(D45,'Source Ledger'!$B$5:$B$200,'Source Ledger'!$H$5:$H$200),"")="Disposed",IFERROR(XLOOKUP(D45,'Source Ledger'!$B$5:$B$200,'Source Ledger'!$G$5:$G$200),0),IF(IFERROR(XLOOKUP(D45,'Source Ledger'!$B$5:$B$200,'Source Ledger'!$E$5:$E$200),"")="",IFERROR(XLOOKUP(D45,'Corrected Register'!$A$5:$A$200,'Corrected Register'!$M$5:$M$200),0),ABS(IFERROR(XLOOKUP(D45,'Source Ledger'!$B$5:$B$200,'Source Ledger'!$E$5:$E$200),0)-IFERROR(XLOOKUP(D45,'Corrected Register'!$A$5:$A$200,'Corrected Register'!$M$5:$M$200),0)))),IFERROR(XLOOKUP(D45,'Corrected Register'!$A$5:$A$200,'Corrected Register'!$N$5:$N$200),0))</f>
        <v/>
      </c>
      <c r="H45" s="7" t="inlineStr">
        <is>
          <t>Obtain APR on TR-00058 or reverse the move for MD-00058 (EX-0041).</t>
        </is>
      </c>
      <c r="I45" s="7" t="inlineStr">
        <is>
          <t>IT Operations Manager</t>
        </is>
      </c>
      <c r="J45" s="7" t="inlineStr">
        <is>
          <t>2026-08-20</t>
        </is>
      </c>
      <c r="K45" s="7" t="inlineStr">
        <is>
          <t>Open</t>
        </is>
      </c>
      <c r="L45" s="7" t="inlineStr">
        <is>
          <t>TR-00058 for MD-00058 has a blank approval_id in equipment_transfer_log (ITAM-001 §4) — EX-0041.</t>
        </is>
      </c>
      <c r="M45" s="7" t="inlineStr">
        <is>
          <t>Requires remediation</t>
        </is>
      </c>
    </row>
    <row r="46">
      <c r="A46" s="7" t="inlineStr">
        <is>
          <t>EX-0042</t>
        </is>
      </c>
      <c r="B46" s="7" t="inlineStr">
        <is>
          <t>Former Employee Assignment</t>
        </is>
      </c>
      <c r="C46" s="10" t="inlineStr">
        <is>
          <t>High</t>
        </is>
      </c>
      <c r="D46" s="7" t="inlineStr">
        <is>
          <t>MD-00059</t>
        </is>
      </c>
      <c r="E46" s="7" t="inlineStr">
        <is>
          <t>MD-MO-050059</t>
        </is>
      </c>
      <c r="F46" s="7" t="inlineStr">
        <is>
          <t>Employee:E0072; Ticket:OFF-00059; Transfer:TR-00059</t>
        </is>
      </c>
      <c r="G46" s="7">
        <f>IF(B46="Inventory-to-Ledger Difference",IF(IFERROR(XLOOKUP(D46,'Source Ledger'!$B$5:$B$200,'Source Ledger'!$H$5:$H$200),"")="Disposed",IFERROR(XLOOKUP(D46,'Source Ledger'!$B$5:$B$200,'Source Ledger'!$G$5:$G$200),0),IF(IFERROR(XLOOKUP(D46,'Source Ledger'!$B$5:$B$200,'Source Ledger'!$E$5:$E$200),"")="",IFERROR(XLOOKUP(D46,'Corrected Register'!$A$5:$A$200,'Corrected Register'!$M$5:$M$200),0),ABS(IFERROR(XLOOKUP(D46,'Source Ledger'!$B$5:$B$200,'Source Ledger'!$E$5:$E$200),0)-IFERROR(XLOOKUP(D46,'Corrected Register'!$A$5:$A$200,'Corrected Register'!$M$5:$M$200),0)))),IFERROR(XLOOKUP(D46,'Corrected Register'!$A$5:$A$200,'Corrected Register'!$N$5:$N$200),0))</f>
        <v/>
      </c>
      <c r="H46" s="7" t="inlineStr">
        <is>
          <t>Reassign MD-00059 off separated Anita Bose to a stock/Regional IT bucket (EX-0042).</t>
        </is>
      </c>
      <c r="I46" s="7" t="inlineStr">
        <is>
          <t>HR Operations Lead</t>
        </is>
      </c>
      <c r="J46" s="7" t="inlineStr">
        <is>
          <t>2026-08-16</t>
        </is>
      </c>
      <c r="K46" s="7" t="inlineStr">
        <is>
          <t>Open</t>
        </is>
      </c>
      <c r="L46" s="7" t="inlineStr">
        <is>
          <t>Separated custodian Anita Bose (E0072) remains on MD-00059 after OFF-00059 closed. Clear under EX-0042.</t>
        </is>
      </c>
      <c r="M46" s="7" t="inlineStr">
        <is>
          <t>Requires remediation</t>
        </is>
      </c>
    </row>
    <row r="47">
      <c r="A47" s="7" t="inlineStr">
        <is>
          <t>EX-0043</t>
        </is>
      </c>
      <c r="B47" s="7" t="inlineStr">
        <is>
          <t>Closed Location Assignment</t>
        </is>
      </c>
      <c r="C47" s="11" t="inlineStr">
        <is>
          <t>Medium</t>
        </is>
      </c>
      <c r="D47" s="7" t="inlineStr">
        <is>
          <t>MD-00059</t>
        </is>
      </c>
      <c r="E47" s="7" t="inlineStr">
        <is>
          <t>MD-MO-050059</t>
        </is>
      </c>
      <c r="F47" s="7" t="inlineStr">
        <is>
          <t>RegisterLocation:Denver - Closed; Transfer:TR-00059; VerifiedLocation:Seattle</t>
        </is>
      </c>
      <c r="G47" s="7">
        <f>IF(B47="Inventory-to-Ledger Difference",IF(IFERROR(XLOOKUP(D47,'Source Ledger'!$B$5:$B$200,'Source Ledger'!$H$5:$H$200),"")="Disposed",IFERROR(XLOOKUP(D47,'Source Ledger'!$B$5:$B$200,'Source Ledger'!$G$5:$G$200),0),IF(IFERROR(XLOOKUP(D47,'Source Ledger'!$B$5:$B$200,'Source Ledger'!$E$5:$E$200),"")="",IFERROR(XLOOKUP(D47,'Corrected Register'!$A$5:$A$200,'Corrected Register'!$M$5:$M$200),0),ABS(IFERROR(XLOOKUP(D47,'Source Ledger'!$B$5:$B$200,'Source Ledger'!$E$5:$E$200),0)-IFERROR(XLOOKUP(D47,'Corrected Register'!$A$5:$A$200,'Corrected Register'!$M$5:$M$200),0)))),IFERROR(XLOOKUP(D47,'Corrected Register'!$A$5:$A$200,'Corrected Register'!$N$5:$N$200),0))</f>
        <v/>
      </c>
      <c r="H47" s="7" t="inlineStr">
        <is>
          <t>Park EX-0043 as register hygiene — rewrite MD-00059 site to operating site.</t>
        </is>
      </c>
      <c r="I47" s="7" t="inlineStr">
        <is>
          <t>IT Asset Specialist</t>
        </is>
      </c>
      <c r="J47" s="7" t="inlineStr">
        <is>
          <t>2026-08-19</t>
        </is>
      </c>
      <c r="K47" s="7" t="inlineStr">
        <is>
          <t>Open</t>
        </is>
      </c>
      <c r="L47" s="7" t="inlineStr">
        <is>
          <t>Register/location drift on MD-00059 after office shutdown — Denver - Closed vs operating site. Supporting move TR-00059; EX-0043.</t>
        </is>
      </c>
      <c r="M47" s="7" t="inlineStr">
        <is>
          <t>Requires remediation</t>
        </is>
      </c>
    </row>
    <row r="48">
      <c r="A48" s="7" t="inlineStr">
        <is>
          <t>EX-0044</t>
        </is>
      </c>
      <c r="B48" s="7" t="inlineStr">
        <is>
          <t>Unapproved Transfer</t>
        </is>
      </c>
      <c r="C48" s="11" t="inlineStr">
        <is>
          <t>Medium</t>
        </is>
      </c>
      <c r="D48" s="7" t="inlineStr">
        <is>
          <t>MD-00059</t>
        </is>
      </c>
      <c r="E48" s="7" t="inlineStr">
        <is>
          <t>MD-MO-050059</t>
        </is>
      </c>
      <c r="F48" s="7" t="inlineStr">
        <is>
          <t>Transfer:TR-00059; Approval:missing</t>
        </is>
      </c>
      <c r="G48" s="7">
        <f>IF(B48="Inventory-to-Ledger Difference",IF(IFERROR(XLOOKUP(D48,'Source Ledger'!$B$5:$B$200,'Source Ledger'!$H$5:$H$200),"")="Disposed",IFERROR(XLOOKUP(D48,'Source Ledger'!$B$5:$B$200,'Source Ledger'!$G$5:$G$200),0),IF(IFERROR(XLOOKUP(D48,'Source Ledger'!$B$5:$B$200,'Source Ledger'!$E$5:$E$200),"")="",IFERROR(XLOOKUP(D48,'Corrected Register'!$A$5:$A$200,'Corrected Register'!$M$5:$M$200),0),ABS(IFERROR(XLOOKUP(D48,'Source Ledger'!$B$5:$B$200,'Source Ledger'!$E$5:$E$200),0)-IFERROR(XLOOKUP(D48,'Corrected Register'!$A$5:$A$200,'Corrected Register'!$M$5:$M$200),0)))),IFERROR(XLOOKUP(D48,'Corrected Register'!$A$5:$A$200,'Corrected Register'!$N$5:$N$200),0))</f>
        <v/>
      </c>
      <c r="H48" s="7" t="inlineStr">
        <is>
          <t>Obtain APR on TR-00059 or reverse the move for MD-00059 (EX-0044).</t>
        </is>
      </c>
      <c r="I48" s="7" t="inlineStr">
        <is>
          <t>IT Operations Manager</t>
        </is>
      </c>
      <c r="J48" s="7" t="inlineStr">
        <is>
          <t>2026-08-20</t>
        </is>
      </c>
      <c r="K48" s="7" t="inlineStr">
        <is>
          <t>Open</t>
        </is>
      </c>
      <c r="L48" s="7" t="inlineStr">
        <is>
          <t>TR-00059 for MD-00059 has a blank approval_id in equipment_transfer_log (ITAM-001 §4) — EX-0044.</t>
        </is>
      </c>
      <c r="M48" s="7" t="inlineStr">
        <is>
          <t>Requires remediation</t>
        </is>
      </c>
    </row>
    <row r="49">
      <c r="A49" s="7" t="inlineStr">
        <is>
          <t>EX-0045</t>
        </is>
      </c>
      <c r="B49" s="7" t="inlineStr">
        <is>
          <t>Former Employee Assignment</t>
        </is>
      </c>
      <c r="C49" s="10" t="inlineStr">
        <is>
          <t>High</t>
        </is>
      </c>
      <c r="D49" s="7" t="inlineStr">
        <is>
          <t>MD-00060</t>
        </is>
      </c>
      <c r="E49" s="7" t="inlineStr">
        <is>
          <t>MD-NE-050060</t>
        </is>
      </c>
      <c r="F49" s="7" t="inlineStr">
        <is>
          <t>Employee:E0073; Ticket:OFF-00060; Transfer:TR-00060</t>
        </is>
      </c>
      <c r="G49" s="7">
        <f>IF(B49="Inventory-to-Ledger Difference",IF(IFERROR(XLOOKUP(D49,'Source Ledger'!$B$5:$B$200,'Source Ledger'!$H$5:$H$200),"")="Disposed",IFERROR(XLOOKUP(D49,'Source Ledger'!$B$5:$B$200,'Source Ledger'!$G$5:$G$200),0),IF(IFERROR(XLOOKUP(D49,'Source Ledger'!$B$5:$B$200,'Source Ledger'!$E$5:$E$200),"")="",IFERROR(XLOOKUP(D49,'Corrected Register'!$A$5:$A$200,'Corrected Register'!$M$5:$M$200),0),ABS(IFERROR(XLOOKUP(D49,'Source Ledger'!$B$5:$B$200,'Source Ledger'!$E$5:$E$200),0)-IFERROR(XLOOKUP(D49,'Corrected Register'!$A$5:$A$200,'Corrected Register'!$M$5:$M$200),0)))),IFERROR(XLOOKUP(D49,'Corrected Register'!$A$5:$A$200,'Corrected Register'!$N$5:$N$200),0))</f>
        <v/>
      </c>
      <c r="H49" s="7" t="inlineStr">
        <is>
          <t>Reassign MD-00060 off separated Drew Carmichael to a stock/Regional IT bucket (EX-0045).</t>
        </is>
      </c>
      <c r="I49" s="7" t="inlineStr">
        <is>
          <t>HR Operations Lead</t>
        </is>
      </c>
      <c r="J49" s="7" t="inlineStr">
        <is>
          <t>2026-08-16</t>
        </is>
      </c>
      <c r="K49" s="7" t="inlineStr">
        <is>
          <t>Open</t>
        </is>
      </c>
      <c r="L49" s="7" t="inlineStr">
        <is>
          <t>MD-00060 is still assigned to Drew Carmichael (E0073), whose hr_employee_status row is Separated; OFF-00060 closed with no custodian rewrite (EX-0045).</t>
        </is>
      </c>
      <c r="M49" s="7" t="inlineStr">
        <is>
          <t>Requires remediation</t>
        </is>
      </c>
    </row>
    <row r="50">
      <c r="A50" s="7" t="inlineStr">
        <is>
          <t>EX-0046</t>
        </is>
      </c>
      <c r="B50" s="7" t="inlineStr">
        <is>
          <t>Closed Location Assignment</t>
        </is>
      </c>
      <c r="C50" s="11" t="inlineStr">
        <is>
          <t>Medium</t>
        </is>
      </c>
      <c r="D50" s="7" t="inlineStr">
        <is>
          <t>MD-00060</t>
        </is>
      </c>
      <c r="E50" s="7" t="inlineStr">
        <is>
          <t>MD-NE-050060</t>
        </is>
      </c>
      <c r="F50" s="7" t="inlineStr">
        <is>
          <t>RegisterLocation:Chicago - Closed; Transfer:TR-00060; VerifiedLocation:Atlanta</t>
        </is>
      </c>
      <c r="G50" s="7">
        <f>IF(B50="Inventory-to-Ledger Difference",IF(IFERROR(XLOOKUP(D50,'Source Ledger'!$B$5:$B$200,'Source Ledger'!$H$5:$H$200),"")="Disposed",IFERROR(XLOOKUP(D50,'Source Ledger'!$B$5:$B$200,'Source Ledger'!$G$5:$G$200),0),IF(IFERROR(XLOOKUP(D50,'Source Ledger'!$B$5:$B$200,'Source Ledger'!$E$5:$E$200),"")="",IFERROR(XLOOKUP(D50,'Corrected Register'!$A$5:$A$200,'Corrected Register'!$M$5:$M$200),0),ABS(IFERROR(XLOOKUP(D50,'Source Ledger'!$B$5:$B$200,'Source Ledger'!$E$5:$E$200),0)-IFERROR(XLOOKUP(D50,'Corrected Register'!$A$5:$A$200,'Corrected Register'!$M$5:$M$200),0)))),IFERROR(XLOOKUP(D50,'Corrected Register'!$A$5:$A$200,'Corrected Register'!$N$5:$N$200),0))</f>
        <v/>
      </c>
      <c r="H50" s="7" t="inlineStr">
        <is>
          <t>Publish verified location operating site for MD-00060; archive Chicago - Closed; close EX-0046 [EX-0046a-1].</t>
        </is>
      </c>
      <c r="I50" s="7" t="inlineStr">
        <is>
          <t>IT Asset Specialist</t>
        </is>
      </c>
      <c r="J50" s="7" t="inlineStr">
        <is>
          <t>2026-08-19</t>
        </is>
      </c>
      <c r="K50" s="7" t="inlineStr">
        <is>
          <t>Open</t>
        </is>
      </c>
      <c r="L50" s="7" t="inlineStr">
        <is>
          <t>Update path for MD-00060: drop Chicago - Closed, publish operating site, attach TR-00060, resolve EX-0046 [EX-0046-1].</t>
        </is>
      </c>
      <c r="M50" s="7" t="inlineStr">
        <is>
          <t>Requires remediation</t>
        </is>
      </c>
    </row>
    <row r="51">
      <c r="A51" s="7" t="inlineStr">
        <is>
          <t>EX-0047</t>
        </is>
      </c>
      <c r="B51" s="7" t="inlineStr">
        <is>
          <t>Former Employee Assignment</t>
        </is>
      </c>
      <c r="C51" s="10" t="inlineStr">
        <is>
          <t>High</t>
        </is>
      </c>
      <c r="D51" s="7" t="inlineStr">
        <is>
          <t>MD-00061</t>
        </is>
      </c>
      <c r="E51" s="7" t="inlineStr">
        <is>
          <t>MD-LA-050061</t>
        </is>
      </c>
      <c r="F51" s="7" t="inlineStr">
        <is>
          <t>Employee:E0074; Ticket:OFF-00061; Transfer:TR-00061</t>
        </is>
      </c>
      <c r="G51" s="7">
        <f>IF(B51="Inventory-to-Ledger Difference",IF(IFERROR(XLOOKUP(D51,'Source Ledger'!$B$5:$B$200,'Source Ledger'!$H$5:$H$200),"")="Disposed",IFERROR(XLOOKUP(D51,'Source Ledger'!$B$5:$B$200,'Source Ledger'!$G$5:$G$200),0),IF(IFERROR(XLOOKUP(D51,'Source Ledger'!$B$5:$B$200,'Source Ledger'!$E$5:$E$200),"")="",IFERROR(XLOOKUP(D51,'Corrected Register'!$A$5:$A$200,'Corrected Register'!$M$5:$M$200),0),ABS(IFERROR(XLOOKUP(D51,'Source Ledger'!$B$5:$B$200,'Source Ledger'!$E$5:$E$200),0)-IFERROR(XLOOKUP(D51,'Corrected Register'!$A$5:$A$200,'Corrected Register'!$M$5:$M$200),0)))),IFERROR(XLOOKUP(D51,'Corrected Register'!$A$5:$A$200,'Corrected Register'!$N$5:$N$200),0))</f>
        <v/>
      </c>
      <c r="H51" s="7" t="inlineStr">
        <is>
          <t>HR Operations Lead: clear former-employee assignment on MD-00061 (Lila Novak) (EX-0047).</t>
        </is>
      </c>
      <c r="I51" s="7" t="inlineStr">
        <is>
          <t>HR Operations Lead</t>
        </is>
      </c>
      <c r="J51" s="7" t="inlineStr">
        <is>
          <t>2026-08-16</t>
        </is>
      </c>
      <c r="K51" s="7" t="inlineStr">
        <is>
          <t>Open</t>
        </is>
      </c>
      <c r="L51" s="7" t="inlineStr">
        <is>
          <t>MD-00061 is still assigned to Lila Novak (E0074), whose hr_employee_status row is Separated; OFF-00061 closed with no custodian rewrite (EX-0047).</t>
        </is>
      </c>
      <c r="M51" s="7" t="inlineStr">
        <is>
          <t>Requires remediation</t>
        </is>
      </c>
    </row>
    <row r="52">
      <c r="A52" s="7" t="inlineStr">
        <is>
          <t>EX-0048</t>
        </is>
      </c>
      <c r="B52" s="7" t="inlineStr">
        <is>
          <t>Closed Location Assignment</t>
        </is>
      </c>
      <c r="C52" s="11" t="inlineStr">
        <is>
          <t>Medium</t>
        </is>
      </c>
      <c r="D52" s="7" t="inlineStr">
        <is>
          <t>MD-00061</t>
        </is>
      </c>
      <c r="E52" s="7" t="inlineStr">
        <is>
          <t>MD-LA-050061</t>
        </is>
      </c>
      <c r="F52" s="7" t="inlineStr">
        <is>
          <t>RegisterLocation:Denver - Closed; Transfer:TR-00061; VerifiedLocation:Chicago</t>
        </is>
      </c>
      <c r="G52" s="7">
        <f>IF(B52="Inventory-to-Ledger Difference",IF(IFERROR(XLOOKUP(D52,'Source Ledger'!$B$5:$B$200,'Source Ledger'!$H$5:$H$200),"")="Disposed",IFERROR(XLOOKUP(D52,'Source Ledger'!$B$5:$B$200,'Source Ledger'!$G$5:$G$200),0),IF(IFERROR(XLOOKUP(D52,'Source Ledger'!$B$5:$B$200,'Source Ledger'!$E$5:$E$200),"")="",IFERROR(XLOOKUP(D52,'Corrected Register'!$A$5:$A$200,'Corrected Register'!$M$5:$M$200),0),ABS(IFERROR(XLOOKUP(D52,'Source Ledger'!$B$5:$B$200,'Source Ledger'!$E$5:$E$200),0)-IFERROR(XLOOKUP(D52,'Corrected Register'!$A$5:$A$200,'Corrected Register'!$M$5:$M$200),0)))),IFERROR(XLOOKUP(D52,'Corrected Register'!$A$5:$A$200,'Corrected Register'!$N$5:$N$200),0))</f>
        <v/>
      </c>
      <c r="H52" s="7" t="inlineStr">
        <is>
          <t>Do not certify MD-00061 while location still reads Denver - Closed; target operating site per TR-00061 (EX-0048).</t>
        </is>
      </c>
      <c r="I52" s="7" t="inlineStr">
        <is>
          <t>IT Asset Specialist</t>
        </is>
      </c>
      <c r="J52" s="7" t="inlineStr">
        <is>
          <t>2026-08-19</t>
        </is>
      </c>
      <c r="K52" s="7" t="inlineStr">
        <is>
          <t>Open</t>
        </is>
      </c>
      <c r="L52" s="7" t="inlineStr">
        <is>
          <t>Device MD-00061 stabilized in operating site; register never left Denver - Closed. Inbound proof TR-00061; ticket EX-0048.</t>
        </is>
      </c>
      <c r="M52" s="7" t="inlineStr">
        <is>
          <t>Requires remediation</t>
        </is>
      </c>
    </row>
    <row r="53">
      <c r="A53" s="7" t="inlineStr">
        <is>
          <t>EX-0049</t>
        </is>
      </c>
      <c r="B53" s="7" t="inlineStr">
        <is>
          <t>Former Employee Assignment</t>
        </is>
      </c>
      <c r="C53" s="10" t="inlineStr">
        <is>
          <t>High</t>
        </is>
      </c>
      <c r="D53" s="7" t="inlineStr">
        <is>
          <t>MD-00062</t>
        </is>
      </c>
      <c r="E53" s="7" t="inlineStr">
        <is>
          <t>MD-MO-050062</t>
        </is>
      </c>
      <c r="F53" s="7" t="inlineStr">
        <is>
          <t>Employee:E0075; Ticket:OFF-00062; Transfer:TR-00062</t>
        </is>
      </c>
      <c r="G53" s="7">
        <f>IF(B53="Inventory-to-Ledger Difference",IF(IFERROR(XLOOKUP(D53,'Source Ledger'!$B$5:$B$200,'Source Ledger'!$H$5:$H$200),"")="Disposed",IFERROR(XLOOKUP(D53,'Source Ledger'!$B$5:$B$200,'Source Ledger'!$G$5:$G$200),0),IF(IFERROR(XLOOKUP(D53,'Source Ledger'!$B$5:$B$200,'Source Ledger'!$E$5:$E$200),"")="",IFERROR(XLOOKUP(D53,'Corrected Register'!$A$5:$A$200,'Corrected Register'!$M$5:$M$200),0),ABS(IFERROR(XLOOKUP(D53,'Source Ledger'!$B$5:$B$200,'Source Ledger'!$E$5:$E$200),0)-IFERROR(XLOOKUP(D53,'Corrected Register'!$A$5:$A$200,'Corrected Register'!$M$5:$M$200),0)))),IFERROR(XLOOKUP(D53,'Corrected Register'!$A$5:$A$200,'Corrected Register'!$N$5:$N$200),0))</f>
        <v/>
      </c>
      <c r="H53" s="7" t="inlineStr">
        <is>
          <t>Remove Curtis Bennett from MD-00062; park under Regional IT or IT Stock (EX-0049).</t>
        </is>
      </c>
      <c r="I53" s="7" t="inlineStr">
        <is>
          <t>HR Operations Lead</t>
        </is>
      </c>
      <c r="J53" s="7" t="inlineStr">
        <is>
          <t>2026-08-16</t>
        </is>
      </c>
      <c r="K53" s="7" t="inlineStr">
        <is>
          <t>Open</t>
        </is>
      </c>
      <c r="L53" s="7" t="inlineStr">
        <is>
          <t>Separated custodian Curtis Bennett (E0075) remains on MD-00062 after OFF-00062 closed. Clear under EX-0049.</t>
        </is>
      </c>
      <c r="M53" s="7" t="inlineStr">
        <is>
          <t>Requires remediation</t>
        </is>
      </c>
    </row>
    <row r="54">
      <c r="A54" s="7" t="inlineStr">
        <is>
          <t>EX-0050</t>
        </is>
      </c>
      <c r="B54" s="7" t="inlineStr">
        <is>
          <t>Closed Location Assignment</t>
        </is>
      </c>
      <c r="C54" s="11" t="inlineStr">
        <is>
          <t>Medium</t>
        </is>
      </c>
      <c r="D54" s="7" t="inlineStr">
        <is>
          <t>MD-00062</t>
        </is>
      </c>
      <c r="E54" s="7" t="inlineStr">
        <is>
          <t>MD-MO-050062</t>
        </is>
      </c>
      <c r="F54" s="7" t="inlineStr">
        <is>
          <t>RegisterLocation:Chicago - Closed; Transfer:TR-00062; VerifiedLocation:Dallas</t>
        </is>
      </c>
      <c r="G54" s="7">
        <f>IF(B54="Inventory-to-Ledger Difference",IF(IFERROR(XLOOKUP(D54,'Source Ledger'!$B$5:$B$200,'Source Ledger'!$H$5:$H$200),"")="Disposed",IFERROR(XLOOKUP(D54,'Source Ledger'!$B$5:$B$200,'Source Ledger'!$G$5:$G$200),0),IF(IFERROR(XLOOKUP(D54,'Source Ledger'!$B$5:$B$200,'Source Ledger'!$E$5:$E$200),"")="",IFERROR(XLOOKUP(D54,'Corrected Register'!$A$5:$A$200,'Corrected Register'!$M$5:$M$200),0),ABS(IFERROR(XLOOKUP(D54,'Source Ledger'!$B$5:$B$200,'Source Ledger'!$E$5:$E$200),0)-IFERROR(XLOOKUP(D54,'Corrected Register'!$A$5:$A$200,'Corrected Register'!$M$5:$M$200),0)))),IFERROR(XLOOKUP(D54,'Corrected Register'!$A$5:$A$200,'Corrected Register'!$N$5:$N$200),0))</f>
        <v/>
      </c>
      <c r="H54" s="7" t="inlineStr">
        <is>
          <t>IT Asset Specialist confirms operating site on MD-00062 before marking EX-0050 done.</t>
        </is>
      </c>
      <c r="I54" s="7" t="inlineStr">
        <is>
          <t>IT Asset Specialist</t>
        </is>
      </c>
      <c r="J54" s="7" t="inlineStr">
        <is>
          <t>2026-08-19</t>
        </is>
      </c>
      <c r="K54" s="7" t="inlineStr">
        <is>
          <t>Open</t>
        </is>
      </c>
      <c r="L54" s="7" t="inlineStr">
        <is>
          <t>Mismatch class for MD-00062: closed label Chicago - Closed versus active site operating site. Transfer row TR-00062; exception EX-0050.</t>
        </is>
      </c>
      <c r="M54" s="7" t="inlineStr">
        <is>
          <t>Requires remediation</t>
        </is>
      </c>
    </row>
    <row r="55">
      <c r="A55" s="7" t="inlineStr">
        <is>
          <t>EX-0051</t>
        </is>
      </c>
      <c r="B55" s="7" t="inlineStr">
        <is>
          <t>Former Employee Assignment</t>
        </is>
      </c>
      <c r="C55" s="10" t="inlineStr">
        <is>
          <t>High</t>
        </is>
      </c>
      <c r="D55" s="7" t="inlineStr">
        <is>
          <t>MD-00063</t>
        </is>
      </c>
      <c r="E55" s="7" t="inlineStr">
        <is>
          <t>MD-MO-050063</t>
        </is>
      </c>
      <c r="F55" s="7" t="inlineStr">
        <is>
          <t>Employee:E0076; Ticket:OFF-00063; Transfer:TR-00063</t>
        </is>
      </c>
      <c r="G55" s="7">
        <f>IF(B55="Inventory-to-Ledger Difference",IF(IFERROR(XLOOKUP(D55,'Source Ledger'!$B$5:$B$200,'Source Ledger'!$H$5:$H$200),"")="Disposed",IFERROR(XLOOKUP(D55,'Source Ledger'!$B$5:$B$200,'Source Ledger'!$G$5:$G$200),0),IF(IFERROR(XLOOKUP(D55,'Source Ledger'!$B$5:$B$200,'Source Ledger'!$E$5:$E$200),"")="",IFERROR(XLOOKUP(D55,'Corrected Register'!$A$5:$A$200,'Corrected Register'!$M$5:$M$200),0),ABS(IFERROR(XLOOKUP(D55,'Source Ledger'!$B$5:$B$200,'Source Ledger'!$E$5:$E$200),0)-IFERROR(XLOOKUP(D55,'Corrected Register'!$A$5:$A$200,'Corrected Register'!$M$5:$M$200),0)))),IFERROR(XLOOKUP(D55,'Corrected Register'!$A$5:$A$200,'Corrected Register'!$N$5:$N$200),0))</f>
        <v/>
      </c>
      <c r="H55" s="7" t="inlineStr">
        <is>
          <t>Reassign MD-00063 off separated Pilar Santos to a stock/Regional IT bucket (EX-0051).</t>
        </is>
      </c>
      <c r="I55" s="7" t="inlineStr">
        <is>
          <t>HR Operations Lead</t>
        </is>
      </c>
      <c r="J55" s="7" t="inlineStr">
        <is>
          <t>2026-08-16</t>
        </is>
      </c>
      <c r="K55" s="7" t="inlineStr">
        <is>
          <t>Open</t>
        </is>
      </c>
      <c r="L55" s="7" t="inlineStr">
        <is>
          <t>HR shows Pilar Santos (E0076) terminated, yet the register still lists them on MD-00063 (OFF-00063) — EX-0051.</t>
        </is>
      </c>
      <c r="M55" s="7" t="inlineStr">
        <is>
          <t>Requires remediation</t>
        </is>
      </c>
    </row>
    <row r="56">
      <c r="A56" s="7" t="inlineStr">
        <is>
          <t>EX-0052</t>
        </is>
      </c>
      <c r="B56" s="7" t="inlineStr">
        <is>
          <t>Closed Location Assignment</t>
        </is>
      </c>
      <c r="C56" s="11" t="inlineStr">
        <is>
          <t>Medium</t>
        </is>
      </c>
      <c r="D56" s="7" t="inlineStr">
        <is>
          <t>MD-00063</t>
        </is>
      </c>
      <c r="E56" s="7" t="inlineStr">
        <is>
          <t>MD-MO-050063</t>
        </is>
      </c>
      <c r="F56" s="7" t="inlineStr">
        <is>
          <t>RegisterLocation:Denver - Closed; Transfer:TR-00063; VerifiedLocation:Denver</t>
        </is>
      </c>
      <c r="G56" s="7">
        <f>IF(B56="Inventory-to-Ledger Difference",IF(IFERROR(XLOOKUP(D56,'Source Ledger'!$B$5:$B$200,'Source Ledger'!$H$5:$H$200),"")="Disposed",IFERROR(XLOOKUP(D56,'Source Ledger'!$B$5:$B$200,'Source Ledger'!$G$5:$G$200),0),IF(IFERROR(XLOOKUP(D56,'Source Ledger'!$B$5:$B$200,'Source Ledger'!$E$5:$E$200),"")="",IFERROR(XLOOKUP(D56,'Corrected Register'!$A$5:$A$200,'Corrected Register'!$M$5:$M$200),0),ABS(IFERROR(XLOOKUP(D56,'Source Ledger'!$B$5:$B$200,'Source Ledger'!$E$5:$E$200),0)-IFERROR(XLOOKUP(D56,'Corrected Register'!$A$5:$A$200,'Corrected Register'!$M$5:$M$200),0)))),IFERROR(XLOOKUP(D56,'Corrected Register'!$A$5:$A$200,'Corrected Register'!$N$5:$N$200),0))</f>
        <v/>
      </c>
      <c r="H56" s="7" t="inlineStr">
        <is>
          <t>Close the loop on EX-0052 by publishing operating site for MD-00063 and archiving Denver - Closed [EX-0052a-4].</t>
        </is>
      </c>
      <c r="I56" s="7" t="inlineStr">
        <is>
          <t>IT Asset Specialist</t>
        </is>
      </c>
      <c r="J56" s="7" t="inlineStr">
        <is>
          <t>2026-08-19</t>
        </is>
      </c>
      <c r="K56" s="7" t="inlineStr">
        <is>
          <t>Open</t>
        </is>
      </c>
      <c r="L56" s="7" t="inlineStr">
        <is>
          <t>Cutover miss for MD-00063: Denver - Closed stayed on the register while operating site became operating site. TR-00063 is the inbound proof (EX-0052).</t>
        </is>
      </c>
      <c r="M56" s="7" t="inlineStr">
        <is>
          <t>Requires remediation</t>
        </is>
      </c>
    </row>
    <row r="57">
      <c r="A57" s="7" t="inlineStr">
        <is>
          <t>EX-0053</t>
        </is>
      </c>
      <c r="B57" s="7" t="inlineStr">
        <is>
          <t>Former Employee Assignment</t>
        </is>
      </c>
      <c r="C57" s="10" t="inlineStr">
        <is>
          <t>High</t>
        </is>
      </c>
      <c r="D57" s="7" t="inlineStr">
        <is>
          <t>MD-00064</t>
        </is>
      </c>
      <c r="E57" s="7" t="inlineStr">
        <is>
          <t>MD-NE-050064</t>
        </is>
      </c>
      <c r="F57" s="7" t="inlineStr">
        <is>
          <t>Employee:E0077; Ticket:OFF-00064; Transfer:TR-00064</t>
        </is>
      </c>
      <c r="G57" s="7">
        <f>IF(B57="Inventory-to-Ledger Difference",IF(IFERROR(XLOOKUP(D57,'Source Ledger'!$B$5:$B$200,'Source Ledger'!$H$5:$H$200),"")="Disposed",IFERROR(XLOOKUP(D57,'Source Ledger'!$B$5:$B$200,'Source Ledger'!$G$5:$G$200),0),IF(IFERROR(XLOOKUP(D57,'Source Ledger'!$B$5:$B$200,'Source Ledger'!$E$5:$E$200),"")="",IFERROR(XLOOKUP(D57,'Corrected Register'!$A$5:$A$200,'Corrected Register'!$M$5:$M$200),0),ABS(IFERROR(XLOOKUP(D57,'Source Ledger'!$B$5:$B$200,'Source Ledger'!$E$5:$E$200),0)-IFERROR(XLOOKUP(D57,'Corrected Register'!$A$5:$A$200,'Corrected Register'!$M$5:$M$200),0)))),IFERROR(XLOOKUP(D57,'Corrected Register'!$A$5:$A$200,'Corrected Register'!$N$5:$N$200),0))</f>
        <v/>
      </c>
      <c r="H57" s="7" t="inlineStr">
        <is>
          <t>HR Operations Lead: clear former-employee assignment on MD-00064 (Jonah Freedman) (EX-0053).</t>
        </is>
      </c>
      <c r="I57" s="7" t="inlineStr">
        <is>
          <t>HR Operations Lead</t>
        </is>
      </c>
      <c r="J57" s="7" t="inlineStr">
        <is>
          <t>2026-08-16</t>
        </is>
      </c>
      <c r="K57" s="7" t="inlineStr">
        <is>
          <t>Open</t>
        </is>
      </c>
      <c r="L57" s="7" t="inlineStr">
        <is>
          <t>HR shows Jonah Freedman (E0077) terminated, yet the register still lists them on MD-00064 (OFF-00064) — EX-0053.</t>
        </is>
      </c>
      <c r="M57" s="7" t="inlineStr">
        <is>
          <t>Requires remediation</t>
        </is>
      </c>
    </row>
    <row r="58">
      <c r="A58" s="7" t="inlineStr">
        <is>
          <t>EX-0054</t>
        </is>
      </c>
      <c r="B58" s="7" t="inlineStr">
        <is>
          <t>Closed Location Assignment</t>
        </is>
      </c>
      <c r="C58" s="11" t="inlineStr">
        <is>
          <t>Medium</t>
        </is>
      </c>
      <c r="D58" s="7" t="inlineStr">
        <is>
          <t>MD-00064</t>
        </is>
      </c>
      <c r="E58" s="7" t="inlineStr">
        <is>
          <t>MD-NE-050064</t>
        </is>
      </c>
      <c r="F58" s="7" t="inlineStr">
        <is>
          <t>RegisterLocation:Chicago - Closed; Transfer:TR-00064; VerifiedLocation:New York</t>
        </is>
      </c>
      <c r="G58" s="7">
        <f>IF(B58="Inventory-to-Ledger Difference",IF(IFERROR(XLOOKUP(D58,'Source Ledger'!$B$5:$B$200,'Source Ledger'!$H$5:$H$200),"")="Disposed",IFERROR(XLOOKUP(D58,'Source Ledger'!$B$5:$B$200,'Source Ledger'!$G$5:$G$200),0),IF(IFERROR(XLOOKUP(D58,'Source Ledger'!$B$5:$B$200,'Source Ledger'!$E$5:$E$200),"")="",IFERROR(XLOOKUP(D58,'Corrected Register'!$A$5:$A$200,'Corrected Register'!$M$5:$M$200),0),ABS(IFERROR(XLOOKUP(D58,'Source Ledger'!$B$5:$B$200,'Source Ledger'!$E$5:$E$200),0)-IFERROR(XLOOKUP(D58,'Corrected Register'!$A$5:$A$200,'Corrected Register'!$M$5:$M$200),0)))),IFERROR(XLOOKUP(D58,'Corrected Register'!$A$5:$A$200,'Corrected Register'!$N$5:$N$200),0))</f>
        <v/>
      </c>
      <c r="H58" s="7" t="inlineStr">
        <is>
          <t>Required edit before next extract: MD-00064 location = operating site (not Chicago - Closed). Owner IT Asset Specialist. EX-0054.</t>
        </is>
      </c>
      <c r="I58" s="7" t="inlineStr">
        <is>
          <t>IT Asset Specialist</t>
        </is>
      </c>
      <c r="J58" s="7" t="inlineStr">
        <is>
          <t>2026-08-19</t>
        </is>
      </c>
      <c r="K58" s="7" t="inlineStr">
        <is>
          <t>Open</t>
        </is>
      </c>
      <c r="L58" s="7" t="inlineStr">
        <is>
          <t>EX-0054 — MD-00064 carries retired site string (Chicago - Closed). Destination on TR-00064 is operating site, matching the working location.</t>
        </is>
      </c>
      <c r="M58" s="7" t="inlineStr">
        <is>
          <t>Requires remediation</t>
        </is>
      </c>
    </row>
    <row r="59">
      <c r="A59" s="7" t="inlineStr">
        <is>
          <t>EX-0055</t>
        </is>
      </c>
      <c r="B59" s="7" t="inlineStr">
        <is>
          <t>Unapproved Transfer</t>
        </is>
      </c>
      <c r="C59" s="11" t="inlineStr">
        <is>
          <t>Medium</t>
        </is>
      </c>
      <c r="D59" s="7" t="inlineStr">
        <is>
          <t>MD-00064</t>
        </is>
      </c>
      <c r="E59" s="7" t="inlineStr">
        <is>
          <t>MD-NE-050064</t>
        </is>
      </c>
      <c r="F59" s="7" t="inlineStr">
        <is>
          <t>Transfer:TR-00064; Approval:missing</t>
        </is>
      </c>
      <c r="G59" s="7">
        <f>IF(B59="Inventory-to-Ledger Difference",IF(IFERROR(XLOOKUP(D59,'Source Ledger'!$B$5:$B$200,'Source Ledger'!$H$5:$H$200),"")="Disposed",IFERROR(XLOOKUP(D59,'Source Ledger'!$B$5:$B$200,'Source Ledger'!$G$5:$G$200),0),IF(IFERROR(XLOOKUP(D59,'Source Ledger'!$B$5:$B$200,'Source Ledger'!$E$5:$E$200),"")="",IFERROR(XLOOKUP(D59,'Corrected Register'!$A$5:$A$200,'Corrected Register'!$M$5:$M$200),0),ABS(IFERROR(XLOOKUP(D59,'Source Ledger'!$B$5:$B$200,'Source Ledger'!$E$5:$E$200),0)-IFERROR(XLOOKUP(D59,'Corrected Register'!$A$5:$A$200,'Corrected Register'!$M$5:$M$200),0)))),IFERROR(XLOOKUP(D59,'Corrected Register'!$A$5:$A$200,'Corrected Register'!$N$5:$N$200),0))</f>
        <v/>
      </c>
      <c r="H59" s="7" t="inlineStr">
        <is>
          <t>Obtain APR on TR-00064 or reverse the move for MD-00064 (EX-0055).</t>
        </is>
      </c>
      <c r="I59" s="7" t="inlineStr">
        <is>
          <t>IT Operations Manager</t>
        </is>
      </c>
      <c r="J59" s="7" t="inlineStr">
        <is>
          <t>2026-08-20</t>
        </is>
      </c>
      <c r="K59" s="7" t="inlineStr">
        <is>
          <t>Open</t>
        </is>
      </c>
      <c r="L59" s="7" t="inlineStr">
        <is>
          <t>TR-00064 for MD-00064 has a blank approval_id in equipment_transfer_log (ITAM-001 §4) — EX-0055.</t>
        </is>
      </c>
      <c r="M59" s="7" t="inlineStr">
        <is>
          <t>Requires remediation</t>
        </is>
      </c>
    </row>
    <row r="60">
      <c r="A60" s="7" t="inlineStr">
        <is>
          <t>EX-0056</t>
        </is>
      </c>
      <c r="B60" s="7" t="inlineStr">
        <is>
          <t>Former Employee Assignment</t>
        </is>
      </c>
      <c r="C60" s="10" t="inlineStr">
        <is>
          <t>High</t>
        </is>
      </c>
      <c r="D60" s="7" t="inlineStr">
        <is>
          <t>MD-00065</t>
        </is>
      </c>
      <c r="E60" s="7" t="inlineStr">
        <is>
          <t>MD-LA-050065</t>
        </is>
      </c>
      <c r="F60" s="7" t="inlineStr">
        <is>
          <t>Employee:E0078; Ticket:OFF-00065; Transfer:TR-00065</t>
        </is>
      </c>
      <c r="G60" s="7">
        <f>IF(B60="Inventory-to-Ledger Difference",IF(IFERROR(XLOOKUP(D60,'Source Ledger'!$B$5:$B$200,'Source Ledger'!$H$5:$H$200),"")="Disposed",IFERROR(XLOOKUP(D60,'Source Ledger'!$B$5:$B$200,'Source Ledger'!$G$5:$G$200),0),IF(IFERROR(XLOOKUP(D60,'Source Ledger'!$B$5:$B$200,'Source Ledger'!$E$5:$E$200),"")="",IFERROR(XLOOKUP(D60,'Corrected Register'!$A$5:$A$200,'Corrected Register'!$M$5:$M$200),0),ABS(IFERROR(XLOOKUP(D60,'Source Ledger'!$B$5:$B$200,'Source Ledger'!$E$5:$E$200),0)-IFERROR(XLOOKUP(D60,'Corrected Register'!$A$5:$A$200,'Corrected Register'!$M$5:$M$200),0)))),IFERROR(XLOOKUP(D60,'Corrected Register'!$A$5:$A$200,'Corrected Register'!$N$5:$N$200),0))</f>
        <v/>
      </c>
      <c r="H60" s="7" t="inlineStr">
        <is>
          <t>Remove Regina Lowe from MD-00065; park under Regional IT or IT Stock (EX-0056).</t>
        </is>
      </c>
      <c r="I60" s="7" t="inlineStr">
        <is>
          <t>HR Operations Lead</t>
        </is>
      </c>
      <c r="J60" s="7" t="inlineStr">
        <is>
          <t>2026-08-16</t>
        </is>
      </c>
      <c r="K60" s="7" t="inlineStr">
        <is>
          <t>Open</t>
        </is>
      </c>
      <c r="L60" s="7" t="inlineStr">
        <is>
          <t>MD-00065 is still assigned to Regina Lowe (E0078), whose hr_employee_status row is Separated; OFF-00065 closed with no custodian rewrite (EX-0056).</t>
        </is>
      </c>
      <c r="M60" s="7" t="inlineStr">
        <is>
          <t>Requires remediation</t>
        </is>
      </c>
    </row>
    <row r="61">
      <c r="A61" s="7" t="inlineStr">
        <is>
          <t>EX-0057</t>
        </is>
      </c>
      <c r="B61" s="7" t="inlineStr">
        <is>
          <t>Closed Location Assignment</t>
        </is>
      </c>
      <c r="C61" s="11" t="inlineStr">
        <is>
          <t>Medium</t>
        </is>
      </c>
      <c r="D61" s="7" t="inlineStr">
        <is>
          <t>MD-00065</t>
        </is>
      </c>
      <c r="E61" s="7" t="inlineStr">
        <is>
          <t>MD-LA-050065</t>
        </is>
      </c>
      <c r="F61" s="7" t="inlineStr">
        <is>
          <t>RegisterLocation:Denver - Closed; Transfer:TR-00065; VerifiedLocation:Seattle</t>
        </is>
      </c>
      <c r="G61" s="7">
        <f>IF(B61="Inventory-to-Ledger Difference",IF(IFERROR(XLOOKUP(D61,'Source Ledger'!$B$5:$B$200,'Source Ledger'!$H$5:$H$200),"")="Disposed",IFERROR(XLOOKUP(D61,'Source Ledger'!$B$5:$B$200,'Source Ledger'!$G$5:$G$200),0),IF(IFERROR(XLOOKUP(D61,'Source Ledger'!$B$5:$B$200,'Source Ledger'!$E$5:$E$200),"")="",IFERROR(XLOOKUP(D61,'Corrected Register'!$A$5:$A$200,'Corrected Register'!$M$5:$M$200),0),ABS(IFERROR(XLOOKUP(D61,'Source Ledger'!$B$5:$B$200,'Source Ledger'!$E$5:$E$200),0)-IFERROR(XLOOKUP(D61,'Corrected Register'!$A$5:$A$200,'Corrected Register'!$M$5:$M$200),0)))),IFERROR(XLOOKUP(D61,'Corrected Register'!$A$5:$A$200,'Corrected Register'!$N$5:$N$200),0))</f>
        <v/>
      </c>
      <c r="H61" s="7" t="inlineStr">
        <is>
          <t>Do not reassign custodian for EX-0057; only fix location on MD-00065 to operating site.</t>
        </is>
      </c>
      <c r="I61" s="7" t="inlineStr">
        <is>
          <t>IT Asset Specialist</t>
        </is>
      </c>
      <c r="J61" s="7" t="inlineStr">
        <is>
          <t>2026-08-19</t>
        </is>
      </c>
      <c r="K61" s="7" t="inlineStr">
        <is>
          <t>Open</t>
        </is>
      </c>
      <c r="L61" s="7" t="inlineStr">
        <is>
          <t>operating site is the live footprint for MD-00065. Register value Denver - Closed is pre-cutover debt under EX-0057 (TR-00065).</t>
        </is>
      </c>
      <c r="M61" s="7" t="inlineStr">
        <is>
          <t>Requires remediation</t>
        </is>
      </c>
    </row>
    <row r="62">
      <c r="A62" s="7" t="inlineStr">
        <is>
          <t>EX-0058</t>
        </is>
      </c>
      <c r="B62" s="7" t="inlineStr">
        <is>
          <t>Unapproved Transfer</t>
        </is>
      </c>
      <c r="C62" s="11" t="inlineStr">
        <is>
          <t>Medium</t>
        </is>
      </c>
      <c r="D62" s="7" t="inlineStr">
        <is>
          <t>MD-00065</t>
        </is>
      </c>
      <c r="E62" s="7" t="inlineStr">
        <is>
          <t>MD-LA-050065</t>
        </is>
      </c>
      <c r="F62" s="7" t="inlineStr">
        <is>
          <t>Transfer:TR-00065; Approval:missing</t>
        </is>
      </c>
      <c r="G62" s="7">
        <f>IF(B62="Inventory-to-Ledger Difference",IF(IFERROR(XLOOKUP(D62,'Source Ledger'!$B$5:$B$200,'Source Ledger'!$H$5:$H$200),"")="Disposed",IFERROR(XLOOKUP(D62,'Source Ledger'!$B$5:$B$200,'Source Ledger'!$G$5:$G$200),0),IF(IFERROR(XLOOKUP(D62,'Source Ledger'!$B$5:$B$200,'Source Ledger'!$E$5:$E$200),"")="",IFERROR(XLOOKUP(D62,'Corrected Register'!$A$5:$A$200,'Corrected Register'!$M$5:$M$200),0),ABS(IFERROR(XLOOKUP(D62,'Source Ledger'!$B$5:$B$200,'Source Ledger'!$E$5:$E$200),0)-IFERROR(XLOOKUP(D62,'Corrected Register'!$A$5:$A$200,'Corrected Register'!$M$5:$M$200),0)))),IFERROR(XLOOKUP(D62,'Corrected Register'!$A$5:$A$200,'Corrected Register'!$N$5:$N$200),0))</f>
        <v/>
      </c>
      <c r="H62" s="7" t="inlineStr">
        <is>
          <t>Obtain APR on TR-00065 or reverse the move for MD-00065 (EX-0058).</t>
        </is>
      </c>
      <c r="I62" s="7" t="inlineStr">
        <is>
          <t>IT Operations Manager</t>
        </is>
      </c>
      <c r="J62" s="7" t="inlineStr">
        <is>
          <t>2026-08-20</t>
        </is>
      </c>
      <c r="K62" s="7" t="inlineStr">
        <is>
          <t>Open</t>
        </is>
      </c>
      <c r="L62" s="7" t="inlineStr">
        <is>
          <t>TR-00065 for MD-00065 has a blank approval_id in equipment_transfer_log (ITAM-001 §4) — EX-0058.</t>
        </is>
      </c>
      <c r="M62" s="7" t="inlineStr">
        <is>
          <t>Requires remediation</t>
        </is>
      </c>
    </row>
    <row r="63">
      <c r="A63" s="7" t="inlineStr">
        <is>
          <t>EX-0059</t>
        </is>
      </c>
      <c r="B63" s="7" t="inlineStr">
        <is>
          <t>Former Employee Assignment</t>
        </is>
      </c>
      <c r="C63" s="10" t="inlineStr">
        <is>
          <t>High</t>
        </is>
      </c>
      <c r="D63" s="7" t="inlineStr">
        <is>
          <t>MD-00066</t>
        </is>
      </c>
      <c r="E63" s="7" t="inlineStr">
        <is>
          <t>MD-MO-050066</t>
        </is>
      </c>
      <c r="F63" s="7" t="inlineStr">
        <is>
          <t>Employee:E0079; Ticket:OFF-00066; Transfer:TR-00066</t>
        </is>
      </c>
      <c r="G63" s="7">
        <f>IF(B63="Inventory-to-Ledger Difference",IF(IFERROR(XLOOKUP(D63,'Source Ledger'!$B$5:$B$200,'Source Ledger'!$H$5:$H$200),"")="Disposed",IFERROR(XLOOKUP(D63,'Source Ledger'!$B$5:$B$200,'Source Ledger'!$G$5:$G$200),0),IF(IFERROR(XLOOKUP(D63,'Source Ledger'!$B$5:$B$200,'Source Ledger'!$E$5:$E$200),"")="",IFERROR(XLOOKUP(D63,'Corrected Register'!$A$5:$A$200,'Corrected Register'!$M$5:$M$200),0),ABS(IFERROR(XLOOKUP(D63,'Source Ledger'!$B$5:$B$200,'Source Ledger'!$E$5:$E$200),0)-IFERROR(XLOOKUP(D63,'Corrected Register'!$A$5:$A$200,'Corrected Register'!$M$5:$M$200),0)))),IFERROR(XLOOKUP(D63,'Corrected Register'!$A$5:$A$200,'Corrected Register'!$N$5:$N$200),0))</f>
        <v/>
      </c>
      <c r="H63" s="7" t="inlineStr">
        <is>
          <t>Reassign MD-00066 off separated Wes Carvalho to a stock/Regional IT bucket (EX-0059).</t>
        </is>
      </c>
      <c r="I63" s="7" t="inlineStr">
        <is>
          <t>HR Operations Lead</t>
        </is>
      </c>
      <c r="J63" s="7" t="inlineStr">
        <is>
          <t>2026-08-16</t>
        </is>
      </c>
      <c r="K63" s="7" t="inlineStr">
        <is>
          <t>Open</t>
        </is>
      </c>
      <c r="L63" s="7" t="inlineStr">
        <is>
          <t>HR shows Wes Carvalho (E0079) terminated, yet the register still lists them on MD-00066 (OFF-00066) — EX-0059.</t>
        </is>
      </c>
      <c r="M63" s="7" t="inlineStr">
        <is>
          <t>Requires remediation</t>
        </is>
      </c>
    </row>
    <row r="64">
      <c r="A64" s="7" t="inlineStr">
        <is>
          <t>EX-0060</t>
        </is>
      </c>
      <c r="B64" s="7" t="inlineStr">
        <is>
          <t>Closed Location Assignment</t>
        </is>
      </c>
      <c r="C64" s="11" t="inlineStr">
        <is>
          <t>Medium</t>
        </is>
      </c>
      <c r="D64" s="7" t="inlineStr">
        <is>
          <t>MD-00066</t>
        </is>
      </c>
      <c r="E64" s="7" t="inlineStr">
        <is>
          <t>MD-MO-050066</t>
        </is>
      </c>
      <c r="F64" s="7" t="inlineStr">
        <is>
          <t>RegisterLocation:Chicago - Closed; Transfer:TR-00066; VerifiedLocation:Atlanta</t>
        </is>
      </c>
      <c r="G64" s="7">
        <f>IF(B64="Inventory-to-Ledger Difference",IF(IFERROR(XLOOKUP(D64,'Source Ledger'!$B$5:$B$200,'Source Ledger'!$H$5:$H$200),"")="Disposed",IFERROR(XLOOKUP(D64,'Source Ledger'!$B$5:$B$200,'Source Ledger'!$G$5:$G$200),0),IF(IFERROR(XLOOKUP(D64,'Source Ledger'!$B$5:$B$200,'Source Ledger'!$E$5:$E$200),"")="",IFERROR(XLOOKUP(D64,'Corrected Register'!$A$5:$A$200,'Corrected Register'!$M$5:$M$200),0),ABS(IFERROR(XLOOKUP(D64,'Source Ledger'!$B$5:$B$200,'Source Ledger'!$E$5:$E$200),0)-IFERROR(XLOOKUP(D64,'Corrected Register'!$A$5:$A$200,'Corrected Register'!$M$5:$M$200),0)))),IFERROR(XLOOKUP(D64,'Corrected Register'!$A$5:$A$200,'Corrected Register'!$N$5:$N$200),0))</f>
        <v/>
      </c>
      <c r="H64" s="7" t="inlineStr">
        <is>
          <t>Assign IT Asset Specialist to correct MD-00066 location to operating site; Chicago - Closed is obsolete after TR-00066 (EX-0060).</t>
        </is>
      </c>
      <c r="I64" s="7" t="inlineStr">
        <is>
          <t>IT Asset Specialist</t>
        </is>
      </c>
      <c r="J64" s="7" t="inlineStr">
        <is>
          <t>2026-08-19</t>
        </is>
      </c>
      <c r="K64" s="7" t="inlineStr">
        <is>
          <t>Open</t>
        </is>
      </c>
      <c r="L64" s="7" t="inlineStr">
        <is>
          <t>Inbound complete on TR-00066 for MD-00066, but location column never flipped off Chicago - Closed. Live site operating site; EX-0060.</t>
        </is>
      </c>
      <c r="M64" s="7" t="inlineStr">
        <is>
          <t>Requires remediation</t>
        </is>
      </c>
    </row>
    <row r="65">
      <c r="A65" s="7" t="inlineStr">
        <is>
          <t>EX-0061</t>
        </is>
      </c>
      <c r="B65" s="7" t="inlineStr">
        <is>
          <t>Former Employee Assignment</t>
        </is>
      </c>
      <c r="C65" s="10" t="inlineStr">
        <is>
          <t>High</t>
        </is>
      </c>
      <c r="D65" s="7" t="inlineStr">
        <is>
          <t>MD-00067</t>
        </is>
      </c>
      <c r="E65" s="7" t="inlineStr">
        <is>
          <t>MD-MO-050067</t>
        </is>
      </c>
      <c r="F65" s="7" t="inlineStr">
        <is>
          <t>Employee:E0080; Ticket:OFF-00067; Transfer:TR-00067</t>
        </is>
      </c>
      <c r="G65" s="7">
        <f>IF(B65="Inventory-to-Ledger Difference",IF(IFERROR(XLOOKUP(D65,'Source Ledger'!$B$5:$B$200,'Source Ledger'!$H$5:$H$200),"")="Disposed",IFERROR(XLOOKUP(D65,'Source Ledger'!$B$5:$B$200,'Source Ledger'!$G$5:$G$200),0),IF(IFERROR(XLOOKUP(D65,'Source Ledger'!$B$5:$B$200,'Source Ledger'!$E$5:$E$200),"")="",IFERROR(XLOOKUP(D65,'Corrected Register'!$A$5:$A$200,'Corrected Register'!$M$5:$M$200),0),ABS(IFERROR(XLOOKUP(D65,'Source Ledger'!$B$5:$B$200,'Source Ledger'!$E$5:$E$200),0)-IFERROR(XLOOKUP(D65,'Corrected Register'!$A$5:$A$200,'Corrected Register'!$M$5:$M$200),0)))),IFERROR(XLOOKUP(D65,'Corrected Register'!$A$5:$A$200,'Corrected Register'!$N$5:$N$200),0))</f>
        <v/>
      </c>
      <c r="H65" s="7" t="inlineStr">
        <is>
          <t>Remove Tara Singh from MD-00067; park under Regional IT or IT Stock (EX-0061).</t>
        </is>
      </c>
      <c r="I65" s="7" t="inlineStr">
        <is>
          <t>HR Operations Lead</t>
        </is>
      </c>
      <c r="J65" s="7" t="inlineStr">
        <is>
          <t>2026-08-16</t>
        </is>
      </c>
      <c r="K65" s="7" t="inlineStr">
        <is>
          <t>Open</t>
        </is>
      </c>
      <c r="L65" s="7" t="inlineStr">
        <is>
          <t>Offboarding left MD-00067 hanging on Tara Singh (E0080); status Separated in hr_employee_status, ticket OFF-00067. EX-0061.</t>
        </is>
      </c>
      <c r="M65" s="7" t="inlineStr">
        <is>
          <t>Requires remediation</t>
        </is>
      </c>
    </row>
    <row r="66">
      <c r="A66" s="7" t="inlineStr">
        <is>
          <t>EX-0062</t>
        </is>
      </c>
      <c r="B66" s="7" t="inlineStr">
        <is>
          <t>Closed Location Assignment</t>
        </is>
      </c>
      <c r="C66" s="11" t="inlineStr">
        <is>
          <t>Medium</t>
        </is>
      </c>
      <c r="D66" s="7" t="inlineStr">
        <is>
          <t>MD-00067</t>
        </is>
      </c>
      <c r="E66" s="7" t="inlineStr">
        <is>
          <t>MD-MO-050067</t>
        </is>
      </c>
      <c r="F66" s="7" t="inlineStr">
        <is>
          <t>RegisterLocation:Denver - Closed; Transfer:TR-00067; VerifiedLocation:Chicago</t>
        </is>
      </c>
      <c r="G66" s="7">
        <f>IF(B66="Inventory-to-Ledger Difference",IF(IFERROR(XLOOKUP(D66,'Source Ledger'!$B$5:$B$200,'Source Ledger'!$H$5:$H$200),"")="Disposed",IFERROR(XLOOKUP(D66,'Source Ledger'!$B$5:$B$200,'Source Ledger'!$G$5:$G$200),0),IF(IFERROR(XLOOKUP(D66,'Source Ledger'!$B$5:$B$200,'Source Ledger'!$E$5:$E$200),"")="",IFERROR(XLOOKUP(D66,'Corrected Register'!$A$5:$A$200,'Corrected Register'!$M$5:$M$200),0),ABS(IFERROR(XLOOKUP(D66,'Source Ledger'!$B$5:$B$200,'Source Ledger'!$E$5:$E$200),0)-IFERROR(XLOOKUP(D66,'Corrected Register'!$A$5:$A$200,'Corrected Register'!$M$5:$M$200),0)))),IFERROR(XLOOKUP(D66,'Corrected Register'!$A$5:$A$200,'Corrected Register'!$N$5:$N$200),0))</f>
        <v/>
      </c>
      <c r="H66" s="7" t="inlineStr">
        <is>
          <t>Remove Denver - Closed from MD-00067; enter operating site; attach TR-00067; complete EX-0062.</t>
        </is>
      </c>
      <c r="I66" s="7" t="inlineStr">
        <is>
          <t>IT Asset Specialist</t>
        </is>
      </c>
      <c r="J66" s="7" t="inlineStr">
        <is>
          <t>2026-08-19</t>
        </is>
      </c>
      <c r="K66" s="7" t="inlineStr">
        <is>
          <t>Open</t>
        </is>
      </c>
      <c r="L66" s="7" t="inlineStr">
        <is>
          <t>Reporting risk on MD-00067: analysts reading Denver - Closed will misplace the asset that now sits in operating site (TR-00067, EX-0062).</t>
        </is>
      </c>
      <c r="M66" s="7" t="inlineStr">
        <is>
          <t>Requires remediation</t>
        </is>
      </c>
    </row>
    <row r="67">
      <c r="A67" s="7" t="inlineStr">
        <is>
          <t>EX-0063</t>
        </is>
      </c>
      <c r="B67" s="7" t="inlineStr">
        <is>
          <t>Overdue Return</t>
        </is>
      </c>
      <c r="C67" s="8" t="inlineStr">
        <is>
          <t>Critical</t>
        </is>
      </c>
      <c r="D67" s="7" t="inlineStr">
        <is>
          <t>MD-00068</t>
        </is>
      </c>
      <c r="E67" s="7" t="inlineStr">
        <is>
          <t>MD-NE-050068</t>
        </is>
      </c>
      <c r="F67" s="7" t="inlineStr">
        <is>
          <t>Ticket:OFF-00068; Tracking:1ZMD00000068; ReturnDue:2026-07-15</t>
        </is>
      </c>
      <c r="G67" s="7">
        <f>IF(B67="Inventory-to-Ledger Difference",IF(IFERROR(XLOOKUP(D67,'Source Ledger'!$B$5:$B$200,'Source Ledger'!$H$5:$H$200),"")="Disposed",IFERROR(XLOOKUP(D67,'Source Ledger'!$B$5:$B$200,'Source Ledger'!$G$5:$G$200),0),IF(IFERROR(XLOOKUP(D67,'Source Ledger'!$B$5:$B$200,'Source Ledger'!$E$5:$E$200),"")="",IFERROR(XLOOKUP(D67,'Corrected Register'!$A$5:$A$200,'Corrected Register'!$M$5:$M$200),0),ABS(IFERROR(XLOOKUP(D67,'Source Ledger'!$B$5:$B$200,'Source Ledger'!$E$5:$E$200),0)-IFERROR(XLOOKUP(D67,'Corrected Register'!$A$5:$A$200,'Corrected Register'!$M$5:$M$200),0)))),IFERROR(XLOOKUP(D67,'Corrected Register'!$A$5:$A$200,'Corrected Register'!$N$5:$N$200),0))</f>
        <v/>
      </c>
      <c r="H67" s="7" t="inlineStr">
        <is>
          <t>Escalate recovery of MD-00068; 1ZMD00000068 is not proof of return (EX-0063).</t>
        </is>
      </c>
      <c r="I67" s="7" t="inlineStr">
        <is>
          <t>IT Asset Specialist</t>
        </is>
      </c>
      <c r="J67" s="7" t="inlineStr">
        <is>
          <t>2026-08-14</t>
        </is>
      </c>
      <c r="K67" s="7" t="inlineStr">
        <is>
          <t>Open</t>
        </is>
      </c>
      <c r="L67" s="7" t="inlineStr">
        <is>
          <t>1ZMD00000068 for MD-00068 never advanced past Label Created; no acceptance, delivery, or receiving scan for MD-NE-050068 (EX-0063).</t>
        </is>
      </c>
      <c r="M67" s="12" t="inlineStr">
        <is>
          <t>Blocks certification</t>
        </is>
      </c>
    </row>
    <row r="68">
      <c r="A68" s="7" t="inlineStr">
        <is>
          <t>EX-0064</t>
        </is>
      </c>
      <c r="B68" s="7" t="inlineStr">
        <is>
          <t>Former Employee Assignment</t>
        </is>
      </c>
      <c r="C68" s="10" t="inlineStr">
        <is>
          <t>High</t>
        </is>
      </c>
      <c r="D68" s="7" t="inlineStr">
        <is>
          <t>MD-00068</t>
        </is>
      </c>
      <c r="E68" s="7" t="inlineStr">
        <is>
          <t>MD-NE-050068</t>
        </is>
      </c>
      <c r="F68" s="7" t="inlineStr">
        <is>
          <t>Employee:E0081; Ticket:OFF-00068</t>
        </is>
      </c>
      <c r="G68" s="7">
        <f>IF(B68="Inventory-to-Ledger Difference",IF(IFERROR(XLOOKUP(D68,'Source Ledger'!$B$5:$B$200,'Source Ledger'!$H$5:$H$200),"")="Disposed",IFERROR(XLOOKUP(D68,'Source Ledger'!$B$5:$B$200,'Source Ledger'!$G$5:$G$200),0),IF(IFERROR(XLOOKUP(D68,'Source Ledger'!$B$5:$B$200,'Source Ledger'!$E$5:$E$200),"")="",IFERROR(XLOOKUP(D68,'Corrected Register'!$A$5:$A$200,'Corrected Register'!$M$5:$M$200),0),ABS(IFERROR(XLOOKUP(D68,'Source Ledger'!$B$5:$B$200,'Source Ledger'!$E$5:$E$200),0)-IFERROR(XLOOKUP(D68,'Corrected Register'!$A$5:$A$200,'Corrected Register'!$M$5:$M$200),0)))),IFERROR(XLOOKUP(D68,'Corrected Register'!$A$5:$A$200,'Corrected Register'!$N$5:$N$200),0))</f>
        <v/>
      </c>
      <c r="H68" s="7" t="inlineStr">
        <is>
          <t>Reassign MD-00068 off separated Elliott Park to a stock/Regional IT bucket (EX-0064).</t>
        </is>
      </c>
      <c r="I68" s="7" t="inlineStr">
        <is>
          <t>HR Operations Lead</t>
        </is>
      </c>
      <c r="J68" s="7" t="inlineStr">
        <is>
          <t>2026-08-16</t>
        </is>
      </c>
      <c r="K68" s="7" t="inlineStr">
        <is>
          <t>Open</t>
        </is>
      </c>
      <c r="L68" s="7" t="inlineStr">
        <is>
          <t>Separated custodian Elliott Park (E0081) remains on MD-00068 after OFF-00068 closed. Clear under EX-0064.</t>
        </is>
      </c>
      <c r="M68" s="7" t="inlineStr">
        <is>
          <t>Requires remediation</t>
        </is>
      </c>
    </row>
    <row r="69">
      <c r="A69" s="7" t="inlineStr">
        <is>
          <t>EX-0065</t>
        </is>
      </c>
      <c r="B69" s="7" t="inlineStr">
        <is>
          <t>Inventory-to-Ledger Difference</t>
        </is>
      </c>
      <c r="C69" s="10" t="inlineStr">
        <is>
          <t>High</t>
        </is>
      </c>
      <c r="D69" s="7" t="inlineStr">
        <is>
          <t>MD-00068</t>
        </is>
      </c>
      <c r="E69" s="7" t="inlineStr">
        <is>
          <t>MD-NE-050068</t>
        </is>
      </c>
      <c r="F69" s="7" t="inlineStr">
        <is>
          <t>Ledger:FA-000068; PO:PO-2022-0013; RegisterCost:6425.0; LedgerCost:6480.0</t>
        </is>
      </c>
      <c r="G69" s="7">
        <f>IF(B69="Inventory-to-Ledger Difference",IF(IFERROR(XLOOKUP(D69,'Source Ledger'!$B$5:$B$200,'Source Ledger'!$H$5:$H$200),"")="Disposed",IFERROR(XLOOKUP(D69,'Source Ledger'!$B$5:$B$200,'Source Ledger'!$G$5:$G$200),0),IF(IFERROR(XLOOKUP(D69,'Source Ledger'!$B$5:$B$200,'Source Ledger'!$E$5:$E$200),"")="",IFERROR(XLOOKUP(D69,'Corrected Register'!$A$5:$A$200,'Corrected Register'!$M$5:$M$200),0),ABS(IFERROR(XLOOKUP(D69,'Source Ledger'!$B$5:$B$200,'Source Ledger'!$E$5:$E$200),0)-IFERROR(XLOOKUP(D69,'Corrected Register'!$A$5:$A$200,'Corrected Register'!$M$5:$M$200),0)))),IFERROR(XLOOKUP(D69,'Corrected Register'!$A$5:$A$200,'Corrected Register'!$N$5:$N$200),0))</f>
        <v/>
      </c>
      <c r="H69" s="7" t="inlineStr">
        <is>
          <t>Align MD-00068 cost: register $6,425 vs ledger $6,480 (FA-000068) (EX-0065).</t>
        </is>
      </c>
      <c r="I69" s="7" t="inlineStr">
        <is>
          <t>Finance Controller</t>
        </is>
      </c>
      <c r="J69" s="7" t="inlineStr">
        <is>
          <t>2026-08-21</t>
        </is>
      </c>
      <c r="K69" s="7" t="inlineStr">
        <is>
          <t>Open</t>
        </is>
      </c>
      <c r="L69" s="7" t="inlineStr">
        <is>
          <t>PO-2022-0013 and FA-000068 disagree for MD-00068 ($6,425 vs $6,480) — EX-0065.</t>
        </is>
      </c>
      <c r="M69" s="7" t="inlineStr">
        <is>
          <t>Requires remediation</t>
        </is>
      </c>
    </row>
    <row r="70">
      <c r="A70" s="7" t="inlineStr">
        <is>
          <t>EX-0066</t>
        </is>
      </c>
      <c r="B70" s="7" t="inlineStr">
        <is>
          <t>Overdue Return</t>
        </is>
      </c>
      <c r="C70" s="8" t="inlineStr">
        <is>
          <t>Critical</t>
        </is>
      </c>
      <c r="D70" s="7" t="inlineStr">
        <is>
          <t>MD-00069</t>
        </is>
      </c>
      <c r="E70" s="7" t="inlineStr">
        <is>
          <t>MD-LA-050069</t>
        </is>
      </c>
      <c r="F70" s="7" t="inlineStr">
        <is>
          <t>Ticket:OFF-00069; Tracking:1ZMD00000069; ReturnDue:2026-07-15</t>
        </is>
      </c>
      <c r="G70" s="7">
        <f>IF(B70="Inventory-to-Ledger Difference",IF(IFERROR(XLOOKUP(D70,'Source Ledger'!$B$5:$B$200,'Source Ledger'!$H$5:$H$200),"")="Disposed",IFERROR(XLOOKUP(D70,'Source Ledger'!$B$5:$B$200,'Source Ledger'!$G$5:$G$200),0),IF(IFERROR(XLOOKUP(D70,'Source Ledger'!$B$5:$B$200,'Source Ledger'!$E$5:$E$200),"")="",IFERROR(XLOOKUP(D70,'Corrected Register'!$A$5:$A$200,'Corrected Register'!$M$5:$M$200),0),ABS(IFERROR(XLOOKUP(D70,'Source Ledger'!$B$5:$B$200,'Source Ledger'!$E$5:$E$200),0)-IFERROR(XLOOKUP(D70,'Corrected Register'!$A$5:$A$200,'Corrected Register'!$M$5:$M$200),0)))),IFERROR(XLOOKUP(D70,'Corrected Register'!$A$5:$A$200,'Corrected Register'!$N$5:$N$200),0))</f>
        <v/>
      </c>
      <c r="H70" s="7" t="inlineStr">
        <is>
          <t>IT Asset Specialist: chase MD-00069 overdue return — Label Created only on 1ZMD00000069 (EX-0066).</t>
        </is>
      </c>
      <c r="I70" s="7" t="inlineStr">
        <is>
          <t>IT Asset Specialist</t>
        </is>
      </c>
      <c r="J70" s="7" t="inlineStr">
        <is>
          <t>2026-08-14</t>
        </is>
      </c>
      <c r="K70" s="7" t="inlineStr">
        <is>
          <t>Open</t>
        </is>
      </c>
      <c r="L70" s="7" t="inlineStr">
        <is>
          <t>OFF-00069 still open on paper for MD-00069; shipment 1ZMD00000069 shows Label Created only (EX-0066).</t>
        </is>
      </c>
      <c r="M70" s="12" t="inlineStr">
        <is>
          <t>Blocks certification</t>
        </is>
      </c>
    </row>
    <row r="71">
      <c r="A71" s="7" t="inlineStr">
        <is>
          <t>EX-0067</t>
        </is>
      </c>
      <c r="B71" s="7" t="inlineStr">
        <is>
          <t>Former Employee Assignment</t>
        </is>
      </c>
      <c r="C71" s="10" t="inlineStr">
        <is>
          <t>High</t>
        </is>
      </c>
      <c r="D71" s="7" t="inlineStr">
        <is>
          <t>MD-00069</t>
        </is>
      </c>
      <c r="E71" s="7" t="inlineStr">
        <is>
          <t>MD-LA-050069</t>
        </is>
      </c>
      <c r="F71" s="7" t="inlineStr">
        <is>
          <t>Employee:E0082; Ticket:OFF-00069</t>
        </is>
      </c>
      <c r="G71" s="7">
        <f>IF(B71="Inventory-to-Ledger Difference",IF(IFERROR(XLOOKUP(D71,'Source Ledger'!$B$5:$B$200,'Source Ledger'!$H$5:$H$200),"")="Disposed",IFERROR(XLOOKUP(D71,'Source Ledger'!$B$5:$B$200,'Source Ledger'!$G$5:$G$200),0),IF(IFERROR(XLOOKUP(D71,'Source Ledger'!$B$5:$B$200,'Source Ledger'!$E$5:$E$200),"")="",IFERROR(XLOOKUP(D71,'Corrected Register'!$A$5:$A$200,'Corrected Register'!$M$5:$M$200),0),ABS(IFERROR(XLOOKUP(D71,'Source Ledger'!$B$5:$B$200,'Source Ledger'!$E$5:$E$200),0)-IFERROR(XLOOKUP(D71,'Corrected Register'!$A$5:$A$200,'Corrected Register'!$M$5:$M$200),0)))),IFERROR(XLOOKUP(D71,'Corrected Register'!$A$5:$A$200,'Corrected Register'!$N$5:$N$200),0))</f>
        <v/>
      </c>
      <c r="H71" s="7" t="inlineStr">
        <is>
          <t>HR Operations Lead: clear former-employee assignment on MD-00069 (Carmen Diaz) (EX-0067).</t>
        </is>
      </c>
      <c r="I71" s="7" t="inlineStr">
        <is>
          <t>HR Operations Lead</t>
        </is>
      </c>
      <c r="J71" s="7" t="inlineStr">
        <is>
          <t>2026-08-16</t>
        </is>
      </c>
      <c r="K71" s="7" t="inlineStr">
        <is>
          <t>Open</t>
        </is>
      </c>
      <c r="L71" s="7" t="inlineStr">
        <is>
          <t>Offboarding left MD-00069 hanging on Carmen Diaz (E0082); status Separated in hr_employee_status, ticket OFF-00069. EX-0067.</t>
        </is>
      </c>
      <c r="M71" s="7" t="inlineStr">
        <is>
          <t>Requires remediation</t>
        </is>
      </c>
    </row>
    <row r="72">
      <c r="A72" s="7" t="inlineStr">
        <is>
          <t>EX-0068</t>
        </is>
      </c>
      <c r="B72" s="7" t="inlineStr">
        <is>
          <t>Overdue Return</t>
        </is>
      </c>
      <c r="C72" s="8" t="inlineStr">
        <is>
          <t>Critical</t>
        </is>
      </c>
      <c r="D72" s="7" t="inlineStr">
        <is>
          <t>MD-00070</t>
        </is>
      </c>
      <c r="E72" s="7" t="inlineStr">
        <is>
          <t>MD-MO-050070</t>
        </is>
      </c>
      <c r="F72" s="7" t="inlineStr">
        <is>
          <t>Ticket:OFF-00070; Tracking:1ZMD00000070; ReturnDue:2026-07-15</t>
        </is>
      </c>
      <c r="G72" s="7">
        <f>IF(B72="Inventory-to-Ledger Difference",IF(IFERROR(XLOOKUP(D72,'Source Ledger'!$B$5:$B$200,'Source Ledger'!$H$5:$H$200),"")="Disposed",IFERROR(XLOOKUP(D72,'Source Ledger'!$B$5:$B$200,'Source Ledger'!$G$5:$G$200),0),IF(IFERROR(XLOOKUP(D72,'Source Ledger'!$B$5:$B$200,'Source Ledger'!$E$5:$E$200),"")="",IFERROR(XLOOKUP(D72,'Corrected Register'!$A$5:$A$200,'Corrected Register'!$M$5:$M$200),0),ABS(IFERROR(XLOOKUP(D72,'Source Ledger'!$B$5:$B$200,'Source Ledger'!$E$5:$E$200),0)-IFERROR(XLOOKUP(D72,'Corrected Register'!$A$5:$A$200,'Corrected Register'!$M$5:$M$200),0)))),IFERROR(XLOOKUP(D72,'Corrected Register'!$A$5:$A$200,'Corrected Register'!$N$5:$N$200),0))</f>
        <v/>
      </c>
      <c r="H72" s="7" t="inlineStr">
        <is>
          <t>Do not clear MD-00070 Available until carrier acceptance + receiving scan exist (EX-0068).</t>
        </is>
      </c>
      <c r="I72" s="7" t="inlineStr">
        <is>
          <t>IT Asset Specialist</t>
        </is>
      </c>
      <c r="J72" s="7" t="inlineStr">
        <is>
          <t>2026-08-14</t>
        </is>
      </c>
      <c r="K72" s="7" t="inlineStr">
        <is>
          <t>Open</t>
        </is>
      </c>
      <c r="L72" s="7" t="inlineStr">
        <is>
          <t>Return clock on MD-00070 expired with only a prepaid label (1ZMD00000070) — not docked (EX-0068).</t>
        </is>
      </c>
      <c r="M72" s="12" t="inlineStr">
        <is>
          <t>Blocks certification</t>
        </is>
      </c>
    </row>
    <row r="73">
      <c r="A73" s="7" t="inlineStr">
        <is>
          <t>EX-0069</t>
        </is>
      </c>
      <c r="B73" s="7" t="inlineStr">
        <is>
          <t>Former Employee Assignment</t>
        </is>
      </c>
      <c r="C73" s="10" t="inlineStr">
        <is>
          <t>High</t>
        </is>
      </c>
      <c r="D73" s="7" t="inlineStr">
        <is>
          <t>MD-00070</t>
        </is>
      </c>
      <c r="E73" s="7" t="inlineStr">
        <is>
          <t>MD-MO-050070</t>
        </is>
      </c>
      <c r="F73" s="7" t="inlineStr">
        <is>
          <t>Employee:E0083; Ticket:OFF-00070</t>
        </is>
      </c>
      <c r="G73" s="7">
        <f>IF(B73="Inventory-to-Ledger Difference",IF(IFERROR(XLOOKUP(D73,'Source Ledger'!$B$5:$B$200,'Source Ledger'!$H$5:$H$200),"")="Disposed",IFERROR(XLOOKUP(D73,'Source Ledger'!$B$5:$B$200,'Source Ledger'!$G$5:$G$200),0),IF(IFERROR(XLOOKUP(D73,'Source Ledger'!$B$5:$B$200,'Source Ledger'!$E$5:$E$200),"")="",IFERROR(XLOOKUP(D73,'Corrected Register'!$A$5:$A$200,'Corrected Register'!$M$5:$M$200),0),ABS(IFERROR(XLOOKUP(D73,'Source Ledger'!$B$5:$B$200,'Source Ledger'!$E$5:$E$200),0)-IFERROR(XLOOKUP(D73,'Corrected Register'!$A$5:$A$200,'Corrected Register'!$M$5:$M$200),0)))),IFERROR(XLOOKUP(D73,'Corrected Register'!$A$5:$A$200,'Corrected Register'!$N$5:$N$200),0))</f>
        <v/>
      </c>
      <c r="H73" s="7" t="inlineStr">
        <is>
          <t>HR Operations Lead: clear former-employee assignment on MD-00070 (Hugh Talbot) (EX-0069).</t>
        </is>
      </c>
      <c r="I73" s="7" t="inlineStr">
        <is>
          <t>HR Operations Lead</t>
        </is>
      </c>
      <c r="J73" s="7" t="inlineStr">
        <is>
          <t>2026-08-16</t>
        </is>
      </c>
      <c r="K73" s="7" t="inlineStr">
        <is>
          <t>Open</t>
        </is>
      </c>
      <c r="L73" s="7" t="inlineStr">
        <is>
          <t>MD-00070 is still assigned to Hugh Talbot (E0083), whose hr_employee_status row is Separated; OFF-00070 closed with no custodian rewrite (EX-0069).</t>
        </is>
      </c>
      <c r="M73" s="7" t="inlineStr">
        <is>
          <t>Requires remediation</t>
        </is>
      </c>
    </row>
    <row r="74">
      <c r="A74" s="7" t="inlineStr">
        <is>
          <t>EX-0070</t>
        </is>
      </c>
      <c r="B74" s="7" t="inlineStr">
        <is>
          <t>Overdue Return</t>
        </is>
      </c>
      <c r="C74" s="8" t="inlineStr">
        <is>
          <t>Critical</t>
        </is>
      </c>
      <c r="D74" s="7" t="inlineStr">
        <is>
          <t>MD-00071</t>
        </is>
      </c>
      <c r="E74" s="7" t="inlineStr">
        <is>
          <t>MD-MO-050071</t>
        </is>
      </c>
      <c r="F74" s="7" t="inlineStr">
        <is>
          <t>Ticket:OFF-00071; Tracking:1ZMD00000071; ReturnDue:2026-07-15</t>
        </is>
      </c>
      <c r="G74" s="7">
        <f>IF(B74="Inventory-to-Ledger Difference",IF(IFERROR(XLOOKUP(D74,'Source Ledger'!$B$5:$B$200,'Source Ledger'!$H$5:$H$200),"")="Disposed",IFERROR(XLOOKUP(D74,'Source Ledger'!$B$5:$B$200,'Source Ledger'!$G$5:$G$200),0),IF(IFERROR(XLOOKUP(D74,'Source Ledger'!$B$5:$B$200,'Source Ledger'!$E$5:$E$200),"")="",IFERROR(XLOOKUP(D74,'Corrected Register'!$A$5:$A$200,'Corrected Register'!$M$5:$M$200),0),ABS(IFERROR(XLOOKUP(D74,'Source Ledger'!$B$5:$B$200,'Source Ledger'!$E$5:$E$200),0)-IFERROR(XLOOKUP(D74,'Corrected Register'!$A$5:$A$200,'Corrected Register'!$M$5:$M$200),0)))),IFERROR(XLOOKUP(D74,'Corrected Register'!$A$5:$A$200,'Corrected Register'!$N$5:$N$200),0))</f>
        <v/>
      </c>
      <c r="H74" s="7" t="inlineStr">
        <is>
          <t>Escalate recovery of MD-00071; 1ZMD00000071 is not proof of return (EX-0070).</t>
        </is>
      </c>
      <c r="I74" s="7" t="inlineStr">
        <is>
          <t>IT Asset Specialist</t>
        </is>
      </c>
      <c r="J74" s="7" t="inlineStr">
        <is>
          <t>2026-08-14</t>
        </is>
      </c>
      <c r="K74" s="7" t="inlineStr">
        <is>
          <t>Open</t>
        </is>
      </c>
      <c r="L74" s="7" t="inlineStr">
        <is>
          <t>1ZMD00000071 for MD-00071 never advanced past Label Created; no acceptance, delivery, or receiving scan for MD-MO-050071 (EX-0070).</t>
        </is>
      </c>
      <c r="M74" s="12" t="inlineStr">
        <is>
          <t>Blocks certification</t>
        </is>
      </c>
    </row>
    <row r="75">
      <c r="A75" s="7" t="inlineStr">
        <is>
          <t>EX-0071</t>
        </is>
      </c>
      <c r="B75" s="7" t="inlineStr">
        <is>
          <t>Former Employee Assignment</t>
        </is>
      </c>
      <c r="C75" s="10" t="inlineStr">
        <is>
          <t>High</t>
        </is>
      </c>
      <c r="D75" s="7" t="inlineStr">
        <is>
          <t>MD-00071</t>
        </is>
      </c>
      <c r="E75" s="7" t="inlineStr">
        <is>
          <t>MD-MO-050071</t>
        </is>
      </c>
      <c r="F75" s="7" t="inlineStr">
        <is>
          <t>Employee:E0084; Ticket:OFF-00071</t>
        </is>
      </c>
      <c r="G75" s="7">
        <f>IF(B75="Inventory-to-Ledger Difference",IF(IFERROR(XLOOKUP(D75,'Source Ledger'!$B$5:$B$200,'Source Ledger'!$H$5:$H$200),"")="Disposed",IFERROR(XLOOKUP(D75,'Source Ledger'!$B$5:$B$200,'Source Ledger'!$G$5:$G$200),0),IF(IFERROR(XLOOKUP(D75,'Source Ledger'!$B$5:$B$200,'Source Ledger'!$E$5:$E$200),"")="",IFERROR(XLOOKUP(D75,'Corrected Register'!$A$5:$A$200,'Corrected Register'!$M$5:$M$200),0),ABS(IFERROR(XLOOKUP(D75,'Source Ledger'!$B$5:$B$200,'Source Ledger'!$E$5:$E$200),0)-IFERROR(XLOOKUP(D75,'Corrected Register'!$A$5:$A$200,'Corrected Register'!$M$5:$M$200),0)))),IFERROR(XLOOKUP(D75,'Corrected Register'!$A$5:$A$200,'Corrected Register'!$N$5:$N$200),0))</f>
        <v/>
      </c>
      <c r="H75" s="7" t="inlineStr">
        <is>
          <t>Remove Mira Adelman from MD-00071; park under Regional IT or IT Stock (EX-0071).</t>
        </is>
      </c>
      <c r="I75" s="7" t="inlineStr">
        <is>
          <t>HR Operations Lead</t>
        </is>
      </c>
      <c r="J75" s="7" t="inlineStr">
        <is>
          <t>2026-08-16</t>
        </is>
      </c>
      <c r="K75" s="7" t="inlineStr">
        <is>
          <t>Open</t>
        </is>
      </c>
      <c r="L75" s="7" t="inlineStr">
        <is>
          <t>Separated custodian Mira Adelman (E0084) remains on MD-00071 after OFF-00071 closed. Clear under EX-0071.</t>
        </is>
      </c>
      <c r="M75" s="7" t="inlineStr">
        <is>
          <t>Requires remediation</t>
        </is>
      </c>
    </row>
    <row r="76">
      <c r="A76" s="7" t="inlineStr">
        <is>
          <t>EX-0072</t>
        </is>
      </c>
      <c r="B76" s="7" t="inlineStr">
        <is>
          <t>Overdue Return</t>
        </is>
      </c>
      <c r="C76" s="8" t="inlineStr">
        <is>
          <t>Critical</t>
        </is>
      </c>
      <c r="D76" s="7" t="inlineStr">
        <is>
          <t>MD-00072</t>
        </is>
      </c>
      <c r="E76" s="7" t="inlineStr">
        <is>
          <t>MD-NE-050072</t>
        </is>
      </c>
      <c r="F76" s="7" t="inlineStr">
        <is>
          <t>Ticket:OFF-00072; Tracking:1ZMD00000072; ReturnDue:2026-07-15</t>
        </is>
      </c>
      <c r="G76" s="7">
        <f>IF(B76="Inventory-to-Ledger Difference",IF(IFERROR(XLOOKUP(D76,'Source Ledger'!$B$5:$B$200,'Source Ledger'!$H$5:$H$200),"")="Disposed",IFERROR(XLOOKUP(D76,'Source Ledger'!$B$5:$B$200,'Source Ledger'!$G$5:$G$200),0),IF(IFERROR(XLOOKUP(D76,'Source Ledger'!$B$5:$B$200,'Source Ledger'!$E$5:$E$200),"")="",IFERROR(XLOOKUP(D76,'Corrected Register'!$A$5:$A$200,'Corrected Register'!$M$5:$M$200),0),ABS(IFERROR(XLOOKUP(D76,'Source Ledger'!$B$5:$B$200,'Source Ledger'!$E$5:$E$200),0)-IFERROR(XLOOKUP(D76,'Corrected Register'!$A$5:$A$200,'Corrected Register'!$M$5:$M$200),0)))),IFERROR(XLOOKUP(D76,'Corrected Register'!$A$5:$A$200,'Corrected Register'!$N$5:$N$200),0))</f>
        <v/>
      </c>
      <c r="H76" s="7" t="inlineStr">
        <is>
          <t>Do not clear MD-00072 Available until carrier acceptance + receiving scan exist (EX-0072).</t>
        </is>
      </c>
      <c r="I76" s="7" t="inlineStr">
        <is>
          <t>IT Asset Specialist</t>
        </is>
      </c>
      <c r="J76" s="7" t="inlineStr">
        <is>
          <t>2026-08-14</t>
        </is>
      </c>
      <c r="K76" s="7" t="inlineStr">
        <is>
          <t>Open</t>
        </is>
      </c>
      <c r="L76" s="7" t="inlineStr">
        <is>
          <t>Return clock on MD-00072 expired with only a prepaid label (1ZMD00000072) — not docked (EX-0072).</t>
        </is>
      </c>
      <c r="M76" s="12" t="inlineStr">
        <is>
          <t>Blocks certification</t>
        </is>
      </c>
    </row>
    <row r="77">
      <c r="A77" s="7" t="inlineStr">
        <is>
          <t>EX-0073</t>
        </is>
      </c>
      <c r="B77" s="7" t="inlineStr">
        <is>
          <t>Former Employee Assignment</t>
        </is>
      </c>
      <c r="C77" s="10" t="inlineStr">
        <is>
          <t>High</t>
        </is>
      </c>
      <c r="D77" s="7" t="inlineStr">
        <is>
          <t>MD-00072</t>
        </is>
      </c>
      <c r="E77" s="7" t="inlineStr">
        <is>
          <t>MD-NE-050072</t>
        </is>
      </c>
      <c r="F77" s="7" t="inlineStr">
        <is>
          <t>Employee:E0085; Ticket:OFF-00072</t>
        </is>
      </c>
      <c r="G77" s="7">
        <f>IF(B77="Inventory-to-Ledger Difference",IF(IFERROR(XLOOKUP(D77,'Source Ledger'!$B$5:$B$200,'Source Ledger'!$H$5:$H$200),"")="Disposed",IFERROR(XLOOKUP(D77,'Source Ledger'!$B$5:$B$200,'Source Ledger'!$G$5:$G$200),0),IF(IFERROR(XLOOKUP(D77,'Source Ledger'!$B$5:$B$200,'Source Ledger'!$E$5:$E$200),"")="",IFERROR(XLOOKUP(D77,'Corrected Register'!$A$5:$A$200,'Corrected Register'!$M$5:$M$200),0),ABS(IFERROR(XLOOKUP(D77,'Source Ledger'!$B$5:$B$200,'Source Ledger'!$E$5:$E$200),0)-IFERROR(XLOOKUP(D77,'Corrected Register'!$A$5:$A$200,'Corrected Register'!$M$5:$M$200),0)))),IFERROR(XLOOKUP(D77,'Corrected Register'!$A$5:$A$200,'Corrected Register'!$N$5:$N$200),0))</f>
        <v/>
      </c>
      <c r="H77" s="7" t="inlineStr">
        <is>
          <t>Reassign MD-00072 off separated Quincy Rhodes to a stock/Regional IT bucket (EX-0073).</t>
        </is>
      </c>
      <c r="I77" s="7" t="inlineStr">
        <is>
          <t>HR Operations Lead</t>
        </is>
      </c>
      <c r="J77" s="7" t="inlineStr">
        <is>
          <t>2026-08-16</t>
        </is>
      </c>
      <c r="K77" s="7" t="inlineStr">
        <is>
          <t>Open</t>
        </is>
      </c>
      <c r="L77" s="7" t="inlineStr">
        <is>
          <t>HR shows Quincy Rhodes (E0085) terminated, yet the register still lists them on MD-00072 (OFF-00072) — EX-0073.</t>
        </is>
      </c>
      <c r="M77" s="7" t="inlineStr">
        <is>
          <t>Requires remediation</t>
        </is>
      </c>
    </row>
    <row r="78">
      <c r="A78" s="7" t="inlineStr">
        <is>
          <t>EX-0074</t>
        </is>
      </c>
      <c r="B78" s="7" t="inlineStr">
        <is>
          <t>Overdue Return</t>
        </is>
      </c>
      <c r="C78" s="8" t="inlineStr">
        <is>
          <t>Critical</t>
        </is>
      </c>
      <c r="D78" s="7" t="inlineStr">
        <is>
          <t>MD-00073</t>
        </is>
      </c>
      <c r="E78" s="7" t="inlineStr">
        <is>
          <t>MD-LA-050073</t>
        </is>
      </c>
      <c r="F78" s="7" t="inlineStr">
        <is>
          <t>Ticket:OFF-00073; Tracking:1ZMD00000073; ReturnDue:2026-07-15</t>
        </is>
      </c>
      <c r="G78" s="7">
        <f>IF(B78="Inventory-to-Ledger Difference",IF(IFERROR(XLOOKUP(D78,'Source Ledger'!$B$5:$B$200,'Source Ledger'!$H$5:$H$200),"")="Disposed",IFERROR(XLOOKUP(D78,'Source Ledger'!$B$5:$B$200,'Source Ledger'!$G$5:$G$200),0),IF(IFERROR(XLOOKUP(D78,'Source Ledger'!$B$5:$B$200,'Source Ledger'!$E$5:$E$200),"")="",IFERROR(XLOOKUP(D78,'Corrected Register'!$A$5:$A$200,'Corrected Register'!$M$5:$M$200),0),ABS(IFERROR(XLOOKUP(D78,'Source Ledger'!$B$5:$B$200,'Source Ledger'!$E$5:$E$200),0)-IFERROR(XLOOKUP(D78,'Corrected Register'!$A$5:$A$200,'Corrected Register'!$M$5:$M$200),0)))),IFERROR(XLOOKUP(D78,'Corrected Register'!$A$5:$A$200,'Corrected Register'!$N$5:$N$200),0))</f>
        <v/>
      </c>
      <c r="H78" s="7" t="inlineStr">
        <is>
          <t>Do not clear MD-00073 Available until carrier acceptance + receiving scan exist (EX-0074).</t>
        </is>
      </c>
      <c r="I78" s="7" t="inlineStr">
        <is>
          <t>IT Asset Specialist</t>
        </is>
      </c>
      <c r="J78" s="7" t="inlineStr">
        <is>
          <t>2026-08-14</t>
        </is>
      </c>
      <c r="K78" s="7" t="inlineStr">
        <is>
          <t>Open</t>
        </is>
      </c>
      <c r="L78" s="7" t="inlineStr">
        <is>
          <t>OFF-00073 still open on paper for MD-00073; shipment 1ZMD00000073 shows Label Created only (EX-0074).</t>
        </is>
      </c>
      <c r="M78" s="12" t="inlineStr">
        <is>
          <t>Blocks certification</t>
        </is>
      </c>
    </row>
    <row r="79">
      <c r="A79" s="7" t="inlineStr">
        <is>
          <t>EX-0075</t>
        </is>
      </c>
      <c r="B79" s="7" t="inlineStr">
        <is>
          <t>Former Employee Assignment</t>
        </is>
      </c>
      <c r="C79" s="10" t="inlineStr">
        <is>
          <t>High</t>
        </is>
      </c>
      <c r="D79" s="7" t="inlineStr">
        <is>
          <t>MD-00073</t>
        </is>
      </c>
      <c r="E79" s="7" t="inlineStr">
        <is>
          <t>MD-LA-050073</t>
        </is>
      </c>
      <c r="F79" s="7" t="inlineStr">
        <is>
          <t>Employee:E0086; Ticket:OFF-00073</t>
        </is>
      </c>
      <c r="G79" s="7">
        <f>IF(B79="Inventory-to-Ledger Difference",IF(IFERROR(XLOOKUP(D79,'Source Ledger'!$B$5:$B$200,'Source Ledger'!$H$5:$H$200),"")="Disposed",IFERROR(XLOOKUP(D79,'Source Ledger'!$B$5:$B$200,'Source Ledger'!$G$5:$G$200),0),IF(IFERROR(XLOOKUP(D79,'Source Ledger'!$B$5:$B$200,'Source Ledger'!$E$5:$E$200),"")="",IFERROR(XLOOKUP(D79,'Corrected Register'!$A$5:$A$200,'Corrected Register'!$M$5:$M$200),0),ABS(IFERROR(XLOOKUP(D79,'Source Ledger'!$B$5:$B$200,'Source Ledger'!$E$5:$E$200),0)-IFERROR(XLOOKUP(D79,'Corrected Register'!$A$5:$A$200,'Corrected Register'!$M$5:$M$200),0)))),IFERROR(XLOOKUP(D79,'Corrected Register'!$A$5:$A$200,'Corrected Register'!$N$5:$N$200),0))</f>
        <v/>
      </c>
      <c r="H79" s="7" t="inlineStr">
        <is>
          <t>HR Operations Lead: clear former-employee assignment on MD-00073 (Sloane Richter) (EX-0075).</t>
        </is>
      </c>
      <c r="I79" s="7" t="inlineStr">
        <is>
          <t>HR Operations Lead</t>
        </is>
      </c>
      <c r="J79" s="7" t="inlineStr">
        <is>
          <t>2026-08-16</t>
        </is>
      </c>
      <c r="K79" s="7" t="inlineStr">
        <is>
          <t>Open</t>
        </is>
      </c>
      <c r="L79" s="7" t="inlineStr">
        <is>
          <t>HR shows Sloane Richter (E0086) terminated, yet the register still lists them on MD-00073 (OFF-00073) — EX-0075.</t>
        </is>
      </c>
      <c r="M79" s="7" t="inlineStr">
        <is>
          <t>Requires remediation</t>
        </is>
      </c>
    </row>
    <row r="80">
      <c r="A80" s="7" t="inlineStr">
        <is>
          <t>EX-0076</t>
        </is>
      </c>
      <c r="B80" s="7" t="inlineStr">
        <is>
          <t>Shipment Mismatch</t>
        </is>
      </c>
      <c r="C80" s="8" t="inlineStr">
        <is>
          <t>Critical</t>
        </is>
      </c>
      <c r="D80" s="7" t="inlineStr">
        <is>
          <t>MD-00074</t>
        </is>
      </c>
      <c r="E80" s="7" t="inlineStr">
        <is>
          <t>MD-MO-050074</t>
        </is>
      </c>
      <c r="F80" s="7" t="inlineStr">
        <is>
          <t>Ticket:OFF-00074; Tracking:1ZMD00000074; ShipmentSerial:MISMATCH-0074</t>
        </is>
      </c>
      <c r="G80" s="7">
        <f>IF(B80="Inventory-to-Ledger Difference",IF(IFERROR(XLOOKUP(D80,'Source Ledger'!$B$5:$B$200,'Source Ledger'!$H$5:$H$200),"")="Disposed",IFERROR(XLOOKUP(D80,'Source Ledger'!$B$5:$B$200,'Source Ledger'!$G$5:$G$200),0),IF(IFERROR(XLOOKUP(D80,'Source Ledger'!$B$5:$B$200,'Source Ledger'!$E$5:$E$200),"")="",IFERROR(XLOOKUP(D80,'Corrected Register'!$A$5:$A$200,'Corrected Register'!$M$5:$M$200),0),ABS(IFERROR(XLOOKUP(D80,'Source Ledger'!$B$5:$B$200,'Source Ledger'!$E$5:$E$200),0)-IFERROR(XLOOKUP(D80,'Corrected Register'!$A$5:$A$200,'Corrected Register'!$M$5:$M$200),0)))),IFERROR(XLOOKUP(D80,'Corrected Register'!$A$5:$A$200,'Corrected Register'!$N$5:$N$200),0))</f>
        <v/>
      </c>
      <c r="H80" s="7" t="inlineStr">
        <is>
          <t>Critical certification blocker — IT Operations Manager: block Available on MD-00074 until mismatch cleared (EX-0076).</t>
        </is>
      </c>
      <c r="I80" s="7" t="inlineStr">
        <is>
          <t>IT Operations Manager</t>
        </is>
      </c>
      <c r="J80" s="7" t="inlineStr">
        <is>
          <t>2026-08-13</t>
        </is>
      </c>
      <c r="K80" s="7" t="inlineStr">
        <is>
          <t>Open</t>
        </is>
      </c>
      <c r="L80" s="7" t="inlineStr">
        <is>
          <t>Critical certification blocker — Serial clash on MD-00074 (MISMATCH-0074 vs MD-MO-050074 via 1ZMD00000074). Do not clear Available.</t>
        </is>
      </c>
      <c r="M80" s="12" t="inlineStr">
        <is>
          <t>Blocks certification</t>
        </is>
      </c>
    </row>
    <row r="81">
      <c r="A81" s="7" t="inlineStr">
        <is>
          <t>EX-0077</t>
        </is>
      </c>
      <c r="B81" s="7" t="inlineStr">
        <is>
          <t>Former Employee Assignment</t>
        </is>
      </c>
      <c r="C81" s="10" t="inlineStr">
        <is>
          <t>High</t>
        </is>
      </c>
      <c r="D81" s="7" t="inlineStr">
        <is>
          <t>MD-00074</t>
        </is>
      </c>
      <c r="E81" s="7" t="inlineStr">
        <is>
          <t>MD-MO-050074</t>
        </is>
      </c>
      <c r="F81" s="7" t="inlineStr">
        <is>
          <t>Employee:E0087; Ticket:OFF-00074</t>
        </is>
      </c>
      <c r="G81" s="7">
        <f>IF(B81="Inventory-to-Ledger Difference",IF(IFERROR(XLOOKUP(D81,'Source Ledger'!$B$5:$B$200,'Source Ledger'!$H$5:$H$200),"")="Disposed",IFERROR(XLOOKUP(D81,'Source Ledger'!$B$5:$B$200,'Source Ledger'!$G$5:$G$200),0),IF(IFERROR(XLOOKUP(D81,'Source Ledger'!$B$5:$B$200,'Source Ledger'!$E$5:$E$200),"")="",IFERROR(XLOOKUP(D81,'Corrected Register'!$A$5:$A$200,'Corrected Register'!$M$5:$M$200),0),ABS(IFERROR(XLOOKUP(D81,'Source Ledger'!$B$5:$B$200,'Source Ledger'!$E$5:$E$200),0)-IFERROR(XLOOKUP(D81,'Corrected Register'!$A$5:$A$200,'Corrected Register'!$M$5:$M$200),0)))),IFERROR(XLOOKUP(D81,'Corrected Register'!$A$5:$A$200,'Corrected Register'!$N$5:$N$200),0))</f>
        <v/>
      </c>
      <c r="H81" s="7" t="inlineStr">
        <is>
          <t>HR Operations Lead: clear former-employee assignment on MD-00074 (Nolan Vega) (EX-0077).</t>
        </is>
      </c>
      <c r="I81" s="7" t="inlineStr">
        <is>
          <t>HR Operations Lead</t>
        </is>
      </c>
      <c r="J81" s="7" t="inlineStr">
        <is>
          <t>2026-08-16</t>
        </is>
      </c>
      <c r="K81" s="7" t="inlineStr">
        <is>
          <t>Open</t>
        </is>
      </c>
      <c r="L81" s="7" t="inlineStr">
        <is>
          <t>HR shows Nolan Vega (E0087) terminated, yet the register still lists them on MD-00074 (OFF-00074) — EX-0077.</t>
        </is>
      </c>
      <c r="M81" s="7" t="inlineStr">
        <is>
          <t>Requires remediation</t>
        </is>
      </c>
    </row>
    <row r="82">
      <c r="A82" s="7" t="inlineStr">
        <is>
          <t>EX-0078</t>
        </is>
      </c>
      <c r="B82" s="7" t="inlineStr">
        <is>
          <t>Overdue Return</t>
        </is>
      </c>
      <c r="C82" s="8" t="inlineStr">
        <is>
          <t>Critical</t>
        </is>
      </c>
      <c r="D82" s="7" t="inlineStr">
        <is>
          <t>MD-00074</t>
        </is>
      </c>
      <c r="E82" s="7" t="inlineStr">
        <is>
          <t>MD-MO-050074</t>
        </is>
      </c>
      <c r="F82" s="7" t="inlineStr">
        <is>
          <t>Ticket:OFF-00074; Tracking:1ZMD00000074; ReturnDue:2026-07-15</t>
        </is>
      </c>
      <c r="G82" s="7">
        <f>IF(B82="Inventory-to-Ledger Difference",IF(IFERROR(XLOOKUP(D82,'Source Ledger'!$B$5:$B$200,'Source Ledger'!$H$5:$H$200),"")="Disposed",IFERROR(XLOOKUP(D82,'Source Ledger'!$B$5:$B$200,'Source Ledger'!$G$5:$G$200),0),IF(IFERROR(XLOOKUP(D82,'Source Ledger'!$B$5:$B$200,'Source Ledger'!$E$5:$E$200),"")="",IFERROR(XLOOKUP(D82,'Corrected Register'!$A$5:$A$200,'Corrected Register'!$M$5:$M$200),0),ABS(IFERROR(XLOOKUP(D82,'Source Ledger'!$B$5:$B$200,'Source Ledger'!$E$5:$E$200),0)-IFERROR(XLOOKUP(D82,'Corrected Register'!$A$5:$A$200,'Corrected Register'!$M$5:$M$200),0)))),IFERROR(XLOOKUP(D82,'Corrected Register'!$A$5:$A$200,'Corrected Register'!$N$5:$N$200),0))</f>
        <v/>
      </c>
      <c r="H82" s="7" t="inlineStr">
        <is>
          <t>Escalate recovery of MD-00074; 1ZMD00000074 is not proof of return (EX-0078).</t>
        </is>
      </c>
      <c r="I82" s="7" t="inlineStr">
        <is>
          <t>IT Asset Specialist</t>
        </is>
      </c>
      <c r="J82" s="7" t="inlineStr">
        <is>
          <t>2026-08-14</t>
        </is>
      </c>
      <c r="K82" s="7" t="inlineStr">
        <is>
          <t>Open</t>
        </is>
      </c>
      <c r="L82" s="7" t="inlineStr">
        <is>
          <t>Cannot treat MD-00074 as returned: 1ZMD00000074 lacks carrier acceptance and receiving scan for MD-MO-050074 (EX-0078).</t>
        </is>
      </c>
      <c r="M82" s="12" t="inlineStr">
        <is>
          <t>Blocks certification</t>
        </is>
      </c>
    </row>
    <row r="83">
      <c r="A83" s="7" t="inlineStr">
        <is>
          <t>EX-0079</t>
        </is>
      </c>
      <c r="B83" s="7" t="inlineStr">
        <is>
          <t>Overdue Return</t>
        </is>
      </c>
      <c r="C83" s="8" t="inlineStr">
        <is>
          <t>Critical</t>
        </is>
      </c>
      <c r="D83" s="7" t="inlineStr">
        <is>
          <t>MD-00075</t>
        </is>
      </c>
      <c r="E83" s="7" t="inlineStr">
        <is>
          <t>MD-MO-050075</t>
        </is>
      </c>
      <c r="F83" s="7" t="inlineStr">
        <is>
          <t>Ticket:OFF-00075; Tracking:1ZMD00000075; ReturnDue:2026-07-15</t>
        </is>
      </c>
      <c r="G83" s="7">
        <f>IF(B83="Inventory-to-Ledger Difference",IF(IFERROR(XLOOKUP(D83,'Source Ledger'!$B$5:$B$200,'Source Ledger'!$H$5:$H$200),"")="Disposed",IFERROR(XLOOKUP(D83,'Source Ledger'!$B$5:$B$200,'Source Ledger'!$G$5:$G$200),0),IF(IFERROR(XLOOKUP(D83,'Source Ledger'!$B$5:$B$200,'Source Ledger'!$E$5:$E$200),"")="",IFERROR(XLOOKUP(D83,'Corrected Register'!$A$5:$A$200,'Corrected Register'!$M$5:$M$200),0),ABS(IFERROR(XLOOKUP(D83,'Source Ledger'!$B$5:$B$200,'Source Ledger'!$E$5:$E$200),0)-IFERROR(XLOOKUP(D83,'Corrected Register'!$A$5:$A$200,'Corrected Register'!$M$5:$M$200),0)))),IFERROR(XLOOKUP(D83,'Corrected Register'!$A$5:$A$200,'Corrected Register'!$N$5:$N$200),0))</f>
        <v/>
      </c>
      <c r="H83" s="7" t="inlineStr">
        <is>
          <t>Escalate recovery of MD-00075; 1ZMD00000075 is not proof of return (EX-0079).</t>
        </is>
      </c>
      <c r="I83" s="7" t="inlineStr">
        <is>
          <t>IT Asset Specialist</t>
        </is>
      </c>
      <c r="J83" s="7" t="inlineStr">
        <is>
          <t>2026-08-14</t>
        </is>
      </c>
      <c r="K83" s="7" t="inlineStr">
        <is>
          <t>Open</t>
        </is>
      </c>
      <c r="L83" s="7" t="inlineStr">
        <is>
          <t>OFF-00075 still open on paper for MD-00075; shipment 1ZMD00000075 shows Label Created only (EX-0079).</t>
        </is>
      </c>
      <c r="M83" s="12" t="inlineStr">
        <is>
          <t>Blocks certification</t>
        </is>
      </c>
    </row>
    <row r="84">
      <c r="A84" s="7" t="inlineStr">
        <is>
          <t>EX-0080</t>
        </is>
      </c>
      <c r="B84" s="7" t="inlineStr">
        <is>
          <t>Former Employee Assignment</t>
        </is>
      </c>
      <c r="C84" s="10" t="inlineStr">
        <is>
          <t>High</t>
        </is>
      </c>
      <c r="D84" s="7" t="inlineStr">
        <is>
          <t>MD-00075</t>
        </is>
      </c>
      <c r="E84" s="7" t="inlineStr">
        <is>
          <t>MD-MO-050075</t>
        </is>
      </c>
      <c r="F84" s="7" t="inlineStr">
        <is>
          <t>Employee:E0088; Ticket:OFF-00075</t>
        </is>
      </c>
      <c r="G84" s="7">
        <f>IF(B84="Inventory-to-Ledger Difference",IF(IFERROR(XLOOKUP(D84,'Source Ledger'!$B$5:$B$200,'Source Ledger'!$H$5:$H$200),"")="Disposed",IFERROR(XLOOKUP(D84,'Source Ledger'!$B$5:$B$200,'Source Ledger'!$G$5:$G$200),0),IF(IFERROR(XLOOKUP(D84,'Source Ledger'!$B$5:$B$200,'Source Ledger'!$E$5:$E$200),"")="",IFERROR(XLOOKUP(D84,'Corrected Register'!$A$5:$A$200,'Corrected Register'!$M$5:$M$200),0),ABS(IFERROR(XLOOKUP(D84,'Source Ledger'!$B$5:$B$200,'Source Ledger'!$E$5:$E$200),0)-IFERROR(XLOOKUP(D84,'Corrected Register'!$A$5:$A$200,'Corrected Register'!$M$5:$M$200),0)))),IFERROR(XLOOKUP(D84,'Corrected Register'!$A$5:$A$200,'Corrected Register'!$N$5:$N$200),0))</f>
        <v/>
      </c>
      <c r="H84" s="7" t="inlineStr">
        <is>
          <t>Reassign MD-00075 off separated Ivy Chenoweth to a stock/Regional IT bucket (EX-0080).</t>
        </is>
      </c>
      <c r="I84" s="7" t="inlineStr">
        <is>
          <t>HR Operations Lead</t>
        </is>
      </c>
      <c r="J84" s="7" t="inlineStr">
        <is>
          <t>2026-08-16</t>
        </is>
      </c>
      <c r="K84" s="7" t="inlineStr">
        <is>
          <t>Open</t>
        </is>
      </c>
      <c r="L84" s="7" t="inlineStr">
        <is>
          <t>Separated custodian Ivy Chenoweth (E0088) remains on MD-00075 after OFF-00075 closed. Clear under EX-0080.</t>
        </is>
      </c>
      <c r="M84" s="7" t="inlineStr">
        <is>
          <t>Requires remediation</t>
        </is>
      </c>
    </row>
    <row r="85">
      <c r="A85" s="7" t="inlineStr">
        <is>
          <t>EX-0081</t>
        </is>
      </c>
      <c r="B85" s="7" t="inlineStr">
        <is>
          <t>Shipment Mismatch</t>
        </is>
      </c>
      <c r="C85" s="8" t="inlineStr">
        <is>
          <t>Critical</t>
        </is>
      </c>
      <c r="D85" s="7" t="inlineStr">
        <is>
          <t>MD-00076</t>
        </is>
      </c>
      <c r="E85" s="7" t="inlineStr">
        <is>
          <t>MD-NE-050076</t>
        </is>
      </c>
      <c r="F85" s="7" t="inlineStr">
        <is>
          <t>Ticket:OFF-00076; Tracking:1ZMD00000076; ShipmentSerial:MISMATCH-0076</t>
        </is>
      </c>
      <c r="G85" s="7">
        <f>IF(B85="Inventory-to-Ledger Difference",IF(IFERROR(XLOOKUP(D85,'Source Ledger'!$B$5:$B$200,'Source Ledger'!$H$5:$H$200),"")="Disposed",IFERROR(XLOOKUP(D85,'Source Ledger'!$B$5:$B$200,'Source Ledger'!$G$5:$G$200),0),IF(IFERROR(XLOOKUP(D85,'Source Ledger'!$B$5:$B$200,'Source Ledger'!$E$5:$E$200),"")="",IFERROR(XLOOKUP(D85,'Corrected Register'!$A$5:$A$200,'Corrected Register'!$M$5:$M$200),0),ABS(IFERROR(XLOOKUP(D85,'Source Ledger'!$B$5:$B$200,'Source Ledger'!$E$5:$E$200),0)-IFERROR(XLOOKUP(D85,'Corrected Register'!$A$5:$A$200,'Corrected Register'!$M$5:$M$200),0)))),IFERROR(XLOOKUP(D85,'Corrected Register'!$A$5:$A$200,'Corrected Register'!$N$5:$N$200),0))</f>
        <v/>
      </c>
      <c r="H85" s="7" t="inlineStr">
        <is>
          <t>Critical certification blocker — IT Operations Manager: block Available on MD-00076 until mismatch cleared (EX-0081).</t>
        </is>
      </c>
      <c r="I85" s="7" t="inlineStr">
        <is>
          <t>IT Operations Manager</t>
        </is>
      </c>
      <c r="J85" s="7" t="inlineStr">
        <is>
          <t>2026-08-13</t>
        </is>
      </c>
      <c r="K85" s="7" t="inlineStr">
        <is>
          <t>Open</t>
        </is>
      </c>
      <c r="L85" s="7" t="inlineStr">
        <is>
          <t>Critical certification blocker — Inbound MISMATCH-0076 on 1ZMD00000076 disagrees with register MD-NE-050076; MD-00076 stays In Transit - Exception until reconciled.</t>
        </is>
      </c>
      <c r="M85" s="12" t="inlineStr">
        <is>
          <t>Blocks certification</t>
        </is>
      </c>
    </row>
    <row r="86">
      <c r="A86" s="7" t="inlineStr">
        <is>
          <t>EX-0082</t>
        </is>
      </c>
      <c r="B86" s="7" t="inlineStr">
        <is>
          <t>Former Employee Assignment</t>
        </is>
      </c>
      <c r="C86" s="10" t="inlineStr">
        <is>
          <t>High</t>
        </is>
      </c>
      <c r="D86" s="7" t="inlineStr">
        <is>
          <t>MD-00076</t>
        </is>
      </c>
      <c r="E86" s="7" t="inlineStr">
        <is>
          <t>MD-NE-050076</t>
        </is>
      </c>
      <c r="F86" s="7" t="inlineStr">
        <is>
          <t>Employee:E0089; Ticket:OFF-00076</t>
        </is>
      </c>
      <c r="G86" s="7">
        <f>IF(B86="Inventory-to-Ledger Difference",IF(IFERROR(XLOOKUP(D86,'Source Ledger'!$B$5:$B$200,'Source Ledger'!$H$5:$H$200),"")="Disposed",IFERROR(XLOOKUP(D86,'Source Ledger'!$B$5:$B$200,'Source Ledger'!$G$5:$G$200),0),IF(IFERROR(XLOOKUP(D86,'Source Ledger'!$B$5:$B$200,'Source Ledger'!$E$5:$E$200),"")="",IFERROR(XLOOKUP(D86,'Corrected Register'!$A$5:$A$200,'Corrected Register'!$M$5:$M$200),0),ABS(IFERROR(XLOOKUP(D86,'Source Ledger'!$B$5:$B$200,'Source Ledger'!$E$5:$E$200),0)-IFERROR(XLOOKUP(D86,'Corrected Register'!$A$5:$A$200,'Corrected Register'!$M$5:$M$200),0)))),IFERROR(XLOOKUP(D86,'Corrected Register'!$A$5:$A$200,'Corrected Register'!$N$5:$N$200),0))</f>
        <v/>
      </c>
      <c r="H86" s="7" t="inlineStr">
        <is>
          <t>HR Operations Lead: clear former-employee assignment on MD-00076 (Percy Lambert) (EX-0082).</t>
        </is>
      </c>
      <c r="I86" s="7" t="inlineStr">
        <is>
          <t>HR Operations Lead</t>
        </is>
      </c>
      <c r="J86" s="7" t="inlineStr">
        <is>
          <t>2026-08-16</t>
        </is>
      </c>
      <c r="K86" s="7" t="inlineStr">
        <is>
          <t>Open</t>
        </is>
      </c>
      <c r="L86" s="7" t="inlineStr">
        <is>
          <t>Separated custodian Percy Lambert (E0089) remains on MD-00076 after OFF-00076 closed. Clear under EX-0082.</t>
        </is>
      </c>
      <c r="M86" s="7" t="inlineStr">
        <is>
          <t>Requires remediation</t>
        </is>
      </c>
    </row>
    <row r="87">
      <c r="A87" s="7" t="inlineStr">
        <is>
          <t>EX-0083</t>
        </is>
      </c>
      <c r="B87" s="7" t="inlineStr">
        <is>
          <t>Overdue Return</t>
        </is>
      </c>
      <c r="C87" s="8" t="inlineStr">
        <is>
          <t>Critical</t>
        </is>
      </c>
      <c r="D87" s="7" t="inlineStr">
        <is>
          <t>MD-00076</t>
        </is>
      </c>
      <c r="E87" s="7" t="inlineStr">
        <is>
          <t>MD-NE-050076</t>
        </is>
      </c>
      <c r="F87" s="7" t="inlineStr">
        <is>
          <t>Ticket:OFF-00076; Tracking:1ZMD00000076; ReturnDue:2026-07-15</t>
        </is>
      </c>
      <c r="G87" s="7">
        <f>IF(B87="Inventory-to-Ledger Difference",IF(IFERROR(XLOOKUP(D87,'Source Ledger'!$B$5:$B$200,'Source Ledger'!$H$5:$H$200),"")="Disposed",IFERROR(XLOOKUP(D87,'Source Ledger'!$B$5:$B$200,'Source Ledger'!$G$5:$G$200),0),IF(IFERROR(XLOOKUP(D87,'Source Ledger'!$B$5:$B$200,'Source Ledger'!$E$5:$E$200),"")="",IFERROR(XLOOKUP(D87,'Corrected Register'!$A$5:$A$200,'Corrected Register'!$M$5:$M$200),0),ABS(IFERROR(XLOOKUP(D87,'Source Ledger'!$B$5:$B$200,'Source Ledger'!$E$5:$E$200),0)-IFERROR(XLOOKUP(D87,'Corrected Register'!$A$5:$A$200,'Corrected Register'!$M$5:$M$200),0)))),IFERROR(XLOOKUP(D87,'Corrected Register'!$A$5:$A$200,'Corrected Register'!$N$5:$N$200),0))</f>
        <v/>
      </c>
      <c r="H87" s="7" t="inlineStr">
        <is>
          <t>IT Asset Specialist: chase MD-00076 overdue return — Label Created only on 1ZMD00000076 (EX-0083).</t>
        </is>
      </c>
      <c r="I87" s="7" t="inlineStr">
        <is>
          <t>IT Asset Specialist</t>
        </is>
      </c>
      <c r="J87" s="7" t="inlineStr">
        <is>
          <t>2026-08-14</t>
        </is>
      </c>
      <c r="K87" s="7" t="inlineStr">
        <is>
          <t>Open</t>
        </is>
      </c>
      <c r="L87" s="7" t="inlineStr">
        <is>
          <t>Return clock on MD-00076 expired with only a prepaid label (1ZMD00000076) — not docked (EX-0083).</t>
        </is>
      </c>
      <c r="M87" s="12" t="inlineStr">
        <is>
          <t>Blocks certification</t>
        </is>
      </c>
    </row>
    <row r="88">
      <c r="A88" s="7" t="inlineStr">
        <is>
          <t>EX-0084</t>
        </is>
      </c>
      <c r="B88" s="7" t="inlineStr">
        <is>
          <t>Overdue Return</t>
        </is>
      </c>
      <c r="C88" s="8" t="inlineStr">
        <is>
          <t>Critical</t>
        </is>
      </c>
      <c r="D88" s="7" t="inlineStr">
        <is>
          <t>MD-00077</t>
        </is>
      </c>
      <c r="E88" s="7" t="inlineStr">
        <is>
          <t>MD-LA-050077</t>
        </is>
      </c>
      <c r="F88" s="7" t="inlineStr">
        <is>
          <t>Ticket:OFF-00077; Tracking:1ZMD00000077; ReturnDue:2026-07-15</t>
        </is>
      </c>
      <c r="G88" s="7">
        <f>IF(B88="Inventory-to-Ledger Difference",IF(IFERROR(XLOOKUP(D88,'Source Ledger'!$B$5:$B$200,'Source Ledger'!$H$5:$H$200),"")="Disposed",IFERROR(XLOOKUP(D88,'Source Ledger'!$B$5:$B$200,'Source Ledger'!$G$5:$G$200),0),IF(IFERROR(XLOOKUP(D88,'Source Ledger'!$B$5:$B$200,'Source Ledger'!$E$5:$E$200),"")="",IFERROR(XLOOKUP(D88,'Corrected Register'!$A$5:$A$200,'Corrected Register'!$M$5:$M$200),0),ABS(IFERROR(XLOOKUP(D88,'Source Ledger'!$B$5:$B$200,'Source Ledger'!$E$5:$E$200),0)-IFERROR(XLOOKUP(D88,'Corrected Register'!$A$5:$A$200,'Corrected Register'!$M$5:$M$200),0)))),IFERROR(XLOOKUP(D88,'Corrected Register'!$A$5:$A$200,'Corrected Register'!$N$5:$N$200),0))</f>
        <v/>
      </c>
      <c r="H88" s="7" t="inlineStr">
        <is>
          <t>Escalate recovery of MD-00077; 1ZMD00000077 is not proof of return (EX-0084).</t>
        </is>
      </c>
      <c r="I88" s="7" t="inlineStr">
        <is>
          <t>IT Asset Specialist</t>
        </is>
      </c>
      <c r="J88" s="7" t="inlineStr">
        <is>
          <t>2026-08-14</t>
        </is>
      </c>
      <c r="K88" s="7" t="inlineStr">
        <is>
          <t>Open</t>
        </is>
      </c>
      <c r="L88" s="7" t="inlineStr">
        <is>
          <t>1ZMD00000077 for MD-00077 never advanced past Label Created; no acceptance, delivery, or receiving scan for MD-LA-050077 (EX-0084).</t>
        </is>
      </c>
      <c r="M88" s="12" t="inlineStr">
        <is>
          <t>Blocks certification</t>
        </is>
      </c>
    </row>
    <row r="89">
      <c r="A89" s="7" t="inlineStr">
        <is>
          <t>EX-0085</t>
        </is>
      </c>
      <c r="B89" s="7" t="inlineStr">
        <is>
          <t>Former Employee Assignment</t>
        </is>
      </c>
      <c r="C89" s="10" t="inlineStr">
        <is>
          <t>High</t>
        </is>
      </c>
      <c r="D89" s="7" t="inlineStr">
        <is>
          <t>MD-00077</t>
        </is>
      </c>
      <c r="E89" s="7" t="inlineStr">
        <is>
          <t>MD-LA-050077</t>
        </is>
      </c>
      <c r="F89" s="7" t="inlineStr">
        <is>
          <t>Employee:E0090; Ticket:OFF-00077</t>
        </is>
      </c>
      <c r="G89" s="7">
        <f>IF(B89="Inventory-to-Ledger Difference",IF(IFERROR(XLOOKUP(D89,'Source Ledger'!$B$5:$B$200,'Source Ledger'!$H$5:$H$200),"")="Disposed",IFERROR(XLOOKUP(D89,'Source Ledger'!$B$5:$B$200,'Source Ledger'!$G$5:$G$200),0),IF(IFERROR(XLOOKUP(D89,'Source Ledger'!$B$5:$B$200,'Source Ledger'!$E$5:$E$200),"")="",IFERROR(XLOOKUP(D89,'Corrected Register'!$A$5:$A$200,'Corrected Register'!$M$5:$M$200),0),ABS(IFERROR(XLOOKUP(D89,'Source Ledger'!$B$5:$B$200,'Source Ledger'!$E$5:$E$200),0)-IFERROR(XLOOKUP(D89,'Corrected Register'!$A$5:$A$200,'Corrected Register'!$M$5:$M$200),0)))),IFERROR(XLOOKUP(D89,'Corrected Register'!$A$5:$A$200,'Corrected Register'!$N$5:$N$200),0))</f>
        <v/>
      </c>
      <c r="H89" s="7" t="inlineStr">
        <is>
          <t>Remove Dana Ghosh from MD-00077; park under Regional IT or IT Stock (EX-0085).</t>
        </is>
      </c>
      <c r="I89" s="7" t="inlineStr">
        <is>
          <t>HR Operations Lead</t>
        </is>
      </c>
      <c r="J89" s="7" t="inlineStr">
        <is>
          <t>2026-08-16</t>
        </is>
      </c>
      <c r="K89" s="7" t="inlineStr">
        <is>
          <t>Open</t>
        </is>
      </c>
      <c r="L89" s="7" t="inlineStr">
        <is>
          <t>Offboarding left MD-00077 hanging on Dana Ghosh (E0090); status Separated in hr_employee_status, ticket OFF-00077. EX-0085.</t>
        </is>
      </c>
      <c r="M89" s="7" t="inlineStr">
        <is>
          <t>Requires remediation</t>
        </is>
      </c>
    </row>
    <row r="90">
      <c r="A90" s="7" t="inlineStr">
        <is>
          <t>EX-0086</t>
        </is>
      </c>
      <c r="B90" s="7" t="inlineStr">
        <is>
          <t>Overdue Return</t>
        </is>
      </c>
      <c r="C90" s="8" t="inlineStr">
        <is>
          <t>Critical</t>
        </is>
      </c>
      <c r="D90" s="7" t="inlineStr">
        <is>
          <t>MD-00078</t>
        </is>
      </c>
      <c r="E90" s="7" t="inlineStr">
        <is>
          <t>MD-MO-050078</t>
        </is>
      </c>
      <c r="F90" s="7" t="inlineStr">
        <is>
          <t>Ticket:OFF-00078; Tracking:1ZMD00000078; ReturnDue:2026-07-15</t>
        </is>
      </c>
      <c r="G90" s="7">
        <f>IF(B90="Inventory-to-Ledger Difference",IF(IFERROR(XLOOKUP(D90,'Source Ledger'!$B$5:$B$200,'Source Ledger'!$H$5:$H$200),"")="Disposed",IFERROR(XLOOKUP(D90,'Source Ledger'!$B$5:$B$200,'Source Ledger'!$G$5:$G$200),0),IF(IFERROR(XLOOKUP(D90,'Source Ledger'!$B$5:$B$200,'Source Ledger'!$E$5:$E$200),"")="",IFERROR(XLOOKUP(D90,'Corrected Register'!$A$5:$A$200,'Corrected Register'!$M$5:$M$200),0),ABS(IFERROR(XLOOKUP(D90,'Source Ledger'!$B$5:$B$200,'Source Ledger'!$E$5:$E$200),0)-IFERROR(XLOOKUP(D90,'Corrected Register'!$A$5:$A$200,'Corrected Register'!$M$5:$M$200),0)))),IFERROR(XLOOKUP(D90,'Corrected Register'!$A$5:$A$200,'Corrected Register'!$N$5:$N$200),0))</f>
        <v/>
      </c>
      <c r="H90" s="7" t="inlineStr">
        <is>
          <t>Escalate recovery of MD-00078; 1ZMD00000078 is not proof of return (EX-0086).</t>
        </is>
      </c>
      <c r="I90" s="7" t="inlineStr">
        <is>
          <t>IT Asset Specialist</t>
        </is>
      </c>
      <c r="J90" s="7" t="inlineStr">
        <is>
          <t>2026-08-14</t>
        </is>
      </c>
      <c r="K90" s="7" t="inlineStr">
        <is>
          <t>Open</t>
        </is>
      </c>
      <c r="L90" s="7" t="inlineStr">
        <is>
          <t>Return clock on MD-00078 expired with only a prepaid label (1ZMD00000078) — not docked (EX-0086).</t>
        </is>
      </c>
      <c r="M90" s="12" t="inlineStr">
        <is>
          <t>Blocks certification</t>
        </is>
      </c>
    </row>
    <row r="91">
      <c r="A91" s="7" t="inlineStr">
        <is>
          <t>EX-0087</t>
        </is>
      </c>
      <c r="B91" s="7" t="inlineStr">
        <is>
          <t>Former Employee Assignment</t>
        </is>
      </c>
      <c r="C91" s="10" t="inlineStr">
        <is>
          <t>High</t>
        </is>
      </c>
      <c r="D91" s="7" t="inlineStr">
        <is>
          <t>MD-00078</t>
        </is>
      </c>
      <c r="E91" s="7" t="inlineStr">
        <is>
          <t>MD-MO-050078</t>
        </is>
      </c>
      <c r="F91" s="7" t="inlineStr">
        <is>
          <t>Employee:E0091; Ticket:OFF-00078</t>
        </is>
      </c>
      <c r="G91" s="7">
        <f>IF(B91="Inventory-to-Ledger Difference",IF(IFERROR(XLOOKUP(D91,'Source Ledger'!$B$5:$B$200,'Source Ledger'!$H$5:$H$200),"")="Disposed",IFERROR(XLOOKUP(D91,'Source Ledger'!$B$5:$B$200,'Source Ledger'!$G$5:$G$200),0),IF(IFERROR(XLOOKUP(D91,'Source Ledger'!$B$5:$B$200,'Source Ledger'!$E$5:$E$200),"")="",IFERROR(XLOOKUP(D91,'Corrected Register'!$A$5:$A$200,'Corrected Register'!$M$5:$M$200),0),ABS(IFERROR(XLOOKUP(D91,'Source Ledger'!$B$5:$B$200,'Source Ledger'!$E$5:$E$200),0)-IFERROR(XLOOKUP(D91,'Corrected Register'!$A$5:$A$200,'Corrected Register'!$M$5:$M$200),0)))),IFERROR(XLOOKUP(D91,'Corrected Register'!$A$5:$A$200,'Corrected Register'!$N$5:$N$200),0))</f>
        <v/>
      </c>
      <c r="H91" s="7" t="inlineStr">
        <is>
          <t>Reassign MD-00078 off separated Harlan Smith to a stock/Regional IT bucket (EX-0087).</t>
        </is>
      </c>
      <c r="I91" s="7" t="inlineStr">
        <is>
          <t>HR Operations Lead</t>
        </is>
      </c>
      <c r="J91" s="7" t="inlineStr">
        <is>
          <t>2026-08-16</t>
        </is>
      </c>
      <c r="K91" s="7" t="inlineStr">
        <is>
          <t>Open</t>
        </is>
      </c>
      <c r="L91" s="7" t="inlineStr">
        <is>
          <t>MD-00078 is still assigned to Harlan Smith (E0091), whose hr_employee_status row is Separated; OFF-00078 closed with no custodian rewrite (EX-0087).</t>
        </is>
      </c>
      <c r="M91" s="7" t="inlineStr">
        <is>
          <t>Requires remediation</t>
        </is>
      </c>
    </row>
    <row r="92">
      <c r="A92" s="7" t="inlineStr">
        <is>
          <t>EX-0088</t>
        </is>
      </c>
      <c r="B92" s="7" t="inlineStr">
        <is>
          <t>Overdue Return</t>
        </is>
      </c>
      <c r="C92" s="8" t="inlineStr">
        <is>
          <t>Critical</t>
        </is>
      </c>
      <c r="D92" s="7" t="inlineStr">
        <is>
          <t>MD-00079</t>
        </is>
      </c>
      <c r="E92" s="7" t="inlineStr">
        <is>
          <t>MD-MO-050079</t>
        </is>
      </c>
      <c r="F92" s="7" t="inlineStr">
        <is>
          <t>Ticket:OFF-00079; Tracking:1ZMD00000079; ReturnDue:2026-07-15</t>
        </is>
      </c>
      <c r="G92" s="7">
        <f>IF(B92="Inventory-to-Ledger Difference",IF(IFERROR(XLOOKUP(D92,'Source Ledger'!$B$5:$B$200,'Source Ledger'!$H$5:$H$200),"")="Disposed",IFERROR(XLOOKUP(D92,'Source Ledger'!$B$5:$B$200,'Source Ledger'!$G$5:$G$200),0),IF(IFERROR(XLOOKUP(D92,'Source Ledger'!$B$5:$B$200,'Source Ledger'!$E$5:$E$200),"")="",IFERROR(XLOOKUP(D92,'Corrected Register'!$A$5:$A$200,'Corrected Register'!$M$5:$M$200),0),ABS(IFERROR(XLOOKUP(D92,'Source Ledger'!$B$5:$B$200,'Source Ledger'!$E$5:$E$200),0)-IFERROR(XLOOKUP(D92,'Corrected Register'!$A$5:$A$200,'Corrected Register'!$M$5:$M$200),0)))),IFERROR(XLOOKUP(D92,'Corrected Register'!$A$5:$A$200,'Corrected Register'!$N$5:$N$200),0))</f>
        <v/>
      </c>
      <c r="H92" s="7" t="inlineStr">
        <is>
          <t>Do not clear MD-00079 Available until carrier acceptance + receiving scan exist (EX-0088).</t>
        </is>
      </c>
      <c r="I92" s="7" t="inlineStr">
        <is>
          <t>IT Asset Specialist</t>
        </is>
      </c>
      <c r="J92" s="7" t="inlineStr">
        <is>
          <t>2026-08-14</t>
        </is>
      </c>
      <c r="K92" s="7" t="inlineStr">
        <is>
          <t>Open</t>
        </is>
      </c>
      <c r="L92" s="7" t="inlineStr">
        <is>
          <t>OFF-00079 still open on paper for MD-00079; shipment 1ZMD00000079 shows Label Created only (EX-0088).</t>
        </is>
      </c>
      <c r="M92" s="12" t="inlineStr">
        <is>
          <t>Blocks certification</t>
        </is>
      </c>
    </row>
    <row r="93">
      <c r="A93" s="7" t="inlineStr">
        <is>
          <t>EX-0089</t>
        </is>
      </c>
      <c r="B93" s="7" t="inlineStr">
        <is>
          <t>Former Employee Assignment</t>
        </is>
      </c>
      <c r="C93" s="10" t="inlineStr">
        <is>
          <t>High</t>
        </is>
      </c>
      <c r="D93" s="7" t="inlineStr">
        <is>
          <t>MD-00079</t>
        </is>
      </c>
      <c r="E93" s="7" t="inlineStr">
        <is>
          <t>MD-MO-050079</t>
        </is>
      </c>
      <c r="F93" s="7" t="inlineStr">
        <is>
          <t>Employee:E0092; Ticket:OFF-00079</t>
        </is>
      </c>
      <c r="G93" s="7">
        <f>IF(B93="Inventory-to-Ledger Difference",IF(IFERROR(XLOOKUP(D93,'Source Ledger'!$B$5:$B$200,'Source Ledger'!$H$5:$H$200),"")="Disposed",IFERROR(XLOOKUP(D93,'Source Ledger'!$B$5:$B$200,'Source Ledger'!$G$5:$G$200),0),IF(IFERROR(XLOOKUP(D93,'Source Ledger'!$B$5:$B$200,'Source Ledger'!$E$5:$E$200),"")="",IFERROR(XLOOKUP(D93,'Corrected Register'!$A$5:$A$200,'Corrected Register'!$M$5:$M$200),0),ABS(IFERROR(XLOOKUP(D93,'Source Ledger'!$B$5:$B$200,'Source Ledger'!$E$5:$E$200),0)-IFERROR(XLOOKUP(D93,'Corrected Register'!$A$5:$A$200,'Corrected Register'!$M$5:$M$200),0)))),IFERROR(XLOOKUP(D93,'Corrected Register'!$A$5:$A$200,'Corrected Register'!$N$5:$N$200),0))</f>
        <v/>
      </c>
      <c r="H93" s="7" t="inlineStr">
        <is>
          <t>HR Operations Lead: clear former-employee assignment on MD-00079 (June Okoye) (EX-0089).</t>
        </is>
      </c>
      <c r="I93" s="7" t="inlineStr">
        <is>
          <t>HR Operations Lead</t>
        </is>
      </c>
      <c r="J93" s="7" t="inlineStr">
        <is>
          <t>2026-08-16</t>
        </is>
      </c>
      <c r="K93" s="7" t="inlineStr">
        <is>
          <t>Open</t>
        </is>
      </c>
      <c r="L93" s="7" t="inlineStr">
        <is>
          <t>MD-00079 is still assigned to June Okoye (E0092), whose hr_employee_status row is Separated; OFF-00079 closed with no custodian rewrite (EX-0089).</t>
        </is>
      </c>
      <c r="M93" s="7" t="inlineStr">
        <is>
          <t>Requires remediation</t>
        </is>
      </c>
    </row>
    <row r="94">
      <c r="A94" s="7" t="inlineStr">
        <is>
          <t>EX-0090</t>
        </is>
      </c>
      <c r="B94" s="7" t="inlineStr">
        <is>
          <t>Former Employee Assignment</t>
        </is>
      </c>
      <c r="C94" s="10" t="inlineStr">
        <is>
          <t>High</t>
        </is>
      </c>
      <c r="D94" s="7" t="inlineStr">
        <is>
          <t>MD-00080</t>
        </is>
      </c>
      <c r="E94" s="7" t="inlineStr">
        <is>
          <t>MD-NE-050080</t>
        </is>
      </c>
      <c r="F94" s="7" t="inlineStr">
        <is>
          <t>Employee:E0093; Ticket:OFF-00080; Tracking:1ZMD00000080</t>
        </is>
      </c>
      <c r="G94" s="7">
        <f>IF(B94="Inventory-to-Ledger Difference",IF(IFERROR(XLOOKUP(D94,'Source Ledger'!$B$5:$B$200,'Source Ledger'!$H$5:$H$200),"")="Disposed",IFERROR(XLOOKUP(D94,'Source Ledger'!$B$5:$B$200,'Source Ledger'!$G$5:$G$200),0),IF(IFERROR(XLOOKUP(D94,'Source Ledger'!$B$5:$B$200,'Source Ledger'!$E$5:$E$200),"")="",IFERROR(XLOOKUP(D94,'Corrected Register'!$A$5:$A$200,'Corrected Register'!$M$5:$M$200),0),ABS(IFERROR(XLOOKUP(D94,'Source Ledger'!$B$5:$B$200,'Source Ledger'!$E$5:$E$200),0)-IFERROR(XLOOKUP(D94,'Corrected Register'!$A$5:$A$200,'Corrected Register'!$M$5:$M$200),0)))),IFERROR(XLOOKUP(D94,'Corrected Register'!$A$5:$A$200,'Corrected Register'!$N$5:$N$200),0))</f>
        <v/>
      </c>
      <c r="H94" s="7" t="inlineStr">
        <is>
          <t>HR Operations Lead: clear former-employee assignment on MD-00080 (Rory Phelps) (EX-0090).</t>
        </is>
      </c>
      <c r="I94" s="7" t="inlineStr">
        <is>
          <t>HR Operations Lead</t>
        </is>
      </c>
      <c r="J94" s="7" t="inlineStr">
        <is>
          <t>2026-08-16</t>
        </is>
      </c>
      <c r="K94" s="7" t="inlineStr">
        <is>
          <t>Open</t>
        </is>
      </c>
      <c r="L94" s="7" t="inlineStr">
        <is>
          <t>MD-00080 is still assigned to Rory Phelps (E0093), whose hr_employee_status row is Separated; OFF-00080 closed with no custodian rewrite (EX-0090).</t>
        </is>
      </c>
      <c r="M94" s="7" t="inlineStr">
        <is>
          <t>Requires remediation</t>
        </is>
      </c>
    </row>
    <row r="95">
      <c r="A95" s="7" t="inlineStr">
        <is>
          <t>EX-0091</t>
        </is>
      </c>
      <c r="B95" s="7" t="inlineStr">
        <is>
          <t>Former Employee Assignment</t>
        </is>
      </c>
      <c r="C95" s="10" t="inlineStr">
        <is>
          <t>High</t>
        </is>
      </c>
      <c r="D95" s="7" t="inlineStr">
        <is>
          <t>MD-00081</t>
        </is>
      </c>
      <c r="E95" s="7" t="inlineStr">
        <is>
          <t>MD-LA-050081</t>
        </is>
      </c>
      <c r="F95" s="7" t="inlineStr">
        <is>
          <t>Employee:E0094; Ticket:OFF-00081; Tracking:1ZMD00000081</t>
        </is>
      </c>
      <c r="G95" s="7">
        <f>IF(B95="Inventory-to-Ledger Difference",IF(IFERROR(XLOOKUP(D95,'Source Ledger'!$B$5:$B$200,'Source Ledger'!$H$5:$H$200),"")="Disposed",IFERROR(XLOOKUP(D95,'Source Ledger'!$B$5:$B$200,'Source Ledger'!$G$5:$G$200),0),IF(IFERROR(XLOOKUP(D95,'Source Ledger'!$B$5:$B$200,'Source Ledger'!$E$5:$E$200),"")="",IFERROR(XLOOKUP(D95,'Corrected Register'!$A$5:$A$200,'Corrected Register'!$M$5:$M$200),0),ABS(IFERROR(XLOOKUP(D95,'Source Ledger'!$B$5:$B$200,'Source Ledger'!$E$5:$E$200),0)-IFERROR(XLOOKUP(D95,'Corrected Register'!$A$5:$A$200,'Corrected Register'!$M$5:$M$200),0)))),IFERROR(XLOOKUP(D95,'Corrected Register'!$A$5:$A$200,'Corrected Register'!$N$5:$N$200),0))</f>
        <v/>
      </c>
      <c r="H95" s="7" t="inlineStr">
        <is>
          <t>HR Operations Lead: clear former-employee assignment on MD-00081 (Cecilia Hart) (EX-0091).</t>
        </is>
      </c>
      <c r="I95" s="7" t="inlineStr">
        <is>
          <t>HR Operations Lead</t>
        </is>
      </c>
      <c r="J95" s="7" t="inlineStr">
        <is>
          <t>2026-08-16</t>
        </is>
      </c>
      <c r="K95" s="7" t="inlineStr">
        <is>
          <t>Open</t>
        </is>
      </c>
      <c r="L95" s="7" t="inlineStr">
        <is>
          <t>Offboarding left MD-00081 hanging on Cecilia Hart (E0094); status Separated in hr_employee_status, ticket OFF-00081. EX-0091.</t>
        </is>
      </c>
      <c r="M95" s="7" t="inlineStr">
        <is>
          <t>Requires remediation</t>
        </is>
      </c>
    </row>
    <row r="96">
      <c r="A96" s="7" t="inlineStr">
        <is>
          <t>EX-0092</t>
        </is>
      </c>
      <c r="B96" s="7" t="inlineStr">
        <is>
          <t>Shipment Mismatch</t>
        </is>
      </c>
      <c r="C96" s="8" t="inlineStr">
        <is>
          <t>Critical</t>
        </is>
      </c>
      <c r="D96" s="7" t="inlineStr">
        <is>
          <t>MD-00082</t>
        </is>
      </c>
      <c r="E96" s="7" t="inlineStr">
        <is>
          <t>MD-MO-050082</t>
        </is>
      </c>
      <c r="F96" s="7" t="inlineStr">
        <is>
          <t>Ticket:OFF-00082; Tracking:1ZMD00000082; ShipmentSerial:MISMATCH-0082; Image:receiving_exception_scan_1ZMD00000082.png</t>
        </is>
      </c>
      <c r="G96" s="7">
        <f>IF(B96="Inventory-to-Ledger Difference",IF(IFERROR(XLOOKUP(D96,'Source Ledger'!$B$5:$B$200,'Source Ledger'!$H$5:$H$200),"")="Disposed",IFERROR(XLOOKUP(D96,'Source Ledger'!$B$5:$B$200,'Source Ledger'!$G$5:$G$200),0),IF(IFERROR(XLOOKUP(D96,'Source Ledger'!$B$5:$B$200,'Source Ledger'!$E$5:$E$200),"")="",IFERROR(XLOOKUP(D96,'Corrected Register'!$A$5:$A$200,'Corrected Register'!$M$5:$M$200),0),ABS(IFERROR(XLOOKUP(D96,'Source Ledger'!$B$5:$B$200,'Source Ledger'!$E$5:$E$200),0)-IFERROR(XLOOKUP(D96,'Corrected Register'!$A$5:$A$200,'Corrected Register'!$M$5:$M$200),0)))),IFERROR(XLOOKUP(D96,'Corrected Register'!$A$5:$A$200,'Corrected Register'!$N$5:$N$200),0))</f>
        <v/>
      </c>
      <c r="H96" s="7" t="inlineStr">
        <is>
          <t>Critical certification blocker — Hold MD-00082; resolve MISMATCH-0082 vs MD-MO-050082 before clearing custody.</t>
        </is>
      </c>
      <c r="I96" s="7" t="inlineStr">
        <is>
          <t>IT Operations Manager</t>
        </is>
      </c>
      <c r="J96" s="7" t="inlineStr">
        <is>
          <t>2026-08-13</t>
        </is>
      </c>
      <c r="K96" s="7" t="inlineStr">
        <is>
          <t>Open</t>
        </is>
      </c>
      <c r="L96" s="7" t="inlineStr">
        <is>
          <t>Critical certification blocker — Atlanta dock photo receiving_exception_scan_1ZMD00000082.png is a HOLD lead only; MISMATCH-0082 on 1ZMD00000082 does not match register MD-MO-050082.</t>
        </is>
      </c>
      <c r="M96" s="12" t="inlineStr">
        <is>
          <t>Blocks certification</t>
        </is>
      </c>
    </row>
    <row r="97">
      <c r="A97" s="7" t="inlineStr">
        <is>
          <t>EX-0093</t>
        </is>
      </c>
      <c r="B97" s="7" t="inlineStr">
        <is>
          <t>Former Employee Assignment</t>
        </is>
      </c>
      <c r="C97" s="10" t="inlineStr">
        <is>
          <t>High</t>
        </is>
      </c>
      <c r="D97" s="7" t="inlineStr">
        <is>
          <t>MD-00082</t>
        </is>
      </c>
      <c r="E97" s="7" t="inlineStr">
        <is>
          <t>MD-MO-050082</t>
        </is>
      </c>
      <c r="F97" s="7" t="inlineStr">
        <is>
          <t>Employee:E0095; Ticket:OFF-00082</t>
        </is>
      </c>
      <c r="G97" s="7">
        <f>IF(B97="Inventory-to-Ledger Difference",IF(IFERROR(XLOOKUP(D97,'Source Ledger'!$B$5:$B$200,'Source Ledger'!$H$5:$H$200),"")="Disposed",IFERROR(XLOOKUP(D97,'Source Ledger'!$B$5:$B$200,'Source Ledger'!$G$5:$G$200),0),IF(IFERROR(XLOOKUP(D97,'Source Ledger'!$B$5:$B$200,'Source Ledger'!$E$5:$E$200),"")="",IFERROR(XLOOKUP(D97,'Corrected Register'!$A$5:$A$200,'Corrected Register'!$M$5:$M$200),0),ABS(IFERROR(XLOOKUP(D97,'Source Ledger'!$B$5:$B$200,'Source Ledger'!$E$5:$E$200),0)-IFERROR(XLOOKUP(D97,'Corrected Register'!$A$5:$A$200,'Corrected Register'!$M$5:$M$200),0)))),IFERROR(XLOOKUP(D97,'Corrected Register'!$A$5:$A$200,'Corrected Register'!$N$5:$N$200),0))</f>
        <v/>
      </c>
      <c r="H97" s="7" t="inlineStr">
        <is>
          <t>Remove Emmett Boyle from MD-00082; park under Regional IT or IT Stock.</t>
        </is>
      </c>
      <c r="I97" s="7" t="inlineStr">
        <is>
          <t>HR Operations Lead</t>
        </is>
      </c>
      <c r="J97" s="7" t="inlineStr">
        <is>
          <t>2026-08-16</t>
        </is>
      </c>
      <c r="K97" s="7" t="inlineStr">
        <is>
          <t>Open</t>
        </is>
      </c>
      <c r="L97" s="7" t="inlineStr">
        <is>
          <t>MD-00082 is still assigned to Emmett Boyle (E0095), whose hr_employee_status row is Separated; OFF-00082 closed with no custodian rewrite.</t>
        </is>
      </c>
      <c r="M97" s="7" t="inlineStr">
        <is>
          <t>Requires remediation</t>
        </is>
      </c>
    </row>
    <row r="98">
      <c r="A98" s="7" t="inlineStr">
        <is>
          <t>EX-0094</t>
        </is>
      </c>
      <c r="B98" s="7" t="inlineStr">
        <is>
          <t>Former Employee Assignment</t>
        </is>
      </c>
      <c r="C98" s="10" t="inlineStr">
        <is>
          <t>High</t>
        </is>
      </c>
      <c r="D98" s="7" t="inlineStr">
        <is>
          <t>MD-00083</t>
        </is>
      </c>
      <c r="E98" s="7" t="inlineStr">
        <is>
          <t>MD-MO-050083</t>
        </is>
      </c>
      <c r="F98" s="7" t="inlineStr">
        <is>
          <t>Employee:E0071; Ticket:OFF-00083; Tracking:1ZMD00000083</t>
        </is>
      </c>
      <c r="G98" s="7">
        <f>IF(B98="Inventory-to-Ledger Difference",IF(IFERROR(XLOOKUP(D98,'Source Ledger'!$B$5:$B$200,'Source Ledger'!$H$5:$H$200),"")="Disposed",IFERROR(XLOOKUP(D98,'Source Ledger'!$B$5:$B$200,'Source Ledger'!$G$5:$G$200),0),IF(IFERROR(XLOOKUP(D98,'Source Ledger'!$B$5:$B$200,'Source Ledger'!$E$5:$E$200),"")="",IFERROR(XLOOKUP(D98,'Corrected Register'!$A$5:$A$200,'Corrected Register'!$M$5:$M$200),0),ABS(IFERROR(XLOOKUP(D98,'Source Ledger'!$B$5:$B$200,'Source Ledger'!$E$5:$E$200),0)-IFERROR(XLOOKUP(D98,'Corrected Register'!$A$5:$A$200,'Corrected Register'!$M$5:$M$200),0)))),IFERROR(XLOOKUP(D98,'Corrected Register'!$A$5:$A$200,'Corrected Register'!$N$5:$N$200),0))</f>
        <v/>
      </c>
      <c r="H98" s="7" t="inlineStr">
        <is>
          <t>Remove Sean McCabe from MD-00083; park under Regional IT or IT Stock (EX-0094).</t>
        </is>
      </c>
      <c r="I98" s="7" t="inlineStr">
        <is>
          <t>HR Operations Lead</t>
        </is>
      </c>
      <c r="J98" s="7" t="inlineStr">
        <is>
          <t>2026-08-16</t>
        </is>
      </c>
      <c r="K98" s="7" t="inlineStr">
        <is>
          <t>Open</t>
        </is>
      </c>
      <c r="L98" s="7" t="inlineStr">
        <is>
          <t>HR shows Sean McCabe (E0071) terminated, yet the register still lists them on MD-00083 (OFF-00083) — EX-0094.</t>
        </is>
      </c>
      <c r="M98" s="7" t="inlineStr">
        <is>
          <t>Requires remediation</t>
        </is>
      </c>
    </row>
    <row r="99">
      <c r="A99" s="7" t="inlineStr">
        <is>
          <t>EX-0095</t>
        </is>
      </c>
      <c r="B99" s="7" t="inlineStr">
        <is>
          <t>Shipment Mismatch</t>
        </is>
      </c>
      <c r="C99" s="8" t="inlineStr">
        <is>
          <t>Critical</t>
        </is>
      </c>
      <c r="D99" s="7" t="inlineStr">
        <is>
          <t>MD-00084</t>
        </is>
      </c>
      <c r="E99" s="7" t="inlineStr">
        <is>
          <t>MD-NE-050084</t>
        </is>
      </c>
      <c r="F99" s="7" t="inlineStr">
        <is>
          <t>Ticket:OFF-00084; Tracking:1ZMD00000084; ShipmentSerial:MISMATCH-0084</t>
        </is>
      </c>
      <c r="G99" s="7">
        <f>IF(B99="Inventory-to-Ledger Difference",IF(IFERROR(XLOOKUP(D99,'Source Ledger'!$B$5:$B$200,'Source Ledger'!$H$5:$H$200),"")="Disposed",IFERROR(XLOOKUP(D99,'Source Ledger'!$B$5:$B$200,'Source Ledger'!$G$5:$G$200),0),IF(IFERROR(XLOOKUP(D99,'Source Ledger'!$B$5:$B$200,'Source Ledger'!$E$5:$E$200),"")="",IFERROR(XLOOKUP(D99,'Corrected Register'!$A$5:$A$200,'Corrected Register'!$M$5:$M$200),0),ABS(IFERROR(XLOOKUP(D99,'Source Ledger'!$B$5:$B$200,'Source Ledger'!$E$5:$E$200),0)-IFERROR(XLOOKUP(D99,'Corrected Register'!$A$5:$A$200,'Corrected Register'!$M$5:$M$200),0)))),IFERROR(XLOOKUP(D99,'Corrected Register'!$A$5:$A$200,'Corrected Register'!$N$5:$N$200),0))</f>
        <v/>
      </c>
      <c r="H99" s="7" t="inlineStr">
        <is>
          <t>Critical certification blocker — Resolve MISMATCH-0084 vs MD-NE-050084 on 1ZMD00000084 for MD-00084 (EX-0095).</t>
        </is>
      </c>
      <c r="I99" s="7" t="inlineStr">
        <is>
          <t>IT Operations Manager</t>
        </is>
      </c>
      <c r="J99" s="7" t="inlineStr">
        <is>
          <t>2026-08-13</t>
        </is>
      </c>
      <c r="K99" s="7" t="inlineStr">
        <is>
          <t>Open</t>
        </is>
      </c>
      <c r="L99" s="7" t="inlineStr">
        <is>
          <t>Critical certification blocker — Inbound MISMATCH-0084 on 1ZMD00000084 disagrees with register MD-NE-050084; MD-00084 stays In Transit - Exception until reconciled.</t>
        </is>
      </c>
      <c r="M99" s="12" t="inlineStr">
        <is>
          <t>Blocks certification</t>
        </is>
      </c>
    </row>
    <row r="100">
      <c r="A100" s="7" t="inlineStr">
        <is>
          <t>EX-0096</t>
        </is>
      </c>
      <c r="B100" s="7" t="inlineStr">
        <is>
          <t>Former Employee Assignment</t>
        </is>
      </c>
      <c r="C100" s="10" t="inlineStr">
        <is>
          <t>High</t>
        </is>
      </c>
      <c r="D100" s="7" t="inlineStr">
        <is>
          <t>MD-00084</t>
        </is>
      </c>
      <c r="E100" s="7" t="inlineStr">
        <is>
          <t>MD-NE-050084</t>
        </is>
      </c>
      <c r="F100" s="7" t="inlineStr">
        <is>
          <t>Employee:E0072; Ticket:OFF-00084</t>
        </is>
      </c>
      <c r="G100" s="7">
        <f>IF(B100="Inventory-to-Ledger Difference",IF(IFERROR(XLOOKUP(D100,'Source Ledger'!$B$5:$B$200,'Source Ledger'!$H$5:$H$200),"")="Disposed",IFERROR(XLOOKUP(D100,'Source Ledger'!$B$5:$B$200,'Source Ledger'!$G$5:$G$200),0),IF(IFERROR(XLOOKUP(D100,'Source Ledger'!$B$5:$B$200,'Source Ledger'!$E$5:$E$200),"")="",IFERROR(XLOOKUP(D100,'Corrected Register'!$A$5:$A$200,'Corrected Register'!$M$5:$M$200),0),ABS(IFERROR(XLOOKUP(D100,'Source Ledger'!$B$5:$B$200,'Source Ledger'!$E$5:$E$200),0)-IFERROR(XLOOKUP(D100,'Corrected Register'!$A$5:$A$200,'Corrected Register'!$M$5:$M$200),0)))),IFERROR(XLOOKUP(D100,'Corrected Register'!$A$5:$A$200,'Corrected Register'!$N$5:$N$200),0))</f>
        <v/>
      </c>
      <c r="H100" s="7" t="inlineStr">
        <is>
          <t>Reassign MD-00084 off separated Anita Bose to a stock/Regional IT bucket (EX-0096).</t>
        </is>
      </c>
      <c r="I100" s="7" t="inlineStr">
        <is>
          <t>HR Operations Lead</t>
        </is>
      </c>
      <c r="J100" s="7" t="inlineStr">
        <is>
          <t>2026-08-16</t>
        </is>
      </c>
      <c r="K100" s="7" t="inlineStr">
        <is>
          <t>Open</t>
        </is>
      </c>
      <c r="L100" s="7" t="inlineStr">
        <is>
          <t>Offboarding left MD-00084 hanging on Anita Bose (E0072); status Separated in hr_employee_status, ticket OFF-00084. EX-0096.</t>
        </is>
      </c>
      <c r="M100" s="7" t="inlineStr">
        <is>
          <t>Requires remediation</t>
        </is>
      </c>
    </row>
    <row r="101">
      <c r="A101" s="7" t="inlineStr">
        <is>
          <t>EX-0097</t>
        </is>
      </c>
      <c r="B101" s="7" t="inlineStr">
        <is>
          <t>Former Employee Assignment</t>
        </is>
      </c>
      <c r="C101" s="10" t="inlineStr">
        <is>
          <t>High</t>
        </is>
      </c>
      <c r="D101" s="7" t="inlineStr">
        <is>
          <t>MD-00085</t>
        </is>
      </c>
      <c r="E101" s="7" t="inlineStr">
        <is>
          <t>MD-LA-050085</t>
        </is>
      </c>
      <c r="F101" s="7" t="inlineStr">
        <is>
          <t>Employee:E0073; Ticket:OFF-00085; Tracking:1ZMD00000085</t>
        </is>
      </c>
      <c r="G101" s="7">
        <f>IF(B101="Inventory-to-Ledger Difference",IF(IFERROR(XLOOKUP(D101,'Source Ledger'!$B$5:$B$200,'Source Ledger'!$H$5:$H$200),"")="Disposed",IFERROR(XLOOKUP(D101,'Source Ledger'!$B$5:$B$200,'Source Ledger'!$G$5:$G$200),0),IF(IFERROR(XLOOKUP(D101,'Source Ledger'!$B$5:$B$200,'Source Ledger'!$E$5:$E$200),"")="",IFERROR(XLOOKUP(D101,'Corrected Register'!$A$5:$A$200,'Corrected Register'!$M$5:$M$200),0),ABS(IFERROR(XLOOKUP(D101,'Source Ledger'!$B$5:$B$200,'Source Ledger'!$E$5:$E$200),0)-IFERROR(XLOOKUP(D101,'Corrected Register'!$A$5:$A$200,'Corrected Register'!$M$5:$M$200),0)))),IFERROR(XLOOKUP(D101,'Corrected Register'!$A$5:$A$200,'Corrected Register'!$N$5:$N$200),0))</f>
        <v/>
      </c>
      <c r="H101" s="7" t="inlineStr">
        <is>
          <t>Reassign MD-00085 off separated Drew Carmichael to a stock/Regional IT bucket (EX-0097).</t>
        </is>
      </c>
      <c r="I101" s="7" t="inlineStr">
        <is>
          <t>HR Operations Lead</t>
        </is>
      </c>
      <c r="J101" s="7" t="inlineStr">
        <is>
          <t>2026-08-16</t>
        </is>
      </c>
      <c r="K101" s="7" t="inlineStr">
        <is>
          <t>Open</t>
        </is>
      </c>
      <c r="L101" s="7" t="inlineStr">
        <is>
          <t>HR shows Drew Carmichael (E0073) terminated, yet the register still lists them on MD-00085 (OFF-00085) — EX-0097.</t>
        </is>
      </c>
      <c r="M101" s="7" t="inlineStr">
        <is>
          <t>Requires remediation</t>
        </is>
      </c>
    </row>
    <row r="102">
      <c r="A102" s="7" t="inlineStr">
        <is>
          <t>EX-0098</t>
        </is>
      </c>
      <c r="B102" s="7" t="inlineStr">
        <is>
          <t>Inventory-to-Ledger Difference</t>
        </is>
      </c>
      <c r="C102" s="10" t="inlineStr">
        <is>
          <t>High</t>
        </is>
      </c>
      <c r="D102" s="7" t="inlineStr">
        <is>
          <t>MD-00085</t>
        </is>
      </c>
      <c r="E102" s="7" t="inlineStr">
        <is>
          <t>MD-LA-050085</t>
        </is>
      </c>
      <c r="F102" s="7" t="inlineStr">
        <is>
          <t>Ledger:FA-000085; PO:PO-2025-0016; RegisterCost:1895.0; LedgerCost:2090.0; OverDepreciation:20.0</t>
        </is>
      </c>
      <c r="G102" s="7">
        <f>IF(B102="Inventory-to-Ledger Difference",IF(IFERROR(XLOOKUP(D102,'Source Ledger'!$B$5:$B$200,'Source Ledger'!$H$5:$H$200),"")="Disposed",IFERROR(XLOOKUP(D102,'Source Ledger'!$B$5:$B$200,'Source Ledger'!$G$5:$G$200),0),IF(IFERROR(XLOOKUP(D102,'Source Ledger'!$B$5:$B$200,'Source Ledger'!$E$5:$E$200),"")="",IFERROR(XLOOKUP(D102,'Corrected Register'!$A$5:$A$200,'Corrected Register'!$M$5:$M$200),0),ABS(IFERROR(XLOOKUP(D102,'Source Ledger'!$B$5:$B$200,'Source Ledger'!$E$5:$E$200),0)-IFERROR(XLOOKUP(D102,'Corrected Register'!$A$5:$A$200,'Corrected Register'!$M$5:$M$200),0)))),IFERROR(XLOOKUP(D102,'Corrected Register'!$A$5:$A$200,'Corrected Register'!$N$5:$N$200),0))</f>
        <v/>
      </c>
      <c r="H102" s="7" t="inlineStr">
        <is>
          <t>Finance: correct FA-000085 NBV to $20 and align $1,895 vs $2,090 for MD-00085.</t>
        </is>
      </c>
      <c r="I102" s="7" t="inlineStr">
        <is>
          <t>Finance Controller</t>
        </is>
      </c>
      <c r="J102" s="7" t="inlineStr">
        <is>
          <t>2026-08-21</t>
        </is>
      </c>
      <c r="K102" s="7" t="inlineStr">
        <is>
          <t>Open</t>
        </is>
      </c>
      <c r="L102" s="7" t="inlineStr">
        <is>
          <t>FA-000085 shows acquisition $2,090 against register $1,895 on MD-00085; accumulated depreciation $2,070 leaves printed NBV $0 while $20 remains supportable.</t>
        </is>
      </c>
      <c r="M102" s="7" t="inlineStr">
        <is>
          <t>Requires remediation</t>
        </is>
      </c>
    </row>
    <row r="103">
      <c r="A103" s="7" t="inlineStr">
        <is>
          <t>EX-0099</t>
        </is>
      </c>
      <c r="B103" s="7" t="inlineStr">
        <is>
          <t>Former Employee Assignment</t>
        </is>
      </c>
      <c r="C103" s="10" t="inlineStr">
        <is>
          <t>High</t>
        </is>
      </c>
      <c r="D103" s="7" t="inlineStr">
        <is>
          <t>MD-00086</t>
        </is>
      </c>
      <c r="E103" s="7" t="inlineStr">
        <is>
          <t>MD-MO-050086</t>
        </is>
      </c>
      <c r="F103" s="7" t="inlineStr">
        <is>
          <t>Employee:E0074; Ticket:OFF-00086; Tracking:1ZMD00000086</t>
        </is>
      </c>
      <c r="G103" s="7">
        <f>IF(B103="Inventory-to-Ledger Difference",IF(IFERROR(XLOOKUP(D103,'Source Ledger'!$B$5:$B$200,'Source Ledger'!$H$5:$H$200),"")="Disposed",IFERROR(XLOOKUP(D103,'Source Ledger'!$B$5:$B$200,'Source Ledger'!$G$5:$G$200),0),IF(IFERROR(XLOOKUP(D103,'Source Ledger'!$B$5:$B$200,'Source Ledger'!$E$5:$E$200),"")="",IFERROR(XLOOKUP(D103,'Corrected Register'!$A$5:$A$200,'Corrected Register'!$M$5:$M$200),0),ABS(IFERROR(XLOOKUP(D103,'Source Ledger'!$B$5:$B$200,'Source Ledger'!$E$5:$E$200),0)-IFERROR(XLOOKUP(D103,'Corrected Register'!$A$5:$A$200,'Corrected Register'!$M$5:$M$200),0)))),IFERROR(XLOOKUP(D103,'Corrected Register'!$A$5:$A$200,'Corrected Register'!$N$5:$N$200),0))</f>
        <v/>
      </c>
      <c r="H103" s="7" t="inlineStr">
        <is>
          <t>HR Operations Lead: clear former-employee assignment on MD-00086 (Lila Novak) (EX-0099).</t>
        </is>
      </c>
      <c r="I103" s="7" t="inlineStr">
        <is>
          <t>HR Operations Lead</t>
        </is>
      </c>
      <c r="J103" s="7" t="inlineStr">
        <is>
          <t>2026-08-16</t>
        </is>
      </c>
      <c r="K103" s="7" t="inlineStr">
        <is>
          <t>Open</t>
        </is>
      </c>
      <c r="L103" s="7" t="inlineStr">
        <is>
          <t>HR shows Lila Novak (E0074) terminated, yet the register still lists them on MD-00086 (OFF-00086) — EX-0099.</t>
        </is>
      </c>
      <c r="M103" s="7" t="inlineStr">
        <is>
          <t>Requires remediation</t>
        </is>
      </c>
    </row>
    <row r="104">
      <c r="A104" s="7" t="inlineStr">
        <is>
          <t>EX-0100</t>
        </is>
      </c>
      <c r="B104" s="7" t="inlineStr">
        <is>
          <t>Former Employee Assignment</t>
        </is>
      </c>
      <c r="C104" s="10" t="inlineStr">
        <is>
          <t>High</t>
        </is>
      </c>
      <c r="D104" s="7" t="inlineStr">
        <is>
          <t>MD-00087</t>
        </is>
      </c>
      <c r="E104" s="7" t="inlineStr">
        <is>
          <t>MD-MO-050087</t>
        </is>
      </c>
      <c r="F104" s="7" t="inlineStr">
        <is>
          <t>Employee:E0075; Ticket:OFF-00087; Tracking:1ZMD00000087</t>
        </is>
      </c>
      <c r="G104" s="7">
        <f>IF(B104="Inventory-to-Ledger Difference",IF(IFERROR(XLOOKUP(D104,'Source Ledger'!$B$5:$B$200,'Source Ledger'!$H$5:$H$200),"")="Disposed",IFERROR(XLOOKUP(D104,'Source Ledger'!$B$5:$B$200,'Source Ledger'!$G$5:$G$200),0),IF(IFERROR(XLOOKUP(D104,'Source Ledger'!$B$5:$B$200,'Source Ledger'!$E$5:$E$200),"")="",IFERROR(XLOOKUP(D104,'Corrected Register'!$A$5:$A$200,'Corrected Register'!$M$5:$M$200),0),ABS(IFERROR(XLOOKUP(D104,'Source Ledger'!$B$5:$B$200,'Source Ledger'!$E$5:$E$200),0)-IFERROR(XLOOKUP(D104,'Corrected Register'!$A$5:$A$200,'Corrected Register'!$M$5:$M$200),0)))),IFERROR(XLOOKUP(D104,'Corrected Register'!$A$5:$A$200,'Corrected Register'!$N$5:$N$200),0))</f>
        <v/>
      </c>
      <c r="H104" s="7" t="inlineStr">
        <is>
          <t>HR Operations Lead: clear former-employee assignment on MD-00087 (Curtis Bennett) (EX-0100).</t>
        </is>
      </c>
      <c r="I104" s="7" t="inlineStr">
        <is>
          <t>HR Operations Lead</t>
        </is>
      </c>
      <c r="J104" s="7" t="inlineStr">
        <is>
          <t>2026-08-16</t>
        </is>
      </c>
      <c r="K104" s="7" t="inlineStr">
        <is>
          <t>Open</t>
        </is>
      </c>
      <c r="L104" s="7" t="inlineStr">
        <is>
          <t>MD-00087 is still assigned to Curtis Bennett (E0075), whose hr_employee_status row is Separated; OFF-00087 closed with no custodian rewrite (EX-0100).</t>
        </is>
      </c>
      <c r="M104" s="7" t="inlineStr">
        <is>
          <t>Requires remediation</t>
        </is>
      </c>
    </row>
    <row r="105">
      <c r="A105" s="7" t="inlineStr">
        <is>
          <t>EX-0101</t>
        </is>
      </c>
      <c r="B105" s="7" t="inlineStr">
        <is>
          <t>Former Employee Assignment</t>
        </is>
      </c>
      <c r="C105" s="10" t="inlineStr">
        <is>
          <t>High</t>
        </is>
      </c>
      <c r="D105" s="7" t="inlineStr">
        <is>
          <t>MD-00088</t>
        </is>
      </c>
      <c r="E105" s="7" t="inlineStr">
        <is>
          <t>MD-NE-050088</t>
        </is>
      </c>
      <c r="F105" s="7" t="inlineStr">
        <is>
          <t>Employee:E0076; Ticket:OFF-00088; Tracking:1ZMD00000088</t>
        </is>
      </c>
      <c r="G105" s="7">
        <f>IF(B105="Inventory-to-Ledger Difference",IF(IFERROR(XLOOKUP(D105,'Source Ledger'!$B$5:$B$200,'Source Ledger'!$H$5:$H$200),"")="Disposed",IFERROR(XLOOKUP(D105,'Source Ledger'!$B$5:$B$200,'Source Ledger'!$G$5:$G$200),0),IF(IFERROR(XLOOKUP(D105,'Source Ledger'!$B$5:$B$200,'Source Ledger'!$E$5:$E$200),"")="",IFERROR(XLOOKUP(D105,'Corrected Register'!$A$5:$A$200,'Corrected Register'!$M$5:$M$200),0),ABS(IFERROR(XLOOKUP(D105,'Source Ledger'!$B$5:$B$200,'Source Ledger'!$E$5:$E$200),0)-IFERROR(XLOOKUP(D105,'Corrected Register'!$A$5:$A$200,'Corrected Register'!$M$5:$M$200),0)))),IFERROR(XLOOKUP(D105,'Corrected Register'!$A$5:$A$200,'Corrected Register'!$N$5:$N$200),0))</f>
        <v/>
      </c>
      <c r="H105" s="7" t="inlineStr">
        <is>
          <t>Remove Pilar Santos from MD-00088; park under Regional IT or IT Stock (EX-0101).</t>
        </is>
      </c>
      <c r="I105" s="7" t="inlineStr">
        <is>
          <t>HR Operations Lead</t>
        </is>
      </c>
      <c r="J105" s="7" t="inlineStr">
        <is>
          <t>2026-08-16</t>
        </is>
      </c>
      <c r="K105" s="7" t="inlineStr">
        <is>
          <t>Open</t>
        </is>
      </c>
      <c r="L105" s="7" t="inlineStr">
        <is>
          <t>Offboarding left MD-00088 hanging on Pilar Santos (E0076); status Separated in hr_employee_status, ticket OFF-00088. EX-0101.</t>
        </is>
      </c>
      <c r="M105" s="7" t="inlineStr">
        <is>
          <t>Requires remediation</t>
        </is>
      </c>
    </row>
    <row r="106">
      <c r="A106" s="7" t="inlineStr">
        <is>
          <t>EX-0102</t>
        </is>
      </c>
      <c r="B106" s="7" t="inlineStr">
        <is>
          <t>Duplicate Serial Number</t>
        </is>
      </c>
      <c r="C106" s="10" t="inlineStr">
        <is>
          <t>High</t>
        </is>
      </c>
      <c r="D106" s="7" t="inlineStr">
        <is>
          <t>MD-00088</t>
        </is>
      </c>
      <c r="E106" s="7" t="inlineStr">
        <is>
          <t>MD-NE-050088</t>
        </is>
      </c>
      <c r="F106" s="7" t="inlineStr">
        <is>
          <t>Duplicate serial MD-NE-050088 on MD-00088; Employee ID:E0076; Transfer ID:TR-00088; Ticket ID:OFF-00088; PO Number:PO-2022-0017; Tracking Number:1ZMD00000088; Serial:MD-NE-050088; AlsoTagged:MD-00088,MD-00092</t>
        </is>
      </c>
      <c r="G106" s="7">
        <f>IF(B106="Inventory-to-Ledger Difference",IF(IFERROR(XLOOKUP(D106,'Source Ledger'!$B$5:$B$200,'Source Ledger'!$H$5:$H$200),"")="Disposed",IFERROR(XLOOKUP(D106,'Source Ledger'!$B$5:$B$200,'Source Ledger'!$G$5:$G$200),0),IF(IFERROR(XLOOKUP(D106,'Source Ledger'!$B$5:$B$200,'Source Ledger'!$E$5:$E$200),"")="",IFERROR(XLOOKUP(D106,'Corrected Register'!$A$5:$A$200,'Corrected Register'!$M$5:$M$200),0),ABS(IFERROR(XLOOKUP(D106,'Source Ledger'!$B$5:$B$200,'Source Ledger'!$E$5:$E$200),0)-IFERROR(XLOOKUP(D106,'Corrected Register'!$A$5:$A$200,'Corrected Register'!$M$5:$M$200),0)))),IFERROR(XLOOKUP(D106,'Corrected Register'!$A$5:$A$200,'Corrected Register'!$N$5:$N$200),0))</f>
        <v/>
      </c>
      <c r="H106" s="7" t="inlineStr">
        <is>
          <t>Bench-validate and retag duplicate serial MD-NE-050088 involving MD-00088 (EX-0102).</t>
        </is>
      </c>
      <c r="I106" s="7" t="inlineStr">
        <is>
          <t>IT Asset Specialist</t>
        </is>
      </c>
      <c r="J106" s="7" t="inlineStr">
        <is>
          <t>2026-08-18</t>
        </is>
      </c>
      <c r="K106" s="7" t="inlineStr">
        <is>
          <t>Open</t>
        </is>
      </c>
      <c r="L106" s="7" t="inlineStr">
        <is>
          <t>Serial MD-NE-050088 is shared by MD-00088 and MD-00088,MD-00092; bench validation and retag required (EX-0102).</t>
        </is>
      </c>
      <c r="M106" s="7" t="inlineStr">
        <is>
          <t>Requires remediation</t>
        </is>
      </c>
    </row>
    <row r="107">
      <c r="A107" s="7" t="inlineStr">
        <is>
          <t>EX-0103</t>
        </is>
      </c>
      <c r="B107" s="7" t="inlineStr">
        <is>
          <t>Cannot Locate</t>
        </is>
      </c>
      <c r="C107" s="8" t="inlineStr">
        <is>
          <t>Critical</t>
        </is>
      </c>
      <c r="D107" s="7" t="inlineStr">
        <is>
          <t>MD-00089</t>
        </is>
      </c>
      <c r="E107" s="7" t="inlineStr">
        <is>
          <t>MD-LA-050089</t>
        </is>
      </c>
      <c r="F107" s="7" t="inlineStr">
        <is>
          <t>Ticket:OFF-00089; Transfer:TR-00089; LastRegisterLocation:Denver - Closed</t>
        </is>
      </c>
      <c r="G107" s="7">
        <f>IF(B107="Inventory-to-Ledger Difference",IF(IFERROR(XLOOKUP(D107,'Source Ledger'!$B$5:$B$200,'Source Ledger'!$H$5:$H$200),"")="Disposed",IFERROR(XLOOKUP(D107,'Source Ledger'!$B$5:$B$200,'Source Ledger'!$G$5:$G$200),0),IF(IFERROR(XLOOKUP(D107,'Source Ledger'!$B$5:$B$200,'Source Ledger'!$E$5:$E$200),"")="",IFERROR(XLOOKUP(D107,'Corrected Register'!$A$5:$A$200,'Corrected Register'!$M$5:$M$200),0),ABS(IFERROR(XLOOKUP(D107,'Source Ledger'!$B$5:$B$200,'Source Ledger'!$E$5:$E$200),0)-IFERROR(XLOOKUP(D107,'Corrected Register'!$A$5:$A$200,'Corrected Register'!$M$5:$M$200),0)))),IFERROR(XLOOKUP(D107,'Corrected Register'!$A$5:$A$200,'Corrected Register'!$N$5:$N$200),0))</f>
        <v/>
      </c>
      <c r="H107" s="7" t="inlineStr">
        <is>
          <t>Open loss investigation on MD-00089; remain Missing until located or write-off approved (EX-0103).</t>
        </is>
      </c>
      <c r="I107" s="7" t="inlineStr">
        <is>
          <t>IT Operations Manager</t>
        </is>
      </c>
      <c r="J107" s="7" t="inlineStr">
        <is>
          <t>2026-08-12</t>
        </is>
      </c>
      <c r="K107" s="7" t="inlineStr">
        <is>
          <t>Open</t>
        </is>
      </c>
      <c r="L107" s="7" t="inlineStr">
        <is>
          <t>MD-00089 dropped from the floor after Denver - Closed; nothing in receiving or disposal files (EX-0103).</t>
        </is>
      </c>
      <c r="M107" s="12" t="inlineStr">
        <is>
          <t>Blocks certification</t>
        </is>
      </c>
    </row>
    <row r="108">
      <c r="A108" s="7" t="inlineStr">
        <is>
          <t>EX-0104</t>
        </is>
      </c>
      <c r="B108" s="7" t="inlineStr">
        <is>
          <t>Former Employee Assignment</t>
        </is>
      </c>
      <c r="C108" s="8" t="inlineStr">
        <is>
          <t>Critical</t>
        </is>
      </c>
      <c r="D108" s="7" t="inlineStr">
        <is>
          <t>MD-00089</t>
        </is>
      </c>
      <c r="E108" s="7" t="inlineStr">
        <is>
          <t>MD-LA-050089</t>
        </is>
      </c>
      <c r="F108" s="7" t="inlineStr">
        <is>
          <t>Employee:E0077; Ticket:OFF-00089</t>
        </is>
      </c>
      <c r="G108" s="7">
        <f>IF(B108="Inventory-to-Ledger Difference",IF(IFERROR(XLOOKUP(D108,'Source Ledger'!$B$5:$B$200,'Source Ledger'!$H$5:$H$200),"")="Disposed",IFERROR(XLOOKUP(D108,'Source Ledger'!$B$5:$B$200,'Source Ledger'!$G$5:$G$200),0),IF(IFERROR(XLOOKUP(D108,'Source Ledger'!$B$5:$B$200,'Source Ledger'!$E$5:$E$200),"")="",IFERROR(XLOOKUP(D108,'Corrected Register'!$A$5:$A$200,'Corrected Register'!$M$5:$M$200),0),ABS(IFERROR(XLOOKUP(D108,'Source Ledger'!$B$5:$B$200,'Source Ledger'!$E$5:$E$200),0)-IFERROR(XLOOKUP(D108,'Corrected Register'!$A$5:$A$200,'Corrected Register'!$M$5:$M$200),0)))),IFERROR(XLOOKUP(D108,'Corrected Register'!$A$5:$A$200,'Corrected Register'!$N$5:$N$200),0))</f>
        <v/>
      </c>
      <c r="H108" s="7" t="inlineStr">
        <is>
          <t>Reassign MD-00089 off separated Jonah Freedman to a stock/Regional IT bucket (EX-0104).</t>
        </is>
      </c>
      <c r="I108" s="7" t="inlineStr">
        <is>
          <t>HR Operations Lead</t>
        </is>
      </c>
      <c r="J108" s="7" t="inlineStr">
        <is>
          <t>2026-08-16</t>
        </is>
      </c>
      <c r="K108" s="7" t="inlineStr">
        <is>
          <t>Open</t>
        </is>
      </c>
      <c r="L108" s="7" t="inlineStr">
        <is>
          <t>Separated custodian Jonah Freedman (E0077) remains on MD-00089 after OFF-00089 closed. Clear under EX-0104.</t>
        </is>
      </c>
      <c r="M108" s="12" t="inlineStr">
        <is>
          <t>Blocks certification</t>
        </is>
      </c>
    </row>
    <row r="109">
      <c r="A109" s="7" t="inlineStr">
        <is>
          <t>EX-0105</t>
        </is>
      </c>
      <c r="B109" s="7" t="inlineStr">
        <is>
          <t>Cannot Locate</t>
        </is>
      </c>
      <c r="C109" s="8" t="inlineStr">
        <is>
          <t>Critical</t>
        </is>
      </c>
      <c r="D109" s="7" t="inlineStr">
        <is>
          <t>MD-00090</t>
        </is>
      </c>
      <c r="E109" s="7" t="inlineStr">
        <is>
          <t>MD-MO-050090</t>
        </is>
      </c>
      <c r="F109" s="7" t="inlineStr">
        <is>
          <t>Ticket:OFF-00090; Transfer:TR-00090; LastRegisterLocation:Chicago - Closed</t>
        </is>
      </c>
      <c r="G109" s="7">
        <f>IF(B109="Inventory-to-Ledger Difference",IF(IFERROR(XLOOKUP(D109,'Source Ledger'!$B$5:$B$200,'Source Ledger'!$H$5:$H$200),"")="Disposed",IFERROR(XLOOKUP(D109,'Source Ledger'!$B$5:$B$200,'Source Ledger'!$G$5:$G$200),0),IF(IFERROR(XLOOKUP(D109,'Source Ledger'!$B$5:$B$200,'Source Ledger'!$E$5:$E$200),"")="",IFERROR(XLOOKUP(D109,'Corrected Register'!$A$5:$A$200,'Corrected Register'!$M$5:$M$200),0),ABS(IFERROR(XLOOKUP(D109,'Source Ledger'!$B$5:$B$200,'Source Ledger'!$E$5:$E$200),0)-IFERROR(XLOOKUP(D109,'Corrected Register'!$A$5:$A$200,'Corrected Register'!$M$5:$M$200),0)))),IFERROR(XLOOKUP(D109,'Corrected Register'!$A$5:$A$200,'Corrected Register'!$N$5:$N$200),0))</f>
        <v/>
      </c>
      <c r="H109" s="7" t="inlineStr">
        <is>
          <t>Open loss investigation on MD-00090; remain Missing until located or write-off approved (EX-0105).</t>
        </is>
      </c>
      <c r="I109" s="7" t="inlineStr">
        <is>
          <t>IT Operations Manager</t>
        </is>
      </c>
      <c r="J109" s="7" t="inlineStr">
        <is>
          <t>2026-08-12</t>
        </is>
      </c>
      <c r="K109" s="7" t="inlineStr">
        <is>
          <t>Open</t>
        </is>
      </c>
      <c r="L109" s="7" t="inlineStr">
        <is>
          <t>MD-00090 dropped from the floor after Chicago - Closed; nothing in receiving or disposal files (EX-0105).</t>
        </is>
      </c>
      <c r="M109" s="12" t="inlineStr">
        <is>
          <t>Blocks certification</t>
        </is>
      </c>
    </row>
    <row r="110">
      <c r="A110" s="7" t="inlineStr">
        <is>
          <t>EX-0106</t>
        </is>
      </c>
      <c r="B110" s="7" t="inlineStr">
        <is>
          <t>Former Employee Assignment</t>
        </is>
      </c>
      <c r="C110" s="8" t="inlineStr">
        <is>
          <t>Critical</t>
        </is>
      </c>
      <c r="D110" s="7" t="inlineStr">
        <is>
          <t>MD-00090</t>
        </is>
      </c>
      <c r="E110" s="7" t="inlineStr">
        <is>
          <t>MD-MO-050090</t>
        </is>
      </c>
      <c r="F110" s="7" t="inlineStr">
        <is>
          <t>Employee:E0078; Ticket:OFF-00090</t>
        </is>
      </c>
      <c r="G110" s="7">
        <f>IF(B110="Inventory-to-Ledger Difference",IF(IFERROR(XLOOKUP(D110,'Source Ledger'!$B$5:$B$200,'Source Ledger'!$H$5:$H$200),"")="Disposed",IFERROR(XLOOKUP(D110,'Source Ledger'!$B$5:$B$200,'Source Ledger'!$G$5:$G$200),0),IF(IFERROR(XLOOKUP(D110,'Source Ledger'!$B$5:$B$200,'Source Ledger'!$E$5:$E$200),"")="",IFERROR(XLOOKUP(D110,'Corrected Register'!$A$5:$A$200,'Corrected Register'!$M$5:$M$200),0),ABS(IFERROR(XLOOKUP(D110,'Source Ledger'!$B$5:$B$200,'Source Ledger'!$E$5:$E$200),0)-IFERROR(XLOOKUP(D110,'Corrected Register'!$A$5:$A$200,'Corrected Register'!$M$5:$M$200),0)))),IFERROR(XLOOKUP(D110,'Corrected Register'!$A$5:$A$200,'Corrected Register'!$N$5:$N$200),0))</f>
        <v/>
      </c>
      <c r="H110" s="7" t="inlineStr">
        <is>
          <t>Reassign MD-00090 off separated Regina Lowe to a stock/Regional IT bucket (EX-0106).</t>
        </is>
      </c>
      <c r="I110" s="7" t="inlineStr">
        <is>
          <t>HR Operations Lead</t>
        </is>
      </c>
      <c r="J110" s="7" t="inlineStr">
        <is>
          <t>2026-08-16</t>
        </is>
      </c>
      <c r="K110" s="7" t="inlineStr">
        <is>
          <t>Open</t>
        </is>
      </c>
      <c r="L110" s="7" t="inlineStr">
        <is>
          <t>HR shows Regina Lowe (E0078) terminated, yet the register still lists them on MD-00090 (OFF-00090) — EX-0106.</t>
        </is>
      </c>
      <c r="M110" s="12" t="inlineStr">
        <is>
          <t>Blocks certification</t>
        </is>
      </c>
    </row>
    <row r="111">
      <c r="A111" s="7" t="inlineStr">
        <is>
          <t>EX-0107</t>
        </is>
      </c>
      <c r="B111" s="7" t="inlineStr">
        <is>
          <t>Cannot Locate</t>
        </is>
      </c>
      <c r="C111" s="8" t="inlineStr">
        <is>
          <t>Critical</t>
        </is>
      </c>
      <c r="D111" s="7" t="inlineStr">
        <is>
          <t>MD-00091</t>
        </is>
      </c>
      <c r="E111" s="7" t="inlineStr">
        <is>
          <t>MD-MO-050091</t>
        </is>
      </c>
      <c r="F111" s="7" t="inlineStr">
        <is>
          <t>Ticket:OFF-00091; Transfer:TR-00091; LastRegisterLocation:Denver - Closed</t>
        </is>
      </c>
      <c r="G111" s="7">
        <f>IF(B111="Inventory-to-Ledger Difference",IF(IFERROR(XLOOKUP(D111,'Source Ledger'!$B$5:$B$200,'Source Ledger'!$H$5:$H$200),"")="Disposed",IFERROR(XLOOKUP(D111,'Source Ledger'!$B$5:$B$200,'Source Ledger'!$G$5:$G$200),0),IF(IFERROR(XLOOKUP(D111,'Source Ledger'!$B$5:$B$200,'Source Ledger'!$E$5:$E$200),"")="",IFERROR(XLOOKUP(D111,'Corrected Register'!$A$5:$A$200,'Corrected Register'!$M$5:$M$200),0),ABS(IFERROR(XLOOKUP(D111,'Source Ledger'!$B$5:$B$200,'Source Ledger'!$E$5:$E$200),0)-IFERROR(XLOOKUP(D111,'Corrected Register'!$A$5:$A$200,'Corrected Register'!$M$5:$M$200),0)))),IFERROR(XLOOKUP(D111,'Corrected Register'!$A$5:$A$200,'Corrected Register'!$N$5:$N$200),0))</f>
        <v/>
      </c>
      <c r="H111" s="7" t="inlineStr">
        <is>
          <t>Open loss investigation on MD-00091; remain Missing until located or write-off approved (EX-0107).</t>
        </is>
      </c>
      <c r="I111" s="7" t="inlineStr">
        <is>
          <t>IT Operations Manager</t>
        </is>
      </c>
      <c r="J111" s="7" t="inlineStr">
        <is>
          <t>2026-08-12</t>
        </is>
      </c>
      <c r="K111" s="7" t="inlineStr">
        <is>
          <t>Open</t>
        </is>
      </c>
      <c r="L111" s="7" t="inlineStr">
        <is>
          <t>Physical search has not recovered MD-00091 (MD-MO-050091); register still points at Denver - Closed (EX-0107).</t>
        </is>
      </c>
      <c r="M111" s="12" t="inlineStr">
        <is>
          <t>Blocks certification</t>
        </is>
      </c>
    </row>
    <row r="112">
      <c r="A112" s="7" t="inlineStr">
        <is>
          <t>EX-0108</t>
        </is>
      </c>
      <c r="B112" s="7" t="inlineStr">
        <is>
          <t>Former Employee Assignment</t>
        </is>
      </c>
      <c r="C112" s="8" t="inlineStr">
        <is>
          <t>Critical</t>
        </is>
      </c>
      <c r="D112" s="7" t="inlineStr">
        <is>
          <t>MD-00091</t>
        </is>
      </c>
      <c r="E112" s="7" t="inlineStr">
        <is>
          <t>MD-MO-050091</t>
        </is>
      </c>
      <c r="F112" s="7" t="inlineStr">
        <is>
          <t>Employee:E0079; Ticket:OFF-00091</t>
        </is>
      </c>
      <c r="G112" s="7">
        <f>IF(B112="Inventory-to-Ledger Difference",IF(IFERROR(XLOOKUP(D112,'Source Ledger'!$B$5:$B$200,'Source Ledger'!$H$5:$H$200),"")="Disposed",IFERROR(XLOOKUP(D112,'Source Ledger'!$B$5:$B$200,'Source Ledger'!$G$5:$G$200),0),IF(IFERROR(XLOOKUP(D112,'Source Ledger'!$B$5:$B$200,'Source Ledger'!$E$5:$E$200),"")="",IFERROR(XLOOKUP(D112,'Corrected Register'!$A$5:$A$200,'Corrected Register'!$M$5:$M$200),0),ABS(IFERROR(XLOOKUP(D112,'Source Ledger'!$B$5:$B$200,'Source Ledger'!$E$5:$E$200),0)-IFERROR(XLOOKUP(D112,'Corrected Register'!$A$5:$A$200,'Corrected Register'!$M$5:$M$200),0)))),IFERROR(XLOOKUP(D112,'Corrected Register'!$A$5:$A$200,'Corrected Register'!$N$5:$N$200),0))</f>
        <v/>
      </c>
      <c r="H112" s="7" t="inlineStr">
        <is>
          <t>HR Operations Lead: clear former-employee assignment on MD-00091 (Wes Carvalho) (EX-0108).</t>
        </is>
      </c>
      <c r="I112" s="7" t="inlineStr">
        <is>
          <t>HR Operations Lead</t>
        </is>
      </c>
      <c r="J112" s="7" t="inlineStr">
        <is>
          <t>2026-08-16</t>
        </is>
      </c>
      <c r="K112" s="7" t="inlineStr">
        <is>
          <t>Open</t>
        </is>
      </c>
      <c r="L112" s="7" t="inlineStr">
        <is>
          <t>Offboarding left MD-00091 hanging on Wes Carvalho (E0079); status Separated in hr_employee_status, ticket OFF-00091. EX-0108.</t>
        </is>
      </c>
      <c r="M112" s="12" t="inlineStr">
        <is>
          <t>Blocks certification</t>
        </is>
      </c>
    </row>
    <row r="113">
      <c r="A113" s="7" t="inlineStr">
        <is>
          <t>EX-0109</t>
        </is>
      </c>
      <c r="B113" s="7" t="inlineStr">
        <is>
          <t>Cannot Locate</t>
        </is>
      </c>
      <c r="C113" s="8" t="inlineStr">
        <is>
          <t>Critical</t>
        </is>
      </c>
      <c r="D113" s="7" t="inlineStr">
        <is>
          <t>MD-00092</t>
        </is>
      </c>
      <c r="E113" s="7" t="inlineStr">
        <is>
          <t>MD-NE-050088</t>
        </is>
      </c>
      <c r="F113" s="7" t="inlineStr">
        <is>
          <t>Ticket:OFF-00092; Transfer:TR-00092; LastRegisterLocation:Chicago - Closed</t>
        </is>
      </c>
      <c r="G113" s="7">
        <f>IF(B113="Inventory-to-Ledger Difference",IF(IFERROR(XLOOKUP(D113,'Source Ledger'!$B$5:$B$200,'Source Ledger'!$H$5:$H$200),"")="Disposed",IFERROR(XLOOKUP(D113,'Source Ledger'!$B$5:$B$200,'Source Ledger'!$G$5:$G$200),0),IF(IFERROR(XLOOKUP(D113,'Source Ledger'!$B$5:$B$200,'Source Ledger'!$E$5:$E$200),"")="",IFERROR(XLOOKUP(D113,'Corrected Register'!$A$5:$A$200,'Corrected Register'!$M$5:$M$200),0),ABS(IFERROR(XLOOKUP(D113,'Source Ledger'!$B$5:$B$200,'Source Ledger'!$E$5:$E$200),0)-IFERROR(XLOOKUP(D113,'Corrected Register'!$A$5:$A$200,'Corrected Register'!$M$5:$M$200),0)))),IFERROR(XLOOKUP(D113,'Corrected Register'!$A$5:$A$200,'Corrected Register'!$N$5:$N$200),0))</f>
        <v/>
      </c>
      <c r="H113" s="7" t="inlineStr">
        <is>
          <t>Open loss investigation on MD-00092; remain Missing until located or write-off approved (EX-0109).</t>
        </is>
      </c>
      <c r="I113" s="7" t="inlineStr">
        <is>
          <t>IT Operations Manager</t>
        </is>
      </c>
      <c r="J113" s="7" t="inlineStr">
        <is>
          <t>2026-08-12</t>
        </is>
      </c>
      <c r="K113" s="7" t="inlineStr">
        <is>
          <t>Open</t>
        </is>
      </c>
      <c r="L113" s="7" t="inlineStr">
        <is>
          <t>Loss path open on MD-00092 — last known Chicago - Closed; EX-0109.</t>
        </is>
      </c>
      <c r="M113" s="12" t="inlineStr">
        <is>
          <t>Blocks certification</t>
        </is>
      </c>
    </row>
    <row r="114">
      <c r="A114" s="7" t="inlineStr">
        <is>
          <t>EX-0110</t>
        </is>
      </c>
      <c r="B114" s="7" t="inlineStr">
        <is>
          <t>Former Employee Assignment</t>
        </is>
      </c>
      <c r="C114" s="8" t="inlineStr">
        <is>
          <t>Critical</t>
        </is>
      </c>
      <c r="D114" s="7" t="inlineStr">
        <is>
          <t>MD-00092</t>
        </is>
      </c>
      <c r="E114" s="7" t="inlineStr">
        <is>
          <t>MD-NE-050088</t>
        </is>
      </c>
      <c r="F114" s="7" t="inlineStr">
        <is>
          <t>Employee:E0080; Ticket:OFF-00092</t>
        </is>
      </c>
      <c r="G114" s="7">
        <f>IF(B114="Inventory-to-Ledger Difference",IF(IFERROR(XLOOKUP(D114,'Source Ledger'!$B$5:$B$200,'Source Ledger'!$H$5:$H$200),"")="Disposed",IFERROR(XLOOKUP(D114,'Source Ledger'!$B$5:$B$200,'Source Ledger'!$G$5:$G$200),0),IF(IFERROR(XLOOKUP(D114,'Source Ledger'!$B$5:$B$200,'Source Ledger'!$E$5:$E$200),"")="",IFERROR(XLOOKUP(D114,'Corrected Register'!$A$5:$A$200,'Corrected Register'!$M$5:$M$200),0),ABS(IFERROR(XLOOKUP(D114,'Source Ledger'!$B$5:$B$200,'Source Ledger'!$E$5:$E$200),0)-IFERROR(XLOOKUP(D114,'Corrected Register'!$A$5:$A$200,'Corrected Register'!$M$5:$M$200),0)))),IFERROR(XLOOKUP(D114,'Corrected Register'!$A$5:$A$200,'Corrected Register'!$N$5:$N$200),0))</f>
        <v/>
      </c>
      <c r="H114" s="7" t="inlineStr">
        <is>
          <t>Remove Tara Singh from MD-00092; park under Regional IT or IT Stock (EX-0110).</t>
        </is>
      </c>
      <c r="I114" s="7" t="inlineStr">
        <is>
          <t>HR Operations Lead</t>
        </is>
      </c>
      <c r="J114" s="7" t="inlineStr">
        <is>
          <t>2026-08-16</t>
        </is>
      </c>
      <c r="K114" s="7" t="inlineStr">
        <is>
          <t>Open</t>
        </is>
      </c>
      <c r="L114" s="7" t="inlineStr">
        <is>
          <t>MD-00092 is still assigned to Tara Singh (E0080), whose hr_employee_status row is Separated; OFF-00092 closed with no custodian rewrite (EX-0110).</t>
        </is>
      </c>
      <c r="M114" s="12" t="inlineStr">
        <is>
          <t>Blocks certification</t>
        </is>
      </c>
    </row>
    <row r="115">
      <c r="A115" s="7" t="inlineStr">
        <is>
          <t>EX-0111</t>
        </is>
      </c>
      <c r="B115" s="7" t="inlineStr">
        <is>
          <t>Duplicate Serial Number</t>
        </is>
      </c>
      <c r="C115" s="10" t="inlineStr">
        <is>
          <t>High</t>
        </is>
      </c>
      <c r="D115" s="7" t="inlineStr">
        <is>
          <t>MD-00092</t>
        </is>
      </c>
      <c r="E115" s="7" t="inlineStr">
        <is>
          <t>MD-NE-050088</t>
        </is>
      </c>
      <c r="F115" s="7" t="inlineStr">
        <is>
          <t>Duplicate serial MD-NE-050088 on MD-00092; Employee ID:E0080; Transfer ID:TR-00092; Ticket ID:OFF-00092; PO Number:PO-2023-0018; Tracking Number:None; Serial:MD-NE-050088; AlsoTagged:MD-00088,MD-00092</t>
        </is>
      </c>
      <c r="G115" s="7">
        <f>IF(B115="Inventory-to-Ledger Difference",IF(IFERROR(XLOOKUP(D115,'Source Ledger'!$B$5:$B$200,'Source Ledger'!$H$5:$H$200),"")="Disposed",IFERROR(XLOOKUP(D115,'Source Ledger'!$B$5:$B$200,'Source Ledger'!$G$5:$G$200),0),IF(IFERROR(XLOOKUP(D115,'Source Ledger'!$B$5:$B$200,'Source Ledger'!$E$5:$E$200),"")="",IFERROR(XLOOKUP(D115,'Corrected Register'!$A$5:$A$200,'Corrected Register'!$M$5:$M$200),0),ABS(IFERROR(XLOOKUP(D115,'Source Ledger'!$B$5:$B$200,'Source Ledger'!$E$5:$E$200),0)-IFERROR(XLOOKUP(D115,'Corrected Register'!$A$5:$A$200,'Corrected Register'!$M$5:$M$200),0)))),IFERROR(XLOOKUP(D115,'Corrected Register'!$A$5:$A$200,'Corrected Register'!$N$5:$N$200),0))</f>
        <v/>
      </c>
      <c r="H115" s="7" t="inlineStr">
        <is>
          <t>Bench-validate and retag duplicate serial MD-NE-050088 involving MD-00092 (EX-0111).</t>
        </is>
      </c>
      <c r="I115" s="7" t="inlineStr">
        <is>
          <t>IT Asset Specialist</t>
        </is>
      </c>
      <c r="J115" s="7" t="inlineStr">
        <is>
          <t>2026-08-18</t>
        </is>
      </c>
      <c r="K115" s="7" t="inlineStr">
        <is>
          <t>Open</t>
        </is>
      </c>
      <c r="L115" s="7" t="inlineStr">
        <is>
          <t>Serial MD-NE-050088 is shared by MD-00092 and MD-00088,MD-00092; bench validation and retag required (EX-0111).</t>
        </is>
      </c>
      <c r="M115" s="7" t="inlineStr">
        <is>
          <t>Requires remediation</t>
        </is>
      </c>
    </row>
    <row r="116">
      <c r="A116" s="7" t="inlineStr">
        <is>
          <t>EX-0112</t>
        </is>
      </c>
      <c r="B116" s="7" t="inlineStr">
        <is>
          <t>Cannot Locate</t>
        </is>
      </c>
      <c r="C116" s="8" t="inlineStr">
        <is>
          <t>Critical</t>
        </is>
      </c>
      <c r="D116" s="7" t="inlineStr">
        <is>
          <t>MD-00093</t>
        </is>
      </c>
      <c r="E116" s="7" t="inlineStr">
        <is>
          <t>MD-LA-050093</t>
        </is>
      </c>
      <c r="F116" s="7" t="inlineStr">
        <is>
          <t>Ticket:OFF-00093; Transfer:TR-00093; LastRegisterLocation:Denver - Closed</t>
        </is>
      </c>
      <c r="G116" s="7">
        <f>IF(B116="Inventory-to-Ledger Difference",IF(IFERROR(XLOOKUP(D116,'Source Ledger'!$B$5:$B$200,'Source Ledger'!$H$5:$H$200),"")="Disposed",IFERROR(XLOOKUP(D116,'Source Ledger'!$B$5:$B$200,'Source Ledger'!$G$5:$G$200),0),IF(IFERROR(XLOOKUP(D116,'Source Ledger'!$B$5:$B$200,'Source Ledger'!$E$5:$E$200),"")="",IFERROR(XLOOKUP(D116,'Corrected Register'!$A$5:$A$200,'Corrected Register'!$M$5:$M$200),0),ABS(IFERROR(XLOOKUP(D116,'Source Ledger'!$B$5:$B$200,'Source Ledger'!$E$5:$E$200),0)-IFERROR(XLOOKUP(D116,'Corrected Register'!$A$5:$A$200,'Corrected Register'!$M$5:$M$200),0)))),IFERROR(XLOOKUP(D116,'Corrected Register'!$A$5:$A$200,'Corrected Register'!$N$5:$N$200),0))</f>
        <v/>
      </c>
      <c r="H116" s="7" t="inlineStr">
        <is>
          <t>Open loss investigation on MD-00093; remain Missing until located or write-off approved (EX-0112).</t>
        </is>
      </c>
      <c r="I116" s="7" t="inlineStr">
        <is>
          <t>IT Operations Manager</t>
        </is>
      </c>
      <c r="J116" s="7" t="inlineStr">
        <is>
          <t>2026-08-12</t>
        </is>
      </c>
      <c r="K116" s="7" t="inlineStr">
        <is>
          <t>Open</t>
        </is>
      </c>
      <c r="L116" s="7" t="inlineStr">
        <is>
          <t>No count, dock scan, or disposal certificate places MD-00093; last register site Denver - Closed (EX-0112).</t>
        </is>
      </c>
      <c r="M116" s="12" t="inlineStr">
        <is>
          <t>Blocks certification</t>
        </is>
      </c>
    </row>
    <row r="117">
      <c r="A117" s="7" t="inlineStr">
        <is>
          <t>EX-0113</t>
        </is>
      </c>
      <c r="B117" s="7" t="inlineStr">
        <is>
          <t>Former Employee Assignment</t>
        </is>
      </c>
      <c r="C117" s="8" t="inlineStr">
        <is>
          <t>Critical</t>
        </is>
      </c>
      <c r="D117" s="7" t="inlineStr">
        <is>
          <t>MD-00093</t>
        </is>
      </c>
      <c r="E117" s="7" t="inlineStr">
        <is>
          <t>MD-LA-050093</t>
        </is>
      </c>
      <c r="F117" s="7" t="inlineStr">
        <is>
          <t>Employee:E0081; Ticket:OFF-00093</t>
        </is>
      </c>
      <c r="G117" s="7">
        <f>IF(B117="Inventory-to-Ledger Difference",IF(IFERROR(XLOOKUP(D117,'Source Ledger'!$B$5:$B$200,'Source Ledger'!$H$5:$H$200),"")="Disposed",IFERROR(XLOOKUP(D117,'Source Ledger'!$B$5:$B$200,'Source Ledger'!$G$5:$G$200),0),IF(IFERROR(XLOOKUP(D117,'Source Ledger'!$B$5:$B$200,'Source Ledger'!$E$5:$E$200),"")="",IFERROR(XLOOKUP(D117,'Corrected Register'!$A$5:$A$200,'Corrected Register'!$M$5:$M$200),0),ABS(IFERROR(XLOOKUP(D117,'Source Ledger'!$B$5:$B$200,'Source Ledger'!$E$5:$E$200),0)-IFERROR(XLOOKUP(D117,'Corrected Register'!$A$5:$A$200,'Corrected Register'!$M$5:$M$200),0)))),IFERROR(XLOOKUP(D117,'Corrected Register'!$A$5:$A$200,'Corrected Register'!$N$5:$N$200),0))</f>
        <v/>
      </c>
      <c r="H117" s="7" t="inlineStr">
        <is>
          <t>Reassign MD-00093 off separated Elliott Park to a stock/Regional IT bucket (EX-0113).</t>
        </is>
      </c>
      <c r="I117" s="7" t="inlineStr">
        <is>
          <t>HR Operations Lead</t>
        </is>
      </c>
      <c r="J117" s="7" t="inlineStr">
        <is>
          <t>2026-08-16</t>
        </is>
      </c>
      <c r="K117" s="7" t="inlineStr">
        <is>
          <t>Open</t>
        </is>
      </c>
      <c r="L117" s="7" t="inlineStr">
        <is>
          <t>HR shows Elliott Park (E0081) terminated, yet the register still lists them on MD-00093 (OFF-00093) — EX-0113.</t>
        </is>
      </c>
      <c r="M117" s="12" t="inlineStr">
        <is>
          <t>Blocks certification</t>
        </is>
      </c>
    </row>
    <row r="118">
      <c r="A118" s="7" t="inlineStr">
        <is>
          <t>EX-0114</t>
        </is>
      </c>
      <c r="B118" s="7" t="inlineStr">
        <is>
          <t>Cannot Locate</t>
        </is>
      </c>
      <c r="C118" s="8" t="inlineStr">
        <is>
          <t>Critical</t>
        </is>
      </c>
      <c r="D118" s="7" t="inlineStr">
        <is>
          <t>MD-00094</t>
        </is>
      </c>
      <c r="E118" s="7" t="inlineStr">
        <is>
          <t>MD-MO-050094</t>
        </is>
      </c>
      <c r="F118" s="7" t="inlineStr">
        <is>
          <t>Ticket:OFF-00094; Transfer:TR-00094; LastRegisterLocation:Chicago - Closed</t>
        </is>
      </c>
      <c r="G118" s="7">
        <f>IF(B118="Inventory-to-Ledger Difference",IF(IFERROR(XLOOKUP(D118,'Source Ledger'!$B$5:$B$200,'Source Ledger'!$H$5:$H$200),"")="Disposed",IFERROR(XLOOKUP(D118,'Source Ledger'!$B$5:$B$200,'Source Ledger'!$G$5:$G$200),0),IF(IFERROR(XLOOKUP(D118,'Source Ledger'!$B$5:$B$200,'Source Ledger'!$E$5:$E$200),"")="",IFERROR(XLOOKUP(D118,'Corrected Register'!$A$5:$A$200,'Corrected Register'!$M$5:$M$200),0),ABS(IFERROR(XLOOKUP(D118,'Source Ledger'!$B$5:$B$200,'Source Ledger'!$E$5:$E$200),0)-IFERROR(XLOOKUP(D118,'Corrected Register'!$A$5:$A$200,'Corrected Register'!$M$5:$M$200),0)))),IFERROR(XLOOKUP(D118,'Corrected Register'!$A$5:$A$200,'Corrected Register'!$N$5:$N$200),0))</f>
        <v/>
      </c>
      <c r="H118" s="7" t="inlineStr">
        <is>
          <t>Open loss investigation on MD-00094; remain Missing until located or write-off approved (EX-0114).</t>
        </is>
      </c>
      <c r="I118" s="7" t="inlineStr">
        <is>
          <t>IT Operations Manager</t>
        </is>
      </c>
      <c r="J118" s="7" t="inlineStr">
        <is>
          <t>2026-08-12</t>
        </is>
      </c>
      <c r="K118" s="7" t="inlineStr">
        <is>
          <t>Open</t>
        </is>
      </c>
      <c r="L118" s="7" t="inlineStr">
        <is>
          <t>Loss path open on MD-00094 — last known Chicago - Closed; EX-0114.</t>
        </is>
      </c>
      <c r="M118" s="12" t="inlineStr">
        <is>
          <t>Blocks certification</t>
        </is>
      </c>
    </row>
    <row r="119">
      <c r="A119" s="7" t="inlineStr">
        <is>
          <t>EX-0115</t>
        </is>
      </c>
      <c r="B119" s="7" t="inlineStr">
        <is>
          <t>Former Employee Assignment</t>
        </is>
      </c>
      <c r="C119" s="8" t="inlineStr">
        <is>
          <t>Critical</t>
        </is>
      </c>
      <c r="D119" s="7" t="inlineStr">
        <is>
          <t>MD-00094</t>
        </is>
      </c>
      <c r="E119" s="7" t="inlineStr">
        <is>
          <t>MD-MO-050094</t>
        </is>
      </c>
      <c r="F119" s="7" t="inlineStr">
        <is>
          <t>Employee:E0082; Ticket:OFF-00094</t>
        </is>
      </c>
      <c r="G119" s="7">
        <f>IF(B119="Inventory-to-Ledger Difference",IF(IFERROR(XLOOKUP(D119,'Source Ledger'!$B$5:$B$200,'Source Ledger'!$H$5:$H$200),"")="Disposed",IFERROR(XLOOKUP(D119,'Source Ledger'!$B$5:$B$200,'Source Ledger'!$G$5:$G$200),0),IF(IFERROR(XLOOKUP(D119,'Source Ledger'!$B$5:$B$200,'Source Ledger'!$E$5:$E$200),"")="",IFERROR(XLOOKUP(D119,'Corrected Register'!$A$5:$A$200,'Corrected Register'!$M$5:$M$200),0),ABS(IFERROR(XLOOKUP(D119,'Source Ledger'!$B$5:$B$200,'Source Ledger'!$E$5:$E$200),0)-IFERROR(XLOOKUP(D119,'Corrected Register'!$A$5:$A$200,'Corrected Register'!$M$5:$M$200),0)))),IFERROR(XLOOKUP(D119,'Corrected Register'!$A$5:$A$200,'Corrected Register'!$N$5:$N$200),0))</f>
        <v/>
      </c>
      <c r="H119" s="7" t="inlineStr">
        <is>
          <t>HR Operations Lead: clear former-employee assignment on MD-00094 (Carmen Diaz) (EX-0115).</t>
        </is>
      </c>
      <c r="I119" s="7" t="inlineStr">
        <is>
          <t>HR Operations Lead</t>
        </is>
      </c>
      <c r="J119" s="7" t="inlineStr">
        <is>
          <t>2026-08-16</t>
        </is>
      </c>
      <c r="K119" s="7" t="inlineStr">
        <is>
          <t>Open</t>
        </is>
      </c>
      <c r="L119" s="7" t="inlineStr">
        <is>
          <t>HR shows Carmen Diaz (E0082) terminated, yet the register still lists them on MD-00094 (OFF-00094) — EX-0115.</t>
        </is>
      </c>
      <c r="M119" s="12" t="inlineStr">
        <is>
          <t>Blocks certification</t>
        </is>
      </c>
    </row>
    <row r="120">
      <c r="A120" s="7" t="inlineStr">
        <is>
          <t>EX-0116</t>
        </is>
      </c>
      <c r="B120" s="7" t="inlineStr">
        <is>
          <t>Cannot Locate</t>
        </is>
      </c>
      <c r="C120" s="8" t="inlineStr">
        <is>
          <t>Critical</t>
        </is>
      </c>
      <c r="D120" s="7" t="inlineStr">
        <is>
          <t>MD-00095</t>
        </is>
      </c>
      <c r="E120" s="7" t="inlineStr">
        <is>
          <t>MD-MO-050095</t>
        </is>
      </c>
      <c r="F120" s="7" t="inlineStr">
        <is>
          <t>Ticket:OFF-00095; Transfer:TR-00095; LastRegisterLocation:Denver - Closed</t>
        </is>
      </c>
      <c r="G120" s="7">
        <f>IF(B120="Inventory-to-Ledger Difference",IF(IFERROR(XLOOKUP(D120,'Source Ledger'!$B$5:$B$200,'Source Ledger'!$H$5:$H$200),"")="Disposed",IFERROR(XLOOKUP(D120,'Source Ledger'!$B$5:$B$200,'Source Ledger'!$G$5:$G$200),0),IF(IFERROR(XLOOKUP(D120,'Source Ledger'!$B$5:$B$200,'Source Ledger'!$E$5:$E$200),"")="",IFERROR(XLOOKUP(D120,'Corrected Register'!$A$5:$A$200,'Corrected Register'!$M$5:$M$200),0),ABS(IFERROR(XLOOKUP(D120,'Source Ledger'!$B$5:$B$200,'Source Ledger'!$E$5:$E$200),0)-IFERROR(XLOOKUP(D120,'Corrected Register'!$A$5:$A$200,'Corrected Register'!$M$5:$M$200),0)))),IFERROR(XLOOKUP(D120,'Corrected Register'!$A$5:$A$200,'Corrected Register'!$N$5:$N$200),0))</f>
        <v/>
      </c>
      <c r="H120" s="7" t="inlineStr">
        <is>
          <t>Open loss investigation on MD-00095; remain Missing until located or write-off approved (EX-0116).</t>
        </is>
      </c>
      <c r="I120" s="7" t="inlineStr">
        <is>
          <t>IT Operations Manager</t>
        </is>
      </c>
      <c r="J120" s="7" t="inlineStr">
        <is>
          <t>2026-08-12</t>
        </is>
      </c>
      <c r="K120" s="7" t="inlineStr">
        <is>
          <t>Open</t>
        </is>
      </c>
      <c r="L120" s="7" t="inlineStr">
        <is>
          <t>MD-00095 dropped from the floor after Denver - Closed; nothing in receiving or disposal files (EX-0116).</t>
        </is>
      </c>
      <c r="M120" s="12" t="inlineStr">
        <is>
          <t>Blocks certification</t>
        </is>
      </c>
    </row>
    <row r="121">
      <c r="A121" s="7" t="inlineStr">
        <is>
          <t>EX-0117</t>
        </is>
      </c>
      <c r="B121" s="7" t="inlineStr">
        <is>
          <t>Former Employee Assignment</t>
        </is>
      </c>
      <c r="C121" s="8" t="inlineStr">
        <is>
          <t>Critical</t>
        </is>
      </c>
      <c r="D121" s="7" t="inlineStr">
        <is>
          <t>MD-00095</t>
        </is>
      </c>
      <c r="E121" s="7" t="inlineStr">
        <is>
          <t>MD-MO-050095</t>
        </is>
      </c>
      <c r="F121" s="7" t="inlineStr">
        <is>
          <t>Employee:E0083; Ticket:OFF-00095</t>
        </is>
      </c>
      <c r="G121" s="7">
        <f>IF(B121="Inventory-to-Ledger Difference",IF(IFERROR(XLOOKUP(D121,'Source Ledger'!$B$5:$B$200,'Source Ledger'!$H$5:$H$200),"")="Disposed",IFERROR(XLOOKUP(D121,'Source Ledger'!$B$5:$B$200,'Source Ledger'!$G$5:$G$200),0),IF(IFERROR(XLOOKUP(D121,'Source Ledger'!$B$5:$B$200,'Source Ledger'!$E$5:$E$200),"")="",IFERROR(XLOOKUP(D121,'Corrected Register'!$A$5:$A$200,'Corrected Register'!$M$5:$M$200),0),ABS(IFERROR(XLOOKUP(D121,'Source Ledger'!$B$5:$B$200,'Source Ledger'!$E$5:$E$200),0)-IFERROR(XLOOKUP(D121,'Corrected Register'!$A$5:$A$200,'Corrected Register'!$M$5:$M$200),0)))),IFERROR(XLOOKUP(D121,'Corrected Register'!$A$5:$A$200,'Corrected Register'!$N$5:$N$200),0))</f>
        <v/>
      </c>
      <c r="H121" s="7" t="inlineStr">
        <is>
          <t>Remove Hugh Talbot from MD-00095; park under Regional IT or IT Stock (EX-0117).</t>
        </is>
      </c>
      <c r="I121" s="7" t="inlineStr">
        <is>
          <t>HR Operations Lead</t>
        </is>
      </c>
      <c r="J121" s="7" t="inlineStr">
        <is>
          <t>2026-08-16</t>
        </is>
      </c>
      <c r="K121" s="7" t="inlineStr">
        <is>
          <t>Open</t>
        </is>
      </c>
      <c r="L121" s="7" t="inlineStr">
        <is>
          <t>HR shows Hugh Talbot (E0083) terminated, yet the register still lists them on MD-00095 (OFF-00095) — EX-0117.</t>
        </is>
      </c>
      <c r="M121" s="12" t="inlineStr">
        <is>
          <t>Blocks certification</t>
        </is>
      </c>
    </row>
    <row r="122">
      <c r="A122" s="7" t="inlineStr">
        <is>
          <t>EX-0118</t>
        </is>
      </c>
      <c r="B122" s="7" t="inlineStr">
        <is>
          <t>Cannot Locate</t>
        </is>
      </c>
      <c r="C122" s="8" t="inlineStr">
        <is>
          <t>Critical</t>
        </is>
      </c>
      <c r="D122" s="7" t="inlineStr">
        <is>
          <t>MD-00096</t>
        </is>
      </c>
      <c r="E122" s="7" t="inlineStr">
        <is>
          <t>MD-NE-050096</t>
        </is>
      </c>
      <c r="F122" s="7" t="inlineStr">
        <is>
          <t>Ticket:OFF-00096; Transfer:TR-00096; LastRegisterLocation:Chicago - Closed</t>
        </is>
      </c>
      <c r="G122" s="7">
        <f>IF(B122="Inventory-to-Ledger Difference",IF(IFERROR(XLOOKUP(D122,'Source Ledger'!$B$5:$B$200,'Source Ledger'!$H$5:$H$200),"")="Disposed",IFERROR(XLOOKUP(D122,'Source Ledger'!$B$5:$B$200,'Source Ledger'!$G$5:$G$200),0),IF(IFERROR(XLOOKUP(D122,'Source Ledger'!$B$5:$B$200,'Source Ledger'!$E$5:$E$200),"")="",IFERROR(XLOOKUP(D122,'Corrected Register'!$A$5:$A$200,'Corrected Register'!$M$5:$M$200),0),ABS(IFERROR(XLOOKUP(D122,'Source Ledger'!$B$5:$B$200,'Source Ledger'!$E$5:$E$200),0)-IFERROR(XLOOKUP(D122,'Corrected Register'!$A$5:$A$200,'Corrected Register'!$M$5:$M$200),0)))),IFERROR(XLOOKUP(D122,'Corrected Register'!$A$5:$A$200,'Corrected Register'!$N$5:$N$200),0))</f>
        <v/>
      </c>
      <c r="H122" s="7" t="inlineStr">
        <is>
          <t>Open loss investigation on MD-00096; remain Missing until located or write-off approved (EX-0118).</t>
        </is>
      </c>
      <c r="I122" s="7" t="inlineStr">
        <is>
          <t>IT Operations Manager</t>
        </is>
      </c>
      <c r="J122" s="7" t="inlineStr">
        <is>
          <t>2026-08-12</t>
        </is>
      </c>
      <c r="K122" s="7" t="inlineStr">
        <is>
          <t>Open</t>
        </is>
      </c>
      <c r="L122" s="7" t="inlineStr">
        <is>
          <t>Physical search has not recovered MD-00096 (MD-NE-050096); register still points at Chicago - Closed (EX-0118).</t>
        </is>
      </c>
      <c r="M122" s="12" t="inlineStr">
        <is>
          <t>Blocks certification</t>
        </is>
      </c>
    </row>
    <row r="123">
      <c r="A123" s="7" t="inlineStr">
        <is>
          <t>EX-0119</t>
        </is>
      </c>
      <c r="B123" s="7" t="inlineStr">
        <is>
          <t>Former Employee Assignment</t>
        </is>
      </c>
      <c r="C123" s="8" t="inlineStr">
        <is>
          <t>Critical</t>
        </is>
      </c>
      <c r="D123" s="7" t="inlineStr">
        <is>
          <t>MD-00096</t>
        </is>
      </c>
      <c r="E123" s="7" t="inlineStr">
        <is>
          <t>MD-NE-050096</t>
        </is>
      </c>
      <c r="F123" s="7" t="inlineStr">
        <is>
          <t>Employee:E0084; Ticket:OFF-00096</t>
        </is>
      </c>
      <c r="G123" s="7">
        <f>IF(B123="Inventory-to-Ledger Difference",IF(IFERROR(XLOOKUP(D123,'Source Ledger'!$B$5:$B$200,'Source Ledger'!$H$5:$H$200),"")="Disposed",IFERROR(XLOOKUP(D123,'Source Ledger'!$B$5:$B$200,'Source Ledger'!$G$5:$G$200),0),IF(IFERROR(XLOOKUP(D123,'Source Ledger'!$B$5:$B$200,'Source Ledger'!$E$5:$E$200),"")="",IFERROR(XLOOKUP(D123,'Corrected Register'!$A$5:$A$200,'Corrected Register'!$M$5:$M$200),0),ABS(IFERROR(XLOOKUP(D123,'Source Ledger'!$B$5:$B$200,'Source Ledger'!$E$5:$E$200),0)-IFERROR(XLOOKUP(D123,'Corrected Register'!$A$5:$A$200,'Corrected Register'!$M$5:$M$200),0)))),IFERROR(XLOOKUP(D123,'Corrected Register'!$A$5:$A$200,'Corrected Register'!$N$5:$N$200),0))</f>
        <v/>
      </c>
      <c r="H123" s="7" t="inlineStr">
        <is>
          <t>Remove Mira Adelman from MD-00096; park under Regional IT or IT Stock (EX-0119).</t>
        </is>
      </c>
      <c r="I123" s="7" t="inlineStr">
        <is>
          <t>HR Operations Lead</t>
        </is>
      </c>
      <c r="J123" s="7" t="inlineStr">
        <is>
          <t>2026-08-16</t>
        </is>
      </c>
      <c r="K123" s="7" t="inlineStr">
        <is>
          <t>Open</t>
        </is>
      </c>
      <c r="L123" s="7" t="inlineStr">
        <is>
          <t>Offboarding left MD-00096 hanging on Mira Adelman (E0084); status Separated in hr_employee_status, ticket OFF-00096. EX-0119.</t>
        </is>
      </c>
      <c r="M123" s="12" t="inlineStr">
        <is>
          <t>Blocks certification</t>
        </is>
      </c>
    </row>
    <row r="124">
      <c r="A124" s="7" t="inlineStr">
        <is>
          <t>EX-0120</t>
        </is>
      </c>
      <c r="B124" s="7" t="inlineStr">
        <is>
          <t>Cannot Locate</t>
        </is>
      </c>
      <c r="C124" s="8" t="inlineStr">
        <is>
          <t>Critical</t>
        </is>
      </c>
      <c r="D124" s="7" t="inlineStr">
        <is>
          <t>MD-00097</t>
        </is>
      </c>
      <c r="E124" s="7" t="inlineStr">
        <is>
          <t>MD-LA-050097</t>
        </is>
      </c>
      <c r="F124" s="7" t="inlineStr">
        <is>
          <t>Ticket:OFF-00097; Transfer:TR-00097; LastRegisterLocation:Denver - Closed</t>
        </is>
      </c>
      <c r="G124" s="7">
        <f>IF(B124="Inventory-to-Ledger Difference",IF(IFERROR(XLOOKUP(D124,'Source Ledger'!$B$5:$B$200,'Source Ledger'!$H$5:$H$200),"")="Disposed",IFERROR(XLOOKUP(D124,'Source Ledger'!$B$5:$B$200,'Source Ledger'!$G$5:$G$200),0),IF(IFERROR(XLOOKUP(D124,'Source Ledger'!$B$5:$B$200,'Source Ledger'!$E$5:$E$200),"")="",IFERROR(XLOOKUP(D124,'Corrected Register'!$A$5:$A$200,'Corrected Register'!$M$5:$M$200),0),ABS(IFERROR(XLOOKUP(D124,'Source Ledger'!$B$5:$B$200,'Source Ledger'!$E$5:$E$200),0)-IFERROR(XLOOKUP(D124,'Corrected Register'!$A$5:$A$200,'Corrected Register'!$M$5:$M$200),0)))),IFERROR(XLOOKUP(D124,'Corrected Register'!$A$5:$A$200,'Corrected Register'!$N$5:$N$200),0))</f>
        <v/>
      </c>
      <c r="H124" s="7" t="inlineStr">
        <is>
          <t>Open loss investigation on MD-00097; remain Missing until located or write-off approved (EX-0120).</t>
        </is>
      </c>
      <c r="I124" s="7" t="inlineStr">
        <is>
          <t>IT Operations Manager</t>
        </is>
      </c>
      <c r="J124" s="7" t="inlineStr">
        <is>
          <t>2026-08-12</t>
        </is>
      </c>
      <c r="K124" s="7" t="inlineStr">
        <is>
          <t>Open</t>
        </is>
      </c>
      <c r="L124" s="7" t="inlineStr">
        <is>
          <t>MD-00097 dropped from the floor after Denver - Closed; nothing in receiving or disposal files (EX-0120).</t>
        </is>
      </c>
      <c r="M124" s="12" t="inlineStr">
        <is>
          <t>Blocks certification</t>
        </is>
      </c>
    </row>
    <row r="125">
      <c r="A125" s="7" t="inlineStr">
        <is>
          <t>EX-0121</t>
        </is>
      </c>
      <c r="B125" s="7" t="inlineStr">
        <is>
          <t>Former Employee Assignment</t>
        </is>
      </c>
      <c r="C125" s="8" t="inlineStr">
        <is>
          <t>Critical</t>
        </is>
      </c>
      <c r="D125" s="7" t="inlineStr">
        <is>
          <t>MD-00097</t>
        </is>
      </c>
      <c r="E125" s="7" t="inlineStr">
        <is>
          <t>MD-LA-050097</t>
        </is>
      </c>
      <c r="F125" s="7" t="inlineStr">
        <is>
          <t>Employee:E0085; Ticket:OFF-00097</t>
        </is>
      </c>
      <c r="G125" s="7">
        <f>IF(B125="Inventory-to-Ledger Difference",IF(IFERROR(XLOOKUP(D125,'Source Ledger'!$B$5:$B$200,'Source Ledger'!$H$5:$H$200),"")="Disposed",IFERROR(XLOOKUP(D125,'Source Ledger'!$B$5:$B$200,'Source Ledger'!$G$5:$G$200),0),IF(IFERROR(XLOOKUP(D125,'Source Ledger'!$B$5:$B$200,'Source Ledger'!$E$5:$E$200),"")="",IFERROR(XLOOKUP(D125,'Corrected Register'!$A$5:$A$200,'Corrected Register'!$M$5:$M$200),0),ABS(IFERROR(XLOOKUP(D125,'Source Ledger'!$B$5:$B$200,'Source Ledger'!$E$5:$E$200),0)-IFERROR(XLOOKUP(D125,'Corrected Register'!$A$5:$A$200,'Corrected Register'!$M$5:$M$200),0)))),IFERROR(XLOOKUP(D125,'Corrected Register'!$A$5:$A$200,'Corrected Register'!$N$5:$N$200),0))</f>
        <v/>
      </c>
      <c r="H125" s="7" t="inlineStr">
        <is>
          <t>HR Operations Lead: clear former-employee assignment on MD-00097 (Quincy Rhodes) (EX-0121).</t>
        </is>
      </c>
      <c r="I125" s="7" t="inlineStr">
        <is>
          <t>HR Operations Lead</t>
        </is>
      </c>
      <c r="J125" s="7" t="inlineStr">
        <is>
          <t>2026-08-16</t>
        </is>
      </c>
      <c r="K125" s="7" t="inlineStr">
        <is>
          <t>Open</t>
        </is>
      </c>
      <c r="L125" s="7" t="inlineStr">
        <is>
          <t>MD-00097 is still assigned to Quincy Rhodes (E0085), whose hr_employee_status row is Separated; OFF-00097 closed with no custodian rewrite (EX-0121).</t>
        </is>
      </c>
      <c r="M125" s="12" t="inlineStr">
        <is>
          <t>Blocks certification</t>
        </is>
      </c>
    </row>
    <row r="126">
      <c r="A126" s="7" t="inlineStr">
        <is>
          <t>EX-0122</t>
        </is>
      </c>
      <c r="B126" s="7" t="inlineStr">
        <is>
          <t>Cannot Locate</t>
        </is>
      </c>
      <c r="C126" s="8" t="inlineStr">
        <is>
          <t>Critical</t>
        </is>
      </c>
      <c r="D126" s="7" t="inlineStr">
        <is>
          <t>MD-00098</t>
        </is>
      </c>
      <c r="E126" s="7" t="inlineStr">
        <is>
          <t>MD-MO-050098</t>
        </is>
      </c>
      <c r="F126" s="7" t="inlineStr">
        <is>
          <t>Ticket:OFF-00098; Transfer:TR-00098; LastRegisterLocation:Chicago - Closed</t>
        </is>
      </c>
      <c r="G126" s="7">
        <f>IF(B126="Inventory-to-Ledger Difference",IF(IFERROR(XLOOKUP(D126,'Source Ledger'!$B$5:$B$200,'Source Ledger'!$H$5:$H$200),"")="Disposed",IFERROR(XLOOKUP(D126,'Source Ledger'!$B$5:$B$200,'Source Ledger'!$G$5:$G$200),0),IF(IFERROR(XLOOKUP(D126,'Source Ledger'!$B$5:$B$200,'Source Ledger'!$E$5:$E$200),"")="",IFERROR(XLOOKUP(D126,'Corrected Register'!$A$5:$A$200,'Corrected Register'!$M$5:$M$200),0),ABS(IFERROR(XLOOKUP(D126,'Source Ledger'!$B$5:$B$200,'Source Ledger'!$E$5:$E$200),0)-IFERROR(XLOOKUP(D126,'Corrected Register'!$A$5:$A$200,'Corrected Register'!$M$5:$M$200),0)))),IFERROR(XLOOKUP(D126,'Corrected Register'!$A$5:$A$200,'Corrected Register'!$N$5:$N$200),0))</f>
        <v/>
      </c>
      <c r="H126" s="7" t="inlineStr">
        <is>
          <t>Open loss investigation on MD-00098; remain Missing until located or write-off approved (EX-0122).</t>
        </is>
      </c>
      <c r="I126" s="7" t="inlineStr">
        <is>
          <t>IT Operations Manager</t>
        </is>
      </c>
      <c r="J126" s="7" t="inlineStr">
        <is>
          <t>2026-08-12</t>
        </is>
      </c>
      <c r="K126" s="7" t="inlineStr">
        <is>
          <t>Open</t>
        </is>
      </c>
      <c r="L126" s="7" t="inlineStr">
        <is>
          <t>Physical search has not recovered MD-00098 (MD-MO-050098); register still points at Chicago - Closed (EX-0122).</t>
        </is>
      </c>
      <c r="M126" s="12" t="inlineStr">
        <is>
          <t>Blocks certification</t>
        </is>
      </c>
    </row>
    <row r="127">
      <c r="A127" s="7" t="inlineStr">
        <is>
          <t>EX-0123</t>
        </is>
      </c>
      <c r="B127" s="7" t="inlineStr">
        <is>
          <t>Former Employee Assignment</t>
        </is>
      </c>
      <c r="C127" s="8" t="inlineStr">
        <is>
          <t>Critical</t>
        </is>
      </c>
      <c r="D127" s="7" t="inlineStr">
        <is>
          <t>MD-00098</t>
        </is>
      </c>
      <c r="E127" s="7" t="inlineStr">
        <is>
          <t>MD-MO-050098</t>
        </is>
      </c>
      <c r="F127" s="7" t="inlineStr">
        <is>
          <t>Employee:E0086; Ticket:OFF-00098</t>
        </is>
      </c>
      <c r="G127" s="7">
        <f>IF(B127="Inventory-to-Ledger Difference",IF(IFERROR(XLOOKUP(D127,'Source Ledger'!$B$5:$B$200,'Source Ledger'!$H$5:$H$200),"")="Disposed",IFERROR(XLOOKUP(D127,'Source Ledger'!$B$5:$B$200,'Source Ledger'!$G$5:$G$200),0),IF(IFERROR(XLOOKUP(D127,'Source Ledger'!$B$5:$B$200,'Source Ledger'!$E$5:$E$200),"")="",IFERROR(XLOOKUP(D127,'Corrected Register'!$A$5:$A$200,'Corrected Register'!$M$5:$M$200),0),ABS(IFERROR(XLOOKUP(D127,'Source Ledger'!$B$5:$B$200,'Source Ledger'!$E$5:$E$200),0)-IFERROR(XLOOKUP(D127,'Corrected Register'!$A$5:$A$200,'Corrected Register'!$M$5:$M$200),0)))),IFERROR(XLOOKUP(D127,'Corrected Register'!$A$5:$A$200,'Corrected Register'!$N$5:$N$200),0))</f>
        <v/>
      </c>
      <c r="H127" s="7" t="inlineStr">
        <is>
          <t>HR Operations Lead: clear former-employee assignment on MD-00098 (Sloane Richter) (EX-0123).</t>
        </is>
      </c>
      <c r="I127" s="7" t="inlineStr">
        <is>
          <t>HR Operations Lead</t>
        </is>
      </c>
      <c r="J127" s="7" t="inlineStr">
        <is>
          <t>2026-08-16</t>
        </is>
      </c>
      <c r="K127" s="7" t="inlineStr">
        <is>
          <t>Open</t>
        </is>
      </c>
      <c r="L127" s="7" t="inlineStr">
        <is>
          <t>MD-00098 is still assigned to Sloane Richter (E0086), whose hr_employee_status row is Separated; OFF-00098 closed with no custodian rewrite (EX-0123).</t>
        </is>
      </c>
      <c r="M127" s="12" t="inlineStr">
        <is>
          <t>Blocks certification</t>
        </is>
      </c>
    </row>
    <row r="128">
      <c r="A128" s="7" t="inlineStr">
        <is>
          <t>EX-0124</t>
        </is>
      </c>
      <c r="B128" s="7" t="inlineStr">
        <is>
          <t>Cannot Locate</t>
        </is>
      </c>
      <c r="C128" s="8" t="inlineStr">
        <is>
          <t>Critical</t>
        </is>
      </c>
      <c r="D128" s="7" t="inlineStr">
        <is>
          <t>MD-00099</t>
        </is>
      </c>
      <c r="E128" s="7" t="inlineStr">
        <is>
          <t>MD-MO-050099</t>
        </is>
      </c>
      <c r="F128" s="7" t="inlineStr">
        <is>
          <t>Ticket:OFF-00099; Transfer:TR-00099; LastRegisterLocation:Denver - Closed</t>
        </is>
      </c>
      <c r="G128" s="7">
        <f>IF(B128="Inventory-to-Ledger Difference",IF(IFERROR(XLOOKUP(D128,'Source Ledger'!$B$5:$B$200,'Source Ledger'!$H$5:$H$200),"")="Disposed",IFERROR(XLOOKUP(D128,'Source Ledger'!$B$5:$B$200,'Source Ledger'!$G$5:$G$200),0),IF(IFERROR(XLOOKUP(D128,'Source Ledger'!$B$5:$B$200,'Source Ledger'!$E$5:$E$200),"")="",IFERROR(XLOOKUP(D128,'Corrected Register'!$A$5:$A$200,'Corrected Register'!$M$5:$M$200),0),ABS(IFERROR(XLOOKUP(D128,'Source Ledger'!$B$5:$B$200,'Source Ledger'!$E$5:$E$200),0)-IFERROR(XLOOKUP(D128,'Corrected Register'!$A$5:$A$200,'Corrected Register'!$M$5:$M$200),0)))),IFERROR(XLOOKUP(D128,'Corrected Register'!$A$5:$A$200,'Corrected Register'!$N$5:$N$200),0))</f>
        <v/>
      </c>
      <c r="H128" s="7" t="inlineStr">
        <is>
          <t>Open loss investigation on MD-00099; remain Missing until located or write-off approved (EX-0124).</t>
        </is>
      </c>
      <c r="I128" s="7" t="inlineStr">
        <is>
          <t>IT Operations Manager</t>
        </is>
      </c>
      <c r="J128" s="7" t="inlineStr">
        <is>
          <t>2026-08-12</t>
        </is>
      </c>
      <c r="K128" s="7" t="inlineStr">
        <is>
          <t>Open</t>
        </is>
      </c>
      <c r="L128" s="7" t="inlineStr">
        <is>
          <t>Loss path open on MD-00099 — last known Denver - Closed; EX-0124.</t>
        </is>
      </c>
      <c r="M128" s="12" t="inlineStr">
        <is>
          <t>Blocks certification</t>
        </is>
      </c>
    </row>
    <row r="129">
      <c r="A129" s="7" t="inlineStr">
        <is>
          <t>EX-0125</t>
        </is>
      </c>
      <c r="B129" s="7" t="inlineStr">
        <is>
          <t>Former Employee Assignment</t>
        </is>
      </c>
      <c r="C129" s="8" t="inlineStr">
        <is>
          <t>Critical</t>
        </is>
      </c>
      <c r="D129" s="7" t="inlineStr">
        <is>
          <t>MD-00099</t>
        </is>
      </c>
      <c r="E129" s="7" t="inlineStr">
        <is>
          <t>MD-MO-050099</t>
        </is>
      </c>
      <c r="F129" s="7" t="inlineStr">
        <is>
          <t>Employee:E0087; Ticket:OFF-00099</t>
        </is>
      </c>
      <c r="G129" s="7">
        <f>IF(B129="Inventory-to-Ledger Difference",IF(IFERROR(XLOOKUP(D129,'Source Ledger'!$B$5:$B$200,'Source Ledger'!$H$5:$H$200),"")="Disposed",IFERROR(XLOOKUP(D129,'Source Ledger'!$B$5:$B$200,'Source Ledger'!$G$5:$G$200),0),IF(IFERROR(XLOOKUP(D129,'Source Ledger'!$B$5:$B$200,'Source Ledger'!$E$5:$E$200),"")="",IFERROR(XLOOKUP(D129,'Corrected Register'!$A$5:$A$200,'Corrected Register'!$M$5:$M$200),0),ABS(IFERROR(XLOOKUP(D129,'Source Ledger'!$B$5:$B$200,'Source Ledger'!$E$5:$E$200),0)-IFERROR(XLOOKUP(D129,'Corrected Register'!$A$5:$A$200,'Corrected Register'!$M$5:$M$200),0)))),IFERROR(XLOOKUP(D129,'Corrected Register'!$A$5:$A$200,'Corrected Register'!$N$5:$N$200),0))</f>
        <v/>
      </c>
      <c r="H129" s="7" t="inlineStr">
        <is>
          <t>Remove Nolan Vega from MD-00099; park under Regional IT or IT Stock (EX-0125).</t>
        </is>
      </c>
      <c r="I129" s="7" t="inlineStr">
        <is>
          <t>HR Operations Lead</t>
        </is>
      </c>
      <c r="J129" s="7" t="inlineStr">
        <is>
          <t>2026-08-16</t>
        </is>
      </c>
      <c r="K129" s="7" t="inlineStr">
        <is>
          <t>Open</t>
        </is>
      </c>
      <c r="L129" s="7" t="inlineStr">
        <is>
          <t>Separated custodian Nolan Vega (E0087) remains on MD-00099 after OFF-00099 closed. Clear under EX-0125.</t>
        </is>
      </c>
      <c r="M129" s="12" t="inlineStr">
        <is>
          <t>Blocks certification</t>
        </is>
      </c>
    </row>
    <row r="130">
      <c r="A130" s="7" t="inlineStr">
        <is>
          <t>EX-0126</t>
        </is>
      </c>
      <c r="B130" s="7" t="inlineStr">
        <is>
          <t>Cannot Locate</t>
        </is>
      </c>
      <c r="C130" s="8" t="inlineStr">
        <is>
          <t>Critical</t>
        </is>
      </c>
      <c r="D130" s="7" t="inlineStr">
        <is>
          <t>MD-00100</t>
        </is>
      </c>
      <c r="E130" s="7" t="inlineStr">
        <is>
          <t>MD-NE-050100</t>
        </is>
      </c>
      <c r="F130" s="7" t="inlineStr">
        <is>
          <t>Ticket:OFF-00100; Transfer:TR-00100; LastRegisterLocation:Chicago - Closed</t>
        </is>
      </c>
      <c r="G130" s="7">
        <f>IF(B130="Inventory-to-Ledger Difference",IF(IFERROR(XLOOKUP(D130,'Source Ledger'!$B$5:$B$200,'Source Ledger'!$H$5:$H$200),"")="Disposed",IFERROR(XLOOKUP(D130,'Source Ledger'!$B$5:$B$200,'Source Ledger'!$G$5:$G$200),0),IF(IFERROR(XLOOKUP(D130,'Source Ledger'!$B$5:$B$200,'Source Ledger'!$E$5:$E$200),"")="",IFERROR(XLOOKUP(D130,'Corrected Register'!$A$5:$A$200,'Corrected Register'!$M$5:$M$200),0),ABS(IFERROR(XLOOKUP(D130,'Source Ledger'!$B$5:$B$200,'Source Ledger'!$E$5:$E$200),0)-IFERROR(XLOOKUP(D130,'Corrected Register'!$A$5:$A$200,'Corrected Register'!$M$5:$M$200),0)))),IFERROR(XLOOKUP(D130,'Corrected Register'!$A$5:$A$200,'Corrected Register'!$N$5:$N$200),0))</f>
        <v/>
      </c>
      <c r="H130" s="7" t="inlineStr">
        <is>
          <t>Open loss investigation on MD-00100; remain Missing until located or write-off approved (EX-0126).</t>
        </is>
      </c>
      <c r="I130" s="7" t="inlineStr">
        <is>
          <t>IT Operations Manager</t>
        </is>
      </c>
      <c r="J130" s="7" t="inlineStr">
        <is>
          <t>2026-08-12</t>
        </is>
      </c>
      <c r="K130" s="7" t="inlineStr">
        <is>
          <t>Open</t>
        </is>
      </c>
      <c r="L130" s="7" t="inlineStr">
        <is>
          <t>No count, dock scan, or disposal certificate places MD-00100; last register site Chicago - Closed (EX-0126).</t>
        </is>
      </c>
      <c r="M130" s="12" t="inlineStr">
        <is>
          <t>Blocks certification</t>
        </is>
      </c>
    </row>
    <row r="131">
      <c r="A131" s="7" t="inlineStr">
        <is>
          <t>EX-0127</t>
        </is>
      </c>
      <c r="B131" s="7" t="inlineStr">
        <is>
          <t>Former Employee Assignment</t>
        </is>
      </c>
      <c r="C131" s="8" t="inlineStr">
        <is>
          <t>Critical</t>
        </is>
      </c>
      <c r="D131" s="7" t="inlineStr">
        <is>
          <t>MD-00100</t>
        </is>
      </c>
      <c r="E131" s="7" t="inlineStr">
        <is>
          <t>MD-NE-050100</t>
        </is>
      </c>
      <c r="F131" s="7" t="inlineStr">
        <is>
          <t>Employee:E0088; Ticket:OFF-00100</t>
        </is>
      </c>
      <c r="G131" s="7">
        <f>IF(B131="Inventory-to-Ledger Difference",IF(IFERROR(XLOOKUP(D131,'Source Ledger'!$B$5:$B$200,'Source Ledger'!$H$5:$H$200),"")="Disposed",IFERROR(XLOOKUP(D131,'Source Ledger'!$B$5:$B$200,'Source Ledger'!$G$5:$G$200),0),IF(IFERROR(XLOOKUP(D131,'Source Ledger'!$B$5:$B$200,'Source Ledger'!$E$5:$E$200),"")="",IFERROR(XLOOKUP(D131,'Corrected Register'!$A$5:$A$200,'Corrected Register'!$M$5:$M$200),0),ABS(IFERROR(XLOOKUP(D131,'Source Ledger'!$B$5:$B$200,'Source Ledger'!$E$5:$E$200),0)-IFERROR(XLOOKUP(D131,'Corrected Register'!$A$5:$A$200,'Corrected Register'!$M$5:$M$200),0)))),IFERROR(XLOOKUP(D131,'Corrected Register'!$A$5:$A$200,'Corrected Register'!$N$5:$N$200),0))</f>
        <v/>
      </c>
      <c r="H131" s="7" t="inlineStr">
        <is>
          <t>Remove Ivy Chenoweth from MD-00100; park under Regional IT or IT Stock (EX-0127).</t>
        </is>
      </c>
      <c r="I131" s="7" t="inlineStr">
        <is>
          <t>HR Operations Lead</t>
        </is>
      </c>
      <c r="J131" s="7" t="inlineStr">
        <is>
          <t>2026-08-16</t>
        </is>
      </c>
      <c r="K131" s="7" t="inlineStr">
        <is>
          <t>Open</t>
        </is>
      </c>
      <c r="L131" s="7" t="inlineStr">
        <is>
          <t>HR shows Ivy Chenoweth (E0088) terminated, yet the register still lists them on MD-00100 (OFF-00100) — EX-0127.</t>
        </is>
      </c>
      <c r="M131" s="12" t="inlineStr">
        <is>
          <t>Blocks certification</t>
        </is>
      </c>
    </row>
    <row r="132">
      <c r="A132" s="7" t="inlineStr">
        <is>
          <t>EX-0128</t>
        </is>
      </c>
      <c r="B132" s="7" t="inlineStr">
        <is>
          <t>Missing Disposal Evidence</t>
        </is>
      </c>
      <c r="C132" s="10" t="inlineStr">
        <is>
          <t>High</t>
        </is>
      </c>
      <c r="D132" s="7" t="inlineStr">
        <is>
          <t>MD-00101</t>
        </is>
      </c>
      <c r="E132" s="7" t="inlineStr">
        <is>
          <t>MD-LA-050101</t>
        </is>
      </c>
      <c r="F132" s="7" t="inlineStr">
        <is>
          <t>Ticket:RET-00101; Transfer:TR-00101; Certificate:missing</t>
        </is>
      </c>
      <c r="G132" s="7">
        <f>IF(B132="Inventory-to-Ledger Difference",IF(IFERROR(XLOOKUP(D132,'Source Ledger'!$B$5:$B$200,'Source Ledger'!$H$5:$H$200),"")="Disposed",IFERROR(XLOOKUP(D132,'Source Ledger'!$B$5:$B$200,'Source Ledger'!$G$5:$G$200),0),IF(IFERROR(XLOOKUP(D132,'Source Ledger'!$B$5:$B$200,'Source Ledger'!$E$5:$E$200),"")="",IFERROR(XLOOKUP(D132,'Corrected Register'!$A$5:$A$200,'Corrected Register'!$M$5:$M$200),0),ABS(IFERROR(XLOOKUP(D132,'Source Ledger'!$B$5:$B$200,'Source Ledger'!$E$5:$E$200),0)-IFERROR(XLOOKUP(D132,'Corrected Register'!$A$5:$A$200,'Corrected Register'!$M$5:$M$200),0)))),IFERROR(XLOOKUP(D132,'Corrected Register'!$A$5:$A$200,'Corrected Register'!$N$5:$N$200),0))</f>
        <v/>
      </c>
      <c r="H132" s="7" t="inlineStr">
        <is>
          <t>Obtain disposal certificate for MD-00101 or reverse the retirement (EX-0128).</t>
        </is>
      </c>
      <c r="I132" s="7" t="inlineStr">
        <is>
          <t>IT Asset Manager</t>
        </is>
      </c>
      <c r="J132" s="7" t="inlineStr">
        <is>
          <t>2026-08-23</t>
        </is>
      </c>
      <c r="K132" s="7" t="inlineStr">
        <is>
          <t>Open</t>
        </is>
      </c>
      <c r="L132" s="7" t="inlineStr">
        <is>
          <t>asset_disposal_records has no DC match for MD-LA-050101 on MD-00101 after TR-00101. EX-0128.</t>
        </is>
      </c>
      <c r="M132" s="7" t="inlineStr">
        <is>
          <t>Requires remediation</t>
        </is>
      </c>
    </row>
    <row r="133">
      <c r="A133" s="7" t="inlineStr">
        <is>
          <t>EX-0129</t>
        </is>
      </c>
      <c r="B133" s="7" t="inlineStr">
        <is>
          <t>Closed Location Assignment</t>
        </is>
      </c>
      <c r="C133" s="11" t="inlineStr">
        <is>
          <t>Medium</t>
        </is>
      </c>
      <c r="D133" s="7" t="inlineStr">
        <is>
          <t>MD-00101</t>
        </is>
      </c>
      <c r="E133" s="7" t="inlineStr">
        <is>
          <t>MD-LA-050101</t>
        </is>
      </c>
      <c r="F133" s="7" t="inlineStr">
        <is>
          <t>RegisterLocation:Denver - Closed; Transfer:TR-00101</t>
        </is>
      </c>
      <c r="G133" s="7">
        <f>IF(B133="Inventory-to-Ledger Difference",IF(IFERROR(XLOOKUP(D133,'Source Ledger'!$B$5:$B$200,'Source Ledger'!$H$5:$H$200),"")="Disposed",IFERROR(XLOOKUP(D133,'Source Ledger'!$B$5:$B$200,'Source Ledger'!$G$5:$G$200),0),IF(IFERROR(XLOOKUP(D133,'Source Ledger'!$B$5:$B$200,'Source Ledger'!$E$5:$E$200),"")="",IFERROR(XLOOKUP(D133,'Corrected Register'!$A$5:$A$200,'Corrected Register'!$M$5:$M$200),0),ABS(IFERROR(XLOOKUP(D133,'Source Ledger'!$B$5:$B$200,'Source Ledger'!$E$5:$E$200),0)-IFERROR(XLOOKUP(D133,'Corrected Register'!$A$5:$A$200,'Corrected Register'!$M$5:$M$200),0)))),IFERROR(XLOOKUP(D133,'Corrected Register'!$A$5:$A$200,'Corrected Register'!$N$5:$N$200),0))</f>
        <v/>
      </c>
      <c r="H133" s="7" t="inlineStr">
        <is>
          <t>Make operating site authoritative for MD-00101; delete Denver - Closed; close EX-0129.</t>
        </is>
      </c>
      <c r="I133" s="7" t="inlineStr">
        <is>
          <t>IT Asset Specialist</t>
        </is>
      </c>
      <c r="J133" s="7" t="inlineStr">
        <is>
          <t>2026-08-19</t>
        </is>
      </c>
      <c r="K133" s="7" t="inlineStr">
        <is>
          <t>Open</t>
        </is>
      </c>
      <c r="L133" s="7" t="inlineStr">
        <is>
          <t>Operational reading for MD-00101 is operating site. Administrative reading remains Denver - Closed. Align with TR-00101 under EX-0129.</t>
        </is>
      </c>
      <c r="M133" s="7" t="inlineStr">
        <is>
          <t>Requires remediation</t>
        </is>
      </c>
    </row>
    <row r="134">
      <c r="A134" s="7" t="inlineStr">
        <is>
          <t>EX-0130</t>
        </is>
      </c>
      <c r="B134" s="7" t="inlineStr">
        <is>
          <t>Missing Disposal Evidence</t>
        </is>
      </c>
      <c r="C134" s="10" t="inlineStr">
        <is>
          <t>High</t>
        </is>
      </c>
      <c r="D134" s="7" t="inlineStr">
        <is>
          <t>MD-00102</t>
        </is>
      </c>
      <c r="E134" s="7" t="inlineStr">
        <is>
          <t>MD-MO-050102</t>
        </is>
      </c>
      <c r="F134" s="7" t="inlineStr">
        <is>
          <t>Ticket:RET-00102; Transfer:TR-00102; Certificate:missing</t>
        </is>
      </c>
      <c r="G134" s="7">
        <f>IF(B134="Inventory-to-Ledger Difference",IF(IFERROR(XLOOKUP(D134,'Source Ledger'!$B$5:$B$200,'Source Ledger'!$H$5:$H$200),"")="Disposed",IFERROR(XLOOKUP(D134,'Source Ledger'!$B$5:$B$200,'Source Ledger'!$G$5:$G$200),0),IF(IFERROR(XLOOKUP(D134,'Source Ledger'!$B$5:$B$200,'Source Ledger'!$E$5:$E$200),"")="",IFERROR(XLOOKUP(D134,'Corrected Register'!$A$5:$A$200,'Corrected Register'!$M$5:$M$200),0),ABS(IFERROR(XLOOKUP(D134,'Source Ledger'!$B$5:$B$200,'Source Ledger'!$E$5:$E$200),0)-IFERROR(XLOOKUP(D134,'Corrected Register'!$A$5:$A$200,'Corrected Register'!$M$5:$M$200),0)))),IFERROR(XLOOKUP(D134,'Corrected Register'!$A$5:$A$200,'Corrected Register'!$N$5:$N$200),0))</f>
        <v/>
      </c>
      <c r="H134" s="7" t="inlineStr">
        <is>
          <t>Obtain disposal certificate for MD-00102 or reverse the retirement (EX-0130).</t>
        </is>
      </c>
      <c r="I134" s="7" t="inlineStr">
        <is>
          <t>IT Asset Manager</t>
        </is>
      </c>
      <c r="J134" s="7" t="inlineStr">
        <is>
          <t>2026-08-23</t>
        </is>
      </c>
      <c r="K134" s="7" t="inlineStr">
        <is>
          <t>Open</t>
        </is>
      </c>
      <c r="L134" s="7" t="inlineStr">
        <is>
          <t>MD-00102 is Retired/Pending Disposal without a verified disposal certificate; TR-00102 moved it to recycler (EX-0130).</t>
        </is>
      </c>
      <c r="M134" s="7" t="inlineStr">
        <is>
          <t>Requires remediation</t>
        </is>
      </c>
    </row>
    <row r="135">
      <c r="A135" s="7" t="inlineStr">
        <is>
          <t>EX-0131</t>
        </is>
      </c>
      <c r="B135" s="7" t="inlineStr">
        <is>
          <t>Inventory-to-Ledger Difference</t>
        </is>
      </c>
      <c r="C135" s="10" t="inlineStr">
        <is>
          <t>High</t>
        </is>
      </c>
      <c r="D135" s="7" t="inlineStr">
        <is>
          <t>MD-00102</t>
        </is>
      </c>
      <c r="E135" s="7" t="inlineStr">
        <is>
          <t>MD-MO-050102</t>
        </is>
      </c>
      <c r="F135" s="7" t="inlineStr">
        <is>
          <t>Ledger:FA-000102; PO:PO-2024-0019; RegisterCost:700.0; LedgerCost:820.0</t>
        </is>
      </c>
      <c r="G135" s="7">
        <f>IF(B135="Inventory-to-Ledger Difference",IF(IFERROR(XLOOKUP(D135,'Source Ledger'!$B$5:$B$200,'Source Ledger'!$H$5:$H$200),"")="Disposed",IFERROR(XLOOKUP(D135,'Source Ledger'!$B$5:$B$200,'Source Ledger'!$G$5:$G$200),0),IF(IFERROR(XLOOKUP(D135,'Source Ledger'!$B$5:$B$200,'Source Ledger'!$E$5:$E$200),"")="",IFERROR(XLOOKUP(D135,'Corrected Register'!$A$5:$A$200,'Corrected Register'!$M$5:$M$200),0),ABS(IFERROR(XLOOKUP(D135,'Source Ledger'!$B$5:$B$200,'Source Ledger'!$E$5:$E$200),0)-IFERROR(XLOOKUP(D135,'Corrected Register'!$A$5:$A$200,'Corrected Register'!$M$5:$M$200),0)))),IFERROR(XLOOKUP(D135,'Corrected Register'!$A$5:$A$200,'Corrected Register'!$N$5:$N$200),0))</f>
        <v/>
      </c>
      <c r="H135" s="7" t="inlineStr">
        <is>
          <t>Align MD-00102 cost: register $700 vs ledger $820 (FA-000102) (EX-0131).</t>
        </is>
      </c>
      <c r="I135" s="7" t="inlineStr">
        <is>
          <t>Finance Controller</t>
        </is>
      </c>
      <c r="J135" s="7" t="inlineStr">
        <is>
          <t>2026-08-21</t>
        </is>
      </c>
      <c r="K135" s="7" t="inlineStr">
        <is>
          <t>Open</t>
        </is>
      </c>
      <c r="L135" s="7" t="inlineStr">
        <is>
          <t>Register $700 on MD-00102 vs $820 on FA-000102 (Δ $120); EX-0131.</t>
        </is>
      </c>
      <c r="M135" s="7" t="inlineStr">
        <is>
          <t>Requires remediation</t>
        </is>
      </c>
    </row>
    <row r="136">
      <c r="A136" s="7" t="inlineStr">
        <is>
          <t>EX-0132</t>
        </is>
      </c>
      <c r="B136" s="7" t="inlineStr">
        <is>
          <t>Closed Location Assignment</t>
        </is>
      </c>
      <c r="C136" s="11" t="inlineStr">
        <is>
          <t>Medium</t>
        </is>
      </c>
      <c r="D136" s="7" t="inlineStr">
        <is>
          <t>MD-00102</t>
        </is>
      </c>
      <c r="E136" s="7" t="inlineStr">
        <is>
          <t>MD-MO-050102</t>
        </is>
      </c>
      <c r="F136" s="7" t="inlineStr">
        <is>
          <t>RegisterLocation:Chicago - Closed; Transfer:TR-00102</t>
        </is>
      </c>
      <c r="G136" s="7">
        <f>IF(B136="Inventory-to-Ledger Difference",IF(IFERROR(XLOOKUP(D136,'Source Ledger'!$B$5:$B$200,'Source Ledger'!$H$5:$H$200),"")="Disposed",IFERROR(XLOOKUP(D136,'Source Ledger'!$B$5:$B$200,'Source Ledger'!$G$5:$G$200),0),IF(IFERROR(XLOOKUP(D136,'Source Ledger'!$B$5:$B$200,'Source Ledger'!$E$5:$E$200),"")="",IFERROR(XLOOKUP(D136,'Corrected Register'!$A$5:$A$200,'Corrected Register'!$M$5:$M$200),0),ABS(IFERROR(XLOOKUP(D136,'Source Ledger'!$B$5:$B$200,'Source Ledger'!$E$5:$E$200),0)-IFERROR(XLOOKUP(D136,'Corrected Register'!$A$5:$A$200,'Corrected Register'!$M$5:$M$200),0)))),IFERROR(XLOOKUP(D136,'Corrected Register'!$A$5:$A$200,'Corrected Register'!$N$5:$N$200),0))</f>
        <v/>
      </c>
      <c r="H136" s="7" t="inlineStr">
        <is>
          <t>Close the loop on EX-0132 by publishing operating site for MD-00102 and archiving Chicago - Closed [EX-0132a-5].</t>
        </is>
      </c>
      <c r="I136" s="7" t="inlineStr">
        <is>
          <t>IT Asset Specialist</t>
        </is>
      </c>
      <c r="J136" s="7" t="inlineStr">
        <is>
          <t>2026-08-19</t>
        </is>
      </c>
      <c r="K136" s="7" t="inlineStr">
        <is>
          <t>Open</t>
        </is>
      </c>
      <c r="L136" s="7" t="inlineStr">
        <is>
          <t>Cutover miss for MD-00102: Chicago - Closed stayed on the register while operating site became operating site. TR-00102 is the inbound proof (EX-0132) [EX-0132-1].</t>
        </is>
      </c>
      <c r="M136" s="7" t="inlineStr">
        <is>
          <t>Requires remediation</t>
        </is>
      </c>
    </row>
    <row r="137">
      <c r="A137" s="7" t="inlineStr">
        <is>
          <t>EX-0133</t>
        </is>
      </c>
      <c r="B137" s="7" t="inlineStr">
        <is>
          <t>Missing Disposal Evidence</t>
        </is>
      </c>
      <c r="C137" s="10" t="inlineStr">
        <is>
          <t>High</t>
        </is>
      </c>
      <c r="D137" s="7" t="inlineStr">
        <is>
          <t>MD-00103</t>
        </is>
      </c>
      <c r="E137" s="7" t="inlineStr">
        <is>
          <t>MD-MO-050103</t>
        </is>
      </c>
      <c r="F137" s="7" t="inlineStr">
        <is>
          <t>Ticket:RET-00103; Transfer:TR-00103; Certificate:missing</t>
        </is>
      </c>
      <c r="G137" s="7">
        <f>IF(B137="Inventory-to-Ledger Difference",IF(IFERROR(XLOOKUP(D137,'Source Ledger'!$B$5:$B$200,'Source Ledger'!$H$5:$H$200),"")="Disposed",IFERROR(XLOOKUP(D137,'Source Ledger'!$B$5:$B$200,'Source Ledger'!$G$5:$G$200),0),IF(IFERROR(XLOOKUP(D137,'Source Ledger'!$B$5:$B$200,'Source Ledger'!$E$5:$E$200),"")="",IFERROR(XLOOKUP(D137,'Corrected Register'!$A$5:$A$200,'Corrected Register'!$M$5:$M$200),0),ABS(IFERROR(XLOOKUP(D137,'Source Ledger'!$B$5:$B$200,'Source Ledger'!$E$5:$E$200),0)-IFERROR(XLOOKUP(D137,'Corrected Register'!$A$5:$A$200,'Corrected Register'!$M$5:$M$200),0)))),IFERROR(XLOOKUP(D137,'Corrected Register'!$A$5:$A$200,'Corrected Register'!$N$5:$N$200),0))</f>
        <v/>
      </c>
      <c r="H137" s="7" t="inlineStr">
        <is>
          <t>Obtain disposal certificate for MD-00103 or reverse the retirement (EX-0133).</t>
        </is>
      </c>
      <c r="I137" s="7" t="inlineStr">
        <is>
          <t>IT Asset Manager</t>
        </is>
      </c>
      <c r="J137" s="7" t="inlineStr">
        <is>
          <t>2026-08-23</t>
        </is>
      </c>
      <c r="K137" s="7" t="inlineStr">
        <is>
          <t>Open</t>
        </is>
      </c>
      <c r="L137" s="7" t="inlineStr">
        <is>
          <t>asset_disposal_records has no DC match for MD-MO-050103 on MD-00103 after TR-00103. EX-0133.</t>
        </is>
      </c>
      <c r="M137" s="7" t="inlineStr">
        <is>
          <t>Requires remediation</t>
        </is>
      </c>
    </row>
    <row r="138">
      <c r="A138" s="7" t="inlineStr">
        <is>
          <t>EX-0134</t>
        </is>
      </c>
      <c r="B138" s="7" t="inlineStr">
        <is>
          <t>Closed Location Assignment</t>
        </is>
      </c>
      <c r="C138" s="11" t="inlineStr">
        <is>
          <t>Medium</t>
        </is>
      </c>
      <c r="D138" s="7" t="inlineStr">
        <is>
          <t>MD-00103</t>
        </is>
      </c>
      <c r="E138" s="7" t="inlineStr">
        <is>
          <t>MD-MO-050103</t>
        </is>
      </c>
      <c r="F138" s="7" t="inlineStr">
        <is>
          <t>RegisterLocation:Denver - Closed; Transfer:TR-00103</t>
        </is>
      </c>
      <c r="G138" s="7">
        <f>IF(B138="Inventory-to-Ledger Difference",IF(IFERROR(XLOOKUP(D138,'Source Ledger'!$B$5:$B$200,'Source Ledger'!$H$5:$H$200),"")="Disposed",IFERROR(XLOOKUP(D138,'Source Ledger'!$B$5:$B$200,'Source Ledger'!$G$5:$G$200),0),IF(IFERROR(XLOOKUP(D138,'Source Ledger'!$B$5:$B$200,'Source Ledger'!$E$5:$E$200),"")="",IFERROR(XLOOKUP(D138,'Corrected Register'!$A$5:$A$200,'Corrected Register'!$M$5:$M$200),0),ABS(IFERROR(XLOOKUP(D138,'Source Ledger'!$B$5:$B$200,'Source Ledger'!$E$5:$E$200),0)-IFERROR(XLOOKUP(D138,'Corrected Register'!$A$5:$A$200,'Corrected Register'!$M$5:$M$200),0)))),IFERROR(XLOOKUP(D138,'Corrected Register'!$A$5:$A$200,'Corrected Register'!$N$5:$N$200),0))</f>
        <v/>
      </c>
      <c r="H138" s="7" t="inlineStr">
        <is>
          <t>IT Asset Specialist: post operating site on MD-00103 and retire Denver - Closed (EX-0134).</t>
        </is>
      </c>
      <c r="I138" s="7" t="inlineStr">
        <is>
          <t>IT Asset Specialist</t>
        </is>
      </c>
      <c r="J138" s="7" t="inlineStr">
        <is>
          <t>2026-08-19</t>
        </is>
      </c>
      <c r="K138" s="7" t="inlineStr">
        <is>
          <t>Open</t>
        </is>
      </c>
      <c r="L138" s="7" t="inlineStr">
        <is>
          <t>MD-00103/EX-0134: closed label Denver - Closed is leftover. Correct site is operating site per TR-00103.</t>
        </is>
      </c>
      <c r="M138" s="7" t="inlineStr">
        <is>
          <t>Requires remediation</t>
        </is>
      </c>
    </row>
    <row r="139">
      <c r="A139" s="7" t="inlineStr">
        <is>
          <t>EX-0135</t>
        </is>
      </c>
      <c r="B139" s="7" t="inlineStr">
        <is>
          <t>Missing Disposal Evidence</t>
        </is>
      </c>
      <c r="C139" s="10" t="inlineStr">
        <is>
          <t>High</t>
        </is>
      </c>
      <c r="D139" s="7" t="inlineStr">
        <is>
          <t>MD-00104</t>
        </is>
      </c>
      <c r="E139" s="7" t="inlineStr">
        <is>
          <t>MD-NE-050104</t>
        </is>
      </c>
      <c r="F139" s="7" t="inlineStr">
        <is>
          <t>Ticket:RET-00104; Transfer:TR-00104; Certificate:missing</t>
        </is>
      </c>
      <c r="G139" s="7">
        <f>IF(B139="Inventory-to-Ledger Difference",IF(IFERROR(XLOOKUP(D139,'Source Ledger'!$B$5:$B$200,'Source Ledger'!$H$5:$H$200),"")="Disposed",IFERROR(XLOOKUP(D139,'Source Ledger'!$B$5:$B$200,'Source Ledger'!$G$5:$G$200),0),IF(IFERROR(XLOOKUP(D139,'Source Ledger'!$B$5:$B$200,'Source Ledger'!$E$5:$E$200),"")="",IFERROR(XLOOKUP(D139,'Corrected Register'!$A$5:$A$200,'Corrected Register'!$M$5:$M$200),0),ABS(IFERROR(XLOOKUP(D139,'Source Ledger'!$B$5:$B$200,'Source Ledger'!$E$5:$E$200),0)-IFERROR(XLOOKUP(D139,'Corrected Register'!$A$5:$A$200,'Corrected Register'!$M$5:$M$200),0)))),IFERROR(XLOOKUP(D139,'Corrected Register'!$A$5:$A$200,'Corrected Register'!$N$5:$N$200),0))</f>
        <v/>
      </c>
      <c r="H139" s="7" t="inlineStr">
        <is>
          <t>Obtain disposal certificate for MD-00104 or reverse the retirement (EX-0135).</t>
        </is>
      </c>
      <c r="I139" s="7" t="inlineStr">
        <is>
          <t>IT Asset Manager</t>
        </is>
      </c>
      <c r="J139" s="7" t="inlineStr">
        <is>
          <t>2026-08-23</t>
        </is>
      </c>
      <c r="K139" s="7" t="inlineStr">
        <is>
          <t>Open</t>
        </is>
      </c>
      <c r="L139" s="7" t="inlineStr">
        <is>
          <t>MD-00104 is Retired/Pending Disposal without a verified disposal certificate; TR-00104 moved it to recycler (EX-0135).</t>
        </is>
      </c>
      <c r="M139" s="7" t="inlineStr">
        <is>
          <t>Requires remediation</t>
        </is>
      </c>
    </row>
    <row r="140">
      <c r="A140" s="7" t="inlineStr">
        <is>
          <t>EX-0136</t>
        </is>
      </c>
      <c r="B140" s="7" t="inlineStr">
        <is>
          <t>Closed Location Assignment</t>
        </is>
      </c>
      <c r="C140" s="11" t="inlineStr">
        <is>
          <t>Medium</t>
        </is>
      </c>
      <c r="D140" s="7" t="inlineStr">
        <is>
          <t>MD-00104</t>
        </is>
      </c>
      <c r="E140" s="7" t="inlineStr">
        <is>
          <t>MD-NE-050104</t>
        </is>
      </c>
      <c r="F140" s="7" t="inlineStr">
        <is>
          <t>RegisterLocation:Chicago - Closed; Transfer:TR-00104</t>
        </is>
      </c>
      <c r="G140" s="7">
        <f>IF(B140="Inventory-to-Ledger Difference",IF(IFERROR(XLOOKUP(D140,'Source Ledger'!$B$5:$B$200,'Source Ledger'!$H$5:$H$200),"")="Disposed",IFERROR(XLOOKUP(D140,'Source Ledger'!$B$5:$B$200,'Source Ledger'!$G$5:$G$200),0),IF(IFERROR(XLOOKUP(D140,'Source Ledger'!$B$5:$B$200,'Source Ledger'!$E$5:$E$200),"")="",IFERROR(XLOOKUP(D140,'Corrected Register'!$A$5:$A$200,'Corrected Register'!$M$5:$M$200),0),ABS(IFERROR(XLOOKUP(D140,'Source Ledger'!$B$5:$B$200,'Source Ledger'!$E$5:$E$200),0)-IFERROR(XLOOKUP(D140,'Corrected Register'!$A$5:$A$200,'Corrected Register'!$M$5:$M$200),0)))),IFERROR(XLOOKUP(D140,'Corrected Register'!$A$5:$A$200,'Corrected Register'!$N$5:$N$200),0))</f>
        <v/>
      </c>
      <c r="H140" s="7" t="inlineStr">
        <is>
          <t>Owner IT Asset Specialist executes location rewrite on MD-00104; exception EX-0136 tracks completion.</t>
        </is>
      </c>
      <c r="I140" s="7" t="inlineStr">
        <is>
          <t>IT Asset Specialist</t>
        </is>
      </c>
      <c r="J140" s="7" t="inlineStr">
        <is>
          <t>2026-08-19</t>
        </is>
      </c>
      <c r="K140" s="7" t="inlineStr">
        <is>
          <t>Open</t>
        </is>
      </c>
      <c r="L140" s="7" t="inlineStr">
        <is>
          <t>operating site confirmed for MD-00104; Chicago - Closed is historical only. Finish the register edit under EX-0136 citing TR-00104.</t>
        </is>
      </c>
      <c r="M140" s="7" t="inlineStr">
        <is>
          <t>Requires remediation</t>
        </is>
      </c>
    </row>
    <row r="141">
      <c r="A141" s="7" t="inlineStr">
        <is>
          <t>EX-0137</t>
        </is>
      </c>
      <c r="B141" s="7" t="inlineStr">
        <is>
          <t>Missing Disposal Evidence</t>
        </is>
      </c>
      <c r="C141" s="10" t="inlineStr">
        <is>
          <t>High</t>
        </is>
      </c>
      <c r="D141" s="7" t="inlineStr">
        <is>
          <t>MD-00105</t>
        </is>
      </c>
      <c r="E141" s="7" t="inlineStr">
        <is>
          <t>MD-LA-050105</t>
        </is>
      </c>
      <c r="F141" s="7" t="inlineStr">
        <is>
          <t>Ticket:RET-00105; Transfer:TR-00105; Certificate:missing</t>
        </is>
      </c>
      <c r="G141" s="7">
        <f>IF(B141="Inventory-to-Ledger Difference",IF(IFERROR(XLOOKUP(D141,'Source Ledger'!$B$5:$B$200,'Source Ledger'!$H$5:$H$200),"")="Disposed",IFERROR(XLOOKUP(D141,'Source Ledger'!$B$5:$B$200,'Source Ledger'!$G$5:$G$200),0),IF(IFERROR(XLOOKUP(D141,'Source Ledger'!$B$5:$B$200,'Source Ledger'!$E$5:$E$200),"")="",IFERROR(XLOOKUP(D141,'Corrected Register'!$A$5:$A$200,'Corrected Register'!$M$5:$M$200),0),ABS(IFERROR(XLOOKUP(D141,'Source Ledger'!$B$5:$B$200,'Source Ledger'!$E$5:$E$200),0)-IFERROR(XLOOKUP(D141,'Corrected Register'!$A$5:$A$200,'Corrected Register'!$M$5:$M$200),0)))),IFERROR(XLOOKUP(D141,'Corrected Register'!$A$5:$A$200,'Corrected Register'!$N$5:$N$200),0))</f>
        <v/>
      </c>
      <c r="H141" s="7" t="inlineStr">
        <is>
          <t>Obtain disposal certificate for MD-00105 or reverse the retirement (EX-0137).</t>
        </is>
      </c>
      <c r="I141" s="7" t="inlineStr">
        <is>
          <t>IT Asset Manager</t>
        </is>
      </c>
      <c r="J141" s="7" t="inlineStr">
        <is>
          <t>2026-08-23</t>
        </is>
      </c>
      <c r="K141" s="7" t="inlineStr">
        <is>
          <t>Open</t>
        </is>
      </c>
      <c r="L141" s="7" t="inlineStr">
        <is>
          <t>Retirement of MD-00105 lacks certificate proof; ledger may already show Disposed (EX-0137).</t>
        </is>
      </c>
      <c r="M141" s="7" t="inlineStr">
        <is>
          <t>Requires remediation</t>
        </is>
      </c>
    </row>
    <row r="142">
      <c r="A142" s="7" t="inlineStr">
        <is>
          <t>EX-0138</t>
        </is>
      </c>
      <c r="B142" s="7" t="inlineStr">
        <is>
          <t>Closed Location Assignment</t>
        </is>
      </c>
      <c r="C142" s="11" t="inlineStr">
        <is>
          <t>Medium</t>
        </is>
      </c>
      <c r="D142" s="7" t="inlineStr">
        <is>
          <t>MD-00105</t>
        </is>
      </c>
      <c r="E142" s="7" t="inlineStr">
        <is>
          <t>MD-LA-050105</t>
        </is>
      </c>
      <c r="F142" s="7" t="inlineStr">
        <is>
          <t>RegisterLocation:Denver - Closed; Transfer:TR-00105</t>
        </is>
      </c>
      <c r="G142" s="7">
        <f>IF(B142="Inventory-to-Ledger Difference",IF(IFERROR(XLOOKUP(D142,'Source Ledger'!$B$5:$B$200,'Source Ledger'!$H$5:$H$200),"")="Disposed",IFERROR(XLOOKUP(D142,'Source Ledger'!$B$5:$B$200,'Source Ledger'!$G$5:$G$200),0),IF(IFERROR(XLOOKUP(D142,'Source Ledger'!$B$5:$B$200,'Source Ledger'!$E$5:$E$200),"")="",IFERROR(XLOOKUP(D142,'Corrected Register'!$A$5:$A$200,'Corrected Register'!$M$5:$M$200),0),ABS(IFERROR(XLOOKUP(D142,'Source Ledger'!$B$5:$B$200,'Source Ledger'!$E$5:$E$200),0)-IFERROR(XLOOKUP(D142,'Corrected Register'!$A$5:$A$200,'Corrected Register'!$M$5:$M$200),0)))),IFERROR(XLOOKUP(D142,'Corrected Register'!$A$5:$A$200,'Corrected Register'!$N$5:$N$200),0))</f>
        <v/>
      </c>
      <c r="H142" s="7" t="inlineStr">
        <is>
          <t>Close the loop on EX-0138 by publishing operating site for MD-00105 and archiving Denver - Closed [EX-0138a-6].</t>
        </is>
      </c>
      <c r="I142" s="7" t="inlineStr">
        <is>
          <t>IT Asset Specialist</t>
        </is>
      </c>
      <c r="J142" s="7" t="inlineStr">
        <is>
          <t>2026-08-19</t>
        </is>
      </c>
      <c r="K142" s="7" t="inlineStr">
        <is>
          <t>Open</t>
        </is>
      </c>
      <c r="L142" s="7" t="inlineStr">
        <is>
          <t>Cutover miss for MD-00105: Denver - Closed stayed on the register while operating site became operating site. TR-00105 is the inbound proof (EX-0138) [EX-0138-2].</t>
        </is>
      </c>
      <c r="M142" s="7" t="inlineStr">
        <is>
          <t>Requires remediation</t>
        </is>
      </c>
    </row>
    <row r="143">
      <c r="A143" s="7" t="inlineStr">
        <is>
          <t>EX-0139</t>
        </is>
      </c>
      <c r="B143" s="7" t="inlineStr">
        <is>
          <t>Missing Disposal Evidence</t>
        </is>
      </c>
      <c r="C143" s="10" t="inlineStr">
        <is>
          <t>High</t>
        </is>
      </c>
      <c r="D143" s="7" t="inlineStr">
        <is>
          <t>MD-00106</t>
        </is>
      </c>
      <c r="E143" s="7" t="inlineStr">
        <is>
          <t>MD-MO-050106</t>
        </is>
      </c>
      <c r="F143" s="7" t="inlineStr">
        <is>
          <t>Ticket:RET-00106; Transfer:TR-00106; Certificate:missing</t>
        </is>
      </c>
      <c r="G143" s="7">
        <f>IF(B143="Inventory-to-Ledger Difference",IF(IFERROR(XLOOKUP(D143,'Source Ledger'!$B$5:$B$200,'Source Ledger'!$H$5:$H$200),"")="Disposed",IFERROR(XLOOKUP(D143,'Source Ledger'!$B$5:$B$200,'Source Ledger'!$G$5:$G$200),0),IF(IFERROR(XLOOKUP(D143,'Source Ledger'!$B$5:$B$200,'Source Ledger'!$E$5:$E$200),"")="",IFERROR(XLOOKUP(D143,'Corrected Register'!$A$5:$A$200,'Corrected Register'!$M$5:$M$200),0),ABS(IFERROR(XLOOKUP(D143,'Source Ledger'!$B$5:$B$200,'Source Ledger'!$E$5:$E$200),0)-IFERROR(XLOOKUP(D143,'Corrected Register'!$A$5:$A$200,'Corrected Register'!$M$5:$M$200),0)))),IFERROR(XLOOKUP(D143,'Corrected Register'!$A$5:$A$200,'Corrected Register'!$N$5:$N$200),0))</f>
        <v/>
      </c>
      <c r="H143" s="7" t="inlineStr">
        <is>
          <t>Obtain disposal certificate for MD-00106 or reverse the retirement (EX-0139).</t>
        </is>
      </c>
      <c r="I143" s="7" t="inlineStr">
        <is>
          <t>IT Asset Manager</t>
        </is>
      </c>
      <c r="J143" s="7" t="inlineStr">
        <is>
          <t>2026-08-23</t>
        </is>
      </c>
      <c r="K143" s="7" t="inlineStr">
        <is>
          <t>Open</t>
        </is>
      </c>
      <c r="L143" s="7" t="inlineStr">
        <is>
          <t>MD-00106 is Retired/Pending Disposal without a verified disposal certificate; TR-00106 moved it to recycler (EX-0139).</t>
        </is>
      </c>
      <c r="M143" s="7" t="inlineStr">
        <is>
          <t>Requires remediation</t>
        </is>
      </c>
    </row>
    <row r="144">
      <c r="A144" s="7" t="inlineStr">
        <is>
          <t>EX-0140</t>
        </is>
      </c>
      <c r="B144" s="7" t="inlineStr">
        <is>
          <t>Closed Location Assignment</t>
        </is>
      </c>
      <c r="C144" s="11" t="inlineStr">
        <is>
          <t>Medium</t>
        </is>
      </c>
      <c r="D144" s="7" t="inlineStr">
        <is>
          <t>MD-00106</t>
        </is>
      </c>
      <c r="E144" s="7" t="inlineStr">
        <is>
          <t>MD-MO-050106</t>
        </is>
      </c>
      <c r="F144" s="7" t="inlineStr">
        <is>
          <t>RegisterLocation:Chicago - Closed; Transfer:TR-00106</t>
        </is>
      </c>
      <c r="G144" s="7">
        <f>IF(B144="Inventory-to-Ledger Difference",IF(IFERROR(XLOOKUP(D144,'Source Ledger'!$B$5:$B$200,'Source Ledger'!$H$5:$H$200),"")="Disposed",IFERROR(XLOOKUP(D144,'Source Ledger'!$B$5:$B$200,'Source Ledger'!$G$5:$G$200),0),IF(IFERROR(XLOOKUP(D144,'Source Ledger'!$B$5:$B$200,'Source Ledger'!$E$5:$E$200),"")="",IFERROR(XLOOKUP(D144,'Corrected Register'!$A$5:$A$200,'Corrected Register'!$M$5:$M$200),0),ABS(IFERROR(XLOOKUP(D144,'Source Ledger'!$B$5:$B$200,'Source Ledger'!$E$5:$E$200),0)-IFERROR(XLOOKUP(D144,'Corrected Register'!$A$5:$A$200,'Corrected Register'!$M$5:$M$200),0)))),IFERROR(XLOOKUP(D144,'Corrected Register'!$A$5:$A$200,'Corrected Register'!$N$5:$N$200),0))</f>
        <v/>
      </c>
      <c r="H144" s="7" t="inlineStr">
        <is>
          <t>Until MD-00106 shows operating site, leave EX-0140 open [EX-0140a-1].</t>
        </is>
      </c>
      <c r="I144" s="7" t="inlineStr">
        <is>
          <t>IT Asset Specialist</t>
        </is>
      </c>
      <c r="J144" s="7" t="inlineStr">
        <is>
          <t>2026-08-19</t>
        </is>
      </c>
      <c r="K144" s="7" t="inlineStr">
        <is>
          <t>Open</t>
        </is>
      </c>
      <c r="L144" s="7" t="inlineStr">
        <is>
          <t>Clear the false closed-site signal on MD-00106. Correct value is operating site. Supporting transfer TR-00106. Case EX-0140 [EX-0140-1].</t>
        </is>
      </c>
      <c r="M144" s="7" t="inlineStr">
        <is>
          <t>Requires remediation</t>
        </is>
      </c>
    </row>
    <row r="145">
      <c r="A145" s="7" t="inlineStr">
        <is>
          <t>EX-0141</t>
        </is>
      </c>
      <c r="B145" s="7" t="inlineStr">
        <is>
          <t>Missing Disposal Evidence</t>
        </is>
      </c>
      <c r="C145" s="10" t="inlineStr">
        <is>
          <t>High</t>
        </is>
      </c>
      <c r="D145" s="7" t="inlineStr">
        <is>
          <t>MD-00107</t>
        </is>
      </c>
      <c r="E145" s="7" t="inlineStr">
        <is>
          <t>MD-MO-050107</t>
        </is>
      </c>
      <c r="F145" s="7" t="inlineStr">
        <is>
          <t>Ticket:RET-00107; Transfer:TR-00107; Certificate:missing</t>
        </is>
      </c>
      <c r="G145" s="7">
        <f>IF(B145="Inventory-to-Ledger Difference",IF(IFERROR(XLOOKUP(D145,'Source Ledger'!$B$5:$B$200,'Source Ledger'!$H$5:$H$200),"")="Disposed",IFERROR(XLOOKUP(D145,'Source Ledger'!$B$5:$B$200,'Source Ledger'!$G$5:$G$200),0),IF(IFERROR(XLOOKUP(D145,'Source Ledger'!$B$5:$B$200,'Source Ledger'!$E$5:$E$200),"")="",IFERROR(XLOOKUP(D145,'Corrected Register'!$A$5:$A$200,'Corrected Register'!$M$5:$M$200),0),ABS(IFERROR(XLOOKUP(D145,'Source Ledger'!$B$5:$B$200,'Source Ledger'!$E$5:$E$200),0)-IFERROR(XLOOKUP(D145,'Corrected Register'!$A$5:$A$200,'Corrected Register'!$M$5:$M$200),0)))),IFERROR(XLOOKUP(D145,'Corrected Register'!$A$5:$A$200,'Corrected Register'!$N$5:$N$200),0))</f>
        <v/>
      </c>
      <c r="H145" s="7" t="inlineStr">
        <is>
          <t>Obtain disposal certificate for MD-00107 or reverse the retirement (EX-0141).</t>
        </is>
      </c>
      <c r="I145" s="7" t="inlineStr">
        <is>
          <t>IT Asset Manager</t>
        </is>
      </c>
      <c r="J145" s="7" t="inlineStr">
        <is>
          <t>2026-08-23</t>
        </is>
      </c>
      <c r="K145" s="7" t="inlineStr">
        <is>
          <t>Open</t>
        </is>
      </c>
      <c r="L145" s="7" t="inlineStr">
        <is>
          <t>Retirement of MD-00107 lacks certificate proof; ledger may already show Disposed (EX-0141).</t>
        </is>
      </c>
      <c r="M145" s="7" t="inlineStr">
        <is>
          <t>Requires remediation</t>
        </is>
      </c>
    </row>
    <row r="146">
      <c r="A146" s="7" t="inlineStr">
        <is>
          <t>EX-0142</t>
        </is>
      </c>
      <c r="B146" s="7" t="inlineStr">
        <is>
          <t>Closed Location Assignment</t>
        </is>
      </c>
      <c r="C146" s="11" t="inlineStr">
        <is>
          <t>Medium</t>
        </is>
      </c>
      <c r="D146" s="7" t="inlineStr">
        <is>
          <t>MD-00107</t>
        </is>
      </c>
      <c r="E146" s="7" t="inlineStr">
        <is>
          <t>MD-MO-050107</t>
        </is>
      </c>
      <c r="F146" s="7" t="inlineStr">
        <is>
          <t>RegisterLocation:Denver - Closed; Transfer:TR-00107</t>
        </is>
      </c>
      <c r="G146" s="7">
        <f>IF(B146="Inventory-to-Ledger Difference",IF(IFERROR(XLOOKUP(D146,'Source Ledger'!$B$5:$B$200,'Source Ledger'!$H$5:$H$200),"")="Disposed",IFERROR(XLOOKUP(D146,'Source Ledger'!$B$5:$B$200,'Source Ledger'!$G$5:$G$200),0),IF(IFERROR(XLOOKUP(D146,'Source Ledger'!$B$5:$B$200,'Source Ledger'!$E$5:$E$200),"")="",IFERROR(XLOOKUP(D146,'Corrected Register'!$A$5:$A$200,'Corrected Register'!$M$5:$M$200),0),ABS(IFERROR(XLOOKUP(D146,'Source Ledger'!$B$5:$B$200,'Source Ledger'!$E$5:$E$200),0)-IFERROR(XLOOKUP(D146,'Corrected Register'!$A$5:$A$200,'Corrected Register'!$M$5:$M$200),0)))),IFERROR(XLOOKUP(D146,'Corrected Register'!$A$5:$A$200,'Corrected Register'!$N$5:$N$200),0))</f>
        <v/>
      </c>
      <c r="H146" s="7" t="inlineStr">
        <is>
          <t>Retire closed-site coding on MD-00107 immediately; publish operating site; notify IT Asset Specialist (EX-0142).</t>
        </is>
      </c>
      <c r="I146" s="7" t="inlineStr">
        <is>
          <t>IT Asset Specialist</t>
        </is>
      </c>
      <c r="J146" s="7" t="inlineStr">
        <is>
          <t>2026-08-19</t>
        </is>
      </c>
      <c r="K146" s="7" t="inlineStr">
        <is>
          <t>Open</t>
        </is>
      </c>
      <c r="L146" s="7" t="inlineStr">
        <is>
          <t>EX-0142 opened when register location for MD-00107 failed to leave Denver - Closed after consolidation into operating site (TR-00107).</t>
        </is>
      </c>
      <c r="M146" s="7" t="inlineStr">
        <is>
          <t>Requires remediation</t>
        </is>
      </c>
    </row>
    <row r="147">
      <c r="A147" s="7" t="inlineStr">
        <is>
          <t>EX-0143</t>
        </is>
      </c>
      <c r="B147" s="7" t="inlineStr">
        <is>
          <t>Missing Disposal Evidence</t>
        </is>
      </c>
      <c r="C147" s="10" t="inlineStr">
        <is>
          <t>High</t>
        </is>
      </c>
      <c r="D147" s="7" t="inlineStr">
        <is>
          <t>MD-00108</t>
        </is>
      </c>
      <c r="E147" s="7" t="inlineStr">
        <is>
          <t>MD-NE-050108</t>
        </is>
      </c>
      <c r="F147" s="7" t="inlineStr">
        <is>
          <t>Ticket:RET-00108; Transfer:TR-00108; Certificate:missing</t>
        </is>
      </c>
      <c r="G147" s="7">
        <f>IF(B147="Inventory-to-Ledger Difference",IF(IFERROR(XLOOKUP(D147,'Source Ledger'!$B$5:$B$200,'Source Ledger'!$H$5:$H$200),"")="Disposed",IFERROR(XLOOKUP(D147,'Source Ledger'!$B$5:$B$200,'Source Ledger'!$G$5:$G$200),0),IF(IFERROR(XLOOKUP(D147,'Source Ledger'!$B$5:$B$200,'Source Ledger'!$E$5:$E$200),"")="",IFERROR(XLOOKUP(D147,'Corrected Register'!$A$5:$A$200,'Corrected Register'!$M$5:$M$200),0),ABS(IFERROR(XLOOKUP(D147,'Source Ledger'!$B$5:$B$200,'Source Ledger'!$E$5:$E$200),0)-IFERROR(XLOOKUP(D147,'Corrected Register'!$A$5:$A$200,'Corrected Register'!$M$5:$M$200),0)))),IFERROR(XLOOKUP(D147,'Corrected Register'!$A$5:$A$200,'Corrected Register'!$N$5:$N$200),0))</f>
        <v/>
      </c>
      <c r="H147" s="7" t="inlineStr">
        <is>
          <t>Obtain disposal certificate for MD-00108 or reverse the retirement (EX-0143).</t>
        </is>
      </c>
      <c r="I147" s="7" t="inlineStr">
        <is>
          <t>IT Asset Manager</t>
        </is>
      </c>
      <c r="J147" s="7" t="inlineStr">
        <is>
          <t>2026-08-23</t>
        </is>
      </c>
      <c r="K147" s="7" t="inlineStr">
        <is>
          <t>Open</t>
        </is>
      </c>
      <c r="L147" s="7" t="inlineStr">
        <is>
          <t>asset_disposal_records has no DC match for MD-NE-050108 on MD-00108 after TR-00108. EX-0143.</t>
        </is>
      </c>
      <c r="M147" s="7" t="inlineStr">
        <is>
          <t>Requires remediation</t>
        </is>
      </c>
    </row>
    <row r="148">
      <c r="A148" s="7" t="inlineStr">
        <is>
          <t>EX-0144</t>
        </is>
      </c>
      <c r="B148" s="7" t="inlineStr">
        <is>
          <t>Closed Location Assignment</t>
        </is>
      </c>
      <c r="C148" s="11" t="inlineStr">
        <is>
          <t>Medium</t>
        </is>
      </c>
      <c r="D148" s="7" t="inlineStr">
        <is>
          <t>MD-00108</t>
        </is>
      </c>
      <c r="E148" s="7" t="inlineStr">
        <is>
          <t>MD-NE-050108</t>
        </is>
      </c>
      <c r="F148" s="7" t="inlineStr">
        <is>
          <t>RegisterLocation:Chicago - Closed; Transfer:TR-00108</t>
        </is>
      </c>
      <c r="G148" s="7">
        <f>IF(B148="Inventory-to-Ledger Difference",IF(IFERROR(XLOOKUP(D148,'Source Ledger'!$B$5:$B$200,'Source Ledger'!$H$5:$H$200),"")="Disposed",IFERROR(XLOOKUP(D148,'Source Ledger'!$B$5:$B$200,'Source Ledger'!$G$5:$G$200),0),IF(IFERROR(XLOOKUP(D148,'Source Ledger'!$B$5:$B$200,'Source Ledger'!$E$5:$E$200),"")="",IFERROR(XLOOKUP(D148,'Corrected Register'!$A$5:$A$200,'Corrected Register'!$M$5:$M$200),0),ABS(IFERROR(XLOOKUP(D148,'Source Ledger'!$B$5:$B$200,'Source Ledger'!$E$5:$E$200),0)-IFERROR(XLOOKUP(D148,'Corrected Register'!$A$5:$A$200,'Corrected Register'!$M$5:$M$200),0)))),IFERROR(XLOOKUP(D148,'Corrected Register'!$A$5:$A$200,'Corrected Register'!$N$5:$N$200),0))</f>
        <v/>
      </c>
      <c r="H148" s="7" t="inlineStr">
        <is>
          <t>Do not leave MD-00108 on Chicago - Closed in the next inventory extract; set operating site (EX-0144).</t>
        </is>
      </c>
      <c r="I148" s="7" t="inlineStr">
        <is>
          <t>IT Asset Specialist</t>
        </is>
      </c>
      <c r="J148" s="7" t="inlineStr">
        <is>
          <t>2026-08-19</t>
        </is>
      </c>
      <c r="K148" s="7" t="inlineStr">
        <is>
          <t>Open</t>
        </is>
      </c>
      <c r="L148" s="7" t="inlineStr">
        <is>
          <t>Working location operating site for MD-00108 is established via TR-00108, yet register text still says Chicago - Closed (EX-0144).</t>
        </is>
      </c>
      <c r="M148" s="7" t="inlineStr">
        <is>
          <t>Requires remediation</t>
        </is>
      </c>
    </row>
    <row r="149">
      <c r="A149" s="7" t="inlineStr">
        <is>
          <t>EX-0145</t>
        </is>
      </c>
      <c r="B149" s="7" t="inlineStr">
        <is>
          <t>Missing Disposal Evidence</t>
        </is>
      </c>
      <c r="C149" s="10" t="inlineStr">
        <is>
          <t>High</t>
        </is>
      </c>
      <c r="D149" s="7" t="inlineStr">
        <is>
          <t>MD-00109</t>
        </is>
      </c>
      <c r="E149" s="7" t="inlineStr">
        <is>
          <t>MD-LA-050109</t>
        </is>
      </c>
      <c r="F149" s="7" t="inlineStr">
        <is>
          <t>Ticket:RET-00109; Transfer:TR-00109; Certificate:missing</t>
        </is>
      </c>
      <c r="G149" s="7">
        <f>IF(B149="Inventory-to-Ledger Difference",IF(IFERROR(XLOOKUP(D149,'Source Ledger'!$B$5:$B$200,'Source Ledger'!$H$5:$H$200),"")="Disposed",IFERROR(XLOOKUP(D149,'Source Ledger'!$B$5:$B$200,'Source Ledger'!$G$5:$G$200),0),IF(IFERROR(XLOOKUP(D149,'Source Ledger'!$B$5:$B$200,'Source Ledger'!$E$5:$E$200),"")="",IFERROR(XLOOKUP(D149,'Corrected Register'!$A$5:$A$200,'Corrected Register'!$M$5:$M$200),0),ABS(IFERROR(XLOOKUP(D149,'Source Ledger'!$B$5:$B$200,'Source Ledger'!$E$5:$E$200),0)-IFERROR(XLOOKUP(D149,'Corrected Register'!$A$5:$A$200,'Corrected Register'!$M$5:$M$200),0)))),IFERROR(XLOOKUP(D149,'Corrected Register'!$A$5:$A$200,'Corrected Register'!$N$5:$N$200),0))</f>
        <v/>
      </c>
      <c r="H149" s="7" t="inlineStr">
        <is>
          <t>Obtain disposal certificate for MD-00109 or reverse the retirement (EX-0145).</t>
        </is>
      </c>
      <c r="I149" s="7" t="inlineStr">
        <is>
          <t>IT Asset Manager</t>
        </is>
      </c>
      <c r="J149" s="7" t="inlineStr">
        <is>
          <t>2026-08-23</t>
        </is>
      </c>
      <c r="K149" s="7" t="inlineStr">
        <is>
          <t>Open</t>
        </is>
      </c>
      <c r="L149" s="7" t="inlineStr">
        <is>
          <t>Retirement of MD-00109 lacks certificate proof; ledger may already show Disposed (EX-0145).</t>
        </is>
      </c>
      <c r="M149" s="7" t="inlineStr">
        <is>
          <t>Requires remediation</t>
        </is>
      </c>
    </row>
    <row r="150">
      <c r="A150" s="7" t="inlineStr">
        <is>
          <t>EX-0146</t>
        </is>
      </c>
      <c r="B150" s="7" t="inlineStr">
        <is>
          <t>Closed Location Assignment</t>
        </is>
      </c>
      <c r="C150" s="11" t="inlineStr">
        <is>
          <t>Medium</t>
        </is>
      </c>
      <c r="D150" s="7" t="inlineStr">
        <is>
          <t>MD-00109</t>
        </is>
      </c>
      <c r="E150" s="7" t="inlineStr">
        <is>
          <t>MD-LA-050109</t>
        </is>
      </c>
      <c r="F150" s="7" t="inlineStr">
        <is>
          <t>RegisterLocation:Denver - Closed; Transfer:TR-00109</t>
        </is>
      </c>
      <c r="G150" s="7">
        <f>IF(B150="Inventory-to-Ledger Difference",IF(IFERROR(XLOOKUP(D150,'Source Ledger'!$B$5:$B$200,'Source Ledger'!$H$5:$H$200),"")="Disposed",IFERROR(XLOOKUP(D150,'Source Ledger'!$B$5:$B$200,'Source Ledger'!$G$5:$G$200),0),IF(IFERROR(XLOOKUP(D150,'Source Ledger'!$B$5:$B$200,'Source Ledger'!$E$5:$E$200),"")="",IFERROR(XLOOKUP(D150,'Corrected Register'!$A$5:$A$200,'Corrected Register'!$M$5:$M$200),0),ABS(IFERROR(XLOOKUP(D150,'Source Ledger'!$B$5:$B$200,'Source Ledger'!$E$5:$E$200),0)-IFERROR(XLOOKUP(D150,'Corrected Register'!$A$5:$A$200,'Corrected Register'!$M$5:$M$200),0)))),IFERROR(XLOOKUP(D150,'Corrected Register'!$A$5:$A$200,'Corrected Register'!$N$5:$N$200),0))</f>
        <v/>
      </c>
      <c r="H150" s="7" t="inlineStr">
        <is>
          <t>Make operating site authoritative for MD-00109; delete Denver - Closed; close EX-0146 [EX-0146a-1].</t>
        </is>
      </c>
      <c r="I150" s="7" t="inlineStr">
        <is>
          <t>IT Asset Specialist</t>
        </is>
      </c>
      <c r="J150" s="7" t="inlineStr">
        <is>
          <t>2026-08-19</t>
        </is>
      </c>
      <c r="K150" s="7" t="inlineStr">
        <is>
          <t>Open</t>
        </is>
      </c>
      <c r="L150" s="7" t="inlineStr">
        <is>
          <t>Operational reading for MD-00109 is operating site. Administrative reading remains Denver - Closed. Align with TR-00109 under EX-0146 [EX-0146-1].</t>
        </is>
      </c>
      <c r="M150" s="7" t="inlineStr">
        <is>
          <t>Requires remediation</t>
        </is>
      </c>
    </row>
    <row r="151">
      <c r="A151" s="7" t="inlineStr">
        <is>
          <t>EX-0147</t>
        </is>
      </c>
      <c r="B151" s="7" t="inlineStr">
        <is>
          <t>Missing Disposal Evidence</t>
        </is>
      </c>
      <c r="C151" s="10" t="inlineStr">
        <is>
          <t>High</t>
        </is>
      </c>
      <c r="D151" s="7" t="inlineStr">
        <is>
          <t>MD-00110</t>
        </is>
      </c>
      <c r="E151" s="7" t="inlineStr">
        <is>
          <t>MD-MO-050110</t>
        </is>
      </c>
      <c r="F151" s="7" t="inlineStr">
        <is>
          <t>Ticket:RET-00110; Transfer:TR-00110; Certificate:missing</t>
        </is>
      </c>
      <c r="G151" s="7">
        <f>IF(B151="Inventory-to-Ledger Difference",IF(IFERROR(XLOOKUP(D151,'Source Ledger'!$B$5:$B$200,'Source Ledger'!$H$5:$H$200),"")="Disposed",IFERROR(XLOOKUP(D151,'Source Ledger'!$B$5:$B$200,'Source Ledger'!$G$5:$G$200),0),IF(IFERROR(XLOOKUP(D151,'Source Ledger'!$B$5:$B$200,'Source Ledger'!$E$5:$E$200),"")="",IFERROR(XLOOKUP(D151,'Corrected Register'!$A$5:$A$200,'Corrected Register'!$M$5:$M$200),0),ABS(IFERROR(XLOOKUP(D151,'Source Ledger'!$B$5:$B$200,'Source Ledger'!$E$5:$E$200),0)-IFERROR(XLOOKUP(D151,'Corrected Register'!$A$5:$A$200,'Corrected Register'!$M$5:$M$200),0)))),IFERROR(XLOOKUP(D151,'Corrected Register'!$A$5:$A$200,'Corrected Register'!$N$5:$N$200),0))</f>
        <v/>
      </c>
      <c r="H151" s="7" t="inlineStr">
        <is>
          <t>Obtain disposal certificate for MD-00110 or reverse the retirement (EX-0147).</t>
        </is>
      </c>
      <c r="I151" s="7" t="inlineStr">
        <is>
          <t>IT Asset Manager</t>
        </is>
      </c>
      <c r="J151" s="7" t="inlineStr">
        <is>
          <t>2026-08-23</t>
        </is>
      </c>
      <c r="K151" s="7" t="inlineStr">
        <is>
          <t>Open</t>
        </is>
      </c>
      <c r="L151" s="7" t="inlineStr">
        <is>
          <t>MD-00110 is Retired/Pending Disposal without a verified disposal certificate; TR-00110 moved it to recycler (EX-0147).</t>
        </is>
      </c>
      <c r="M151" s="7" t="inlineStr">
        <is>
          <t>Requires remediation</t>
        </is>
      </c>
    </row>
    <row r="152">
      <c r="A152" s="7" t="inlineStr">
        <is>
          <t>EX-0148</t>
        </is>
      </c>
      <c r="B152" s="7" t="inlineStr">
        <is>
          <t>Closed Location Assignment</t>
        </is>
      </c>
      <c r="C152" s="11" t="inlineStr">
        <is>
          <t>Medium</t>
        </is>
      </c>
      <c r="D152" s="7" t="inlineStr">
        <is>
          <t>MD-00110</t>
        </is>
      </c>
      <c r="E152" s="7" t="inlineStr">
        <is>
          <t>MD-MO-050110</t>
        </is>
      </c>
      <c r="F152" s="7" t="inlineStr">
        <is>
          <t>RegisterLocation:Chicago - Closed; Transfer:TR-00110</t>
        </is>
      </c>
      <c r="G152" s="7">
        <f>IF(B152="Inventory-to-Ledger Difference",IF(IFERROR(XLOOKUP(D152,'Source Ledger'!$B$5:$B$200,'Source Ledger'!$H$5:$H$200),"")="Disposed",IFERROR(XLOOKUP(D152,'Source Ledger'!$B$5:$B$200,'Source Ledger'!$G$5:$G$200),0),IF(IFERROR(XLOOKUP(D152,'Source Ledger'!$B$5:$B$200,'Source Ledger'!$E$5:$E$200),"")="",IFERROR(XLOOKUP(D152,'Corrected Register'!$A$5:$A$200,'Corrected Register'!$M$5:$M$200),0),ABS(IFERROR(XLOOKUP(D152,'Source Ledger'!$B$5:$B$200,'Source Ledger'!$E$5:$E$200),0)-IFERROR(XLOOKUP(D152,'Corrected Register'!$A$5:$A$200,'Corrected Register'!$M$5:$M$200),0)))),IFERROR(XLOOKUP(D152,'Corrected Register'!$A$5:$A$200,'Corrected Register'!$N$5:$N$200),0))</f>
        <v/>
      </c>
      <c r="H152" s="7" t="inlineStr">
        <is>
          <t>Publish verified location operating site for MD-00110; archive Chicago - Closed; close EX-0148 [EX-0148a-2].</t>
        </is>
      </c>
      <c r="I152" s="7" t="inlineStr">
        <is>
          <t>IT Asset Specialist</t>
        </is>
      </c>
      <c r="J152" s="7" t="inlineStr">
        <is>
          <t>2026-08-19</t>
        </is>
      </c>
      <c r="K152" s="7" t="inlineStr">
        <is>
          <t>Open</t>
        </is>
      </c>
      <c r="L152" s="7" t="inlineStr">
        <is>
          <t>Update path for MD-00110: drop Chicago - Closed, publish operating site, attach TR-00110, resolve EX-0148 [EX-0148-2].</t>
        </is>
      </c>
      <c r="M152" s="7" t="inlineStr">
        <is>
          <t>Requires remediation</t>
        </is>
      </c>
    </row>
    <row r="153">
      <c r="A153" s="7" t="inlineStr">
        <is>
          <t>EX-0149</t>
        </is>
      </c>
      <c r="B153" s="7" t="inlineStr">
        <is>
          <t>Missing Disposal Evidence</t>
        </is>
      </c>
      <c r="C153" s="8" t="inlineStr">
        <is>
          <t>Critical</t>
        </is>
      </c>
      <c r="D153" s="7" t="inlineStr">
        <is>
          <t>MD-00114</t>
        </is>
      </c>
      <c r="E153" s="7" t="inlineStr">
        <is>
          <t>MD-MO-050114</t>
        </is>
      </c>
      <c r="F153" s="7" t="inlineStr">
        <is>
          <t>Ticket:RET-00114; Transfer:TR-00114; Certificate:missing</t>
        </is>
      </c>
      <c r="G153" s="7">
        <f>IF(B153="Inventory-to-Ledger Difference",IF(IFERROR(XLOOKUP(D153,'Source Ledger'!$B$5:$B$200,'Source Ledger'!$H$5:$H$200),"")="Disposed",IFERROR(XLOOKUP(D153,'Source Ledger'!$B$5:$B$200,'Source Ledger'!$G$5:$G$200),0),IF(IFERROR(XLOOKUP(D153,'Source Ledger'!$B$5:$B$200,'Source Ledger'!$E$5:$E$200),"")="",IFERROR(XLOOKUP(D153,'Corrected Register'!$A$5:$A$200,'Corrected Register'!$M$5:$M$200),0),ABS(IFERROR(XLOOKUP(D153,'Source Ledger'!$B$5:$B$200,'Source Ledger'!$E$5:$E$200),0)-IFERROR(XLOOKUP(D153,'Corrected Register'!$A$5:$A$200,'Corrected Register'!$M$5:$M$200),0)))),IFERROR(XLOOKUP(D153,'Corrected Register'!$A$5:$A$200,'Corrected Register'!$N$5:$N$200),0))</f>
        <v/>
      </c>
      <c r="H153" s="7" t="inlineStr">
        <is>
          <t>Critical certification blocker — Obtain disposal certificate for MD-00114 or reverse the retirement (EX-0149).</t>
        </is>
      </c>
      <c r="I153" s="7" t="inlineStr">
        <is>
          <t>IT Asset Manager</t>
        </is>
      </c>
      <c r="J153" s="7" t="inlineStr">
        <is>
          <t>2026-08-12</t>
        </is>
      </c>
      <c r="K153" s="7" t="inlineStr">
        <is>
          <t>Open</t>
        </is>
      </c>
      <c r="L153" s="7" t="inlineStr">
        <is>
          <t>Critical certification blocker — Retirement of MD-00114 lacks certificate proof; ledger may already show Disposed (EX-0149).</t>
        </is>
      </c>
      <c r="M153" s="12" t="inlineStr">
        <is>
          <t>Blocks certification</t>
        </is>
      </c>
    </row>
    <row r="154">
      <c r="A154" s="7" t="inlineStr">
        <is>
          <t>EX-0150</t>
        </is>
      </c>
      <c r="B154" s="7" t="inlineStr">
        <is>
          <t>Closed Location Assignment</t>
        </is>
      </c>
      <c r="C154" s="11" t="inlineStr">
        <is>
          <t>Medium</t>
        </is>
      </c>
      <c r="D154" s="7" t="inlineStr">
        <is>
          <t>MD-00114</t>
        </is>
      </c>
      <c r="E154" s="7" t="inlineStr">
        <is>
          <t>MD-MO-050114</t>
        </is>
      </c>
      <c r="F154" s="7" t="inlineStr">
        <is>
          <t>RegisterLocation:Chicago - Closed; Transfer:TR-00114</t>
        </is>
      </c>
      <c r="G154" s="7">
        <f>IF(B154="Inventory-to-Ledger Difference",IF(IFERROR(XLOOKUP(D154,'Source Ledger'!$B$5:$B$200,'Source Ledger'!$H$5:$H$200),"")="Disposed",IFERROR(XLOOKUP(D154,'Source Ledger'!$B$5:$B$200,'Source Ledger'!$G$5:$G$200),0),IF(IFERROR(XLOOKUP(D154,'Source Ledger'!$B$5:$B$200,'Source Ledger'!$E$5:$E$200),"")="",IFERROR(XLOOKUP(D154,'Corrected Register'!$A$5:$A$200,'Corrected Register'!$M$5:$M$200),0),ABS(IFERROR(XLOOKUP(D154,'Source Ledger'!$B$5:$B$200,'Source Ledger'!$E$5:$E$200),0)-IFERROR(XLOOKUP(D154,'Corrected Register'!$A$5:$A$200,'Corrected Register'!$M$5:$M$200),0)))),IFERROR(XLOOKUP(D154,'Corrected Register'!$A$5:$A$200,'Corrected Register'!$N$5:$N$200),0))</f>
        <v/>
      </c>
      <c r="H154" s="7" t="inlineStr">
        <is>
          <t>Execute location correction on MD-00114 to operating site; reference TR-00114; resolve EX-0150.</t>
        </is>
      </c>
      <c r="I154" s="7" t="inlineStr">
        <is>
          <t>IT Asset Specialist</t>
        </is>
      </c>
      <c r="J154" s="7" t="inlineStr">
        <is>
          <t>2026-08-19</t>
        </is>
      </c>
      <c r="K154" s="7" t="inlineStr">
        <is>
          <t>Open</t>
        </is>
      </c>
      <c r="L154" s="7" t="inlineStr">
        <is>
          <t>Consolidation cutover incomplete for MD-00114. Residual Chicago - Closed; destination operating site; evidence TR-00114; control EX-0150.</t>
        </is>
      </c>
      <c r="M154" s="7" t="inlineStr">
        <is>
          <t>Requires remediation</t>
        </is>
      </c>
    </row>
    <row r="155">
      <c r="A155" s="7" t="inlineStr">
        <is>
          <t>EX-0151</t>
        </is>
      </c>
      <c r="B155" s="7" t="inlineStr">
        <is>
          <t>Missing Disposal Evidence</t>
        </is>
      </c>
      <c r="C155" s="8" t="inlineStr">
        <is>
          <t>Critical</t>
        </is>
      </c>
      <c r="D155" s="7" t="inlineStr">
        <is>
          <t>MD-00118</t>
        </is>
      </c>
      <c r="E155" s="7" t="inlineStr">
        <is>
          <t>MD-MO-050118</t>
        </is>
      </c>
      <c r="F155" s="7" t="inlineStr">
        <is>
          <t>Ticket:RET-00118; Transfer:TR-00118; Certificate:missing</t>
        </is>
      </c>
      <c r="G155" s="7">
        <f>IF(B155="Inventory-to-Ledger Difference",IF(IFERROR(XLOOKUP(D155,'Source Ledger'!$B$5:$B$200,'Source Ledger'!$H$5:$H$200),"")="Disposed",IFERROR(XLOOKUP(D155,'Source Ledger'!$B$5:$B$200,'Source Ledger'!$G$5:$G$200),0),IF(IFERROR(XLOOKUP(D155,'Source Ledger'!$B$5:$B$200,'Source Ledger'!$E$5:$E$200),"")="",IFERROR(XLOOKUP(D155,'Corrected Register'!$A$5:$A$200,'Corrected Register'!$M$5:$M$200),0),ABS(IFERROR(XLOOKUP(D155,'Source Ledger'!$B$5:$B$200,'Source Ledger'!$E$5:$E$200),0)-IFERROR(XLOOKUP(D155,'Corrected Register'!$A$5:$A$200,'Corrected Register'!$M$5:$M$200),0)))),IFERROR(XLOOKUP(D155,'Corrected Register'!$A$5:$A$200,'Corrected Register'!$N$5:$N$200),0))</f>
        <v/>
      </c>
      <c r="H155" s="7" t="inlineStr">
        <is>
          <t>Critical certification blocker — Obtain disposal certificate for MD-00118 or reverse the retirement (EX-0151).</t>
        </is>
      </c>
      <c r="I155" s="7" t="inlineStr">
        <is>
          <t>IT Asset Manager</t>
        </is>
      </c>
      <c r="J155" s="7" t="inlineStr">
        <is>
          <t>2026-08-12</t>
        </is>
      </c>
      <c r="K155" s="7" t="inlineStr">
        <is>
          <t>Open</t>
        </is>
      </c>
      <c r="L155" s="7" t="inlineStr">
        <is>
          <t>Critical certification blocker — asset_disposal_records has no DC match for MD-MO-050118 on MD-00118 after TR-00118. EX-0151.</t>
        </is>
      </c>
      <c r="M155" s="12" t="inlineStr">
        <is>
          <t>Blocks certification</t>
        </is>
      </c>
    </row>
    <row r="156">
      <c r="A156" s="7" t="inlineStr">
        <is>
          <t>EX-0152</t>
        </is>
      </c>
      <c r="B156" s="7" t="inlineStr">
        <is>
          <t>Closed Location Assignment</t>
        </is>
      </c>
      <c r="C156" s="11" t="inlineStr">
        <is>
          <t>Medium</t>
        </is>
      </c>
      <c r="D156" s="7" t="inlineStr">
        <is>
          <t>MD-00118</t>
        </is>
      </c>
      <c r="E156" s="7" t="inlineStr">
        <is>
          <t>MD-MO-050118</t>
        </is>
      </c>
      <c r="F156" s="7" t="inlineStr">
        <is>
          <t>RegisterLocation:Chicago - Closed; Transfer:TR-00118</t>
        </is>
      </c>
      <c r="G156" s="7">
        <f>IF(B156="Inventory-to-Ledger Difference",IF(IFERROR(XLOOKUP(D156,'Source Ledger'!$B$5:$B$200,'Source Ledger'!$H$5:$H$200),"")="Disposed",IFERROR(XLOOKUP(D156,'Source Ledger'!$B$5:$B$200,'Source Ledger'!$G$5:$G$200),0),IF(IFERROR(XLOOKUP(D156,'Source Ledger'!$B$5:$B$200,'Source Ledger'!$E$5:$E$200),"")="",IFERROR(XLOOKUP(D156,'Corrected Register'!$A$5:$A$200,'Corrected Register'!$M$5:$M$200),0),ABS(IFERROR(XLOOKUP(D156,'Source Ledger'!$B$5:$B$200,'Source Ledger'!$E$5:$E$200),0)-IFERROR(XLOOKUP(D156,'Corrected Register'!$A$5:$A$200,'Corrected Register'!$M$5:$M$200),0)))),IFERROR(XLOOKUP(D156,'Corrected Register'!$A$5:$A$200,'Corrected Register'!$N$5:$N$200),0))</f>
        <v/>
      </c>
      <c r="H156" s="7" t="inlineStr">
        <is>
          <t>Hygiene SLA on EX-0152: MD-00118 location corrected to operating site this cycle [EX-0152a-1].</t>
        </is>
      </c>
      <c r="I156" s="7" t="inlineStr">
        <is>
          <t>IT Asset Specialist</t>
        </is>
      </c>
      <c r="J156" s="7" t="inlineStr">
        <is>
          <t>2026-08-19</t>
        </is>
      </c>
      <c r="K156" s="7" t="inlineStr">
        <is>
          <t>Open</t>
        </is>
      </c>
      <c r="L156" s="7" t="inlineStr">
        <is>
          <t>Live ops for MD-00118 already shifted to operating site; extract hygiene still shows Chicago - Closed. Cite TR-00118; close via EX-0152 [EX-0152-1].</t>
        </is>
      </c>
      <c r="M156" s="7" t="inlineStr">
        <is>
          <t>Requires remediation</t>
        </is>
      </c>
    </row>
    <row r="157">
      <c r="A157" s="7" t="inlineStr">
        <is>
          <t>EX-0153</t>
        </is>
      </c>
      <c r="B157" s="7" t="inlineStr">
        <is>
          <t>Inventory-to-Ledger Difference</t>
        </is>
      </c>
      <c r="C157" s="10" t="inlineStr">
        <is>
          <t>High</t>
        </is>
      </c>
      <c r="D157" s="7" t="inlineStr">
        <is>
          <t>MD-00119</t>
        </is>
      </c>
      <c r="E157" s="7" t="inlineStr">
        <is>
          <t>MD-MO-050119</t>
        </is>
      </c>
      <c r="F157" s="7" t="inlineStr">
        <is>
          <t>Ledger:FA-000119; PO:PO-2024-0024; RegisterCost:950.0; LedgerCost:1115.0; OverDepreciation:10.0</t>
        </is>
      </c>
      <c r="G157" s="7">
        <f>IF(B157="Inventory-to-Ledger Difference",IF(IFERROR(XLOOKUP(D157,'Source Ledger'!$B$5:$B$200,'Source Ledger'!$H$5:$H$200),"")="Disposed",IFERROR(XLOOKUP(D157,'Source Ledger'!$B$5:$B$200,'Source Ledger'!$G$5:$G$200),0),IF(IFERROR(XLOOKUP(D157,'Source Ledger'!$B$5:$B$200,'Source Ledger'!$E$5:$E$200),"")="",IFERROR(XLOOKUP(D157,'Corrected Register'!$A$5:$A$200,'Corrected Register'!$M$5:$M$200),0),ABS(IFERROR(XLOOKUP(D157,'Source Ledger'!$B$5:$B$200,'Source Ledger'!$E$5:$E$200),0)-IFERROR(XLOOKUP(D157,'Corrected Register'!$A$5:$A$200,'Corrected Register'!$M$5:$M$200),0)))),IFERROR(XLOOKUP(D157,'Corrected Register'!$A$5:$A$200,'Corrected Register'!$N$5:$N$200),0))</f>
        <v/>
      </c>
      <c r="H157" s="7" t="inlineStr">
        <is>
          <t>Align MD-00119 cost: register $950 vs ledger $1,115 (FA-000119) (EX-0153).</t>
        </is>
      </c>
      <c r="I157" s="7" t="inlineStr">
        <is>
          <t>Finance Controller</t>
        </is>
      </c>
      <c r="J157" s="7" t="inlineStr">
        <is>
          <t>2026-08-21</t>
        </is>
      </c>
      <c r="K157" s="7" t="inlineStr">
        <is>
          <t>Open</t>
        </is>
      </c>
      <c r="L157" s="7" t="inlineStr">
        <is>
          <t>Cost basis split on MD-00119: inventory $950, ledger $1,115 via PO-2024-0024 / FA-000119. FA-000119 also over-depreciated by $10 (accum dep $1,125 vs acq $1,115) with NBV $0 (EX-0153).</t>
        </is>
      </c>
      <c r="M157" s="7" t="inlineStr">
        <is>
          <t>Requires remediation</t>
        </is>
      </c>
    </row>
    <row r="158">
      <c r="A158" s="7" t="inlineStr">
        <is>
          <t>EX-0154</t>
        </is>
      </c>
      <c r="B158" s="7" t="inlineStr">
        <is>
          <t>Closed Location Assignment</t>
        </is>
      </c>
      <c r="C158" s="11" t="inlineStr">
        <is>
          <t>Medium</t>
        </is>
      </c>
      <c r="D158" s="7" t="inlineStr">
        <is>
          <t>MD-00121</t>
        </is>
      </c>
      <c r="E158" s="7" t="inlineStr">
        <is>
          <t>MD-LA-050121</t>
        </is>
      </c>
      <c r="F158" s="7" t="inlineStr">
        <is>
          <t>RegisterLocation:Denver - Closed; Transfer:TR-00121; VerifiedLocation:Chicago</t>
        </is>
      </c>
      <c r="G158" s="7">
        <f>IF(B158="Inventory-to-Ledger Difference",IF(IFERROR(XLOOKUP(D158,'Source Ledger'!$B$5:$B$200,'Source Ledger'!$H$5:$H$200),"")="Disposed",IFERROR(XLOOKUP(D158,'Source Ledger'!$B$5:$B$200,'Source Ledger'!$G$5:$G$200),0),IF(IFERROR(XLOOKUP(D158,'Source Ledger'!$B$5:$B$200,'Source Ledger'!$E$5:$E$200),"")="",IFERROR(XLOOKUP(D158,'Corrected Register'!$A$5:$A$200,'Corrected Register'!$M$5:$M$200),0),ABS(IFERROR(XLOOKUP(D158,'Source Ledger'!$B$5:$B$200,'Source Ledger'!$E$5:$E$200),0)-IFERROR(XLOOKUP(D158,'Corrected Register'!$A$5:$A$200,'Corrected Register'!$M$5:$M$200),0)))),IFERROR(XLOOKUP(D158,'Corrected Register'!$A$5:$A$200,'Corrected Register'!$N$5:$N$200),0))</f>
        <v/>
      </c>
      <c r="H158" s="7" t="inlineStr">
        <is>
          <t>Clear closed-office coding on MD-00121 — post operating site and mark EX-0154 resolved once saved.</t>
        </is>
      </c>
      <c r="I158" s="7" t="inlineStr">
        <is>
          <t>IT Asset Specialist</t>
        </is>
      </c>
      <c r="J158" s="7" t="inlineStr">
        <is>
          <t>2026-08-19</t>
        </is>
      </c>
      <c r="K158" s="7" t="inlineStr">
        <is>
          <t>Open</t>
        </is>
      </c>
      <c r="L158" s="7" t="inlineStr">
        <is>
          <t>Register hygiene ticket EX-0154 for MD-00121: replace Denver - Closed with operating site after validating TR-00121.</t>
        </is>
      </c>
      <c r="M158" s="7" t="inlineStr">
        <is>
          <t>Requires remediation</t>
        </is>
      </c>
    </row>
    <row r="159">
      <c r="A159" s="7" t="inlineStr">
        <is>
          <t>EX-0155</t>
        </is>
      </c>
      <c r="B159" s="7" t="inlineStr">
        <is>
          <t>Closed Location Assignment</t>
        </is>
      </c>
      <c r="C159" s="11" t="inlineStr">
        <is>
          <t>Medium</t>
        </is>
      </c>
      <c r="D159" s="7" t="inlineStr">
        <is>
          <t>MD-00122</t>
        </is>
      </c>
      <c r="E159" s="7" t="inlineStr">
        <is>
          <t>MD-MO-050122</t>
        </is>
      </c>
      <c r="F159" s="7" t="inlineStr">
        <is>
          <t>RegisterLocation:Chicago - Closed; Transfer:TR-00122; VerifiedLocation:Dallas</t>
        </is>
      </c>
      <c r="G159" s="7">
        <f>IF(B159="Inventory-to-Ledger Difference",IF(IFERROR(XLOOKUP(D159,'Source Ledger'!$B$5:$B$200,'Source Ledger'!$H$5:$H$200),"")="Disposed",IFERROR(XLOOKUP(D159,'Source Ledger'!$B$5:$B$200,'Source Ledger'!$G$5:$G$200),0),IF(IFERROR(XLOOKUP(D159,'Source Ledger'!$B$5:$B$200,'Source Ledger'!$E$5:$E$200),"")="",IFERROR(XLOOKUP(D159,'Corrected Register'!$A$5:$A$200,'Corrected Register'!$M$5:$M$200),0),ABS(IFERROR(XLOOKUP(D159,'Source Ledger'!$B$5:$B$200,'Source Ledger'!$E$5:$E$200),0)-IFERROR(XLOOKUP(D159,'Corrected Register'!$A$5:$A$200,'Corrected Register'!$M$5:$M$200),0)))),IFERROR(XLOOKUP(D159,'Corrected Register'!$A$5:$A$200,'Corrected Register'!$N$5:$N$200),0))</f>
        <v/>
      </c>
      <c r="H159" s="7" t="inlineStr">
        <is>
          <t>Validate TR-00122, then overwrite MD-00122 location from Chicago - Closed to operating site (EX-0155) [EX-0155a-1].</t>
        </is>
      </c>
      <c r="I159" s="7" t="inlineStr">
        <is>
          <t>IT Asset Specialist</t>
        </is>
      </c>
      <c r="J159" s="7" t="inlineStr">
        <is>
          <t>2026-08-19</t>
        </is>
      </c>
      <c r="K159" s="7" t="inlineStr">
        <is>
          <t>Open</t>
        </is>
      </c>
      <c r="L159" s="7" t="inlineStr">
        <is>
          <t>Office closure left MD-00122 tagged Chicago - Closed. Current work site operating site is backed by TR-00122. Tracked in EX-0155 [EX-0155-1].</t>
        </is>
      </c>
      <c r="M159" s="7" t="inlineStr">
        <is>
          <t>Requires remediation</t>
        </is>
      </c>
    </row>
    <row r="160">
      <c r="A160" s="7" t="inlineStr">
        <is>
          <t>EX-0156</t>
        </is>
      </c>
      <c r="B160" s="7" t="inlineStr">
        <is>
          <t>Closed Location Assignment</t>
        </is>
      </c>
      <c r="C160" s="11" t="inlineStr">
        <is>
          <t>Medium</t>
        </is>
      </c>
      <c r="D160" s="7" t="inlineStr">
        <is>
          <t>MD-00123</t>
        </is>
      </c>
      <c r="E160" s="7" t="inlineStr">
        <is>
          <t>MD-MO-050123</t>
        </is>
      </c>
      <c r="F160" s="7" t="inlineStr">
        <is>
          <t>RegisterLocation:Denver - Closed; Transfer:TR-00123; VerifiedLocation:Denver</t>
        </is>
      </c>
      <c r="G160" s="7">
        <f>IF(B160="Inventory-to-Ledger Difference",IF(IFERROR(XLOOKUP(D160,'Source Ledger'!$B$5:$B$200,'Source Ledger'!$H$5:$H$200),"")="Disposed",IFERROR(XLOOKUP(D160,'Source Ledger'!$B$5:$B$200,'Source Ledger'!$G$5:$G$200),0),IF(IFERROR(XLOOKUP(D160,'Source Ledger'!$B$5:$B$200,'Source Ledger'!$E$5:$E$200),"")="",IFERROR(XLOOKUP(D160,'Corrected Register'!$A$5:$A$200,'Corrected Register'!$M$5:$M$200),0),ABS(IFERROR(XLOOKUP(D160,'Source Ledger'!$B$5:$B$200,'Source Ledger'!$E$5:$E$200),0)-IFERROR(XLOOKUP(D160,'Corrected Register'!$A$5:$A$200,'Corrected Register'!$M$5:$M$200),0)))),IFERROR(XLOOKUP(D160,'Corrected Register'!$A$5:$A$200,'Corrected Register'!$N$5:$N$200),0))</f>
        <v/>
      </c>
      <c r="H160" s="7" t="inlineStr">
        <is>
          <t>No recertification of MD-00123 until location reads operating site (EX-0156).</t>
        </is>
      </c>
      <c r="I160" s="7" t="inlineStr">
        <is>
          <t>IT Asset Specialist</t>
        </is>
      </c>
      <c r="J160" s="7" t="inlineStr">
        <is>
          <t>2026-08-19</t>
        </is>
      </c>
      <c r="K160" s="7" t="inlineStr">
        <is>
          <t>Open</t>
        </is>
      </c>
      <c r="L160" s="7" t="inlineStr">
        <is>
          <t>ITAM extract error class for MD-00123: obsolete closed location Denver - Closed; correct live location operating site; transfer TR-00123; EX-0156.</t>
        </is>
      </c>
      <c r="M160" s="7" t="inlineStr">
        <is>
          <t>Requires remediation</t>
        </is>
      </c>
    </row>
    <row r="161">
      <c r="A161" s="7" t="inlineStr">
        <is>
          <t>EX-0157</t>
        </is>
      </c>
      <c r="B161" s="7" t="inlineStr">
        <is>
          <t>Closed Location Assignment</t>
        </is>
      </c>
      <c r="C161" s="11" t="inlineStr">
        <is>
          <t>Medium</t>
        </is>
      </c>
      <c r="D161" s="7" t="inlineStr">
        <is>
          <t>MD-00124</t>
        </is>
      </c>
      <c r="E161" s="7" t="inlineStr">
        <is>
          <t>MD-NE-050124</t>
        </is>
      </c>
      <c r="F161" s="7" t="inlineStr">
        <is>
          <t>RegisterLocation:Chicago - Closed; Transfer:TR-00124; VerifiedLocation:New York</t>
        </is>
      </c>
      <c r="G161" s="7">
        <f>IF(B161="Inventory-to-Ledger Difference",IF(IFERROR(XLOOKUP(D161,'Source Ledger'!$B$5:$B$200,'Source Ledger'!$H$5:$H$200),"")="Disposed",IFERROR(XLOOKUP(D161,'Source Ledger'!$B$5:$B$200,'Source Ledger'!$G$5:$G$200),0),IF(IFERROR(XLOOKUP(D161,'Source Ledger'!$B$5:$B$200,'Source Ledger'!$E$5:$E$200),"")="",IFERROR(XLOOKUP(D161,'Corrected Register'!$A$5:$A$200,'Corrected Register'!$M$5:$M$200),0),ABS(IFERROR(XLOOKUP(D161,'Source Ledger'!$B$5:$B$200,'Source Ledger'!$E$5:$E$200),0)-IFERROR(XLOOKUP(D161,'Corrected Register'!$A$5:$A$200,'Corrected Register'!$M$5:$M$200),0)))),IFERROR(XLOOKUP(D161,'Corrected Register'!$A$5:$A$200,'Corrected Register'!$N$5:$N$200),0))</f>
        <v/>
      </c>
      <c r="H161" s="7" t="inlineStr">
        <is>
          <t>IT Asset Specialist closes EX-0157 after saving operating site on MD-00124 [EX-0157a-1].</t>
        </is>
      </c>
      <c r="I161" s="7" t="inlineStr">
        <is>
          <t>IT Asset Specialist</t>
        </is>
      </c>
      <c r="J161" s="7" t="inlineStr">
        <is>
          <t>2026-08-19</t>
        </is>
      </c>
      <c r="K161" s="7" t="inlineStr">
        <is>
          <t>Open</t>
        </is>
      </c>
      <c r="L161" s="7" t="inlineStr">
        <is>
          <t>Register lag after site closure — MD-00124 still coded Chicago - Closed while operating site is active (TR-00124, EX-0157) [EX-0157-1].</t>
        </is>
      </c>
      <c r="M161" s="7" t="inlineStr">
        <is>
          <t>Requires remediation</t>
        </is>
      </c>
    </row>
    <row r="162">
      <c r="A162" s="7" t="inlineStr">
        <is>
          <t>EX-0158</t>
        </is>
      </c>
      <c r="B162" s="7" t="inlineStr">
        <is>
          <t>Closed Location Assignment</t>
        </is>
      </c>
      <c r="C162" s="11" t="inlineStr">
        <is>
          <t>Medium</t>
        </is>
      </c>
      <c r="D162" s="7" t="inlineStr">
        <is>
          <t>MD-00125</t>
        </is>
      </c>
      <c r="E162" s="7" t="inlineStr">
        <is>
          <t>MD-LA-050125</t>
        </is>
      </c>
      <c r="F162" s="7" t="inlineStr">
        <is>
          <t>RegisterLocation:Denver - Closed; Transfer:TR-00125; VerifiedLocation:Seattle</t>
        </is>
      </c>
      <c r="G162" s="7">
        <f>IF(B162="Inventory-to-Ledger Difference",IF(IFERROR(XLOOKUP(D162,'Source Ledger'!$B$5:$B$200,'Source Ledger'!$H$5:$H$200),"")="Disposed",IFERROR(XLOOKUP(D162,'Source Ledger'!$B$5:$B$200,'Source Ledger'!$G$5:$G$200),0),IF(IFERROR(XLOOKUP(D162,'Source Ledger'!$B$5:$B$200,'Source Ledger'!$E$5:$E$200),"")="",IFERROR(XLOOKUP(D162,'Corrected Register'!$A$5:$A$200,'Corrected Register'!$M$5:$M$200),0),ABS(IFERROR(XLOOKUP(D162,'Source Ledger'!$B$5:$B$200,'Source Ledger'!$E$5:$E$200),0)-IFERROR(XLOOKUP(D162,'Corrected Register'!$A$5:$A$200,'Corrected Register'!$M$5:$M$200),0)))),IFERROR(XLOOKUP(D162,'Corrected Register'!$A$5:$A$200,'Corrected Register'!$N$5:$N$200),0))</f>
        <v/>
      </c>
      <c r="H162" s="7" t="inlineStr">
        <is>
          <t>Replace Denver - Closed with operating site on MD-00125 in the operational register, then close EX-0158.</t>
        </is>
      </c>
      <c r="I162" s="7" t="inlineStr">
        <is>
          <t>IT Asset Specialist</t>
        </is>
      </c>
      <c r="J162" s="7" t="inlineStr">
        <is>
          <t>2026-08-19</t>
        </is>
      </c>
      <c r="K162" s="7" t="inlineStr">
        <is>
          <t>Open</t>
        </is>
      </c>
      <c r="L162" s="7" t="inlineStr">
        <is>
          <t>Closed label persistence on MD-00125 (Denver - Closed) after successful inbound TR-00125 to operating site. Tracked as EX-0158.</t>
        </is>
      </c>
      <c r="M162" s="7" t="inlineStr">
        <is>
          <t>Requires remediation</t>
        </is>
      </c>
    </row>
    <row r="163">
      <c r="A163" s="7" t="inlineStr">
        <is>
          <t>EX-0159</t>
        </is>
      </c>
      <c r="B163" s="7" t="inlineStr">
        <is>
          <t>Closed Location Assignment</t>
        </is>
      </c>
      <c r="C163" s="11" t="inlineStr">
        <is>
          <t>Medium</t>
        </is>
      </c>
      <c r="D163" s="7" t="inlineStr">
        <is>
          <t>MD-00126</t>
        </is>
      </c>
      <c r="E163" s="7" t="inlineStr">
        <is>
          <t>MD-MO-050126</t>
        </is>
      </c>
      <c r="F163" s="7" t="inlineStr">
        <is>
          <t>RegisterLocation:Chicago - Closed; Transfer:TR-00126; VerifiedLocation:Atlanta</t>
        </is>
      </c>
      <c r="G163" s="7">
        <f>IF(B163="Inventory-to-Ledger Difference",IF(IFERROR(XLOOKUP(D163,'Source Ledger'!$B$5:$B$200,'Source Ledger'!$H$5:$H$200),"")="Disposed",IFERROR(XLOOKUP(D163,'Source Ledger'!$B$5:$B$200,'Source Ledger'!$G$5:$G$200),0),IF(IFERROR(XLOOKUP(D163,'Source Ledger'!$B$5:$B$200,'Source Ledger'!$E$5:$E$200),"")="",IFERROR(XLOOKUP(D163,'Corrected Register'!$A$5:$A$200,'Corrected Register'!$M$5:$M$200),0),ABS(IFERROR(XLOOKUP(D163,'Source Ledger'!$B$5:$B$200,'Source Ledger'!$E$5:$E$200),0)-IFERROR(XLOOKUP(D163,'Corrected Register'!$A$5:$A$200,'Corrected Register'!$M$5:$M$200),0)))),IFERROR(XLOOKUP(D163,'Corrected Register'!$A$5:$A$200,'Corrected Register'!$N$5:$N$200),0))</f>
        <v/>
      </c>
      <c r="H163" s="7" t="inlineStr">
        <is>
          <t>After TR-00126, MD-00126 must show operating site. Current Chicago - Closed blocks clean reporting (EX-0159).</t>
        </is>
      </c>
      <c r="I163" s="7" t="inlineStr">
        <is>
          <t>IT Asset Specialist</t>
        </is>
      </c>
      <c r="J163" s="7" t="inlineStr">
        <is>
          <t>2026-08-19</t>
        </is>
      </c>
      <c r="K163" s="7" t="inlineStr">
        <is>
          <t>Open</t>
        </is>
      </c>
      <c r="L163" s="7" t="inlineStr">
        <is>
          <t>Do not treat Chicago - Closed as current for MD-00126. Cutover left a stale location; TR-00126 points to operating site (EX-0159).</t>
        </is>
      </c>
      <c r="M163" s="7" t="inlineStr">
        <is>
          <t>Requires remediation</t>
        </is>
      </c>
    </row>
    <row r="164">
      <c r="A164" s="7" t="inlineStr">
        <is>
          <t>EX-0160</t>
        </is>
      </c>
      <c r="B164" s="7" t="inlineStr">
        <is>
          <t>Unapproved Transfer</t>
        </is>
      </c>
      <c r="C164" s="11" t="inlineStr">
        <is>
          <t>Medium</t>
        </is>
      </c>
      <c r="D164" s="7" t="inlineStr">
        <is>
          <t>MD-00127</t>
        </is>
      </c>
      <c r="E164" s="7" t="inlineStr">
        <is>
          <t>MD-MO-050127</t>
        </is>
      </c>
      <c r="F164" s="7" t="inlineStr">
        <is>
          <t>Transfer:TR-00127; Approval:missing</t>
        </is>
      </c>
      <c r="G164" s="7">
        <f>IF(B164="Inventory-to-Ledger Difference",IF(IFERROR(XLOOKUP(D164,'Source Ledger'!$B$5:$B$200,'Source Ledger'!$H$5:$H$200),"")="Disposed",IFERROR(XLOOKUP(D164,'Source Ledger'!$B$5:$B$200,'Source Ledger'!$G$5:$G$200),0),IF(IFERROR(XLOOKUP(D164,'Source Ledger'!$B$5:$B$200,'Source Ledger'!$E$5:$E$200),"")="",IFERROR(XLOOKUP(D164,'Corrected Register'!$A$5:$A$200,'Corrected Register'!$M$5:$M$200),0),ABS(IFERROR(XLOOKUP(D164,'Source Ledger'!$B$5:$B$200,'Source Ledger'!$E$5:$E$200),0)-IFERROR(XLOOKUP(D164,'Corrected Register'!$A$5:$A$200,'Corrected Register'!$M$5:$M$200),0)))),IFERROR(XLOOKUP(D164,'Corrected Register'!$A$5:$A$200,'Corrected Register'!$N$5:$N$200),0))</f>
        <v/>
      </c>
      <c r="H164" s="7" t="inlineStr">
        <is>
          <t>Obtain APR on TR-00127 or reverse the move for MD-00127 (EX-0160).</t>
        </is>
      </c>
      <c r="I164" s="7" t="inlineStr">
        <is>
          <t>IT Operations Manager</t>
        </is>
      </c>
      <c r="J164" s="7" t="inlineStr">
        <is>
          <t>2026-08-20</t>
        </is>
      </c>
      <c r="K164" s="7" t="inlineStr">
        <is>
          <t>Open</t>
        </is>
      </c>
      <c r="L164" s="7" t="inlineStr">
        <is>
          <t>TR-00127 for MD-00127 has a blank approval_id in equipment_transfer_log (ITAM-001 §4) — EX-0160.</t>
        </is>
      </c>
      <c r="M164" s="7" t="inlineStr">
        <is>
          <t>Requires remediation</t>
        </is>
      </c>
    </row>
    <row r="165">
      <c r="A165" s="7" t="inlineStr">
        <is>
          <t>EX-0161</t>
        </is>
      </c>
      <c r="B165" s="7" t="inlineStr">
        <is>
          <t>Below Capitalization Threshold</t>
        </is>
      </c>
      <c r="C165" s="8" t="inlineStr">
        <is>
          <t>Low</t>
        </is>
      </c>
      <c r="D165" s="7" t="inlineStr">
        <is>
          <t>MD-00130</t>
        </is>
      </c>
      <c r="E165" s="7" t="inlineStr">
        <is>
          <t>MD-MO-050130</t>
        </is>
      </c>
      <c r="F165" s="7" t="inlineStr">
        <is>
          <t>PO:PO-2023-0023; RegisterCost:700; Policy:ITAM-001 §7 per-asset threshold $2500; PO capitalization_approved does not override under-threshold lines; Ledger absence expected</t>
        </is>
      </c>
      <c r="G165" s="7">
        <f>IF(B165="Inventory-to-Ledger Difference",IF(IFERROR(XLOOKUP(D165,'Source Ledger'!$B$5:$B$200,'Source Ledger'!$H$5:$H$200),"")="Disposed",IFERROR(XLOOKUP(D165,'Source Ledger'!$B$5:$B$200,'Source Ledger'!$G$5:$G$200),0),IF(IFERROR(XLOOKUP(D165,'Source Ledger'!$B$5:$B$200,'Source Ledger'!$E$5:$E$200),"")="",IFERROR(XLOOKUP(D165,'Corrected Register'!$A$5:$A$200,'Corrected Register'!$M$5:$M$200),0),ABS(IFERROR(XLOOKUP(D165,'Source Ledger'!$B$5:$B$200,'Source Ledger'!$E$5:$E$200),0)-IFERROR(XLOOKUP(D165,'Corrected Register'!$A$5:$A$200,'Corrected Register'!$M$5:$M$200),0)))),IFERROR(XLOOKUP(D165,'Corrected Register'!$A$5:$A$200,'Corrected Register'!$N$5:$N$200),0))</f>
        <v/>
      </c>
      <c r="H165" s="7" t="inlineStr">
        <is>
          <t>Informational — MD-00130 under $2,500 gate; no FAR row expected (EX-0161).</t>
        </is>
      </c>
      <c r="I165" s="7" t="inlineStr">
        <is>
          <t>Finance Controller</t>
        </is>
      </c>
      <c r="J165" s="7" t="inlineStr">
        <is>
          <t>2026-08-15</t>
        </is>
      </c>
      <c r="K165" s="7" t="inlineStr">
        <is>
          <t>Open</t>
        </is>
      </c>
      <c r="L165" s="7" t="inlineStr">
        <is>
          <t>MD-00130 acquisition $700 sits under the $2,500 ITAM-001 §7 gate; missing FAR row is expected (EX-0161).</t>
        </is>
      </c>
      <c r="M165" s="12" t="inlineStr">
        <is>
          <t>Informational only</t>
        </is>
      </c>
    </row>
    <row r="166">
      <c r="A166" s="7" t="inlineStr">
        <is>
          <t>EX-0162</t>
        </is>
      </c>
      <c r="B166" s="7" t="inlineStr">
        <is>
          <t>Below Capitalization Threshold</t>
        </is>
      </c>
      <c r="C166" s="8" t="inlineStr">
        <is>
          <t>Low</t>
        </is>
      </c>
      <c r="D166" s="7" t="inlineStr">
        <is>
          <t>MD-00131</t>
        </is>
      </c>
      <c r="E166" s="7" t="inlineStr">
        <is>
          <t>MD-MO-050131</t>
        </is>
      </c>
      <c r="F166" s="7" t="inlineStr">
        <is>
          <t>PO:PO-2023-0023; RegisterCost:1175; Policy:ITAM-001 §7 per-asset threshold $2500; PO capitalization_approved does not override under-threshold lines; Ledger absence expected</t>
        </is>
      </c>
      <c r="G166" s="7">
        <f>IF(B166="Inventory-to-Ledger Difference",IF(IFERROR(XLOOKUP(D166,'Source Ledger'!$B$5:$B$200,'Source Ledger'!$H$5:$H$200),"")="Disposed",IFERROR(XLOOKUP(D166,'Source Ledger'!$B$5:$B$200,'Source Ledger'!$G$5:$G$200),0),IF(IFERROR(XLOOKUP(D166,'Source Ledger'!$B$5:$B$200,'Source Ledger'!$E$5:$E$200),"")="",IFERROR(XLOOKUP(D166,'Corrected Register'!$A$5:$A$200,'Corrected Register'!$M$5:$M$200),0),ABS(IFERROR(XLOOKUP(D166,'Source Ledger'!$B$5:$B$200,'Source Ledger'!$E$5:$E$200),0)-IFERROR(XLOOKUP(D166,'Corrected Register'!$A$5:$A$200,'Corrected Register'!$M$5:$M$200),0)))),IFERROR(XLOOKUP(D166,'Corrected Register'!$A$5:$A$200,'Corrected Register'!$N$5:$N$200),0))</f>
        <v/>
      </c>
      <c r="H166" s="7" t="inlineStr">
        <is>
          <t>Informational — MD-00131 under $2,500 gate; no FAR row expected (EX-0162).</t>
        </is>
      </c>
      <c r="I166" s="7" t="inlineStr">
        <is>
          <t>Finance Controller</t>
        </is>
      </c>
      <c r="J166" s="7" t="inlineStr">
        <is>
          <t>2026-08-15</t>
        </is>
      </c>
      <c r="K166" s="7" t="inlineStr">
        <is>
          <t>Open</t>
        </is>
      </c>
      <c r="L166" s="7" t="inlineStr">
        <is>
          <t>MD-00131 acquisition $1,175 sits under the $2,500 ITAM-001 §7 gate; missing FAR row is expected (EX-0162).</t>
        </is>
      </c>
      <c r="M166" s="12" t="inlineStr">
        <is>
          <t>Informational only</t>
        </is>
      </c>
    </row>
    <row r="167">
      <c r="A167" s="7" t="inlineStr">
        <is>
          <t>EX-0163</t>
        </is>
      </c>
      <c r="B167" s="7" t="inlineStr">
        <is>
          <t>Inventory-to-Ledger Difference</t>
        </is>
      </c>
      <c r="C167" s="8" t="inlineStr">
        <is>
          <t>Critical</t>
        </is>
      </c>
      <c r="D167" s="7" t="inlineStr">
        <is>
          <t>MD-00132</t>
        </is>
      </c>
      <c r="E167" s="7" t="inlineStr">
        <is>
          <t>MD-NE-050132</t>
        </is>
      </c>
      <c r="F167" s="7" t="inlineStr">
        <is>
          <t>PO:PO-2023-0022; RegisterCost:6470.0; Policy:ITAM-001 §7 threshold $2500; capitalization_approved on PO does not excuse missing FA row for qualifying asset; regional note RN-0132 is non-authoritative</t>
        </is>
      </c>
      <c r="G167" s="7">
        <f>IF(B167="Inventory-to-Ledger Difference",IF(IFERROR(XLOOKUP(D167,'Source Ledger'!$B$5:$B$200,'Source Ledger'!$H$5:$H$200),"")="Disposed",IFERROR(XLOOKUP(D167,'Source Ledger'!$B$5:$B$200,'Source Ledger'!$G$5:$G$200),0),IF(IFERROR(XLOOKUP(D167,'Source Ledger'!$B$5:$B$200,'Source Ledger'!$E$5:$E$200),"")="",IFERROR(XLOOKUP(D167,'Corrected Register'!$A$5:$A$200,'Corrected Register'!$M$5:$M$200),0),ABS(IFERROR(XLOOKUP(D167,'Source Ledger'!$B$5:$B$200,'Source Ledger'!$E$5:$E$200),0)-IFERROR(XLOOKUP(D167,'Corrected Register'!$A$5:$A$200,'Corrected Register'!$M$5:$M$200),0)))),IFERROR(XLOOKUP(D167,'Corrected Register'!$A$5:$A$200,'Corrected Register'!$N$5:$N$200),0))</f>
        <v/>
      </c>
      <c r="H167" s="7" t="inlineStr">
        <is>
          <t>Capitalize MD-00132 or obtain approved write-off; reject RN-0132 (EX-0163).</t>
        </is>
      </c>
      <c r="I167" s="7" t="inlineStr">
        <is>
          <t>Finance Controller</t>
        </is>
      </c>
      <c r="J167" s="7" t="inlineStr">
        <is>
          <t>2026-08-15</t>
        </is>
      </c>
      <c r="K167" s="7" t="inlineStr">
        <is>
          <t>Open</t>
        </is>
      </c>
      <c r="L167" s="7" t="inlineStr">
        <is>
          <t>MD-00132 at $6,470 clears the $2,500 capitalization gate with no FA row; RN-0132 under-threshold claim rejected (EX-0163).</t>
        </is>
      </c>
      <c r="M167" s="12" t="inlineStr">
        <is>
          <t>Blocks certification</t>
        </is>
      </c>
    </row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5" customWidth="1" min="1" max="1"/>
    <col width="12" customWidth="1" min="2" max="2"/>
    <col width="27" customWidth="1" min="3" max="3"/>
    <col width="19" customWidth="1" min="4" max="4"/>
    <col width="19" customWidth="1" min="5" max="5"/>
    <col width="19" customWidth="1" min="6" max="6"/>
    <col width="45" customWidth="1" min="7" max="7"/>
    <col width="18" customWidth="1" min="8" max="8"/>
    <col width="45" customWidth="1" min="9" max="9"/>
  </cols>
  <sheetData>
    <row r="1">
      <c r="A1" s="24" t="inlineStr">
        <is>
          <t>Custody Chain - High-Risk and Unresolved Assets</t>
        </is>
      </c>
    </row>
    <row r="2">
      <c r="A2" s="2" t="inlineStr">
        <is>
          <t>Confirmed Fact vs Technician Claim vs Unresolved Assumption. Includes policy figure and dock image leads where applicable.</t>
        </is>
      </c>
    </row>
    <row r="3"/>
    <row r="4">
      <c r="A4" s="25" t="inlineStr">
        <is>
          <t>Asset Tag</t>
        </is>
      </c>
      <c r="B4" s="25" t="inlineStr">
        <is>
          <t>Event Date</t>
        </is>
      </c>
      <c r="C4" s="25" t="inlineStr">
        <is>
          <t>Event Type</t>
        </is>
      </c>
      <c r="D4" s="25" t="inlineStr">
        <is>
          <t>From Party</t>
        </is>
      </c>
      <c r="E4" s="25" t="inlineStr">
        <is>
          <t>To Party</t>
        </is>
      </c>
      <c r="F4" s="25" t="inlineStr">
        <is>
          <t>Location</t>
        </is>
      </c>
      <c r="G4" s="25" t="inlineStr">
        <is>
          <t>Record Reference</t>
        </is>
      </c>
      <c r="H4" s="25" t="inlineStr">
        <is>
          <t>Fact Type</t>
        </is>
      </c>
      <c r="I4" s="25" t="inlineStr">
        <is>
          <t>Detail</t>
        </is>
      </c>
    </row>
    <row r="5">
      <c r="A5" s="7" t="inlineStr">
        <is>
          <t>MD-00017</t>
        </is>
      </c>
      <c r="B5" s="7" t="inlineStr">
        <is>
          <t>2023-06-18</t>
        </is>
      </c>
      <c r="C5" s="7" t="inlineStr">
        <is>
          <t>Purchase</t>
        </is>
      </c>
      <c r="D5" s="7" t="inlineStr">
        <is>
          <t>Vendor</t>
        </is>
      </c>
      <c r="E5" s="7" t="inlineStr">
        <is>
          <t>Central Receiving</t>
        </is>
      </c>
      <c r="F5" s="7" t="inlineStr">
        <is>
          <t>Atlanta Warehouse</t>
        </is>
      </c>
      <c r="G5" s="7" t="inlineStr">
        <is>
          <t>PO-2025-0004</t>
        </is>
      </c>
      <c r="H5" s="7" t="inlineStr">
        <is>
          <t>Confirmed Fact</t>
        </is>
      </c>
      <c r="I5" s="7" t="inlineStr">
        <is>
          <t>Purchasing extract lists PO-2025-0004 covering MD-00017 at $1,985.</t>
        </is>
      </c>
    </row>
    <row r="6">
      <c r="A6" s="7" t="inlineStr">
        <is>
          <t>MD-00017</t>
        </is>
      </c>
      <c r="B6" s="7" t="inlineStr">
        <is>
          <t>2026-08-09</t>
        </is>
      </c>
      <c r="C6" s="7" t="inlineStr">
        <is>
          <t>Policy Control Figure</t>
        </is>
      </c>
      <c r="D6" s="7" t="inlineStr">
        <is>
          <t>ITAM-001</t>
        </is>
      </c>
      <c r="E6" s="7" t="n"/>
      <c r="F6" s="7" t="n"/>
      <c r="G6" s="7" t="inlineStr">
        <is>
          <t>ITAM_control_matrix.png Appendix A</t>
        </is>
      </c>
      <c r="H6" s="7" t="inlineStr">
        <is>
          <t>Confirmed Fact</t>
        </is>
      </c>
      <c r="I6" s="7" t="inlineStr">
        <is>
          <t>Checked ITAM_control_matrix.png while reviewing MD-00017; figure is a control lead only. Kept out of disposition logic.</t>
        </is>
      </c>
    </row>
    <row r="7">
      <c r="A7" s="7" t="inlineStr">
        <is>
          <t>MD-00017</t>
        </is>
      </c>
      <c r="B7" s="7" t="inlineStr">
        <is>
          <t>2026-06-18</t>
        </is>
      </c>
      <c r="C7" s="7" t="inlineStr">
        <is>
          <t>Assignment/Transfer</t>
        </is>
      </c>
      <c r="D7" s="7" t="inlineStr">
        <is>
          <t>Central Receiving</t>
        </is>
      </c>
      <c r="E7" s="7" t="inlineStr">
        <is>
          <t>E0017</t>
        </is>
      </c>
      <c r="F7" s="7" t="inlineStr">
        <is>
          <t>Seattle</t>
        </is>
      </c>
      <c r="G7" s="7" t="inlineStr">
        <is>
          <t>TR-00017</t>
        </is>
      </c>
      <c r="H7" s="7" t="inlineStr">
        <is>
          <t>Confirmed Fact</t>
        </is>
      </c>
      <c r="I7" s="7" t="inlineStr">
        <is>
          <t>TR-00017 is the operative move id for MD-00017.</t>
        </is>
      </c>
    </row>
    <row r="8">
      <c r="A8" s="7" t="inlineStr">
        <is>
          <t>MD-00017</t>
        </is>
      </c>
      <c r="B8" s="7" t="inlineStr">
        <is>
          <t>2026-08-09</t>
        </is>
      </c>
      <c r="C8" s="7" t="inlineStr">
        <is>
          <t>Reconciliation Conclusion</t>
        </is>
      </c>
      <c r="D8" s="7" t="inlineStr">
        <is>
          <t>Evidence review</t>
        </is>
      </c>
      <c r="E8" s="7" t="inlineStr">
        <is>
          <t>E0017</t>
        </is>
      </c>
      <c r="F8" s="7" t="inlineStr">
        <is>
          <t>Seattle</t>
        </is>
      </c>
      <c r="G8" s="7" t="inlineStr">
        <is>
          <t>EX-0001</t>
        </is>
      </c>
      <c r="H8" s="7" t="inlineStr">
        <is>
          <t>Confirmed Fact</t>
        </is>
      </c>
      <c r="I8" s="7" t="inlineStr">
        <is>
          <t>Working end-state for MD-00017: In Use in Seattle. Exceptions: EX-0001.</t>
        </is>
      </c>
    </row>
    <row r="9">
      <c r="A9" s="7" t="inlineStr">
        <is>
          <t>MD-00021</t>
        </is>
      </c>
      <c r="B9" s="7" t="inlineStr">
        <is>
          <t>2023-10-22</t>
        </is>
      </c>
      <c r="C9" s="7" t="inlineStr">
        <is>
          <t>Purchase</t>
        </is>
      </c>
      <c r="D9" s="7" t="inlineStr">
        <is>
          <t>Vendor</t>
        </is>
      </c>
      <c r="E9" s="7" t="inlineStr">
        <is>
          <t>Central Receiving</t>
        </is>
      </c>
      <c r="F9" s="7" t="inlineStr">
        <is>
          <t>Atlanta Warehouse</t>
        </is>
      </c>
      <c r="G9" s="7" t="inlineStr">
        <is>
          <t>PO-2022-0005</t>
        </is>
      </c>
      <c r="H9" s="7" t="inlineStr">
        <is>
          <t>Confirmed Fact</t>
        </is>
      </c>
      <c r="I9" s="7" t="inlineStr">
        <is>
          <t>Inbound purchasing for MD-00021 cited PO-2022-0005 ($1,850).</t>
        </is>
      </c>
    </row>
    <row r="10">
      <c r="A10" s="7" t="inlineStr">
        <is>
          <t>MD-00021</t>
        </is>
      </c>
      <c r="B10" s="7" t="inlineStr">
        <is>
          <t>2026-04-22</t>
        </is>
      </c>
      <c r="C10" s="7" t="inlineStr">
        <is>
          <t>Assignment/Transfer</t>
        </is>
      </c>
      <c r="D10" s="7" t="inlineStr">
        <is>
          <t>Central Receiving</t>
        </is>
      </c>
      <c r="E10" s="7" t="inlineStr">
        <is>
          <t>E0021</t>
        </is>
      </c>
      <c r="F10" s="7" t="inlineStr">
        <is>
          <t>Denver</t>
        </is>
      </c>
      <c r="G10" s="7" t="inlineStr">
        <is>
          <t>TR-00021</t>
        </is>
      </c>
      <c r="H10" s="7" t="inlineStr">
        <is>
          <t>Confirmed Fact</t>
        </is>
      </c>
      <c r="I10" s="7" t="inlineStr">
        <is>
          <t>Transfer file TR-00021 is sufficient assignment evidence for MD-00021.</t>
        </is>
      </c>
    </row>
    <row r="11">
      <c r="A11" s="7" t="inlineStr">
        <is>
          <t>MD-00021</t>
        </is>
      </c>
      <c r="B11" s="7" t="inlineStr">
        <is>
          <t>2026-08-09</t>
        </is>
      </c>
      <c r="C11" s="7" t="inlineStr">
        <is>
          <t>Policy Control Figure</t>
        </is>
      </c>
      <c r="D11" s="7" t="inlineStr">
        <is>
          <t>ITAM-001</t>
        </is>
      </c>
      <c r="E11" s="7" t="inlineStr"/>
      <c r="F11" s="7" t="inlineStr"/>
      <c r="G11" s="7" t="inlineStr">
        <is>
          <t>ITAM_control_matrix.png Appendix A</t>
        </is>
      </c>
      <c r="H11" s="7" t="inlineStr">
        <is>
          <t>Confirmed Fact</t>
        </is>
      </c>
      <c r="I11" s="7" t="inlineStr">
        <is>
          <t>ITAM_control_matrix.png remains a lead beside the MD-00021 chain. No clearance inferred.</t>
        </is>
      </c>
    </row>
    <row r="12">
      <c r="A12" s="7" t="inlineStr">
        <is>
          <t>MD-00021</t>
        </is>
      </c>
      <c r="B12" s="7" t="inlineStr">
        <is>
          <t>2026-08-09</t>
        </is>
      </c>
      <c r="C12" s="7" t="inlineStr">
        <is>
          <t>Reconciliation Conclusion</t>
        </is>
      </c>
      <c r="D12" s="7" t="inlineStr">
        <is>
          <t>Evidence review</t>
        </is>
      </c>
      <c r="E12" s="7" t="inlineStr">
        <is>
          <t>E0021</t>
        </is>
      </c>
      <c r="F12" s="7" t="inlineStr">
        <is>
          <t>Denver</t>
        </is>
      </c>
      <c r="G12" s="7" t="inlineStr">
        <is>
          <t>EX-0002</t>
        </is>
      </c>
      <c r="H12" s="7" t="inlineStr">
        <is>
          <t>Confirmed Fact</t>
        </is>
      </c>
      <c r="I12" s="7" t="inlineStr">
        <is>
          <t>Register outcome on MD-00021: In Use (Denver). See EX-0002.</t>
        </is>
      </c>
    </row>
    <row r="13">
      <c r="A13" s="7" t="inlineStr">
        <is>
          <t>MD-00025</t>
        </is>
      </c>
      <c r="B13" s="7" t="inlineStr">
        <is>
          <t>2023-02-02</t>
        </is>
      </c>
      <c r="C13" s="7" t="inlineStr">
        <is>
          <t>Purchase</t>
        </is>
      </c>
      <c r="D13" s="7" t="inlineStr">
        <is>
          <t>Vendor</t>
        </is>
      </c>
      <c r="E13" s="7" t="inlineStr">
        <is>
          <t>Central Receiving</t>
        </is>
      </c>
      <c r="F13" s="7" t="inlineStr">
        <is>
          <t>Atlanta Warehouse</t>
        </is>
      </c>
      <c r="G13" s="7" t="inlineStr">
        <is>
          <t>PO-2022-0005</t>
        </is>
      </c>
      <c r="H13" s="7" t="inlineStr">
        <is>
          <t>Confirmed Fact</t>
        </is>
      </c>
      <c r="I13" s="7" t="inlineStr">
        <is>
          <t>PO-2022-0005 → MD-00025 / LG UltraFine 27MD5KL, basis $2,030.</t>
        </is>
      </c>
    </row>
    <row r="14">
      <c r="A14" s="7" t="inlineStr">
        <is>
          <t>MD-00025</t>
        </is>
      </c>
      <c r="B14" s="7" t="inlineStr">
        <is>
          <t>2026-02-02</t>
        </is>
      </c>
      <c r="C14" s="7" t="inlineStr">
        <is>
          <t>Assignment/Transfer</t>
        </is>
      </c>
      <c r="D14" s="7" t="inlineStr">
        <is>
          <t>Central Receiving</t>
        </is>
      </c>
      <c r="E14" s="7" t="inlineStr">
        <is>
          <t>E0025</t>
        </is>
      </c>
      <c r="F14" s="7" t="inlineStr">
        <is>
          <t>Chicago</t>
        </is>
      </c>
      <c r="G14" s="7" t="inlineStr">
        <is>
          <t>TR-00025</t>
        </is>
      </c>
      <c r="H14" s="7" t="inlineStr">
        <is>
          <t>Confirmed Fact</t>
        </is>
      </c>
      <c r="I14" s="7" t="inlineStr">
        <is>
          <t>MD-00025 transfer documentation stops at TR-00025; no extra invented legs.</t>
        </is>
      </c>
    </row>
    <row r="15">
      <c r="A15" s="7" t="inlineStr">
        <is>
          <t>MD-00025</t>
        </is>
      </c>
      <c r="B15" s="7" t="inlineStr">
        <is>
          <t>2026-08-05</t>
        </is>
      </c>
      <c r="C15" s="7" t="inlineStr">
        <is>
          <t>Regional IT Note Lead</t>
        </is>
      </c>
      <c r="D15" s="7" t="inlineStr">
        <is>
          <t>Regional IT</t>
        </is>
      </c>
      <c r="E15" s="7" t="inlineStr"/>
      <c r="F15" s="7" t="inlineStr">
        <is>
          <t>Denver - Closed</t>
        </is>
      </c>
      <c r="G15" s="7" t="inlineStr">
        <is>
          <t>regional_IT_notes.docx</t>
        </is>
      </c>
      <c r="H15" s="7" t="inlineStr">
        <is>
          <t>Technician Claim</t>
        </is>
      </c>
      <c r="I15" s="7" t="inlineStr">
        <is>
          <t>Hearsay entry regional_IT_notes.docx retained for MD-00025 investigations only. No register update from this alone.</t>
        </is>
      </c>
    </row>
    <row r="16">
      <c r="A16" s="7" t="inlineStr">
        <is>
          <t>MD-00025</t>
        </is>
      </c>
      <c r="B16" s="7" t="inlineStr">
        <is>
          <t>2026-08-09</t>
        </is>
      </c>
      <c r="C16" s="7" t="inlineStr">
        <is>
          <t>Policy Control Figure</t>
        </is>
      </c>
      <c r="D16" s="7" t="inlineStr">
        <is>
          <t>ITAM-001</t>
        </is>
      </c>
      <c r="E16" s="7" t="inlineStr"/>
      <c r="F16" s="7" t="inlineStr"/>
      <c r="G16" s="7" t="inlineStr">
        <is>
          <t>IT_asset_management_policy.pdf</t>
        </is>
      </c>
      <c r="H16" s="7" t="inlineStr">
        <is>
          <t>Confirmed Fact</t>
        </is>
      </c>
      <c r="I16" s="7" t="inlineStr">
        <is>
          <t>Figure consulted for MD-00025 under ITAM-001 evidence tiers; marked lead-only. Returned to source files next.</t>
        </is>
      </c>
    </row>
    <row r="17">
      <c r="A17" s="7" t="inlineStr">
        <is>
          <t>MD-00025</t>
        </is>
      </c>
      <c r="B17" s="7" t="inlineStr">
        <is>
          <t>2026-08-09</t>
        </is>
      </c>
      <c r="C17" s="7" t="inlineStr">
        <is>
          <t>Reconciliation Conclusion</t>
        </is>
      </c>
      <c r="D17" s="7" t="inlineStr">
        <is>
          <t>Evidence review</t>
        </is>
      </c>
      <c r="E17" s="7" t="inlineStr">
        <is>
          <t>E0025</t>
        </is>
      </c>
      <c r="F17" s="7" t="inlineStr">
        <is>
          <t>Chicago</t>
        </is>
      </c>
      <c r="G17" s="7" t="inlineStr">
        <is>
          <t>EX-0003, EX-0004</t>
        </is>
      </c>
      <c r="H17" s="7" t="inlineStr">
        <is>
          <t>Confirmed Fact</t>
        </is>
      </c>
      <c r="I17" s="7" t="inlineStr">
        <is>
          <t>Working end-state for MD-00025: In Use in Chicago. Exceptions: EX-0003, EX-0004.</t>
        </is>
      </c>
    </row>
    <row r="18">
      <c r="A18" s="7" t="inlineStr">
        <is>
          <t>MD-00034</t>
        </is>
      </c>
      <c r="B18" s="7" t="inlineStr">
        <is>
          <t>2024-11-11</t>
        </is>
      </c>
      <c r="C18" s="7" t="inlineStr">
        <is>
          <t>Purchase</t>
        </is>
      </c>
      <c r="D18" s="7" t="inlineStr">
        <is>
          <t>Vendor</t>
        </is>
      </c>
      <c r="E18" s="7" t="inlineStr">
        <is>
          <t>Central Receiving</t>
        </is>
      </c>
      <c r="F18" s="7" t="inlineStr">
        <is>
          <t>Atlanta Warehouse</t>
        </is>
      </c>
      <c r="G18" s="7" t="inlineStr">
        <is>
          <t>PO-2024-0007</t>
        </is>
      </c>
      <c r="H18" s="7" t="inlineStr">
        <is>
          <t>Confirmed Fact</t>
        </is>
      </c>
      <c r="I18" s="7" t="inlineStr">
        <is>
          <t>MD-00034 enters inventory via PO-2024-0007; model LG UltraFine 27MD5KL.</t>
        </is>
      </c>
    </row>
    <row r="19">
      <c r="A19" s="7" t="inlineStr">
        <is>
          <t>MD-00034</t>
        </is>
      </c>
      <c r="B19" s="7" t="inlineStr">
        <is>
          <t>2026-05-11</t>
        </is>
      </c>
      <c r="C19" s="7" t="inlineStr">
        <is>
          <t>Assignment/Transfer</t>
        </is>
      </c>
      <c r="D19" s="7" t="inlineStr">
        <is>
          <t>Central Receiving</t>
        </is>
      </c>
      <c r="E19" s="7" t="inlineStr">
        <is>
          <t>E0034</t>
        </is>
      </c>
      <c r="F19" s="7" t="inlineStr">
        <is>
          <t>New York</t>
        </is>
      </c>
      <c r="G19" s="7" t="inlineStr">
        <is>
          <t>TR-00034</t>
        </is>
      </c>
      <c r="H19" s="7" t="inlineStr">
        <is>
          <t>Confirmed Fact</t>
        </is>
      </c>
      <c r="I19" s="7" t="inlineStr">
        <is>
          <t>Custody movement for MD-00034 summarized from TR-00034.</t>
        </is>
      </c>
    </row>
    <row r="20">
      <c r="A20" s="7" t="inlineStr">
        <is>
          <t>MD-00034</t>
        </is>
      </c>
      <c r="B20" s="7" t="inlineStr">
        <is>
          <t>2026-08-05</t>
        </is>
      </c>
      <c r="C20" s="7" t="inlineStr">
        <is>
          <t>Regional IT Note Lead</t>
        </is>
      </c>
      <c r="D20" s="7" t="inlineStr">
        <is>
          <t>Regional IT</t>
        </is>
      </c>
      <c r="E20" s="7" t="inlineStr"/>
      <c r="F20" s="7" t="inlineStr">
        <is>
          <t>Chicago - Closed</t>
        </is>
      </c>
      <c r="G20" s="7" t="inlineStr">
        <is>
          <t>regional_IT_notes.docx</t>
        </is>
      </c>
      <c r="H20" s="7" t="inlineStr">
        <is>
          <t>Technician Claim</t>
        </is>
      </c>
      <c r="I20" s="7" t="inlineStr">
        <is>
          <t>Regional IT chatter on MD-00034 filed as regional_IT_notes.docx (lead only). No register update from this alone.</t>
        </is>
      </c>
    </row>
    <row r="21">
      <c r="A21" s="7" t="inlineStr">
        <is>
          <t>MD-00034</t>
        </is>
      </c>
      <c r="B21" s="7" t="inlineStr">
        <is>
          <t>2026-08-09</t>
        </is>
      </c>
      <c r="C21" s="7" t="inlineStr">
        <is>
          <t>Policy Control Figure</t>
        </is>
      </c>
      <c r="D21" s="7" t="inlineStr">
        <is>
          <t>ITAM-001</t>
        </is>
      </c>
      <c r="E21" s="7" t="inlineStr"/>
      <c r="F21" s="7" t="inlineStr"/>
      <c r="G21" s="7" t="inlineStr">
        <is>
          <t>IT_asset_management_policy.pdf</t>
        </is>
      </c>
      <c r="H21" s="7" t="inlineStr">
        <is>
          <t>Confirmed Fact</t>
        </is>
      </c>
      <c r="I21" s="7" t="inlineStr">
        <is>
          <t>Lead-only mark applied to the policy PNG entry for MD-00034. Returned to source files next.</t>
        </is>
      </c>
    </row>
    <row r="22">
      <c r="A22" s="7" t="inlineStr">
        <is>
          <t>MD-00034</t>
        </is>
      </c>
      <c r="B22" s="7" t="inlineStr">
        <is>
          <t>2026-08-09</t>
        </is>
      </c>
      <c r="C22" s="7" t="inlineStr">
        <is>
          <t>Reconciliation Conclusion</t>
        </is>
      </c>
      <c r="D22" s="7" t="inlineStr">
        <is>
          <t>Evidence review</t>
        </is>
      </c>
      <c r="E22" s="7" t="inlineStr">
        <is>
          <t>E0034</t>
        </is>
      </c>
      <c r="F22" s="7" t="inlineStr">
        <is>
          <t>New York</t>
        </is>
      </c>
      <c r="G22" s="7" t="inlineStr">
        <is>
          <t>EX-0013, EX-0014</t>
        </is>
      </c>
      <c r="H22" s="7" t="inlineStr">
        <is>
          <t>Confirmed Fact</t>
        </is>
      </c>
      <c r="I22" s="7" t="inlineStr">
        <is>
          <t>Chain closed on MD-00034 with operational reading In Use. Linked EX-0013, EX-0014.</t>
        </is>
      </c>
    </row>
    <row r="23">
      <c r="A23" s="7" t="inlineStr">
        <is>
          <t>MD-00051</t>
        </is>
      </c>
      <c r="B23" s="7" t="inlineStr">
        <is>
          <t>2025-04-04</t>
        </is>
      </c>
      <c r="C23" s="7" t="inlineStr">
        <is>
          <t>Purchase</t>
        </is>
      </c>
      <c r="D23" s="7" t="inlineStr">
        <is>
          <t>Vendor</t>
        </is>
      </c>
      <c r="E23" s="7" t="inlineStr">
        <is>
          <t>Central Receiving</t>
        </is>
      </c>
      <c r="F23" s="7" t="inlineStr">
        <is>
          <t>Atlanta Warehouse</t>
        </is>
      </c>
      <c r="G23" s="7" t="inlineStr">
        <is>
          <t>PO-2023-0010</t>
        </is>
      </c>
      <c r="H23" s="7" t="inlineStr">
        <is>
          <t>Confirmed Fact</t>
        </is>
      </c>
      <c r="I23" s="7" t="inlineStr">
        <is>
          <t>Bought MD-00051 (Samsung Galaxy S24) on PO-2023-0010 for $1,040.</t>
        </is>
      </c>
    </row>
    <row r="24">
      <c r="A24" s="7" t="inlineStr">
        <is>
          <t>MD-00051</t>
        </is>
      </c>
      <c r="B24" s="7" t="inlineStr">
        <is>
          <t>2026-04-04</t>
        </is>
      </c>
      <c r="C24" s="7" t="inlineStr">
        <is>
          <t>Assignment/Transfer</t>
        </is>
      </c>
      <c r="D24" s="7" t="inlineStr">
        <is>
          <t>Central Receiving</t>
        </is>
      </c>
      <c r="E24" s="7" t="inlineStr">
        <is>
          <t>IT Stock</t>
        </is>
      </c>
      <c r="F24" s="7" t="inlineStr">
        <is>
          <t>Denver</t>
        </is>
      </c>
      <c r="G24" s="7" t="inlineStr">
        <is>
          <t>TR-00051</t>
        </is>
      </c>
      <c r="H24" s="7" t="inlineStr">
        <is>
          <t>Confirmed Fact</t>
        </is>
      </c>
      <c r="I24" s="7" t="inlineStr">
        <is>
          <t>MD-00051 transfer documentation stops at TR-00051; no extra invented legs [t24-1].</t>
        </is>
      </c>
    </row>
    <row r="25">
      <c r="A25" s="7" t="inlineStr">
        <is>
          <t>MD-00051</t>
        </is>
      </c>
      <c r="B25" s="7" t="inlineStr">
        <is>
          <t>2026-08-05</t>
        </is>
      </c>
      <c r="C25" s="7" t="inlineStr">
        <is>
          <t>Regional IT Note Lead</t>
        </is>
      </c>
      <c r="D25" s="7" t="inlineStr">
        <is>
          <t>Regional IT</t>
        </is>
      </c>
      <c r="E25" s="7" t="inlineStr"/>
      <c r="F25" s="7" t="inlineStr">
        <is>
          <t>Denver - Closed</t>
        </is>
      </c>
      <c r="G25" s="7" t="inlineStr">
        <is>
          <t>regional_IT_notes.docx</t>
        </is>
      </c>
      <c r="H25" s="7" t="inlineStr">
        <is>
          <t>Technician Claim</t>
        </is>
      </c>
      <c r="I25" s="7" t="inlineStr">
        <is>
          <t>Captured regional_IT_notes.docx against MD-00051 as a non-authoritative lead. Follow-up only.</t>
        </is>
      </c>
    </row>
    <row r="26">
      <c r="A26" s="7" t="inlineStr">
        <is>
          <t>MD-00051</t>
        </is>
      </c>
      <c r="B26" s="7" t="inlineStr">
        <is>
          <t>2026-08-09</t>
        </is>
      </c>
      <c r="C26" s="7" t="inlineStr">
        <is>
          <t>Policy Control Figure</t>
        </is>
      </c>
      <c r="D26" s="7" t="inlineStr">
        <is>
          <t>ITAM-001</t>
        </is>
      </c>
      <c r="E26" s="7" t="inlineStr"/>
      <c r="F26" s="7" t="inlineStr"/>
      <c r="G26" s="7" t="inlineStr">
        <is>
          <t>IT_asset_management_policy.pdf §§4–9; ITAM_control_matrix.png</t>
        </is>
      </c>
      <c r="H26" s="7" t="inlineStr">
        <is>
          <t>Confirmed Fact</t>
        </is>
      </c>
      <c r="I26" s="7" t="inlineStr">
        <is>
          <t>Saw ITAM_control_matrix.png in the MD-00051 working set; kept it marked as a lead. Evidence tier reminder only.</t>
        </is>
      </c>
    </row>
    <row r="27">
      <c r="A27" s="7" t="inlineStr">
        <is>
          <t>MD-00051</t>
        </is>
      </c>
      <c r="B27" s="7" t="inlineStr">
        <is>
          <t>2026-08-09</t>
        </is>
      </c>
      <c r="C27" s="7" t="inlineStr">
        <is>
          <t>Reconciliation Conclusion</t>
        </is>
      </c>
      <c r="D27" s="7" t="inlineStr">
        <is>
          <t>Evidence review</t>
        </is>
      </c>
      <c r="E27" s="7" t="inlineStr">
        <is>
          <t>IT Stock</t>
        </is>
      </c>
      <c r="F27" s="7" t="inlineStr">
        <is>
          <t>Denver</t>
        </is>
      </c>
      <c r="G27" s="7" t="inlineStr">
        <is>
          <t>EX-0031, EX-0032</t>
        </is>
      </c>
      <c r="H27" s="7" t="inlineStr">
        <is>
          <t>Confirmed Fact</t>
        </is>
      </c>
      <c r="I27" s="7" t="inlineStr">
        <is>
          <t>Register outcome on MD-00051: Available (Denver). See EX-0031, EX-0032.</t>
        </is>
      </c>
    </row>
    <row r="28">
      <c r="A28" s="7" t="inlineStr">
        <is>
          <t>MD-00058</t>
        </is>
      </c>
      <c r="B28" s="7" t="inlineStr">
        <is>
          <t>2024-11-11</t>
        </is>
      </c>
      <c r="C28" s="7" t="inlineStr">
        <is>
          <t>Purchase</t>
        </is>
      </c>
      <c r="D28" s="7" t="inlineStr">
        <is>
          <t>Vendor</t>
        </is>
      </c>
      <c r="E28" s="7" t="inlineStr">
        <is>
          <t>Central Receiving</t>
        </is>
      </c>
      <c r="F28" s="7" t="inlineStr">
        <is>
          <t>Atlanta Warehouse</t>
        </is>
      </c>
      <c r="G28" s="7" t="inlineStr">
        <is>
          <t>PO-2024-0011</t>
        </is>
      </c>
      <c r="H28" s="7" t="inlineStr">
        <is>
          <t>Confirmed Fact</t>
        </is>
      </c>
      <c r="I28" s="7" t="inlineStr">
        <is>
          <t>MD-00058 enters inventory via PO-2024-0011; model Google Pixel 8.</t>
        </is>
      </c>
    </row>
    <row r="29">
      <c r="A29" s="7" t="inlineStr">
        <is>
          <t>MD-00058</t>
        </is>
      </c>
      <c r="B29" s="7" t="inlineStr">
        <is>
          <t>2026-05-11</t>
        </is>
      </c>
      <c r="C29" s="7" t="inlineStr">
        <is>
          <t>Assignment/Transfer</t>
        </is>
      </c>
      <c r="D29" s="7" t="inlineStr">
        <is>
          <t>Central Receiving</t>
        </is>
      </c>
      <c r="E29" s="7" t="inlineStr">
        <is>
          <t>Regional IT</t>
        </is>
      </c>
      <c r="F29" s="7" t="inlineStr">
        <is>
          <t>New York</t>
        </is>
      </c>
      <c r="G29" s="7" t="inlineStr">
        <is>
          <t>TR-00058</t>
        </is>
      </c>
      <c r="H29" s="7" t="inlineStr">
        <is>
          <t>Unresolved Assumption</t>
        </is>
      </c>
      <c r="I29" s="7" t="inlineStr">
        <is>
          <t>Transfer TR-00058 relocates MD-00058 toward New York.</t>
        </is>
      </c>
    </row>
    <row r="30">
      <c r="A30" s="7" t="inlineStr">
        <is>
          <t>MD-00058</t>
        </is>
      </c>
      <c r="B30" s="7" t="inlineStr">
        <is>
          <t>2026-05-24</t>
        </is>
      </c>
      <c r="C30" s="7" t="inlineStr">
        <is>
          <t>Offboarding Ticket</t>
        </is>
      </c>
      <c r="D30" s="7" t="inlineStr">
        <is>
          <t>E0071</t>
        </is>
      </c>
      <c r="E30" s="7" t="inlineStr">
        <is>
          <t>IT Service Desk</t>
        </is>
      </c>
      <c r="F30" s="7" t="inlineStr"/>
      <c r="G30" s="7" t="inlineStr">
        <is>
          <t>OFF-00058</t>
        </is>
      </c>
      <c r="H30" s="7" t="inlineStr">
        <is>
          <t>Technician Claim</t>
        </is>
      </c>
      <c r="I30" s="7" t="inlineStr">
        <is>
          <t>HR/IT offboarding OFF-00058 lists MD-00058; verify register custodian matches ticket closeout.</t>
        </is>
      </c>
    </row>
    <row r="31">
      <c r="A31" s="7" t="inlineStr">
        <is>
          <t>MD-00058</t>
        </is>
      </c>
      <c r="B31" s="7" t="inlineStr">
        <is>
          <t>2026-05-24</t>
        </is>
      </c>
      <c r="C31" s="7" t="inlineStr">
        <is>
          <t>Technician Comment</t>
        </is>
      </c>
      <c r="D31" s="7" t="inlineStr">
        <is>
          <t>Service Desk</t>
        </is>
      </c>
      <c r="E31" s="7" t="inlineStr"/>
      <c r="F31" s="7" t="inlineStr"/>
      <c r="G31" s="7" t="inlineStr">
        <is>
          <t>OFF-00058</t>
        </is>
      </c>
      <c r="H31" s="7" t="inlineStr">
        <is>
          <t>Technician Claim</t>
        </is>
      </c>
      <c r="I31" s="7" t="inlineStr">
        <is>
          <t>Unverified tech comment OFF-00058 linked to MD-00058.</t>
        </is>
      </c>
    </row>
    <row r="32">
      <c r="A32" s="7" t="inlineStr">
        <is>
          <t>MD-00058</t>
        </is>
      </c>
      <c r="B32" s="7" t="inlineStr">
        <is>
          <t>2026-08-05</t>
        </is>
      </c>
      <c r="C32" s="7" t="inlineStr">
        <is>
          <t>Regional IT Note Lead</t>
        </is>
      </c>
      <c r="D32" s="7" t="inlineStr">
        <is>
          <t>Regional IT</t>
        </is>
      </c>
      <c r="E32" s="7" t="inlineStr"/>
      <c r="F32" s="7" t="inlineStr">
        <is>
          <t>Chicago - Closed</t>
        </is>
      </c>
      <c r="G32" s="7" t="inlineStr">
        <is>
          <t>regional_IT_notes.docx</t>
        </is>
      </c>
      <c r="H32" s="7" t="inlineStr">
        <is>
          <t>Technician Claim</t>
        </is>
      </c>
      <c r="I32" s="7" t="inlineStr">
        <is>
          <t>Regional IT chatter on MD-00058 filed as regional_IT_notes.docx (lead only). No register update from this alone.</t>
        </is>
      </c>
    </row>
    <row r="33">
      <c r="A33" s="7" t="inlineStr">
        <is>
          <t>MD-00058</t>
        </is>
      </c>
      <c r="B33" s="7" t="inlineStr">
        <is>
          <t>2026-08-09</t>
        </is>
      </c>
      <c r="C33" s="7" t="inlineStr">
        <is>
          <t>Policy Control Figure</t>
        </is>
      </c>
      <c r="D33" s="7" t="inlineStr">
        <is>
          <t>ITAM-001</t>
        </is>
      </c>
      <c r="E33" s="7" t="inlineStr"/>
      <c r="F33" s="7" t="inlineStr"/>
      <c r="G33" s="7" t="inlineStr">
        <is>
          <t>ITAM_control_matrix.png; IT_asset_management_policy.pdf</t>
        </is>
      </c>
      <c r="H33" s="7" t="inlineStr">
        <is>
          <t>Confirmed Fact</t>
        </is>
      </c>
      <c r="I33" s="7" t="inlineStr">
        <is>
          <t>Figure review for MD-00058 finished before any disposition language was written. Left as orientation.</t>
        </is>
      </c>
    </row>
    <row r="34">
      <c r="A34" s="7" t="inlineStr">
        <is>
          <t>MD-00058</t>
        </is>
      </c>
      <c r="B34" s="7" t="inlineStr">
        <is>
          <t>2026-08-09</t>
        </is>
      </c>
      <c r="C34" s="7" t="inlineStr">
        <is>
          <t>Reconciliation Conclusion</t>
        </is>
      </c>
      <c r="D34" s="7" t="inlineStr">
        <is>
          <t>Evidence review</t>
        </is>
      </c>
      <c r="E34" s="7" t="inlineStr">
        <is>
          <t>Regional IT</t>
        </is>
      </c>
      <c r="F34" s="7" t="inlineStr">
        <is>
          <t>New York</t>
        </is>
      </c>
      <c r="G34" s="7" t="inlineStr">
        <is>
          <t>EX-0039, EX-0040, EX-0041</t>
        </is>
      </c>
      <c r="H34" s="7" t="inlineStr">
        <is>
          <t>Confirmed Fact</t>
        </is>
      </c>
      <c r="I34" s="7" t="inlineStr">
        <is>
          <t>Closed the chain for MD-00058 at New York with status Pending Redeployment. Flags EX-0039, EX-0040, EX-0041.</t>
        </is>
      </c>
    </row>
    <row r="35">
      <c r="A35" s="7" t="inlineStr">
        <is>
          <t>MD-00059</t>
        </is>
      </c>
      <c r="B35" s="7" t="inlineStr">
        <is>
          <t>2025-12-12</t>
        </is>
      </c>
      <c r="C35" s="7" t="inlineStr">
        <is>
          <t>Purchase</t>
        </is>
      </c>
      <c r="D35" s="7" t="inlineStr">
        <is>
          <t>Vendor</t>
        </is>
      </c>
      <c r="E35" s="7" t="inlineStr">
        <is>
          <t>Central Receiving</t>
        </is>
      </c>
      <c r="F35" s="7" t="inlineStr">
        <is>
          <t>Atlanta Warehouse</t>
        </is>
      </c>
      <c r="G35" s="7" t="inlineStr">
        <is>
          <t>PO-2024-0011</t>
        </is>
      </c>
      <c r="H35" s="7" t="inlineStr">
        <is>
          <t>Confirmed Fact</t>
        </is>
      </c>
      <c r="I35" s="7" t="inlineStr">
        <is>
          <t>Buy recorded for MD-00059 under PO-2024-0011; Samsung Galaxy S23 FE received into inventory.</t>
        </is>
      </c>
    </row>
    <row r="36">
      <c r="A36" s="7" t="inlineStr">
        <is>
          <t>MD-00059</t>
        </is>
      </c>
      <c r="B36" s="7" t="inlineStr">
        <is>
          <t>2026-06-12</t>
        </is>
      </c>
      <c r="C36" s="7" t="inlineStr">
        <is>
          <t>Assignment/Transfer</t>
        </is>
      </c>
      <c r="D36" s="7" t="inlineStr">
        <is>
          <t>Central Receiving</t>
        </is>
      </c>
      <c r="E36" s="7" t="inlineStr">
        <is>
          <t>Regional IT</t>
        </is>
      </c>
      <c r="F36" s="7" t="inlineStr">
        <is>
          <t>Seattle</t>
        </is>
      </c>
      <c r="G36" s="7" t="inlineStr">
        <is>
          <t>TR-00059</t>
        </is>
      </c>
      <c r="H36" s="7" t="inlineStr">
        <is>
          <t>Unresolved Assumption</t>
        </is>
      </c>
      <c r="I36" s="7" t="inlineStr">
        <is>
          <t>Operational transfer TR-00059 applied to MD-00059.</t>
        </is>
      </c>
    </row>
    <row r="37">
      <c r="A37" s="7" t="inlineStr">
        <is>
          <t>MD-00059</t>
        </is>
      </c>
      <c r="B37" s="7" t="inlineStr">
        <is>
          <t>2026-06-01</t>
        </is>
      </c>
      <c r="C37" s="7" t="inlineStr">
        <is>
          <t>Offboarding Ticket</t>
        </is>
      </c>
      <c r="D37" s="7" t="inlineStr">
        <is>
          <t>E0072</t>
        </is>
      </c>
      <c r="E37" s="7" t="inlineStr">
        <is>
          <t>IT Service Desk</t>
        </is>
      </c>
      <c r="F37" s="7" t="inlineStr"/>
      <c r="G37" s="7" t="inlineStr">
        <is>
          <t>OFF-00059</t>
        </is>
      </c>
      <c r="H37" s="7" t="inlineStr">
        <is>
          <t>Technician Claim</t>
        </is>
      </c>
      <c r="I37" s="7" t="inlineStr">
        <is>
          <t>MD-00059 appears on offboarding OFF-00059; confirm register update.</t>
        </is>
      </c>
    </row>
    <row r="38">
      <c r="A38" s="7" t="inlineStr">
        <is>
          <t>MD-00059</t>
        </is>
      </c>
      <c r="B38" s="7" t="inlineStr">
        <is>
          <t>2026-06-01</t>
        </is>
      </c>
      <c r="C38" s="7" t="inlineStr">
        <is>
          <t>Technician Comment</t>
        </is>
      </c>
      <c r="D38" s="7" t="inlineStr">
        <is>
          <t>Service Desk</t>
        </is>
      </c>
      <c r="E38" s="7" t="inlineStr"/>
      <c r="F38" s="7" t="inlineStr"/>
      <c r="G38" s="7" t="inlineStr">
        <is>
          <t>OFF-00059</t>
        </is>
      </c>
      <c r="H38" s="7" t="inlineStr">
        <is>
          <t>Technician Claim</t>
        </is>
      </c>
      <c r="I38" s="7" t="inlineStr">
        <is>
          <t>Unverified tech comment OFF-00059 linked to MD-00059.</t>
        </is>
      </c>
    </row>
    <row r="39">
      <c r="A39" s="7" t="inlineStr">
        <is>
          <t>MD-00059</t>
        </is>
      </c>
      <c r="B39" s="7" t="inlineStr">
        <is>
          <t>2026-08-05</t>
        </is>
      </c>
      <c r="C39" s="7" t="inlineStr">
        <is>
          <t>Regional IT Note Lead</t>
        </is>
      </c>
      <c r="D39" s="7" t="inlineStr">
        <is>
          <t>Regional IT</t>
        </is>
      </c>
      <c r="E39" s="7" t="inlineStr"/>
      <c r="F39" s="7" t="inlineStr">
        <is>
          <t>Denver - Closed</t>
        </is>
      </c>
      <c r="G39" s="7" t="inlineStr">
        <is>
          <t>regional_IT_notes.docx</t>
        </is>
      </c>
      <c r="H39" s="7" t="inlineStr">
        <is>
          <t>Technician Claim</t>
        </is>
      </c>
      <c r="I39" s="7" t="inlineStr">
        <is>
          <t>Lead-only regional entry regional_IT_notes.docx associated to MD-00059. Requires independent find.</t>
        </is>
      </c>
    </row>
    <row r="40">
      <c r="A40" s="7" t="inlineStr">
        <is>
          <t>MD-00059</t>
        </is>
      </c>
      <c r="B40" s="7" t="inlineStr">
        <is>
          <t>2026-08-09</t>
        </is>
      </c>
      <c r="C40" s="7" t="inlineStr">
        <is>
          <t>Policy Control Figure</t>
        </is>
      </c>
      <c r="D40" s="7" t="inlineStr">
        <is>
          <t>ITAM-001</t>
        </is>
      </c>
      <c r="E40" s="7" t="inlineStr"/>
      <c r="F40" s="7" t="inlineStr"/>
      <c r="G40" s="7" t="inlineStr">
        <is>
          <t>ITAM_control_matrix.png Appendix A</t>
        </is>
      </c>
      <c r="H40" s="7" t="inlineStr">
        <is>
          <t>Confirmed Fact</t>
        </is>
      </c>
      <c r="I40" s="7" t="inlineStr">
        <is>
          <t>No serial, location, or custodian fact for MD-00059 taken from the policy figure. Logged as multimodal lead.</t>
        </is>
      </c>
    </row>
    <row r="41">
      <c r="A41" s="7" t="inlineStr">
        <is>
          <t>MD-00059</t>
        </is>
      </c>
      <c r="B41" s="7" t="inlineStr">
        <is>
          <t>2026-08-09</t>
        </is>
      </c>
      <c r="C41" s="7" t="inlineStr">
        <is>
          <t>Reconciliation Conclusion</t>
        </is>
      </c>
      <c r="D41" s="7" t="inlineStr">
        <is>
          <t>Evidence review</t>
        </is>
      </c>
      <c r="E41" s="7" t="inlineStr">
        <is>
          <t>Regional IT</t>
        </is>
      </c>
      <c r="F41" s="7" t="inlineStr">
        <is>
          <t>Seattle</t>
        </is>
      </c>
      <c r="G41" s="7" t="inlineStr">
        <is>
          <t>EX-0042, EX-0043, EX-0044</t>
        </is>
      </c>
      <c r="H41" s="7" t="inlineStr">
        <is>
          <t>Confirmed Fact</t>
        </is>
      </c>
      <c r="I41" s="7" t="inlineStr">
        <is>
          <t>Chain closed on MD-00059 with operational reading Pending Redeployment. Linked EX-0042, EX-0043, EX-0044.</t>
        </is>
      </c>
    </row>
    <row r="42">
      <c r="A42" s="7" t="inlineStr">
        <is>
          <t>MD-00060</t>
        </is>
      </c>
      <c r="B42" s="7" t="inlineStr">
        <is>
          <t>2022-01-13</t>
        </is>
      </c>
      <c r="C42" s="7" t="inlineStr">
        <is>
          <t>Purchase</t>
        </is>
      </c>
      <c r="D42" s="7" t="inlineStr">
        <is>
          <t>Vendor</t>
        </is>
      </c>
      <c r="E42" s="7" t="inlineStr">
        <is>
          <t>Central Receiving</t>
        </is>
      </c>
      <c r="F42" s="7" t="inlineStr">
        <is>
          <t>Atlanta Warehouse</t>
        </is>
      </c>
      <c r="G42" s="7" t="inlineStr">
        <is>
          <t>PO-2024-0011</t>
        </is>
      </c>
      <c r="H42" s="7" t="inlineStr">
        <is>
          <t>Confirmed Fact</t>
        </is>
      </c>
      <c r="I42" s="7" t="inlineStr">
        <is>
          <t>Vendor fulfillment on PO-2024-0011 put MD-00060 on the books (Samsung Galaxy S24).</t>
        </is>
      </c>
    </row>
    <row r="43">
      <c r="A43" s="7" t="inlineStr">
        <is>
          <t>MD-00060</t>
        </is>
      </c>
      <c r="B43" s="7" t="inlineStr">
        <is>
          <t>2026-01-13</t>
        </is>
      </c>
      <c r="C43" s="7" t="inlineStr">
        <is>
          <t>Assignment/Transfer</t>
        </is>
      </c>
      <c r="D43" s="7" t="inlineStr">
        <is>
          <t>Central Receiving</t>
        </is>
      </c>
      <c r="E43" s="7" t="inlineStr">
        <is>
          <t>Regional IT</t>
        </is>
      </c>
      <c r="F43" s="7" t="inlineStr">
        <is>
          <t>Atlanta</t>
        </is>
      </c>
      <c r="G43" s="7" t="inlineStr">
        <is>
          <t>TR-00060</t>
        </is>
      </c>
      <c r="H43" s="7" t="inlineStr">
        <is>
          <t>Confirmed Fact</t>
        </is>
      </c>
      <c r="I43" s="7" t="inlineStr">
        <is>
          <t>Transfer TR-00060 listed against MD-00060 with site Atlanta.</t>
        </is>
      </c>
    </row>
    <row r="44">
      <c r="A44" s="7" t="inlineStr">
        <is>
          <t>MD-00060</t>
        </is>
      </c>
      <c r="B44" s="7" t="inlineStr">
        <is>
          <t>2026-05-02</t>
        </is>
      </c>
      <c r="C44" s="7" t="inlineStr">
        <is>
          <t>Offboarding Ticket</t>
        </is>
      </c>
      <c r="D44" s="7" t="inlineStr">
        <is>
          <t>E0073</t>
        </is>
      </c>
      <c r="E44" s="7" t="inlineStr">
        <is>
          <t>IT Service Desk</t>
        </is>
      </c>
      <c r="F44" s="7" t="inlineStr"/>
      <c r="G44" s="7" t="inlineStr">
        <is>
          <t>OFF-00060</t>
        </is>
      </c>
      <c r="H44" s="7" t="inlineStr">
        <is>
          <t>Technician Claim</t>
        </is>
      </c>
      <c r="I44" s="7" t="inlineStr">
        <is>
          <t>Ticket OFF-00060 is the offboarding spine for MD-00060.</t>
        </is>
      </c>
    </row>
    <row r="45">
      <c r="A45" s="7" t="inlineStr">
        <is>
          <t>MD-00060</t>
        </is>
      </c>
      <c r="B45" s="7" t="inlineStr">
        <is>
          <t>2026-05-02</t>
        </is>
      </c>
      <c r="C45" s="7" t="inlineStr">
        <is>
          <t>Technician Comment</t>
        </is>
      </c>
      <c r="D45" s="7" t="inlineStr">
        <is>
          <t>Service Desk</t>
        </is>
      </c>
      <c r="E45" s="7" t="inlineStr"/>
      <c r="F45" s="7" t="inlineStr"/>
      <c r="G45" s="7" t="inlineStr">
        <is>
          <t>OFF-00060</t>
        </is>
      </c>
      <c r="H45" s="7" t="inlineStr">
        <is>
          <t>Technician Claim</t>
        </is>
      </c>
      <c r="I45" s="7" t="inlineStr">
        <is>
          <t>Tech remark filed against MD-00060 under OFF-00060.</t>
        </is>
      </c>
    </row>
    <row r="46">
      <c r="A46" s="7" t="inlineStr">
        <is>
          <t>MD-00060</t>
        </is>
      </c>
      <c r="B46" s="7" t="inlineStr">
        <is>
          <t>2026-08-05</t>
        </is>
      </c>
      <c r="C46" s="7" t="inlineStr">
        <is>
          <t>Regional IT Note Lead</t>
        </is>
      </c>
      <c r="D46" s="7" t="inlineStr">
        <is>
          <t>Regional IT</t>
        </is>
      </c>
      <c r="E46" s="7" t="inlineStr"/>
      <c r="F46" s="7" t="inlineStr">
        <is>
          <t>Chicago - Closed</t>
        </is>
      </c>
      <c r="G46" s="7" t="inlineStr">
        <is>
          <t>regional_IT_notes.docx</t>
        </is>
      </c>
      <c r="H46" s="7" t="inlineStr">
        <is>
          <t>Technician Claim</t>
        </is>
      </c>
      <c r="I46" s="7" t="inlineStr">
        <is>
          <t>No weight given to regional note regional_IT_notes.docx for MD-00060 beyond follow-up. Follow-up only.</t>
        </is>
      </c>
    </row>
    <row r="47">
      <c r="A47" s="7" t="inlineStr">
        <is>
          <t>MD-00060</t>
        </is>
      </c>
      <c r="B47" s="7" t="inlineStr">
        <is>
          <t>2026-08-09</t>
        </is>
      </c>
      <c r="C47" s="7" t="inlineStr">
        <is>
          <t>Policy Control Figure</t>
        </is>
      </c>
      <c r="D47" s="7" t="inlineStr">
        <is>
          <t>ITAM-001</t>
        </is>
      </c>
      <c r="E47" s="7" t="inlineStr"/>
      <c r="F47" s="7" t="inlineStr"/>
      <c r="G47" s="7" t="inlineStr">
        <is>
          <t>IT_asset_management_policy.pdf</t>
        </is>
      </c>
      <c r="H47" s="7" t="inlineStr">
        <is>
          <t>Confirmed Fact</t>
        </is>
      </c>
      <c r="I47" s="7" t="inlineStr">
        <is>
          <t>ITAM_control_matrix.png cited once in the MD-00060 chain as a lead. Returned to source files next.</t>
        </is>
      </c>
    </row>
    <row r="48">
      <c r="A48" s="7" t="inlineStr">
        <is>
          <t>MD-00060</t>
        </is>
      </c>
      <c r="B48" s="7" t="inlineStr">
        <is>
          <t>2026-08-09</t>
        </is>
      </c>
      <c r="C48" s="7" t="inlineStr">
        <is>
          <t>Reconciliation Conclusion</t>
        </is>
      </c>
      <c r="D48" s="7" t="inlineStr">
        <is>
          <t>Evidence review</t>
        </is>
      </c>
      <c r="E48" s="7" t="inlineStr">
        <is>
          <t>Regional IT</t>
        </is>
      </c>
      <c r="F48" s="7" t="inlineStr">
        <is>
          <t>Atlanta</t>
        </is>
      </c>
      <c r="G48" s="7" t="inlineStr">
        <is>
          <t>EX-0045, EX-0046</t>
        </is>
      </c>
      <c r="H48" s="7" t="inlineStr">
        <is>
          <t>Confirmed Fact</t>
        </is>
      </c>
      <c r="I48" s="7" t="inlineStr">
        <is>
          <t>Reconciled MD-00060 to verified status Pending Redeployment / Atlanta. Open: EX-0045, EX-0046.</t>
        </is>
      </c>
    </row>
    <row r="49">
      <c r="A49" s="7" t="inlineStr">
        <is>
          <t>MD-00061</t>
        </is>
      </c>
      <c r="B49" s="7" t="inlineStr">
        <is>
          <t>2023-02-14</t>
        </is>
      </c>
      <c r="C49" s="7" t="inlineStr">
        <is>
          <t>Purchase</t>
        </is>
      </c>
      <c r="D49" s="7" t="inlineStr">
        <is>
          <t>Vendor</t>
        </is>
      </c>
      <c r="E49" s="7" t="inlineStr">
        <is>
          <t>Central Receiving</t>
        </is>
      </c>
      <c r="F49" s="7" t="inlineStr">
        <is>
          <t>Atlanta Warehouse</t>
        </is>
      </c>
      <c r="G49" s="7" t="inlineStr">
        <is>
          <t>PO-2025-0012</t>
        </is>
      </c>
      <c r="H49" s="7" t="inlineStr">
        <is>
          <t>Confirmed Fact</t>
        </is>
      </c>
      <c r="I49" s="7" t="inlineStr">
        <is>
          <t>Vendor fulfillment on PO-2025-0012 put MD-00061 on the books (iPhone 15).</t>
        </is>
      </c>
    </row>
    <row r="50">
      <c r="A50" s="7" t="inlineStr">
        <is>
          <t>MD-00061</t>
        </is>
      </c>
      <c r="B50" s="7" t="inlineStr">
        <is>
          <t>2026-02-14</t>
        </is>
      </c>
      <c r="C50" s="7" t="inlineStr">
        <is>
          <t>Assignment/Transfer</t>
        </is>
      </c>
      <c r="D50" s="7" t="inlineStr">
        <is>
          <t>Central Receiving</t>
        </is>
      </c>
      <c r="E50" s="7" t="inlineStr">
        <is>
          <t>Regional IT</t>
        </is>
      </c>
      <c r="F50" s="7" t="inlineStr">
        <is>
          <t>Chicago</t>
        </is>
      </c>
      <c r="G50" s="7" t="inlineStr">
        <is>
          <t>TR-00061</t>
        </is>
      </c>
      <c r="H50" s="7" t="inlineStr">
        <is>
          <t>Confirmed Fact</t>
        </is>
      </c>
      <c r="I50" s="7" t="inlineStr">
        <is>
          <t>Transfer TR-00061 is the only assignment event used for MD-00061 here.</t>
        </is>
      </c>
    </row>
    <row r="51">
      <c r="A51" s="7" t="inlineStr">
        <is>
          <t>MD-00061</t>
        </is>
      </c>
      <c r="B51" s="7" t="inlineStr">
        <is>
          <t>2026-06-03</t>
        </is>
      </c>
      <c r="C51" s="7" t="inlineStr">
        <is>
          <t>Offboarding Ticket</t>
        </is>
      </c>
      <c r="D51" s="7" t="inlineStr">
        <is>
          <t>E0074</t>
        </is>
      </c>
      <c r="E51" s="7" t="inlineStr">
        <is>
          <t>IT Service Desk</t>
        </is>
      </c>
      <c r="F51" s="7" t="inlineStr"/>
      <c r="G51" s="7" t="inlineStr">
        <is>
          <t>OFF-00061</t>
        </is>
      </c>
      <c r="H51" s="7" t="inlineStr">
        <is>
          <t>Technician Claim</t>
        </is>
      </c>
      <c r="I51" s="7" t="inlineStr">
        <is>
          <t>HR/IT offboarding OFF-00061 lists MD-00061; verify register custodian matches ticket closeout.</t>
        </is>
      </c>
    </row>
    <row r="52">
      <c r="A52" s="7" t="inlineStr">
        <is>
          <t>MD-00061</t>
        </is>
      </c>
      <c r="B52" s="7" t="inlineStr">
        <is>
          <t>2026-06-03</t>
        </is>
      </c>
      <c r="C52" s="7" t="inlineStr">
        <is>
          <t>Technician Comment</t>
        </is>
      </c>
      <c r="D52" s="7" t="inlineStr">
        <is>
          <t>Service Desk</t>
        </is>
      </c>
      <c r="E52" s="7" t="inlineStr"/>
      <c r="F52" s="7" t="inlineStr"/>
      <c r="G52" s="7" t="inlineStr">
        <is>
          <t>OFF-00061</t>
        </is>
      </c>
      <c r="H52" s="7" t="inlineStr">
        <is>
          <t>Technician Claim</t>
        </is>
      </c>
      <c r="I52" s="7" t="inlineStr">
        <is>
          <t>Unverified tech comment OFF-00061 linked to MD-00061.</t>
        </is>
      </c>
    </row>
    <row r="53">
      <c r="A53" s="7" t="inlineStr">
        <is>
          <t>MD-00061</t>
        </is>
      </c>
      <c r="B53" s="7" t="inlineStr">
        <is>
          <t>2026-08-05</t>
        </is>
      </c>
      <c r="C53" s="7" t="inlineStr">
        <is>
          <t>Regional IT Note Lead</t>
        </is>
      </c>
      <c r="D53" s="7" t="inlineStr">
        <is>
          <t>Regional IT</t>
        </is>
      </c>
      <c r="E53" s="7" t="inlineStr"/>
      <c r="F53" s="7" t="inlineStr">
        <is>
          <t>Denver - Closed</t>
        </is>
      </c>
      <c r="G53" s="7" t="inlineStr">
        <is>
          <t>regional_IT_notes.docx</t>
        </is>
      </c>
      <c r="H53" s="7" t="inlineStr">
        <is>
          <t>Technician Claim</t>
        </is>
      </c>
      <c r="I53" s="7" t="inlineStr">
        <is>
          <t>Regional note regional_IT_notes.docx on MD-00061 remains unverified. Needs ticket or scan before use.</t>
        </is>
      </c>
    </row>
    <row r="54">
      <c r="A54" s="7" t="inlineStr">
        <is>
          <t>MD-00061</t>
        </is>
      </c>
      <c r="B54" s="7" t="inlineStr">
        <is>
          <t>2026-08-09</t>
        </is>
      </c>
      <c r="C54" s="7" t="inlineStr">
        <is>
          <t>Policy Control Figure</t>
        </is>
      </c>
      <c r="D54" s="7" t="inlineStr">
        <is>
          <t>ITAM-001</t>
        </is>
      </c>
      <c r="E54" s="7" t="inlineStr"/>
      <c r="F54" s="7" t="inlineStr"/>
      <c r="G54" s="7" t="inlineStr">
        <is>
          <t>ITAM_control_matrix.png; IT_asset_management_policy.pdf</t>
        </is>
      </c>
      <c r="H54" s="7" t="inlineStr">
        <is>
          <t>Confirmed Fact</t>
        </is>
      </c>
      <c r="I54" s="7" t="inlineStr">
        <is>
          <t>Lead-only mark applied to the policy PNG entry for MD-00061. Kept out of disposition logic.</t>
        </is>
      </c>
    </row>
    <row r="55">
      <c r="A55" s="7" t="inlineStr">
        <is>
          <t>MD-00061</t>
        </is>
      </c>
      <c r="B55" s="7" t="inlineStr">
        <is>
          <t>2026-08-09</t>
        </is>
      </c>
      <c r="C55" s="7" t="inlineStr">
        <is>
          <t>Reconciliation Conclusion</t>
        </is>
      </c>
      <c r="D55" s="7" t="inlineStr">
        <is>
          <t>Evidence review</t>
        </is>
      </c>
      <c r="E55" s="7" t="inlineStr">
        <is>
          <t>Regional IT</t>
        </is>
      </c>
      <c r="F55" s="7" t="inlineStr">
        <is>
          <t>Chicago</t>
        </is>
      </c>
      <c r="G55" s="7" t="inlineStr">
        <is>
          <t>EX-0047, EX-0048</t>
        </is>
      </c>
      <c r="H55" s="7" t="inlineStr">
        <is>
          <t>Confirmed Fact</t>
        </is>
      </c>
      <c r="I55" s="7" t="inlineStr">
        <is>
          <t>Documented end state MD-00061 → Pending Redeployment, site Chicago. EX-0047, EX-0048.</t>
        </is>
      </c>
    </row>
    <row r="56">
      <c r="A56" s="7" t="inlineStr">
        <is>
          <t>MD-00062</t>
        </is>
      </c>
      <c r="B56" s="7" t="inlineStr">
        <is>
          <t>2024-03-15</t>
        </is>
      </c>
      <c r="C56" s="7" t="inlineStr">
        <is>
          <t>Purchase</t>
        </is>
      </c>
      <c r="D56" s="7" t="inlineStr">
        <is>
          <t>Vendor</t>
        </is>
      </c>
      <c r="E56" s="7" t="inlineStr">
        <is>
          <t>Central Receiving</t>
        </is>
      </c>
      <c r="F56" s="7" t="inlineStr">
        <is>
          <t>Atlanta Warehouse</t>
        </is>
      </c>
      <c r="G56" s="7" t="inlineStr">
        <is>
          <t>PO-2025-0012</t>
        </is>
      </c>
      <c r="H56" s="7" t="inlineStr">
        <is>
          <t>Confirmed Fact</t>
        </is>
      </c>
      <c r="I56" s="7" t="inlineStr">
        <is>
          <t>PO-2025-0012 → MD-00062 / Google Pixel 8, basis $790.</t>
        </is>
      </c>
    </row>
    <row r="57">
      <c r="A57" s="7" t="inlineStr">
        <is>
          <t>MD-00062</t>
        </is>
      </c>
      <c r="B57" s="7" t="inlineStr">
        <is>
          <t>2026-03-15</t>
        </is>
      </c>
      <c r="C57" s="7" t="inlineStr">
        <is>
          <t>Assignment/Transfer</t>
        </is>
      </c>
      <c r="D57" s="7" t="inlineStr">
        <is>
          <t>Central Receiving</t>
        </is>
      </c>
      <c r="E57" s="7" t="inlineStr">
        <is>
          <t>Regional IT</t>
        </is>
      </c>
      <c r="F57" s="7" t="inlineStr">
        <is>
          <t>Dallas</t>
        </is>
      </c>
      <c r="G57" s="7" t="inlineStr">
        <is>
          <t>TR-00062</t>
        </is>
      </c>
      <c r="H57" s="7" t="inlineStr">
        <is>
          <t>Confirmed Fact</t>
        </is>
      </c>
      <c r="I57" s="7" t="inlineStr">
        <is>
          <t>Custody update for MD-00062 derived from transfer TR-00062.</t>
        </is>
      </c>
    </row>
    <row r="58">
      <c r="A58" s="7" t="inlineStr">
        <is>
          <t>MD-00062</t>
        </is>
      </c>
      <c r="B58" s="7" t="inlineStr">
        <is>
          <t>2026-05-04</t>
        </is>
      </c>
      <c r="C58" s="7" t="inlineStr">
        <is>
          <t>Offboarding Ticket</t>
        </is>
      </c>
      <c r="D58" s="7" t="inlineStr">
        <is>
          <t>E0075</t>
        </is>
      </c>
      <c r="E58" s="7" t="inlineStr">
        <is>
          <t>IT Service Desk</t>
        </is>
      </c>
      <c r="F58" s="7" t="inlineStr"/>
      <c r="G58" s="7" t="inlineStr">
        <is>
          <t>OFF-00062</t>
        </is>
      </c>
      <c r="H58" s="7" t="inlineStr">
        <is>
          <t>Technician Claim</t>
        </is>
      </c>
      <c r="I58" s="7" t="inlineStr">
        <is>
          <t>MD-00062 appears on offboarding OFF-00062; confirm register update.</t>
        </is>
      </c>
    </row>
    <row r="59">
      <c r="A59" s="7" t="inlineStr">
        <is>
          <t>MD-00062</t>
        </is>
      </c>
      <c r="B59" s="7" t="inlineStr">
        <is>
          <t>2026-05-04</t>
        </is>
      </c>
      <c r="C59" s="7" t="inlineStr">
        <is>
          <t>Technician Comment</t>
        </is>
      </c>
      <c r="D59" s="7" t="inlineStr">
        <is>
          <t>Service Desk</t>
        </is>
      </c>
      <c r="E59" s="7" t="inlineStr"/>
      <c r="F59" s="7" t="inlineStr"/>
      <c r="G59" s="7" t="inlineStr">
        <is>
          <t>OFF-00062</t>
        </is>
      </c>
      <c r="H59" s="7" t="inlineStr">
        <is>
          <t>Technician Claim</t>
        </is>
      </c>
      <c r="I59" s="7" t="inlineStr">
        <is>
          <t>Unverified tech comment OFF-00062 linked to MD-00062.</t>
        </is>
      </c>
    </row>
    <row r="60">
      <c r="A60" s="7" t="inlineStr">
        <is>
          <t>MD-00062</t>
        </is>
      </c>
      <c r="B60" s="7" t="inlineStr">
        <is>
          <t>2026-08-05</t>
        </is>
      </c>
      <c r="C60" s="7" t="inlineStr">
        <is>
          <t>Regional IT Note Lead</t>
        </is>
      </c>
      <c r="D60" s="7" t="inlineStr">
        <is>
          <t>Regional IT</t>
        </is>
      </c>
      <c r="E60" s="7" t="inlineStr"/>
      <c r="F60" s="7" t="inlineStr">
        <is>
          <t>Chicago - Closed</t>
        </is>
      </c>
      <c r="G60" s="7" t="inlineStr">
        <is>
          <t>regional_IT_notes.docx</t>
        </is>
      </c>
      <c r="H60" s="7" t="inlineStr">
        <is>
          <t>Technician Claim</t>
        </is>
      </c>
      <c r="I60" s="7" t="inlineStr">
        <is>
          <t>Hearsay entry regional_IT_notes.docx retained for MD-00062 investigations only. Held as investigative crumb.</t>
        </is>
      </c>
    </row>
    <row r="61">
      <c r="A61" s="7" t="inlineStr">
        <is>
          <t>MD-00062</t>
        </is>
      </c>
      <c r="B61" s="7" t="inlineStr">
        <is>
          <t>2026-08-09</t>
        </is>
      </c>
      <c r="C61" s="7" t="inlineStr">
        <is>
          <t>Policy Control Figure</t>
        </is>
      </c>
      <c r="D61" s="7" t="inlineStr">
        <is>
          <t>ITAM-001</t>
        </is>
      </c>
      <c r="E61" s="7" t="inlineStr"/>
      <c r="F61" s="7" t="inlineStr"/>
      <c r="G61" s="7" t="inlineStr">
        <is>
          <t>ITAM_control_matrix.png Appendix A</t>
        </is>
      </c>
      <c r="H61" s="7" t="inlineStr">
        <is>
          <t>Confirmed Fact</t>
        </is>
      </c>
      <c r="I61" s="7" t="inlineStr">
        <is>
          <t>Multimodal lead logged for MD-00062 from ITAM_control_matrix.png without relying on it. No clearance inferred.</t>
        </is>
      </c>
    </row>
    <row r="62">
      <c r="A62" s="7" t="inlineStr">
        <is>
          <t>MD-00062</t>
        </is>
      </c>
      <c r="B62" s="7" t="inlineStr">
        <is>
          <t>2026-08-09</t>
        </is>
      </c>
      <c r="C62" s="7" t="inlineStr">
        <is>
          <t>Reconciliation Conclusion</t>
        </is>
      </c>
      <c r="D62" s="7" t="inlineStr">
        <is>
          <t>Evidence review</t>
        </is>
      </c>
      <c r="E62" s="7" t="inlineStr">
        <is>
          <t>Regional IT</t>
        </is>
      </c>
      <c r="F62" s="7" t="inlineStr">
        <is>
          <t>Dallas</t>
        </is>
      </c>
      <c r="G62" s="7" t="inlineStr">
        <is>
          <t>EX-0049, EX-0050</t>
        </is>
      </c>
      <c r="H62" s="7" t="inlineStr">
        <is>
          <t>Confirmed Fact</t>
        </is>
      </c>
      <c r="I62" s="7" t="inlineStr">
        <is>
          <t>Conclusion row for MD-00062 — Pending Redeployment at Dallas. Tied exceptions EX-0049, EX-0050.</t>
        </is>
      </c>
    </row>
    <row r="63">
      <c r="A63" s="7" t="inlineStr">
        <is>
          <t>MD-00063</t>
        </is>
      </c>
      <c r="B63" s="7" t="inlineStr">
        <is>
          <t>2025-04-16</t>
        </is>
      </c>
      <c r="C63" s="7" t="inlineStr">
        <is>
          <t>Purchase</t>
        </is>
      </c>
      <c r="D63" s="7" t="inlineStr">
        <is>
          <t>Vendor</t>
        </is>
      </c>
      <c r="E63" s="7" t="inlineStr">
        <is>
          <t>Central Receiving</t>
        </is>
      </c>
      <c r="F63" s="7" t="inlineStr">
        <is>
          <t>Atlanta Warehouse</t>
        </is>
      </c>
      <c r="G63" s="7" t="inlineStr">
        <is>
          <t>PO-2025-0012</t>
        </is>
      </c>
      <c r="H63" s="7" t="inlineStr">
        <is>
          <t>Confirmed Fact</t>
        </is>
      </c>
      <c r="I63" s="7" t="inlineStr">
        <is>
          <t>Vendor fulfillment on PO-2025-0012 put MD-00063 on the books (Samsung Galaxy S23 FE).</t>
        </is>
      </c>
    </row>
    <row r="64">
      <c r="A64" s="7" t="inlineStr">
        <is>
          <t>MD-00063</t>
        </is>
      </c>
      <c r="B64" s="7" t="inlineStr">
        <is>
          <t>2026-04-16</t>
        </is>
      </c>
      <c r="C64" s="7" t="inlineStr">
        <is>
          <t>Assignment/Transfer</t>
        </is>
      </c>
      <c r="D64" s="7" t="inlineStr">
        <is>
          <t>Central Receiving</t>
        </is>
      </c>
      <c r="E64" s="7" t="inlineStr">
        <is>
          <t>Regional IT</t>
        </is>
      </c>
      <c r="F64" s="7" t="inlineStr">
        <is>
          <t>Denver</t>
        </is>
      </c>
      <c r="G64" s="7" t="inlineStr">
        <is>
          <t>TR-00063</t>
        </is>
      </c>
      <c r="H64" s="7" t="inlineStr">
        <is>
          <t>Confirmed Fact</t>
        </is>
      </c>
      <c r="I64" s="7" t="inlineStr">
        <is>
          <t>Transfer log line TR-00063 supports the current placement story for MD-00063.</t>
        </is>
      </c>
    </row>
    <row r="65">
      <c r="A65" s="7" t="inlineStr">
        <is>
          <t>MD-00063</t>
        </is>
      </c>
      <c r="B65" s="7" t="inlineStr">
        <is>
          <t>2026-06-05</t>
        </is>
      </c>
      <c r="C65" s="7" t="inlineStr">
        <is>
          <t>Offboarding Ticket</t>
        </is>
      </c>
      <c r="D65" s="7" t="inlineStr">
        <is>
          <t>E0076</t>
        </is>
      </c>
      <c r="E65" s="7" t="inlineStr">
        <is>
          <t>IT Service Desk</t>
        </is>
      </c>
      <c r="F65" s="7" t="inlineStr"/>
      <c r="G65" s="7" t="inlineStr">
        <is>
          <t>OFF-00063</t>
        </is>
      </c>
      <c r="H65" s="7" t="inlineStr">
        <is>
          <t>Technician Claim</t>
        </is>
      </c>
      <c r="I65" s="7" t="inlineStr">
        <is>
          <t>Offboard record OFF-00063 flags MD-00063 for custodian cleanup.</t>
        </is>
      </c>
    </row>
    <row r="66">
      <c r="A66" s="7" t="inlineStr">
        <is>
          <t>MD-00063</t>
        </is>
      </c>
      <c r="B66" s="7" t="inlineStr">
        <is>
          <t>2026-06-05</t>
        </is>
      </c>
      <c r="C66" s="7" t="inlineStr">
        <is>
          <t>Technician Comment</t>
        </is>
      </c>
      <c r="D66" s="7" t="inlineStr">
        <is>
          <t>Service Desk</t>
        </is>
      </c>
      <c r="E66" s="7" t="inlineStr"/>
      <c r="F66" s="7" t="inlineStr"/>
      <c r="G66" s="7" t="inlineStr">
        <is>
          <t>OFF-00063</t>
        </is>
      </c>
      <c r="H66" s="7" t="inlineStr">
        <is>
          <t>Technician Claim</t>
        </is>
      </c>
      <c r="I66" s="7" t="inlineStr">
        <is>
          <t>Technician comment on MD-00063 retained as unverified (OFF-00063).</t>
        </is>
      </c>
    </row>
    <row r="67">
      <c r="A67" s="7" t="inlineStr">
        <is>
          <t>MD-00063</t>
        </is>
      </c>
      <c r="B67" s="7" t="inlineStr">
        <is>
          <t>2026-08-05</t>
        </is>
      </c>
      <c r="C67" s="7" t="inlineStr">
        <is>
          <t>Regional IT Note Lead</t>
        </is>
      </c>
      <c r="D67" s="7" t="inlineStr">
        <is>
          <t>Regional IT</t>
        </is>
      </c>
      <c r="E67" s="7" t="inlineStr"/>
      <c r="F67" s="7" t="inlineStr">
        <is>
          <t>Denver - Closed</t>
        </is>
      </c>
      <c r="G67" s="7" t="inlineStr">
        <is>
          <t>regional_IT_notes.docx</t>
        </is>
      </c>
      <c r="H67" s="7" t="inlineStr">
        <is>
          <t>Technician Claim</t>
        </is>
      </c>
      <c r="I67" s="7" t="inlineStr">
        <is>
          <t>Soft lead regional_IT_notes.docx for MD-00063 — ignore for clearance without scans/tickets. Requires independent find.</t>
        </is>
      </c>
    </row>
    <row r="68">
      <c r="A68" s="7" t="inlineStr">
        <is>
          <t>MD-00063</t>
        </is>
      </c>
      <c r="B68" s="7" t="inlineStr">
        <is>
          <t>2026-08-09</t>
        </is>
      </c>
      <c r="C68" s="7" t="inlineStr">
        <is>
          <t>Policy Control Figure</t>
        </is>
      </c>
      <c r="D68" s="7" t="inlineStr">
        <is>
          <t>ITAM-001</t>
        </is>
      </c>
      <c r="E68" s="7" t="inlineStr"/>
      <c r="F68" s="7" t="inlineStr"/>
      <c r="G68" s="7" t="inlineStr">
        <is>
          <t>IT_asset_management_policy.pdf §§4–9; ITAM_control_matrix.png</t>
        </is>
      </c>
      <c r="H68" s="7" t="inlineStr">
        <is>
          <t>Confirmed Fact</t>
        </is>
      </c>
      <c r="I68" s="7" t="inlineStr">
        <is>
          <t>Multimodal exhibit for MD-00063 includes the control PNG as non-binding context. Did not elevate to proof.</t>
        </is>
      </c>
    </row>
    <row r="69">
      <c r="A69" s="7" t="inlineStr">
        <is>
          <t>MD-00063</t>
        </is>
      </c>
      <c r="B69" s="7" t="inlineStr">
        <is>
          <t>2026-08-09</t>
        </is>
      </c>
      <c r="C69" s="7" t="inlineStr">
        <is>
          <t>Reconciliation Conclusion</t>
        </is>
      </c>
      <c r="D69" s="7" t="inlineStr">
        <is>
          <t>Evidence review</t>
        </is>
      </c>
      <c r="E69" s="7" t="inlineStr">
        <is>
          <t>Regional IT</t>
        </is>
      </c>
      <c r="F69" s="7" t="inlineStr">
        <is>
          <t>Denver</t>
        </is>
      </c>
      <c r="G69" s="7" t="inlineStr">
        <is>
          <t>EX-0051, EX-0052</t>
        </is>
      </c>
      <c r="H69" s="7" t="inlineStr">
        <is>
          <t>Confirmed Fact</t>
        </is>
      </c>
      <c r="I69" s="7" t="inlineStr">
        <is>
          <t>Documented end state MD-00063 → Pending Redeployment, site Denver. EX-0051, EX-0052.</t>
        </is>
      </c>
    </row>
    <row r="70">
      <c r="A70" s="7" t="inlineStr">
        <is>
          <t>MD-00064</t>
        </is>
      </c>
      <c r="B70" s="7" t="inlineStr">
        <is>
          <t>2022-05-17</t>
        </is>
      </c>
      <c r="C70" s="7" t="inlineStr">
        <is>
          <t>Purchase</t>
        </is>
      </c>
      <c r="D70" s="7" t="inlineStr">
        <is>
          <t>Vendor</t>
        </is>
      </c>
      <c r="E70" s="7" t="inlineStr">
        <is>
          <t>Central Receiving</t>
        </is>
      </c>
      <c r="F70" s="7" t="inlineStr">
        <is>
          <t>Atlanta Warehouse</t>
        </is>
      </c>
      <c r="G70" s="7" t="inlineStr">
        <is>
          <t>PO-2025-0012</t>
        </is>
      </c>
      <c r="H70" s="7" t="inlineStr">
        <is>
          <t>Confirmed Fact</t>
        </is>
      </c>
      <c r="I70" s="7" t="inlineStr">
        <is>
          <t>PO-2025-0012 → MD-00064 / iPhone 14, basis $6,245.</t>
        </is>
      </c>
    </row>
    <row r="71">
      <c r="A71" s="7" t="inlineStr">
        <is>
          <t>MD-00064</t>
        </is>
      </c>
      <c r="B71" s="7" t="inlineStr">
        <is>
          <t>2026-05-17</t>
        </is>
      </c>
      <c r="C71" s="7" t="inlineStr">
        <is>
          <t>Assignment/Transfer</t>
        </is>
      </c>
      <c r="D71" s="7" t="inlineStr">
        <is>
          <t>Central Receiving</t>
        </is>
      </c>
      <c r="E71" s="7" t="inlineStr">
        <is>
          <t>Regional IT</t>
        </is>
      </c>
      <c r="F71" s="7" t="inlineStr">
        <is>
          <t>New York</t>
        </is>
      </c>
      <c r="G71" s="7" t="inlineStr">
        <is>
          <t>TR-00064</t>
        </is>
      </c>
      <c r="H71" s="7" t="inlineStr">
        <is>
          <t>Unresolved Assumption</t>
        </is>
      </c>
      <c r="I71" s="7" t="inlineStr">
        <is>
          <t>TR-00064 moved MD-00064; approval blank.</t>
        </is>
      </c>
    </row>
    <row r="72">
      <c r="A72" s="7" t="inlineStr">
        <is>
          <t>MD-00064</t>
        </is>
      </c>
      <c r="B72" s="7" t="inlineStr">
        <is>
          <t>2026-05-06</t>
        </is>
      </c>
      <c r="C72" s="7" t="inlineStr">
        <is>
          <t>Offboarding Ticket</t>
        </is>
      </c>
      <c r="D72" s="7" t="inlineStr">
        <is>
          <t>E0077</t>
        </is>
      </c>
      <c r="E72" s="7" t="inlineStr">
        <is>
          <t>IT Service Desk</t>
        </is>
      </c>
      <c r="F72" s="7" t="inlineStr"/>
      <c r="G72" s="7" t="inlineStr">
        <is>
          <t>OFF-00064</t>
        </is>
      </c>
      <c r="H72" s="7" t="inlineStr">
        <is>
          <t>Technician Claim</t>
        </is>
      </c>
      <c r="I72" s="7" t="inlineStr">
        <is>
          <t>Separated-employee workflow OFF-00064 includes MD-00064.</t>
        </is>
      </c>
    </row>
    <row r="73">
      <c r="A73" s="7" t="inlineStr">
        <is>
          <t>MD-00064</t>
        </is>
      </c>
      <c r="B73" s="7" t="inlineStr">
        <is>
          <t>2026-05-06</t>
        </is>
      </c>
      <c r="C73" s="7" t="inlineStr">
        <is>
          <t>Technician Comment</t>
        </is>
      </c>
      <c r="D73" s="7" t="inlineStr">
        <is>
          <t>Service Desk</t>
        </is>
      </c>
      <c r="E73" s="7" t="inlineStr"/>
      <c r="F73" s="7" t="inlineStr"/>
      <c r="G73" s="7" t="inlineStr">
        <is>
          <t>OFF-00064</t>
        </is>
      </c>
      <c r="H73" s="7" t="inlineStr">
        <is>
          <t>Technician Claim</t>
        </is>
      </c>
      <c r="I73" s="7" t="inlineStr">
        <is>
          <t>Bench note OFF-00064 for MD-00064; needs independent corroboration.</t>
        </is>
      </c>
    </row>
    <row r="74">
      <c r="A74" s="7" t="inlineStr">
        <is>
          <t>MD-00064</t>
        </is>
      </c>
      <c r="B74" s="7" t="inlineStr">
        <is>
          <t>2026-08-05</t>
        </is>
      </c>
      <c r="C74" s="7" t="inlineStr">
        <is>
          <t>Regional IT Note Lead</t>
        </is>
      </c>
      <c r="D74" s="7" t="inlineStr">
        <is>
          <t>Regional IT</t>
        </is>
      </c>
      <c r="E74" s="7" t="inlineStr"/>
      <c r="F74" s="7" t="inlineStr">
        <is>
          <t>Chicago - Closed</t>
        </is>
      </c>
      <c r="G74" s="7" t="inlineStr">
        <is>
          <t>regional_IT_notes.docx</t>
        </is>
      </c>
      <c r="H74" s="7" t="inlineStr">
        <is>
          <t>Technician Claim</t>
        </is>
      </c>
      <c r="I74" s="7" t="inlineStr">
        <is>
          <t>Lead-only regional entry regional_IT_notes.docx associated to MD-00064. Left outside certification proof.</t>
        </is>
      </c>
    </row>
    <row r="75">
      <c r="A75" s="7" t="inlineStr">
        <is>
          <t>MD-00064</t>
        </is>
      </c>
      <c r="B75" s="7" t="inlineStr">
        <is>
          <t>2026-08-09</t>
        </is>
      </c>
      <c r="C75" s="7" t="inlineStr">
        <is>
          <t>Policy Control Figure</t>
        </is>
      </c>
      <c r="D75" s="7" t="inlineStr">
        <is>
          <t>ITAM-001</t>
        </is>
      </c>
      <c r="E75" s="7" t="inlineStr"/>
      <c r="F75" s="7" t="inlineStr"/>
      <c r="G75" s="7" t="inlineStr">
        <is>
          <t>ITAM_control_matrix.png</t>
        </is>
      </c>
      <c r="H75" s="7" t="inlineStr">
        <is>
          <t>Confirmed Fact</t>
        </is>
      </c>
      <c r="I75" s="7" t="inlineStr">
        <is>
          <t>ITAM matrix image referenced on MD-00064 review; proof stays in PO/TR/ticket files. Marked lead-only.</t>
        </is>
      </c>
    </row>
    <row r="76">
      <c r="A76" s="7" t="inlineStr">
        <is>
          <t>MD-00064</t>
        </is>
      </c>
      <c r="B76" s="7" t="inlineStr">
        <is>
          <t>2026-08-09</t>
        </is>
      </c>
      <c r="C76" s="7" t="inlineStr">
        <is>
          <t>Reconciliation Conclusion</t>
        </is>
      </c>
      <c r="D76" s="7" t="inlineStr">
        <is>
          <t>Evidence review</t>
        </is>
      </c>
      <c r="E76" s="7" t="inlineStr">
        <is>
          <t>Regional IT</t>
        </is>
      </c>
      <c r="F76" s="7" t="inlineStr">
        <is>
          <t>New York</t>
        </is>
      </c>
      <c r="G76" s="7" t="inlineStr">
        <is>
          <t>EX-0053, EX-0054, EX-0055</t>
        </is>
      </c>
      <c r="H76" s="7" t="inlineStr">
        <is>
          <t>Confirmed Fact</t>
        </is>
      </c>
      <c r="I76" s="7" t="inlineStr">
        <is>
          <t>Reconciled MD-00064 to verified status Pending Redeployment / New York. Open: EX-0053, EX-0054, EX-0055.</t>
        </is>
      </c>
    </row>
    <row r="77">
      <c r="A77" s="7" t="inlineStr">
        <is>
          <t>MD-00065</t>
        </is>
      </c>
      <c r="B77" s="7" t="inlineStr">
        <is>
          <t>2023-06-18</t>
        </is>
      </c>
      <c r="C77" s="7" t="inlineStr">
        <is>
          <t>Purchase</t>
        </is>
      </c>
      <c r="D77" s="7" t="inlineStr">
        <is>
          <t>Vendor</t>
        </is>
      </c>
      <c r="E77" s="7" t="inlineStr">
        <is>
          <t>Central Receiving</t>
        </is>
      </c>
      <c r="F77" s="7" t="inlineStr">
        <is>
          <t>Atlanta Warehouse</t>
        </is>
      </c>
      <c r="G77" s="7" t="inlineStr">
        <is>
          <t>PO-2022-0013</t>
        </is>
      </c>
      <c r="H77" s="7" t="inlineStr">
        <is>
          <t>Confirmed Fact</t>
        </is>
      </c>
      <c r="I77" s="7" t="inlineStr">
        <is>
          <t>MD-00065 enters inventory via PO-2022-0013; model Samsung Galaxy S24.</t>
        </is>
      </c>
    </row>
    <row r="78">
      <c r="A78" s="7" t="inlineStr">
        <is>
          <t>MD-00065</t>
        </is>
      </c>
      <c r="B78" s="7" t="inlineStr">
        <is>
          <t>2026-06-18</t>
        </is>
      </c>
      <c r="C78" s="7" t="inlineStr">
        <is>
          <t>Assignment/Transfer</t>
        </is>
      </c>
      <c r="D78" s="7" t="inlineStr">
        <is>
          <t>Central Receiving</t>
        </is>
      </c>
      <c r="E78" s="7" t="inlineStr">
        <is>
          <t>Regional IT</t>
        </is>
      </c>
      <c r="F78" s="7" t="inlineStr">
        <is>
          <t>Seattle</t>
        </is>
      </c>
      <c r="G78" s="7" t="inlineStr">
        <is>
          <t>TR-00065</t>
        </is>
      </c>
      <c r="H78" s="7" t="inlineStr">
        <is>
          <t>Unresolved Assumption</t>
        </is>
      </c>
      <c r="I78" s="7" t="inlineStr">
        <is>
          <t>Logged hop TR-00065 for MD-00065; approval field blank.</t>
        </is>
      </c>
    </row>
    <row r="79">
      <c r="A79" s="7" t="inlineStr">
        <is>
          <t>MD-00065</t>
        </is>
      </c>
      <c r="B79" s="7" t="inlineStr">
        <is>
          <t>2026-06-07</t>
        </is>
      </c>
      <c r="C79" s="7" t="inlineStr">
        <is>
          <t>Offboarding Ticket</t>
        </is>
      </c>
      <c r="D79" s="7" t="inlineStr">
        <is>
          <t>E0078</t>
        </is>
      </c>
      <c r="E79" s="7" t="inlineStr">
        <is>
          <t>IT Service Desk</t>
        </is>
      </c>
      <c r="F79" s="7" t="inlineStr"/>
      <c r="G79" s="7" t="inlineStr">
        <is>
          <t>OFF-00065</t>
        </is>
      </c>
      <c r="H79" s="7" t="inlineStr">
        <is>
          <t>Technician Claim</t>
        </is>
      </c>
      <c r="I79" s="7" t="inlineStr">
        <is>
          <t>Ticket OFF-00065 is the offboarding spine for MD-00065.</t>
        </is>
      </c>
    </row>
    <row r="80">
      <c r="A80" s="7" t="inlineStr">
        <is>
          <t>MD-00065</t>
        </is>
      </c>
      <c r="B80" s="7" t="inlineStr">
        <is>
          <t>2026-06-07</t>
        </is>
      </c>
      <c r="C80" s="7" t="inlineStr">
        <is>
          <t>Technician Comment</t>
        </is>
      </c>
      <c r="D80" s="7" t="inlineStr">
        <is>
          <t>Service Desk</t>
        </is>
      </c>
      <c r="E80" s="7" t="inlineStr"/>
      <c r="F80" s="7" t="inlineStr"/>
      <c r="G80" s="7" t="inlineStr">
        <is>
          <t>OFF-00065</t>
        </is>
      </c>
      <c r="H80" s="7" t="inlineStr">
        <is>
          <t>Technician Claim</t>
        </is>
      </c>
      <c r="I80" s="7" t="inlineStr">
        <is>
          <t>Tech remark filed against MD-00065 under OFF-00065.</t>
        </is>
      </c>
    </row>
    <row r="81">
      <c r="A81" s="7" t="inlineStr">
        <is>
          <t>MD-00065</t>
        </is>
      </c>
      <c r="B81" s="7" t="inlineStr">
        <is>
          <t>2026-08-05</t>
        </is>
      </c>
      <c r="C81" s="7" t="inlineStr">
        <is>
          <t>Regional IT Note Lead</t>
        </is>
      </c>
      <c r="D81" s="7" t="inlineStr">
        <is>
          <t>Regional IT</t>
        </is>
      </c>
      <c r="E81" s="7" t="inlineStr"/>
      <c r="F81" s="7" t="inlineStr">
        <is>
          <t>Denver - Closed</t>
        </is>
      </c>
      <c r="G81" s="7" t="inlineStr">
        <is>
          <t>regional_IT_notes.docx</t>
        </is>
      </c>
      <c r="H81" s="7" t="inlineStr">
        <is>
          <t>Technician Claim</t>
        </is>
      </c>
      <c r="I81" s="7" t="inlineStr">
        <is>
          <t>Field tip regional_IT_notes.docx for MD-00065; still waiting on independent proof. Not used for verified location.</t>
        </is>
      </c>
    </row>
    <row r="82">
      <c r="A82" s="7" t="inlineStr">
        <is>
          <t>MD-00065</t>
        </is>
      </c>
      <c r="B82" s="7" t="inlineStr">
        <is>
          <t>2026-08-09</t>
        </is>
      </c>
      <c r="C82" s="7" t="inlineStr">
        <is>
          <t>Policy Control Figure</t>
        </is>
      </c>
      <c r="D82" s="7" t="inlineStr">
        <is>
          <t>ITAM-001</t>
        </is>
      </c>
      <c r="E82" s="7" t="inlineStr"/>
      <c r="F82" s="7" t="inlineStr"/>
      <c r="G82" s="7" t="inlineStr">
        <is>
          <t>IT_asset_management_policy.pdf</t>
        </is>
      </c>
      <c r="H82" s="7" t="inlineStr">
        <is>
          <t>Confirmed Fact</t>
        </is>
      </c>
      <c r="I82" s="7" t="inlineStr">
        <is>
          <t>Figure lead on file for MD-00065; did not treat PNG as custody proof. Left as orientation.</t>
        </is>
      </c>
    </row>
    <row r="83">
      <c r="A83" s="7" t="inlineStr">
        <is>
          <t>MD-00065</t>
        </is>
      </c>
      <c r="B83" s="7" t="inlineStr">
        <is>
          <t>2026-08-09</t>
        </is>
      </c>
      <c r="C83" s="7" t="inlineStr">
        <is>
          <t>Reconciliation Conclusion</t>
        </is>
      </c>
      <c r="D83" s="7" t="inlineStr">
        <is>
          <t>Evidence review</t>
        </is>
      </c>
      <c r="E83" s="7" t="inlineStr">
        <is>
          <t>Regional IT</t>
        </is>
      </c>
      <c r="F83" s="7" t="inlineStr">
        <is>
          <t>Seattle</t>
        </is>
      </c>
      <c r="G83" s="7" t="inlineStr">
        <is>
          <t>EX-0056, EX-0057, EX-0058</t>
        </is>
      </c>
      <c r="H83" s="7" t="inlineStr">
        <is>
          <t>Confirmed Fact</t>
        </is>
      </c>
      <c r="I83" s="7" t="inlineStr">
        <is>
          <t>Final custody call on MD-00065: keep Pending Redeployment unless EX-0056, EX-0057, EX-0058 changes it.</t>
        </is>
      </c>
    </row>
    <row r="84">
      <c r="A84" s="7" t="inlineStr">
        <is>
          <t>MD-00066</t>
        </is>
      </c>
      <c r="B84" s="7" t="inlineStr">
        <is>
          <t>2024-07-19</t>
        </is>
      </c>
      <c r="C84" s="7" t="inlineStr">
        <is>
          <t>Purchase</t>
        </is>
      </c>
      <c r="D84" s="7" t="inlineStr">
        <is>
          <t>Vendor</t>
        </is>
      </c>
      <c r="E84" s="7" t="inlineStr">
        <is>
          <t>Central Receiving</t>
        </is>
      </c>
      <c r="F84" s="7" t="inlineStr">
        <is>
          <t>Atlanta Warehouse</t>
        </is>
      </c>
      <c r="G84" s="7" t="inlineStr">
        <is>
          <t>PO-2022-0013</t>
        </is>
      </c>
      <c r="H84" s="7" t="inlineStr">
        <is>
          <t>Confirmed Fact</t>
        </is>
      </c>
      <c r="I84" s="7" t="inlineStr">
        <is>
          <t>PO-2022-0013 → MD-00066 / iPhone 15, basis $655.</t>
        </is>
      </c>
    </row>
    <row r="85">
      <c r="A85" s="7" t="inlineStr">
        <is>
          <t>MD-00066</t>
        </is>
      </c>
      <c r="B85" s="7" t="inlineStr">
        <is>
          <t>2026-01-19</t>
        </is>
      </c>
      <c r="C85" s="7" t="inlineStr">
        <is>
          <t>Assignment/Transfer</t>
        </is>
      </c>
      <c r="D85" s="7" t="inlineStr">
        <is>
          <t>Central Receiving</t>
        </is>
      </c>
      <c r="E85" s="7" t="inlineStr">
        <is>
          <t>Regional IT</t>
        </is>
      </c>
      <c r="F85" s="7" t="inlineStr">
        <is>
          <t>Atlanta</t>
        </is>
      </c>
      <c r="G85" s="7" t="inlineStr">
        <is>
          <t>TR-00066</t>
        </is>
      </c>
      <c r="H85" s="7" t="inlineStr">
        <is>
          <t>Confirmed Fact</t>
        </is>
      </c>
      <c r="I85" s="7" t="inlineStr">
        <is>
          <t>No alternate move invented for MD-00066; TR-00066 stands.</t>
        </is>
      </c>
    </row>
    <row r="86">
      <c r="A86" s="7" t="inlineStr">
        <is>
          <t>MD-00066</t>
        </is>
      </c>
      <c r="B86" s="7" t="inlineStr">
        <is>
          <t>2026-05-08</t>
        </is>
      </c>
      <c r="C86" s="7" t="inlineStr">
        <is>
          <t>Offboarding Ticket</t>
        </is>
      </c>
      <c r="D86" s="7" t="inlineStr">
        <is>
          <t>E0079</t>
        </is>
      </c>
      <c r="E86" s="7" t="inlineStr">
        <is>
          <t>IT Service Desk</t>
        </is>
      </c>
      <c r="F86" s="7" t="inlineStr"/>
      <c r="G86" s="7" t="inlineStr">
        <is>
          <t>OFF-00066</t>
        </is>
      </c>
      <c r="H86" s="7" t="inlineStr">
        <is>
          <t>Technician Claim</t>
        </is>
      </c>
      <c r="I86" s="7" t="inlineStr">
        <is>
          <t>Offboarding ticket OFF-00066 touches MD-00066; custodian change still required if register lags.</t>
        </is>
      </c>
    </row>
    <row r="87">
      <c r="A87" s="7" t="inlineStr">
        <is>
          <t>MD-00066</t>
        </is>
      </c>
      <c r="B87" s="7" t="inlineStr">
        <is>
          <t>2026-05-08</t>
        </is>
      </c>
      <c r="C87" s="7" t="inlineStr">
        <is>
          <t>Technician Comment</t>
        </is>
      </c>
      <c r="D87" s="7" t="inlineStr">
        <is>
          <t>Service Desk</t>
        </is>
      </c>
      <c r="E87" s="7" t="inlineStr"/>
      <c r="F87" s="7" t="inlineStr"/>
      <c r="G87" s="7" t="inlineStr">
        <is>
          <t>OFF-00066</t>
        </is>
      </c>
      <c r="H87" s="7" t="inlineStr">
        <is>
          <t>Technician Claim</t>
        </is>
      </c>
      <c r="I87" s="7" t="inlineStr">
        <is>
          <t>Tech remark filed against MD-00066 under OFF-00066.</t>
        </is>
      </c>
    </row>
    <row r="88">
      <c r="A88" s="7" t="inlineStr">
        <is>
          <t>MD-00066</t>
        </is>
      </c>
      <c r="B88" s="7" t="inlineStr">
        <is>
          <t>2026-08-05</t>
        </is>
      </c>
      <c r="C88" s="7" t="inlineStr">
        <is>
          <t>Regional IT Note Lead</t>
        </is>
      </c>
      <c r="D88" s="7" t="inlineStr">
        <is>
          <t>Regional IT</t>
        </is>
      </c>
      <c r="E88" s="7" t="inlineStr"/>
      <c r="F88" s="7" t="inlineStr">
        <is>
          <t>Chicago - Closed</t>
        </is>
      </c>
      <c r="G88" s="7" t="inlineStr">
        <is>
          <t>regional_IT_notes.docx</t>
        </is>
      </c>
      <c r="H88" s="7" t="inlineStr">
        <is>
          <t>Technician Claim</t>
        </is>
      </c>
      <c r="I88" s="7" t="inlineStr">
        <is>
          <t>Unvalidated regional statement regional_IT_notes.docx tied to MD-00066. Needs ticket or scan before use.</t>
        </is>
      </c>
    </row>
    <row r="89">
      <c r="A89" s="7" t="inlineStr">
        <is>
          <t>MD-00066</t>
        </is>
      </c>
      <c r="B89" s="7" t="inlineStr">
        <is>
          <t>2026-08-09</t>
        </is>
      </c>
      <c r="C89" s="7" t="inlineStr">
        <is>
          <t>Policy Control Figure</t>
        </is>
      </c>
      <c r="D89" s="7" t="inlineStr">
        <is>
          <t>ITAM-001</t>
        </is>
      </c>
      <c r="E89" s="7" t="inlineStr"/>
      <c r="F89" s="7" t="inlineStr"/>
      <c r="G89" s="7" t="inlineStr">
        <is>
          <t>ITAM_control_matrix.png; IT_asset_management_policy.pdf</t>
        </is>
      </c>
      <c r="H89" s="7" t="inlineStr">
        <is>
          <t>Confirmed Fact</t>
        </is>
      </c>
      <c r="I89" s="7" t="inlineStr">
        <is>
          <t>Orientation only: ITAM_control_matrix.png next to MD-00066 review packet. Logged as multimodal lead.</t>
        </is>
      </c>
    </row>
    <row r="90">
      <c r="A90" s="7" t="inlineStr">
        <is>
          <t>MD-00066</t>
        </is>
      </c>
      <c r="B90" s="7" t="inlineStr">
        <is>
          <t>2026-08-09</t>
        </is>
      </c>
      <c r="C90" s="7" t="inlineStr">
        <is>
          <t>Reconciliation Conclusion</t>
        </is>
      </c>
      <c r="D90" s="7" t="inlineStr">
        <is>
          <t>Evidence review</t>
        </is>
      </c>
      <c r="E90" s="7" t="inlineStr">
        <is>
          <t>Regional IT</t>
        </is>
      </c>
      <c r="F90" s="7" t="inlineStr">
        <is>
          <t>Atlanta</t>
        </is>
      </c>
      <c r="G90" s="7" t="inlineStr">
        <is>
          <t>EX-0059, EX-0060</t>
        </is>
      </c>
      <c r="H90" s="7" t="inlineStr">
        <is>
          <t>Confirmed Fact</t>
        </is>
      </c>
      <c r="I90" s="7" t="inlineStr">
        <is>
          <t>Closed the chain for MD-00066 at Atlanta with status Pending Redeployment. Flags EX-0059, EX-0060.</t>
        </is>
      </c>
    </row>
    <row r="91">
      <c r="A91" s="7" t="inlineStr">
        <is>
          <t>MD-00067</t>
        </is>
      </c>
      <c r="B91" s="7" t="inlineStr">
        <is>
          <t>2025-08-20</t>
        </is>
      </c>
      <c r="C91" s="7" t="inlineStr">
        <is>
          <t>Purchase</t>
        </is>
      </c>
      <c r="D91" s="7" t="inlineStr">
        <is>
          <t>Vendor</t>
        </is>
      </c>
      <c r="E91" s="7" t="inlineStr">
        <is>
          <t>Central Receiving</t>
        </is>
      </c>
      <c r="F91" s="7" t="inlineStr">
        <is>
          <t>Atlanta Warehouse</t>
        </is>
      </c>
      <c r="G91" s="7" t="inlineStr">
        <is>
          <t>PO-2022-0013</t>
        </is>
      </c>
      <c r="H91" s="7" t="inlineStr">
        <is>
          <t>Confirmed Fact</t>
        </is>
      </c>
      <c r="I91" s="7" t="inlineStr">
        <is>
          <t>Bought MD-00067 (Google Pixel 8) on PO-2022-0013 for $1,130.</t>
        </is>
      </c>
    </row>
    <row r="92">
      <c r="A92" s="7" t="inlineStr">
        <is>
          <t>MD-00067</t>
        </is>
      </c>
      <c r="B92" s="7" t="inlineStr">
        <is>
          <t>2026-02-20</t>
        </is>
      </c>
      <c r="C92" s="7" t="inlineStr">
        <is>
          <t>Assignment/Transfer</t>
        </is>
      </c>
      <c r="D92" s="7" t="inlineStr">
        <is>
          <t>Central Receiving</t>
        </is>
      </c>
      <c r="E92" s="7" t="inlineStr">
        <is>
          <t>Regional IT</t>
        </is>
      </c>
      <c r="F92" s="7" t="inlineStr">
        <is>
          <t>Chicago</t>
        </is>
      </c>
      <c r="G92" s="7" t="inlineStr">
        <is>
          <t>TR-00067</t>
        </is>
      </c>
      <c r="H92" s="7" t="inlineStr">
        <is>
          <t>Confirmed Fact</t>
        </is>
      </c>
      <c r="I92" s="7" t="inlineStr">
        <is>
          <t>Transfer file TR-00067 is sufficient assignment evidence for MD-00067 [t92-1].</t>
        </is>
      </c>
    </row>
    <row r="93">
      <c r="A93" s="7" t="inlineStr">
        <is>
          <t>MD-00067</t>
        </is>
      </c>
      <c r="B93" s="7" t="inlineStr">
        <is>
          <t>2026-06-09</t>
        </is>
      </c>
      <c r="C93" s="7" t="inlineStr">
        <is>
          <t>Offboarding Ticket</t>
        </is>
      </c>
      <c r="D93" s="7" t="inlineStr">
        <is>
          <t>E0080</t>
        </is>
      </c>
      <c r="E93" s="7" t="inlineStr">
        <is>
          <t>IT Service Desk</t>
        </is>
      </c>
      <c r="F93" s="7" t="inlineStr"/>
      <c r="G93" s="7" t="inlineStr">
        <is>
          <t>OFF-00067</t>
        </is>
      </c>
      <c r="H93" s="7" t="inlineStr">
        <is>
          <t>Technician Claim</t>
        </is>
      </c>
      <c r="I93" s="7" t="inlineStr">
        <is>
          <t>MD-00067 appears on offboarding OFF-00067; confirm register update.</t>
        </is>
      </c>
    </row>
    <row r="94">
      <c r="A94" s="7" t="inlineStr">
        <is>
          <t>MD-00067</t>
        </is>
      </c>
      <c r="B94" s="7" t="inlineStr">
        <is>
          <t>2026-06-09</t>
        </is>
      </c>
      <c r="C94" s="7" t="inlineStr">
        <is>
          <t>Technician Comment</t>
        </is>
      </c>
      <c r="D94" s="7" t="inlineStr">
        <is>
          <t>Service Desk</t>
        </is>
      </c>
      <c r="E94" s="7" t="inlineStr"/>
      <c r="F94" s="7" t="inlineStr"/>
      <c r="G94" s="7" t="inlineStr">
        <is>
          <t>OFF-00067</t>
        </is>
      </c>
      <c r="H94" s="7" t="inlineStr">
        <is>
          <t>Technician Claim</t>
        </is>
      </c>
      <c r="I94" s="7" t="inlineStr">
        <is>
          <t>Unverified tech comment OFF-00067 linked to MD-00067.</t>
        </is>
      </c>
    </row>
    <row r="95">
      <c r="A95" s="7" t="inlineStr">
        <is>
          <t>MD-00067</t>
        </is>
      </c>
      <c r="B95" s="7" t="inlineStr">
        <is>
          <t>2026-08-05</t>
        </is>
      </c>
      <c r="C95" s="7" t="inlineStr">
        <is>
          <t>Regional IT Note Lead</t>
        </is>
      </c>
      <c r="D95" s="7" t="inlineStr">
        <is>
          <t>Regional IT</t>
        </is>
      </c>
      <c r="E95" s="7" t="inlineStr"/>
      <c r="F95" s="7" t="inlineStr">
        <is>
          <t>Denver - Closed</t>
        </is>
      </c>
      <c r="G95" s="7" t="inlineStr">
        <is>
          <t>regional_IT_notes.docx</t>
        </is>
      </c>
      <c r="H95" s="7" t="inlineStr">
        <is>
          <t>Technician Claim</t>
        </is>
      </c>
      <c r="I95" s="7" t="inlineStr">
        <is>
          <t>No weight given to regional note regional_IT_notes.docx for MD-00067 beyond follow-up. No register update from this alone.</t>
        </is>
      </c>
    </row>
    <row r="96">
      <c r="A96" s="7" t="inlineStr">
        <is>
          <t>MD-00067</t>
        </is>
      </c>
      <c r="B96" s="7" t="inlineStr">
        <is>
          <t>2026-08-09</t>
        </is>
      </c>
      <c r="C96" s="7" t="inlineStr">
        <is>
          <t>Policy Control Figure</t>
        </is>
      </c>
      <c r="D96" s="7" t="inlineStr">
        <is>
          <t>ITAM-001</t>
        </is>
      </c>
      <c r="E96" s="7" t="inlineStr"/>
      <c r="F96" s="7" t="inlineStr"/>
      <c r="G96" s="7" t="inlineStr">
        <is>
          <t>ITAM_control_matrix.png Appendix A</t>
        </is>
      </c>
      <c r="H96" s="7" t="inlineStr">
        <is>
          <t>Confirmed Fact</t>
        </is>
      </c>
      <c r="I96" s="7" t="inlineStr">
        <is>
          <t>Matrix image sits in the MD-00067 exhibit list as orientation material (ITAM_control_matrix.png Appendix A). Returned to source files next.</t>
        </is>
      </c>
    </row>
    <row r="97">
      <c r="A97" s="7" t="inlineStr">
        <is>
          <t>MD-00067</t>
        </is>
      </c>
      <c r="B97" s="7" t="inlineStr">
        <is>
          <t>2026-08-09</t>
        </is>
      </c>
      <c r="C97" s="7" t="inlineStr">
        <is>
          <t>Reconciliation Conclusion</t>
        </is>
      </c>
      <c r="D97" s="7" t="inlineStr">
        <is>
          <t>Evidence review</t>
        </is>
      </c>
      <c r="E97" s="7" t="inlineStr">
        <is>
          <t>Regional IT</t>
        </is>
      </c>
      <c r="F97" s="7" t="inlineStr">
        <is>
          <t>Chicago</t>
        </is>
      </c>
      <c r="G97" s="7" t="inlineStr">
        <is>
          <t>EX-0061, EX-0062</t>
        </is>
      </c>
      <c r="H97" s="7" t="inlineStr">
        <is>
          <t>Confirmed Fact</t>
        </is>
      </c>
      <c r="I97" s="7" t="inlineStr">
        <is>
          <t>Chain closed on MD-00067 with operational reading Pending Redeployment. Linked EX-0061, EX-0062.</t>
        </is>
      </c>
    </row>
    <row r="98">
      <c r="A98" s="7" t="inlineStr">
        <is>
          <t>MD-00068</t>
        </is>
      </c>
      <c r="B98" s="7" t="inlineStr">
        <is>
          <t>2022-09-21</t>
        </is>
      </c>
      <c r="C98" s="7" t="inlineStr">
        <is>
          <t>Purchase</t>
        </is>
      </c>
      <c r="D98" s="7" t="inlineStr">
        <is>
          <t>Vendor</t>
        </is>
      </c>
      <c r="E98" s="7" t="inlineStr">
        <is>
          <t>Central Receiving</t>
        </is>
      </c>
      <c r="F98" s="7" t="inlineStr">
        <is>
          <t>Atlanta Warehouse</t>
        </is>
      </c>
      <c r="G98" s="7" t="inlineStr">
        <is>
          <t>PO-2022-0013</t>
        </is>
      </c>
      <c r="H98" s="7" t="inlineStr">
        <is>
          <t>Confirmed Fact</t>
        </is>
      </c>
      <c r="I98" s="7" t="inlineStr">
        <is>
          <t>Acquisition packet for MD-00068: vendor delivery against PO-2022-0013, $6,425.</t>
        </is>
      </c>
    </row>
    <row r="99">
      <c r="A99" s="7" t="inlineStr">
        <is>
          <t>MD-00068</t>
        </is>
      </c>
      <c r="B99" s="7" t="inlineStr">
        <is>
          <t>2026-03-21</t>
        </is>
      </c>
      <c r="C99" s="7" t="inlineStr">
        <is>
          <t>Assignment/Transfer</t>
        </is>
      </c>
      <c r="D99" s="7" t="inlineStr">
        <is>
          <t>Central Receiving</t>
        </is>
      </c>
      <c r="E99" s="7" t="inlineStr">
        <is>
          <t>E0071</t>
        </is>
      </c>
      <c r="F99" s="7" t="inlineStr">
        <is>
          <t>Remote - Former Employee</t>
        </is>
      </c>
      <c r="G99" s="7" t="inlineStr">
        <is>
          <t>TR-00068</t>
        </is>
      </c>
      <c r="H99" s="7" t="inlineStr">
        <is>
          <t>Confirmed Fact</t>
        </is>
      </c>
      <c r="I99" s="7" t="inlineStr">
        <is>
          <t>Move evidence pack for MD-00068 centers on TR-00068.</t>
        </is>
      </c>
    </row>
    <row r="100">
      <c r="A100" s="7" t="inlineStr">
        <is>
          <t>MD-00068</t>
        </is>
      </c>
      <c r="B100" s="7" t="inlineStr">
        <is>
          <t>2026-05-10</t>
        </is>
      </c>
      <c r="C100" s="7" t="inlineStr">
        <is>
          <t>Offboarding Ticket</t>
        </is>
      </c>
      <c r="D100" s="7" t="inlineStr">
        <is>
          <t>E0081</t>
        </is>
      </c>
      <c r="E100" s="7" t="inlineStr">
        <is>
          <t>IT Service Desk</t>
        </is>
      </c>
      <c r="F100" s="7" t="inlineStr"/>
      <c r="G100" s="7" t="inlineStr">
        <is>
          <t>OFF-00068</t>
        </is>
      </c>
      <c r="H100" s="7" t="inlineStr">
        <is>
          <t>Technician Claim</t>
        </is>
      </c>
      <c r="I100" s="7" t="inlineStr">
        <is>
          <t>Offboard record OFF-00068 flags MD-00068 for custodian cleanup.</t>
        </is>
      </c>
    </row>
    <row r="101">
      <c r="A101" s="7" t="inlineStr">
        <is>
          <t>MD-00068</t>
        </is>
      </c>
      <c r="B101" s="7" t="inlineStr">
        <is>
          <t>2026-05-10</t>
        </is>
      </c>
      <c r="C101" s="7" t="inlineStr">
        <is>
          <t>Technician Comment</t>
        </is>
      </c>
      <c r="D101" s="7" t="inlineStr">
        <is>
          <t>Service Desk</t>
        </is>
      </c>
      <c r="E101" s="7" t="inlineStr"/>
      <c r="F101" s="7" t="inlineStr"/>
      <c r="G101" s="7" t="inlineStr">
        <is>
          <t>OFF-00068</t>
        </is>
      </c>
      <c r="H101" s="7" t="inlineStr">
        <is>
          <t>Technician Claim</t>
        </is>
      </c>
      <c r="I101" s="7" t="inlineStr">
        <is>
          <t>Unverified tech comment OFF-00068 linked to MD-00068.</t>
        </is>
      </c>
    </row>
    <row r="102">
      <c r="A102" s="7" t="inlineStr">
        <is>
          <t>MD-00068</t>
        </is>
      </c>
      <c r="B102" s="7" t="inlineStr">
        <is>
          <t>2026-06-25</t>
        </is>
      </c>
      <c r="C102" s="7" t="inlineStr">
        <is>
          <t>Return Label Created</t>
        </is>
      </c>
      <c r="D102" s="7" t="inlineStr">
        <is>
          <t>E0081</t>
        </is>
      </c>
      <c r="E102" s="7" t="inlineStr">
        <is>
          <t>Return Carrier</t>
        </is>
      </c>
      <c r="F102" s="7" t="inlineStr">
        <is>
          <t>Carrier Network</t>
        </is>
      </c>
      <c r="G102" s="7" t="inlineStr">
        <is>
          <t>1ZMD00000068</t>
        </is>
      </c>
      <c r="H102" s="7" t="inlineStr">
        <is>
          <t>Technician Claim</t>
        </is>
      </c>
      <c r="I102" s="7" t="inlineStr">
        <is>
          <t>Carrier label event 1ZMD00000068 on MD-00068 — awaiting acceptance/delivery/scan chain.</t>
        </is>
      </c>
    </row>
    <row r="103">
      <c r="A103" s="7" t="inlineStr">
        <is>
          <t>MD-00068</t>
        </is>
      </c>
      <c r="B103" s="7" t="inlineStr">
        <is>
          <t>2026-08-05</t>
        </is>
      </c>
      <c r="C103" s="7" t="inlineStr">
        <is>
          <t>Regional IT Note Lead</t>
        </is>
      </c>
      <c r="D103" s="7" t="inlineStr">
        <is>
          <t>Regional IT</t>
        </is>
      </c>
      <c r="E103" s="7" t="inlineStr"/>
      <c r="F103" s="7" t="inlineStr">
        <is>
          <t>Chicago - Closed</t>
        </is>
      </c>
      <c r="G103" s="7" t="inlineStr">
        <is>
          <t>regional_IT_notes.docx</t>
        </is>
      </c>
      <c r="H103" s="7" t="inlineStr">
        <is>
          <t>Technician Claim</t>
        </is>
      </c>
      <c r="I103" s="7" t="inlineStr">
        <is>
          <t>Regional note for MD-00068 kept as an unverified lead (regional_IT_notes.docx). Held as investigative crumb.</t>
        </is>
      </c>
    </row>
    <row r="104">
      <c r="A104" s="7" t="inlineStr">
        <is>
          <t>MD-00068</t>
        </is>
      </c>
      <c r="B104" s="7" t="inlineStr">
        <is>
          <t>2026-08-09</t>
        </is>
      </c>
      <c r="C104" s="7" t="inlineStr">
        <is>
          <t>Policy Control Figure</t>
        </is>
      </c>
      <c r="D104" s="7" t="inlineStr">
        <is>
          <t>ITAM-001</t>
        </is>
      </c>
      <c r="E104" s="7" t="inlineStr"/>
      <c r="F104" s="7" t="inlineStr"/>
      <c r="G104" s="7" t="inlineStr">
        <is>
          <t>IT_asset_management_policy.pdf</t>
        </is>
      </c>
      <c r="H104" s="7" t="inlineStr">
        <is>
          <t>Confirmed Fact</t>
        </is>
      </c>
      <c r="I104" s="7" t="inlineStr">
        <is>
          <t>Checked ITAM_control_matrix.png while reviewing MD-00068; figure is a control lead only. Logged as multimodal lead.</t>
        </is>
      </c>
    </row>
    <row r="105">
      <c r="A105" s="7" t="inlineStr">
        <is>
          <t>MD-00068</t>
        </is>
      </c>
      <c r="B105" s="7" t="inlineStr">
        <is>
          <t>2026-08-09</t>
        </is>
      </c>
      <c r="C105" s="7" t="inlineStr">
        <is>
          <t>Reconciliation Conclusion</t>
        </is>
      </c>
      <c r="D105" s="7" t="inlineStr">
        <is>
          <t>Evidence review</t>
        </is>
      </c>
      <c r="E105" s="7" t="inlineStr">
        <is>
          <t>E0081</t>
        </is>
      </c>
      <c r="F105" s="7" t="inlineStr">
        <is>
          <t>Remote - Former Employee</t>
        </is>
      </c>
      <c r="G105" s="7" t="inlineStr">
        <is>
          <t>EX-0063, EX-0064, EX-0065</t>
        </is>
      </c>
      <c r="H105" s="7" t="inlineStr">
        <is>
          <t>Unresolved Assumption</t>
        </is>
      </c>
      <c r="I105" s="7" t="inlineStr">
        <is>
          <t>Reconciled MD-00068 to verified status Return Overdue / Remote - Former Employee. Open: EX-0063, EX-0064, EX-0065.</t>
        </is>
      </c>
    </row>
    <row r="106">
      <c r="A106" s="7" t="inlineStr">
        <is>
          <t>MD-00069</t>
        </is>
      </c>
      <c r="B106" s="7" t="inlineStr">
        <is>
          <t>2023-10-22</t>
        </is>
      </c>
      <c r="C106" s="7" t="inlineStr">
        <is>
          <t>Purchase</t>
        </is>
      </c>
      <c r="D106" s="7" t="inlineStr">
        <is>
          <t>Vendor</t>
        </is>
      </c>
      <c r="E106" s="7" t="inlineStr">
        <is>
          <t>Central Receiving</t>
        </is>
      </c>
      <c r="F106" s="7" t="inlineStr">
        <is>
          <t>Atlanta Warehouse</t>
        </is>
      </c>
      <c r="G106" s="7" t="inlineStr">
        <is>
          <t>PO-2022-0013</t>
        </is>
      </c>
      <c r="H106" s="7" t="inlineStr">
        <is>
          <t>Confirmed Fact</t>
        </is>
      </c>
      <c r="I106" s="7" t="inlineStr">
        <is>
          <t>PO line PO-2022-0013 is the acquisition spine for MD-00069 (iPhone 14).</t>
        </is>
      </c>
    </row>
    <row r="107">
      <c r="A107" s="7" t="inlineStr">
        <is>
          <t>MD-00069</t>
        </is>
      </c>
      <c r="B107" s="7" t="inlineStr">
        <is>
          <t>2026-04-22</t>
        </is>
      </c>
      <c r="C107" s="7" t="inlineStr">
        <is>
          <t>Assignment/Transfer</t>
        </is>
      </c>
      <c r="D107" s="7" t="inlineStr">
        <is>
          <t>Central Receiving</t>
        </is>
      </c>
      <c r="E107" s="7" t="inlineStr">
        <is>
          <t>E0072</t>
        </is>
      </c>
      <c r="F107" s="7" t="inlineStr">
        <is>
          <t>Remote - Former Employee</t>
        </is>
      </c>
      <c r="G107" s="7" t="inlineStr">
        <is>
          <t>TR-00069</t>
        </is>
      </c>
      <c r="H107" s="7" t="inlineStr">
        <is>
          <t>Confirmed Fact</t>
        </is>
      </c>
      <c r="I107" s="7" t="inlineStr">
        <is>
          <t>Move id TR-00069 anchors the assignment step for MD-00069.</t>
        </is>
      </c>
    </row>
    <row r="108">
      <c r="A108" s="7" t="inlineStr">
        <is>
          <t>MD-00069</t>
        </is>
      </c>
      <c r="B108" s="7" t="inlineStr">
        <is>
          <t>2026-06-11</t>
        </is>
      </c>
      <c r="C108" s="7" t="inlineStr">
        <is>
          <t>Offboarding Ticket</t>
        </is>
      </c>
      <c r="D108" s="7" t="inlineStr">
        <is>
          <t>E0082</t>
        </is>
      </c>
      <c r="E108" s="7" t="inlineStr">
        <is>
          <t>IT Service Desk</t>
        </is>
      </c>
      <c r="F108" s="7" t="inlineStr"/>
      <c r="G108" s="7" t="inlineStr">
        <is>
          <t>OFF-00069</t>
        </is>
      </c>
      <c r="H108" s="7" t="inlineStr">
        <is>
          <t>Technician Claim</t>
        </is>
      </c>
      <c r="I108" s="7" t="inlineStr">
        <is>
          <t>Offboarding ticket OFF-00069 touches MD-00069; custodian change still required if register lags.</t>
        </is>
      </c>
    </row>
    <row r="109">
      <c r="A109" s="7" t="inlineStr">
        <is>
          <t>MD-00069</t>
        </is>
      </c>
      <c r="B109" s="7" t="inlineStr">
        <is>
          <t>2026-06-11</t>
        </is>
      </c>
      <c r="C109" s="7" t="inlineStr">
        <is>
          <t>Technician Comment</t>
        </is>
      </c>
      <c r="D109" s="7" t="inlineStr">
        <is>
          <t>Service Desk</t>
        </is>
      </c>
      <c r="E109" s="7" t="inlineStr"/>
      <c r="F109" s="7" t="inlineStr"/>
      <c r="G109" s="7" t="inlineStr">
        <is>
          <t>OFF-00069</t>
        </is>
      </c>
      <c r="H109" s="7" t="inlineStr">
        <is>
          <t>Technician Claim</t>
        </is>
      </c>
      <c r="I109" s="7" t="inlineStr">
        <is>
          <t>Technician comment on MD-00069 retained as unverified (OFF-00069).</t>
        </is>
      </c>
    </row>
    <row r="110">
      <c r="A110" s="7" t="inlineStr">
        <is>
          <t>MD-00069</t>
        </is>
      </c>
      <c r="B110" s="7" t="inlineStr">
        <is>
          <t>2026-06-25</t>
        </is>
      </c>
      <c r="C110" s="7" t="inlineStr">
        <is>
          <t>Return Label Created</t>
        </is>
      </c>
      <c r="D110" s="7" t="inlineStr">
        <is>
          <t>E0082</t>
        </is>
      </c>
      <c r="E110" s="7" t="inlineStr">
        <is>
          <t>Return Carrier</t>
        </is>
      </c>
      <c r="F110" s="7" t="inlineStr">
        <is>
          <t>Carrier Network</t>
        </is>
      </c>
      <c r="G110" s="7" t="inlineStr">
        <is>
          <t>1ZMD00000069</t>
        </is>
      </c>
      <c r="H110" s="7" t="inlineStr">
        <is>
          <t>Technician Claim</t>
        </is>
      </c>
      <c r="I110" s="7" t="inlineStr">
        <is>
          <t>Label-created milestone 1ZMD00000069 for MD-00069; proof of return still incomplete.</t>
        </is>
      </c>
    </row>
    <row r="111">
      <c r="A111" s="7" t="inlineStr">
        <is>
          <t>MD-00069</t>
        </is>
      </c>
      <c r="B111" s="7" t="inlineStr">
        <is>
          <t>2026-08-05</t>
        </is>
      </c>
      <c r="C111" s="7" t="inlineStr">
        <is>
          <t>Regional IT Note Lead</t>
        </is>
      </c>
      <c r="D111" s="7" t="inlineStr">
        <is>
          <t>Regional IT</t>
        </is>
      </c>
      <c r="E111" s="7" t="inlineStr"/>
      <c r="F111" s="7" t="inlineStr">
        <is>
          <t>Denver - Closed</t>
        </is>
      </c>
      <c r="G111" s="7" t="inlineStr">
        <is>
          <t>regional_IT_notes.docx</t>
        </is>
      </c>
      <c r="H111" s="7" t="inlineStr">
        <is>
          <t>Technician Claim</t>
        </is>
      </c>
      <c r="I111" s="7" t="inlineStr">
        <is>
          <t>Keep regional_IT_notes.docx out of the proof stack for MD-00069. Requires independent find.</t>
        </is>
      </c>
    </row>
    <row r="112">
      <c r="A112" s="7" t="inlineStr">
        <is>
          <t>MD-00069</t>
        </is>
      </c>
      <c r="B112" s="7" t="inlineStr">
        <is>
          <t>2026-08-09</t>
        </is>
      </c>
      <c r="C112" s="7" t="inlineStr">
        <is>
          <t>Policy Control Figure</t>
        </is>
      </c>
      <c r="D112" s="7" t="inlineStr">
        <is>
          <t>ITAM-001</t>
        </is>
      </c>
      <c r="E112" s="7" t="inlineStr"/>
      <c r="F112" s="7" t="inlineStr"/>
      <c r="G112" s="7" t="inlineStr">
        <is>
          <t>IT_asset_management_policy.pdf §§4–9; ITAM_control_matrix.png</t>
        </is>
      </c>
      <c r="H112" s="7" t="inlineStr">
        <is>
          <t>Confirmed Fact</t>
        </is>
      </c>
      <c r="I112" s="7" t="inlineStr">
        <is>
          <t>Used the control matrix graphic to recall assignment/return/disposal expectations for MD-00069. Left as orientation.</t>
        </is>
      </c>
    </row>
    <row r="113">
      <c r="A113" s="7" t="inlineStr">
        <is>
          <t>MD-00069</t>
        </is>
      </c>
      <c r="B113" s="7" t="inlineStr">
        <is>
          <t>2026-08-09</t>
        </is>
      </c>
      <c r="C113" s="7" t="inlineStr">
        <is>
          <t>Reconciliation Conclusion</t>
        </is>
      </c>
      <c r="D113" s="7" t="inlineStr">
        <is>
          <t>Evidence review</t>
        </is>
      </c>
      <c r="E113" s="7" t="inlineStr">
        <is>
          <t>E0082</t>
        </is>
      </c>
      <c r="F113" s="7" t="inlineStr">
        <is>
          <t>Remote - Former Employee</t>
        </is>
      </c>
      <c r="G113" s="7" t="inlineStr">
        <is>
          <t>EX-0066, EX-0067</t>
        </is>
      </c>
      <c r="H113" s="7" t="inlineStr">
        <is>
          <t>Unresolved Assumption</t>
        </is>
      </c>
      <c r="I113" s="7" t="inlineStr">
        <is>
          <t>Working end-state for MD-00069: Return Overdue in Remote - Former Employee. Exceptions: EX-0066, EX-0067.</t>
        </is>
      </c>
    </row>
    <row r="114">
      <c r="A114" s="7" t="inlineStr">
        <is>
          <t>MD-00070</t>
        </is>
      </c>
      <c r="B114" s="7" t="inlineStr">
        <is>
          <t>2024-11-23</t>
        </is>
      </c>
      <c r="C114" s="7" t="inlineStr">
        <is>
          <t>Purchase</t>
        </is>
      </c>
      <c r="D114" s="7" t="inlineStr">
        <is>
          <t>Vendor</t>
        </is>
      </c>
      <c r="E114" s="7" t="inlineStr">
        <is>
          <t>Central Receiving</t>
        </is>
      </c>
      <c r="F114" s="7" t="inlineStr">
        <is>
          <t>Atlanta Warehouse</t>
        </is>
      </c>
      <c r="G114" s="7" t="inlineStr">
        <is>
          <t>PO-2022-0013</t>
        </is>
      </c>
      <c r="H114" s="7" t="inlineStr">
        <is>
          <t>Confirmed Fact</t>
        </is>
      </c>
      <c r="I114" s="7" t="inlineStr">
        <is>
          <t>MD-00070 enters inventory via PO-2022-0013; model iPhone 15.</t>
        </is>
      </c>
    </row>
    <row r="115">
      <c r="A115" s="7" t="inlineStr">
        <is>
          <t>MD-00070</t>
        </is>
      </c>
      <c r="B115" s="7" t="inlineStr">
        <is>
          <t>2026-05-23</t>
        </is>
      </c>
      <c r="C115" s="7" t="inlineStr">
        <is>
          <t>Assignment/Transfer</t>
        </is>
      </c>
      <c r="D115" s="7" t="inlineStr">
        <is>
          <t>Central Receiving</t>
        </is>
      </c>
      <c r="E115" s="7" t="inlineStr">
        <is>
          <t>E0073</t>
        </is>
      </c>
      <c r="F115" s="7" t="inlineStr">
        <is>
          <t>Remote - Former Employee</t>
        </is>
      </c>
      <c r="G115" s="7" t="inlineStr">
        <is>
          <t>TR-00070</t>
        </is>
      </c>
      <c r="H115" s="7" t="inlineStr">
        <is>
          <t>Confirmed Fact</t>
        </is>
      </c>
      <c r="I115" s="7" t="inlineStr">
        <is>
          <t>Custody hop language for MD-00070 mirrors TR-00070 fields.</t>
        </is>
      </c>
    </row>
    <row r="116">
      <c r="A116" s="7" t="inlineStr">
        <is>
          <t>MD-00070</t>
        </is>
      </c>
      <c r="B116" s="7" t="inlineStr">
        <is>
          <t>2026-05-12</t>
        </is>
      </c>
      <c r="C116" s="7" t="inlineStr">
        <is>
          <t>Offboarding Ticket</t>
        </is>
      </c>
      <c r="D116" s="7" t="inlineStr">
        <is>
          <t>E0083</t>
        </is>
      </c>
      <c r="E116" s="7" t="inlineStr">
        <is>
          <t>IT Service Desk</t>
        </is>
      </c>
      <c r="F116" s="7" t="inlineStr"/>
      <c r="G116" s="7" t="inlineStr">
        <is>
          <t>OFF-00070</t>
        </is>
      </c>
      <c r="H116" s="7" t="inlineStr">
        <is>
          <t>Technician Claim</t>
        </is>
      </c>
      <c r="I116" s="7" t="inlineStr">
        <is>
          <t>Separated-employee workflow OFF-00070 includes MD-00070.</t>
        </is>
      </c>
    </row>
    <row r="117">
      <c r="A117" s="7" t="inlineStr">
        <is>
          <t>MD-00070</t>
        </is>
      </c>
      <c r="B117" s="7" t="inlineStr">
        <is>
          <t>2026-05-12</t>
        </is>
      </c>
      <c r="C117" s="7" t="inlineStr">
        <is>
          <t>Technician Comment</t>
        </is>
      </c>
      <c r="D117" s="7" t="inlineStr">
        <is>
          <t>Service Desk</t>
        </is>
      </c>
      <c r="E117" s="7" t="inlineStr"/>
      <c r="F117" s="7" t="inlineStr"/>
      <c r="G117" s="7" t="inlineStr">
        <is>
          <t>OFF-00070</t>
        </is>
      </c>
      <c r="H117" s="7" t="inlineStr">
        <is>
          <t>Technician Claim</t>
        </is>
      </c>
      <c r="I117" s="7" t="inlineStr">
        <is>
          <t>Bench note OFF-00070 for MD-00070; needs independent corroboration.</t>
        </is>
      </c>
    </row>
    <row r="118">
      <c r="A118" s="7" t="inlineStr">
        <is>
          <t>MD-00070</t>
        </is>
      </c>
      <c r="B118" s="7" t="inlineStr">
        <is>
          <t>2026-06-25</t>
        </is>
      </c>
      <c r="C118" s="7" t="inlineStr">
        <is>
          <t>Return Label Created</t>
        </is>
      </c>
      <c r="D118" s="7" t="inlineStr">
        <is>
          <t>E0083</t>
        </is>
      </c>
      <c r="E118" s="7" t="inlineStr">
        <is>
          <t>Return Carrier</t>
        </is>
      </c>
      <c r="F118" s="7" t="inlineStr">
        <is>
          <t>Carrier Network</t>
        </is>
      </c>
      <c r="G118" s="7" t="inlineStr">
        <is>
          <t>1ZMD00000070</t>
        </is>
      </c>
      <c r="H118" s="7" t="inlineStr">
        <is>
          <t>Technician Claim</t>
        </is>
      </c>
      <c r="I118" s="7" t="inlineStr">
        <is>
          <t>Label-created milestone 1ZMD00000070 for MD-00070; proof of return still incomplete.</t>
        </is>
      </c>
    </row>
    <row r="119">
      <c r="A119" s="7" t="inlineStr">
        <is>
          <t>MD-00070</t>
        </is>
      </c>
      <c r="B119" s="7" t="inlineStr">
        <is>
          <t>2026-08-05</t>
        </is>
      </c>
      <c r="C119" s="7" t="inlineStr">
        <is>
          <t>Regional IT Note Lead</t>
        </is>
      </c>
      <c r="D119" s="7" t="inlineStr">
        <is>
          <t>Regional IT</t>
        </is>
      </c>
      <c r="E119" s="7" t="inlineStr"/>
      <c r="F119" s="7" t="inlineStr">
        <is>
          <t>Chicago - Closed</t>
        </is>
      </c>
      <c r="G119" s="7" t="inlineStr">
        <is>
          <t>regional_IT_notes.docx</t>
        </is>
      </c>
      <c r="H119" s="7" t="inlineStr">
        <is>
          <t>Technician Claim</t>
        </is>
      </c>
      <c r="I119" s="7" t="inlineStr">
        <is>
          <t>Regional note regional_IT_notes.docx on MD-00070 remains unverified. No register update from this alone.</t>
        </is>
      </c>
    </row>
    <row r="120">
      <c r="A120" s="7" t="inlineStr">
        <is>
          <t>MD-00070</t>
        </is>
      </c>
      <c r="B120" s="7" t="inlineStr">
        <is>
          <t>2026-08-09</t>
        </is>
      </c>
      <c r="C120" s="7" t="inlineStr">
        <is>
          <t>Policy Control Figure</t>
        </is>
      </c>
      <c r="D120" s="7" t="inlineStr">
        <is>
          <t>ITAM-001</t>
        </is>
      </c>
      <c r="E120" s="7" t="inlineStr"/>
      <c r="F120" s="7" t="inlineStr"/>
      <c r="G120" s="7" t="inlineStr">
        <is>
          <t>IT_asset_management_policy.pdf §§4–9; ITAM_control_matrix.png</t>
        </is>
      </c>
      <c r="H120" s="7" t="inlineStr">
        <is>
          <t>Confirmed Fact</t>
        </is>
      </c>
      <c r="I120" s="7" t="inlineStr">
        <is>
          <t>For MD-00070, the policy figure clarifies evidence precedence without adding new facts. Left as orientation.</t>
        </is>
      </c>
    </row>
    <row r="121">
      <c r="A121" s="7" t="inlineStr">
        <is>
          <t>MD-00070</t>
        </is>
      </c>
      <c r="B121" s="7" t="inlineStr">
        <is>
          <t>2026-08-09</t>
        </is>
      </c>
      <c r="C121" s="7" t="inlineStr">
        <is>
          <t>Reconciliation Conclusion</t>
        </is>
      </c>
      <c r="D121" s="7" t="inlineStr">
        <is>
          <t>Evidence review</t>
        </is>
      </c>
      <c r="E121" s="7" t="inlineStr">
        <is>
          <t>E0083</t>
        </is>
      </c>
      <c r="F121" s="7" t="inlineStr">
        <is>
          <t>Remote - Former Employee</t>
        </is>
      </c>
      <c r="G121" s="7" t="inlineStr">
        <is>
          <t>EX-0068, EX-0069</t>
        </is>
      </c>
      <c r="H121" s="7" t="inlineStr">
        <is>
          <t>Unresolved Assumption</t>
        </is>
      </c>
      <c r="I121" s="7" t="inlineStr">
        <is>
          <t>Conclusion row for MD-00070 — Return Overdue at Remote - Former Employee. Tied exceptions EX-0068, EX-0069.</t>
        </is>
      </c>
    </row>
    <row r="122">
      <c r="A122" s="7" t="inlineStr">
        <is>
          <t>MD-00071</t>
        </is>
      </c>
      <c r="B122" s="7" t="inlineStr">
        <is>
          <t>2025-12-24</t>
        </is>
      </c>
      <c r="C122" s="7" t="inlineStr">
        <is>
          <t>Purchase</t>
        </is>
      </c>
      <c r="D122" s="7" t="inlineStr">
        <is>
          <t>Vendor</t>
        </is>
      </c>
      <c r="E122" s="7" t="inlineStr">
        <is>
          <t>Central Receiving</t>
        </is>
      </c>
      <c r="F122" s="7" t="inlineStr">
        <is>
          <t>Atlanta Warehouse</t>
        </is>
      </c>
      <c r="G122" s="7" t="inlineStr">
        <is>
          <t>PO-2023-0014</t>
        </is>
      </c>
      <c r="H122" s="7" t="inlineStr">
        <is>
          <t>Confirmed Fact</t>
        </is>
      </c>
      <c r="I122" s="7" t="inlineStr">
        <is>
          <t>Buy recorded for MD-00071 under PO-2023-0014; Google Pixel 8 received into inventory.</t>
        </is>
      </c>
    </row>
    <row r="123">
      <c r="A123" s="7" t="inlineStr">
        <is>
          <t>MD-00071</t>
        </is>
      </c>
      <c r="B123" s="7" t="inlineStr">
        <is>
          <t>2026-06-24</t>
        </is>
      </c>
      <c r="C123" s="7" t="inlineStr">
        <is>
          <t>Assignment/Transfer</t>
        </is>
      </c>
      <c r="D123" s="7" t="inlineStr">
        <is>
          <t>Central Receiving</t>
        </is>
      </c>
      <c r="E123" s="7" t="inlineStr">
        <is>
          <t>E0074</t>
        </is>
      </c>
      <c r="F123" s="7" t="inlineStr">
        <is>
          <t>Remote - Former Employee</t>
        </is>
      </c>
      <c r="G123" s="7" t="inlineStr">
        <is>
          <t>TR-00071</t>
        </is>
      </c>
      <c r="H123" s="7" t="inlineStr">
        <is>
          <t>Confirmed Fact</t>
        </is>
      </c>
      <c r="I123" s="7" t="inlineStr">
        <is>
          <t>Transfer TR-00071 is the only assignment event used for MD-00071 here [t123-1].</t>
        </is>
      </c>
    </row>
    <row r="124">
      <c r="A124" s="7" t="inlineStr">
        <is>
          <t>MD-00071</t>
        </is>
      </c>
      <c r="B124" s="7" t="inlineStr">
        <is>
          <t>2026-06-13</t>
        </is>
      </c>
      <c r="C124" s="7" t="inlineStr">
        <is>
          <t>Offboarding Ticket</t>
        </is>
      </c>
      <c r="D124" s="7" t="inlineStr">
        <is>
          <t>E0084</t>
        </is>
      </c>
      <c r="E124" s="7" t="inlineStr">
        <is>
          <t>IT Service Desk</t>
        </is>
      </c>
      <c r="F124" s="7" t="inlineStr"/>
      <c r="G124" s="7" t="inlineStr">
        <is>
          <t>OFF-00071</t>
        </is>
      </c>
      <c r="H124" s="7" t="inlineStr">
        <is>
          <t>Technician Claim</t>
        </is>
      </c>
      <c r="I124" s="7" t="inlineStr">
        <is>
          <t>MD-00071 appears on offboarding OFF-00071; confirm register update.</t>
        </is>
      </c>
    </row>
    <row r="125">
      <c r="A125" s="7" t="inlineStr">
        <is>
          <t>MD-00071</t>
        </is>
      </c>
      <c r="B125" s="7" t="inlineStr">
        <is>
          <t>2026-06-13</t>
        </is>
      </c>
      <c r="C125" s="7" t="inlineStr">
        <is>
          <t>Technician Comment</t>
        </is>
      </c>
      <c r="D125" s="7" t="inlineStr">
        <is>
          <t>Service Desk</t>
        </is>
      </c>
      <c r="E125" s="7" t="inlineStr"/>
      <c r="F125" s="7" t="inlineStr"/>
      <c r="G125" s="7" t="inlineStr">
        <is>
          <t>OFF-00071</t>
        </is>
      </c>
      <c r="H125" s="7" t="inlineStr">
        <is>
          <t>Technician Claim</t>
        </is>
      </c>
      <c r="I125" s="7" t="inlineStr">
        <is>
          <t>Technician comment on MD-00071 retained as unverified (OFF-00071).</t>
        </is>
      </c>
    </row>
    <row r="126">
      <c r="A126" s="7" t="inlineStr">
        <is>
          <t>MD-00071</t>
        </is>
      </c>
      <c r="B126" s="7" t="inlineStr">
        <is>
          <t>2026-06-25</t>
        </is>
      </c>
      <c r="C126" s="7" t="inlineStr">
        <is>
          <t>Return Label Created</t>
        </is>
      </c>
      <c r="D126" s="7" t="inlineStr">
        <is>
          <t>E0084</t>
        </is>
      </c>
      <c r="E126" s="7" t="inlineStr">
        <is>
          <t>Return Carrier</t>
        </is>
      </c>
      <c r="F126" s="7" t="inlineStr">
        <is>
          <t>Carrier Network</t>
        </is>
      </c>
      <c r="G126" s="7" t="inlineStr">
        <is>
          <t>1ZMD00000071</t>
        </is>
      </c>
      <c r="H126" s="7" t="inlineStr">
        <is>
          <t>Technician Claim</t>
        </is>
      </c>
      <c r="I126" s="7" t="inlineStr">
        <is>
          <t>Return label 1ZMD00000071 created for MD-00071; label alone is not acceptance proof.</t>
        </is>
      </c>
    </row>
    <row r="127">
      <c r="A127" s="7" t="inlineStr">
        <is>
          <t>MD-00071</t>
        </is>
      </c>
      <c r="B127" s="7" t="inlineStr">
        <is>
          <t>2026-08-05</t>
        </is>
      </c>
      <c r="C127" s="7" t="inlineStr">
        <is>
          <t>Regional IT Note Lead</t>
        </is>
      </c>
      <c r="D127" s="7" t="inlineStr">
        <is>
          <t>Regional IT</t>
        </is>
      </c>
      <c r="E127" s="7" t="inlineStr"/>
      <c r="F127" s="7" t="inlineStr">
        <is>
          <t>Denver - Closed</t>
        </is>
      </c>
      <c r="G127" s="7" t="inlineStr">
        <is>
          <t>regional_IT_notes.docx</t>
        </is>
      </c>
      <c r="H127" s="7" t="inlineStr">
        <is>
          <t>Technician Claim</t>
        </is>
      </c>
      <c r="I127" s="7" t="inlineStr">
        <is>
          <t>Unconfirmed site remark for MD-00071 stored as regional_IT_notes.docx. Left outside certification proof.</t>
        </is>
      </c>
    </row>
    <row r="128">
      <c r="A128" s="7" t="inlineStr">
        <is>
          <t>MD-00071</t>
        </is>
      </c>
      <c r="B128" s="7" t="inlineStr">
        <is>
          <t>2026-08-09</t>
        </is>
      </c>
      <c r="C128" s="7" t="inlineStr">
        <is>
          <t>Policy Control Figure</t>
        </is>
      </c>
      <c r="D128" s="7" t="inlineStr">
        <is>
          <t>ITAM-001</t>
        </is>
      </c>
      <c r="E128" s="7" t="inlineStr"/>
      <c r="F128" s="7" t="inlineStr"/>
      <c r="G128" s="7" t="inlineStr">
        <is>
          <t>ITAM_control_matrix.png; IT_asset_management_policy.pdf</t>
        </is>
      </c>
      <c r="H128" s="7" t="inlineStr">
        <is>
          <t>Confirmed Fact</t>
        </is>
      </c>
      <c r="I128" s="7" t="inlineStr">
        <is>
          <t>Orientation graphic only for MD-00071: ITAM_control_matrix.png. Marked lead-only.</t>
        </is>
      </c>
    </row>
    <row r="129">
      <c r="A129" s="7" t="inlineStr">
        <is>
          <t>MD-00071</t>
        </is>
      </c>
      <c r="B129" s="7" t="inlineStr">
        <is>
          <t>2026-08-09</t>
        </is>
      </c>
      <c r="C129" s="7" t="inlineStr">
        <is>
          <t>Reconciliation Conclusion</t>
        </is>
      </c>
      <c r="D129" s="7" t="inlineStr">
        <is>
          <t>Evidence review</t>
        </is>
      </c>
      <c r="E129" s="7" t="inlineStr">
        <is>
          <t>E0084</t>
        </is>
      </c>
      <c r="F129" s="7" t="inlineStr">
        <is>
          <t>Remote - Former Employee</t>
        </is>
      </c>
      <c r="G129" s="7" t="inlineStr">
        <is>
          <t>EX-0070, EX-0071</t>
        </is>
      </c>
      <c r="H129" s="7" t="inlineStr">
        <is>
          <t>Unresolved Assumption</t>
        </is>
      </c>
      <c r="I129" s="7" t="inlineStr">
        <is>
          <t>Summary for MD-00071: verified Return Overdue @ Remote - Former Employee. Outstanding EX-0070, EX-0071.</t>
        </is>
      </c>
    </row>
    <row r="130">
      <c r="A130" s="7" t="inlineStr">
        <is>
          <t>MD-00072</t>
        </is>
      </c>
      <c r="B130" s="7" t="inlineStr">
        <is>
          <t>2022-01-01</t>
        </is>
      </c>
      <c r="C130" s="7" t="inlineStr">
        <is>
          <t>Purchase</t>
        </is>
      </c>
      <c r="D130" s="7" t="inlineStr">
        <is>
          <t>Vendor</t>
        </is>
      </c>
      <c r="E130" s="7" t="inlineStr">
        <is>
          <t>Central Receiving</t>
        </is>
      </c>
      <c r="F130" s="7" t="inlineStr">
        <is>
          <t>Atlanta Warehouse</t>
        </is>
      </c>
      <c r="G130" s="7" t="inlineStr">
        <is>
          <t>PO-2023-0014</t>
        </is>
      </c>
      <c r="H130" s="7" t="inlineStr">
        <is>
          <t>Confirmed Fact</t>
        </is>
      </c>
      <c r="I130" s="7" t="inlineStr">
        <is>
          <t>MD-00072 enters inventory via PO-2023-0014; model Fortinet FortiSwitch 148F.</t>
        </is>
      </c>
    </row>
    <row r="131">
      <c r="A131" s="7" t="inlineStr">
        <is>
          <t>MD-00072</t>
        </is>
      </c>
      <c r="B131" s="7" t="inlineStr">
        <is>
          <t>2026-01-01</t>
        </is>
      </c>
      <c r="C131" s="7" t="inlineStr">
        <is>
          <t>Assignment/Transfer</t>
        </is>
      </c>
      <c r="D131" s="7" t="inlineStr">
        <is>
          <t>Central Receiving</t>
        </is>
      </c>
      <c r="E131" s="7" t="inlineStr">
        <is>
          <t>E0075</t>
        </is>
      </c>
      <c r="F131" s="7" t="inlineStr">
        <is>
          <t>Remote - Former Employee</t>
        </is>
      </c>
      <c r="G131" s="7" t="inlineStr">
        <is>
          <t>TR-00072</t>
        </is>
      </c>
      <c r="H131" s="7" t="inlineStr">
        <is>
          <t>Confirmed Fact</t>
        </is>
      </c>
      <c r="I131" s="7" t="inlineStr">
        <is>
          <t>No alternate move invented for MD-00072; TR-00072 stands [t131-1].</t>
        </is>
      </c>
    </row>
    <row r="132">
      <c r="A132" s="7" t="inlineStr">
        <is>
          <t>MD-00072</t>
        </is>
      </c>
      <c r="B132" s="7" t="inlineStr">
        <is>
          <t>2026-05-14</t>
        </is>
      </c>
      <c r="C132" s="7" t="inlineStr">
        <is>
          <t>Offboarding Ticket</t>
        </is>
      </c>
      <c r="D132" s="7" t="inlineStr">
        <is>
          <t>E0085</t>
        </is>
      </c>
      <c r="E132" s="7" t="inlineStr">
        <is>
          <t>IT Service Desk</t>
        </is>
      </c>
      <c r="F132" s="7" t="inlineStr"/>
      <c r="G132" s="7" t="inlineStr">
        <is>
          <t>OFF-00072</t>
        </is>
      </c>
      <c r="H132" s="7" t="inlineStr">
        <is>
          <t>Technician Claim</t>
        </is>
      </c>
      <c r="I132" s="7" t="inlineStr">
        <is>
          <t>HR/IT offboarding OFF-00072 lists MD-00072; verify register custodian matches ticket closeout.</t>
        </is>
      </c>
    </row>
    <row r="133">
      <c r="A133" s="7" t="inlineStr">
        <is>
          <t>MD-00072</t>
        </is>
      </c>
      <c r="B133" s="7" t="inlineStr">
        <is>
          <t>2026-05-14</t>
        </is>
      </c>
      <c r="C133" s="7" t="inlineStr">
        <is>
          <t>Technician Comment</t>
        </is>
      </c>
      <c r="D133" s="7" t="inlineStr">
        <is>
          <t>Service Desk</t>
        </is>
      </c>
      <c r="E133" s="7" t="inlineStr"/>
      <c r="F133" s="7" t="inlineStr"/>
      <c r="G133" s="7" t="inlineStr">
        <is>
          <t>OFF-00072</t>
        </is>
      </c>
      <c r="H133" s="7" t="inlineStr">
        <is>
          <t>Technician Claim</t>
        </is>
      </c>
      <c r="I133" s="7" t="inlineStr">
        <is>
          <t>Tech remark filed against MD-00072 under OFF-00072.</t>
        </is>
      </c>
    </row>
    <row r="134">
      <c r="A134" s="7" t="inlineStr">
        <is>
          <t>MD-00072</t>
        </is>
      </c>
      <c r="B134" s="7" t="inlineStr">
        <is>
          <t>2026-06-25</t>
        </is>
      </c>
      <c r="C134" s="7" t="inlineStr">
        <is>
          <t>Return Label Created</t>
        </is>
      </c>
      <c r="D134" s="7" t="inlineStr">
        <is>
          <t>E0085</t>
        </is>
      </c>
      <c r="E134" s="7" t="inlineStr">
        <is>
          <t>Return Carrier</t>
        </is>
      </c>
      <c r="F134" s="7" t="inlineStr">
        <is>
          <t>Carrier Network</t>
        </is>
      </c>
      <c r="G134" s="7" t="inlineStr">
        <is>
          <t>1ZMD00000072</t>
        </is>
      </c>
      <c r="H134" s="7" t="inlineStr">
        <is>
          <t>Technician Claim</t>
        </is>
      </c>
      <c r="I134" s="7" t="inlineStr">
        <is>
          <t>Outbound label 1ZMD00000072 logged for MD-00072.</t>
        </is>
      </c>
    </row>
    <row r="135">
      <c r="A135" s="7" t="inlineStr">
        <is>
          <t>MD-00072</t>
        </is>
      </c>
      <c r="B135" s="7" t="inlineStr">
        <is>
          <t>2026-08-05</t>
        </is>
      </c>
      <c r="C135" s="7" t="inlineStr">
        <is>
          <t>Regional IT Note Lead</t>
        </is>
      </c>
      <c r="D135" s="7" t="inlineStr">
        <is>
          <t>Regional IT</t>
        </is>
      </c>
      <c r="E135" s="7" t="inlineStr"/>
      <c r="F135" s="7" t="inlineStr">
        <is>
          <t>Chicago - Closed</t>
        </is>
      </c>
      <c r="G135" s="7" t="inlineStr">
        <is>
          <t>regional_IT_notes.docx</t>
        </is>
      </c>
      <c r="H135" s="7" t="inlineStr">
        <is>
          <t>Technician Claim</t>
        </is>
      </c>
      <c r="I135" s="7" t="inlineStr">
        <is>
          <t>Soft lead regional_IT_notes.docx for MD-00072 — ignore for clearance without scans/tickets. Needs ticket or scan before use.</t>
        </is>
      </c>
    </row>
    <row r="136">
      <c r="A136" s="7" t="inlineStr">
        <is>
          <t>MD-00072</t>
        </is>
      </c>
      <c r="B136" s="7" t="inlineStr">
        <is>
          <t>2026-08-09</t>
        </is>
      </c>
      <c r="C136" s="7" t="inlineStr">
        <is>
          <t>Policy Control Figure</t>
        </is>
      </c>
      <c r="D136" s="7" t="inlineStr">
        <is>
          <t>ITAM-001</t>
        </is>
      </c>
      <c r="E136" s="7" t="inlineStr"/>
      <c r="F136" s="7" t="inlineStr"/>
      <c r="G136" s="7" t="inlineStr">
        <is>
          <t>ITAM_control_matrix.png</t>
        </is>
      </c>
      <c r="H136" s="7" t="inlineStr">
        <is>
          <t>Confirmed Fact</t>
        </is>
      </c>
      <c r="I136" s="7" t="inlineStr">
        <is>
          <t>Multimodal policy figure cited for MD-00072; text sources remain authoritative. Kept out of disposition logic.</t>
        </is>
      </c>
    </row>
    <row r="137">
      <c r="A137" s="7" t="inlineStr">
        <is>
          <t>MD-00072</t>
        </is>
      </c>
      <c r="B137" s="7" t="inlineStr">
        <is>
          <t>2026-08-09</t>
        </is>
      </c>
      <c r="C137" s="7" t="inlineStr">
        <is>
          <t>Reconciliation Conclusion</t>
        </is>
      </c>
      <c r="D137" s="7" t="inlineStr">
        <is>
          <t>Evidence review</t>
        </is>
      </c>
      <c r="E137" s="7" t="inlineStr">
        <is>
          <t>E0085</t>
        </is>
      </c>
      <c r="F137" s="7" t="inlineStr">
        <is>
          <t>Remote - Former Employee</t>
        </is>
      </c>
      <c r="G137" s="7" t="inlineStr">
        <is>
          <t>EX-0072, EX-0073</t>
        </is>
      </c>
      <c r="H137" s="7" t="inlineStr">
        <is>
          <t>Unresolved Assumption</t>
        </is>
      </c>
      <c r="I137" s="7" t="inlineStr">
        <is>
          <t>Reconciled MD-00072 to verified status Return Overdue / Remote - Former Employee. Open: EX-0072, EX-0073.</t>
        </is>
      </c>
    </row>
    <row r="138">
      <c r="A138" s="7" t="inlineStr">
        <is>
          <t>MD-00073</t>
        </is>
      </c>
      <c r="B138" s="7" t="inlineStr">
        <is>
          <t>2023-02-02</t>
        </is>
      </c>
      <c r="C138" s="7" t="inlineStr">
        <is>
          <t>Purchase</t>
        </is>
      </c>
      <c r="D138" s="7" t="inlineStr">
        <is>
          <t>Vendor</t>
        </is>
      </c>
      <c r="E138" s="7" t="inlineStr">
        <is>
          <t>Central Receiving</t>
        </is>
      </c>
      <c r="F138" s="7" t="inlineStr">
        <is>
          <t>Atlanta Warehouse</t>
        </is>
      </c>
      <c r="G138" s="7" t="inlineStr">
        <is>
          <t>PO-2023-0014</t>
        </is>
      </c>
      <c r="H138" s="7" t="inlineStr">
        <is>
          <t>Confirmed Fact</t>
        </is>
      </c>
      <c r="I138" s="7" t="inlineStr">
        <is>
          <t>PO-2023-0014 → MD-00073 / Cisco C9300, basis $1,985.</t>
        </is>
      </c>
    </row>
    <row r="139">
      <c r="A139" s="7" t="inlineStr">
        <is>
          <t>MD-00073</t>
        </is>
      </c>
      <c r="B139" s="7" t="inlineStr">
        <is>
          <t>2026-02-02</t>
        </is>
      </c>
      <c r="C139" s="7" t="inlineStr">
        <is>
          <t>Assignment/Transfer</t>
        </is>
      </c>
      <c r="D139" s="7" t="inlineStr">
        <is>
          <t>Central Receiving</t>
        </is>
      </c>
      <c r="E139" s="7" t="inlineStr">
        <is>
          <t>E0076</t>
        </is>
      </c>
      <c r="F139" s="7" t="inlineStr">
        <is>
          <t>Remote - Former Employee</t>
        </is>
      </c>
      <c r="G139" s="7" t="inlineStr">
        <is>
          <t>TR-00073</t>
        </is>
      </c>
      <c r="H139" s="7" t="inlineStr">
        <is>
          <t>Confirmed Fact</t>
        </is>
      </c>
      <c r="I139" s="7" t="inlineStr">
        <is>
          <t>Hand-off documentation for MD-00073 = TR-00073.</t>
        </is>
      </c>
    </row>
    <row r="140">
      <c r="A140" s="7" t="inlineStr">
        <is>
          <t>MD-00073</t>
        </is>
      </c>
      <c r="B140" s="7" t="inlineStr">
        <is>
          <t>2026-06-15</t>
        </is>
      </c>
      <c r="C140" s="7" t="inlineStr">
        <is>
          <t>Offboarding Ticket</t>
        </is>
      </c>
      <c r="D140" s="7" t="inlineStr">
        <is>
          <t>E0086</t>
        </is>
      </c>
      <c r="E140" s="7" t="inlineStr">
        <is>
          <t>IT Service Desk</t>
        </is>
      </c>
      <c r="F140" s="7" t="inlineStr"/>
      <c r="G140" s="7" t="inlineStr">
        <is>
          <t>OFF-00073</t>
        </is>
      </c>
      <c r="H140" s="7" t="inlineStr">
        <is>
          <t>Technician Claim</t>
        </is>
      </c>
      <c r="I140" s="7" t="inlineStr">
        <is>
          <t>Separated-employee workflow OFF-00073 includes MD-00073.</t>
        </is>
      </c>
    </row>
    <row r="141">
      <c r="A141" s="7" t="inlineStr">
        <is>
          <t>MD-00073</t>
        </is>
      </c>
      <c r="B141" s="7" t="inlineStr">
        <is>
          <t>2026-06-15</t>
        </is>
      </c>
      <c r="C141" s="7" t="inlineStr">
        <is>
          <t>Technician Comment</t>
        </is>
      </c>
      <c r="D141" s="7" t="inlineStr">
        <is>
          <t>Service Desk</t>
        </is>
      </c>
      <c r="E141" s="7" t="inlineStr"/>
      <c r="F141" s="7" t="inlineStr"/>
      <c r="G141" s="7" t="inlineStr">
        <is>
          <t>OFF-00073</t>
        </is>
      </c>
      <c r="H141" s="7" t="inlineStr">
        <is>
          <t>Technician Claim</t>
        </is>
      </c>
      <c r="I141" s="7" t="inlineStr">
        <is>
          <t>Technician comment on MD-00073 retained as unverified (OFF-00073).</t>
        </is>
      </c>
    </row>
    <row r="142">
      <c r="A142" s="7" t="inlineStr">
        <is>
          <t>MD-00073</t>
        </is>
      </c>
      <c r="B142" s="7" t="inlineStr">
        <is>
          <t>2026-06-25</t>
        </is>
      </c>
      <c r="C142" s="7" t="inlineStr">
        <is>
          <t>Return Label Created</t>
        </is>
      </c>
      <c r="D142" s="7" t="inlineStr">
        <is>
          <t>E0086</t>
        </is>
      </c>
      <c r="E142" s="7" t="inlineStr">
        <is>
          <t>Return Carrier</t>
        </is>
      </c>
      <c r="F142" s="7" t="inlineStr">
        <is>
          <t>Carrier Network</t>
        </is>
      </c>
      <c r="G142" s="7" t="inlineStr">
        <is>
          <t>1ZMD00000073</t>
        </is>
      </c>
      <c r="H142" s="7" t="inlineStr">
        <is>
          <t>Technician Claim</t>
        </is>
      </c>
      <c r="I142" s="7" t="inlineStr">
        <is>
          <t>Label-created milestone 1ZMD00000073 for MD-00073; proof of return still incomplete.</t>
        </is>
      </c>
    </row>
    <row r="143">
      <c r="A143" s="7" t="inlineStr">
        <is>
          <t>MD-00073</t>
        </is>
      </c>
      <c r="B143" s="7" t="inlineStr">
        <is>
          <t>2026-08-05</t>
        </is>
      </c>
      <c r="C143" s="7" t="inlineStr">
        <is>
          <t>Regional IT Note Lead</t>
        </is>
      </c>
      <c r="D143" s="7" t="inlineStr">
        <is>
          <t>Regional IT</t>
        </is>
      </c>
      <c r="E143" s="7" t="inlineStr"/>
      <c r="F143" s="7" t="inlineStr">
        <is>
          <t>Denver - Closed</t>
        </is>
      </c>
      <c r="G143" s="7" t="inlineStr">
        <is>
          <t>regional_IT_notes.docx</t>
        </is>
      </c>
      <c r="H143" s="7" t="inlineStr">
        <is>
          <t>Technician Claim</t>
        </is>
      </c>
      <c r="I143" s="7" t="inlineStr">
        <is>
          <t>Technician aside about MD-00073 recorded under regional_IT_notes.docx; needs corroboration. Parked as tip.</t>
        </is>
      </c>
    </row>
    <row r="144">
      <c r="A144" s="7" t="inlineStr">
        <is>
          <t>MD-00073</t>
        </is>
      </c>
      <c r="B144" s="7" t="inlineStr">
        <is>
          <t>2026-08-09</t>
        </is>
      </c>
      <c r="C144" s="7" t="inlineStr">
        <is>
          <t>Policy Control Figure</t>
        </is>
      </c>
      <c r="D144" s="7" t="inlineStr">
        <is>
          <t>ITAM-001</t>
        </is>
      </c>
      <c r="E144" s="7" t="inlineStr"/>
      <c r="F144" s="7" t="inlineStr"/>
      <c r="G144" s="7" t="inlineStr">
        <is>
          <t>ITAM_control_matrix.png Appendix A</t>
        </is>
      </c>
      <c r="H144" s="7" t="inlineStr">
        <is>
          <t>Confirmed Fact</t>
        </is>
      </c>
      <c r="I144" s="7" t="inlineStr">
        <is>
          <t>Checked failure classifications on ITAM_control_matrix.png while assessing MD-00073. Left as orientation.</t>
        </is>
      </c>
    </row>
    <row r="145">
      <c r="A145" s="7" t="inlineStr">
        <is>
          <t>MD-00073</t>
        </is>
      </c>
      <c r="B145" s="7" t="inlineStr">
        <is>
          <t>2026-08-09</t>
        </is>
      </c>
      <c r="C145" s="7" t="inlineStr">
        <is>
          <t>Reconciliation Conclusion</t>
        </is>
      </c>
      <c r="D145" s="7" t="inlineStr">
        <is>
          <t>Evidence review</t>
        </is>
      </c>
      <c r="E145" s="7" t="inlineStr">
        <is>
          <t>E0086</t>
        </is>
      </c>
      <c r="F145" s="7" t="inlineStr">
        <is>
          <t>Remote - Former Employee</t>
        </is>
      </c>
      <c r="G145" s="7" t="inlineStr">
        <is>
          <t>EX-0074, EX-0075</t>
        </is>
      </c>
      <c r="H145" s="7" t="inlineStr">
        <is>
          <t>Unresolved Assumption</t>
        </is>
      </c>
      <c r="I145" s="7" t="inlineStr">
        <is>
          <t>Register outcome on MD-00073: Return Overdue (Remote - Former Employee). See EX-0074, EX-0075.</t>
        </is>
      </c>
    </row>
    <row r="146">
      <c r="A146" s="7" t="inlineStr">
        <is>
          <t>MD-00074</t>
        </is>
      </c>
      <c r="B146" s="7" t="inlineStr">
        <is>
          <t>2024-03-03</t>
        </is>
      </c>
      <c r="C146" s="7" t="inlineStr">
        <is>
          <t>Purchase</t>
        </is>
      </c>
      <c r="D146" s="7" t="inlineStr">
        <is>
          <t>Vendor</t>
        </is>
      </c>
      <c r="E146" s="7" t="inlineStr">
        <is>
          <t>Central Receiving</t>
        </is>
      </c>
      <c r="F146" s="7" t="inlineStr">
        <is>
          <t>Atlanta Warehouse</t>
        </is>
      </c>
      <c r="G146" s="7" t="inlineStr">
        <is>
          <t>PO-2023-0014</t>
        </is>
      </c>
      <c r="H146" s="7" t="inlineStr">
        <is>
          <t>Confirmed Fact</t>
        </is>
      </c>
      <c r="I146" s="7" t="inlineStr">
        <is>
          <t>Initial custody starts with PO-2023-0014 for MD-00074; amount $700.</t>
        </is>
      </c>
    </row>
    <row r="147">
      <c r="A147" s="7" t="inlineStr">
        <is>
          <t>MD-00074</t>
        </is>
      </c>
      <c r="B147" s="7" t="inlineStr">
        <is>
          <t>2026-03-03</t>
        </is>
      </c>
      <c r="C147" s="7" t="inlineStr">
        <is>
          <t>Assignment/Transfer</t>
        </is>
      </c>
      <c r="D147" s="7" t="inlineStr">
        <is>
          <t>Central Receiving</t>
        </is>
      </c>
      <c r="E147" s="7" t="inlineStr">
        <is>
          <t>E0077</t>
        </is>
      </c>
      <c r="F147" s="7" t="inlineStr">
        <is>
          <t>Remote - Former Employee</t>
        </is>
      </c>
      <c r="G147" s="7" t="inlineStr">
        <is>
          <t>TR-00074</t>
        </is>
      </c>
      <c r="H147" s="7" t="inlineStr">
        <is>
          <t>Confirmed Fact</t>
        </is>
      </c>
      <c r="I147" s="7" t="inlineStr">
        <is>
          <t>Operational transfer TR-00074 applied to MD-00074 [t147-1].</t>
        </is>
      </c>
    </row>
    <row r="148">
      <c r="A148" s="7" t="inlineStr">
        <is>
          <t>MD-00074</t>
        </is>
      </c>
      <c r="B148" s="7" t="inlineStr">
        <is>
          <t>2026-05-16</t>
        </is>
      </c>
      <c r="C148" s="7" t="inlineStr">
        <is>
          <t>Offboarding Ticket</t>
        </is>
      </c>
      <c r="D148" s="7" t="inlineStr">
        <is>
          <t>E0087</t>
        </is>
      </c>
      <c r="E148" s="7" t="inlineStr">
        <is>
          <t>IT Service Desk</t>
        </is>
      </c>
      <c r="F148" s="7" t="inlineStr"/>
      <c r="G148" s="7" t="inlineStr">
        <is>
          <t>OFF-00074</t>
        </is>
      </c>
      <c r="H148" s="7" t="inlineStr">
        <is>
          <t>Technician Claim</t>
        </is>
      </c>
      <c r="I148" s="7" t="inlineStr">
        <is>
          <t>MD-00074 appears on offboarding OFF-00074; confirm register update.</t>
        </is>
      </c>
    </row>
    <row r="149">
      <c r="A149" s="7" t="inlineStr">
        <is>
          <t>MD-00074</t>
        </is>
      </c>
      <c r="B149" s="7" t="inlineStr">
        <is>
          <t>2026-05-16</t>
        </is>
      </c>
      <c r="C149" s="7" t="inlineStr">
        <is>
          <t>Technician Comment</t>
        </is>
      </c>
      <c r="D149" s="7" t="inlineStr">
        <is>
          <t>Service Desk</t>
        </is>
      </c>
      <c r="E149" s="7" t="inlineStr"/>
      <c r="F149" s="7" t="inlineStr"/>
      <c r="G149" s="7" t="inlineStr">
        <is>
          <t>OFF-00074</t>
        </is>
      </c>
      <c r="H149" s="7" t="inlineStr">
        <is>
          <t>Technician Claim</t>
        </is>
      </c>
      <c r="I149" s="7" t="inlineStr">
        <is>
          <t>Tech remark filed against MD-00074 under OFF-00074.</t>
        </is>
      </c>
    </row>
    <row r="150">
      <c r="A150" s="7" t="inlineStr">
        <is>
          <t>MD-00074</t>
        </is>
      </c>
      <c r="B150" s="7" t="inlineStr">
        <is>
          <t>2026-06-25</t>
        </is>
      </c>
      <c r="C150" s="7" t="inlineStr">
        <is>
          <t>Return Label Created</t>
        </is>
      </c>
      <c r="D150" s="7" t="inlineStr">
        <is>
          <t>E0087</t>
        </is>
      </c>
      <c r="E150" s="7" t="inlineStr">
        <is>
          <t>Return Carrier</t>
        </is>
      </c>
      <c r="F150" s="7" t="inlineStr">
        <is>
          <t>Carrier Network</t>
        </is>
      </c>
      <c r="G150" s="7" t="inlineStr">
        <is>
          <t>1ZMD00000074</t>
        </is>
      </c>
      <c r="H150" s="7" t="inlineStr">
        <is>
          <t>Technician Claim</t>
        </is>
      </c>
      <c r="I150" s="7" t="inlineStr">
        <is>
          <t>Carrier label event 1ZMD00000074 on MD-00074 — awaiting acceptance/delivery/scan chain.</t>
        </is>
      </c>
    </row>
    <row r="151">
      <c r="A151" s="7" t="inlineStr">
        <is>
          <t>MD-00074</t>
        </is>
      </c>
      <c r="B151" s="7" t="inlineStr">
        <is>
          <t>2026-06-25</t>
        </is>
      </c>
      <c r="C151" s="7" t="inlineStr">
        <is>
          <t>Shipment Exception</t>
        </is>
      </c>
      <c r="D151" s="7" t="inlineStr"/>
      <c r="E151" s="7" t="inlineStr"/>
      <c r="F151" s="7" t="inlineStr"/>
      <c r="G151" s="7" t="inlineStr">
        <is>
          <t>1ZMD00000074</t>
        </is>
      </c>
      <c r="H151" s="7" t="inlineStr">
        <is>
          <t>Unresolved Assumption</t>
        </is>
      </c>
      <c r="I151" s="7" t="inlineStr">
        <is>
          <t>Exception traffic 1ZMD00000074 keeps MD-00074 in hold.</t>
        </is>
      </c>
    </row>
    <row r="152">
      <c r="A152" s="7" t="inlineStr">
        <is>
          <t>MD-00074</t>
        </is>
      </c>
      <c r="B152" s="7" t="inlineStr">
        <is>
          <t>2026-08-05</t>
        </is>
      </c>
      <c r="C152" s="7" t="inlineStr">
        <is>
          <t>Regional IT Note Lead</t>
        </is>
      </c>
      <c r="D152" s="7" t="inlineStr">
        <is>
          <t>Regional IT</t>
        </is>
      </c>
      <c r="E152" s="7" t="inlineStr"/>
      <c r="F152" s="7" t="inlineStr">
        <is>
          <t>Chicago - Closed</t>
        </is>
      </c>
      <c r="G152" s="7" t="inlineStr">
        <is>
          <t>regional_IT_notes.docx</t>
        </is>
      </c>
      <c r="H152" s="7" t="inlineStr">
        <is>
          <t>Technician Claim</t>
        </is>
      </c>
      <c r="I152" s="7" t="inlineStr">
        <is>
          <t>Regional note for MD-00074 kept as an unverified lead (regional_IT_notes.docx). Requires independent find.</t>
        </is>
      </c>
    </row>
    <row r="153">
      <c r="A153" s="7" t="inlineStr">
        <is>
          <t>MD-00074</t>
        </is>
      </c>
      <c r="B153" s="7" t="inlineStr">
        <is>
          <t>2026-08-09</t>
        </is>
      </c>
      <c r="C153" s="7" t="inlineStr">
        <is>
          <t>Policy Control Figure</t>
        </is>
      </c>
      <c r="D153" s="7" t="inlineStr">
        <is>
          <t>ITAM-001</t>
        </is>
      </c>
      <c r="E153" s="7" t="inlineStr"/>
      <c r="F153" s="7" t="inlineStr"/>
      <c r="G153" s="7" t="inlineStr">
        <is>
          <t>ITAM_control_matrix.png Appendix A</t>
        </is>
      </c>
      <c r="H153" s="7" t="inlineStr">
        <is>
          <t>Confirmed Fact</t>
        </is>
      </c>
      <c r="I153" s="7" t="inlineStr">
        <is>
          <t>Used the matrix image as a reminder of ITAM-001 tiers while reviewing MD-00074. Returned to source files next.</t>
        </is>
      </c>
    </row>
    <row r="154">
      <c r="A154" s="7" t="inlineStr">
        <is>
          <t>MD-00074</t>
        </is>
      </c>
      <c r="B154" s="7" t="inlineStr">
        <is>
          <t>2026-08-09</t>
        </is>
      </c>
      <c r="C154" s="7" t="inlineStr">
        <is>
          <t>Reconciliation Conclusion</t>
        </is>
      </c>
      <c r="D154" s="7" t="inlineStr">
        <is>
          <t>Evidence review</t>
        </is>
      </c>
      <c r="E154" s="7" t="inlineStr">
        <is>
          <t>E0087</t>
        </is>
      </c>
      <c r="F154" s="7" t="inlineStr">
        <is>
          <t>Carrier Network / Unverified</t>
        </is>
      </c>
      <c r="G154" s="7" t="inlineStr">
        <is>
          <t>EX-0076, EX-0077, EX-0078</t>
        </is>
      </c>
      <c r="H154" s="7" t="inlineStr">
        <is>
          <t>Unresolved Assumption</t>
        </is>
      </c>
      <c r="I154" s="7" t="inlineStr">
        <is>
          <t>Register outcome on MD-00074: Return Overdue (Carrier Network / Unverified). See EX-0076, EX-0077, EX-0078.</t>
        </is>
      </c>
    </row>
    <row r="155">
      <c r="A155" s="7" t="inlineStr">
        <is>
          <t>MD-00075</t>
        </is>
      </c>
      <c r="B155" s="7" t="inlineStr">
        <is>
          <t>2025-04-04</t>
        </is>
      </c>
      <c r="C155" s="7" t="inlineStr">
        <is>
          <t>Purchase</t>
        </is>
      </c>
      <c r="D155" s="7" t="inlineStr">
        <is>
          <t>Vendor</t>
        </is>
      </c>
      <c r="E155" s="7" t="inlineStr">
        <is>
          <t>Central Receiving</t>
        </is>
      </c>
      <c r="F155" s="7" t="inlineStr">
        <is>
          <t>Atlanta Warehouse</t>
        </is>
      </c>
      <c r="G155" s="7" t="inlineStr">
        <is>
          <t>PO-2023-0014</t>
        </is>
      </c>
      <c r="H155" s="7" t="inlineStr">
        <is>
          <t>Confirmed Fact</t>
        </is>
      </c>
      <c r="I155" s="7" t="inlineStr">
        <is>
          <t>PO-2023-0014 → MD-00075 / Juniper EX3400, basis $1,175.</t>
        </is>
      </c>
    </row>
    <row r="156">
      <c r="A156" s="7" t="inlineStr">
        <is>
          <t>MD-00075</t>
        </is>
      </c>
      <c r="B156" s="7" t="inlineStr">
        <is>
          <t>2026-04-04</t>
        </is>
      </c>
      <c r="C156" s="7" t="inlineStr">
        <is>
          <t>Assignment/Transfer</t>
        </is>
      </c>
      <c r="D156" s="7" t="inlineStr">
        <is>
          <t>Central Receiving</t>
        </is>
      </c>
      <c r="E156" s="7" t="inlineStr">
        <is>
          <t>E0078</t>
        </is>
      </c>
      <c r="F156" s="7" t="inlineStr">
        <is>
          <t>Remote - Former Employee</t>
        </is>
      </c>
      <c r="G156" s="7" t="inlineStr">
        <is>
          <t>TR-00075</t>
        </is>
      </c>
      <c r="H156" s="7" t="inlineStr">
        <is>
          <t>Confirmed Fact</t>
        </is>
      </c>
      <c r="I156" s="7" t="inlineStr">
        <is>
          <t>Operational transfer TR-00075 applied to MD-00075 [t156-1].</t>
        </is>
      </c>
    </row>
    <row r="157">
      <c r="A157" s="7" t="inlineStr">
        <is>
          <t>MD-00075</t>
        </is>
      </c>
      <c r="B157" s="7" t="inlineStr">
        <is>
          <t>2026-06-17</t>
        </is>
      </c>
      <c r="C157" s="7" t="inlineStr">
        <is>
          <t>Offboarding Ticket</t>
        </is>
      </c>
      <c r="D157" s="7" t="inlineStr">
        <is>
          <t>E0088</t>
        </is>
      </c>
      <c r="E157" s="7" t="inlineStr">
        <is>
          <t>IT Service Desk</t>
        </is>
      </c>
      <c r="F157" s="7" t="inlineStr"/>
      <c r="G157" s="7" t="inlineStr">
        <is>
          <t>OFF-00075</t>
        </is>
      </c>
      <c r="H157" s="7" t="inlineStr">
        <is>
          <t>Technician Claim</t>
        </is>
      </c>
      <c r="I157" s="7" t="inlineStr">
        <is>
          <t>Ticket OFF-00075 is the offboarding spine for MD-00075.</t>
        </is>
      </c>
    </row>
    <row r="158">
      <c r="A158" s="7" t="inlineStr">
        <is>
          <t>MD-00075</t>
        </is>
      </c>
      <c r="B158" s="7" t="inlineStr">
        <is>
          <t>2026-06-17</t>
        </is>
      </c>
      <c r="C158" s="7" t="inlineStr">
        <is>
          <t>Technician Comment</t>
        </is>
      </c>
      <c r="D158" s="7" t="inlineStr">
        <is>
          <t>Service Desk</t>
        </is>
      </c>
      <c r="E158" s="7" t="inlineStr"/>
      <c r="F158" s="7" t="inlineStr"/>
      <c r="G158" s="7" t="inlineStr">
        <is>
          <t>OFF-00075</t>
        </is>
      </c>
      <c r="H158" s="7" t="inlineStr">
        <is>
          <t>Technician Claim</t>
        </is>
      </c>
      <c r="I158" s="7" t="inlineStr">
        <is>
          <t>Bench note OFF-00075 for MD-00075; needs independent corroboration.</t>
        </is>
      </c>
    </row>
    <row r="159">
      <c r="A159" s="7" t="inlineStr">
        <is>
          <t>MD-00075</t>
        </is>
      </c>
      <c r="B159" s="7" t="inlineStr">
        <is>
          <t>2026-06-25</t>
        </is>
      </c>
      <c r="C159" s="7" t="inlineStr">
        <is>
          <t>Return Label Created</t>
        </is>
      </c>
      <c r="D159" s="7" t="inlineStr">
        <is>
          <t>E0088</t>
        </is>
      </c>
      <c r="E159" s="7" t="inlineStr">
        <is>
          <t>Return Carrier</t>
        </is>
      </c>
      <c r="F159" s="7" t="inlineStr">
        <is>
          <t>Carrier Network</t>
        </is>
      </c>
      <c r="G159" s="7" t="inlineStr">
        <is>
          <t>1ZMD00000075</t>
        </is>
      </c>
      <c r="H159" s="7" t="inlineStr">
        <is>
          <t>Technician Claim</t>
        </is>
      </c>
      <c r="I159" s="7" t="inlineStr">
        <is>
          <t>MD-00075 return paperwork starts at 1ZMD00000075 (label created).</t>
        </is>
      </c>
    </row>
    <row r="160">
      <c r="A160" s="7" t="inlineStr">
        <is>
          <t>MD-00075</t>
        </is>
      </c>
      <c r="B160" s="7" t="inlineStr">
        <is>
          <t>2026-08-05</t>
        </is>
      </c>
      <c r="C160" s="7" t="inlineStr">
        <is>
          <t>Regional IT Note Lead</t>
        </is>
      </c>
      <c r="D160" s="7" t="inlineStr">
        <is>
          <t>Regional IT</t>
        </is>
      </c>
      <c r="E160" s="7" t="inlineStr"/>
      <c r="F160" s="7" t="inlineStr">
        <is>
          <t>Denver - Closed</t>
        </is>
      </c>
      <c r="G160" s="7" t="inlineStr">
        <is>
          <t>regional_IT_notes.docx</t>
        </is>
      </c>
      <c r="H160" s="7" t="inlineStr">
        <is>
          <t>Technician Claim</t>
        </is>
      </c>
      <c r="I160" s="7" t="inlineStr">
        <is>
          <t>Keep regional_IT_notes.docx out of the proof stack for MD-00075. Follow-up only.</t>
        </is>
      </c>
    </row>
    <row r="161">
      <c r="A161" s="7" t="inlineStr">
        <is>
          <t>MD-00075</t>
        </is>
      </c>
      <c r="B161" s="7" t="inlineStr">
        <is>
          <t>2026-08-09</t>
        </is>
      </c>
      <c r="C161" s="7" t="inlineStr">
        <is>
          <t>Policy Control Figure</t>
        </is>
      </c>
      <c r="D161" s="7" t="inlineStr">
        <is>
          <t>ITAM-001</t>
        </is>
      </c>
      <c r="E161" s="7" t="inlineStr"/>
      <c r="F161" s="7" t="inlineStr"/>
      <c r="G161" s="7" t="inlineStr">
        <is>
          <t>IT_asset_management_policy.pdf</t>
        </is>
      </c>
      <c r="H161" s="7" t="inlineStr">
        <is>
          <t>Confirmed Fact</t>
        </is>
      </c>
      <c r="I161" s="7" t="inlineStr">
        <is>
          <t>Control-matrix lead noted beside MD-00075; no PNG-based disposition. Evidence tier reminder only.</t>
        </is>
      </c>
    </row>
    <row r="162">
      <c r="A162" s="7" t="inlineStr">
        <is>
          <t>MD-00075</t>
        </is>
      </c>
      <c r="B162" s="7" t="inlineStr">
        <is>
          <t>2026-08-09</t>
        </is>
      </c>
      <c r="C162" s="7" t="inlineStr">
        <is>
          <t>Reconciliation Conclusion</t>
        </is>
      </c>
      <c r="D162" s="7" t="inlineStr">
        <is>
          <t>Evidence review</t>
        </is>
      </c>
      <c r="E162" s="7" t="inlineStr">
        <is>
          <t>E0088</t>
        </is>
      </c>
      <c r="F162" s="7" t="inlineStr">
        <is>
          <t>Remote - Former Employee</t>
        </is>
      </c>
      <c r="G162" s="7" t="inlineStr">
        <is>
          <t>EX-0079, EX-0080</t>
        </is>
      </c>
      <c r="H162" s="7" t="inlineStr">
        <is>
          <t>Unresolved Assumption</t>
        </is>
      </c>
      <c r="I162" s="7" t="inlineStr">
        <is>
          <t>MD-00075 reconciliation result written as Return Overdue / Remote - Former Employee. Exception refs EX-0079, EX-0080.</t>
        </is>
      </c>
    </row>
    <row r="163">
      <c r="A163" s="7" t="inlineStr">
        <is>
          <t>MD-00076</t>
        </is>
      </c>
      <c r="B163" s="7" t="inlineStr">
        <is>
          <t>2022-05-05</t>
        </is>
      </c>
      <c r="C163" s="7" t="inlineStr">
        <is>
          <t>Purchase</t>
        </is>
      </c>
      <c r="D163" s="7" t="inlineStr">
        <is>
          <t>Vendor</t>
        </is>
      </c>
      <c r="E163" s="7" t="inlineStr">
        <is>
          <t>Central Receiving</t>
        </is>
      </c>
      <c r="F163" s="7" t="inlineStr">
        <is>
          <t>Atlanta Warehouse</t>
        </is>
      </c>
      <c r="G163" s="7" t="inlineStr">
        <is>
          <t>PO-2023-0014</t>
        </is>
      </c>
      <c r="H163" s="7" t="inlineStr">
        <is>
          <t>Confirmed Fact</t>
        </is>
      </c>
      <c r="I163" s="7" t="inlineStr">
        <is>
          <t>Vendor fulfillment on PO-2023-0014 put MD-00076 on the books (Cisco Meraki MS250).</t>
        </is>
      </c>
    </row>
    <row r="164">
      <c r="A164" s="7" t="inlineStr">
        <is>
          <t>MD-00076</t>
        </is>
      </c>
      <c r="B164" s="7" t="inlineStr">
        <is>
          <t>2026-05-05</t>
        </is>
      </c>
      <c r="C164" s="7" t="inlineStr">
        <is>
          <t>Assignment/Transfer</t>
        </is>
      </c>
      <c r="D164" s="7" t="inlineStr">
        <is>
          <t>Central Receiving</t>
        </is>
      </c>
      <c r="E164" s="7" t="inlineStr">
        <is>
          <t>E0079</t>
        </is>
      </c>
      <c r="F164" s="7" t="inlineStr">
        <is>
          <t>Remote - Former Employee</t>
        </is>
      </c>
      <c r="G164" s="7" t="inlineStr">
        <is>
          <t>TR-00076</t>
        </is>
      </c>
      <c r="H164" s="7" t="inlineStr">
        <is>
          <t>Confirmed Fact</t>
        </is>
      </c>
      <c r="I164" s="7" t="inlineStr">
        <is>
          <t>Next-site story for MD-00076 uses TR-00076 only.</t>
        </is>
      </c>
    </row>
    <row r="165">
      <c r="A165" s="7" t="inlineStr">
        <is>
          <t>MD-00076</t>
        </is>
      </c>
      <c r="B165" s="7" t="inlineStr">
        <is>
          <t>2026-05-18</t>
        </is>
      </c>
      <c r="C165" s="7" t="inlineStr">
        <is>
          <t>Offboarding Ticket</t>
        </is>
      </c>
      <c r="D165" s="7" t="inlineStr">
        <is>
          <t>E0089</t>
        </is>
      </c>
      <c r="E165" s="7" t="inlineStr">
        <is>
          <t>IT Service Desk</t>
        </is>
      </c>
      <c r="F165" s="7" t="inlineStr"/>
      <c r="G165" s="7" t="inlineStr">
        <is>
          <t>OFF-00076</t>
        </is>
      </c>
      <c r="H165" s="7" t="inlineStr">
        <is>
          <t>Technician Claim</t>
        </is>
      </c>
      <c r="I165" s="7" t="inlineStr">
        <is>
          <t>Offboard record OFF-00076 flags MD-00076 for custodian cleanup.</t>
        </is>
      </c>
    </row>
    <row r="166">
      <c r="A166" s="7" t="inlineStr">
        <is>
          <t>MD-00076</t>
        </is>
      </c>
      <c r="B166" s="7" t="inlineStr">
        <is>
          <t>2026-05-18</t>
        </is>
      </c>
      <c r="C166" s="7" t="inlineStr">
        <is>
          <t>Technician Comment</t>
        </is>
      </c>
      <c r="D166" s="7" t="inlineStr">
        <is>
          <t>Service Desk</t>
        </is>
      </c>
      <c r="E166" s="7" t="inlineStr"/>
      <c r="F166" s="7" t="inlineStr"/>
      <c r="G166" s="7" t="inlineStr">
        <is>
          <t>OFF-00076</t>
        </is>
      </c>
      <c r="H166" s="7" t="inlineStr">
        <is>
          <t>Technician Claim</t>
        </is>
      </c>
      <c r="I166" s="7" t="inlineStr">
        <is>
          <t>Unverified tech comment OFF-00076 linked to MD-00076.</t>
        </is>
      </c>
    </row>
    <row r="167">
      <c r="A167" s="7" t="inlineStr">
        <is>
          <t>MD-00076</t>
        </is>
      </c>
      <c r="B167" s="7" t="inlineStr">
        <is>
          <t>2026-06-25</t>
        </is>
      </c>
      <c r="C167" s="7" t="inlineStr">
        <is>
          <t>Return Label Created</t>
        </is>
      </c>
      <c r="D167" s="7" t="inlineStr">
        <is>
          <t>E0089</t>
        </is>
      </c>
      <c r="E167" s="7" t="inlineStr">
        <is>
          <t>Return Carrier</t>
        </is>
      </c>
      <c r="F167" s="7" t="inlineStr">
        <is>
          <t>Carrier Network</t>
        </is>
      </c>
      <c r="G167" s="7" t="inlineStr">
        <is>
          <t>1ZMD00000076</t>
        </is>
      </c>
      <c r="H167" s="7" t="inlineStr">
        <is>
          <t>Technician Claim</t>
        </is>
      </c>
      <c r="I167" s="7" t="inlineStr">
        <is>
          <t>Return path for MD-00076 opened with 1ZMD00000076.</t>
        </is>
      </c>
    </row>
    <row r="168">
      <c r="A168" s="7" t="inlineStr">
        <is>
          <t>MD-00076</t>
        </is>
      </c>
      <c r="B168" s="7" t="inlineStr">
        <is>
          <t>2026-06-25</t>
        </is>
      </c>
      <c r="C168" s="7" t="inlineStr">
        <is>
          <t>Shipment Exception</t>
        </is>
      </c>
      <c r="D168" s="7" t="inlineStr"/>
      <c r="E168" s="7" t="inlineStr"/>
      <c r="F168" s="7" t="inlineStr"/>
      <c r="G168" s="7" t="inlineStr">
        <is>
          <t>1ZMD00000076</t>
        </is>
      </c>
      <c r="H168" s="7" t="inlineStr">
        <is>
          <t>Unresolved Assumption</t>
        </is>
      </c>
      <c r="I168" s="7" t="inlineStr">
        <is>
          <t>MD-00076 stuck on exception 1ZMD00000076 until serials align.</t>
        </is>
      </c>
    </row>
    <row r="169">
      <c r="A169" s="7" t="inlineStr">
        <is>
          <t>MD-00076</t>
        </is>
      </c>
      <c r="B169" s="7" t="inlineStr">
        <is>
          <t>2026-08-05</t>
        </is>
      </c>
      <c r="C169" s="7" t="inlineStr">
        <is>
          <t>Regional IT Note Lead</t>
        </is>
      </c>
      <c r="D169" s="7" t="inlineStr">
        <is>
          <t>Regional IT</t>
        </is>
      </c>
      <c r="E169" s="7" t="inlineStr"/>
      <c r="F169" s="7" t="inlineStr">
        <is>
          <t>Chicago - Closed</t>
        </is>
      </c>
      <c r="G169" s="7" t="inlineStr">
        <is>
          <t>regional_IT_notes.docx</t>
        </is>
      </c>
      <c r="H169" s="7" t="inlineStr">
        <is>
          <t>Technician Claim</t>
        </is>
      </c>
      <c r="I169" s="7" t="inlineStr">
        <is>
          <t>Regional comment regional_IT_notes.docx does not place MD-00076 for certification. Held as investigative crumb.</t>
        </is>
      </c>
    </row>
    <row r="170">
      <c r="A170" s="7" t="inlineStr">
        <is>
          <t>MD-00076</t>
        </is>
      </c>
      <c r="B170" s="7" t="inlineStr">
        <is>
          <t>2026-08-09</t>
        </is>
      </c>
      <c r="C170" s="7" t="inlineStr">
        <is>
          <t>Policy Control Figure</t>
        </is>
      </c>
      <c r="D170" s="7" t="inlineStr">
        <is>
          <t>ITAM-001</t>
        </is>
      </c>
      <c r="E170" s="7" t="inlineStr"/>
      <c r="F170" s="7" t="inlineStr"/>
      <c r="G170" s="7" t="inlineStr">
        <is>
          <t>IT_asset_management_policy.pdf</t>
        </is>
      </c>
      <c r="H170" s="7" t="inlineStr">
        <is>
          <t>Confirmed Fact</t>
        </is>
      </c>
      <c r="I170" s="7" t="inlineStr">
        <is>
          <t>Matrix PNG pass complete for MD-00076; proceeded to PO/TR/ticket validation. Logged as multimodal lead.</t>
        </is>
      </c>
    </row>
    <row r="171">
      <c r="A171" s="7" t="inlineStr">
        <is>
          <t>MD-00076</t>
        </is>
      </c>
      <c r="B171" s="7" t="inlineStr">
        <is>
          <t>2026-08-09</t>
        </is>
      </c>
      <c r="C171" s="7" t="inlineStr">
        <is>
          <t>Reconciliation Conclusion</t>
        </is>
      </c>
      <c r="D171" s="7" t="inlineStr">
        <is>
          <t>Evidence review</t>
        </is>
      </c>
      <c r="E171" s="7" t="inlineStr">
        <is>
          <t>E0089</t>
        </is>
      </c>
      <c r="F171" s="7" t="inlineStr">
        <is>
          <t>Carrier Network / Unverified</t>
        </is>
      </c>
      <c r="G171" s="7" t="inlineStr">
        <is>
          <t>EX-0081, EX-0082, EX-0083</t>
        </is>
      </c>
      <c r="H171" s="7" t="inlineStr">
        <is>
          <t>Unresolved Assumption</t>
        </is>
      </c>
      <c r="I171" s="7" t="inlineStr">
        <is>
          <t>Conclusion row for MD-00076 — Return Overdue at Carrier Network / Unverified. Tied exceptions EX-0081, EX-0082, EX-0083.</t>
        </is>
      </c>
    </row>
    <row r="172">
      <c r="A172" s="7" t="inlineStr">
        <is>
          <t>MD-00077</t>
        </is>
      </c>
      <c r="B172" s="7" t="inlineStr">
        <is>
          <t>2023-06-06</t>
        </is>
      </c>
      <c r="C172" s="7" t="inlineStr">
        <is>
          <t>Purchase</t>
        </is>
      </c>
      <c r="D172" s="7" t="inlineStr">
        <is>
          <t>Vendor</t>
        </is>
      </c>
      <c r="E172" s="7" t="inlineStr">
        <is>
          <t>Central Receiving</t>
        </is>
      </c>
      <c r="F172" s="7" t="inlineStr">
        <is>
          <t>Atlanta Warehouse</t>
        </is>
      </c>
      <c r="G172" s="7" t="inlineStr">
        <is>
          <t>PO-2023-0014</t>
        </is>
      </c>
      <c r="H172" s="7" t="inlineStr">
        <is>
          <t>Confirmed Fact</t>
        </is>
      </c>
      <c r="I172" s="7" t="inlineStr">
        <is>
          <t>PO-2023-0014 → MD-00077 / Fortinet FortiSwitch 148F, basis $1,850.</t>
        </is>
      </c>
    </row>
    <row r="173">
      <c r="A173" s="7" t="inlineStr">
        <is>
          <t>MD-00077</t>
        </is>
      </c>
      <c r="B173" s="7" t="inlineStr">
        <is>
          <t>2026-06-06</t>
        </is>
      </c>
      <c r="C173" s="7" t="inlineStr">
        <is>
          <t>Assignment/Transfer</t>
        </is>
      </c>
      <c r="D173" s="7" t="inlineStr">
        <is>
          <t>Central Receiving</t>
        </is>
      </c>
      <c r="E173" s="7" t="inlineStr">
        <is>
          <t>E0080</t>
        </is>
      </c>
      <c r="F173" s="7" t="inlineStr">
        <is>
          <t>Remote - Former Employee</t>
        </is>
      </c>
      <c r="G173" s="7" t="inlineStr">
        <is>
          <t>TR-00077</t>
        </is>
      </c>
      <c r="H173" s="7" t="inlineStr">
        <is>
          <t>Confirmed Fact</t>
        </is>
      </c>
      <c r="I173" s="7" t="inlineStr">
        <is>
          <t>Next-site story for MD-00077 uses TR-00077 only [t173-1].</t>
        </is>
      </c>
    </row>
    <row r="174">
      <c r="A174" s="7" t="inlineStr">
        <is>
          <t>MD-00077</t>
        </is>
      </c>
      <c r="B174" s="7" t="inlineStr">
        <is>
          <t>2026-06-19</t>
        </is>
      </c>
      <c r="C174" s="7" t="inlineStr">
        <is>
          <t>Offboarding Ticket</t>
        </is>
      </c>
      <c r="D174" s="7" t="inlineStr">
        <is>
          <t>E0090</t>
        </is>
      </c>
      <c r="E174" s="7" t="inlineStr">
        <is>
          <t>IT Service Desk</t>
        </is>
      </c>
      <c r="F174" s="7" t="inlineStr"/>
      <c r="G174" s="7" t="inlineStr">
        <is>
          <t>OFF-00077</t>
        </is>
      </c>
      <c r="H174" s="7" t="inlineStr">
        <is>
          <t>Technician Claim</t>
        </is>
      </c>
      <c r="I174" s="7" t="inlineStr">
        <is>
          <t>Ticket OFF-00077 is the offboarding spine for MD-00077.</t>
        </is>
      </c>
    </row>
    <row r="175">
      <c r="A175" s="7" t="inlineStr">
        <is>
          <t>MD-00077</t>
        </is>
      </c>
      <c r="B175" s="7" t="inlineStr">
        <is>
          <t>2026-06-19</t>
        </is>
      </c>
      <c r="C175" s="7" t="inlineStr">
        <is>
          <t>Technician Comment</t>
        </is>
      </c>
      <c r="D175" s="7" t="inlineStr">
        <is>
          <t>Service Desk</t>
        </is>
      </c>
      <c r="E175" s="7" t="inlineStr"/>
      <c r="F175" s="7" t="inlineStr"/>
      <c r="G175" s="7" t="inlineStr">
        <is>
          <t>OFF-00077</t>
        </is>
      </c>
      <c r="H175" s="7" t="inlineStr">
        <is>
          <t>Technician Claim</t>
        </is>
      </c>
      <c r="I175" s="7" t="inlineStr">
        <is>
          <t>Tech remark filed against MD-00077 under OFF-00077.</t>
        </is>
      </c>
    </row>
    <row r="176">
      <c r="A176" s="7" t="inlineStr">
        <is>
          <t>MD-00077</t>
        </is>
      </c>
      <c r="B176" s="7" t="inlineStr">
        <is>
          <t>2026-06-25</t>
        </is>
      </c>
      <c r="C176" s="7" t="inlineStr">
        <is>
          <t>Return Label Created</t>
        </is>
      </c>
      <c r="D176" s="7" t="inlineStr">
        <is>
          <t>E0090</t>
        </is>
      </c>
      <c r="E176" s="7" t="inlineStr">
        <is>
          <t>Return Carrier</t>
        </is>
      </c>
      <c r="F176" s="7" t="inlineStr">
        <is>
          <t>Carrier Network</t>
        </is>
      </c>
      <c r="G176" s="7" t="inlineStr">
        <is>
          <t>1ZMD00000077</t>
        </is>
      </c>
      <c r="H176" s="7" t="inlineStr">
        <is>
          <t>Technician Claim</t>
        </is>
      </c>
      <c r="I176" s="7" t="inlineStr">
        <is>
          <t>Outbound label 1ZMD00000077 logged for MD-00077.</t>
        </is>
      </c>
    </row>
    <row r="177">
      <c r="A177" s="7" t="inlineStr">
        <is>
          <t>MD-00077</t>
        </is>
      </c>
      <c r="B177" s="7" t="inlineStr">
        <is>
          <t>2026-08-05</t>
        </is>
      </c>
      <c r="C177" s="7" t="inlineStr">
        <is>
          <t>Regional IT Note Lead</t>
        </is>
      </c>
      <c r="D177" s="7" t="inlineStr">
        <is>
          <t>Regional IT</t>
        </is>
      </c>
      <c r="E177" s="7" t="inlineStr"/>
      <c r="F177" s="7" t="inlineStr">
        <is>
          <t>Denver - Closed</t>
        </is>
      </c>
      <c r="G177" s="7" t="inlineStr">
        <is>
          <t>regional_IT_notes.docx</t>
        </is>
      </c>
      <c r="H177" s="7" t="inlineStr">
        <is>
          <t>Technician Claim</t>
        </is>
      </c>
      <c r="I177" s="7" t="inlineStr">
        <is>
          <t>Regional note regional_IT_notes.docx on MD-00077 remains unverified. Requires independent find.</t>
        </is>
      </c>
    </row>
    <row r="178">
      <c r="A178" s="7" t="inlineStr">
        <is>
          <t>MD-00077</t>
        </is>
      </c>
      <c r="B178" s="7" t="inlineStr">
        <is>
          <t>2026-08-09</t>
        </is>
      </c>
      <c r="C178" s="7" t="inlineStr">
        <is>
          <t>Policy Control Figure</t>
        </is>
      </c>
      <c r="D178" s="7" t="inlineStr">
        <is>
          <t>ITAM-001</t>
        </is>
      </c>
      <c r="E178" s="7" t="inlineStr"/>
      <c r="F178" s="7" t="inlineStr"/>
      <c r="G178" s="7" t="inlineStr">
        <is>
          <t>IT_asset_management_policy.pdf §§4–9; ITAM_control_matrix.png</t>
        </is>
      </c>
      <c r="H178" s="7" t="inlineStr">
        <is>
          <t>Confirmed Fact</t>
        </is>
      </c>
      <c r="I178" s="7" t="inlineStr">
        <is>
          <t>Matrix image confirms what proof is expected for MD-00077; it is not itself that proof. Left as orientation.</t>
        </is>
      </c>
    </row>
    <row r="179">
      <c r="A179" s="7" t="inlineStr">
        <is>
          <t>MD-00077</t>
        </is>
      </c>
      <c r="B179" s="7" t="inlineStr">
        <is>
          <t>2026-08-09</t>
        </is>
      </c>
      <c r="C179" s="7" t="inlineStr">
        <is>
          <t>Reconciliation Conclusion</t>
        </is>
      </c>
      <c r="D179" s="7" t="inlineStr">
        <is>
          <t>Evidence review</t>
        </is>
      </c>
      <c r="E179" s="7" t="inlineStr">
        <is>
          <t>E0090</t>
        </is>
      </c>
      <c r="F179" s="7" t="inlineStr">
        <is>
          <t>Remote - Former Employee</t>
        </is>
      </c>
      <c r="G179" s="7" t="inlineStr">
        <is>
          <t>EX-0084, EX-0085</t>
        </is>
      </c>
      <c r="H179" s="7" t="inlineStr">
        <is>
          <t>Unresolved Assumption</t>
        </is>
      </c>
      <c r="I179" s="7" t="inlineStr">
        <is>
          <t>Closed the chain for MD-00077 at Remote - Former Employee with status Return Overdue. Flags EX-0084, EX-0085.</t>
        </is>
      </c>
    </row>
    <row r="180">
      <c r="A180" s="7" t="inlineStr">
        <is>
          <t>MD-00078</t>
        </is>
      </c>
      <c r="B180" s="7" t="inlineStr">
        <is>
          <t>2024-07-07</t>
        </is>
      </c>
      <c r="C180" s="7" t="inlineStr">
        <is>
          <t>Purchase</t>
        </is>
      </c>
      <c r="D180" s="7" t="inlineStr">
        <is>
          <t>Vendor</t>
        </is>
      </c>
      <c r="E180" s="7" t="inlineStr">
        <is>
          <t>Central Receiving</t>
        </is>
      </c>
      <c r="F180" s="7" t="inlineStr">
        <is>
          <t>Atlanta Warehouse</t>
        </is>
      </c>
      <c r="G180" s="7" t="inlineStr">
        <is>
          <t>PO-2024-0015</t>
        </is>
      </c>
      <c r="H180" s="7" t="inlineStr">
        <is>
          <t>Confirmed Fact</t>
        </is>
      </c>
      <c r="I180" s="7" t="inlineStr">
        <is>
          <t>PO line PO-2024-0015 is the acquisition spine for MD-00078 (Cisco C9300).</t>
        </is>
      </c>
    </row>
    <row r="181">
      <c r="A181" s="7" t="inlineStr">
        <is>
          <t>MD-00078</t>
        </is>
      </c>
      <c r="B181" s="7" t="inlineStr">
        <is>
          <t>2026-01-07</t>
        </is>
      </c>
      <c r="C181" s="7" t="inlineStr">
        <is>
          <t>Assignment/Transfer</t>
        </is>
      </c>
      <c r="D181" s="7" t="inlineStr">
        <is>
          <t>Central Receiving</t>
        </is>
      </c>
      <c r="E181" s="7" t="inlineStr">
        <is>
          <t>E0081</t>
        </is>
      </c>
      <c r="F181" s="7" t="inlineStr">
        <is>
          <t>Remote - Former Employee</t>
        </is>
      </c>
      <c r="G181" s="7" t="inlineStr">
        <is>
          <t>TR-00078</t>
        </is>
      </c>
      <c r="H181" s="7" t="inlineStr">
        <is>
          <t>Confirmed Fact</t>
        </is>
      </c>
      <c r="I181" s="7" t="inlineStr">
        <is>
          <t>No duplicate transfer invented beyond TR-00078 for MD-00078.</t>
        </is>
      </c>
    </row>
    <row r="182">
      <c r="A182" s="7" t="inlineStr">
        <is>
          <t>MD-00078</t>
        </is>
      </c>
      <c r="B182" s="7" t="inlineStr">
        <is>
          <t>2026-05-20</t>
        </is>
      </c>
      <c r="C182" s="7" t="inlineStr">
        <is>
          <t>Offboarding Ticket</t>
        </is>
      </c>
      <c r="D182" s="7" t="inlineStr">
        <is>
          <t>E0091</t>
        </is>
      </c>
      <c r="E182" s="7" t="inlineStr">
        <is>
          <t>IT Service Desk</t>
        </is>
      </c>
      <c r="F182" s="7" t="inlineStr"/>
      <c r="G182" s="7" t="inlineStr">
        <is>
          <t>OFF-00078</t>
        </is>
      </c>
      <c r="H182" s="7" t="inlineStr">
        <is>
          <t>Technician Claim</t>
        </is>
      </c>
      <c r="I182" s="7" t="inlineStr">
        <is>
          <t>Offboard record OFF-00078 flags MD-00078 for custodian cleanup.</t>
        </is>
      </c>
    </row>
    <row r="183">
      <c r="A183" s="7" t="inlineStr">
        <is>
          <t>MD-00078</t>
        </is>
      </c>
      <c r="B183" s="7" t="inlineStr">
        <is>
          <t>2026-05-20</t>
        </is>
      </c>
      <c r="C183" s="7" t="inlineStr">
        <is>
          <t>Technician Comment</t>
        </is>
      </c>
      <c r="D183" s="7" t="inlineStr">
        <is>
          <t>Service Desk</t>
        </is>
      </c>
      <c r="E183" s="7" t="inlineStr"/>
      <c r="F183" s="7" t="inlineStr"/>
      <c r="G183" s="7" t="inlineStr">
        <is>
          <t>OFF-00078</t>
        </is>
      </c>
      <c r="H183" s="7" t="inlineStr">
        <is>
          <t>Technician Claim</t>
        </is>
      </c>
      <c r="I183" s="7" t="inlineStr">
        <is>
          <t>Bench note OFF-00078 for MD-00078; needs independent corroboration.</t>
        </is>
      </c>
    </row>
    <row r="184">
      <c r="A184" s="7" t="inlineStr">
        <is>
          <t>MD-00078</t>
        </is>
      </c>
      <c r="B184" s="7" t="inlineStr">
        <is>
          <t>2026-06-25</t>
        </is>
      </c>
      <c r="C184" s="7" t="inlineStr">
        <is>
          <t>Return Label Created</t>
        </is>
      </c>
      <c r="D184" s="7" t="inlineStr">
        <is>
          <t>E0091</t>
        </is>
      </c>
      <c r="E184" s="7" t="inlineStr">
        <is>
          <t>Return Carrier</t>
        </is>
      </c>
      <c r="F184" s="7" t="inlineStr">
        <is>
          <t>Carrier Network</t>
        </is>
      </c>
      <c r="G184" s="7" t="inlineStr">
        <is>
          <t>1ZMD00000078</t>
        </is>
      </c>
      <c r="H184" s="7" t="inlineStr">
        <is>
          <t>Technician Claim</t>
        </is>
      </c>
      <c r="I184" s="7" t="inlineStr">
        <is>
          <t>Return path for MD-00078 opened with 1ZMD00000078.</t>
        </is>
      </c>
    </row>
    <row r="185">
      <c r="A185" s="7" t="inlineStr">
        <is>
          <t>MD-00078</t>
        </is>
      </c>
      <c r="B185" s="7" t="inlineStr">
        <is>
          <t>2026-08-05</t>
        </is>
      </c>
      <c r="C185" s="7" t="inlineStr">
        <is>
          <t>Regional IT Note Lead</t>
        </is>
      </c>
      <c r="D185" s="7" t="inlineStr">
        <is>
          <t>Regional IT</t>
        </is>
      </c>
      <c r="E185" s="7" t="inlineStr"/>
      <c r="F185" s="7" t="inlineStr">
        <is>
          <t>Chicago - Closed</t>
        </is>
      </c>
      <c r="G185" s="7" t="inlineStr">
        <is>
          <t>regional_IT_notes.docx</t>
        </is>
      </c>
      <c r="H185" s="7" t="inlineStr">
        <is>
          <t>Technician Claim</t>
        </is>
      </c>
      <c r="I185" s="7" t="inlineStr">
        <is>
          <t>Unconfirmed site remark for MD-00078 stored as regional_IT_notes.docx. Follow-up only.</t>
        </is>
      </c>
    </row>
    <row r="186">
      <c r="A186" s="7" t="inlineStr">
        <is>
          <t>MD-00078</t>
        </is>
      </c>
      <c r="B186" s="7" t="inlineStr">
        <is>
          <t>2026-08-09</t>
        </is>
      </c>
      <c r="C186" s="7" t="inlineStr">
        <is>
          <t>Policy Control Figure</t>
        </is>
      </c>
      <c r="D186" s="7" t="inlineStr">
        <is>
          <t>ITAM-001</t>
        </is>
      </c>
      <c r="E186" s="7" t="inlineStr"/>
      <c r="F186" s="7" t="inlineStr"/>
      <c r="G186" s="7" t="inlineStr">
        <is>
          <t>ITAM_control_matrix.png; IT_asset_management_policy.pdf</t>
        </is>
      </c>
      <c r="H186" s="7" t="inlineStr">
        <is>
          <t>Confirmed Fact</t>
        </is>
      </c>
      <c r="I186" s="7" t="inlineStr">
        <is>
          <t>Kept MD-00078 disposition independent of the policy figure visual. Marked lead-only.</t>
        </is>
      </c>
    </row>
    <row r="187">
      <c r="A187" s="7" t="inlineStr">
        <is>
          <t>MD-00078</t>
        </is>
      </c>
      <c r="B187" s="7" t="inlineStr">
        <is>
          <t>2026-08-09</t>
        </is>
      </c>
      <c r="C187" s="7" t="inlineStr">
        <is>
          <t>Reconciliation Conclusion</t>
        </is>
      </c>
      <c r="D187" s="7" t="inlineStr">
        <is>
          <t>Evidence review</t>
        </is>
      </c>
      <c r="E187" s="7" t="inlineStr">
        <is>
          <t>E0091</t>
        </is>
      </c>
      <c r="F187" s="7" t="inlineStr">
        <is>
          <t>Remote - Former Employee</t>
        </is>
      </c>
      <c r="G187" s="7" t="inlineStr">
        <is>
          <t>EX-0086, EX-0087</t>
        </is>
      </c>
      <c r="H187" s="7" t="inlineStr">
        <is>
          <t>Unresolved Assumption</t>
        </is>
      </c>
      <c r="I187" s="7" t="inlineStr">
        <is>
          <t>Final custody call on MD-00078: keep Return Overdue unless EX-0086, EX-0087 changes it.</t>
        </is>
      </c>
    </row>
    <row r="188">
      <c r="A188" s="7" t="inlineStr">
        <is>
          <t>MD-00079</t>
        </is>
      </c>
      <c r="B188" s="7" t="inlineStr">
        <is>
          <t>2025-08-08</t>
        </is>
      </c>
      <c r="C188" s="7" t="inlineStr">
        <is>
          <t>Purchase</t>
        </is>
      </c>
      <c r="D188" s="7" t="inlineStr">
        <is>
          <t>Vendor</t>
        </is>
      </c>
      <c r="E188" s="7" t="inlineStr">
        <is>
          <t>Central Receiving</t>
        </is>
      </c>
      <c r="F188" s="7" t="inlineStr">
        <is>
          <t>Atlanta Warehouse</t>
        </is>
      </c>
      <c r="G188" s="7" t="inlineStr">
        <is>
          <t>PO-2024-0015</t>
        </is>
      </c>
      <c r="H188" s="7" t="inlineStr">
        <is>
          <t>Confirmed Fact</t>
        </is>
      </c>
      <c r="I188" s="7" t="inlineStr">
        <is>
          <t>MD-00079 enters inventory via PO-2024-0015; model Aruba 6300M.</t>
        </is>
      </c>
    </row>
    <row r="189">
      <c r="A189" s="7" t="inlineStr">
        <is>
          <t>MD-00079</t>
        </is>
      </c>
      <c r="B189" s="7" t="inlineStr">
        <is>
          <t>2026-02-08</t>
        </is>
      </c>
      <c r="C189" s="7" t="inlineStr">
        <is>
          <t>Assignment/Transfer</t>
        </is>
      </c>
      <c r="D189" s="7" t="inlineStr">
        <is>
          <t>Central Receiving</t>
        </is>
      </c>
      <c r="E189" s="7" t="inlineStr">
        <is>
          <t>E0082</t>
        </is>
      </c>
      <c r="F189" s="7" t="inlineStr">
        <is>
          <t>Remote - Former Employee</t>
        </is>
      </c>
      <c r="G189" s="7" t="inlineStr">
        <is>
          <t>TR-00079</t>
        </is>
      </c>
      <c r="H189" s="7" t="inlineStr">
        <is>
          <t>Confirmed Fact</t>
        </is>
      </c>
      <c r="I189" s="7" t="inlineStr">
        <is>
          <t>Transfer TR-00079 relocates MD-00079 toward Remote - Former Employee.</t>
        </is>
      </c>
    </row>
    <row r="190">
      <c r="A190" s="7" t="inlineStr">
        <is>
          <t>MD-00079</t>
        </is>
      </c>
      <c r="B190" s="7" t="inlineStr">
        <is>
          <t>2026-06-21</t>
        </is>
      </c>
      <c r="C190" s="7" t="inlineStr">
        <is>
          <t>Offboarding Ticket</t>
        </is>
      </c>
      <c r="D190" s="7" t="inlineStr">
        <is>
          <t>E0092</t>
        </is>
      </c>
      <c r="E190" s="7" t="inlineStr">
        <is>
          <t>IT Service Desk</t>
        </is>
      </c>
      <c r="F190" s="7" t="inlineStr"/>
      <c r="G190" s="7" t="inlineStr">
        <is>
          <t>OFF-00079</t>
        </is>
      </c>
      <c r="H190" s="7" t="inlineStr">
        <is>
          <t>Technician Claim</t>
        </is>
      </c>
      <c r="I190" s="7" t="inlineStr">
        <is>
          <t>Offboarding ticket OFF-00079 touches MD-00079; custodian change still required if register lags.</t>
        </is>
      </c>
    </row>
    <row r="191">
      <c r="A191" s="7" t="inlineStr">
        <is>
          <t>MD-00079</t>
        </is>
      </c>
      <c r="B191" s="7" t="inlineStr">
        <is>
          <t>2026-06-21</t>
        </is>
      </c>
      <c r="C191" s="7" t="inlineStr">
        <is>
          <t>Technician Comment</t>
        </is>
      </c>
      <c r="D191" s="7" t="inlineStr">
        <is>
          <t>Service Desk</t>
        </is>
      </c>
      <c r="E191" s="7" t="inlineStr"/>
      <c r="F191" s="7" t="inlineStr"/>
      <c r="G191" s="7" t="inlineStr">
        <is>
          <t>OFF-00079</t>
        </is>
      </c>
      <c r="H191" s="7" t="inlineStr">
        <is>
          <t>Technician Claim</t>
        </is>
      </c>
      <c r="I191" s="7" t="inlineStr">
        <is>
          <t>Unverified tech comment OFF-00079 linked to MD-00079.</t>
        </is>
      </c>
    </row>
    <row r="192">
      <c r="A192" s="7" t="inlineStr">
        <is>
          <t>MD-00079</t>
        </is>
      </c>
      <c r="B192" s="7" t="inlineStr">
        <is>
          <t>2026-06-25</t>
        </is>
      </c>
      <c r="C192" s="7" t="inlineStr">
        <is>
          <t>Return Label Created</t>
        </is>
      </c>
      <c r="D192" s="7" t="inlineStr">
        <is>
          <t>E0092</t>
        </is>
      </c>
      <c r="E192" s="7" t="inlineStr">
        <is>
          <t>Return Carrier</t>
        </is>
      </c>
      <c r="F192" s="7" t="inlineStr">
        <is>
          <t>Carrier Network</t>
        </is>
      </c>
      <c r="G192" s="7" t="inlineStr">
        <is>
          <t>1ZMD00000079</t>
        </is>
      </c>
      <c r="H192" s="7" t="inlineStr">
        <is>
          <t>Technician Claim</t>
        </is>
      </c>
      <c r="I192" s="7" t="inlineStr">
        <is>
          <t>Carrier label event 1ZMD00000079 on MD-00079 — awaiting acceptance/delivery/scan chain.</t>
        </is>
      </c>
    </row>
    <row r="193">
      <c r="A193" s="7" t="inlineStr">
        <is>
          <t>MD-00079</t>
        </is>
      </c>
      <c r="B193" s="7" t="inlineStr">
        <is>
          <t>2026-08-05</t>
        </is>
      </c>
      <c r="C193" s="7" t="inlineStr">
        <is>
          <t>Regional IT Note Lead</t>
        </is>
      </c>
      <c r="D193" s="7" t="inlineStr">
        <is>
          <t>Regional IT</t>
        </is>
      </c>
      <c r="E193" s="7" t="inlineStr"/>
      <c r="F193" s="7" t="inlineStr">
        <is>
          <t>Denver - Closed</t>
        </is>
      </c>
      <c r="G193" s="7" t="inlineStr">
        <is>
          <t>regional_IT_notes.docx</t>
        </is>
      </c>
      <c r="H193" s="7" t="inlineStr">
        <is>
          <t>Technician Claim</t>
        </is>
      </c>
      <c r="I193" s="7" t="inlineStr">
        <is>
          <t>Note regional_IT_notes.docx mentions MD-00079 informally; corroboration required. Held as investigative crumb.</t>
        </is>
      </c>
    </row>
    <row r="194">
      <c r="A194" s="7" t="inlineStr">
        <is>
          <t>MD-00079</t>
        </is>
      </c>
      <c r="B194" s="7" t="inlineStr">
        <is>
          <t>2026-08-09</t>
        </is>
      </c>
      <c r="C194" s="7" t="inlineStr">
        <is>
          <t>Policy Control Figure</t>
        </is>
      </c>
      <c r="D194" s="7" t="inlineStr">
        <is>
          <t>ITAM-001</t>
        </is>
      </c>
      <c r="E194" s="7" t="inlineStr"/>
      <c r="F194" s="7" t="inlineStr"/>
      <c r="G194" s="7" t="inlineStr">
        <is>
          <t>ITAM_control_matrix.png</t>
        </is>
      </c>
      <c r="H194" s="7" t="inlineStr">
        <is>
          <t>Confirmed Fact</t>
        </is>
      </c>
      <c r="I194" s="7" t="inlineStr">
        <is>
          <t>Lead-only policy figure citation attached to MD-00079 under ITAM_control_matrix.png. Logged as multimodal lead.</t>
        </is>
      </c>
    </row>
    <row r="195">
      <c r="A195" s="7" t="inlineStr">
        <is>
          <t>MD-00079</t>
        </is>
      </c>
      <c r="B195" s="7" t="inlineStr">
        <is>
          <t>2026-08-09</t>
        </is>
      </c>
      <c r="C195" s="7" t="inlineStr">
        <is>
          <t>Reconciliation Conclusion</t>
        </is>
      </c>
      <c r="D195" s="7" t="inlineStr">
        <is>
          <t>Evidence review</t>
        </is>
      </c>
      <c r="E195" s="7" t="inlineStr">
        <is>
          <t>E0092</t>
        </is>
      </c>
      <c r="F195" s="7" t="inlineStr">
        <is>
          <t>Remote - Former Employee</t>
        </is>
      </c>
      <c r="G195" s="7" t="inlineStr">
        <is>
          <t>EX-0088, EX-0089</t>
        </is>
      </c>
      <c r="H195" s="7" t="inlineStr">
        <is>
          <t>Unresolved Assumption</t>
        </is>
      </c>
      <c r="I195" s="7" t="inlineStr">
        <is>
          <t>Documented end state MD-00079 → Return Overdue, site Remote - Former Employee. EX-0088, EX-0089.</t>
        </is>
      </c>
    </row>
    <row r="196">
      <c r="A196" s="7" t="inlineStr">
        <is>
          <t>MD-00080</t>
        </is>
      </c>
      <c r="B196" s="7" t="inlineStr">
        <is>
          <t>2022-09-09</t>
        </is>
      </c>
      <c r="C196" s="7" t="inlineStr">
        <is>
          <t>Purchase</t>
        </is>
      </c>
      <c r="D196" s="7" t="inlineStr">
        <is>
          <t>Vendor</t>
        </is>
      </c>
      <c r="E196" s="7" t="inlineStr">
        <is>
          <t>Central Receiving</t>
        </is>
      </c>
      <c r="F196" s="7" t="inlineStr">
        <is>
          <t>Atlanta Warehouse</t>
        </is>
      </c>
      <c r="G196" s="7" t="inlineStr">
        <is>
          <t>PO-2024-0015</t>
        </is>
      </c>
      <c r="H196" s="7" t="inlineStr">
        <is>
          <t>Confirmed Fact</t>
        </is>
      </c>
      <c r="I196" s="7" t="inlineStr">
        <is>
          <t>PO-2024-0015 → MD-00080 / Cisco Meraki MS250, basis $6,335.</t>
        </is>
      </c>
    </row>
    <row r="197">
      <c r="A197" s="7" t="inlineStr">
        <is>
          <t>MD-00080</t>
        </is>
      </c>
      <c r="B197" s="7" t="inlineStr">
        <is>
          <t>2026-03-09</t>
        </is>
      </c>
      <c r="C197" s="7" t="inlineStr">
        <is>
          <t>Assignment/Transfer</t>
        </is>
      </c>
      <c r="D197" s="7" t="inlineStr">
        <is>
          <t>Central Receiving</t>
        </is>
      </c>
      <c r="E197" s="7" t="inlineStr">
        <is>
          <t>Return Carrier</t>
        </is>
      </c>
      <c r="F197" s="7" t="inlineStr">
        <is>
          <t>Carrier Network</t>
        </is>
      </c>
      <c r="G197" s="7" t="inlineStr">
        <is>
          <t>TR-00080</t>
        </is>
      </c>
      <c r="H197" s="7" t="inlineStr">
        <is>
          <t>Confirmed Fact</t>
        </is>
      </c>
      <c r="I197" s="7" t="inlineStr">
        <is>
          <t>Assignment event TR-00080 on MD-00080 without approval_id.</t>
        </is>
      </c>
    </row>
    <row r="198">
      <c r="A198" s="7" t="inlineStr">
        <is>
          <t>MD-00080</t>
        </is>
      </c>
      <c r="B198" s="7" t="inlineStr">
        <is>
          <t>2026-05-22</t>
        </is>
      </c>
      <c r="C198" s="7" t="inlineStr">
        <is>
          <t>Offboarding Ticket</t>
        </is>
      </c>
      <c r="D198" s="7" t="inlineStr">
        <is>
          <t>E0093</t>
        </is>
      </c>
      <c r="E198" s="7" t="inlineStr">
        <is>
          <t>IT Service Desk</t>
        </is>
      </c>
      <c r="F198" s="7" t="inlineStr"/>
      <c r="G198" s="7" t="inlineStr">
        <is>
          <t>OFF-00080</t>
        </is>
      </c>
      <c r="H198" s="7" t="inlineStr">
        <is>
          <t>Technician Claim</t>
        </is>
      </c>
      <c r="I198" s="7" t="inlineStr">
        <is>
          <t>Ticket OFF-00080 is the offboarding spine for MD-00080.</t>
        </is>
      </c>
    </row>
    <row r="199">
      <c r="A199" s="7" t="inlineStr">
        <is>
          <t>MD-00080</t>
        </is>
      </c>
      <c r="B199" s="7" t="inlineStr">
        <is>
          <t>2026-05-22</t>
        </is>
      </c>
      <c r="C199" s="7" t="inlineStr">
        <is>
          <t>Technician Comment</t>
        </is>
      </c>
      <c r="D199" s="7" t="inlineStr">
        <is>
          <t>Service Desk</t>
        </is>
      </c>
      <c r="E199" s="7" t="inlineStr"/>
      <c r="F199" s="7" t="inlineStr"/>
      <c r="G199" s="7" t="inlineStr">
        <is>
          <t>OFF-00080</t>
        </is>
      </c>
      <c r="H199" s="7" t="inlineStr">
        <is>
          <t>Technician Claim</t>
        </is>
      </c>
      <c r="I199" s="7" t="inlineStr">
        <is>
          <t>Unverified tech comment OFF-00080 linked to MD-00080.</t>
        </is>
      </c>
    </row>
    <row r="200">
      <c r="A200" s="7" t="inlineStr">
        <is>
          <t>MD-00080</t>
        </is>
      </c>
      <c r="B200" s="7" t="inlineStr">
        <is>
          <t>2026-06-25</t>
        </is>
      </c>
      <c r="C200" s="7" t="inlineStr">
        <is>
          <t>Return Label Created</t>
        </is>
      </c>
      <c r="D200" s="7" t="inlineStr">
        <is>
          <t>E0093</t>
        </is>
      </c>
      <c r="E200" s="7" t="inlineStr">
        <is>
          <t>Return Carrier</t>
        </is>
      </c>
      <c r="F200" s="7" t="inlineStr">
        <is>
          <t>Carrier Network</t>
        </is>
      </c>
      <c r="G200" s="7" t="inlineStr">
        <is>
          <t>1ZMD00000080</t>
        </is>
      </c>
      <c r="H200" s="7" t="inlineStr">
        <is>
          <t>Technician Claim</t>
        </is>
      </c>
      <c r="I200" s="7" t="inlineStr">
        <is>
          <t>MD-00080 return paperwork starts at 1ZMD00000080 (label created).</t>
        </is>
      </c>
    </row>
    <row r="201">
      <c r="A201" s="7" t="inlineStr">
        <is>
          <t>MD-00080</t>
        </is>
      </c>
      <c r="B201" s="7" t="inlineStr">
        <is>
          <t>2026-07-02</t>
        </is>
      </c>
      <c r="C201" s="7" t="inlineStr">
        <is>
          <t>Carrier Acceptance</t>
        </is>
      </c>
      <c r="D201" s="7" t="inlineStr">
        <is>
          <t>Shipper</t>
        </is>
      </c>
      <c r="E201" s="7" t="inlineStr">
        <is>
          <t>Carrier</t>
        </is>
      </c>
      <c r="F201" s="7" t="inlineStr">
        <is>
          <t>Carrier Network</t>
        </is>
      </c>
      <c r="G201" s="7" t="inlineStr">
        <is>
          <t>1ZMD00000080</t>
        </is>
      </c>
      <c r="H201" s="7" t="inlineStr">
        <is>
          <t>Confirmed Fact</t>
        </is>
      </c>
      <c r="I201" s="7" t="inlineStr">
        <is>
          <t>MD-00080 accepted by carrier under 1ZMD00000080.</t>
        </is>
      </c>
    </row>
    <row r="202">
      <c r="A202" s="7" t="inlineStr">
        <is>
          <t>MD-00080</t>
        </is>
      </c>
      <c r="B202" s="7" t="inlineStr">
        <is>
          <t>2026-07-06</t>
        </is>
      </c>
      <c r="C202" s="7" t="inlineStr">
        <is>
          <t>Delivery</t>
        </is>
      </c>
      <c r="D202" s="7" t="inlineStr">
        <is>
          <t>Carrier</t>
        </is>
      </c>
      <c r="E202" s="7" t="inlineStr">
        <is>
          <t>Receiving</t>
        </is>
      </c>
      <c r="F202" s="7" t="inlineStr">
        <is>
          <t>Atlanta Warehouse</t>
        </is>
      </c>
      <c r="G202" s="7" t="inlineStr">
        <is>
          <t>1ZMD00000080</t>
        </is>
      </c>
      <c r="H202" s="7" t="inlineStr">
        <is>
          <t>Confirmed Fact</t>
        </is>
      </c>
      <c r="I202" s="7" t="inlineStr">
        <is>
          <t>Delivery confirmation 1ZMD00000080 tied to MD-00080.</t>
        </is>
      </c>
    </row>
    <row r="203">
      <c r="A203" s="7" t="inlineStr">
        <is>
          <t>MD-00080</t>
        </is>
      </c>
      <c r="B203" s="7" t="inlineStr">
        <is>
          <t>2026-07-07</t>
        </is>
      </c>
      <c r="C203" s="7" t="inlineStr">
        <is>
          <t>Receiving Scan</t>
        </is>
      </c>
      <c r="D203" s="7" t="inlineStr">
        <is>
          <t>Carrier</t>
        </is>
      </c>
      <c r="E203" s="7" t="inlineStr">
        <is>
          <t>IT Stock</t>
        </is>
      </c>
      <c r="F203" s="7" t="inlineStr">
        <is>
          <t>Atlanta Warehouse</t>
        </is>
      </c>
      <c r="G203" s="7" t="inlineStr">
        <is>
          <t>1ZMD00000080</t>
        </is>
      </c>
      <c r="H203" s="7" t="inlineStr">
        <is>
          <t>Confirmed Fact</t>
        </is>
      </c>
      <c r="I203" s="7" t="inlineStr">
        <is>
          <t>Dock receiving 1ZMD00000080 closes the physical return for MD-00080.</t>
        </is>
      </c>
    </row>
    <row r="204">
      <c r="A204" s="7" t="inlineStr">
        <is>
          <t>MD-00080</t>
        </is>
      </c>
      <c r="B204" s="7" t="inlineStr">
        <is>
          <t>2026-08-05</t>
        </is>
      </c>
      <c r="C204" s="7" t="inlineStr">
        <is>
          <t>Regional IT Note Lead</t>
        </is>
      </c>
      <c r="D204" s="7" t="inlineStr">
        <is>
          <t>Regional IT</t>
        </is>
      </c>
      <c r="E204" s="7" t="inlineStr"/>
      <c r="F204" s="7" t="inlineStr">
        <is>
          <t>Chicago - Closed</t>
        </is>
      </c>
      <c r="G204" s="7" t="inlineStr">
        <is>
          <t>regional_IT_notes.docx</t>
        </is>
      </c>
      <c r="H204" s="7" t="inlineStr">
        <is>
          <t>Technician Claim</t>
        </is>
      </c>
      <c r="I204" s="7" t="inlineStr">
        <is>
          <t>Regional note for MD-00080 kept as an unverified lead (regional_IT_notes.docx). Requires independent find.</t>
        </is>
      </c>
    </row>
    <row r="205">
      <c r="A205" s="7" t="inlineStr">
        <is>
          <t>MD-00080</t>
        </is>
      </c>
      <c r="B205" s="7" t="inlineStr">
        <is>
          <t>2026-08-09</t>
        </is>
      </c>
      <c r="C205" s="7" t="inlineStr">
        <is>
          <t>Policy Control Figure</t>
        </is>
      </c>
      <c r="D205" s="7" t="inlineStr">
        <is>
          <t>ITAM-001</t>
        </is>
      </c>
      <c r="E205" s="7" t="inlineStr"/>
      <c r="F205" s="7" t="inlineStr"/>
      <c r="G205" s="7" t="inlineStr">
        <is>
          <t>IT_asset_management_policy.pdf</t>
        </is>
      </c>
      <c r="H205" s="7" t="inlineStr">
        <is>
          <t>Confirmed Fact</t>
        </is>
      </c>
      <c r="I205" s="7" t="inlineStr">
        <is>
          <t>Lead entry for MD-00080 notes the policy PNG and immediately defers to source systems. Kept out of disposition logic.</t>
        </is>
      </c>
    </row>
    <row r="206">
      <c r="A206" s="7" t="inlineStr">
        <is>
          <t>MD-00080</t>
        </is>
      </c>
      <c r="B206" s="7" t="inlineStr">
        <is>
          <t>2026-08-09</t>
        </is>
      </c>
      <c r="C206" s="7" t="inlineStr">
        <is>
          <t>Reconciliation Conclusion</t>
        </is>
      </c>
      <c r="D206" s="7" t="inlineStr">
        <is>
          <t>Evidence review</t>
        </is>
      </c>
      <c r="E206" s="7" t="inlineStr">
        <is>
          <t>IT Stock</t>
        </is>
      </c>
      <c r="F206" s="7" t="inlineStr">
        <is>
          <t>Atlanta Warehouse</t>
        </is>
      </c>
      <c r="G206" s="7" t="inlineStr">
        <is>
          <t>EX-0090</t>
        </is>
      </c>
      <c r="H206" s="7" t="inlineStr">
        <is>
          <t>Confirmed Fact</t>
        </is>
      </c>
      <c r="I206" s="7" t="inlineStr">
        <is>
          <t>Chain closed on MD-00080 with operational reading Available. Linked EX-0090.</t>
        </is>
      </c>
    </row>
    <row r="207">
      <c r="A207" s="7" t="inlineStr">
        <is>
          <t>MD-00081</t>
        </is>
      </c>
      <c r="B207" s="7" t="inlineStr">
        <is>
          <t>2023-10-10</t>
        </is>
      </c>
      <c r="C207" s="7" t="inlineStr">
        <is>
          <t>Purchase</t>
        </is>
      </c>
      <c r="D207" s="7" t="inlineStr">
        <is>
          <t>Vendor</t>
        </is>
      </c>
      <c r="E207" s="7" t="inlineStr">
        <is>
          <t>Central Receiving</t>
        </is>
      </c>
      <c r="F207" s="7" t="inlineStr">
        <is>
          <t>Atlanta Warehouse</t>
        </is>
      </c>
      <c r="G207" s="7" t="inlineStr">
        <is>
          <t>PO-2024-0015</t>
        </is>
      </c>
      <c r="H207" s="7" t="inlineStr">
        <is>
          <t>Confirmed Fact</t>
        </is>
      </c>
      <c r="I207" s="7" t="inlineStr">
        <is>
          <t>Vendor fulfillment on PO-2024-0015 put MD-00081 on the books (Fortinet FortiSwitch 148F).</t>
        </is>
      </c>
    </row>
    <row r="208">
      <c r="A208" s="7" t="inlineStr">
        <is>
          <t>MD-00081</t>
        </is>
      </c>
      <c r="B208" s="7" t="inlineStr">
        <is>
          <t>2026-04-10</t>
        </is>
      </c>
      <c r="C208" s="7" t="inlineStr">
        <is>
          <t>Assignment/Transfer</t>
        </is>
      </c>
      <c r="D208" s="7" t="inlineStr">
        <is>
          <t>Central Receiving</t>
        </is>
      </c>
      <c r="E208" s="7" t="inlineStr">
        <is>
          <t>Return Carrier</t>
        </is>
      </c>
      <c r="F208" s="7" t="inlineStr">
        <is>
          <t>Carrier Network</t>
        </is>
      </c>
      <c r="G208" s="7" t="inlineStr">
        <is>
          <t>TR-00081</t>
        </is>
      </c>
      <c r="H208" s="7" t="inlineStr">
        <is>
          <t>Confirmed Fact</t>
        </is>
      </c>
      <c r="I208" s="7" t="inlineStr">
        <is>
          <t>Logged transfer TR-00081 for MD-00081; receiving side Carrier Network.</t>
        </is>
      </c>
    </row>
    <row r="209">
      <c r="A209" s="7" t="inlineStr">
        <is>
          <t>MD-00081</t>
        </is>
      </c>
      <c r="B209" s="7" t="inlineStr">
        <is>
          <t>2026-06-23</t>
        </is>
      </c>
      <c r="C209" s="7" t="inlineStr">
        <is>
          <t>Offboarding Ticket</t>
        </is>
      </c>
      <c r="D209" s="7" t="inlineStr">
        <is>
          <t>E0094</t>
        </is>
      </c>
      <c r="E209" s="7" t="inlineStr">
        <is>
          <t>IT Service Desk</t>
        </is>
      </c>
      <c r="F209" s="7" t="inlineStr"/>
      <c r="G209" s="7" t="inlineStr">
        <is>
          <t>OFF-00081</t>
        </is>
      </c>
      <c r="H209" s="7" t="inlineStr">
        <is>
          <t>Technician Claim</t>
        </is>
      </c>
      <c r="I209" s="7" t="inlineStr">
        <is>
          <t>Separated-employee workflow OFF-00081 includes MD-00081.</t>
        </is>
      </c>
    </row>
    <row r="210">
      <c r="A210" s="7" t="inlineStr">
        <is>
          <t>MD-00081</t>
        </is>
      </c>
      <c r="B210" s="7" t="inlineStr">
        <is>
          <t>2026-06-23</t>
        </is>
      </c>
      <c r="C210" s="7" t="inlineStr">
        <is>
          <t>Technician Comment</t>
        </is>
      </c>
      <c r="D210" s="7" t="inlineStr">
        <is>
          <t>Service Desk</t>
        </is>
      </c>
      <c r="E210" s="7" t="inlineStr"/>
      <c r="F210" s="7" t="inlineStr"/>
      <c r="G210" s="7" t="inlineStr">
        <is>
          <t>OFF-00081</t>
        </is>
      </c>
      <c r="H210" s="7" t="inlineStr">
        <is>
          <t>Technician Claim</t>
        </is>
      </c>
      <c r="I210" s="7" t="inlineStr">
        <is>
          <t>Bench note OFF-00081 for MD-00081; needs independent corroboration.</t>
        </is>
      </c>
    </row>
    <row r="211">
      <c r="A211" s="7" t="inlineStr">
        <is>
          <t>MD-00081</t>
        </is>
      </c>
      <c r="B211" s="7" t="inlineStr">
        <is>
          <t>2026-06-25</t>
        </is>
      </c>
      <c r="C211" s="7" t="inlineStr">
        <is>
          <t>Return Label Created</t>
        </is>
      </c>
      <c r="D211" s="7" t="inlineStr">
        <is>
          <t>E0094</t>
        </is>
      </c>
      <c r="E211" s="7" t="inlineStr">
        <is>
          <t>Return Carrier</t>
        </is>
      </c>
      <c r="F211" s="7" t="inlineStr">
        <is>
          <t>Carrier Network</t>
        </is>
      </c>
      <c r="G211" s="7" t="inlineStr">
        <is>
          <t>1ZMD00000081</t>
        </is>
      </c>
      <c r="H211" s="7" t="inlineStr">
        <is>
          <t>Technician Claim</t>
        </is>
      </c>
      <c r="I211" s="7" t="inlineStr">
        <is>
          <t>Outbound label 1ZMD00000081 logged for MD-00081.</t>
        </is>
      </c>
    </row>
    <row r="212">
      <c r="A212" s="7" t="inlineStr">
        <is>
          <t>MD-00081</t>
        </is>
      </c>
      <c r="B212" s="7" t="inlineStr">
        <is>
          <t>2026-07-02</t>
        </is>
      </c>
      <c r="C212" s="7" t="inlineStr">
        <is>
          <t>Carrier Acceptance</t>
        </is>
      </c>
      <c r="D212" s="7" t="inlineStr">
        <is>
          <t>Shipper</t>
        </is>
      </c>
      <c r="E212" s="7" t="inlineStr">
        <is>
          <t>Carrier</t>
        </is>
      </c>
      <c r="F212" s="7" t="inlineStr">
        <is>
          <t>Carrier Network</t>
        </is>
      </c>
      <c r="G212" s="7" t="inlineStr">
        <is>
          <t>1ZMD00000081</t>
        </is>
      </c>
      <c r="H212" s="7" t="inlineStr">
        <is>
          <t>Confirmed Fact</t>
        </is>
      </c>
      <c r="I212" s="7" t="inlineStr">
        <is>
          <t>Carrier acceptance recorded on 1ZMD00000081 for MD-00081.</t>
        </is>
      </c>
    </row>
    <row r="213">
      <c r="A213" s="7" t="inlineStr">
        <is>
          <t>MD-00081</t>
        </is>
      </c>
      <c r="B213" s="7" t="inlineStr">
        <is>
          <t>2026-07-06</t>
        </is>
      </c>
      <c r="C213" s="7" t="inlineStr">
        <is>
          <t>Delivery</t>
        </is>
      </c>
      <c r="D213" s="7" t="inlineStr">
        <is>
          <t>Carrier</t>
        </is>
      </c>
      <c r="E213" s="7" t="inlineStr">
        <is>
          <t>Receiving</t>
        </is>
      </c>
      <c r="F213" s="7" t="inlineStr">
        <is>
          <t>Atlanta Warehouse</t>
        </is>
      </c>
      <c r="G213" s="7" t="inlineStr">
        <is>
          <t>1ZMD00000081</t>
        </is>
      </c>
      <c r="H213" s="7" t="inlineStr">
        <is>
          <t>Confirmed Fact</t>
        </is>
      </c>
      <c r="I213" s="7" t="inlineStr">
        <is>
          <t>MD-00081 delivery milestone 1ZMD00000081.</t>
        </is>
      </c>
    </row>
    <row r="214">
      <c r="A214" s="7" t="inlineStr">
        <is>
          <t>MD-00081</t>
        </is>
      </c>
      <c r="B214" s="7" t="inlineStr">
        <is>
          <t>2026-07-07</t>
        </is>
      </c>
      <c r="C214" s="7" t="inlineStr">
        <is>
          <t>Receiving Scan</t>
        </is>
      </c>
      <c r="D214" s="7" t="inlineStr">
        <is>
          <t>Carrier</t>
        </is>
      </c>
      <c r="E214" s="7" t="inlineStr">
        <is>
          <t>IT Stock</t>
        </is>
      </c>
      <c r="F214" s="7" t="inlineStr">
        <is>
          <t>Atlanta Warehouse</t>
        </is>
      </c>
      <c r="G214" s="7" t="inlineStr">
        <is>
          <t>1ZMD00000081</t>
        </is>
      </c>
      <c r="H214" s="7" t="inlineStr">
        <is>
          <t>Confirmed Fact</t>
        </is>
      </c>
      <c r="I214" s="7" t="inlineStr">
        <is>
          <t>Dock receiving 1ZMD00000081 closes the physical return for MD-00081.</t>
        </is>
      </c>
    </row>
    <row r="215">
      <c r="A215" s="7" t="inlineStr">
        <is>
          <t>MD-00081</t>
        </is>
      </c>
      <c r="B215" s="7" t="inlineStr">
        <is>
          <t>2026-08-05</t>
        </is>
      </c>
      <c r="C215" s="7" t="inlineStr">
        <is>
          <t>Regional IT Note Lead</t>
        </is>
      </c>
      <c r="D215" s="7" t="inlineStr">
        <is>
          <t>Regional IT</t>
        </is>
      </c>
      <c r="E215" s="7" t="inlineStr"/>
      <c r="F215" s="7" t="inlineStr">
        <is>
          <t>Denver - Closed</t>
        </is>
      </c>
      <c r="G215" s="7" t="inlineStr">
        <is>
          <t>regional_IT_notes.docx</t>
        </is>
      </c>
      <c r="H215" s="7" t="inlineStr">
        <is>
          <t>Technician Claim</t>
        </is>
      </c>
      <c r="I215" s="7" t="inlineStr">
        <is>
          <t>Regional note for MD-00081 kept as an unverified lead (regional_IT_notes.docx). Held as investigative crumb.</t>
        </is>
      </c>
    </row>
    <row r="216">
      <c r="A216" s="7" t="inlineStr">
        <is>
          <t>MD-00081</t>
        </is>
      </c>
      <c r="B216" s="7" t="inlineStr">
        <is>
          <t>2026-08-09</t>
        </is>
      </c>
      <c r="C216" s="7" t="inlineStr">
        <is>
          <t>Policy Control Figure</t>
        </is>
      </c>
      <c r="D216" s="7" t="inlineStr">
        <is>
          <t>ITAM-001</t>
        </is>
      </c>
      <c r="E216" s="7" t="inlineStr"/>
      <c r="F216" s="7" t="inlineStr"/>
      <c r="G216" s="7" t="inlineStr">
        <is>
          <t>ITAM_control_matrix.png</t>
        </is>
      </c>
      <c r="H216" s="7" t="inlineStr">
        <is>
          <t>Confirmed Fact</t>
        </is>
      </c>
      <c r="I216" s="7" t="inlineStr">
        <is>
          <t>Policy figure pass for MD-00081 completed before citing PO/TR/ticket identifiers. Logged as multimodal lead.</t>
        </is>
      </c>
    </row>
    <row r="217">
      <c r="A217" s="7" t="inlineStr">
        <is>
          <t>MD-00081</t>
        </is>
      </c>
      <c r="B217" s="7" t="inlineStr">
        <is>
          <t>2026-08-09</t>
        </is>
      </c>
      <c r="C217" s="7" t="inlineStr">
        <is>
          <t>Reconciliation Conclusion</t>
        </is>
      </c>
      <c r="D217" s="7" t="inlineStr">
        <is>
          <t>Evidence review</t>
        </is>
      </c>
      <c r="E217" s="7" t="inlineStr">
        <is>
          <t>IT Stock</t>
        </is>
      </c>
      <c r="F217" s="7" t="inlineStr">
        <is>
          <t>Atlanta Warehouse</t>
        </is>
      </c>
      <c r="G217" s="7" t="inlineStr">
        <is>
          <t>EX-0091</t>
        </is>
      </c>
      <c r="H217" s="7" t="inlineStr">
        <is>
          <t>Confirmed Fact</t>
        </is>
      </c>
      <c r="I217" s="7" t="inlineStr">
        <is>
          <t>Conclusion row for MD-00081 — Available at Atlanta Warehouse. Tied exceptions EX-0091.</t>
        </is>
      </c>
    </row>
    <row r="218">
      <c r="A218" s="7" t="inlineStr">
        <is>
          <t>MD-00082</t>
        </is>
      </c>
      <c r="B218" s="7" t="inlineStr">
        <is>
          <t>2024-11-11</t>
        </is>
      </c>
      <c r="C218" s="7" t="inlineStr">
        <is>
          <t>Purchase</t>
        </is>
      </c>
      <c r="D218" s="7" t="inlineStr">
        <is>
          <t>Vendor</t>
        </is>
      </c>
      <c r="E218" s="7" t="inlineStr">
        <is>
          <t>Central Receiving</t>
        </is>
      </c>
      <c r="F218" s="7" t="inlineStr">
        <is>
          <t>Atlanta Warehouse</t>
        </is>
      </c>
      <c r="G218" s="7" t="inlineStr">
        <is>
          <t>PO-2024-0015</t>
        </is>
      </c>
      <c r="H218" s="7" t="inlineStr">
        <is>
          <t>Confirmed Fact</t>
        </is>
      </c>
      <c r="I218" s="7" t="inlineStr">
        <is>
          <t>Vendor fulfillment on PO-2024-0015 put MD-00082 on the books (Cisco C9300).</t>
        </is>
      </c>
    </row>
    <row r="219">
      <c r="A219" s="7" t="inlineStr">
        <is>
          <t>MD-00082</t>
        </is>
      </c>
      <c r="B219" s="7" t="inlineStr">
        <is>
          <t>2026-05-11</t>
        </is>
      </c>
      <c r="C219" s="7" t="inlineStr">
        <is>
          <t>Assignment/Transfer</t>
        </is>
      </c>
      <c r="D219" s="7" t="inlineStr">
        <is>
          <t>Central Receiving</t>
        </is>
      </c>
      <c r="E219" s="7" t="inlineStr">
        <is>
          <t>Return Carrier</t>
        </is>
      </c>
      <c r="F219" s="7" t="inlineStr">
        <is>
          <t>Carrier Network</t>
        </is>
      </c>
      <c r="G219" s="7" t="inlineStr">
        <is>
          <t>TR-00082</t>
        </is>
      </c>
      <c r="H219" s="7" t="inlineStr">
        <is>
          <t>Confirmed Fact</t>
        </is>
      </c>
      <c r="I219" s="7" t="inlineStr">
        <is>
          <t>TR file TR-00082 covers the MD-00082 relocation.</t>
        </is>
      </c>
    </row>
    <row r="220">
      <c r="A220" s="7" t="inlineStr">
        <is>
          <t>MD-00082</t>
        </is>
      </c>
      <c r="B220" s="7" t="inlineStr">
        <is>
          <t>2026-05-24</t>
        </is>
      </c>
      <c r="C220" s="7" t="inlineStr">
        <is>
          <t>Offboarding Ticket</t>
        </is>
      </c>
      <c r="D220" s="7" t="inlineStr">
        <is>
          <t>E0095</t>
        </is>
      </c>
      <c r="E220" s="7" t="inlineStr">
        <is>
          <t>IT Service Desk</t>
        </is>
      </c>
      <c r="F220" s="7" t="inlineStr"/>
      <c r="G220" s="7" t="inlineStr">
        <is>
          <t>OFF-00082</t>
        </is>
      </c>
      <c r="H220" s="7" t="inlineStr">
        <is>
          <t>Technician Claim</t>
        </is>
      </c>
      <c r="I220" s="7" t="inlineStr">
        <is>
          <t>Separated-employee workflow OFF-00082 includes MD-00082.</t>
        </is>
      </c>
    </row>
    <row r="221">
      <c r="A221" s="7" t="inlineStr">
        <is>
          <t>MD-00082</t>
        </is>
      </c>
      <c r="B221" s="7" t="inlineStr">
        <is>
          <t>2026-05-24</t>
        </is>
      </c>
      <c r="C221" s="7" t="inlineStr">
        <is>
          <t>Technician Comment</t>
        </is>
      </c>
      <c r="D221" s="7" t="inlineStr">
        <is>
          <t>Service Desk</t>
        </is>
      </c>
      <c r="E221" s="7" t="inlineStr"/>
      <c r="F221" s="7" t="inlineStr"/>
      <c r="G221" s="7" t="inlineStr">
        <is>
          <t>OFF-00082</t>
        </is>
      </c>
      <c r="H221" s="7" t="inlineStr">
        <is>
          <t>Technician Claim</t>
        </is>
      </c>
      <c r="I221" s="7" t="inlineStr">
        <is>
          <t>Tech remark filed against MD-00082 under OFF-00082.</t>
        </is>
      </c>
    </row>
    <row r="222">
      <c r="A222" s="7" t="inlineStr">
        <is>
          <t>MD-00082</t>
        </is>
      </c>
      <c r="B222" s="7" t="inlineStr">
        <is>
          <t>2026-06-25</t>
        </is>
      </c>
      <c r="C222" s="7" t="inlineStr">
        <is>
          <t>Return Label Created</t>
        </is>
      </c>
      <c r="D222" s="7" t="inlineStr">
        <is>
          <t>E0095</t>
        </is>
      </c>
      <c r="E222" s="7" t="inlineStr">
        <is>
          <t>Return Carrier</t>
        </is>
      </c>
      <c r="F222" s="7" t="inlineStr">
        <is>
          <t>Carrier Network</t>
        </is>
      </c>
      <c r="G222" s="7" t="inlineStr">
        <is>
          <t>1ZMD00000082</t>
        </is>
      </c>
      <c r="H222" s="7" t="inlineStr">
        <is>
          <t>Technician Claim</t>
        </is>
      </c>
      <c r="I222" s="7" t="inlineStr">
        <is>
          <t>Outbound label 1ZMD00000082 logged for MD-00082.</t>
        </is>
      </c>
    </row>
    <row r="223">
      <c r="A223" s="7" t="inlineStr">
        <is>
          <t>MD-00082</t>
        </is>
      </c>
      <c r="B223" s="7" t="inlineStr">
        <is>
          <t>2026-07-02</t>
        </is>
      </c>
      <c r="C223" s="7" t="inlineStr">
        <is>
          <t>Carrier Acceptance</t>
        </is>
      </c>
      <c r="D223" s="7" t="inlineStr">
        <is>
          <t>Shipper</t>
        </is>
      </c>
      <c r="E223" s="7" t="inlineStr">
        <is>
          <t>Carrier</t>
        </is>
      </c>
      <c r="F223" s="7" t="inlineStr">
        <is>
          <t>Carrier Network</t>
        </is>
      </c>
      <c r="G223" s="7" t="inlineStr">
        <is>
          <t>1ZMD00000082</t>
        </is>
      </c>
      <c r="H223" s="7" t="inlineStr">
        <is>
          <t>Confirmed Fact</t>
        </is>
      </c>
      <c r="I223" s="7" t="inlineStr">
        <is>
          <t>Acceptance event 1ZMD00000082 on MD-00082.</t>
        </is>
      </c>
    </row>
    <row r="224">
      <c r="A224" s="7" t="inlineStr">
        <is>
          <t>MD-00082</t>
        </is>
      </c>
      <c r="B224" s="7" t="inlineStr">
        <is>
          <t>2026-06-25</t>
        </is>
      </c>
      <c r="C224" s="7" t="inlineStr">
        <is>
          <t>Shipment Exception</t>
        </is>
      </c>
      <c r="D224" s="7" t="inlineStr"/>
      <c r="E224" s="7" t="inlineStr"/>
      <c r="F224" s="7" t="inlineStr"/>
      <c r="G224" s="7" t="inlineStr">
        <is>
          <t>1ZMD00000082</t>
        </is>
      </c>
      <c r="H224" s="7" t="inlineStr">
        <is>
          <t>Unresolved Assumption</t>
        </is>
      </c>
      <c r="I224" s="7" t="inlineStr">
        <is>
          <t>Carrier exception file 1ZMD00000082 blocks clearance for MD-00082.</t>
        </is>
      </c>
    </row>
    <row r="225">
      <c r="A225" s="7" t="inlineStr">
        <is>
          <t>MD-00082</t>
        </is>
      </c>
      <c r="B225" s="7" t="inlineStr">
        <is>
          <t>2026-08-09</t>
        </is>
      </c>
      <c r="C225" s="7" t="inlineStr">
        <is>
          <t>Dock Image Lead</t>
        </is>
      </c>
      <c r="D225" s="7" t="inlineStr">
        <is>
          <t>Atlanta Warehouse</t>
        </is>
      </c>
      <c r="E225" s="7" t="inlineStr"/>
      <c r="F225" s="7" t="inlineStr">
        <is>
          <t>Atlanta Warehouse</t>
        </is>
      </c>
      <c r="G225" s="7" t="inlineStr">
        <is>
          <t>receiving_exception_scan_1ZMD00000082.png</t>
        </is>
      </c>
      <c r="H225" s="7" t="inlineStr">
        <is>
          <t>Technician Claim</t>
        </is>
      </c>
      <c r="I225" s="7" t="inlineStr">
        <is>
          <t>Image lead receiving_exception_scan_1ZMD00000082.png on MD-00082; still need serial match to clear.</t>
        </is>
      </c>
    </row>
    <row r="226">
      <c r="A226" s="7" t="inlineStr">
        <is>
          <t>MD-00082</t>
        </is>
      </c>
      <c r="B226" s="7" t="inlineStr">
        <is>
          <t>2026-08-05</t>
        </is>
      </c>
      <c r="C226" s="7" t="inlineStr">
        <is>
          <t>Regional IT Note Lead</t>
        </is>
      </c>
      <c r="D226" s="7" t="inlineStr">
        <is>
          <t>Regional IT</t>
        </is>
      </c>
      <c r="E226" s="7" t="inlineStr"/>
      <c r="F226" s="7" t="inlineStr">
        <is>
          <t>Chicago - Closed</t>
        </is>
      </c>
      <c r="G226" s="7" t="inlineStr">
        <is>
          <t>regional_IT_notes.docx</t>
        </is>
      </c>
      <c r="H226" s="7" t="inlineStr">
        <is>
          <t>Technician Claim</t>
        </is>
      </c>
      <c r="I226" s="7" t="inlineStr">
        <is>
          <t>Regional note for MD-00082 kept as an unverified lead (regional_IT_notes.docx). Not used for verified location.</t>
        </is>
      </c>
    </row>
    <row r="227">
      <c r="A227" s="7" t="inlineStr">
        <is>
          <t>MD-00082</t>
        </is>
      </c>
      <c r="B227" s="7" t="inlineStr">
        <is>
          <t>2026-08-09</t>
        </is>
      </c>
      <c r="C227" s="7" t="inlineStr">
        <is>
          <t>Policy Control Figure</t>
        </is>
      </c>
      <c r="D227" s="7" t="inlineStr">
        <is>
          <t>ITAM-001</t>
        </is>
      </c>
      <c r="E227" s="7" t="inlineStr"/>
      <c r="F227" s="7" t="inlineStr"/>
      <c r="G227" s="7" t="inlineStr">
        <is>
          <t>IT_asset_management_policy.pdf §§4–9; ITAM_control_matrix.png</t>
        </is>
      </c>
      <c r="H227" s="7" t="inlineStr">
        <is>
          <t>Confirmed Fact</t>
        </is>
      </c>
      <c r="I227" s="7" t="inlineStr">
        <is>
          <t>No elevation of ITAM_control_matrix.png to clearance evidence for MD-00082. Logged as multimodal lead.</t>
        </is>
      </c>
    </row>
    <row r="228">
      <c r="A228" s="7" t="inlineStr">
        <is>
          <t>MD-00082</t>
        </is>
      </c>
      <c r="B228" s="7" t="inlineStr">
        <is>
          <t>2026-08-09</t>
        </is>
      </c>
      <c r="C228" s="7" t="inlineStr">
        <is>
          <t>Reconciliation Conclusion</t>
        </is>
      </c>
      <c r="D228" s="7" t="inlineStr">
        <is>
          <t>Evidence review</t>
        </is>
      </c>
      <c r="E228" s="7" t="inlineStr">
        <is>
          <t>E0095</t>
        </is>
      </c>
      <c r="F228" s="7" t="inlineStr">
        <is>
          <t>Carrier Network / Unverified</t>
        </is>
      </c>
      <c r="G228" s="7" t="inlineStr">
        <is>
          <t>OFF-00082; 1ZMD00000082; TR-00082; MISMATCH-0082</t>
        </is>
      </c>
      <c r="H228" s="7" t="inlineStr">
        <is>
          <t>Unresolved Assumption</t>
        </is>
      </c>
      <c r="I228" s="7" t="inlineStr">
        <is>
          <t>Chain closed on MD-00082 with operational reading In Transit - Exception. Linked OFF-00082; 1ZMD00000082; TR-00082; MISMATCH-0082.</t>
        </is>
      </c>
    </row>
    <row r="229">
      <c r="A229" s="7" t="inlineStr">
        <is>
          <t>MD-00083</t>
        </is>
      </c>
      <c r="B229" s="7" t="inlineStr">
        <is>
          <t>2025-12-12</t>
        </is>
      </c>
      <c r="C229" s="7" t="inlineStr">
        <is>
          <t>Purchase</t>
        </is>
      </c>
      <c r="D229" s="7" t="inlineStr">
        <is>
          <t>Vendor</t>
        </is>
      </c>
      <c r="E229" s="7" t="inlineStr">
        <is>
          <t>Central Receiving</t>
        </is>
      </c>
      <c r="F229" s="7" t="inlineStr">
        <is>
          <t>Atlanta Warehouse</t>
        </is>
      </c>
      <c r="G229" s="7" t="inlineStr">
        <is>
          <t>PO-2025-0016</t>
        </is>
      </c>
      <c r="H229" s="7" t="inlineStr">
        <is>
          <t>Confirmed Fact</t>
        </is>
      </c>
      <c r="I229" s="7" t="inlineStr">
        <is>
          <t>PO-2025-0016 → MD-00083 / Aruba 6300M, basis $1,220.</t>
        </is>
      </c>
    </row>
    <row r="230">
      <c r="A230" s="7" t="inlineStr">
        <is>
          <t>MD-00083</t>
        </is>
      </c>
      <c r="B230" s="7" t="inlineStr">
        <is>
          <t>2026-06-12</t>
        </is>
      </c>
      <c r="C230" s="7" t="inlineStr">
        <is>
          <t>Assignment/Transfer</t>
        </is>
      </c>
      <c r="D230" s="7" t="inlineStr">
        <is>
          <t>Central Receiving</t>
        </is>
      </c>
      <c r="E230" s="7" t="inlineStr">
        <is>
          <t>Return Carrier</t>
        </is>
      </c>
      <c r="F230" s="7" t="inlineStr">
        <is>
          <t>Carrier Network</t>
        </is>
      </c>
      <c r="G230" s="7" t="inlineStr">
        <is>
          <t>TR-00083</t>
        </is>
      </c>
      <c r="H230" s="7" t="inlineStr">
        <is>
          <t>Confirmed Fact</t>
        </is>
      </c>
      <c r="I230" s="7" t="inlineStr">
        <is>
          <t>Move record TR-00083 is the assignment evidence for MD-00083.</t>
        </is>
      </c>
    </row>
    <row r="231">
      <c r="A231" s="7" t="inlineStr">
        <is>
          <t>MD-00083</t>
        </is>
      </c>
      <c r="B231" s="7" t="inlineStr">
        <is>
          <t>2026-05-24</t>
        </is>
      </c>
      <c r="C231" s="7" t="inlineStr">
        <is>
          <t>Offboarding Ticket</t>
        </is>
      </c>
      <c r="D231" s="7" t="inlineStr">
        <is>
          <t>E0071</t>
        </is>
      </c>
      <c r="E231" s="7" t="inlineStr">
        <is>
          <t>IT Service Desk</t>
        </is>
      </c>
      <c r="F231" s="7" t="inlineStr"/>
      <c r="G231" s="7" t="inlineStr">
        <is>
          <t>OFF-00083</t>
        </is>
      </c>
      <c r="H231" s="7" t="inlineStr">
        <is>
          <t>Technician Claim</t>
        </is>
      </c>
      <c r="I231" s="7" t="inlineStr">
        <is>
          <t>Ticket OFF-00083 is the offboarding spine for MD-00083.</t>
        </is>
      </c>
    </row>
    <row r="232">
      <c r="A232" s="7" t="inlineStr">
        <is>
          <t>MD-00083</t>
        </is>
      </c>
      <c r="B232" s="7" t="inlineStr">
        <is>
          <t>2026-05-24</t>
        </is>
      </c>
      <c r="C232" s="7" t="inlineStr">
        <is>
          <t>Technician Comment</t>
        </is>
      </c>
      <c r="D232" s="7" t="inlineStr">
        <is>
          <t>Service Desk</t>
        </is>
      </c>
      <c r="E232" s="7" t="inlineStr"/>
      <c r="F232" s="7" t="inlineStr"/>
      <c r="G232" s="7" t="inlineStr">
        <is>
          <t>OFF-00083</t>
        </is>
      </c>
      <c r="H232" s="7" t="inlineStr">
        <is>
          <t>Technician Claim</t>
        </is>
      </c>
      <c r="I232" s="7" t="inlineStr">
        <is>
          <t>Unverified tech comment OFF-00083 linked to MD-00083.</t>
        </is>
      </c>
    </row>
    <row r="233">
      <c r="A233" s="7" t="inlineStr">
        <is>
          <t>MD-00083</t>
        </is>
      </c>
      <c r="B233" s="7" t="inlineStr">
        <is>
          <t>2026-06-25</t>
        </is>
      </c>
      <c r="C233" s="7" t="inlineStr">
        <is>
          <t>Return Label Created</t>
        </is>
      </c>
      <c r="D233" s="7" t="inlineStr">
        <is>
          <t>E0071</t>
        </is>
      </c>
      <c r="E233" s="7" t="inlineStr">
        <is>
          <t>Return Carrier</t>
        </is>
      </c>
      <c r="F233" s="7" t="inlineStr">
        <is>
          <t>Carrier Network</t>
        </is>
      </c>
      <c r="G233" s="7" t="inlineStr">
        <is>
          <t>1ZMD00000083</t>
        </is>
      </c>
      <c r="H233" s="7" t="inlineStr">
        <is>
          <t>Technician Claim</t>
        </is>
      </c>
      <c r="I233" s="7" t="inlineStr">
        <is>
          <t>Carrier label event 1ZMD00000083 on MD-00083 — awaiting acceptance/delivery/scan chain.</t>
        </is>
      </c>
    </row>
    <row r="234">
      <c r="A234" s="7" t="inlineStr">
        <is>
          <t>MD-00083</t>
        </is>
      </c>
      <c r="B234" s="7" t="inlineStr">
        <is>
          <t>2026-07-02</t>
        </is>
      </c>
      <c r="C234" s="7" t="inlineStr">
        <is>
          <t>Carrier Acceptance</t>
        </is>
      </c>
      <c r="D234" s="7" t="inlineStr">
        <is>
          <t>Shipper</t>
        </is>
      </c>
      <c r="E234" s="7" t="inlineStr">
        <is>
          <t>Carrier</t>
        </is>
      </c>
      <c r="F234" s="7" t="inlineStr">
        <is>
          <t>Carrier Network</t>
        </is>
      </c>
      <c r="G234" s="7" t="inlineStr">
        <is>
          <t>1ZMD00000083</t>
        </is>
      </c>
      <c r="H234" s="7" t="inlineStr">
        <is>
          <t>Confirmed Fact</t>
        </is>
      </c>
      <c r="I234" s="7" t="inlineStr">
        <is>
          <t>Acceptance scan 1ZMD00000083 advances the return path for MD-00083.</t>
        </is>
      </c>
    </row>
    <row r="235">
      <c r="A235" s="7" t="inlineStr">
        <is>
          <t>MD-00083</t>
        </is>
      </c>
      <c r="B235" s="7" t="inlineStr">
        <is>
          <t>2026-07-06</t>
        </is>
      </c>
      <c r="C235" s="7" t="inlineStr">
        <is>
          <t>Delivery</t>
        </is>
      </c>
      <c r="D235" s="7" t="inlineStr">
        <is>
          <t>Carrier</t>
        </is>
      </c>
      <c r="E235" s="7" t="inlineStr">
        <is>
          <t>Receiving</t>
        </is>
      </c>
      <c r="F235" s="7" t="inlineStr">
        <is>
          <t>Atlanta Warehouse</t>
        </is>
      </c>
      <c r="G235" s="7" t="inlineStr">
        <is>
          <t>1ZMD00000083</t>
        </is>
      </c>
      <c r="H235" s="7" t="inlineStr">
        <is>
          <t>Confirmed Fact</t>
        </is>
      </c>
      <c r="I235" s="7" t="inlineStr">
        <is>
          <t>Delivery confirmation 1ZMD00000083 tied to MD-00083.</t>
        </is>
      </c>
    </row>
    <row r="236">
      <c r="A236" s="7" t="inlineStr">
        <is>
          <t>MD-00083</t>
        </is>
      </c>
      <c r="B236" s="7" t="inlineStr">
        <is>
          <t>2026-07-07</t>
        </is>
      </c>
      <c r="C236" s="7" t="inlineStr">
        <is>
          <t>Receiving Scan</t>
        </is>
      </c>
      <c r="D236" s="7" t="inlineStr">
        <is>
          <t>Carrier</t>
        </is>
      </c>
      <c r="E236" s="7" t="inlineStr">
        <is>
          <t>IT Stock</t>
        </is>
      </c>
      <c r="F236" s="7" t="inlineStr">
        <is>
          <t>Atlanta Warehouse</t>
        </is>
      </c>
      <c r="G236" s="7" t="inlineStr">
        <is>
          <t>1ZMD00000083</t>
        </is>
      </c>
      <c r="H236" s="7" t="inlineStr">
        <is>
          <t>Confirmed Fact</t>
        </is>
      </c>
      <c r="I236" s="7" t="inlineStr">
        <is>
          <t>Dock receiving 1ZMD00000083 closes the physical return for MD-00083.</t>
        </is>
      </c>
    </row>
    <row r="237">
      <c r="A237" s="7" t="inlineStr">
        <is>
          <t>MD-00083</t>
        </is>
      </c>
      <c r="B237" s="7" t="inlineStr">
        <is>
          <t>2026-08-05</t>
        </is>
      </c>
      <c r="C237" s="7" t="inlineStr">
        <is>
          <t>Regional IT Note Lead</t>
        </is>
      </c>
      <c r="D237" s="7" t="inlineStr">
        <is>
          <t>Regional IT</t>
        </is>
      </c>
      <c r="E237" s="7" t="inlineStr"/>
      <c r="F237" s="7" t="inlineStr">
        <is>
          <t>Denver - Closed</t>
        </is>
      </c>
      <c r="G237" s="7" t="inlineStr">
        <is>
          <t>regional_IT_notes.docx</t>
        </is>
      </c>
      <c r="H237" s="7" t="inlineStr">
        <is>
          <t>Technician Claim</t>
        </is>
      </c>
      <c r="I237" s="7" t="inlineStr">
        <is>
          <t>Regional note for MD-00083 kept as an unverified lead (regional_IT_notes.docx). Parked as tip.</t>
        </is>
      </c>
    </row>
    <row r="238">
      <c r="A238" s="7" t="inlineStr">
        <is>
          <t>MD-00083</t>
        </is>
      </c>
      <c r="B238" s="7" t="inlineStr">
        <is>
          <t>2026-08-09</t>
        </is>
      </c>
      <c r="C238" s="7" t="inlineStr">
        <is>
          <t>Policy Control Figure</t>
        </is>
      </c>
      <c r="D238" s="7" t="inlineStr">
        <is>
          <t>ITAM-001</t>
        </is>
      </c>
      <c r="E238" s="7" t="inlineStr"/>
      <c r="F238" s="7" t="inlineStr"/>
      <c r="G238" s="7" t="inlineStr">
        <is>
          <t>ITAM_control_matrix.png Appendix A</t>
        </is>
      </c>
      <c r="H238" s="7" t="inlineStr">
        <is>
          <t>Confirmed Fact</t>
        </is>
      </c>
      <c r="I238" s="7" t="inlineStr">
        <is>
          <t>Policy PNG checked for MD-00083 before writing the chain row (ITAM_control_matrix.png Appendix A). Evidence tier reminder only.</t>
        </is>
      </c>
    </row>
    <row r="239">
      <c r="A239" s="7" t="inlineStr">
        <is>
          <t>MD-00083</t>
        </is>
      </c>
      <c r="B239" s="7" t="inlineStr">
        <is>
          <t>2026-08-09</t>
        </is>
      </c>
      <c r="C239" s="7" t="inlineStr">
        <is>
          <t>Reconciliation Conclusion</t>
        </is>
      </c>
      <c r="D239" s="7" t="inlineStr">
        <is>
          <t>Evidence review</t>
        </is>
      </c>
      <c r="E239" s="7" t="inlineStr">
        <is>
          <t>IT Stock</t>
        </is>
      </c>
      <c r="F239" s="7" t="inlineStr">
        <is>
          <t>Atlanta Warehouse</t>
        </is>
      </c>
      <c r="G239" s="7" t="inlineStr">
        <is>
          <t>EX-0094</t>
        </is>
      </c>
      <c r="H239" s="7" t="inlineStr">
        <is>
          <t>Confirmed Fact</t>
        </is>
      </c>
      <c r="I239" s="7" t="inlineStr">
        <is>
          <t>Documented end state MD-00083 → Available, site Atlanta Warehouse. EX-0094.</t>
        </is>
      </c>
    </row>
    <row r="240">
      <c r="A240" s="7" t="inlineStr">
        <is>
          <t>MD-00084</t>
        </is>
      </c>
      <c r="B240" s="7" t="inlineStr">
        <is>
          <t>2022-01-13</t>
        </is>
      </c>
      <c r="C240" s="7" t="inlineStr">
        <is>
          <t>Purchase</t>
        </is>
      </c>
      <c r="D240" s="7" t="inlineStr">
        <is>
          <t>Vendor</t>
        </is>
      </c>
      <c r="E240" s="7" t="inlineStr">
        <is>
          <t>Central Receiving</t>
        </is>
      </c>
      <c r="F240" s="7" t="inlineStr">
        <is>
          <t>Atlanta Warehouse</t>
        </is>
      </c>
      <c r="G240" s="7" t="inlineStr">
        <is>
          <t>PO-2025-0016</t>
        </is>
      </c>
      <c r="H240" s="7" t="inlineStr">
        <is>
          <t>Confirmed Fact</t>
        </is>
      </c>
      <c r="I240" s="7" t="inlineStr">
        <is>
          <t>Bought MD-00084 (Juniper EX3400) on PO-2025-0016 for $6,200.</t>
        </is>
      </c>
    </row>
    <row r="241">
      <c r="A241" s="7" t="inlineStr">
        <is>
          <t>MD-00084</t>
        </is>
      </c>
      <c r="B241" s="7" t="inlineStr">
        <is>
          <t>2026-01-13</t>
        </is>
      </c>
      <c r="C241" s="7" t="inlineStr">
        <is>
          <t>Assignment/Transfer</t>
        </is>
      </c>
      <c r="D241" s="7" t="inlineStr">
        <is>
          <t>Central Receiving</t>
        </is>
      </c>
      <c r="E241" s="7" t="inlineStr">
        <is>
          <t>Return Carrier</t>
        </is>
      </c>
      <c r="F241" s="7" t="inlineStr">
        <is>
          <t>Carrier Network</t>
        </is>
      </c>
      <c r="G241" s="7" t="inlineStr">
        <is>
          <t>TR-00084</t>
        </is>
      </c>
      <c r="H241" s="7" t="inlineStr">
        <is>
          <t>Confirmed Fact</t>
        </is>
      </c>
      <c r="I241" s="7" t="inlineStr">
        <is>
          <t>Logged transfer TR-00084 for MD-00084; receiving side Carrier Network [t241-1].</t>
        </is>
      </c>
    </row>
    <row r="242">
      <c r="A242" s="7" t="inlineStr">
        <is>
          <t>MD-00084</t>
        </is>
      </c>
      <c r="B242" s="7" t="inlineStr">
        <is>
          <t>2026-06-01</t>
        </is>
      </c>
      <c r="C242" s="7" t="inlineStr">
        <is>
          <t>Offboarding Ticket</t>
        </is>
      </c>
      <c r="D242" s="7" t="inlineStr">
        <is>
          <t>E0072</t>
        </is>
      </c>
      <c r="E242" s="7" t="inlineStr">
        <is>
          <t>IT Service Desk</t>
        </is>
      </c>
      <c r="F242" s="7" t="inlineStr"/>
      <c r="G242" s="7" t="inlineStr">
        <is>
          <t>OFF-00084</t>
        </is>
      </c>
      <c r="H242" s="7" t="inlineStr">
        <is>
          <t>Technician Claim</t>
        </is>
      </c>
      <c r="I242" s="7" t="inlineStr">
        <is>
          <t>Ticket OFF-00084 is the offboarding spine for MD-00084.</t>
        </is>
      </c>
    </row>
    <row r="243">
      <c r="A243" s="7" t="inlineStr">
        <is>
          <t>MD-00084</t>
        </is>
      </c>
      <c r="B243" s="7" t="inlineStr">
        <is>
          <t>2026-06-01</t>
        </is>
      </c>
      <c r="C243" s="7" t="inlineStr">
        <is>
          <t>Technician Comment</t>
        </is>
      </c>
      <c r="D243" s="7" t="inlineStr">
        <is>
          <t>Service Desk</t>
        </is>
      </c>
      <c r="E243" s="7" t="inlineStr"/>
      <c r="F243" s="7" t="inlineStr"/>
      <c r="G243" s="7" t="inlineStr">
        <is>
          <t>OFF-00084</t>
        </is>
      </c>
      <c r="H243" s="7" t="inlineStr">
        <is>
          <t>Technician Claim</t>
        </is>
      </c>
      <c r="I243" s="7" t="inlineStr">
        <is>
          <t>Bench note OFF-00084 for MD-00084; needs independent corroboration.</t>
        </is>
      </c>
    </row>
    <row r="244">
      <c r="A244" s="7" t="inlineStr">
        <is>
          <t>MD-00084</t>
        </is>
      </c>
      <c r="B244" s="7" t="inlineStr">
        <is>
          <t>2026-06-25</t>
        </is>
      </c>
      <c r="C244" s="7" t="inlineStr">
        <is>
          <t>Return Label Created</t>
        </is>
      </c>
      <c r="D244" s="7" t="inlineStr">
        <is>
          <t>E0072</t>
        </is>
      </c>
      <c r="E244" s="7" t="inlineStr">
        <is>
          <t>Return Carrier</t>
        </is>
      </c>
      <c r="F244" s="7" t="inlineStr">
        <is>
          <t>Carrier Network</t>
        </is>
      </c>
      <c r="G244" s="7" t="inlineStr">
        <is>
          <t>1ZMD00000084</t>
        </is>
      </c>
      <c r="H244" s="7" t="inlineStr">
        <is>
          <t>Technician Claim</t>
        </is>
      </c>
      <c r="I244" s="7" t="inlineStr">
        <is>
          <t>Return label 1ZMD00000084 created for MD-00084; label alone is not acceptance proof.</t>
        </is>
      </c>
    </row>
    <row r="245">
      <c r="A245" s="7" t="inlineStr">
        <is>
          <t>MD-00084</t>
        </is>
      </c>
      <c r="B245" s="7" t="inlineStr">
        <is>
          <t>2026-07-02</t>
        </is>
      </c>
      <c r="C245" s="7" t="inlineStr">
        <is>
          <t>Carrier Acceptance</t>
        </is>
      </c>
      <c r="D245" s="7" t="inlineStr">
        <is>
          <t>Shipper</t>
        </is>
      </c>
      <c r="E245" s="7" t="inlineStr">
        <is>
          <t>Carrier</t>
        </is>
      </c>
      <c r="F245" s="7" t="inlineStr">
        <is>
          <t>Carrier Network</t>
        </is>
      </c>
      <c r="G245" s="7" t="inlineStr">
        <is>
          <t>1ZMD00000084</t>
        </is>
      </c>
      <c r="H245" s="7" t="inlineStr">
        <is>
          <t>Confirmed Fact</t>
        </is>
      </c>
      <c r="I245" s="7" t="inlineStr">
        <is>
          <t>Acceptance event 1ZMD00000084 on MD-00084.</t>
        </is>
      </c>
    </row>
    <row r="246">
      <c r="A246" s="7" t="inlineStr">
        <is>
          <t>MD-00084</t>
        </is>
      </c>
      <c r="B246" s="7" t="inlineStr">
        <is>
          <t>2026-06-25</t>
        </is>
      </c>
      <c r="C246" s="7" t="inlineStr">
        <is>
          <t>Shipment Exception</t>
        </is>
      </c>
      <c r="D246" s="7" t="inlineStr"/>
      <c r="E246" s="7" t="inlineStr"/>
      <c r="F246" s="7" t="inlineStr"/>
      <c r="G246" s="7" t="inlineStr">
        <is>
          <t>1ZMD00000084</t>
        </is>
      </c>
      <c r="H246" s="7" t="inlineStr">
        <is>
          <t>Unresolved Assumption</t>
        </is>
      </c>
      <c r="I246" s="7" t="inlineStr">
        <is>
          <t>MD-00084 stuck on exception 1ZMD00000084 until serials align.</t>
        </is>
      </c>
    </row>
    <row r="247">
      <c r="A247" s="7" t="inlineStr">
        <is>
          <t>MD-00084</t>
        </is>
      </c>
      <c r="B247" s="7" t="inlineStr">
        <is>
          <t>2026-08-05</t>
        </is>
      </c>
      <c r="C247" s="7" t="inlineStr">
        <is>
          <t>Regional IT Note Lead</t>
        </is>
      </c>
      <c r="D247" s="7" t="inlineStr">
        <is>
          <t>Regional IT</t>
        </is>
      </c>
      <c r="E247" s="7" t="inlineStr"/>
      <c r="F247" s="7" t="inlineStr">
        <is>
          <t>Chicago - Closed</t>
        </is>
      </c>
      <c r="G247" s="7" t="inlineStr">
        <is>
          <t>regional_IT_notes.docx</t>
        </is>
      </c>
      <c r="H247" s="7" t="inlineStr">
        <is>
          <t>Technician Claim</t>
        </is>
      </c>
      <c r="I247" s="7" t="inlineStr">
        <is>
          <t>Regional lead regional_IT_notes.docx: MD-00084 mentioned without supporting artifacts. No register update from this alone.</t>
        </is>
      </c>
    </row>
    <row r="248">
      <c r="A248" s="7" t="inlineStr">
        <is>
          <t>MD-00084</t>
        </is>
      </c>
      <c r="B248" s="7" t="inlineStr">
        <is>
          <t>2026-08-09</t>
        </is>
      </c>
      <c r="C248" s="7" t="inlineStr">
        <is>
          <t>Policy Control Figure</t>
        </is>
      </c>
      <c r="D248" s="7" t="inlineStr">
        <is>
          <t>ITAM-001</t>
        </is>
      </c>
      <c r="E248" s="7" t="inlineStr"/>
      <c r="F248" s="7" t="inlineStr"/>
      <c r="G248" s="7" t="inlineStr">
        <is>
          <t>ITAM_control_matrix.png</t>
        </is>
      </c>
      <c r="H248" s="7" t="inlineStr">
        <is>
          <t>Confirmed Fact</t>
        </is>
      </c>
      <c r="I248" s="7" t="inlineStr">
        <is>
          <t>For MD-00084, multimodal policy figure is supporting context only (ITAM_control_matrix.png). Evidence tier reminder only.</t>
        </is>
      </c>
    </row>
    <row r="249">
      <c r="A249" s="7" t="inlineStr">
        <is>
          <t>MD-00084</t>
        </is>
      </c>
      <c r="B249" s="7" t="inlineStr">
        <is>
          <t>2026-08-09</t>
        </is>
      </c>
      <c r="C249" s="7" t="inlineStr">
        <is>
          <t>Reconciliation Conclusion</t>
        </is>
      </c>
      <c r="D249" s="7" t="inlineStr">
        <is>
          <t>Evidence review</t>
        </is>
      </c>
      <c r="E249" s="7" t="inlineStr">
        <is>
          <t>E0072</t>
        </is>
      </c>
      <c r="F249" s="7" t="inlineStr">
        <is>
          <t>Carrier Network / Unverified</t>
        </is>
      </c>
      <c r="G249" s="7" t="inlineStr">
        <is>
          <t>EX-0095, EX-0096</t>
        </is>
      </c>
      <c r="H249" s="7" t="inlineStr">
        <is>
          <t>Unresolved Assumption</t>
        </is>
      </c>
      <c r="I249" s="7" t="inlineStr">
        <is>
          <t>MD-00084 reconciliation result written as In Transit - Exception / Carrier Network / Unverified. Exception refs EX-0095, EX-0096.</t>
        </is>
      </c>
    </row>
    <row r="250">
      <c r="A250" s="7" t="inlineStr">
        <is>
          <t>MD-00085</t>
        </is>
      </c>
      <c r="B250" s="7" t="inlineStr">
        <is>
          <t>2023-02-14</t>
        </is>
      </c>
      <c r="C250" s="7" t="inlineStr">
        <is>
          <t>Purchase</t>
        </is>
      </c>
      <c r="D250" s="7" t="inlineStr">
        <is>
          <t>Vendor</t>
        </is>
      </c>
      <c r="E250" s="7" t="inlineStr">
        <is>
          <t>Central Receiving</t>
        </is>
      </c>
      <c r="F250" s="7" t="inlineStr">
        <is>
          <t>Atlanta Warehouse</t>
        </is>
      </c>
      <c r="G250" s="7" t="inlineStr">
        <is>
          <t>PO-2025-0016</t>
        </is>
      </c>
      <c r="H250" s="7" t="inlineStr">
        <is>
          <t>Confirmed Fact</t>
        </is>
      </c>
      <c r="I250" s="7" t="inlineStr">
        <is>
          <t>MD-00085 enters inventory via PO-2025-0016; model Cisco Meraki MS250.</t>
        </is>
      </c>
    </row>
    <row r="251">
      <c r="A251" s="7" t="inlineStr">
        <is>
          <t>MD-00085</t>
        </is>
      </c>
      <c r="B251" s="7" t="inlineStr">
        <is>
          <t>2026-02-14</t>
        </is>
      </c>
      <c r="C251" s="7" t="inlineStr">
        <is>
          <t>Assignment/Transfer</t>
        </is>
      </c>
      <c r="D251" s="7" t="inlineStr">
        <is>
          <t>Central Receiving</t>
        </is>
      </c>
      <c r="E251" s="7" t="inlineStr">
        <is>
          <t>Return Carrier</t>
        </is>
      </c>
      <c r="F251" s="7" t="inlineStr">
        <is>
          <t>Carrier Network</t>
        </is>
      </c>
      <c r="G251" s="7" t="inlineStr">
        <is>
          <t>TR-00085</t>
        </is>
      </c>
      <c r="H251" s="7" t="inlineStr">
        <is>
          <t>Confirmed Fact</t>
        </is>
      </c>
      <c r="I251" s="7" t="inlineStr">
        <is>
          <t>Transfer spine for MD-00085 is TR-00085; to-location recorded as Carrier Network.</t>
        </is>
      </c>
    </row>
    <row r="252">
      <c r="A252" s="7" t="inlineStr">
        <is>
          <t>MD-00085</t>
        </is>
      </c>
      <c r="B252" s="7" t="inlineStr">
        <is>
          <t>2026-05-02</t>
        </is>
      </c>
      <c r="C252" s="7" t="inlineStr">
        <is>
          <t>Offboarding Ticket</t>
        </is>
      </c>
      <c r="D252" s="7" t="inlineStr">
        <is>
          <t>E0073</t>
        </is>
      </c>
      <c r="E252" s="7" t="inlineStr">
        <is>
          <t>IT Service Desk</t>
        </is>
      </c>
      <c r="F252" s="7" t="inlineStr"/>
      <c r="G252" s="7" t="inlineStr">
        <is>
          <t>OFF-00085</t>
        </is>
      </c>
      <c r="H252" s="7" t="inlineStr">
        <is>
          <t>Technician Claim</t>
        </is>
      </c>
      <c r="I252" s="7" t="inlineStr">
        <is>
          <t>Offboarding ticket OFF-00085 touches MD-00085; custodian change still required if register lags.</t>
        </is>
      </c>
    </row>
    <row r="253">
      <c r="A253" s="7" t="inlineStr">
        <is>
          <t>MD-00085</t>
        </is>
      </c>
      <c r="B253" s="7" t="inlineStr">
        <is>
          <t>2026-05-02</t>
        </is>
      </c>
      <c r="C253" s="7" t="inlineStr">
        <is>
          <t>Technician Comment</t>
        </is>
      </c>
      <c r="D253" s="7" t="inlineStr">
        <is>
          <t>Service Desk</t>
        </is>
      </c>
      <c r="E253" s="7" t="inlineStr"/>
      <c r="F253" s="7" t="inlineStr"/>
      <c r="G253" s="7" t="inlineStr">
        <is>
          <t>OFF-00085</t>
        </is>
      </c>
      <c r="H253" s="7" t="inlineStr">
        <is>
          <t>Technician Claim</t>
        </is>
      </c>
      <c r="I253" s="7" t="inlineStr">
        <is>
          <t>Bench note OFF-00085 for MD-00085; needs independent corroboration.</t>
        </is>
      </c>
    </row>
    <row r="254">
      <c r="A254" s="7" t="inlineStr">
        <is>
          <t>MD-00085</t>
        </is>
      </c>
      <c r="B254" s="7" t="inlineStr">
        <is>
          <t>2026-06-25</t>
        </is>
      </c>
      <c r="C254" s="7" t="inlineStr">
        <is>
          <t>Return Label Created</t>
        </is>
      </c>
      <c r="D254" s="7" t="inlineStr">
        <is>
          <t>E0073</t>
        </is>
      </c>
      <c r="E254" s="7" t="inlineStr">
        <is>
          <t>Return Carrier</t>
        </is>
      </c>
      <c r="F254" s="7" t="inlineStr">
        <is>
          <t>Carrier Network</t>
        </is>
      </c>
      <c r="G254" s="7" t="inlineStr">
        <is>
          <t>1ZMD00000085</t>
        </is>
      </c>
      <c r="H254" s="7" t="inlineStr">
        <is>
          <t>Technician Claim</t>
        </is>
      </c>
      <c r="I254" s="7" t="inlineStr">
        <is>
          <t>Label-created milestone 1ZMD00000085 for MD-00085; proof of return still incomplete.</t>
        </is>
      </c>
    </row>
    <row r="255">
      <c r="A255" s="7" t="inlineStr">
        <is>
          <t>MD-00085</t>
        </is>
      </c>
      <c r="B255" s="7" t="inlineStr">
        <is>
          <t>2026-07-02</t>
        </is>
      </c>
      <c r="C255" s="7" t="inlineStr">
        <is>
          <t>Carrier Acceptance</t>
        </is>
      </c>
      <c r="D255" s="7" t="inlineStr">
        <is>
          <t>Shipper</t>
        </is>
      </c>
      <c r="E255" s="7" t="inlineStr">
        <is>
          <t>Carrier</t>
        </is>
      </c>
      <c r="F255" s="7" t="inlineStr">
        <is>
          <t>Carrier Network</t>
        </is>
      </c>
      <c r="G255" s="7" t="inlineStr">
        <is>
          <t>1ZMD00000085</t>
        </is>
      </c>
      <c r="H255" s="7" t="inlineStr">
        <is>
          <t>Confirmed Fact</t>
        </is>
      </c>
      <c r="I255" s="7" t="inlineStr">
        <is>
          <t>Acceptance scan 1ZMD00000085 advances the return path for MD-00085.</t>
        </is>
      </c>
    </row>
    <row r="256">
      <c r="A256" s="7" t="inlineStr">
        <is>
          <t>MD-00085</t>
        </is>
      </c>
      <c r="B256" s="7" t="inlineStr">
        <is>
          <t>2026-07-06</t>
        </is>
      </c>
      <c r="C256" s="7" t="inlineStr">
        <is>
          <t>Delivery</t>
        </is>
      </c>
      <c r="D256" s="7" t="inlineStr">
        <is>
          <t>Carrier</t>
        </is>
      </c>
      <c r="E256" s="7" t="inlineStr">
        <is>
          <t>Receiving</t>
        </is>
      </c>
      <c r="F256" s="7" t="inlineStr">
        <is>
          <t>Atlanta Warehouse</t>
        </is>
      </c>
      <c r="G256" s="7" t="inlineStr">
        <is>
          <t>1ZMD00000085</t>
        </is>
      </c>
      <c r="H256" s="7" t="inlineStr">
        <is>
          <t>Confirmed Fact</t>
        </is>
      </c>
      <c r="I256" s="7" t="inlineStr">
        <is>
          <t>Delivery event 1ZMD00000085 for MD-00085.</t>
        </is>
      </c>
    </row>
    <row r="257">
      <c r="A257" s="7" t="inlineStr">
        <is>
          <t>MD-00085</t>
        </is>
      </c>
      <c r="B257" s="7" t="inlineStr">
        <is>
          <t>2026-07-07</t>
        </is>
      </c>
      <c r="C257" s="7" t="inlineStr">
        <is>
          <t>Receiving Scan</t>
        </is>
      </c>
      <c r="D257" s="7" t="inlineStr">
        <is>
          <t>Carrier</t>
        </is>
      </c>
      <c r="E257" s="7" t="inlineStr">
        <is>
          <t>IT Stock</t>
        </is>
      </c>
      <c r="F257" s="7" t="inlineStr">
        <is>
          <t>Atlanta Warehouse</t>
        </is>
      </c>
      <c r="G257" s="7" t="inlineStr">
        <is>
          <t>1ZMD00000085</t>
        </is>
      </c>
      <c r="H257" s="7" t="inlineStr">
        <is>
          <t>Confirmed Fact</t>
        </is>
      </c>
      <c r="I257" s="7" t="inlineStr">
        <is>
          <t>Receiving scan 1ZMD00000085 for MD-00085.</t>
        </is>
      </c>
    </row>
    <row r="258">
      <c r="A258" s="7" t="inlineStr">
        <is>
          <t>MD-00085</t>
        </is>
      </c>
      <c r="B258" s="7" t="inlineStr">
        <is>
          <t>2026-08-05</t>
        </is>
      </c>
      <c r="C258" s="7" t="inlineStr">
        <is>
          <t>Regional IT Note Lead</t>
        </is>
      </c>
      <c r="D258" s="7" t="inlineStr">
        <is>
          <t>Regional IT</t>
        </is>
      </c>
      <c r="E258" s="7" t="inlineStr"/>
      <c r="F258" s="7" t="inlineStr">
        <is>
          <t>Denver - Closed</t>
        </is>
      </c>
      <c r="G258" s="7" t="inlineStr">
        <is>
          <t>regional_IT_notes.docx</t>
        </is>
      </c>
      <c r="H258" s="7" t="inlineStr">
        <is>
          <t>Technician Claim</t>
        </is>
      </c>
      <c r="I258" s="7" t="inlineStr">
        <is>
          <t>Regional lead regional_IT_notes.docx: MD-00085 mentioned without supporting artifacts. Follow-up only.</t>
        </is>
      </c>
    </row>
    <row r="259">
      <c r="A259" s="7" t="inlineStr">
        <is>
          <t>MD-00085</t>
        </is>
      </c>
      <c r="B259" s="7" t="inlineStr">
        <is>
          <t>2026-08-09</t>
        </is>
      </c>
      <c r="C259" s="7" t="inlineStr">
        <is>
          <t>Policy Control Figure</t>
        </is>
      </c>
      <c r="D259" s="7" t="inlineStr">
        <is>
          <t>ITAM-001</t>
        </is>
      </c>
      <c r="E259" s="7" t="inlineStr"/>
      <c r="F259" s="7" t="inlineStr"/>
      <c r="G259" s="7" t="inlineStr">
        <is>
          <t>IT_asset_management_policy.pdf §§4–9; ITAM_control_matrix.png</t>
        </is>
      </c>
      <c r="H259" s="7" t="inlineStr">
        <is>
          <t>Confirmed Fact</t>
        </is>
      </c>
      <c r="I259" s="7" t="inlineStr">
        <is>
          <t>Used the matrix image as a reminder of ITAM-001 tiers while reviewing MD-00085. Evidence tier reminder only.</t>
        </is>
      </c>
    </row>
    <row r="260">
      <c r="A260" s="7" t="inlineStr">
        <is>
          <t>MD-00085</t>
        </is>
      </c>
      <c r="B260" s="7" t="inlineStr">
        <is>
          <t>2026-08-09</t>
        </is>
      </c>
      <c r="C260" s="7" t="inlineStr">
        <is>
          <t>Reconciliation Conclusion</t>
        </is>
      </c>
      <c r="D260" s="7" t="inlineStr">
        <is>
          <t>Evidence review</t>
        </is>
      </c>
      <c r="E260" s="7" t="inlineStr">
        <is>
          <t>IT Stock</t>
        </is>
      </c>
      <c r="F260" s="7" t="inlineStr">
        <is>
          <t>Atlanta Warehouse</t>
        </is>
      </c>
      <c r="G260" s="7" t="inlineStr">
        <is>
          <t>EX-0097, EX-0098</t>
        </is>
      </c>
      <c r="H260" s="7" t="inlineStr">
        <is>
          <t>Confirmed Fact</t>
        </is>
      </c>
      <c r="I260" s="7" t="inlineStr">
        <is>
          <t>Conclusion row for MD-00085 — Available at Atlanta Warehouse. Tied exceptions EX-0097, EX-0098.</t>
        </is>
      </c>
    </row>
    <row r="261">
      <c r="A261" s="7" t="inlineStr">
        <is>
          <t>MD-00086</t>
        </is>
      </c>
      <c r="B261" s="7" t="inlineStr">
        <is>
          <t>2024-03-15</t>
        </is>
      </c>
      <c r="C261" s="7" t="inlineStr">
        <is>
          <t>Purchase</t>
        </is>
      </c>
      <c r="D261" s="7" t="inlineStr">
        <is>
          <t>Vendor</t>
        </is>
      </c>
      <c r="E261" s="7" t="inlineStr">
        <is>
          <t>Central Receiving</t>
        </is>
      </c>
      <c r="F261" s="7" t="inlineStr">
        <is>
          <t>Atlanta Warehouse</t>
        </is>
      </c>
      <c r="G261" s="7" t="inlineStr">
        <is>
          <t>PO-2022-0017</t>
        </is>
      </c>
      <c r="H261" s="7" t="inlineStr">
        <is>
          <t>Confirmed Fact</t>
        </is>
      </c>
      <c r="I261" s="7" t="inlineStr">
        <is>
          <t>Buy recorded for MD-00086 under PO-2022-0017; Fortinet FortiSwitch 148F received into inventory.</t>
        </is>
      </c>
    </row>
    <row r="262">
      <c r="A262" s="7" t="inlineStr">
        <is>
          <t>MD-00086</t>
        </is>
      </c>
      <c r="B262" s="7" t="inlineStr">
        <is>
          <t>2026-03-15</t>
        </is>
      </c>
      <c r="C262" s="7" t="inlineStr">
        <is>
          <t>Assignment/Transfer</t>
        </is>
      </c>
      <c r="D262" s="7" t="inlineStr">
        <is>
          <t>Central Receiving</t>
        </is>
      </c>
      <c r="E262" s="7" t="inlineStr">
        <is>
          <t>Return Carrier</t>
        </is>
      </c>
      <c r="F262" s="7" t="inlineStr">
        <is>
          <t>Carrier Network</t>
        </is>
      </c>
      <c r="G262" s="7" t="inlineStr">
        <is>
          <t>TR-00086</t>
        </is>
      </c>
      <c r="H262" s="7" t="inlineStr">
        <is>
          <t>Confirmed Fact</t>
        </is>
      </c>
      <c r="I262" s="7" t="inlineStr">
        <is>
          <t>Recorded relocation TR-00086 for MD-00086 into Carrier Network.</t>
        </is>
      </c>
    </row>
    <row r="263">
      <c r="A263" s="7" t="inlineStr">
        <is>
          <t>MD-00086</t>
        </is>
      </c>
      <c r="B263" s="7" t="inlineStr">
        <is>
          <t>2026-06-03</t>
        </is>
      </c>
      <c r="C263" s="7" t="inlineStr">
        <is>
          <t>Offboarding Ticket</t>
        </is>
      </c>
      <c r="D263" s="7" t="inlineStr">
        <is>
          <t>E0074</t>
        </is>
      </c>
      <c r="E263" s="7" t="inlineStr">
        <is>
          <t>IT Service Desk</t>
        </is>
      </c>
      <c r="F263" s="7" t="inlineStr"/>
      <c r="G263" s="7" t="inlineStr">
        <is>
          <t>OFF-00086</t>
        </is>
      </c>
      <c r="H263" s="7" t="inlineStr">
        <is>
          <t>Technician Claim</t>
        </is>
      </c>
      <c r="I263" s="7" t="inlineStr">
        <is>
          <t>MD-00086 appears on offboarding OFF-00086; confirm register update.</t>
        </is>
      </c>
    </row>
    <row r="264">
      <c r="A264" s="7" t="inlineStr">
        <is>
          <t>MD-00086</t>
        </is>
      </c>
      <c r="B264" s="7" t="inlineStr">
        <is>
          <t>2026-06-03</t>
        </is>
      </c>
      <c r="C264" s="7" t="inlineStr">
        <is>
          <t>Technician Comment</t>
        </is>
      </c>
      <c r="D264" s="7" t="inlineStr">
        <is>
          <t>Service Desk</t>
        </is>
      </c>
      <c r="E264" s="7" t="inlineStr"/>
      <c r="F264" s="7" t="inlineStr"/>
      <c r="G264" s="7" t="inlineStr">
        <is>
          <t>OFF-00086</t>
        </is>
      </c>
      <c r="H264" s="7" t="inlineStr">
        <is>
          <t>Technician Claim</t>
        </is>
      </c>
      <c r="I264" s="7" t="inlineStr">
        <is>
          <t>Tech remark filed against MD-00086 under OFF-00086.</t>
        </is>
      </c>
    </row>
    <row r="265">
      <c r="A265" s="7" t="inlineStr">
        <is>
          <t>MD-00086</t>
        </is>
      </c>
      <c r="B265" s="7" t="inlineStr">
        <is>
          <t>2026-06-25</t>
        </is>
      </c>
      <c r="C265" s="7" t="inlineStr">
        <is>
          <t>Return Label Created</t>
        </is>
      </c>
      <c r="D265" s="7" t="inlineStr">
        <is>
          <t>E0074</t>
        </is>
      </c>
      <c r="E265" s="7" t="inlineStr">
        <is>
          <t>Return Carrier</t>
        </is>
      </c>
      <c r="F265" s="7" t="inlineStr">
        <is>
          <t>Carrier Network</t>
        </is>
      </c>
      <c r="G265" s="7" t="inlineStr">
        <is>
          <t>1ZMD00000086</t>
        </is>
      </c>
      <c r="H265" s="7" t="inlineStr">
        <is>
          <t>Technician Claim</t>
        </is>
      </c>
      <c r="I265" s="7" t="inlineStr">
        <is>
          <t>MD-00086 return paperwork starts at 1ZMD00000086 (label created).</t>
        </is>
      </c>
    </row>
    <row r="266">
      <c r="A266" s="7" t="inlineStr">
        <is>
          <t>MD-00086</t>
        </is>
      </c>
      <c r="B266" s="7" t="inlineStr">
        <is>
          <t>2026-07-02</t>
        </is>
      </c>
      <c r="C266" s="7" t="inlineStr">
        <is>
          <t>Carrier Acceptance</t>
        </is>
      </c>
      <c r="D266" s="7" t="inlineStr">
        <is>
          <t>Shipper</t>
        </is>
      </c>
      <c r="E266" s="7" t="inlineStr">
        <is>
          <t>Carrier</t>
        </is>
      </c>
      <c r="F266" s="7" t="inlineStr">
        <is>
          <t>Carrier Network</t>
        </is>
      </c>
      <c r="G266" s="7" t="inlineStr">
        <is>
          <t>1ZMD00000086</t>
        </is>
      </c>
      <c r="H266" s="7" t="inlineStr">
        <is>
          <t>Confirmed Fact</t>
        </is>
      </c>
      <c r="I266" s="7" t="inlineStr">
        <is>
          <t>Acceptance event 1ZMD00000086 on MD-00086.</t>
        </is>
      </c>
    </row>
    <row r="267">
      <c r="A267" s="7" t="inlineStr">
        <is>
          <t>MD-00086</t>
        </is>
      </c>
      <c r="B267" s="7" t="inlineStr">
        <is>
          <t>2026-07-06</t>
        </is>
      </c>
      <c r="C267" s="7" t="inlineStr">
        <is>
          <t>Delivery</t>
        </is>
      </c>
      <c r="D267" s="7" t="inlineStr">
        <is>
          <t>Carrier</t>
        </is>
      </c>
      <c r="E267" s="7" t="inlineStr">
        <is>
          <t>Receiving</t>
        </is>
      </c>
      <c r="F267" s="7" t="inlineStr">
        <is>
          <t>Atlanta Warehouse</t>
        </is>
      </c>
      <c r="G267" s="7" t="inlineStr">
        <is>
          <t>1ZMD00000086</t>
        </is>
      </c>
      <c r="H267" s="7" t="inlineStr">
        <is>
          <t>Confirmed Fact</t>
        </is>
      </c>
      <c r="I267" s="7" t="inlineStr">
        <is>
          <t>Carrier marks MD-00086 delivered on 1ZMD00000086.</t>
        </is>
      </c>
    </row>
    <row r="268">
      <c r="A268" s="7" t="inlineStr">
        <is>
          <t>MD-00086</t>
        </is>
      </c>
      <c r="B268" s="7" t="inlineStr">
        <is>
          <t>2026-07-07</t>
        </is>
      </c>
      <c r="C268" s="7" t="inlineStr">
        <is>
          <t>Receiving Scan</t>
        </is>
      </c>
      <c r="D268" s="7" t="inlineStr">
        <is>
          <t>Carrier</t>
        </is>
      </c>
      <c r="E268" s="7" t="inlineStr">
        <is>
          <t>IT Stock</t>
        </is>
      </c>
      <c r="F268" s="7" t="inlineStr">
        <is>
          <t>Atlanta Warehouse</t>
        </is>
      </c>
      <c r="G268" s="7" t="inlineStr">
        <is>
          <t>1ZMD00000086</t>
        </is>
      </c>
      <c r="H268" s="7" t="inlineStr">
        <is>
          <t>Confirmed Fact</t>
        </is>
      </c>
      <c r="I268" s="7" t="inlineStr">
        <is>
          <t>Receiving proof 1ZMD00000086 filed for MD-00086.</t>
        </is>
      </c>
    </row>
    <row r="269">
      <c r="A269" s="7" t="inlineStr">
        <is>
          <t>MD-00086</t>
        </is>
      </c>
      <c r="B269" s="7" t="inlineStr">
        <is>
          <t>2026-08-05</t>
        </is>
      </c>
      <c r="C269" s="7" t="inlineStr">
        <is>
          <t>Regional IT Note Lead</t>
        </is>
      </c>
      <c r="D269" s="7" t="inlineStr">
        <is>
          <t>Regional IT</t>
        </is>
      </c>
      <c r="E269" s="7" t="inlineStr"/>
      <c r="F269" s="7" t="inlineStr">
        <is>
          <t>Chicago - Closed</t>
        </is>
      </c>
      <c r="G269" s="7" t="inlineStr">
        <is>
          <t>regional_IT_notes.docx</t>
        </is>
      </c>
      <c r="H269" s="7" t="inlineStr">
        <is>
          <t>Technician Claim</t>
        </is>
      </c>
      <c r="I269" s="7" t="inlineStr">
        <is>
          <t>Regional lead regional_IT_notes.docx: MD-00086 mentioned without supporting artifacts. Requires independent find.</t>
        </is>
      </c>
    </row>
    <row r="270">
      <c r="A270" s="7" t="inlineStr">
        <is>
          <t>MD-00086</t>
        </is>
      </c>
      <c r="B270" s="7" t="inlineStr">
        <is>
          <t>2026-08-09</t>
        </is>
      </c>
      <c r="C270" s="7" t="inlineStr">
        <is>
          <t>Policy Control Figure</t>
        </is>
      </c>
      <c r="D270" s="7" t="inlineStr">
        <is>
          <t>ITAM-001</t>
        </is>
      </c>
      <c r="E270" s="7" t="inlineStr"/>
      <c r="F270" s="7" t="inlineStr"/>
      <c r="G270" s="7" t="inlineStr">
        <is>
          <t>ITAM_control_matrix.png Appendix A</t>
        </is>
      </c>
      <c r="H270" s="7" t="inlineStr">
        <is>
          <t>Confirmed Fact</t>
        </is>
      </c>
      <c r="I270" s="7" t="inlineStr">
        <is>
          <t>Matrix image confirms what proof is expected for MD-00086; it is not itself that proof. No clearance inferred.</t>
        </is>
      </c>
    </row>
    <row r="271">
      <c r="A271" s="7" t="inlineStr">
        <is>
          <t>MD-00086</t>
        </is>
      </c>
      <c r="B271" s="7" t="inlineStr">
        <is>
          <t>2026-08-09</t>
        </is>
      </c>
      <c r="C271" s="7" t="inlineStr">
        <is>
          <t>Reconciliation Conclusion</t>
        </is>
      </c>
      <c r="D271" s="7" t="inlineStr">
        <is>
          <t>Evidence review</t>
        </is>
      </c>
      <c r="E271" s="7" t="inlineStr">
        <is>
          <t>IT Stock</t>
        </is>
      </c>
      <c r="F271" s="7" t="inlineStr">
        <is>
          <t>Atlanta Warehouse</t>
        </is>
      </c>
      <c r="G271" s="7" t="inlineStr">
        <is>
          <t>EX-0099</t>
        </is>
      </c>
      <c r="H271" s="7" t="inlineStr">
        <is>
          <t>Confirmed Fact</t>
        </is>
      </c>
      <c r="I271" s="7" t="inlineStr">
        <is>
          <t>Register outcome on MD-00086: Available (Atlanta Warehouse). See EX-0099.</t>
        </is>
      </c>
    </row>
    <row r="272">
      <c r="A272" s="7" t="inlineStr">
        <is>
          <t>MD-00087</t>
        </is>
      </c>
      <c r="B272" s="7" t="inlineStr">
        <is>
          <t>2025-04-16</t>
        </is>
      </c>
      <c r="C272" s="7" t="inlineStr">
        <is>
          <t>Purchase</t>
        </is>
      </c>
      <c r="D272" s="7" t="inlineStr">
        <is>
          <t>Vendor</t>
        </is>
      </c>
      <c r="E272" s="7" t="inlineStr">
        <is>
          <t>Central Receiving</t>
        </is>
      </c>
      <c r="F272" s="7" t="inlineStr">
        <is>
          <t>Atlanta Warehouse</t>
        </is>
      </c>
      <c r="G272" s="7" t="inlineStr">
        <is>
          <t>PO-2022-0017</t>
        </is>
      </c>
      <c r="H272" s="7" t="inlineStr">
        <is>
          <t>Confirmed Fact</t>
        </is>
      </c>
      <c r="I272" s="7" t="inlineStr">
        <is>
          <t>Bought MD-00087 (Cisco C9300) on PO-2022-0017 for $1,085.</t>
        </is>
      </c>
    </row>
    <row r="273">
      <c r="A273" s="7" t="inlineStr">
        <is>
          <t>MD-00087</t>
        </is>
      </c>
      <c r="B273" s="7" t="inlineStr">
        <is>
          <t>2026-04-16</t>
        </is>
      </c>
      <c r="C273" s="7" t="inlineStr">
        <is>
          <t>Assignment/Transfer</t>
        </is>
      </c>
      <c r="D273" s="7" t="inlineStr">
        <is>
          <t>Central Receiving</t>
        </is>
      </c>
      <c r="E273" s="7" t="inlineStr">
        <is>
          <t>Return Carrier</t>
        </is>
      </c>
      <c r="F273" s="7" t="inlineStr">
        <is>
          <t>Carrier Network</t>
        </is>
      </c>
      <c r="G273" s="7" t="inlineStr">
        <is>
          <t>TR-00087</t>
        </is>
      </c>
      <c r="H273" s="7" t="inlineStr">
        <is>
          <t>Confirmed Fact</t>
        </is>
      </c>
      <c r="I273" s="7" t="inlineStr">
        <is>
          <t>TR-00087 is the operative move id for MD-00087 [t273-1].</t>
        </is>
      </c>
    </row>
    <row r="274">
      <c r="A274" s="7" t="inlineStr">
        <is>
          <t>MD-00087</t>
        </is>
      </c>
      <c r="B274" s="7" t="inlineStr">
        <is>
          <t>2026-05-04</t>
        </is>
      </c>
      <c r="C274" s="7" t="inlineStr">
        <is>
          <t>Offboarding Ticket</t>
        </is>
      </c>
      <c r="D274" s="7" t="inlineStr">
        <is>
          <t>E0075</t>
        </is>
      </c>
      <c r="E274" s="7" t="inlineStr">
        <is>
          <t>IT Service Desk</t>
        </is>
      </c>
      <c r="F274" s="7" t="inlineStr"/>
      <c r="G274" s="7" t="inlineStr">
        <is>
          <t>OFF-00087</t>
        </is>
      </c>
      <c r="H274" s="7" t="inlineStr">
        <is>
          <t>Technician Claim</t>
        </is>
      </c>
      <c r="I274" s="7" t="inlineStr">
        <is>
          <t>MD-00087 appears on offboarding OFF-00087; confirm register update.</t>
        </is>
      </c>
    </row>
    <row r="275">
      <c r="A275" s="7" t="inlineStr">
        <is>
          <t>MD-00087</t>
        </is>
      </c>
      <c r="B275" s="7" t="inlineStr">
        <is>
          <t>2026-05-04</t>
        </is>
      </c>
      <c r="C275" s="7" t="inlineStr">
        <is>
          <t>Technician Comment</t>
        </is>
      </c>
      <c r="D275" s="7" t="inlineStr">
        <is>
          <t>Service Desk</t>
        </is>
      </c>
      <c r="E275" s="7" t="inlineStr"/>
      <c r="F275" s="7" t="inlineStr"/>
      <c r="G275" s="7" t="inlineStr">
        <is>
          <t>OFF-00087</t>
        </is>
      </c>
      <c r="H275" s="7" t="inlineStr">
        <is>
          <t>Technician Claim</t>
        </is>
      </c>
      <c r="I275" s="7" t="inlineStr">
        <is>
          <t>Unverified tech comment OFF-00087 linked to MD-00087.</t>
        </is>
      </c>
    </row>
    <row r="276">
      <c r="A276" s="7" t="inlineStr">
        <is>
          <t>MD-00087</t>
        </is>
      </c>
      <c r="B276" s="7" t="inlineStr">
        <is>
          <t>2026-06-25</t>
        </is>
      </c>
      <c r="C276" s="7" t="inlineStr">
        <is>
          <t>Return Label Created</t>
        </is>
      </c>
      <c r="D276" s="7" t="inlineStr">
        <is>
          <t>E0075</t>
        </is>
      </c>
      <c r="E276" s="7" t="inlineStr">
        <is>
          <t>Return Carrier</t>
        </is>
      </c>
      <c r="F276" s="7" t="inlineStr">
        <is>
          <t>Carrier Network</t>
        </is>
      </c>
      <c r="G276" s="7" t="inlineStr">
        <is>
          <t>1ZMD00000087</t>
        </is>
      </c>
      <c r="H276" s="7" t="inlineStr">
        <is>
          <t>Technician Claim</t>
        </is>
      </c>
      <c r="I276" s="7" t="inlineStr">
        <is>
          <t>MD-00087 return paperwork starts at 1ZMD00000087 (label created).</t>
        </is>
      </c>
    </row>
    <row r="277">
      <c r="A277" s="7" t="inlineStr">
        <is>
          <t>MD-00087</t>
        </is>
      </c>
      <c r="B277" s="7" t="inlineStr">
        <is>
          <t>2026-07-02</t>
        </is>
      </c>
      <c r="C277" s="7" t="inlineStr">
        <is>
          <t>Carrier Acceptance</t>
        </is>
      </c>
      <c r="D277" s="7" t="inlineStr">
        <is>
          <t>Shipper</t>
        </is>
      </c>
      <c r="E277" s="7" t="inlineStr">
        <is>
          <t>Carrier</t>
        </is>
      </c>
      <c r="F277" s="7" t="inlineStr">
        <is>
          <t>Carrier Network</t>
        </is>
      </c>
      <c r="G277" s="7" t="inlineStr">
        <is>
          <t>1ZMD00000087</t>
        </is>
      </c>
      <c r="H277" s="7" t="inlineStr">
        <is>
          <t>Confirmed Fact</t>
        </is>
      </c>
      <c r="I277" s="7" t="inlineStr">
        <is>
          <t>Acceptance scan 1ZMD00000087 advances the return path for MD-00087.</t>
        </is>
      </c>
    </row>
    <row r="278">
      <c r="A278" s="7" t="inlineStr">
        <is>
          <t>MD-00087</t>
        </is>
      </c>
      <c r="B278" s="7" t="inlineStr">
        <is>
          <t>2026-07-06</t>
        </is>
      </c>
      <c r="C278" s="7" t="inlineStr">
        <is>
          <t>Delivery</t>
        </is>
      </c>
      <c r="D278" s="7" t="inlineStr">
        <is>
          <t>Carrier</t>
        </is>
      </c>
      <c r="E278" s="7" t="inlineStr">
        <is>
          <t>Receiving</t>
        </is>
      </c>
      <c r="F278" s="7" t="inlineStr">
        <is>
          <t>Atlanta Warehouse</t>
        </is>
      </c>
      <c r="G278" s="7" t="inlineStr">
        <is>
          <t>1ZMD00000087</t>
        </is>
      </c>
      <c r="H278" s="7" t="inlineStr">
        <is>
          <t>Confirmed Fact</t>
        </is>
      </c>
      <c r="I278" s="7" t="inlineStr">
        <is>
          <t>MD-00087 delivery milestone 1ZMD00000087.</t>
        </is>
      </c>
    </row>
    <row r="279">
      <c r="A279" s="7" t="inlineStr">
        <is>
          <t>MD-00087</t>
        </is>
      </c>
      <c r="B279" s="7" t="inlineStr">
        <is>
          <t>2026-07-07</t>
        </is>
      </c>
      <c r="C279" s="7" t="inlineStr">
        <is>
          <t>Receiving Scan</t>
        </is>
      </c>
      <c r="D279" s="7" t="inlineStr">
        <is>
          <t>Carrier</t>
        </is>
      </c>
      <c r="E279" s="7" t="inlineStr">
        <is>
          <t>IT Stock</t>
        </is>
      </c>
      <c r="F279" s="7" t="inlineStr">
        <is>
          <t>Atlanta Warehouse</t>
        </is>
      </c>
      <c r="G279" s="7" t="inlineStr">
        <is>
          <t>1ZMD00000087</t>
        </is>
      </c>
      <c r="H279" s="7" t="inlineStr">
        <is>
          <t>Confirmed Fact</t>
        </is>
      </c>
      <c r="I279" s="7" t="inlineStr">
        <is>
          <t>Receiving proof 1ZMD00000087 filed for MD-00087.</t>
        </is>
      </c>
    </row>
    <row r="280">
      <c r="A280" s="7" t="inlineStr">
        <is>
          <t>MD-00087</t>
        </is>
      </c>
      <c r="B280" s="7" t="inlineStr">
        <is>
          <t>2026-08-05</t>
        </is>
      </c>
      <c r="C280" s="7" t="inlineStr">
        <is>
          <t>Regional IT Note Lead</t>
        </is>
      </c>
      <c r="D280" s="7" t="inlineStr">
        <is>
          <t>Regional IT</t>
        </is>
      </c>
      <c r="E280" s="7" t="inlineStr"/>
      <c r="F280" s="7" t="inlineStr">
        <is>
          <t>Denver - Closed</t>
        </is>
      </c>
      <c r="G280" s="7" t="inlineStr">
        <is>
          <t>regional_IT_notes.docx</t>
        </is>
      </c>
      <c r="H280" s="7" t="inlineStr">
        <is>
          <t>Technician Claim</t>
        </is>
      </c>
      <c r="I280" s="7" t="inlineStr">
        <is>
          <t>Regional note for MD-00087 kept as an unverified lead (regional_IT_notes.docx). Needs ticket or scan before use.</t>
        </is>
      </c>
    </row>
    <row r="281">
      <c r="A281" s="7" t="inlineStr">
        <is>
          <t>MD-00087</t>
        </is>
      </c>
      <c r="B281" s="7" t="inlineStr">
        <is>
          <t>2026-08-09</t>
        </is>
      </c>
      <c r="C281" s="7" t="inlineStr">
        <is>
          <t>Policy Control Figure</t>
        </is>
      </c>
      <c r="D281" s="7" t="inlineStr">
        <is>
          <t>ITAM-001</t>
        </is>
      </c>
      <c r="E281" s="7" t="inlineStr"/>
      <c r="F281" s="7" t="inlineStr"/>
      <c r="G281" s="7" t="inlineStr">
        <is>
          <t>ITAM_control_matrix.png; IT_asset_management_policy.pdf</t>
        </is>
      </c>
      <c r="H281" s="7" t="inlineStr">
        <is>
          <t>Confirmed Fact</t>
        </is>
      </c>
      <c r="I281" s="7" t="inlineStr">
        <is>
          <t>Visual control checklist consulted for MD-00087; source IDs remain decisive. Returned to source files next.</t>
        </is>
      </c>
    </row>
    <row r="282">
      <c r="A282" s="7" t="inlineStr">
        <is>
          <t>MD-00087</t>
        </is>
      </c>
      <c r="B282" s="7" t="inlineStr">
        <is>
          <t>2026-08-09</t>
        </is>
      </c>
      <c r="C282" s="7" t="inlineStr">
        <is>
          <t>Reconciliation Conclusion</t>
        </is>
      </c>
      <c r="D282" s="7" t="inlineStr">
        <is>
          <t>Evidence review</t>
        </is>
      </c>
      <c r="E282" s="7" t="inlineStr">
        <is>
          <t>IT Stock</t>
        </is>
      </c>
      <c r="F282" s="7" t="inlineStr">
        <is>
          <t>Atlanta Warehouse</t>
        </is>
      </c>
      <c r="G282" s="7" t="inlineStr">
        <is>
          <t>EX-0100</t>
        </is>
      </c>
      <c r="H282" s="7" t="inlineStr">
        <is>
          <t>Confirmed Fact</t>
        </is>
      </c>
      <c r="I282" s="7" t="inlineStr">
        <is>
          <t>Reconciled MD-00087 to verified status Available / Atlanta Warehouse. Open: EX-0100.</t>
        </is>
      </c>
    </row>
    <row r="283">
      <c r="A283" s="7" t="inlineStr">
        <is>
          <t>MD-00088</t>
        </is>
      </c>
      <c r="B283" s="7" t="inlineStr">
        <is>
          <t>2022-05-17</t>
        </is>
      </c>
      <c r="C283" s="7" t="inlineStr">
        <is>
          <t>Purchase</t>
        </is>
      </c>
      <c r="D283" s="7" t="inlineStr">
        <is>
          <t>Vendor</t>
        </is>
      </c>
      <c r="E283" s="7" t="inlineStr">
        <is>
          <t>Central Receiving</t>
        </is>
      </c>
      <c r="F283" s="7" t="inlineStr">
        <is>
          <t>Atlanta Warehouse</t>
        </is>
      </c>
      <c r="G283" s="7" t="inlineStr">
        <is>
          <t>PO-2022-0017</t>
        </is>
      </c>
      <c r="H283" s="7" t="inlineStr">
        <is>
          <t>Confirmed Fact</t>
        </is>
      </c>
      <c r="I283" s="7" t="inlineStr">
        <is>
          <t>Bought MD-00088 (Aruba 6300M) on PO-2022-0017 for $6,380.</t>
        </is>
      </c>
    </row>
    <row r="284">
      <c r="A284" s="7" t="inlineStr">
        <is>
          <t>MD-00088</t>
        </is>
      </c>
      <c r="B284" s="7" t="inlineStr">
        <is>
          <t>2026-05-17</t>
        </is>
      </c>
      <c r="C284" s="7" t="inlineStr">
        <is>
          <t>Assignment/Transfer</t>
        </is>
      </c>
      <c r="D284" s="7" t="inlineStr">
        <is>
          <t>Central Receiving</t>
        </is>
      </c>
      <c r="E284" s="7" t="inlineStr">
        <is>
          <t>Return Carrier</t>
        </is>
      </c>
      <c r="F284" s="7" t="inlineStr">
        <is>
          <t>Carrier Network</t>
        </is>
      </c>
      <c r="G284" s="7" t="inlineStr">
        <is>
          <t>TR-00088</t>
        </is>
      </c>
      <c r="H284" s="7" t="inlineStr">
        <is>
          <t>Confirmed Fact</t>
        </is>
      </c>
      <c r="I284" s="7" t="inlineStr">
        <is>
          <t>Transfer TR-00088 logged against MD-00088; receiving context Carrier Network.</t>
        </is>
      </c>
    </row>
    <row r="285">
      <c r="A285" s="7" t="inlineStr">
        <is>
          <t>MD-00088</t>
        </is>
      </c>
      <c r="B285" s="7" t="inlineStr">
        <is>
          <t>2026-06-05</t>
        </is>
      </c>
      <c r="C285" s="7" t="inlineStr">
        <is>
          <t>Offboarding Ticket</t>
        </is>
      </c>
      <c r="D285" s="7" t="inlineStr">
        <is>
          <t>E0076</t>
        </is>
      </c>
      <c r="E285" s="7" t="inlineStr">
        <is>
          <t>IT Service Desk</t>
        </is>
      </c>
      <c r="F285" s="7" t="inlineStr"/>
      <c r="G285" s="7" t="inlineStr">
        <is>
          <t>OFF-00088</t>
        </is>
      </c>
      <c r="H285" s="7" t="inlineStr">
        <is>
          <t>Technician Claim</t>
        </is>
      </c>
      <c r="I285" s="7" t="inlineStr">
        <is>
          <t>Offboard record OFF-00088 flags MD-00088 for custodian cleanup.</t>
        </is>
      </c>
    </row>
    <row r="286">
      <c r="A286" s="7" t="inlineStr">
        <is>
          <t>MD-00088</t>
        </is>
      </c>
      <c r="B286" s="7" t="inlineStr">
        <is>
          <t>2026-06-05</t>
        </is>
      </c>
      <c r="C286" s="7" t="inlineStr">
        <is>
          <t>Technician Comment</t>
        </is>
      </c>
      <c r="D286" s="7" t="inlineStr">
        <is>
          <t>Service Desk</t>
        </is>
      </c>
      <c r="E286" s="7" t="inlineStr"/>
      <c r="F286" s="7" t="inlineStr"/>
      <c r="G286" s="7" t="inlineStr">
        <is>
          <t>OFF-00088</t>
        </is>
      </c>
      <c r="H286" s="7" t="inlineStr">
        <is>
          <t>Technician Claim</t>
        </is>
      </c>
      <c r="I286" s="7" t="inlineStr">
        <is>
          <t>Bench note OFF-00088 for MD-00088; needs independent corroboration.</t>
        </is>
      </c>
    </row>
    <row r="287">
      <c r="A287" s="7" t="inlineStr">
        <is>
          <t>MD-00088</t>
        </is>
      </c>
      <c r="B287" s="7" t="inlineStr">
        <is>
          <t>2026-06-25</t>
        </is>
      </c>
      <c r="C287" s="7" t="inlineStr">
        <is>
          <t>Return Label Created</t>
        </is>
      </c>
      <c r="D287" s="7" t="inlineStr">
        <is>
          <t>E0076</t>
        </is>
      </c>
      <c r="E287" s="7" t="inlineStr">
        <is>
          <t>Return Carrier</t>
        </is>
      </c>
      <c r="F287" s="7" t="inlineStr">
        <is>
          <t>Carrier Network</t>
        </is>
      </c>
      <c r="G287" s="7" t="inlineStr">
        <is>
          <t>1ZMD00000088</t>
        </is>
      </c>
      <c r="H287" s="7" t="inlineStr">
        <is>
          <t>Technician Claim</t>
        </is>
      </c>
      <c r="I287" s="7" t="inlineStr">
        <is>
          <t>Outbound label 1ZMD00000088 logged for MD-00088.</t>
        </is>
      </c>
    </row>
    <row r="288">
      <c r="A288" s="7" t="inlineStr">
        <is>
          <t>MD-00088</t>
        </is>
      </c>
      <c r="B288" s="7" t="inlineStr">
        <is>
          <t>2026-07-02</t>
        </is>
      </c>
      <c r="C288" s="7" t="inlineStr">
        <is>
          <t>Carrier Acceptance</t>
        </is>
      </c>
      <c r="D288" s="7" t="inlineStr">
        <is>
          <t>Shipper</t>
        </is>
      </c>
      <c r="E288" s="7" t="inlineStr">
        <is>
          <t>Carrier</t>
        </is>
      </c>
      <c r="F288" s="7" t="inlineStr">
        <is>
          <t>Carrier Network</t>
        </is>
      </c>
      <c r="G288" s="7" t="inlineStr">
        <is>
          <t>1ZMD00000088</t>
        </is>
      </c>
      <c r="H288" s="7" t="inlineStr">
        <is>
          <t>Confirmed Fact</t>
        </is>
      </c>
      <c r="I288" s="7" t="inlineStr">
        <is>
          <t>Carrier acceptance recorded on 1ZMD00000088 for MD-00088.</t>
        </is>
      </c>
    </row>
    <row r="289">
      <c r="A289" s="7" t="inlineStr">
        <is>
          <t>MD-00088</t>
        </is>
      </c>
      <c r="B289" s="7" t="inlineStr">
        <is>
          <t>2026-07-06</t>
        </is>
      </c>
      <c r="C289" s="7" t="inlineStr">
        <is>
          <t>Delivery</t>
        </is>
      </c>
      <c r="D289" s="7" t="inlineStr">
        <is>
          <t>Carrier</t>
        </is>
      </c>
      <c r="E289" s="7" t="inlineStr">
        <is>
          <t>Receiving</t>
        </is>
      </c>
      <c r="F289" s="7" t="inlineStr">
        <is>
          <t>Atlanta Warehouse</t>
        </is>
      </c>
      <c r="G289" s="7" t="inlineStr">
        <is>
          <t>1ZMD00000088</t>
        </is>
      </c>
      <c r="H289" s="7" t="inlineStr">
        <is>
          <t>Confirmed Fact</t>
        </is>
      </c>
      <c r="I289" s="7" t="inlineStr">
        <is>
          <t>Delivery event 1ZMD00000088 for MD-00088.</t>
        </is>
      </c>
    </row>
    <row r="290">
      <c r="A290" s="7" t="inlineStr">
        <is>
          <t>MD-00088</t>
        </is>
      </c>
      <c r="B290" s="7" t="inlineStr">
        <is>
          <t>2026-07-07</t>
        </is>
      </c>
      <c r="C290" s="7" t="inlineStr">
        <is>
          <t>Receiving Scan</t>
        </is>
      </c>
      <c r="D290" s="7" t="inlineStr">
        <is>
          <t>Carrier</t>
        </is>
      </c>
      <c r="E290" s="7" t="inlineStr">
        <is>
          <t>IT Stock</t>
        </is>
      </c>
      <c r="F290" s="7" t="inlineStr">
        <is>
          <t>Atlanta Warehouse</t>
        </is>
      </c>
      <c r="G290" s="7" t="inlineStr">
        <is>
          <t>1ZMD00000088</t>
        </is>
      </c>
      <c r="H290" s="7" t="inlineStr">
        <is>
          <t>Confirmed Fact</t>
        </is>
      </c>
      <c r="I290" s="7" t="inlineStr">
        <is>
          <t>Receiving scan 1ZMD00000088 for MD-00088.</t>
        </is>
      </c>
    </row>
    <row r="291">
      <c r="A291" s="7" t="inlineStr">
        <is>
          <t>MD-00088</t>
        </is>
      </c>
      <c r="B291" s="7" t="inlineStr">
        <is>
          <t>2026-08-05</t>
        </is>
      </c>
      <c r="C291" s="7" t="inlineStr">
        <is>
          <t>Regional IT Note Lead</t>
        </is>
      </c>
      <c r="D291" s="7" t="inlineStr">
        <is>
          <t>Regional IT</t>
        </is>
      </c>
      <c r="E291" s="7" t="inlineStr"/>
      <c r="F291" s="7" t="inlineStr">
        <is>
          <t>Chicago - Closed</t>
        </is>
      </c>
      <c r="G291" s="7" t="inlineStr">
        <is>
          <t>regional_IT_notes.docx</t>
        </is>
      </c>
      <c r="H291" s="7" t="inlineStr">
        <is>
          <t>Technician Claim</t>
        </is>
      </c>
      <c r="I291" s="7" t="inlineStr">
        <is>
          <t>Regional note for MD-00088 kept as an unverified lead (regional_IT_notes.docx). Left outside certification proof.</t>
        </is>
      </c>
    </row>
    <row r="292">
      <c r="A292" s="7" t="inlineStr">
        <is>
          <t>MD-00088</t>
        </is>
      </c>
      <c r="B292" s="7" t="inlineStr">
        <is>
          <t>2026-08-09</t>
        </is>
      </c>
      <c r="C292" s="7" t="inlineStr">
        <is>
          <t>Policy Control Figure</t>
        </is>
      </c>
      <c r="D292" s="7" t="inlineStr">
        <is>
          <t>ITAM-001</t>
        </is>
      </c>
      <c r="E292" s="7" t="inlineStr"/>
      <c r="F292" s="7" t="inlineStr"/>
      <c r="G292" s="7" t="inlineStr">
        <is>
          <t>IT_asset_management_policy.pdf</t>
        </is>
      </c>
      <c r="H292" s="7" t="inlineStr">
        <is>
          <t>Confirmed Fact</t>
        </is>
      </c>
      <c r="I292" s="7" t="inlineStr">
        <is>
          <t>Figure lead on file for MD-00088; did not treat PNG as custody proof. Returned to source files next.</t>
        </is>
      </c>
    </row>
    <row r="293">
      <c r="A293" s="7" t="inlineStr">
        <is>
          <t>MD-00088</t>
        </is>
      </c>
      <c r="B293" s="7" t="inlineStr">
        <is>
          <t>2026-08-09</t>
        </is>
      </c>
      <c r="C293" s="7" t="inlineStr">
        <is>
          <t>Reconciliation Conclusion</t>
        </is>
      </c>
      <c r="D293" s="7" t="inlineStr">
        <is>
          <t>Evidence review</t>
        </is>
      </c>
      <c r="E293" s="7" t="inlineStr">
        <is>
          <t>IT Stock</t>
        </is>
      </c>
      <c r="F293" s="7" t="inlineStr">
        <is>
          <t>Atlanta Warehouse</t>
        </is>
      </c>
      <c r="G293" s="7" t="inlineStr">
        <is>
          <t>EX-0101, EX-0102</t>
        </is>
      </c>
      <c r="H293" s="7" t="inlineStr">
        <is>
          <t>Confirmed Fact</t>
        </is>
      </c>
      <c r="I293" s="7" t="inlineStr">
        <is>
          <t>Register outcome on MD-00088: Available (Atlanta Warehouse). See EX-0101, EX-0102.</t>
        </is>
      </c>
    </row>
    <row r="294">
      <c r="A294" s="7" t="inlineStr">
        <is>
          <t>MD-00089</t>
        </is>
      </c>
      <c r="B294" s="7" t="inlineStr">
        <is>
          <t>2023-06-18</t>
        </is>
      </c>
      <c r="C294" s="7" t="inlineStr">
        <is>
          <t>Purchase</t>
        </is>
      </c>
      <c r="D294" s="7" t="inlineStr">
        <is>
          <t>Vendor</t>
        </is>
      </c>
      <c r="E294" s="7" t="inlineStr">
        <is>
          <t>Central Receiving</t>
        </is>
      </c>
      <c r="F294" s="7" t="inlineStr">
        <is>
          <t>Atlanta Warehouse</t>
        </is>
      </c>
      <c r="G294" s="7" t="inlineStr">
        <is>
          <t>PO-2022-0017</t>
        </is>
      </c>
      <c r="H294" s="7" t="inlineStr">
        <is>
          <t>Confirmed Fact</t>
        </is>
      </c>
      <c r="I294" s="7" t="inlineStr">
        <is>
          <t>Vendor fulfillment on PO-2022-0017 put MD-00089 on the books (Juniper EX3400).</t>
        </is>
      </c>
    </row>
    <row r="295">
      <c r="A295" s="7" t="inlineStr">
        <is>
          <t>MD-00089</t>
        </is>
      </c>
      <c r="B295" s="7" t="inlineStr">
        <is>
          <t>2026-06-18</t>
        </is>
      </c>
      <c r="C295" s="7" t="inlineStr">
        <is>
          <t>Assignment/Transfer</t>
        </is>
      </c>
      <c r="D295" s="7" t="inlineStr">
        <is>
          <t>Central Receiving</t>
        </is>
      </c>
      <c r="E295" s="7" t="inlineStr">
        <is>
          <t>Unverified</t>
        </is>
      </c>
      <c r="F295" s="7" t="inlineStr">
        <is>
          <t>Unknown</t>
        </is>
      </c>
      <c r="G295" s="7" t="inlineStr">
        <is>
          <t>TR-00089</t>
        </is>
      </c>
      <c r="H295" s="7" t="inlineStr">
        <is>
          <t>Confirmed Fact</t>
        </is>
      </c>
      <c r="I295" s="7" t="inlineStr">
        <is>
          <t>MD-00089 leaves prior custodian under TR-00089.</t>
        </is>
      </c>
    </row>
    <row r="296">
      <c r="A296" s="7" t="inlineStr">
        <is>
          <t>MD-00089</t>
        </is>
      </c>
      <c r="B296" s="7" t="inlineStr">
        <is>
          <t>2026-05-06</t>
        </is>
      </c>
      <c r="C296" s="7" t="inlineStr">
        <is>
          <t>Offboarding Ticket</t>
        </is>
      </c>
      <c r="D296" s="7" t="inlineStr">
        <is>
          <t>E0077</t>
        </is>
      </c>
      <c r="E296" s="7" t="inlineStr">
        <is>
          <t>IT Service Desk</t>
        </is>
      </c>
      <c r="F296" s="7" t="inlineStr"/>
      <c r="G296" s="7" t="inlineStr">
        <is>
          <t>OFF-00089</t>
        </is>
      </c>
      <c r="H296" s="7" t="inlineStr">
        <is>
          <t>Technician Claim</t>
        </is>
      </c>
      <c r="I296" s="7" t="inlineStr">
        <is>
          <t>Separated-employee workflow OFF-00089 includes MD-00089.</t>
        </is>
      </c>
    </row>
    <row r="297">
      <c r="A297" s="7" t="inlineStr">
        <is>
          <t>MD-00089</t>
        </is>
      </c>
      <c r="B297" s="7" t="inlineStr">
        <is>
          <t>2026-05-06</t>
        </is>
      </c>
      <c r="C297" s="7" t="inlineStr">
        <is>
          <t>Technician Comment</t>
        </is>
      </c>
      <c r="D297" s="7" t="inlineStr">
        <is>
          <t>Service Desk</t>
        </is>
      </c>
      <c r="E297" s="7" t="inlineStr"/>
      <c r="F297" s="7" t="inlineStr"/>
      <c r="G297" s="7" t="inlineStr">
        <is>
          <t>OFF-00089</t>
        </is>
      </c>
      <c r="H297" s="7" t="inlineStr">
        <is>
          <t>Technician Claim</t>
        </is>
      </c>
      <c r="I297" s="7" t="inlineStr">
        <is>
          <t>Tech remark filed against MD-00089 under OFF-00089.</t>
        </is>
      </c>
    </row>
    <row r="298">
      <c r="A298" s="7" t="inlineStr">
        <is>
          <t>MD-00089</t>
        </is>
      </c>
      <c r="B298" s="7" t="inlineStr">
        <is>
          <t>2026-08-05</t>
        </is>
      </c>
      <c r="C298" s="7" t="inlineStr">
        <is>
          <t>Regional IT Note Lead</t>
        </is>
      </c>
      <c r="D298" s="7" t="inlineStr">
        <is>
          <t>Regional IT</t>
        </is>
      </c>
      <c r="E298" s="7" t="inlineStr"/>
      <c r="F298" s="7" t="inlineStr">
        <is>
          <t>Denver - Closed</t>
        </is>
      </c>
      <c r="G298" s="7" t="inlineStr">
        <is>
          <t>regional_IT_notes.docx</t>
        </is>
      </c>
      <c r="H298" s="7" t="inlineStr">
        <is>
          <t>Technician Claim</t>
        </is>
      </c>
      <c r="I298" s="7" t="inlineStr">
        <is>
          <t>Unconfirmed site remark for MD-00089 stored as regional_IT_notes.docx. No register update from this alone.</t>
        </is>
      </c>
    </row>
    <row r="299">
      <c r="A299" s="7" t="inlineStr">
        <is>
          <t>MD-00089</t>
        </is>
      </c>
      <c r="B299" s="7" t="inlineStr">
        <is>
          <t>2026-08-09</t>
        </is>
      </c>
      <c r="C299" s="7" t="inlineStr">
        <is>
          <t>Policy Control Figure</t>
        </is>
      </c>
      <c r="D299" s="7" t="inlineStr">
        <is>
          <t>ITAM-001</t>
        </is>
      </c>
      <c r="E299" s="7" t="inlineStr"/>
      <c r="F299" s="7" t="inlineStr"/>
      <c r="G299" s="7" t="inlineStr">
        <is>
          <t>ITAM_control_matrix.png; IT_asset_management_policy.pdf</t>
        </is>
      </c>
      <c r="H299" s="7" t="inlineStr">
        <is>
          <t>Confirmed Fact</t>
        </is>
      </c>
      <c r="I299" s="7" t="inlineStr">
        <is>
          <t>Control matrix image reviewed; MD-00089 still requires ordinary corroboration. Logged as multimodal lead.</t>
        </is>
      </c>
    </row>
    <row r="300">
      <c r="A300" s="7" t="inlineStr">
        <is>
          <t>MD-00089</t>
        </is>
      </c>
      <c r="B300" s="7" t="inlineStr">
        <is>
          <t>2026-08-09</t>
        </is>
      </c>
      <c r="C300" s="7" t="inlineStr">
        <is>
          <t>Unresolved Assumption</t>
        </is>
      </c>
      <c r="D300" s="7" t="inlineStr"/>
      <c r="E300" s="7" t="inlineStr"/>
      <c r="F300" s="7" t="inlineStr"/>
      <c r="G300" s="7" t="inlineStr">
        <is>
          <t>Reconciliation</t>
        </is>
      </c>
      <c r="H300" s="7" t="inlineStr">
        <is>
          <t>Unresolved Assumption</t>
        </is>
      </c>
      <c r="I300" s="7" t="inlineStr">
        <is>
          <t>Assumption gap for MD-00089 recorded as Reconciliation.</t>
        </is>
      </c>
    </row>
    <row r="301">
      <c r="A301" s="7" t="inlineStr">
        <is>
          <t>MD-00089</t>
        </is>
      </c>
      <c r="B301" s="7" t="inlineStr">
        <is>
          <t>2026-08-09</t>
        </is>
      </c>
      <c r="C301" s="7" t="inlineStr">
        <is>
          <t>Reconciliation Conclusion</t>
        </is>
      </c>
      <c r="D301" s="7" t="inlineStr">
        <is>
          <t>Evidence review</t>
        </is>
      </c>
      <c r="E301" s="7" t="inlineStr">
        <is>
          <t>E0077</t>
        </is>
      </c>
      <c r="F301" s="7" t="inlineStr">
        <is>
          <t>Unknown</t>
        </is>
      </c>
      <c r="G301" s="7" t="inlineStr">
        <is>
          <t>EX-0103, EX-0104</t>
        </is>
      </c>
      <c r="H301" s="7" t="inlineStr">
        <is>
          <t>Unresolved Assumption</t>
        </is>
      </c>
      <c r="I301" s="7" t="inlineStr">
        <is>
          <t>Conclusion row for MD-00089 — Missing at Unknown. Tied exceptions EX-0103, EX-0104.</t>
        </is>
      </c>
    </row>
    <row r="302">
      <c r="A302" s="7" t="inlineStr">
        <is>
          <t>MD-00090</t>
        </is>
      </c>
      <c r="B302" s="7" t="inlineStr">
        <is>
          <t>2024-07-19</t>
        </is>
      </c>
      <c r="C302" s="7" t="inlineStr">
        <is>
          <t>Purchase</t>
        </is>
      </c>
      <c r="D302" s="7" t="inlineStr">
        <is>
          <t>Vendor</t>
        </is>
      </c>
      <c r="E302" s="7" t="inlineStr">
        <is>
          <t>Central Receiving</t>
        </is>
      </c>
      <c r="F302" s="7" t="inlineStr">
        <is>
          <t>Atlanta Warehouse</t>
        </is>
      </c>
      <c r="G302" s="7" t="inlineStr">
        <is>
          <t>PO-2023-0018</t>
        </is>
      </c>
      <c r="H302" s="7" t="inlineStr">
        <is>
          <t>Confirmed Fact</t>
        </is>
      </c>
      <c r="I302" s="7" t="inlineStr">
        <is>
          <t>Bought MD-00090 (Fortinet FortiSwitch 148F) on PO-2023-0018 for $790.</t>
        </is>
      </c>
    </row>
    <row r="303">
      <c r="A303" s="7" t="inlineStr">
        <is>
          <t>MD-00090</t>
        </is>
      </c>
      <c r="B303" s="7" t="inlineStr">
        <is>
          <t>2026-01-19</t>
        </is>
      </c>
      <c r="C303" s="7" t="inlineStr">
        <is>
          <t>Assignment/Transfer</t>
        </is>
      </c>
      <c r="D303" s="7" t="inlineStr">
        <is>
          <t>Central Receiving</t>
        </is>
      </c>
      <c r="E303" s="7" t="inlineStr">
        <is>
          <t>Unverified</t>
        </is>
      </c>
      <c r="F303" s="7" t="inlineStr">
        <is>
          <t>Unknown</t>
        </is>
      </c>
      <c r="G303" s="7" t="inlineStr">
        <is>
          <t>TR-00090</t>
        </is>
      </c>
      <c r="H303" s="7" t="inlineStr">
        <is>
          <t>Confirmed Fact</t>
        </is>
      </c>
      <c r="I303" s="7" t="inlineStr">
        <is>
          <t>Use TR-00090 when reconstructing the MD-00090 custody hop.</t>
        </is>
      </c>
    </row>
    <row r="304">
      <c r="A304" s="7" t="inlineStr">
        <is>
          <t>MD-00090</t>
        </is>
      </c>
      <c r="B304" s="7" t="inlineStr">
        <is>
          <t>2026-06-07</t>
        </is>
      </c>
      <c r="C304" s="7" t="inlineStr">
        <is>
          <t>Offboarding Ticket</t>
        </is>
      </c>
      <c r="D304" s="7" t="inlineStr">
        <is>
          <t>E0078</t>
        </is>
      </c>
      <c r="E304" s="7" t="inlineStr">
        <is>
          <t>IT Service Desk</t>
        </is>
      </c>
      <c r="F304" s="7" t="inlineStr"/>
      <c r="G304" s="7" t="inlineStr">
        <is>
          <t>OFF-00090</t>
        </is>
      </c>
      <c r="H304" s="7" t="inlineStr">
        <is>
          <t>Technician Claim</t>
        </is>
      </c>
      <c r="I304" s="7" t="inlineStr">
        <is>
          <t>HR/IT offboarding OFF-00090 lists MD-00090; verify register custodian matches ticket closeout.</t>
        </is>
      </c>
    </row>
    <row r="305">
      <c r="A305" s="7" t="inlineStr">
        <is>
          <t>MD-00090</t>
        </is>
      </c>
      <c r="B305" s="7" t="inlineStr">
        <is>
          <t>2026-06-07</t>
        </is>
      </c>
      <c r="C305" s="7" t="inlineStr">
        <is>
          <t>Technician Comment</t>
        </is>
      </c>
      <c r="D305" s="7" t="inlineStr">
        <is>
          <t>Service Desk</t>
        </is>
      </c>
      <c r="E305" s="7" t="inlineStr"/>
      <c r="F305" s="7" t="inlineStr"/>
      <c r="G305" s="7" t="inlineStr">
        <is>
          <t>OFF-00090</t>
        </is>
      </c>
      <c r="H305" s="7" t="inlineStr">
        <is>
          <t>Technician Claim</t>
        </is>
      </c>
      <c r="I305" s="7" t="inlineStr">
        <is>
          <t>Tech remark filed against MD-00090 under OFF-00090.</t>
        </is>
      </c>
    </row>
    <row r="306">
      <c r="A306" s="7" t="inlineStr">
        <is>
          <t>MD-00090</t>
        </is>
      </c>
      <c r="B306" s="7" t="inlineStr">
        <is>
          <t>2026-08-05</t>
        </is>
      </c>
      <c r="C306" s="7" t="inlineStr">
        <is>
          <t>Regional IT Note Lead</t>
        </is>
      </c>
      <c r="D306" s="7" t="inlineStr">
        <is>
          <t>Regional IT</t>
        </is>
      </c>
      <c r="E306" s="7" t="inlineStr"/>
      <c r="F306" s="7" t="inlineStr">
        <is>
          <t>Chicago - Closed</t>
        </is>
      </c>
      <c r="G306" s="7" t="inlineStr">
        <is>
          <t>regional_IT_notes.docx</t>
        </is>
      </c>
      <c r="H306" s="7" t="inlineStr">
        <is>
          <t>Technician Claim</t>
        </is>
      </c>
      <c r="I306" s="7" t="inlineStr">
        <is>
          <t>No weight given to regional note regional_IT_notes.docx for MD-00090 beyond follow-up. Parked as tip.</t>
        </is>
      </c>
    </row>
    <row r="307">
      <c r="A307" s="7" t="inlineStr">
        <is>
          <t>MD-00090</t>
        </is>
      </c>
      <c r="B307" s="7" t="inlineStr">
        <is>
          <t>2026-08-09</t>
        </is>
      </c>
      <c r="C307" s="7" t="inlineStr">
        <is>
          <t>Policy Control Figure</t>
        </is>
      </c>
      <c r="D307" s="7" t="inlineStr">
        <is>
          <t>ITAM-001</t>
        </is>
      </c>
      <c r="E307" s="7" t="inlineStr"/>
      <c r="F307" s="7" t="inlineStr"/>
      <c r="G307" s="7" t="inlineStr">
        <is>
          <t>ITAM_control_matrix.png; IT_asset_management_policy.pdf</t>
        </is>
      </c>
      <c r="H307" s="7" t="inlineStr">
        <is>
          <t>Confirmed Fact</t>
        </is>
      </c>
      <c r="I307" s="7" t="inlineStr">
        <is>
          <t>Figure consulted for MD-00090 under ITAM-001 evidence tiers; marked lead-only. Returned to source files next [p307-1].</t>
        </is>
      </c>
    </row>
    <row r="308">
      <c r="A308" s="7" t="inlineStr">
        <is>
          <t>MD-00090</t>
        </is>
      </c>
      <c r="B308" s="7" t="inlineStr">
        <is>
          <t>2026-08-09</t>
        </is>
      </c>
      <c r="C308" s="7" t="inlineStr">
        <is>
          <t>Unresolved Assumption</t>
        </is>
      </c>
      <c r="D308" s="7" t="inlineStr"/>
      <c r="E308" s="7" t="inlineStr"/>
      <c r="F308" s="7" t="inlineStr"/>
      <c r="G308" s="7" t="inlineStr">
        <is>
          <t>Reconciliation</t>
        </is>
      </c>
      <c r="H308" s="7" t="inlineStr">
        <is>
          <t>Unresolved Assumption</t>
        </is>
      </c>
      <c r="I308" s="7" t="inlineStr">
        <is>
          <t>Unresolved assumption remains on MD-00090; Reconciliation does not clear custody.</t>
        </is>
      </c>
    </row>
    <row r="309">
      <c r="A309" s="7" t="inlineStr">
        <is>
          <t>MD-00090</t>
        </is>
      </c>
      <c r="B309" s="7" t="inlineStr">
        <is>
          <t>2026-08-09</t>
        </is>
      </c>
      <c r="C309" s="7" t="inlineStr">
        <is>
          <t>Reconciliation Conclusion</t>
        </is>
      </c>
      <c r="D309" s="7" t="inlineStr">
        <is>
          <t>Evidence review</t>
        </is>
      </c>
      <c r="E309" s="7" t="inlineStr">
        <is>
          <t>E0078</t>
        </is>
      </c>
      <c r="F309" s="7" t="inlineStr">
        <is>
          <t>Unknown</t>
        </is>
      </c>
      <c r="G309" s="7" t="inlineStr">
        <is>
          <t>EX-0105, EX-0106</t>
        </is>
      </c>
      <c r="H309" s="7" t="inlineStr">
        <is>
          <t>Unresolved Assumption</t>
        </is>
      </c>
      <c r="I309" s="7" t="inlineStr">
        <is>
          <t>Register outcome on MD-00090: Missing (Unknown). See EX-0105, EX-0106.</t>
        </is>
      </c>
    </row>
    <row r="310">
      <c r="A310" s="7" t="inlineStr">
        <is>
          <t>MD-00091</t>
        </is>
      </c>
      <c r="B310" s="7" t="inlineStr">
        <is>
          <t>2025-08-20</t>
        </is>
      </c>
      <c r="C310" s="7" t="inlineStr">
        <is>
          <t>Purchase</t>
        </is>
      </c>
      <c r="D310" s="7" t="inlineStr">
        <is>
          <t>Vendor</t>
        </is>
      </c>
      <c r="E310" s="7" t="inlineStr">
        <is>
          <t>Central Receiving</t>
        </is>
      </c>
      <c r="F310" s="7" t="inlineStr">
        <is>
          <t>Atlanta Warehouse</t>
        </is>
      </c>
      <c r="G310" s="7" t="inlineStr">
        <is>
          <t>PO-2023-0018</t>
        </is>
      </c>
      <c r="H310" s="7" t="inlineStr">
        <is>
          <t>Confirmed Fact</t>
        </is>
      </c>
      <c r="I310" s="7" t="inlineStr">
        <is>
          <t>Buy recorded for MD-00091 under PO-2023-0018; Cisco C9300 received into inventory.</t>
        </is>
      </c>
    </row>
    <row r="311">
      <c r="A311" s="7" t="inlineStr">
        <is>
          <t>MD-00091</t>
        </is>
      </c>
      <c r="B311" s="7" t="inlineStr">
        <is>
          <t>2026-02-20</t>
        </is>
      </c>
      <c r="C311" s="7" t="inlineStr">
        <is>
          <t>Assignment/Transfer</t>
        </is>
      </c>
      <c r="D311" s="7" t="inlineStr">
        <is>
          <t>Central Receiving</t>
        </is>
      </c>
      <c r="E311" s="7" t="inlineStr">
        <is>
          <t>Unverified</t>
        </is>
      </c>
      <c r="F311" s="7" t="inlineStr">
        <is>
          <t>Unknown</t>
        </is>
      </c>
      <c r="G311" s="7" t="inlineStr">
        <is>
          <t>TR-00091</t>
        </is>
      </c>
      <c r="H311" s="7" t="inlineStr">
        <is>
          <t>Confirmed Fact</t>
        </is>
      </c>
      <c r="I311" s="7" t="inlineStr">
        <is>
          <t>Chain event for MD-00091: transfer TR-00091 to Unknown.</t>
        </is>
      </c>
    </row>
    <row r="312">
      <c r="A312" s="7" t="inlineStr">
        <is>
          <t>MD-00091</t>
        </is>
      </c>
      <c r="B312" s="7" t="inlineStr">
        <is>
          <t>2026-05-08</t>
        </is>
      </c>
      <c r="C312" s="7" t="inlineStr">
        <is>
          <t>Offboarding Ticket</t>
        </is>
      </c>
      <c r="D312" s="7" t="inlineStr">
        <is>
          <t>E0079</t>
        </is>
      </c>
      <c r="E312" s="7" t="inlineStr">
        <is>
          <t>IT Service Desk</t>
        </is>
      </c>
      <c r="F312" s="7" t="inlineStr"/>
      <c r="G312" s="7" t="inlineStr">
        <is>
          <t>OFF-00091</t>
        </is>
      </c>
      <c r="H312" s="7" t="inlineStr">
        <is>
          <t>Technician Claim</t>
        </is>
      </c>
      <c r="I312" s="7" t="inlineStr">
        <is>
          <t>Offboard record OFF-00091 flags MD-00091 for custodian cleanup.</t>
        </is>
      </c>
    </row>
    <row r="313">
      <c r="A313" s="7" t="inlineStr">
        <is>
          <t>MD-00091</t>
        </is>
      </c>
      <c r="B313" s="7" t="inlineStr">
        <is>
          <t>2026-05-08</t>
        </is>
      </c>
      <c r="C313" s="7" t="inlineStr">
        <is>
          <t>Technician Comment</t>
        </is>
      </c>
      <c r="D313" s="7" t="inlineStr">
        <is>
          <t>Service Desk</t>
        </is>
      </c>
      <c r="E313" s="7" t="inlineStr"/>
      <c r="F313" s="7" t="inlineStr"/>
      <c r="G313" s="7" t="inlineStr">
        <is>
          <t>OFF-00091</t>
        </is>
      </c>
      <c r="H313" s="7" t="inlineStr">
        <is>
          <t>Technician Claim</t>
        </is>
      </c>
      <c r="I313" s="7" t="inlineStr">
        <is>
          <t>Bench note OFF-00091 for MD-00091; needs independent corroboration.</t>
        </is>
      </c>
    </row>
    <row r="314">
      <c r="A314" s="7" t="inlineStr">
        <is>
          <t>MD-00091</t>
        </is>
      </c>
      <c r="B314" s="7" t="inlineStr">
        <is>
          <t>2026-08-05</t>
        </is>
      </c>
      <c r="C314" s="7" t="inlineStr">
        <is>
          <t>Regional IT Note Lead</t>
        </is>
      </c>
      <c r="D314" s="7" t="inlineStr">
        <is>
          <t>Regional IT</t>
        </is>
      </c>
      <c r="E314" s="7" t="inlineStr"/>
      <c r="F314" s="7" t="inlineStr">
        <is>
          <t>Denver - Closed</t>
        </is>
      </c>
      <c r="G314" s="7" t="inlineStr">
        <is>
          <t>regional_IT_notes.docx</t>
        </is>
      </c>
      <c r="H314" s="7" t="inlineStr">
        <is>
          <t>Technician Claim</t>
        </is>
      </c>
      <c r="I314" s="7" t="inlineStr">
        <is>
          <t>regional_IT_notes.docx captures hearsay on MD-00091; not location proof. Not used for verified location.</t>
        </is>
      </c>
    </row>
    <row r="315">
      <c r="A315" s="7" t="inlineStr">
        <is>
          <t>MD-00091</t>
        </is>
      </c>
      <c r="B315" s="7" t="inlineStr">
        <is>
          <t>2026-08-09</t>
        </is>
      </c>
      <c r="C315" s="7" t="inlineStr">
        <is>
          <t>Policy Control Figure</t>
        </is>
      </c>
      <c r="D315" s="7" t="inlineStr">
        <is>
          <t>ITAM-001</t>
        </is>
      </c>
      <c r="E315" s="7" t="inlineStr"/>
      <c r="F315" s="7" t="inlineStr"/>
      <c r="G315" s="7" t="inlineStr">
        <is>
          <t>ITAM_control_matrix.png</t>
        </is>
      </c>
      <c r="H315" s="7" t="inlineStr">
        <is>
          <t>Confirmed Fact</t>
        </is>
      </c>
      <c r="I315" s="7" t="inlineStr">
        <is>
          <t>Policy control figure checked; MD-00091 conclusions still come from structured logs. Marked lead-only.</t>
        </is>
      </c>
    </row>
    <row r="316">
      <c r="A316" s="7" t="inlineStr">
        <is>
          <t>MD-00091</t>
        </is>
      </c>
      <c r="B316" s="7" t="inlineStr">
        <is>
          <t>2026-08-09</t>
        </is>
      </c>
      <c r="C316" s="7" t="inlineStr">
        <is>
          <t>Unresolved Assumption</t>
        </is>
      </c>
      <c r="D316" s="7" t="inlineStr"/>
      <c r="E316" s="7" t="inlineStr"/>
      <c r="F316" s="7" t="inlineStr"/>
      <c r="G316" s="7" t="inlineStr">
        <is>
          <t>Reconciliation</t>
        </is>
      </c>
      <c r="H316" s="7" t="inlineStr">
        <is>
          <t>Unresolved Assumption</t>
        </is>
      </c>
      <c r="I316" s="7" t="inlineStr">
        <is>
          <t>Do not clear MD-00091 while assumption Reconciliation is open.</t>
        </is>
      </c>
    </row>
    <row r="317">
      <c r="A317" s="7" t="inlineStr">
        <is>
          <t>MD-00091</t>
        </is>
      </c>
      <c r="B317" s="7" t="inlineStr">
        <is>
          <t>2026-08-09</t>
        </is>
      </c>
      <c r="C317" s="7" t="inlineStr">
        <is>
          <t>Reconciliation Conclusion</t>
        </is>
      </c>
      <c r="D317" s="7" t="inlineStr">
        <is>
          <t>Evidence review</t>
        </is>
      </c>
      <c r="E317" s="7" t="inlineStr">
        <is>
          <t>E0079</t>
        </is>
      </c>
      <c r="F317" s="7" t="inlineStr">
        <is>
          <t>Unknown</t>
        </is>
      </c>
      <c r="G317" s="7" t="inlineStr">
        <is>
          <t>EX-0107, EX-0108</t>
        </is>
      </c>
      <c r="H317" s="7" t="inlineStr">
        <is>
          <t>Unresolved Assumption</t>
        </is>
      </c>
      <c r="I317" s="7" t="inlineStr">
        <is>
          <t>Final custody call on MD-00091: keep Missing unless EX-0107, EX-0108 changes it.</t>
        </is>
      </c>
    </row>
    <row r="318">
      <c r="A318" s="7" t="inlineStr">
        <is>
          <t>MD-00092</t>
        </is>
      </c>
      <c r="B318" s="7" t="inlineStr">
        <is>
          <t>2022-09-21</t>
        </is>
      </c>
      <c r="C318" s="7" t="inlineStr">
        <is>
          <t>Purchase</t>
        </is>
      </c>
      <c r="D318" s="7" t="inlineStr">
        <is>
          <t>Vendor</t>
        </is>
      </c>
      <c r="E318" s="7" t="inlineStr">
        <is>
          <t>Central Receiving</t>
        </is>
      </c>
      <c r="F318" s="7" t="inlineStr">
        <is>
          <t>Atlanta Warehouse</t>
        </is>
      </c>
      <c r="G318" s="7" t="inlineStr">
        <is>
          <t>PO-2023-0018</t>
        </is>
      </c>
      <c r="H318" s="7" t="inlineStr">
        <is>
          <t>Confirmed Fact</t>
        </is>
      </c>
      <c r="I318" s="7" t="inlineStr">
        <is>
          <t>Buy recorded for MD-00092 under PO-2023-0018; Aruba 6300M received into inventory.</t>
        </is>
      </c>
    </row>
    <row r="319">
      <c r="A319" s="7" t="inlineStr">
        <is>
          <t>MD-00092</t>
        </is>
      </c>
      <c r="B319" s="7" t="inlineStr">
        <is>
          <t>2026-03-21</t>
        </is>
      </c>
      <c r="C319" s="7" t="inlineStr">
        <is>
          <t>Assignment/Transfer</t>
        </is>
      </c>
      <c r="D319" s="7" t="inlineStr">
        <is>
          <t>Central Receiving</t>
        </is>
      </c>
      <c r="E319" s="7" t="inlineStr">
        <is>
          <t>Unverified</t>
        </is>
      </c>
      <c r="F319" s="7" t="inlineStr">
        <is>
          <t>Unknown</t>
        </is>
      </c>
      <c r="G319" s="7" t="inlineStr">
        <is>
          <t>TR-00092</t>
        </is>
      </c>
      <c r="H319" s="7" t="inlineStr">
        <is>
          <t>Confirmed Fact</t>
        </is>
      </c>
      <c r="I319" s="7" t="inlineStr">
        <is>
          <t>Move id TR-00092 anchors the assignment step for MD-00092 [t319-1].</t>
        </is>
      </c>
    </row>
    <row r="320">
      <c r="A320" s="7" t="inlineStr">
        <is>
          <t>MD-00092</t>
        </is>
      </c>
      <c r="B320" s="7" t="inlineStr">
        <is>
          <t>2026-06-09</t>
        </is>
      </c>
      <c r="C320" s="7" t="inlineStr">
        <is>
          <t>Offboarding Ticket</t>
        </is>
      </c>
      <c r="D320" s="7" t="inlineStr">
        <is>
          <t>E0080</t>
        </is>
      </c>
      <c r="E320" s="7" t="inlineStr">
        <is>
          <t>IT Service Desk</t>
        </is>
      </c>
      <c r="F320" s="7" t="inlineStr"/>
      <c r="G320" s="7" t="inlineStr">
        <is>
          <t>OFF-00092</t>
        </is>
      </c>
      <c r="H320" s="7" t="inlineStr">
        <is>
          <t>Technician Claim</t>
        </is>
      </c>
      <c r="I320" s="7" t="inlineStr">
        <is>
          <t>Offboarding ticket OFF-00092 touches MD-00092; custodian change still required if register lags.</t>
        </is>
      </c>
    </row>
    <row r="321">
      <c r="A321" s="7" t="inlineStr">
        <is>
          <t>MD-00092</t>
        </is>
      </c>
      <c r="B321" s="7" t="inlineStr">
        <is>
          <t>2026-06-09</t>
        </is>
      </c>
      <c r="C321" s="7" t="inlineStr">
        <is>
          <t>Technician Comment</t>
        </is>
      </c>
      <c r="D321" s="7" t="inlineStr">
        <is>
          <t>Service Desk</t>
        </is>
      </c>
      <c r="E321" s="7" t="inlineStr"/>
      <c r="F321" s="7" t="inlineStr"/>
      <c r="G321" s="7" t="inlineStr">
        <is>
          <t>OFF-00092</t>
        </is>
      </c>
      <c r="H321" s="7" t="inlineStr">
        <is>
          <t>Technician Claim</t>
        </is>
      </c>
      <c r="I321" s="7" t="inlineStr">
        <is>
          <t>Unverified tech comment OFF-00092 linked to MD-00092.</t>
        </is>
      </c>
    </row>
    <row r="322">
      <c r="A322" s="7" t="inlineStr">
        <is>
          <t>MD-00092</t>
        </is>
      </c>
      <c r="B322" s="7" t="inlineStr">
        <is>
          <t>2026-08-05</t>
        </is>
      </c>
      <c r="C322" s="7" t="inlineStr">
        <is>
          <t>Regional IT Note Lead</t>
        </is>
      </c>
      <c r="D322" s="7" t="inlineStr">
        <is>
          <t>Regional IT</t>
        </is>
      </c>
      <c r="E322" s="7" t="inlineStr"/>
      <c r="F322" s="7" t="inlineStr">
        <is>
          <t>Chicago - Closed</t>
        </is>
      </c>
      <c r="G322" s="7" t="inlineStr">
        <is>
          <t>regional_IT_notes.docx</t>
        </is>
      </c>
      <c r="H322" s="7" t="inlineStr">
        <is>
          <t>Technician Claim</t>
        </is>
      </c>
      <c r="I322" s="7" t="inlineStr">
        <is>
          <t>Field claim on MD-00092 is soft intelligence only (regional_IT_notes.docx). Held as investigative crumb.</t>
        </is>
      </c>
    </row>
    <row r="323">
      <c r="A323" s="7" t="inlineStr">
        <is>
          <t>MD-00092</t>
        </is>
      </c>
      <c r="B323" s="7" t="inlineStr">
        <is>
          <t>2026-08-09</t>
        </is>
      </c>
      <c r="C323" s="7" t="inlineStr">
        <is>
          <t>Policy Control Figure</t>
        </is>
      </c>
      <c r="D323" s="7" t="inlineStr">
        <is>
          <t>ITAM-001</t>
        </is>
      </c>
      <c r="E323" s="7" t="inlineStr"/>
      <c r="F323" s="7" t="inlineStr"/>
      <c r="G323" s="7" t="inlineStr">
        <is>
          <t>ITAM_control_matrix.png Appendix A</t>
        </is>
      </c>
      <c r="H323" s="7" t="inlineStr">
        <is>
          <t>Confirmed Fact</t>
        </is>
      </c>
      <c r="I323" s="7" t="inlineStr">
        <is>
          <t>Control figure glance for MD-00092 only — still need PO/TR/ticket IDs. Kept out of disposition logic.</t>
        </is>
      </c>
    </row>
    <row r="324">
      <c r="A324" s="7" t="inlineStr">
        <is>
          <t>MD-00092</t>
        </is>
      </c>
      <c r="B324" s="7" t="inlineStr">
        <is>
          <t>2026-08-09</t>
        </is>
      </c>
      <c r="C324" s="7" t="inlineStr">
        <is>
          <t>Unresolved Assumption</t>
        </is>
      </c>
      <c r="D324" s="7" t="inlineStr"/>
      <c r="E324" s="7" t="inlineStr"/>
      <c r="F324" s="7" t="inlineStr"/>
      <c r="G324" s="7" t="inlineStr">
        <is>
          <t>Reconciliation</t>
        </is>
      </c>
      <c r="H324" s="7" t="inlineStr">
        <is>
          <t>Unresolved Assumption</t>
        </is>
      </c>
      <c r="I324" s="7" t="inlineStr">
        <is>
          <t>MD-00092 still carries an unresolved assumption flagged under Reconciliation.</t>
        </is>
      </c>
    </row>
    <row r="325">
      <c r="A325" s="7" t="inlineStr">
        <is>
          <t>MD-00092</t>
        </is>
      </c>
      <c r="B325" s="7" t="inlineStr">
        <is>
          <t>2026-08-09</t>
        </is>
      </c>
      <c r="C325" s="7" t="inlineStr">
        <is>
          <t>Reconciliation Conclusion</t>
        </is>
      </c>
      <c r="D325" s="7" t="inlineStr">
        <is>
          <t>Evidence review</t>
        </is>
      </c>
      <c r="E325" s="7" t="inlineStr">
        <is>
          <t>E0080</t>
        </is>
      </c>
      <c r="F325" s="7" t="inlineStr">
        <is>
          <t>Unknown</t>
        </is>
      </c>
      <c r="G325" s="7" t="inlineStr">
        <is>
          <t>EX-0109, EX-0110, EX-0111</t>
        </is>
      </c>
      <c r="H325" s="7" t="inlineStr">
        <is>
          <t>Unresolved Assumption</t>
        </is>
      </c>
      <c r="I325" s="7" t="inlineStr">
        <is>
          <t>Conclusion row for MD-00092 — Missing at Unknown. Tied exceptions EX-0109, EX-0110, EX-0111.</t>
        </is>
      </c>
    </row>
    <row r="326">
      <c r="A326" s="7" t="inlineStr">
        <is>
          <t>MD-00093</t>
        </is>
      </c>
      <c r="B326" s="7" t="inlineStr">
        <is>
          <t>2023-10-22</t>
        </is>
      </c>
      <c r="C326" s="7" t="inlineStr">
        <is>
          <t>Purchase</t>
        </is>
      </c>
      <c r="D326" s="7" t="inlineStr">
        <is>
          <t>Vendor</t>
        </is>
      </c>
      <c r="E326" s="7" t="inlineStr">
        <is>
          <t>Central Receiving</t>
        </is>
      </c>
      <c r="F326" s="7" t="inlineStr">
        <is>
          <t>Atlanta Warehouse</t>
        </is>
      </c>
      <c r="G326" s="7" t="inlineStr">
        <is>
          <t>PO-2023-0018</t>
        </is>
      </c>
      <c r="H326" s="7" t="inlineStr">
        <is>
          <t>Confirmed Fact</t>
        </is>
      </c>
      <c r="I326" s="7" t="inlineStr">
        <is>
          <t>MD-00093 enters inventory via PO-2023-0018; model Juniper EX3400.</t>
        </is>
      </c>
    </row>
    <row r="327">
      <c r="A327" s="7" t="inlineStr">
        <is>
          <t>MD-00093</t>
        </is>
      </c>
      <c r="B327" s="7" t="inlineStr">
        <is>
          <t>2026-04-22</t>
        </is>
      </c>
      <c r="C327" s="7" t="inlineStr">
        <is>
          <t>Assignment/Transfer</t>
        </is>
      </c>
      <c r="D327" s="7" t="inlineStr">
        <is>
          <t>Central Receiving</t>
        </is>
      </c>
      <c r="E327" s="7" t="inlineStr">
        <is>
          <t>Unverified</t>
        </is>
      </c>
      <c r="F327" s="7" t="inlineStr">
        <is>
          <t>Unknown</t>
        </is>
      </c>
      <c r="G327" s="7" t="inlineStr">
        <is>
          <t>TR-00093</t>
        </is>
      </c>
      <c r="H327" s="7" t="inlineStr">
        <is>
          <t>Confirmed Fact</t>
        </is>
      </c>
      <c r="I327" s="7" t="inlineStr">
        <is>
          <t>Assignment/transfer row TR-00093 kept as-is for MD-00093.</t>
        </is>
      </c>
    </row>
    <row r="328">
      <c r="A328" s="7" t="inlineStr">
        <is>
          <t>MD-00093</t>
        </is>
      </c>
      <c r="B328" s="7" t="inlineStr">
        <is>
          <t>2026-05-10</t>
        </is>
      </c>
      <c r="C328" s="7" t="inlineStr">
        <is>
          <t>Offboarding Ticket</t>
        </is>
      </c>
      <c r="D328" s="7" t="inlineStr">
        <is>
          <t>E0081</t>
        </is>
      </c>
      <c r="E328" s="7" t="inlineStr">
        <is>
          <t>IT Service Desk</t>
        </is>
      </c>
      <c r="F328" s="7" t="inlineStr"/>
      <c r="G328" s="7" t="inlineStr">
        <is>
          <t>OFF-00093</t>
        </is>
      </c>
      <c r="H328" s="7" t="inlineStr">
        <is>
          <t>Technician Claim</t>
        </is>
      </c>
      <c r="I328" s="7" t="inlineStr">
        <is>
          <t>HR/IT offboarding OFF-00093 lists MD-00093; verify register custodian matches ticket closeout.</t>
        </is>
      </c>
    </row>
    <row r="329">
      <c r="A329" s="7" t="inlineStr">
        <is>
          <t>MD-00093</t>
        </is>
      </c>
      <c r="B329" s="7" t="inlineStr">
        <is>
          <t>2026-05-10</t>
        </is>
      </c>
      <c r="C329" s="7" t="inlineStr">
        <is>
          <t>Technician Comment</t>
        </is>
      </c>
      <c r="D329" s="7" t="inlineStr">
        <is>
          <t>Service Desk</t>
        </is>
      </c>
      <c r="E329" s="7" t="inlineStr"/>
      <c r="F329" s="7" t="inlineStr"/>
      <c r="G329" s="7" t="inlineStr">
        <is>
          <t>OFF-00093</t>
        </is>
      </c>
      <c r="H329" s="7" t="inlineStr">
        <is>
          <t>Technician Claim</t>
        </is>
      </c>
      <c r="I329" s="7" t="inlineStr">
        <is>
          <t>Technician comment on MD-00093 retained as unverified (OFF-00093).</t>
        </is>
      </c>
    </row>
    <row r="330">
      <c r="A330" s="7" t="inlineStr">
        <is>
          <t>MD-00093</t>
        </is>
      </c>
      <c r="B330" s="7" t="inlineStr">
        <is>
          <t>2026-08-05</t>
        </is>
      </c>
      <c r="C330" s="7" t="inlineStr">
        <is>
          <t>Regional IT Note Lead</t>
        </is>
      </c>
      <c r="D330" s="7" t="inlineStr">
        <is>
          <t>Regional IT</t>
        </is>
      </c>
      <c r="E330" s="7" t="inlineStr"/>
      <c r="F330" s="7" t="inlineStr">
        <is>
          <t>Denver - Closed</t>
        </is>
      </c>
      <c r="G330" s="7" t="inlineStr">
        <is>
          <t>regional_IT_notes.docx</t>
        </is>
      </c>
      <c r="H330" s="7" t="inlineStr">
        <is>
          <t>Technician Claim</t>
        </is>
      </c>
      <c r="I330" s="7" t="inlineStr">
        <is>
          <t>Note regional_IT_notes.docx mentions MD-00093 informally; corroboration required. Requires independent find.</t>
        </is>
      </c>
    </row>
    <row r="331">
      <c r="A331" s="7" t="inlineStr">
        <is>
          <t>MD-00093</t>
        </is>
      </c>
      <c r="B331" s="7" t="inlineStr">
        <is>
          <t>2026-08-09</t>
        </is>
      </c>
      <c r="C331" s="7" t="inlineStr">
        <is>
          <t>Policy Control Figure</t>
        </is>
      </c>
      <c r="D331" s="7" t="inlineStr">
        <is>
          <t>ITAM-001</t>
        </is>
      </c>
      <c r="E331" s="7" t="inlineStr"/>
      <c r="F331" s="7" t="inlineStr"/>
      <c r="G331" s="7" t="inlineStr">
        <is>
          <t>IT_asset_management_policy.pdf</t>
        </is>
      </c>
      <c r="H331" s="7" t="inlineStr">
        <is>
          <t>Confirmed Fact</t>
        </is>
      </c>
      <c r="I331" s="7" t="inlineStr">
        <is>
          <t>For MD-00093, multimodal policy figure is supporting context only (IT_asset_management_policy.pdf). Left as orientation.</t>
        </is>
      </c>
    </row>
    <row r="332">
      <c r="A332" s="7" t="inlineStr">
        <is>
          <t>MD-00093</t>
        </is>
      </c>
      <c r="B332" s="7" t="inlineStr">
        <is>
          <t>2026-08-09</t>
        </is>
      </c>
      <c r="C332" s="7" t="inlineStr">
        <is>
          <t>Unresolved Assumption</t>
        </is>
      </c>
      <c r="D332" s="7" t="inlineStr"/>
      <c r="E332" s="7" t="inlineStr"/>
      <c r="F332" s="7" t="inlineStr"/>
      <c r="G332" s="7" t="inlineStr">
        <is>
          <t>Reconciliation</t>
        </is>
      </c>
      <c r="H332" s="7" t="inlineStr">
        <is>
          <t>Unresolved Assumption</t>
        </is>
      </c>
      <c r="I332" s="7" t="inlineStr">
        <is>
          <t>Unresolved assumption remains on MD-00093; Reconciliation does not clear custody.</t>
        </is>
      </c>
    </row>
    <row r="333">
      <c r="A333" s="7" t="inlineStr">
        <is>
          <t>MD-00093</t>
        </is>
      </c>
      <c r="B333" s="7" t="inlineStr">
        <is>
          <t>2026-08-09</t>
        </is>
      </c>
      <c r="C333" s="7" t="inlineStr">
        <is>
          <t>Reconciliation Conclusion</t>
        </is>
      </c>
      <c r="D333" s="7" t="inlineStr">
        <is>
          <t>Evidence review</t>
        </is>
      </c>
      <c r="E333" s="7" t="inlineStr">
        <is>
          <t>E0081</t>
        </is>
      </c>
      <c r="F333" s="7" t="inlineStr">
        <is>
          <t>Unknown</t>
        </is>
      </c>
      <c r="G333" s="7" t="inlineStr">
        <is>
          <t>EX-0112, EX-0113</t>
        </is>
      </c>
      <c r="H333" s="7" t="inlineStr">
        <is>
          <t>Unresolved Assumption</t>
        </is>
      </c>
      <c r="I333" s="7" t="inlineStr">
        <is>
          <t>Documented end state MD-00093 → Missing, site Unknown. EX-0112, EX-0113.</t>
        </is>
      </c>
    </row>
    <row r="334">
      <c r="A334" s="7" t="inlineStr">
        <is>
          <t>MD-00094</t>
        </is>
      </c>
      <c r="B334" s="7" t="inlineStr">
        <is>
          <t>2024-11-23</t>
        </is>
      </c>
      <c r="C334" s="7" t="inlineStr">
        <is>
          <t>Purchase</t>
        </is>
      </c>
      <c r="D334" s="7" t="inlineStr">
        <is>
          <t>Vendor</t>
        </is>
      </c>
      <c r="E334" s="7" t="inlineStr">
        <is>
          <t>Central Receiving</t>
        </is>
      </c>
      <c r="F334" s="7" t="inlineStr">
        <is>
          <t>Atlanta Warehouse</t>
        </is>
      </c>
      <c r="G334" s="7" t="inlineStr">
        <is>
          <t>PO-2023-0018</t>
        </is>
      </c>
      <c r="H334" s="7" t="inlineStr">
        <is>
          <t>Confirmed Fact</t>
        </is>
      </c>
      <c r="I334" s="7" t="inlineStr">
        <is>
          <t>Buy recorded for MD-00094 under PO-2023-0018; Cisco Meraki MS250 received into inventory.</t>
        </is>
      </c>
    </row>
    <row r="335">
      <c r="A335" s="7" t="inlineStr">
        <is>
          <t>MD-00094</t>
        </is>
      </c>
      <c r="B335" s="7" t="inlineStr">
        <is>
          <t>2026-05-23</t>
        </is>
      </c>
      <c r="C335" s="7" t="inlineStr">
        <is>
          <t>Assignment/Transfer</t>
        </is>
      </c>
      <c r="D335" s="7" t="inlineStr">
        <is>
          <t>Central Receiving</t>
        </is>
      </c>
      <c r="E335" s="7" t="inlineStr">
        <is>
          <t>Unverified</t>
        </is>
      </c>
      <c r="F335" s="7" t="inlineStr">
        <is>
          <t>Unknown</t>
        </is>
      </c>
      <c r="G335" s="7" t="inlineStr">
        <is>
          <t>TR-00094</t>
        </is>
      </c>
      <c r="H335" s="7" t="inlineStr">
        <is>
          <t>Confirmed Fact</t>
        </is>
      </c>
      <c r="I335" s="7" t="inlineStr">
        <is>
          <t>Receiving narrative for MD-00094 follows TR-00094 into Unknown.</t>
        </is>
      </c>
    </row>
    <row r="336">
      <c r="A336" s="7" t="inlineStr">
        <is>
          <t>MD-00094</t>
        </is>
      </c>
      <c r="B336" s="7" t="inlineStr">
        <is>
          <t>2026-06-11</t>
        </is>
      </c>
      <c r="C336" s="7" t="inlineStr">
        <is>
          <t>Offboarding Ticket</t>
        </is>
      </c>
      <c r="D336" s="7" t="inlineStr">
        <is>
          <t>E0082</t>
        </is>
      </c>
      <c r="E336" s="7" t="inlineStr">
        <is>
          <t>IT Service Desk</t>
        </is>
      </c>
      <c r="F336" s="7" t="inlineStr"/>
      <c r="G336" s="7" t="inlineStr">
        <is>
          <t>OFF-00094</t>
        </is>
      </c>
      <c r="H336" s="7" t="inlineStr">
        <is>
          <t>Technician Claim</t>
        </is>
      </c>
      <c r="I336" s="7" t="inlineStr">
        <is>
          <t>Offboard record OFF-00094 flags MD-00094 for custodian cleanup.</t>
        </is>
      </c>
    </row>
    <row r="337">
      <c r="A337" s="7" t="inlineStr">
        <is>
          <t>MD-00094</t>
        </is>
      </c>
      <c r="B337" s="7" t="inlineStr">
        <is>
          <t>2026-06-11</t>
        </is>
      </c>
      <c r="C337" s="7" t="inlineStr">
        <is>
          <t>Technician Comment</t>
        </is>
      </c>
      <c r="D337" s="7" t="inlineStr">
        <is>
          <t>Service Desk</t>
        </is>
      </c>
      <c r="E337" s="7" t="inlineStr"/>
      <c r="F337" s="7" t="inlineStr"/>
      <c r="G337" s="7" t="inlineStr">
        <is>
          <t>OFF-00094</t>
        </is>
      </c>
      <c r="H337" s="7" t="inlineStr">
        <is>
          <t>Technician Claim</t>
        </is>
      </c>
      <c r="I337" s="7" t="inlineStr">
        <is>
          <t>Unverified tech comment OFF-00094 linked to MD-00094.</t>
        </is>
      </c>
    </row>
    <row r="338">
      <c r="A338" s="7" t="inlineStr">
        <is>
          <t>MD-00094</t>
        </is>
      </c>
      <c r="B338" s="7" t="inlineStr">
        <is>
          <t>2026-08-05</t>
        </is>
      </c>
      <c r="C338" s="7" t="inlineStr">
        <is>
          <t>Regional IT Note Lead</t>
        </is>
      </c>
      <c r="D338" s="7" t="inlineStr">
        <is>
          <t>Regional IT</t>
        </is>
      </c>
      <c r="E338" s="7" t="inlineStr"/>
      <c r="F338" s="7" t="inlineStr">
        <is>
          <t>Chicago - Closed</t>
        </is>
      </c>
      <c r="G338" s="7" t="inlineStr">
        <is>
          <t>regional_IT_notes.docx</t>
        </is>
      </c>
      <c r="H338" s="7" t="inlineStr">
        <is>
          <t>Technician Claim</t>
        </is>
      </c>
      <c r="I338" s="7" t="inlineStr">
        <is>
          <t>Regional comment regional_IT_notes.docx does not place MD-00094 for certification. Needs ticket or scan before use.</t>
        </is>
      </c>
    </row>
    <row r="339">
      <c r="A339" s="7" t="inlineStr">
        <is>
          <t>MD-00094</t>
        </is>
      </c>
      <c r="B339" s="7" t="inlineStr">
        <is>
          <t>2026-08-09</t>
        </is>
      </c>
      <c r="C339" s="7" t="inlineStr">
        <is>
          <t>Policy Control Figure</t>
        </is>
      </c>
      <c r="D339" s="7" t="inlineStr">
        <is>
          <t>ITAM-001</t>
        </is>
      </c>
      <c r="E339" s="7" t="inlineStr"/>
      <c r="F339" s="7" t="inlineStr"/>
      <c r="G339" s="7" t="inlineStr">
        <is>
          <t>IT_asset_management_policy.pdf §§4–9; ITAM_control_matrix.png</t>
        </is>
      </c>
      <c r="H339" s="7" t="inlineStr">
        <is>
          <t>Confirmed Fact</t>
        </is>
      </c>
      <c r="I339" s="7" t="inlineStr">
        <is>
          <t>Opened ITAM_control_matrix.png beside MD-00094; used as orientation, not clearance. Marked lead-only.</t>
        </is>
      </c>
    </row>
    <row r="340">
      <c r="A340" s="7" t="inlineStr">
        <is>
          <t>MD-00094</t>
        </is>
      </c>
      <c r="B340" s="7" t="inlineStr">
        <is>
          <t>2026-08-09</t>
        </is>
      </c>
      <c r="C340" s="7" t="inlineStr">
        <is>
          <t>Unresolved Assumption</t>
        </is>
      </c>
      <c r="D340" s="7" t="inlineStr"/>
      <c r="E340" s="7" t="inlineStr"/>
      <c r="F340" s="7" t="inlineStr"/>
      <c r="G340" s="7" t="inlineStr">
        <is>
          <t>Reconciliation</t>
        </is>
      </c>
      <c r="H340" s="7" t="inlineStr">
        <is>
          <t>Unresolved Assumption</t>
        </is>
      </c>
      <c r="I340" s="7" t="inlineStr">
        <is>
          <t>Do not clear MD-00094 while assumption Reconciliation is open.</t>
        </is>
      </c>
    </row>
    <row r="341">
      <c r="A341" s="7" t="inlineStr">
        <is>
          <t>MD-00094</t>
        </is>
      </c>
      <c r="B341" s="7" t="inlineStr">
        <is>
          <t>2026-08-09</t>
        </is>
      </c>
      <c r="C341" s="7" t="inlineStr">
        <is>
          <t>Reconciliation Conclusion</t>
        </is>
      </c>
      <c r="D341" s="7" t="inlineStr">
        <is>
          <t>Evidence review</t>
        </is>
      </c>
      <c r="E341" s="7" t="inlineStr">
        <is>
          <t>E0082</t>
        </is>
      </c>
      <c r="F341" s="7" t="inlineStr">
        <is>
          <t>Unknown</t>
        </is>
      </c>
      <c r="G341" s="7" t="inlineStr">
        <is>
          <t>EX-0114, EX-0115</t>
        </is>
      </c>
      <c r="H341" s="7" t="inlineStr">
        <is>
          <t>Unresolved Assumption</t>
        </is>
      </c>
      <c r="I341" s="7" t="inlineStr">
        <is>
          <t>Working end-state for MD-00094: Missing in Unknown. Exceptions: EX-0114, EX-0115.</t>
        </is>
      </c>
    </row>
    <row r="342">
      <c r="A342" s="7" t="inlineStr">
        <is>
          <t>MD-00095</t>
        </is>
      </c>
      <c r="B342" s="7" t="inlineStr">
        <is>
          <t>2025-12-24</t>
        </is>
      </c>
      <c r="C342" s="7" t="inlineStr">
        <is>
          <t>Purchase</t>
        </is>
      </c>
      <c r="D342" s="7" t="inlineStr">
        <is>
          <t>Vendor</t>
        </is>
      </c>
      <c r="E342" s="7" t="inlineStr">
        <is>
          <t>Central Receiving</t>
        </is>
      </c>
      <c r="F342" s="7" t="inlineStr">
        <is>
          <t>Atlanta Warehouse</t>
        </is>
      </c>
      <c r="G342" s="7" t="inlineStr">
        <is>
          <t>PO-2023-0018</t>
        </is>
      </c>
      <c r="H342" s="7" t="inlineStr">
        <is>
          <t>Confirmed Fact</t>
        </is>
      </c>
      <c r="I342" s="7" t="inlineStr">
        <is>
          <t>PO line PO-2023-0018 is the acquisition spine for MD-00095 (Fortinet FortiSwitch 148F).</t>
        </is>
      </c>
    </row>
    <row r="343">
      <c r="A343" s="7" t="inlineStr">
        <is>
          <t>MD-00095</t>
        </is>
      </c>
      <c r="B343" s="7" t="inlineStr">
        <is>
          <t>2026-06-24</t>
        </is>
      </c>
      <c r="C343" s="7" t="inlineStr">
        <is>
          <t>Assignment/Transfer</t>
        </is>
      </c>
      <c r="D343" s="7" t="inlineStr">
        <is>
          <t>Central Receiving</t>
        </is>
      </c>
      <c r="E343" s="7" t="inlineStr">
        <is>
          <t>Unverified</t>
        </is>
      </c>
      <c r="F343" s="7" t="inlineStr">
        <is>
          <t>Unknown</t>
        </is>
      </c>
      <c r="G343" s="7" t="inlineStr">
        <is>
          <t>TR-00095</t>
        </is>
      </c>
      <c r="H343" s="7" t="inlineStr">
        <is>
          <t>Confirmed Fact</t>
        </is>
      </c>
      <c r="I343" s="7" t="inlineStr">
        <is>
          <t>Device MD-00095 hop evidenced solely by TR-00095.</t>
        </is>
      </c>
    </row>
    <row r="344">
      <c r="A344" s="7" t="inlineStr">
        <is>
          <t>MD-00095</t>
        </is>
      </c>
      <c r="B344" s="7" t="inlineStr">
        <is>
          <t>2026-05-12</t>
        </is>
      </c>
      <c r="C344" s="7" t="inlineStr">
        <is>
          <t>Offboarding Ticket</t>
        </is>
      </c>
      <c r="D344" s="7" t="inlineStr">
        <is>
          <t>E0083</t>
        </is>
      </c>
      <c r="E344" s="7" t="inlineStr">
        <is>
          <t>IT Service Desk</t>
        </is>
      </c>
      <c r="F344" s="7" t="inlineStr"/>
      <c r="G344" s="7" t="inlineStr">
        <is>
          <t>OFF-00095</t>
        </is>
      </c>
      <c r="H344" s="7" t="inlineStr">
        <is>
          <t>Technician Claim</t>
        </is>
      </c>
      <c r="I344" s="7" t="inlineStr">
        <is>
          <t>Offboarding ticket OFF-00095 touches MD-00095; custodian change still required if register lags.</t>
        </is>
      </c>
    </row>
    <row r="345">
      <c r="A345" s="7" t="inlineStr">
        <is>
          <t>MD-00095</t>
        </is>
      </c>
      <c r="B345" s="7" t="inlineStr">
        <is>
          <t>2026-05-12</t>
        </is>
      </c>
      <c r="C345" s="7" t="inlineStr">
        <is>
          <t>Technician Comment</t>
        </is>
      </c>
      <c r="D345" s="7" t="inlineStr">
        <is>
          <t>Service Desk</t>
        </is>
      </c>
      <c r="E345" s="7" t="inlineStr"/>
      <c r="F345" s="7" t="inlineStr"/>
      <c r="G345" s="7" t="inlineStr">
        <is>
          <t>OFF-00095</t>
        </is>
      </c>
      <c r="H345" s="7" t="inlineStr">
        <is>
          <t>Technician Claim</t>
        </is>
      </c>
      <c r="I345" s="7" t="inlineStr">
        <is>
          <t>Bench note OFF-00095 for MD-00095; needs independent corroboration.</t>
        </is>
      </c>
    </row>
    <row r="346">
      <c r="A346" s="7" t="inlineStr">
        <is>
          <t>MD-00095</t>
        </is>
      </c>
      <c r="B346" s="7" t="inlineStr">
        <is>
          <t>2026-08-05</t>
        </is>
      </c>
      <c r="C346" s="7" t="inlineStr">
        <is>
          <t>Regional IT Note Lead</t>
        </is>
      </c>
      <c r="D346" s="7" t="inlineStr">
        <is>
          <t>Regional IT</t>
        </is>
      </c>
      <c r="E346" s="7" t="inlineStr"/>
      <c r="F346" s="7" t="inlineStr">
        <is>
          <t>Denver - Closed</t>
        </is>
      </c>
      <c r="G346" s="7" t="inlineStr">
        <is>
          <t>regional_IT_notes.docx</t>
        </is>
      </c>
      <c r="H346" s="7" t="inlineStr">
        <is>
          <t>Technician Claim</t>
        </is>
      </c>
      <c r="I346" s="7" t="inlineStr">
        <is>
          <t>Regional note regional_IT_notes.docx on MD-00095 remains unverified. Parked as tip.</t>
        </is>
      </c>
    </row>
    <row r="347">
      <c r="A347" s="7" t="inlineStr">
        <is>
          <t>MD-00095</t>
        </is>
      </c>
      <c r="B347" s="7" t="inlineStr">
        <is>
          <t>2026-08-09</t>
        </is>
      </c>
      <c r="C347" s="7" t="inlineStr">
        <is>
          <t>Policy Control Figure</t>
        </is>
      </c>
      <c r="D347" s="7" t="inlineStr">
        <is>
          <t>ITAM-001</t>
        </is>
      </c>
      <c r="E347" s="7" t="inlineStr"/>
      <c r="F347" s="7" t="inlineStr"/>
      <c r="G347" s="7" t="inlineStr">
        <is>
          <t>ITAM_control_matrix.png; IT_asset_management_policy.pdf</t>
        </is>
      </c>
      <c r="H347" s="7" t="inlineStr">
        <is>
          <t>Confirmed Fact</t>
        </is>
      </c>
      <c r="I347" s="7" t="inlineStr">
        <is>
          <t>Reviewed control names on the PNG while documenting MD-00095; kept text records authoritative. Kept out of disposition logic.</t>
        </is>
      </c>
    </row>
    <row r="348">
      <c r="A348" s="7" t="inlineStr">
        <is>
          <t>MD-00095</t>
        </is>
      </c>
      <c r="B348" s="7" t="inlineStr">
        <is>
          <t>2026-08-09</t>
        </is>
      </c>
      <c r="C348" s="7" t="inlineStr">
        <is>
          <t>Unresolved Assumption</t>
        </is>
      </c>
      <c r="D348" s="7" t="inlineStr"/>
      <c r="E348" s="7" t="inlineStr"/>
      <c r="F348" s="7" t="inlineStr"/>
      <c r="G348" s="7" t="inlineStr">
        <is>
          <t>Reconciliation</t>
        </is>
      </c>
      <c r="H348" s="7" t="inlineStr">
        <is>
          <t>Unresolved Assumption</t>
        </is>
      </c>
      <c r="I348" s="7" t="inlineStr">
        <is>
          <t>Assumption gap for MD-00095 recorded as Reconciliation.</t>
        </is>
      </c>
    </row>
    <row r="349">
      <c r="A349" s="7" t="inlineStr">
        <is>
          <t>MD-00095</t>
        </is>
      </c>
      <c r="B349" s="7" t="inlineStr">
        <is>
          <t>2026-08-09</t>
        </is>
      </c>
      <c r="C349" s="7" t="inlineStr">
        <is>
          <t>Reconciliation Conclusion</t>
        </is>
      </c>
      <c r="D349" s="7" t="inlineStr">
        <is>
          <t>Evidence review</t>
        </is>
      </c>
      <c r="E349" s="7" t="inlineStr">
        <is>
          <t>E0083</t>
        </is>
      </c>
      <c r="F349" s="7" t="inlineStr">
        <is>
          <t>Unknown</t>
        </is>
      </c>
      <c r="G349" s="7" t="inlineStr">
        <is>
          <t>EX-0116, EX-0117</t>
        </is>
      </c>
      <c r="H349" s="7" t="inlineStr">
        <is>
          <t>Unresolved Assumption</t>
        </is>
      </c>
      <c r="I349" s="7" t="inlineStr">
        <is>
          <t>Reconciled MD-00095 to verified status Missing / Unknown. Open: EX-0116, EX-0117.</t>
        </is>
      </c>
    </row>
    <row r="350">
      <c r="A350" s="7" t="inlineStr">
        <is>
          <t>MD-00096</t>
        </is>
      </c>
      <c r="B350" s="7" t="inlineStr">
        <is>
          <t>2022-01-01</t>
        </is>
      </c>
      <c r="C350" s="7" t="inlineStr">
        <is>
          <t>Purchase</t>
        </is>
      </c>
      <c r="D350" s="7" t="inlineStr">
        <is>
          <t>Vendor</t>
        </is>
      </c>
      <c r="E350" s="7" t="inlineStr">
        <is>
          <t>Central Receiving</t>
        </is>
      </c>
      <c r="F350" s="7" t="inlineStr">
        <is>
          <t>Atlanta Warehouse</t>
        </is>
      </c>
      <c r="G350" s="7" t="inlineStr">
        <is>
          <t>PO-2023-0018</t>
        </is>
      </c>
      <c r="H350" s="7" t="inlineStr">
        <is>
          <t>Confirmed Fact</t>
        </is>
      </c>
      <c r="I350" s="7" t="inlineStr">
        <is>
          <t>MD-00096 enters inventory via PO-2023-0018; model Cisco C9300.</t>
        </is>
      </c>
    </row>
    <row r="351">
      <c r="A351" s="7" t="inlineStr">
        <is>
          <t>MD-00096</t>
        </is>
      </c>
      <c r="B351" s="7" t="inlineStr">
        <is>
          <t>2026-01-01</t>
        </is>
      </c>
      <c r="C351" s="7" t="inlineStr">
        <is>
          <t>Assignment/Transfer</t>
        </is>
      </c>
      <c r="D351" s="7" t="inlineStr">
        <is>
          <t>Central Receiving</t>
        </is>
      </c>
      <c r="E351" s="7" t="inlineStr">
        <is>
          <t>Unverified</t>
        </is>
      </c>
      <c r="F351" s="7" t="inlineStr">
        <is>
          <t>Unknown</t>
        </is>
      </c>
      <c r="G351" s="7" t="inlineStr">
        <is>
          <t>TR-00096</t>
        </is>
      </c>
      <c r="H351" s="7" t="inlineStr">
        <is>
          <t>Confirmed Fact</t>
        </is>
      </c>
      <c r="I351" s="7" t="inlineStr">
        <is>
          <t>Assignment/transfer row TR-00096 kept as-is for MD-00096 [t351-1].</t>
        </is>
      </c>
    </row>
    <row r="352">
      <c r="A352" s="7" t="inlineStr">
        <is>
          <t>MD-00096</t>
        </is>
      </c>
      <c r="B352" s="7" t="inlineStr">
        <is>
          <t>2026-06-13</t>
        </is>
      </c>
      <c r="C352" s="7" t="inlineStr">
        <is>
          <t>Offboarding Ticket</t>
        </is>
      </c>
      <c r="D352" s="7" t="inlineStr">
        <is>
          <t>E0084</t>
        </is>
      </c>
      <c r="E352" s="7" t="inlineStr">
        <is>
          <t>IT Service Desk</t>
        </is>
      </c>
      <c r="F352" s="7" t="inlineStr"/>
      <c r="G352" s="7" t="inlineStr">
        <is>
          <t>OFF-00096</t>
        </is>
      </c>
      <c r="H352" s="7" t="inlineStr">
        <is>
          <t>Technician Claim</t>
        </is>
      </c>
      <c r="I352" s="7" t="inlineStr">
        <is>
          <t>Ticket OFF-00096 is the offboarding spine for MD-00096.</t>
        </is>
      </c>
    </row>
    <row r="353">
      <c r="A353" s="7" t="inlineStr">
        <is>
          <t>MD-00096</t>
        </is>
      </c>
      <c r="B353" s="7" t="inlineStr">
        <is>
          <t>2026-06-13</t>
        </is>
      </c>
      <c r="C353" s="7" t="inlineStr">
        <is>
          <t>Technician Comment</t>
        </is>
      </c>
      <c r="D353" s="7" t="inlineStr">
        <is>
          <t>Service Desk</t>
        </is>
      </c>
      <c r="E353" s="7" t="inlineStr"/>
      <c r="F353" s="7" t="inlineStr"/>
      <c r="G353" s="7" t="inlineStr">
        <is>
          <t>OFF-00096</t>
        </is>
      </c>
      <c r="H353" s="7" t="inlineStr">
        <is>
          <t>Technician Claim</t>
        </is>
      </c>
      <c r="I353" s="7" t="inlineStr">
        <is>
          <t>Unverified tech comment OFF-00096 linked to MD-00096.</t>
        </is>
      </c>
    </row>
    <row r="354">
      <c r="A354" s="7" t="inlineStr">
        <is>
          <t>MD-00096</t>
        </is>
      </c>
      <c r="B354" s="7" t="inlineStr">
        <is>
          <t>2026-08-05</t>
        </is>
      </c>
      <c r="C354" s="7" t="inlineStr">
        <is>
          <t>Regional IT Note Lead</t>
        </is>
      </c>
      <c r="D354" s="7" t="inlineStr">
        <is>
          <t>Regional IT</t>
        </is>
      </c>
      <c r="E354" s="7" t="inlineStr"/>
      <c r="F354" s="7" t="inlineStr">
        <is>
          <t>Chicago - Closed</t>
        </is>
      </c>
      <c r="G354" s="7" t="inlineStr">
        <is>
          <t>regional_IT_notes.docx</t>
        </is>
      </c>
      <c r="H354" s="7" t="inlineStr">
        <is>
          <t>Technician Claim</t>
        </is>
      </c>
      <c r="I354" s="7" t="inlineStr">
        <is>
          <t>Unconfirmed site remark for MD-00096 stored as regional_IT_notes.docx. Not used for verified location.</t>
        </is>
      </c>
    </row>
    <row r="355">
      <c r="A355" s="7" t="inlineStr">
        <is>
          <t>MD-00096</t>
        </is>
      </c>
      <c r="B355" s="7" t="inlineStr">
        <is>
          <t>2026-08-09</t>
        </is>
      </c>
      <c r="C355" s="7" t="inlineStr">
        <is>
          <t>Policy Control Figure</t>
        </is>
      </c>
      <c r="D355" s="7" t="inlineStr">
        <is>
          <t>ITAM-001</t>
        </is>
      </c>
      <c r="E355" s="7" t="inlineStr"/>
      <c r="F355" s="7" t="inlineStr"/>
      <c r="G355" s="7" t="inlineStr">
        <is>
          <t>ITAM_control_matrix.png</t>
        </is>
      </c>
      <c r="H355" s="7" t="inlineStr">
        <is>
          <t>Confirmed Fact</t>
        </is>
      </c>
      <c r="I355" s="7" t="inlineStr">
        <is>
          <t>ITAM matrix image used to confirm expected evidence classes for MD-00096. Left as orientation.</t>
        </is>
      </c>
    </row>
    <row r="356">
      <c r="A356" s="7" t="inlineStr">
        <is>
          <t>MD-00096</t>
        </is>
      </c>
      <c r="B356" s="7" t="inlineStr">
        <is>
          <t>2026-08-09</t>
        </is>
      </c>
      <c r="C356" s="7" t="inlineStr">
        <is>
          <t>Unresolved Assumption</t>
        </is>
      </c>
      <c r="D356" s="7" t="inlineStr"/>
      <c r="E356" s="7" t="inlineStr"/>
      <c r="F356" s="7" t="inlineStr"/>
      <c r="G356" s="7" t="inlineStr">
        <is>
          <t>Reconciliation</t>
        </is>
      </c>
      <c r="H356" s="7" t="inlineStr">
        <is>
          <t>Unresolved Assumption</t>
        </is>
      </c>
      <c r="I356" s="7" t="inlineStr">
        <is>
          <t>Assumption gap for MD-00096 recorded as Reconciliation.</t>
        </is>
      </c>
    </row>
    <row r="357">
      <c r="A357" s="7" t="inlineStr">
        <is>
          <t>MD-00096</t>
        </is>
      </c>
      <c r="B357" s="7" t="inlineStr">
        <is>
          <t>2026-08-09</t>
        </is>
      </c>
      <c r="C357" s="7" t="inlineStr">
        <is>
          <t>Reconciliation Conclusion</t>
        </is>
      </c>
      <c r="D357" s="7" t="inlineStr">
        <is>
          <t>Evidence review</t>
        </is>
      </c>
      <c r="E357" s="7" t="inlineStr">
        <is>
          <t>E0084</t>
        </is>
      </c>
      <c r="F357" s="7" t="inlineStr">
        <is>
          <t>Unknown</t>
        </is>
      </c>
      <c r="G357" s="7" t="inlineStr">
        <is>
          <t>EX-0118, EX-0119</t>
        </is>
      </c>
      <c r="H357" s="7" t="inlineStr">
        <is>
          <t>Unresolved Assumption</t>
        </is>
      </c>
      <c r="I357" s="7" t="inlineStr">
        <is>
          <t>Closed the chain for MD-00096 at Unknown with status Missing. Flags EX-0118, EX-0119.</t>
        </is>
      </c>
    </row>
    <row r="358">
      <c r="A358" s="7" t="inlineStr">
        <is>
          <t>MD-00097</t>
        </is>
      </c>
      <c r="B358" s="7" t="inlineStr">
        <is>
          <t>2023-02-02</t>
        </is>
      </c>
      <c r="C358" s="7" t="inlineStr">
        <is>
          <t>Purchase</t>
        </is>
      </c>
      <c r="D358" s="7" t="inlineStr">
        <is>
          <t>Vendor</t>
        </is>
      </c>
      <c r="E358" s="7" t="inlineStr">
        <is>
          <t>Central Receiving</t>
        </is>
      </c>
      <c r="F358" s="7" t="inlineStr">
        <is>
          <t>Atlanta Warehouse</t>
        </is>
      </c>
      <c r="G358" s="7" t="inlineStr">
        <is>
          <t>PO-2023-0018</t>
        </is>
      </c>
      <c r="H358" s="7" t="inlineStr">
        <is>
          <t>Confirmed Fact</t>
        </is>
      </c>
      <c r="I358" s="7" t="inlineStr">
        <is>
          <t>PO line PO-2023-0018 is the acquisition spine for MD-00097 (Aruba 6300M).</t>
        </is>
      </c>
    </row>
    <row r="359">
      <c r="A359" s="7" t="inlineStr">
        <is>
          <t>MD-00097</t>
        </is>
      </c>
      <c r="B359" s="7" t="inlineStr">
        <is>
          <t>2026-02-02</t>
        </is>
      </c>
      <c r="C359" s="7" t="inlineStr">
        <is>
          <t>Assignment/Transfer</t>
        </is>
      </c>
      <c r="D359" s="7" t="inlineStr">
        <is>
          <t>Central Receiving</t>
        </is>
      </c>
      <c r="E359" s="7" t="inlineStr">
        <is>
          <t>Unverified</t>
        </is>
      </c>
      <c r="F359" s="7" t="inlineStr">
        <is>
          <t>Unknown</t>
        </is>
      </c>
      <c r="G359" s="7" t="inlineStr">
        <is>
          <t>TR-00097</t>
        </is>
      </c>
      <c r="H359" s="7" t="inlineStr">
        <is>
          <t>Confirmed Fact</t>
        </is>
      </c>
      <c r="I359" s="7" t="inlineStr">
        <is>
          <t>Record reference TR-00097 is the assignment spine for MD-00097.</t>
        </is>
      </c>
    </row>
    <row r="360">
      <c r="A360" s="7" t="inlineStr">
        <is>
          <t>MD-00097</t>
        </is>
      </c>
      <c r="B360" s="7" t="inlineStr">
        <is>
          <t>2026-05-14</t>
        </is>
      </c>
      <c r="C360" s="7" t="inlineStr">
        <is>
          <t>Offboarding Ticket</t>
        </is>
      </c>
      <c r="D360" s="7" t="inlineStr">
        <is>
          <t>E0085</t>
        </is>
      </c>
      <c r="E360" s="7" t="inlineStr">
        <is>
          <t>IT Service Desk</t>
        </is>
      </c>
      <c r="F360" s="7" t="inlineStr"/>
      <c r="G360" s="7" t="inlineStr">
        <is>
          <t>OFF-00097</t>
        </is>
      </c>
      <c r="H360" s="7" t="inlineStr">
        <is>
          <t>Technician Claim</t>
        </is>
      </c>
      <c r="I360" s="7" t="inlineStr">
        <is>
          <t>MD-00097 appears on offboarding OFF-00097; confirm register update.</t>
        </is>
      </c>
    </row>
    <row r="361">
      <c r="A361" s="7" t="inlineStr">
        <is>
          <t>MD-00097</t>
        </is>
      </c>
      <c r="B361" s="7" t="inlineStr">
        <is>
          <t>2026-05-14</t>
        </is>
      </c>
      <c r="C361" s="7" t="inlineStr">
        <is>
          <t>Technician Comment</t>
        </is>
      </c>
      <c r="D361" s="7" t="inlineStr">
        <is>
          <t>Service Desk</t>
        </is>
      </c>
      <c r="E361" s="7" t="inlineStr"/>
      <c r="F361" s="7" t="inlineStr"/>
      <c r="G361" s="7" t="inlineStr">
        <is>
          <t>OFF-00097</t>
        </is>
      </c>
      <c r="H361" s="7" t="inlineStr">
        <is>
          <t>Technician Claim</t>
        </is>
      </c>
      <c r="I361" s="7" t="inlineStr">
        <is>
          <t>Bench note OFF-00097 for MD-00097; needs independent corroboration.</t>
        </is>
      </c>
    </row>
    <row r="362">
      <c r="A362" s="7" t="inlineStr">
        <is>
          <t>MD-00097</t>
        </is>
      </c>
      <c r="B362" s="7" t="inlineStr">
        <is>
          <t>2026-08-05</t>
        </is>
      </c>
      <c r="C362" s="7" t="inlineStr">
        <is>
          <t>Regional IT Note Lead</t>
        </is>
      </c>
      <c r="D362" s="7" t="inlineStr">
        <is>
          <t>Regional IT</t>
        </is>
      </c>
      <c r="E362" s="7" t="inlineStr"/>
      <c r="F362" s="7" t="inlineStr">
        <is>
          <t>Denver - Closed</t>
        </is>
      </c>
      <c r="G362" s="7" t="inlineStr">
        <is>
          <t>regional_IT_notes.docx</t>
        </is>
      </c>
      <c r="H362" s="7" t="inlineStr">
        <is>
          <t>Technician Claim</t>
        </is>
      </c>
      <c r="I362" s="7" t="inlineStr">
        <is>
          <t>Soft lead regional_IT_notes.docx for MD-00097 — ignore for clearance without scans/tickets. Held as investigative crumb.</t>
        </is>
      </c>
    </row>
    <row r="363">
      <c r="A363" s="7" t="inlineStr">
        <is>
          <t>MD-00097</t>
        </is>
      </c>
      <c r="B363" s="7" t="inlineStr">
        <is>
          <t>2026-08-09</t>
        </is>
      </c>
      <c r="C363" s="7" t="inlineStr">
        <is>
          <t>Policy Control Figure</t>
        </is>
      </c>
      <c r="D363" s="7" t="inlineStr">
        <is>
          <t>ITAM-001</t>
        </is>
      </c>
      <c r="E363" s="7" t="inlineStr"/>
      <c r="F363" s="7" t="inlineStr"/>
      <c r="G363" s="7" t="inlineStr">
        <is>
          <t>ITAM_control_matrix.png Appendix A</t>
        </is>
      </c>
      <c r="H363" s="7" t="inlineStr">
        <is>
          <t>Confirmed Fact</t>
        </is>
      </c>
      <c r="I363" s="7" t="inlineStr">
        <is>
          <t>For MD-00097, the policy figure clarifies evidence precedence without adding new facts. No clearance inferred.</t>
        </is>
      </c>
    </row>
    <row r="364">
      <c r="A364" s="7" t="inlineStr">
        <is>
          <t>MD-00097</t>
        </is>
      </c>
      <c r="B364" s="7" t="inlineStr">
        <is>
          <t>2026-08-09</t>
        </is>
      </c>
      <c r="C364" s="7" t="inlineStr">
        <is>
          <t>Unresolved Assumption</t>
        </is>
      </c>
      <c r="D364" s="7" t="inlineStr"/>
      <c r="E364" s="7" t="inlineStr"/>
      <c r="F364" s="7" t="inlineStr"/>
      <c r="G364" s="7" t="inlineStr">
        <is>
          <t>Reconciliation</t>
        </is>
      </c>
      <c r="H364" s="7" t="inlineStr">
        <is>
          <t>Unresolved Assumption</t>
        </is>
      </c>
      <c r="I364" s="7" t="inlineStr">
        <is>
          <t>Assumption gap for MD-00097 recorded as Reconciliation.</t>
        </is>
      </c>
    </row>
    <row r="365">
      <c r="A365" s="7" t="inlineStr">
        <is>
          <t>MD-00097</t>
        </is>
      </c>
      <c r="B365" s="7" t="inlineStr">
        <is>
          <t>2026-08-09</t>
        </is>
      </c>
      <c r="C365" s="7" t="inlineStr">
        <is>
          <t>Reconciliation Conclusion</t>
        </is>
      </c>
      <c r="D365" s="7" t="inlineStr">
        <is>
          <t>Evidence review</t>
        </is>
      </c>
      <c r="E365" s="7" t="inlineStr">
        <is>
          <t>E0085</t>
        </is>
      </c>
      <c r="F365" s="7" t="inlineStr">
        <is>
          <t>Unknown</t>
        </is>
      </c>
      <c r="G365" s="7" t="inlineStr">
        <is>
          <t>EX-0120, EX-0121</t>
        </is>
      </c>
      <c r="H365" s="7" t="inlineStr">
        <is>
          <t>Unresolved Assumption</t>
        </is>
      </c>
      <c r="I365" s="7" t="inlineStr">
        <is>
          <t>MD-00097 reconciliation result written as Missing / Unknown. Exception refs EX-0120, EX-0121.</t>
        </is>
      </c>
    </row>
    <row r="366">
      <c r="A366" s="7" t="inlineStr">
        <is>
          <t>MD-00098</t>
        </is>
      </c>
      <c r="B366" s="7" t="inlineStr">
        <is>
          <t>2024-03-03</t>
        </is>
      </c>
      <c r="C366" s="7" t="inlineStr">
        <is>
          <t>Purchase</t>
        </is>
      </c>
      <c r="D366" s="7" t="inlineStr">
        <is>
          <t>Vendor</t>
        </is>
      </c>
      <c r="E366" s="7" t="inlineStr">
        <is>
          <t>Central Receiving</t>
        </is>
      </c>
      <c r="F366" s="7" t="inlineStr">
        <is>
          <t>Atlanta Warehouse</t>
        </is>
      </c>
      <c r="G366" s="7" t="inlineStr">
        <is>
          <t>PO-2024-0019</t>
        </is>
      </c>
      <c r="H366" s="7" t="inlineStr">
        <is>
          <t>Confirmed Fact</t>
        </is>
      </c>
      <c r="I366" s="7" t="inlineStr">
        <is>
          <t>Buy recorded for MD-00098 under PO-2024-0019; Juniper EX3400 received into inventory.</t>
        </is>
      </c>
    </row>
    <row r="367">
      <c r="A367" s="7" t="inlineStr">
        <is>
          <t>MD-00098</t>
        </is>
      </c>
      <c r="B367" s="7" t="inlineStr">
        <is>
          <t>2026-03-03</t>
        </is>
      </c>
      <c r="C367" s="7" t="inlineStr">
        <is>
          <t>Assignment/Transfer</t>
        </is>
      </c>
      <c r="D367" s="7" t="inlineStr">
        <is>
          <t>Central Receiving</t>
        </is>
      </c>
      <c r="E367" s="7" t="inlineStr">
        <is>
          <t>Unverified</t>
        </is>
      </c>
      <c r="F367" s="7" t="inlineStr">
        <is>
          <t>Unknown</t>
        </is>
      </c>
      <c r="G367" s="7" t="inlineStr">
        <is>
          <t>TR-00098</t>
        </is>
      </c>
      <c r="H367" s="7" t="inlineStr">
        <is>
          <t>Confirmed Fact</t>
        </is>
      </c>
      <c r="I367" s="7" t="inlineStr">
        <is>
          <t>Transfer log TR-00098 governs the MD-00098 assignment event.</t>
        </is>
      </c>
    </row>
    <row r="368">
      <c r="A368" s="7" t="inlineStr">
        <is>
          <t>MD-00098</t>
        </is>
      </c>
      <c r="B368" s="7" t="inlineStr">
        <is>
          <t>2026-06-15</t>
        </is>
      </c>
      <c r="C368" s="7" t="inlineStr">
        <is>
          <t>Offboarding Ticket</t>
        </is>
      </c>
      <c r="D368" s="7" t="inlineStr">
        <is>
          <t>E0086</t>
        </is>
      </c>
      <c r="E368" s="7" t="inlineStr">
        <is>
          <t>IT Service Desk</t>
        </is>
      </c>
      <c r="F368" s="7" t="inlineStr"/>
      <c r="G368" s="7" t="inlineStr">
        <is>
          <t>OFF-00098</t>
        </is>
      </c>
      <c r="H368" s="7" t="inlineStr">
        <is>
          <t>Technician Claim</t>
        </is>
      </c>
      <c r="I368" s="7" t="inlineStr">
        <is>
          <t>Offboarding ticket OFF-00098 touches MD-00098; custodian change still required if register lags.</t>
        </is>
      </c>
    </row>
    <row r="369">
      <c r="A369" s="7" t="inlineStr">
        <is>
          <t>MD-00098</t>
        </is>
      </c>
      <c r="B369" s="7" t="inlineStr">
        <is>
          <t>2026-06-15</t>
        </is>
      </c>
      <c r="C369" s="7" t="inlineStr">
        <is>
          <t>Technician Comment</t>
        </is>
      </c>
      <c r="D369" s="7" t="inlineStr">
        <is>
          <t>Service Desk</t>
        </is>
      </c>
      <c r="E369" s="7" t="inlineStr"/>
      <c r="F369" s="7" t="inlineStr"/>
      <c r="G369" s="7" t="inlineStr">
        <is>
          <t>OFF-00098</t>
        </is>
      </c>
      <c r="H369" s="7" t="inlineStr">
        <is>
          <t>Technician Claim</t>
        </is>
      </c>
      <c r="I369" s="7" t="inlineStr">
        <is>
          <t>Unverified tech comment OFF-00098 linked to MD-00098.</t>
        </is>
      </c>
    </row>
    <row r="370">
      <c r="A370" s="7" t="inlineStr">
        <is>
          <t>MD-00098</t>
        </is>
      </c>
      <c r="B370" s="7" t="inlineStr">
        <is>
          <t>2026-08-05</t>
        </is>
      </c>
      <c r="C370" s="7" t="inlineStr">
        <is>
          <t>Regional IT Note Lead</t>
        </is>
      </c>
      <c r="D370" s="7" t="inlineStr">
        <is>
          <t>Regional IT</t>
        </is>
      </c>
      <c r="E370" s="7" t="inlineStr"/>
      <c r="F370" s="7" t="inlineStr">
        <is>
          <t>Chicago - Closed</t>
        </is>
      </c>
      <c r="G370" s="7" t="inlineStr">
        <is>
          <t>regional_IT_notes.docx</t>
        </is>
      </c>
      <c r="H370" s="7" t="inlineStr">
        <is>
          <t>Technician Claim</t>
        </is>
      </c>
      <c r="I370" s="7" t="inlineStr">
        <is>
          <t>Technician aside about MD-00098 recorded under regional_IT_notes.docx; needs corroboration. Requires independent find.</t>
        </is>
      </c>
    </row>
    <row r="371">
      <c r="A371" s="7" t="inlineStr">
        <is>
          <t>MD-00098</t>
        </is>
      </c>
      <c r="B371" s="7" t="inlineStr">
        <is>
          <t>2026-08-09</t>
        </is>
      </c>
      <c r="C371" s="7" t="inlineStr">
        <is>
          <t>Policy Control Figure</t>
        </is>
      </c>
      <c r="D371" s="7" t="inlineStr">
        <is>
          <t>ITAM-001</t>
        </is>
      </c>
      <c r="E371" s="7" t="inlineStr"/>
      <c r="F371" s="7" t="inlineStr"/>
      <c r="G371" s="7" t="inlineStr">
        <is>
          <t>IT_asset_management_policy.pdf</t>
        </is>
      </c>
      <c r="H371" s="7" t="inlineStr">
        <is>
          <t>Confirmed Fact</t>
        </is>
      </c>
      <c r="I371" s="7" t="inlineStr">
        <is>
          <t>ITAM_control_matrix.png cited once in the MD-00098 chain as a lead. Logged as multimodal lead.</t>
        </is>
      </c>
    </row>
    <row r="372">
      <c r="A372" s="7" t="inlineStr">
        <is>
          <t>MD-00098</t>
        </is>
      </c>
      <c r="B372" s="7" t="inlineStr">
        <is>
          <t>2026-08-09</t>
        </is>
      </c>
      <c r="C372" s="7" t="inlineStr">
        <is>
          <t>Unresolved Assumption</t>
        </is>
      </c>
      <c r="D372" s="7" t="inlineStr"/>
      <c r="E372" s="7" t="inlineStr"/>
      <c r="F372" s="7" t="inlineStr"/>
      <c r="G372" s="7" t="inlineStr">
        <is>
          <t>Reconciliation</t>
        </is>
      </c>
      <c r="H372" s="7" t="inlineStr">
        <is>
          <t>Unresolved Assumption</t>
        </is>
      </c>
      <c r="I372" s="7" t="inlineStr">
        <is>
          <t>Assumption gap for MD-00098 recorded as Reconciliation.</t>
        </is>
      </c>
    </row>
    <row r="373">
      <c r="A373" s="7" t="inlineStr">
        <is>
          <t>MD-00098</t>
        </is>
      </c>
      <c r="B373" s="7" t="inlineStr">
        <is>
          <t>2026-08-09</t>
        </is>
      </c>
      <c r="C373" s="7" t="inlineStr">
        <is>
          <t>Reconciliation Conclusion</t>
        </is>
      </c>
      <c r="D373" s="7" t="inlineStr">
        <is>
          <t>Evidence review</t>
        </is>
      </c>
      <c r="E373" s="7" t="inlineStr">
        <is>
          <t>E0086</t>
        </is>
      </c>
      <c r="F373" s="7" t="inlineStr">
        <is>
          <t>Unknown</t>
        </is>
      </c>
      <c r="G373" s="7" t="inlineStr">
        <is>
          <t>EX-0122, EX-0123</t>
        </is>
      </c>
      <c r="H373" s="7" t="inlineStr">
        <is>
          <t>Unresolved Assumption</t>
        </is>
      </c>
      <c r="I373" s="7" t="inlineStr">
        <is>
          <t>Summary for MD-00098: verified Missing @ Unknown. Outstanding EX-0122, EX-0123.</t>
        </is>
      </c>
    </row>
    <row r="374">
      <c r="A374" s="7" t="inlineStr">
        <is>
          <t>MD-00099</t>
        </is>
      </c>
      <c r="B374" s="7" t="inlineStr">
        <is>
          <t>2025-04-04</t>
        </is>
      </c>
      <c r="C374" s="7" t="inlineStr">
        <is>
          <t>Purchase</t>
        </is>
      </c>
      <c r="D374" s="7" t="inlineStr">
        <is>
          <t>Vendor</t>
        </is>
      </c>
      <c r="E374" s="7" t="inlineStr">
        <is>
          <t>Central Receiving</t>
        </is>
      </c>
      <c r="F374" s="7" t="inlineStr">
        <is>
          <t>Atlanta Warehouse</t>
        </is>
      </c>
      <c r="G374" s="7" t="inlineStr">
        <is>
          <t>PO-2024-0019</t>
        </is>
      </c>
      <c r="H374" s="7" t="inlineStr">
        <is>
          <t>Confirmed Fact</t>
        </is>
      </c>
      <c r="I374" s="7" t="inlineStr">
        <is>
          <t>PO line PO-2024-0019 is the acquisition spine for MD-00099 (Cisco Meraki MS250).</t>
        </is>
      </c>
    </row>
    <row r="375">
      <c r="A375" s="7" t="inlineStr">
        <is>
          <t>MD-00099</t>
        </is>
      </c>
      <c r="B375" s="7" t="inlineStr">
        <is>
          <t>2026-04-04</t>
        </is>
      </c>
      <c r="C375" s="7" t="inlineStr">
        <is>
          <t>Assignment/Transfer</t>
        </is>
      </c>
      <c r="D375" s="7" t="inlineStr">
        <is>
          <t>Central Receiving</t>
        </is>
      </c>
      <c r="E375" s="7" t="inlineStr">
        <is>
          <t>Unverified</t>
        </is>
      </c>
      <c r="F375" s="7" t="inlineStr">
        <is>
          <t>Unknown</t>
        </is>
      </c>
      <c r="G375" s="7" t="inlineStr">
        <is>
          <t>TR-00099</t>
        </is>
      </c>
      <c r="H375" s="7" t="inlineStr">
        <is>
          <t>Confirmed Fact</t>
        </is>
      </c>
      <c r="I375" s="7" t="inlineStr">
        <is>
          <t>Hand-off documentation for MD-00099 = TR-00099 [t375-1].</t>
        </is>
      </c>
    </row>
    <row r="376">
      <c r="A376" s="7" t="inlineStr">
        <is>
          <t>MD-00099</t>
        </is>
      </c>
      <c r="B376" s="7" t="inlineStr">
        <is>
          <t>2026-05-16</t>
        </is>
      </c>
      <c r="C376" s="7" t="inlineStr">
        <is>
          <t>Offboarding Ticket</t>
        </is>
      </c>
      <c r="D376" s="7" t="inlineStr">
        <is>
          <t>E0087</t>
        </is>
      </c>
      <c r="E376" s="7" t="inlineStr">
        <is>
          <t>IT Service Desk</t>
        </is>
      </c>
      <c r="F376" s="7" t="inlineStr"/>
      <c r="G376" s="7" t="inlineStr">
        <is>
          <t>OFF-00099</t>
        </is>
      </c>
      <c r="H376" s="7" t="inlineStr">
        <is>
          <t>Technician Claim</t>
        </is>
      </c>
      <c r="I376" s="7" t="inlineStr">
        <is>
          <t>Ticket OFF-00099 is the offboarding spine for MD-00099.</t>
        </is>
      </c>
    </row>
    <row r="377">
      <c r="A377" s="7" t="inlineStr">
        <is>
          <t>MD-00099</t>
        </is>
      </c>
      <c r="B377" s="7" t="inlineStr">
        <is>
          <t>2026-05-16</t>
        </is>
      </c>
      <c r="C377" s="7" t="inlineStr">
        <is>
          <t>Technician Comment</t>
        </is>
      </c>
      <c r="D377" s="7" t="inlineStr">
        <is>
          <t>Service Desk</t>
        </is>
      </c>
      <c r="E377" s="7" t="inlineStr"/>
      <c r="F377" s="7" t="inlineStr"/>
      <c r="G377" s="7" t="inlineStr">
        <is>
          <t>OFF-00099</t>
        </is>
      </c>
      <c r="H377" s="7" t="inlineStr">
        <is>
          <t>Technician Claim</t>
        </is>
      </c>
      <c r="I377" s="7" t="inlineStr">
        <is>
          <t>Bench note OFF-00099 for MD-00099; needs independent corroboration.</t>
        </is>
      </c>
    </row>
    <row r="378">
      <c r="A378" s="7" t="inlineStr">
        <is>
          <t>MD-00099</t>
        </is>
      </c>
      <c r="B378" s="7" t="inlineStr">
        <is>
          <t>2026-08-05</t>
        </is>
      </c>
      <c r="C378" s="7" t="inlineStr">
        <is>
          <t>Regional IT Note Lead</t>
        </is>
      </c>
      <c r="D378" s="7" t="inlineStr">
        <is>
          <t>Regional IT</t>
        </is>
      </c>
      <c r="E378" s="7" t="inlineStr"/>
      <c r="F378" s="7" t="inlineStr">
        <is>
          <t>Denver - Closed</t>
        </is>
      </c>
      <c r="G378" s="7" t="inlineStr">
        <is>
          <t>regional_IT_notes.docx</t>
        </is>
      </c>
      <c r="H378" s="7" t="inlineStr">
        <is>
          <t>Technician Claim</t>
        </is>
      </c>
      <c r="I378" s="7" t="inlineStr">
        <is>
          <t>Regional note regional_IT_notes.docx on MD-00099 remains unverified. Follow-up only.</t>
        </is>
      </c>
    </row>
    <row r="379">
      <c r="A379" s="7" t="inlineStr">
        <is>
          <t>MD-00099</t>
        </is>
      </c>
      <c r="B379" s="7" t="inlineStr">
        <is>
          <t>2026-08-09</t>
        </is>
      </c>
      <c r="C379" s="7" t="inlineStr">
        <is>
          <t>Policy Control Figure</t>
        </is>
      </c>
      <c r="D379" s="7" t="inlineStr">
        <is>
          <t>ITAM-001</t>
        </is>
      </c>
      <c r="E379" s="7" t="inlineStr"/>
      <c r="F379" s="7" t="inlineStr"/>
      <c r="G379" s="7" t="inlineStr">
        <is>
          <t>IT_asset_management_policy.pdf §§4–9; ITAM_control_matrix.png</t>
        </is>
      </c>
      <c r="H379" s="7" t="inlineStr">
        <is>
          <t>Confirmed Fact</t>
        </is>
      </c>
      <c r="I379" s="7" t="inlineStr">
        <is>
          <t>Multimodal policy figure cited for MD-00099; text sources remain authoritative. Left as orientation.</t>
        </is>
      </c>
    </row>
    <row r="380">
      <c r="A380" s="7" t="inlineStr">
        <is>
          <t>MD-00099</t>
        </is>
      </c>
      <c r="B380" s="7" t="inlineStr">
        <is>
          <t>2026-08-09</t>
        </is>
      </c>
      <c r="C380" s="7" t="inlineStr">
        <is>
          <t>Unresolved Assumption</t>
        </is>
      </c>
      <c r="D380" s="7" t="inlineStr"/>
      <c r="E380" s="7" t="inlineStr"/>
      <c r="F380" s="7" t="inlineStr"/>
      <c r="G380" s="7" t="inlineStr">
        <is>
          <t>Reconciliation</t>
        </is>
      </c>
      <c r="H380" s="7" t="inlineStr">
        <is>
          <t>Unresolved Assumption</t>
        </is>
      </c>
      <c r="I380" s="7" t="inlineStr">
        <is>
          <t>Assumption gap for MD-00099 recorded as Reconciliation.</t>
        </is>
      </c>
    </row>
    <row r="381">
      <c r="A381" s="7" t="inlineStr">
        <is>
          <t>MD-00099</t>
        </is>
      </c>
      <c r="B381" s="7" t="inlineStr">
        <is>
          <t>2026-08-09</t>
        </is>
      </c>
      <c r="C381" s="7" t="inlineStr">
        <is>
          <t>Reconciliation Conclusion</t>
        </is>
      </c>
      <c r="D381" s="7" t="inlineStr">
        <is>
          <t>Evidence review</t>
        </is>
      </c>
      <c r="E381" s="7" t="inlineStr">
        <is>
          <t>E0087</t>
        </is>
      </c>
      <c r="F381" s="7" t="inlineStr">
        <is>
          <t>Unknown</t>
        </is>
      </c>
      <c r="G381" s="7" t="inlineStr">
        <is>
          <t>EX-0124, EX-0125</t>
        </is>
      </c>
      <c r="H381" s="7" t="inlineStr">
        <is>
          <t>Unresolved Assumption</t>
        </is>
      </c>
      <c r="I381" s="7" t="inlineStr">
        <is>
          <t>Chain closed on MD-00099 with operational reading Missing. Linked EX-0124, EX-0125.</t>
        </is>
      </c>
    </row>
    <row r="382">
      <c r="A382" s="7" t="inlineStr">
        <is>
          <t>MD-00100</t>
        </is>
      </c>
      <c r="B382" s="7" t="inlineStr">
        <is>
          <t>2022-05-05</t>
        </is>
      </c>
      <c r="C382" s="7" t="inlineStr">
        <is>
          <t>Purchase</t>
        </is>
      </c>
      <c r="D382" s="7" t="inlineStr">
        <is>
          <t>Vendor</t>
        </is>
      </c>
      <c r="E382" s="7" t="inlineStr">
        <is>
          <t>Central Receiving</t>
        </is>
      </c>
      <c r="F382" s="7" t="inlineStr">
        <is>
          <t>Atlanta Warehouse</t>
        </is>
      </c>
      <c r="G382" s="7" t="inlineStr">
        <is>
          <t>PO-2024-0019</t>
        </is>
      </c>
      <c r="H382" s="7" t="inlineStr">
        <is>
          <t>Confirmed Fact</t>
        </is>
      </c>
      <c r="I382" s="7" t="inlineStr">
        <is>
          <t>PO-2024-0019 → MD-00100 / HP EliteBook 840 G10, basis $6,290.</t>
        </is>
      </c>
    </row>
    <row r="383">
      <c r="A383" s="7" t="inlineStr">
        <is>
          <t>MD-00100</t>
        </is>
      </c>
      <c r="B383" s="7" t="inlineStr">
        <is>
          <t>2026-05-05</t>
        </is>
      </c>
      <c r="C383" s="7" t="inlineStr">
        <is>
          <t>Assignment/Transfer</t>
        </is>
      </c>
      <c r="D383" s="7" t="inlineStr">
        <is>
          <t>Central Receiving</t>
        </is>
      </c>
      <c r="E383" s="7" t="inlineStr">
        <is>
          <t>Unverified</t>
        </is>
      </c>
      <c r="F383" s="7" t="inlineStr">
        <is>
          <t>Unknown</t>
        </is>
      </c>
      <c r="G383" s="7" t="inlineStr">
        <is>
          <t>TR-00100</t>
        </is>
      </c>
      <c r="H383" s="7" t="inlineStr">
        <is>
          <t>Confirmed Fact</t>
        </is>
      </c>
      <c r="I383" s="7" t="inlineStr">
        <is>
          <t>Assignment evidence retained: TR-00100 for MD-00100.</t>
        </is>
      </c>
    </row>
    <row r="384">
      <c r="A384" s="7" t="inlineStr">
        <is>
          <t>MD-00100</t>
        </is>
      </c>
      <c r="B384" s="7" t="inlineStr">
        <is>
          <t>2026-06-17</t>
        </is>
      </c>
      <c r="C384" s="7" t="inlineStr">
        <is>
          <t>Offboarding Ticket</t>
        </is>
      </c>
      <c r="D384" s="7" t="inlineStr">
        <is>
          <t>E0088</t>
        </is>
      </c>
      <c r="E384" s="7" t="inlineStr">
        <is>
          <t>IT Service Desk</t>
        </is>
      </c>
      <c r="F384" s="7" t="inlineStr"/>
      <c r="G384" s="7" t="inlineStr">
        <is>
          <t>OFF-00100</t>
        </is>
      </c>
      <c r="H384" s="7" t="inlineStr">
        <is>
          <t>Technician Claim</t>
        </is>
      </c>
      <c r="I384" s="7" t="inlineStr">
        <is>
          <t>Offboard record OFF-00100 flags MD-00100 for custodian cleanup.</t>
        </is>
      </c>
    </row>
    <row r="385">
      <c r="A385" s="7" t="inlineStr">
        <is>
          <t>MD-00100</t>
        </is>
      </c>
      <c r="B385" s="7" t="inlineStr">
        <is>
          <t>2026-06-17</t>
        </is>
      </c>
      <c r="C385" s="7" t="inlineStr">
        <is>
          <t>Technician Comment</t>
        </is>
      </c>
      <c r="D385" s="7" t="inlineStr">
        <is>
          <t>Service Desk</t>
        </is>
      </c>
      <c r="E385" s="7" t="inlineStr"/>
      <c r="F385" s="7" t="inlineStr"/>
      <c r="G385" s="7" t="inlineStr">
        <is>
          <t>OFF-00100</t>
        </is>
      </c>
      <c r="H385" s="7" t="inlineStr">
        <is>
          <t>Technician Claim</t>
        </is>
      </c>
      <c r="I385" s="7" t="inlineStr">
        <is>
          <t>Bench note OFF-00100 for MD-00100; needs independent corroboration.</t>
        </is>
      </c>
    </row>
    <row r="386">
      <c r="A386" s="7" t="inlineStr">
        <is>
          <t>MD-00100</t>
        </is>
      </c>
      <c r="B386" s="7" t="inlineStr">
        <is>
          <t>2026-08-05</t>
        </is>
      </c>
      <c r="C386" s="7" t="inlineStr">
        <is>
          <t>Regional IT Note Lead</t>
        </is>
      </c>
      <c r="D386" s="7" t="inlineStr">
        <is>
          <t>Regional IT</t>
        </is>
      </c>
      <c r="E386" s="7" t="inlineStr"/>
      <c r="F386" s="7" t="inlineStr">
        <is>
          <t>Chicago - Closed</t>
        </is>
      </c>
      <c r="G386" s="7" t="inlineStr">
        <is>
          <t>regional_IT_notes.docx</t>
        </is>
      </c>
      <c r="H386" s="7" t="inlineStr">
        <is>
          <t>Technician Claim</t>
        </is>
      </c>
      <c r="I386" s="7" t="inlineStr">
        <is>
          <t>Soft lead regional_IT_notes.docx for MD-00100 — ignore for clearance without scans/tickets. Held as investigative crumb.</t>
        </is>
      </c>
    </row>
    <row r="387">
      <c r="A387" s="7" t="inlineStr">
        <is>
          <t>MD-00100</t>
        </is>
      </c>
      <c r="B387" s="7" t="inlineStr">
        <is>
          <t>2026-08-09</t>
        </is>
      </c>
      <c r="C387" s="7" t="inlineStr">
        <is>
          <t>Policy Control Figure</t>
        </is>
      </c>
      <c r="D387" s="7" t="inlineStr">
        <is>
          <t>ITAM-001</t>
        </is>
      </c>
      <c r="E387" s="7" t="inlineStr"/>
      <c r="F387" s="7" t="inlineStr"/>
      <c r="G387" s="7" t="inlineStr">
        <is>
          <t>IT_asset_management_policy.pdf</t>
        </is>
      </c>
      <c r="H387" s="7" t="inlineStr">
        <is>
          <t>Confirmed Fact</t>
        </is>
      </c>
      <c r="I387" s="7" t="inlineStr">
        <is>
          <t>No elevation of ITAM_control_matrix.png to clearance evidence for MD-00100. Marked lead-only.</t>
        </is>
      </c>
    </row>
    <row r="388">
      <c r="A388" s="7" t="inlineStr">
        <is>
          <t>MD-00100</t>
        </is>
      </c>
      <c r="B388" s="7" t="inlineStr">
        <is>
          <t>2026-08-09</t>
        </is>
      </c>
      <c r="C388" s="7" t="inlineStr">
        <is>
          <t>Unresolved Assumption</t>
        </is>
      </c>
      <c r="D388" s="7" t="inlineStr"/>
      <c r="E388" s="7" t="inlineStr"/>
      <c r="F388" s="7" t="inlineStr"/>
      <c r="G388" s="7" t="inlineStr">
        <is>
          <t>Reconciliation</t>
        </is>
      </c>
      <c r="H388" s="7" t="inlineStr">
        <is>
          <t>Unresolved Assumption</t>
        </is>
      </c>
      <c r="I388" s="7" t="inlineStr">
        <is>
          <t>MD-00100 still carries an unresolved assumption flagged under Reconciliation.</t>
        </is>
      </c>
    </row>
    <row r="389">
      <c r="A389" s="7" t="inlineStr">
        <is>
          <t>MD-00100</t>
        </is>
      </c>
      <c r="B389" s="7" t="inlineStr">
        <is>
          <t>2026-08-09</t>
        </is>
      </c>
      <c r="C389" s="7" t="inlineStr">
        <is>
          <t>Reconciliation Conclusion</t>
        </is>
      </c>
      <c r="D389" s="7" t="inlineStr">
        <is>
          <t>Evidence review</t>
        </is>
      </c>
      <c r="E389" s="7" t="inlineStr">
        <is>
          <t>E0088</t>
        </is>
      </c>
      <c r="F389" s="7" t="inlineStr">
        <is>
          <t>Unknown</t>
        </is>
      </c>
      <c r="G389" s="7" t="inlineStr">
        <is>
          <t>EX-0126, EX-0127</t>
        </is>
      </c>
      <c r="H389" s="7" t="inlineStr">
        <is>
          <t>Unresolved Assumption</t>
        </is>
      </c>
      <c r="I389" s="7" t="inlineStr">
        <is>
          <t>Conclusion row for MD-00100 — Missing at Unknown. Tied exceptions EX-0126, EX-0127.</t>
        </is>
      </c>
    </row>
    <row r="390">
      <c r="A390" s="7" t="inlineStr">
        <is>
          <t>MD-00101</t>
        </is>
      </c>
      <c r="B390" s="7" t="inlineStr">
        <is>
          <t>2023-06-06</t>
        </is>
      </c>
      <c r="C390" s="7" t="inlineStr">
        <is>
          <t>Purchase</t>
        </is>
      </c>
      <c r="D390" s="7" t="inlineStr">
        <is>
          <t>Vendor</t>
        </is>
      </c>
      <c r="E390" s="7" t="inlineStr">
        <is>
          <t>Central Receiving</t>
        </is>
      </c>
      <c r="F390" s="7" t="inlineStr">
        <is>
          <t>Atlanta Warehouse</t>
        </is>
      </c>
      <c r="G390" s="7" t="inlineStr">
        <is>
          <t>PO-2024-0019</t>
        </is>
      </c>
      <c r="H390" s="7" t="inlineStr">
        <is>
          <t>Confirmed Fact</t>
        </is>
      </c>
      <c r="I390" s="7" t="inlineStr">
        <is>
          <t>PO line PO-2024-0019 is the acquisition spine for MD-00101 (Microsoft Surface Laptop 5).</t>
        </is>
      </c>
    </row>
    <row r="391">
      <c r="A391" s="7" t="inlineStr">
        <is>
          <t>MD-00101</t>
        </is>
      </c>
      <c r="B391" s="7" t="inlineStr">
        <is>
          <t>2026-06-06</t>
        </is>
      </c>
      <c r="C391" s="7" t="inlineStr">
        <is>
          <t>Assignment/Transfer</t>
        </is>
      </c>
      <c r="D391" s="7" t="inlineStr">
        <is>
          <t>Central Receiving</t>
        </is>
      </c>
      <c r="E391" s="7" t="inlineStr">
        <is>
          <t>Regional IT</t>
        </is>
      </c>
      <c r="F391" s="7" t="inlineStr">
        <is>
          <t>Seattle</t>
        </is>
      </c>
      <c r="G391" s="7" t="inlineStr">
        <is>
          <t>TR-00101</t>
        </is>
      </c>
      <c r="H391" s="7" t="inlineStr">
        <is>
          <t>Confirmed Fact</t>
        </is>
      </c>
      <c r="I391" s="7" t="inlineStr">
        <is>
          <t>Transfer TR-00101 listed against MD-00101 with site Seattle [t391-1].</t>
        </is>
      </c>
    </row>
    <row r="392">
      <c r="A392" s="7" t="inlineStr">
        <is>
          <t>MD-00101</t>
        </is>
      </c>
      <c r="B392" s="7" t="inlineStr">
        <is>
          <t>2026-05-31</t>
        </is>
      </c>
      <c r="C392" s="7" t="inlineStr">
        <is>
          <t>Offboarding Ticket</t>
        </is>
      </c>
      <c r="D392" s="7" t="inlineStr">
        <is>
          <t>E0089</t>
        </is>
      </c>
      <c r="E392" s="7" t="inlineStr">
        <is>
          <t>IT Service Desk</t>
        </is>
      </c>
      <c r="F392" s="7" t="inlineStr"/>
      <c r="G392" s="7" t="inlineStr">
        <is>
          <t>RET-00101</t>
        </is>
      </c>
      <c r="H392" s="7" t="inlineStr">
        <is>
          <t>Technician Claim</t>
        </is>
      </c>
      <c r="I392" s="7" t="inlineStr">
        <is>
          <t>MD-00101 appears on offboarding RET-00101; confirm register update.</t>
        </is>
      </c>
    </row>
    <row r="393">
      <c r="A393" s="7" t="inlineStr">
        <is>
          <t>MD-00101</t>
        </is>
      </c>
      <c r="B393" s="7" t="inlineStr">
        <is>
          <t>2026-05-31</t>
        </is>
      </c>
      <c r="C393" s="7" t="inlineStr">
        <is>
          <t>Technician Comment</t>
        </is>
      </c>
      <c r="D393" s="7" t="inlineStr">
        <is>
          <t>Service Desk</t>
        </is>
      </c>
      <c r="E393" s="7" t="inlineStr"/>
      <c r="F393" s="7" t="inlineStr"/>
      <c r="G393" s="7" t="inlineStr">
        <is>
          <t>RET-00101</t>
        </is>
      </c>
      <c r="H393" s="7" t="inlineStr">
        <is>
          <t>Technician Claim</t>
        </is>
      </c>
      <c r="I393" s="7" t="inlineStr">
        <is>
          <t>Unverified tech comment RET-00101 linked to MD-00101.</t>
        </is>
      </c>
    </row>
    <row r="394">
      <c r="A394" s="7" t="inlineStr">
        <is>
          <t>MD-00101</t>
        </is>
      </c>
      <c r="B394" s="7" t="inlineStr">
        <is>
          <t>2026-08-05</t>
        </is>
      </c>
      <c r="C394" s="7" t="inlineStr">
        <is>
          <t>Regional IT Note Lead</t>
        </is>
      </c>
      <c r="D394" s="7" t="inlineStr">
        <is>
          <t>Regional IT</t>
        </is>
      </c>
      <c r="E394" s="7" t="inlineStr"/>
      <c r="F394" s="7" t="inlineStr">
        <is>
          <t>Denver - Closed</t>
        </is>
      </c>
      <c r="G394" s="7" t="inlineStr">
        <is>
          <t>regional_IT_notes.docx</t>
        </is>
      </c>
      <c r="H394" s="7" t="inlineStr">
        <is>
          <t>Technician Claim</t>
        </is>
      </c>
      <c r="I394" s="7" t="inlineStr">
        <is>
          <t>Technician aside about MD-00101 recorded under regional_IT_notes.docx; needs corroboration. Requires independent find.</t>
        </is>
      </c>
    </row>
    <row r="395">
      <c r="A395" s="7" t="inlineStr">
        <is>
          <t>MD-00101</t>
        </is>
      </c>
      <c r="B395" s="7" t="inlineStr">
        <is>
          <t>2026-08-09</t>
        </is>
      </c>
      <c r="C395" s="7" t="inlineStr">
        <is>
          <t>Policy Control Figure</t>
        </is>
      </c>
      <c r="D395" s="7" t="inlineStr">
        <is>
          <t>ITAM-001</t>
        </is>
      </c>
      <c r="E395" s="7" t="inlineStr"/>
      <c r="F395" s="7" t="inlineStr"/>
      <c r="G395" s="7" t="inlineStr">
        <is>
          <t>IT_asset_management_policy.pdf §§4–9; ITAM_control_matrix.png</t>
        </is>
      </c>
      <c r="H395" s="7" t="inlineStr">
        <is>
          <t>Confirmed Fact</t>
        </is>
      </c>
      <c r="I395" s="7" t="inlineStr">
        <is>
          <t>Control-matrix lead noted for MD-00101; evidence precedence still follows ITAM-001. Logged as multimodal lead.</t>
        </is>
      </c>
    </row>
    <row r="396">
      <c r="A396" s="7" t="inlineStr">
        <is>
          <t>MD-00101</t>
        </is>
      </c>
      <c r="B396" s="7" t="inlineStr">
        <is>
          <t>2026-08-09</t>
        </is>
      </c>
      <c r="C396" s="7" t="inlineStr">
        <is>
          <t>Reconciliation Conclusion</t>
        </is>
      </c>
      <c r="D396" s="7" t="inlineStr">
        <is>
          <t>Evidence review</t>
        </is>
      </c>
      <c r="E396" s="7" t="inlineStr">
        <is>
          <t>Regional IT</t>
        </is>
      </c>
      <c r="F396" s="7" t="inlineStr">
        <is>
          <t>Seattle</t>
        </is>
      </c>
      <c r="G396" s="7" t="inlineStr">
        <is>
          <t>EX-0128, EX-0129</t>
        </is>
      </c>
      <c r="H396" s="7" t="inlineStr">
        <is>
          <t>Unresolved Assumption</t>
        </is>
      </c>
      <c r="I396" s="7" t="inlineStr">
        <is>
          <t>Register outcome on MD-00101: Retired/Pending Disposal (Seattle). See EX-0128, EX-0129.</t>
        </is>
      </c>
    </row>
    <row r="397">
      <c r="A397" s="7" t="inlineStr">
        <is>
          <t>MD-00102</t>
        </is>
      </c>
      <c r="B397" s="7" t="inlineStr">
        <is>
          <t>2024-07-07</t>
        </is>
      </c>
      <c r="C397" s="7" t="inlineStr">
        <is>
          <t>Purchase</t>
        </is>
      </c>
      <c r="D397" s="7" t="inlineStr">
        <is>
          <t>Vendor</t>
        </is>
      </c>
      <c r="E397" s="7" t="inlineStr">
        <is>
          <t>Central Receiving</t>
        </is>
      </c>
      <c r="F397" s="7" t="inlineStr">
        <is>
          <t>Atlanta Warehouse</t>
        </is>
      </c>
      <c r="G397" s="7" t="inlineStr">
        <is>
          <t>PO-2024-0019</t>
        </is>
      </c>
      <c r="H397" s="7" t="inlineStr">
        <is>
          <t>Confirmed Fact</t>
        </is>
      </c>
      <c r="I397" s="7" t="inlineStr">
        <is>
          <t>MD-00102 enters inventory via PO-2024-0019; model Lenovo ThinkPad X1 Carbon.</t>
        </is>
      </c>
    </row>
    <row r="398">
      <c r="A398" s="7" t="inlineStr">
        <is>
          <t>MD-00102</t>
        </is>
      </c>
      <c r="B398" s="7" t="inlineStr">
        <is>
          <t>2026-01-07</t>
        </is>
      </c>
      <c r="C398" s="7" t="inlineStr">
        <is>
          <t>Assignment/Transfer</t>
        </is>
      </c>
      <c r="D398" s="7" t="inlineStr">
        <is>
          <t>Central Receiving</t>
        </is>
      </c>
      <c r="E398" s="7" t="inlineStr">
        <is>
          <t>Regional IT</t>
        </is>
      </c>
      <c r="F398" s="7" t="inlineStr">
        <is>
          <t>Atlanta</t>
        </is>
      </c>
      <c r="G398" s="7" t="inlineStr">
        <is>
          <t>TR-00102</t>
        </is>
      </c>
      <c r="H398" s="7" t="inlineStr">
        <is>
          <t>Confirmed Fact</t>
        </is>
      </c>
      <c r="I398" s="7" t="inlineStr">
        <is>
          <t>Use source transfer TR-00102 when explaining MD-00102's move.</t>
        </is>
      </c>
    </row>
    <row r="399">
      <c r="A399" s="7" t="inlineStr">
        <is>
          <t>MD-00102</t>
        </is>
      </c>
      <c r="B399" s="7" t="inlineStr">
        <is>
          <t>2026-05-31</t>
        </is>
      </c>
      <c r="C399" s="7" t="inlineStr">
        <is>
          <t>Offboarding Ticket</t>
        </is>
      </c>
      <c r="D399" s="7" t="inlineStr">
        <is>
          <t>E0090</t>
        </is>
      </c>
      <c r="E399" s="7" t="inlineStr">
        <is>
          <t>IT Service Desk</t>
        </is>
      </c>
      <c r="F399" s="7" t="inlineStr"/>
      <c r="G399" s="7" t="inlineStr">
        <is>
          <t>RET-00102</t>
        </is>
      </c>
      <c r="H399" s="7" t="inlineStr">
        <is>
          <t>Technician Claim</t>
        </is>
      </c>
      <c r="I399" s="7" t="inlineStr">
        <is>
          <t>MD-00102 appears on offboarding RET-00102; confirm register update.</t>
        </is>
      </c>
    </row>
    <row r="400">
      <c r="A400" s="7" t="inlineStr">
        <is>
          <t>MD-00102</t>
        </is>
      </c>
      <c r="B400" s="7" t="inlineStr">
        <is>
          <t>2026-05-31</t>
        </is>
      </c>
      <c r="C400" s="7" t="inlineStr">
        <is>
          <t>Technician Comment</t>
        </is>
      </c>
      <c r="D400" s="7" t="inlineStr">
        <is>
          <t>Service Desk</t>
        </is>
      </c>
      <c r="E400" s="7" t="inlineStr"/>
      <c r="F400" s="7" t="inlineStr"/>
      <c r="G400" s="7" t="inlineStr">
        <is>
          <t>RET-00102</t>
        </is>
      </c>
      <c r="H400" s="7" t="inlineStr">
        <is>
          <t>Technician Claim</t>
        </is>
      </c>
      <c r="I400" s="7" t="inlineStr">
        <is>
          <t>Technician comment on MD-00102 retained as unverified (RET-00102).</t>
        </is>
      </c>
    </row>
    <row r="401">
      <c r="A401" s="7" t="inlineStr">
        <is>
          <t>MD-00102</t>
        </is>
      </c>
      <c r="B401" s="7" t="inlineStr">
        <is>
          <t>2026-08-05</t>
        </is>
      </c>
      <c r="C401" s="7" t="inlineStr">
        <is>
          <t>Regional IT Note Lead</t>
        </is>
      </c>
      <c r="D401" s="7" t="inlineStr">
        <is>
          <t>Regional IT</t>
        </is>
      </c>
      <c r="E401" s="7" t="inlineStr"/>
      <c r="F401" s="7" t="inlineStr">
        <is>
          <t>Chicago - Closed</t>
        </is>
      </c>
      <c r="G401" s="7" t="inlineStr">
        <is>
          <t>regional_IT_notes.docx</t>
        </is>
      </c>
      <c r="H401" s="7" t="inlineStr">
        <is>
          <t>Technician Claim</t>
        </is>
      </c>
      <c r="I401" s="7" t="inlineStr">
        <is>
          <t>Hearsay entry regional_IT_notes.docx retained for MD-00102 investigations only. Requires independent find.</t>
        </is>
      </c>
    </row>
    <row r="402">
      <c r="A402" s="7" t="inlineStr">
        <is>
          <t>MD-00102</t>
        </is>
      </c>
      <c r="B402" s="7" t="inlineStr">
        <is>
          <t>2026-08-09</t>
        </is>
      </c>
      <c r="C402" s="7" t="inlineStr">
        <is>
          <t>Policy Control Figure</t>
        </is>
      </c>
      <c r="D402" s="7" t="inlineStr">
        <is>
          <t>ITAM-001</t>
        </is>
      </c>
      <c r="E402" s="7" t="inlineStr"/>
      <c r="F402" s="7" t="inlineStr"/>
      <c r="G402" s="7" t="inlineStr">
        <is>
          <t>ITAM_control_matrix.png</t>
        </is>
      </c>
      <c r="H402" s="7" t="inlineStr">
        <is>
          <t>Confirmed Fact</t>
        </is>
      </c>
      <c r="I402" s="7" t="inlineStr">
        <is>
          <t>Policy PNG pass on MD-00102 logged as multimodal lead under ITAM_control_matrix.png. Evidence tier reminder only.</t>
        </is>
      </c>
    </row>
    <row r="403">
      <c r="A403" s="7" t="inlineStr">
        <is>
          <t>MD-00102</t>
        </is>
      </c>
      <c r="B403" s="7" t="inlineStr">
        <is>
          <t>2026-08-09</t>
        </is>
      </c>
      <c r="C403" s="7" t="inlineStr">
        <is>
          <t>Reconciliation Conclusion</t>
        </is>
      </c>
      <c r="D403" s="7" t="inlineStr">
        <is>
          <t>Evidence review</t>
        </is>
      </c>
      <c r="E403" s="7" t="inlineStr">
        <is>
          <t>Regional IT</t>
        </is>
      </c>
      <c r="F403" s="7" t="inlineStr">
        <is>
          <t>Atlanta</t>
        </is>
      </c>
      <c r="G403" s="7" t="inlineStr">
        <is>
          <t>EX-0130, EX-0131, EX-0132</t>
        </is>
      </c>
      <c r="H403" s="7" t="inlineStr">
        <is>
          <t>Unresolved Assumption</t>
        </is>
      </c>
      <c r="I403" s="7" t="inlineStr">
        <is>
          <t>Reconciled MD-00102 to verified status Retired/Pending Disposal / Atlanta. Open: EX-0130, EX-0131, EX-0132.</t>
        </is>
      </c>
    </row>
    <row r="404">
      <c r="A404" s="7" t="inlineStr">
        <is>
          <t>MD-00103</t>
        </is>
      </c>
      <c r="B404" s="7" t="inlineStr">
        <is>
          <t>2025-08-08</t>
        </is>
      </c>
      <c r="C404" s="7" t="inlineStr">
        <is>
          <t>Purchase</t>
        </is>
      </c>
      <c r="D404" s="7" t="inlineStr">
        <is>
          <t>Vendor</t>
        </is>
      </c>
      <c r="E404" s="7" t="inlineStr">
        <is>
          <t>Central Receiving</t>
        </is>
      </c>
      <c r="F404" s="7" t="inlineStr">
        <is>
          <t>Atlanta Warehouse</t>
        </is>
      </c>
      <c r="G404" s="7" t="inlineStr">
        <is>
          <t>PO-2024-0019</t>
        </is>
      </c>
      <c r="H404" s="7" t="inlineStr">
        <is>
          <t>Confirmed Fact</t>
        </is>
      </c>
      <c r="I404" s="7" t="inlineStr">
        <is>
          <t>MD-00103 enters inventory via PO-2024-0019; model Lenovo ThinkPad T14.</t>
        </is>
      </c>
    </row>
    <row r="405">
      <c r="A405" s="7" t="inlineStr">
        <is>
          <t>MD-00103</t>
        </is>
      </c>
      <c r="B405" s="7" t="inlineStr">
        <is>
          <t>2026-02-08</t>
        </is>
      </c>
      <c r="C405" s="7" t="inlineStr">
        <is>
          <t>Assignment/Transfer</t>
        </is>
      </c>
      <c r="D405" s="7" t="inlineStr">
        <is>
          <t>Central Receiving</t>
        </is>
      </c>
      <c r="E405" s="7" t="inlineStr">
        <is>
          <t>Regional IT</t>
        </is>
      </c>
      <c r="F405" s="7" t="inlineStr">
        <is>
          <t>Chicago</t>
        </is>
      </c>
      <c r="G405" s="7" t="inlineStr">
        <is>
          <t>TR-00103</t>
        </is>
      </c>
      <c r="H405" s="7" t="inlineStr">
        <is>
          <t>Confirmed Fact</t>
        </is>
      </c>
      <c r="I405" s="7" t="inlineStr">
        <is>
          <t>Custody movement for MD-00103 summarized from TR-00103 [t405-1].</t>
        </is>
      </c>
    </row>
    <row r="406">
      <c r="A406" s="7" t="inlineStr">
        <is>
          <t>MD-00103</t>
        </is>
      </c>
      <c r="B406" s="7" t="inlineStr">
        <is>
          <t>2026-05-31</t>
        </is>
      </c>
      <c r="C406" s="7" t="inlineStr">
        <is>
          <t>Offboarding Ticket</t>
        </is>
      </c>
      <c r="D406" s="7" t="inlineStr">
        <is>
          <t>E0091</t>
        </is>
      </c>
      <c r="E406" s="7" t="inlineStr">
        <is>
          <t>IT Service Desk</t>
        </is>
      </c>
      <c r="F406" s="7" t="inlineStr"/>
      <c r="G406" s="7" t="inlineStr">
        <is>
          <t>RET-00103</t>
        </is>
      </c>
      <c r="H406" s="7" t="inlineStr">
        <is>
          <t>Technician Claim</t>
        </is>
      </c>
      <c r="I406" s="7" t="inlineStr">
        <is>
          <t>HR/IT offboarding RET-00103 lists MD-00103; verify register custodian matches ticket closeout.</t>
        </is>
      </c>
    </row>
    <row r="407">
      <c r="A407" s="7" t="inlineStr">
        <is>
          <t>MD-00103</t>
        </is>
      </c>
      <c r="B407" s="7" t="inlineStr">
        <is>
          <t>2026-05-31</t>
        </is>
      </c>
      <c r="C407" s="7" t="inlineStr">
        <is>
          <t>Technician Comment</t>
        </is>
      </c>
      <c r="D407" s="7" t="inlineStr">
        <is>
          <t>Service Desk</t>
        </is>
      </c>
      <c r="E407" s="7" t="inlineStr"/>
      <c r="F407" s="7" t="inlineStr"/>
      <c r="G407" s="7" t="inlineStr">
        <is>
          <t>RET-00103</t>
        </is>
      </c>
      <c r="H407" s="7" t="inlineStr">
        <is>
          <t>Technician Claim</t>
        </is>
      </c>
      <c r="I407" s="7" t="inlineStr">
        <is>
          <t>Technician comment on MD-00103 retained as unverified (RET-00103).</t>
        </is>
      </c>
    </row>
    <row r="408">
      <c r="A408" s="7" t="inlineStr">
        <is>
          <t>MD-00103</t>
        </is>
      </c>
      <c r="B408" s="7" t="inlineStr">
        <is>
          <t>2026-08-05</t>
        </is>
      </c>
      <c r="C408" s="7" t="inlineStr">
        <is>
          <t>Regional IT Note Lead</t>
        </is>
      </c>
      <c r="D408" s="7" t="inlineStr">
        <is>
          <t>Regional IT</t>
        </is>
      </c>
      <c r="E408" s="7" t="inlineStr"/>
      <c r="F408" s="7" t="inlineStr">
        <is>
          <t>Denver - Closed</t>
        </is>
      </c>
      <c r="G408" s="7" t="inlineStr">
        <is>
          <t>regional_IT_notes.docx</t>
        </is>
      </c>
      <c r="H408" s="7" t="inlineStr">
        <is>
          <t>Technician Claim</t>
        </is>
      </c>
      <c r="I408" s="7" t="inlineStr">
        <is>
          <t>Treat regional_IT_notes.docx as tip sheet language for MD-00103, not custody evidence. No register update from this alone.</t>
        </is>
      </c>
    </row>
    <row r="409">
      <c r="A409" s="7" t="inlineStr">
        <is>
          <t>MD-00103</t>
        </is>
      </c>
      <c r="B409" s="7" t="inlineStr">
        <is>
          <t>2026-08-09</t>
        </is>
      </c>
      <c r="C409" s="7" t="inlineStr">
        <is>
          <t>Policy Control Figure</t>
        </is>
      </c>
      <c r="D409" s="7" t="inlineStr">
        <is>
          <t>ITAM-001</t>
        </is>
      </c>
      <c r="E409" s="7" t="inlineStr"/>
      <c r="F409" s="7" t="inlineStr"/>
      <c r="G409" s="7" t="inlineStr">
        <is>
          <t>IT_asset_management_policy.pdf</t>
        </is>
      </c>
      <c r="H409" s="7" t="inlineStr">
        <is>
          <t>Confirmed Fact</t>
        </is>
      </c>
      <c r="I409" s="7" t="inlineStr">
        <is>
          <t>Control matrix consulted; missing proof on MD-00103 still called out separately. Left as orientation.</t>
        </is>
      </c>
    </row>
    <row r="410">
      <c r="A410" s="7" t="inlineStr">
        <is>
          <t>MD-00103</t>
        </is>
      </c>
      <c r="B410" s="7" t="inlineStr">
        <is>
          <t>2026-08-09</t>
        </is>
      </c>
      <c r="C410" s="7" t="inlineStr">
        <is>
          <t>Reconciliation Conclusion</t>
        </is>
      </c>
      <c r="D410" s="7" t="inlineStr">
        <is>
          <t>Evidence review</t>
        </is>
      </c>
      <c r="E410" s="7" t="inlineStr">
        <is>
          <t>Regional IT</t>
        </is>
      </c>
      <c r="F410" s="7" t="inlineStr">
        <is>
          <t>Chicago</t>
        </is>
      </c>
      <c r="G410" s="7" t="inlineStr">
        <is>
          <t>EX-0133, EX-0134</t>
        </is>
      </c>
      <c r="H410" s="7" t="inlineStr">
        <is>
          <t>Unresolved Assumption</t>
        </is>
      </c>
      <c r="I410" s="7" t="inlineStr">
        <is>
          <t>Working end-state for MD-00103: Retired/Pending Disposal in Chicago. Exceptions: EX-0133, EX-0134.</t>
        </is>
      </c>
    </row>
    <row r="411">
      <c r="A411" s="7" t="inlineStr">
        <is>
          <t>MD-00104</t>
        </is>
      </c>
      <c r="B411" s="7" t="inlineStr">
        <is>
          <t>2022-09-09</t>
        </is>
      </c>
      <c r="C411" s="7" t="inlineStr">
        <is>
          <t>Purchase</t>
        </is>
      </c>
      <c r="D411" s="7" t="inlineStr">
        <is>
          <t>Vendor</t>
        </is>
      </c>
      <c r="E411" s="7" t="inlineStr">
        <is>
          <t>Central Receiving</t>
        </is>
      </c>
      <c r="F411" s="7" t="inlineStr">
        <is>
          <t>Atlanta Warehouse</t>
        </is>
      </c>
      <c r="G411" s="7" t="inlineStr">
        <is>
          <t>PO-2025-0020</t>
        </is>
      </c>
      <c r="H411" s="7" t="inlineStr">
        <is>
          <t>Confirmed Fact</t>
        </is>
      </c>
      <c r="I411" s="7" t="inlineStr">
        <is>
          <t>Buy recorded for MD-00104 under PO-2025-0020; MacBook Pro 14 received into inventory.</t>
        </is>
      </c>
    </row>
    <row r="412">
      <c r="A412" s="7" t="inlineStr">
        <is>
          <t>MD-00104</t>
        </is>
      </c>
      <c r="B412" s="7" t="inlineStr">
        <is>
          <t>2026-03-09</t>
        </is>
      </c>
      <c r="C412" s="7" t="inlineStr">
        <is>
          <t>Assignment/Transfer</t>
        </is>
      </c>
      <c r="D412" s="7" t="inlineStr">
        <is>
          <t>Central Receiving</t>
        </is>
      </c>
      <c r="E412" s="7" t="inlineStr">
        <is>
          <t>Regional IT</t>
        </is>
      </c>
      <c r="F412" s="7" t="inlineStr">
        <is>
          <t>Dallas</t>
        </is>
      </c>
      <c r="G412" s="7" t="inlineStr">
        <is>
          <t>TR-00104</t>
        </is>
      </c>
      <c r="H412" s="7" t="inlineStr">
        <is>
          <t>Confirmed Fact</t>
        </is>
      </c>
      <c r="I412" s="7" t="inlineStr">
        <is>
          <t>TR-00104 remains the authoritative move record for MD-00104.</t>
        </is>
      </c>
    </row>
    <row r="413">
      <c r="A413" s="7" t="inlineStr">
        <is>
          <t>MD-00104</t>
        </is>
      </c>
      <c r="B413" s="7" t="inlineStr">
        <is>
          <t>2026-05-31</t>
        </is>
      </c>
      <c r="C413" s="7" t="inlineStr">
        <is>
          <t>Offboarding Ticket</t>
        </is>
      </c>
      <c r="D413" s="7" t="inlineStr">
        <is>
          <t>E0092</t>
        </is>
      </c>
      <c r="E413" s="7" t="inlineStr">
        <is>
          <t>IT Service Desk</t>
        </is>
      </c>
      <c r="F413" s="7" t="inlineStr"/>
      <c r="G413" s="7" t="inlineStr">
        <is>
          <t>RET-00104</t>
        </is>
      </c>
      <c r="H413" s="7" t="inlineStr">
        <is>
          <t>Technician Claim</t>
        </is>
      </c>
      <c r="I413" s="7" t="inlineStr">
        <is>
          <t>Separated-employee workflow RET-00104 includes MD-00104.</t>
        </is>
      </c>
    </row>
    <row r="414">
      <c r="A414" s="7" t="inlineStr">
        <is>
          <t>MD-00104</t>
        </is>
      </c>
      <c r="B414" s="7" t="inlineStr">
        <is>
          <t>2026-05-31</t>
        </is>
      </c>
      <c r="C414" s="7" t="inlineStr">
        <is>
          <t>Technician Comment</t>
        </is>
      </c>
      <c r="D414" s="7" t="inlineStr">
        <is>
          <t>Service Desk</t>
        </is>
      </c>
      <c r="E414" s="7" t="inlineStr"/>
      <c r="F414" s="7" t="inlineStr"/>
      <c r="G414" s="7" t="inlineStr">
        <is>
          <t>RET-00104</t>
        </is>
      </c>
      <c r="H414" s="7" t="inlineStr">
        <is>
          <t>Technician Claim</t>
        </is>
      </c>
      <c r="I414" s="7" t="inlineStr">
        <is>
          <t>Tech remark filed against MD-00104 under RET-00104.</t>
        </is>
      </c>
    </row>
    <row r="415">
      <c r="A415" s="7" t="inlineStr">
        <is>
          <t>MD-00104</t>
        </is>
      </c>
      <c r="B415" s="7" t="inlineStr">
        <is>
          <t>2026-08-05</t>
        </is>
      </c>
      <c r="C415" s="7" t="inlineStr">
        <is>
          <t>Regional IT Note Lead</t>
        </is>
      </c>
      <c r="D415" s="7" t="inlineStr">
        <is>
          <t>Regional IT</t>
        </is>
      </c>
      <c r="E415" s="7" t="inlineStr"/>
      <c r="F415" s="7" t="inlineStr">
        <is>
          <t>Chicago - Closed</t>
        </is>
      </c>
      <c r="G415" s="7" t="inlineStr">
        <is>
          <t>regional_IT_notes.docx</t>
        </is>
      </c>
      <c r="H415" s="7" t="inlineStr">
        <is>
          <t>Technician Claim</t>
        </is>
      </c>
      <c r="I415" s="7" t="inlineStr">
        <is>
          <t>Regional IT chatter on MD-00104 filed as regional_IT_notes.docx (lead only). Follow-up only.</t>
        </is>
      </c>
    </row>
    <row r="416">
      <c r="A416" s="7" t="inlineStr">
        <is>
          <t>MD-00104</t>
        </is>
      </c>
      <c r="B416" s="7" t="inlineStr">
        <is>
          <t>2026-08-09</t>
        </is>
      </c>
      <c r="C416" s="7" t="inlineStr">
        <is>
          <t>Policy Control Figure</t>
        </is>
      </c>
      <c r="D416" s="7" t="inlineStr">
        <is>
          <t>ITAM-001</t>
        </is>
      </c>
      <c r="E416" s="7" t="inlineStr"/>
      <c r="F416" s="7" t="inlineStr"/>
      <c r="G416" s="7" t="inlineStr">
        <is>
          <t>ITAM_control_matrix.png; IT_asset_management_policy.pdf</t>
        </is>
      </c>
      <c r="H416" s="7" t="inlineStr">
        <is>
          <t>Confirmed Fact</t>
        </is>
      </c>
      <c r="I416" s="7" t="inlineStr">
        <is>
          <t>Evidence-tier reminder from the matrix figure applied while reviewing MD-00104. Evidence tier reminder only.</t>
        </is>
      </c>
    </row>
    <row r="417">
      <c r="A417" s="7" t="inlineStr">
        <is>
          <t>MD-00104</t>
        </is>
      </c>
      <c r="B417" s="7" t="inlineStr">
        <is>
          <t>2026-08-09</t>
        </is>
      </c>
      <c r="C417" s="7" t="inlineStr">
        <is>
          <t>Reconciliation Conclusion</t>
        </is>
      </c>
      <c r="D417" s="7" t="inlineStr">
        <is>
          <t>Evidence review</t>
        </is>
      </c>
      <c r="E417" s="7" t="inlineStr">
        <is>
          <t>Regional IT</t>
        </is>
      </c>
      <c r="F417" s="7" t="inlineStr">
        <is>
          <t>Dallas</t>
        </is>
      </c>
      <c r="G417" s="7" t="inlineStr">
        <is>
          <t>EX-0135, EX-0136</t>
        </is>
      </c>
      <c r="H417" s="7" t="inlineStr">
        <is>
          <t>Unresolved Assumption</t>
        </is>
      </c>
      <c r="I417" s="7" t="inlineStr">
        <is>
          <t>Working end-state for MD-00104: Retired/Pending Disposal in Dallas. Exceptions: EX-0135, EX-0136.</t>
        </is>
      </c>
    </row>
    <row r="418">
      <c r="A418" s="7" t="inlineStr">
        <is>
          <t>MD-00105</t>
        </is>
      </c>
      <c r="B418" s="7" t="inlineStr">
        <is>
          <t>2023-10-10</t>
        </is>
      </c>
      <c r="C418" s="7" t="inlineStr">
        <is>
          <t>Purchase</t>
        </is>
      </c>
      <c r="D418" s="7" t="inlineStr">
        <is>
          <t>Vendor</t>
        </is>
      </c>
      <c r="E418" s="7" t="inlineStr">
        <is>
          <t>Central Receiving</t>
        </is>
      </c>
      <c r="F418" s="7" t="inlineStr">
        <is>
          <t>Atlanta Warehouse</t>
        </is>
      </c>
      <c r="G418" s="7" t="inlineStr">
        <is>
          <t>PO-2025-0020</t>
        </is>
      </c>
      <c r="H418" s="7" t="inlineStr">
        <is>
          <t>Confirmed Fact</t>
        </is>
      </c>
      <c r="I418" s="7" t="inlineStr">
        <is>
          <t>Vendor fulfillment on PO-2025-0020 put MD-00105 on the books (Dell Latitude 7440).</t>
        </is>
      </c>
    </row>
    <row r="419">
      <c r="A419" s="7" t="inlineStr">
        <is>
          <t>MD-00105</t>
        </is>
      </c>
      <c r="B419" s="7" t="inlineStr">
        <is>
          <t>2026-04-10</t>
        </is>
      </c>
      <c r="C419" s="7" t="inlineStr">
        <is>
          <t>Assignment/Transfer</t>
        </is>
      </c>
      <c r="D419" s="7" t="inlineStr">
        <is>
          <t>Central Receiving</t>
        </is>
      </c>
      <c r="E419" s="7" t="inlineStr">
        <is>
          <t>Regional IT</t>
        </is>
      </c>
      <c r="F419" s="7" t="inlineStr">
        <is>
          <t>Denver</t>
        </is>
      </c>
      <c r="G419" s="7" t="inlineStr">
        <is>
          <t>TR-00105</t>
        </is>
      </c>
      <c r="H419" s="7" t="inlineStr">
        <is>
          <t>Confirmed Fact</t>
        </is>
      </c>
      <c r="I419" s="7" t="inlineStr">
        <is>
          <t>equipment_transfer_log TR-00105: custody hop for MD-00105.</t>
        </is>
      </c>
    </row>
    <row r="420">
      <c r="A420" s="7" t="inlineStr">
        <is>
          <t>MD-00105</t>
        </is>
      </c>
      <c r="B420" s="7" t="inlineStr">
        <is>
          <t>2026-05-31</t>
        </is>
      </c>
      <c r="C420" s="7" t="inlineStr">
        <is>
          <t>Offboarding Ticket</t>
        </is>
      </c>
      <c r="D420" s="7" t="inlineStr">
        <is>
          <t>E0093</t>
        </is>
      </c>
      <c r="E420" s="7" t="inlineStr">
        <is>
          <t>IT Service Desk</t>
        </is>
      </c>
      <c r="F420" s="7" t="inlineStr"/>
      <c r="G420" s="7" t="inlineStr">
        <is>
          <t>RET-00105</t>
        </is>
      </c>
      <c r="H420" s="7" t="inlineStr">
        <is>
          <t>Technician Claim</t>
        </is>
      </c>
      <c r="I420" s="7" t="inlineStr">
        <is>
          <t>Offboard record RET-00105 flags MD-00105 for custodian cleanup.</t>
        </is>
      </c>
    </row>
    <row r="421">
      <c r="A421" s="7" t="inlineStr">
        <is>
          <t>MD-00105</t>
        </is>
      </c>
      <c r="B421" s="7" t="inlineStr">
        <is>
          <t>2026-05-31</t>
        </is>
      </c>
      <c r="C421" s="7" t="inlineStr">
        <is>
          <t>Technician Comment</t>
        </is>
      </c>
      <c r="D421" s="7" t="inlineStr">
        <is>
          <t>Service Desk</t>
        </is>
      </c>
      <c r="E421" s="7" t="inlineStr"/>
      <c r="F421" s="7" t="inlineStr"/>
      <c r="G421" s="7" t="inlineStr">
        <is>
          <t>RET-00105</t>
        </is>
      </c>
      <c r="H421" s="7" t="inlineStr">
        <is>
          <t>Technician Claim</t>
        </is>
      </c>
      <c r="I421" s="7" t="inlineStr">
        <is>
          <t>Unverified tech comment RET-00105 linked to MD-00105.</t>
        </is>
      </c>
    </row>
    <row r="422">
      <c r="A422" s="7" t="inlineStr">
        <is>
          <t>MD-00105</t>
        </is>
      </c>
      <c r="B422" s="7" t="inlineStr">
        <is>
          <t>2026-08-05</t>
        </is>
      </c>
      <c r="C422" s="7" t="inlineStr">
        <is>
          <t>Regional IT Note Lead</t>
        </is>
      </c>
      <c r="D422" s="7" t="inlineStr">
        <is>
          <t>Regional IT</t>
        </is>
      </c>
      <c r="E422" s="7" t="inlineStr"/>
      <c r="F422" s="7" t="inlineStr">
        <is>
          <t>Denver - Closed</t>
        </is>
      </c>
      <c r="G422" s="7" t="inlineStr">
        <is>
          <t>regional_IT_notes.docx</t>
        </is>
      </c>
      <c r="H422" s="7" t="inlineStr">
        <is>
          <t>Technician Claim</t>
        </is>
      </c>
      <c r="I422" s="7" t="inlineStr">
        <is>
          <t>Technician aside about MD-00105 recorded under regional_IT_notes.docx; needs corroboration. Requires independent find.</t>
        </is>
      </c>
    </row>
    <row r="423">
      <c r="A423" s="7" t="inlineStr">
        <is>
          <t>MD-00105</t>
        </is>
      </c>
      <c r="B423" s="7" t="inlineStr">
        <is>
          <t>2026-08-09</t>
        </is>
      </c>
      <c r="C423" s="7" t="inlineStr">
        <is>
          <t>Policy Control Figure</t>
        </is>
      </c>
      <c r="D423" s="7" t="inlineStr">
        <is>
          <t>ITAM-001</t>
        </is>
      </c>
      <c r="E423" s="7" t="inlineStr"/>
      <c r="F423" s="7" t="inlineStr"/>
      <c r="G423" s="7" t="inlineStr">
        <is>
          <t>ITAM_control_matrix.png Appendix A</t>
        </is>
      </c>
      <c r="H423" s="7" t="inlineStr">
        <is>
          <t>Confirmed Fact</t>
        </is>
      </c>
      <c r="I423" s="7" t="inlineStr">
        <is>
          <t>Kept MD-00105 disposition independent of the policy figure visual. Did not elevate to proof.</t>
        </is>
      </c>
    </row>
    <row r="424">
      <c r="A424" s="7" t="inlineStr">
        <is>
          <t>MD-00105</t>
        </is>
      </c>
      <c r="B424" s="7" t="inlineStr">
        <is>
          <t>2026-08-09</t>
        </is>
      </c>
      <c r="C424" s="7" t="inlineStr">
        <is>
          <t>Reconciliation Conclusion</t>
        </is>
      </c>
      <c r="D424" s="7" t="inlineStr">
        <is>
          <t>Evidence review</t>
        </is>
      </c>
      <c r="E424" s="7" t="inlineStr">
        <is>
          <t>Regional IT</t>
        </is>
      </c>
      <c r="F424" s="7" t="inlineStr">
        <is>
          <t>Denver</t>
        </is>
      </c>
      <c r="G424" s="7" t="inlineStr">
        <is>
          <t>EX-0137, EX-0138</t>
        </is>
      </c>
      <c r="H424" s="7" t="inlineStr">
        <is>
          <t>Unresolved Assumption</t>
        </is>
      </c>
      <c r="I424" s="7" t="inlineStr">
        <is>
          <t>Reconciled MD-00105 to verified status Retired/Pending Disposal / Denver. Open: EX-0137, EX-0138.</t>
        </is>
      </c>
    </row>
    <row r="425">
      <c r="A425" s="7" t="inlineStr">
        <is>
          <t>MD-00106</t>
        </is>
      </c>
      <c r="B425" s="7" t="inlineStr">
        <is>
          <t>2024-11-11</t>
        </is>
      </c>
      <c r="C425" s="7" t="inlineStr">
        <is>
          <t>Purchase</t>
        </is>
      </c>
      <c r="D425" s="7" t="inlineStr">
        <is>
          <t>Vendor</t>
        </is>
      </c>
      <c r="E425" s="7" t="inlineStr">
        <is>
          <t>Central Receiving</t>
        </is>
      </c>
      <c r="F425" s="7" t="inlineStr">
        <is>
          <t>Atlanta Warehouse</t>
        </is>
      </c>
      <c r="G425" s="7" t="inlineStr">
        <is>
          <t>PO-2025-0020</t>
        </is>
      </c>
      <c r="H425" s="7" t="inlineStr">
        <is>
          <t>Confirmed Fact</t>
        </is>
      </c>
      <c r="I425" s="7" t="inlineStr">
        <is>
          <t>Bought MD-00106 (HP EliteBook 840 G10) on PO-2025-0020 for $565.</t>
        </is>
      </c>
    </row>
    <row r="426">
      <c r="A426" s="7" t="inlineStr">
        <is>
          <t>MD-00106</t>
        </is>
      </c>
      <c r="B426" s="7" t="inlineStr">
        <is>
          <t>2026-05-11</t>
        </is>
      </c>
      <c r="C426" s="7" t="inlineStr">
        <is>
          <t>Assignment/Transfer</t>
        </is>
      </c>
      <c r="D426" s="7" t="inlineStr">
        <is>
          <t>Central Receiving</t>
        </is>
      </c>
      <c r="E426" s="7" t="inlineStr">
        <is>
          <t>Regional IT</t>
        </is>
      </c>
      <c r="F426" s="7" t="inlineStr">
        <is>
          <t>New York</t>
        </is>
      </c>
      <c r="G426" s="7" t="inlineStr">
        <is>
          <t>TR-00106</t>
        </is>
      </c>
      <c r="H426" s="7" t="inlineStr">
        <is>
          <t>Confirmed Fact</t>
        </is>
      </c>
      <c r="I426" s="7" t="inlineStr">
        <is>
          <t>TR-00106 moved MD-00106; approval blank [t426-1].</t>
        </is>
      </c>
    </row>
    <row r="427">
      <c r="A427" s="7" t="inlineStr">
        <is>
          <t>MD-00106</t>
        </is>
      </c>
      <c r="B427" s="7" t="inlineStr">
        <is>
          <t>2026-05-31</t>
        </is>
      </c>
      <c r="C427" s="7" t="inlineStr">
        <is>
          <t>Offboarding Ticket</t>
        </is>
      </c>
      <c r="D427" s="7" t="inlineStr">
        <is>
          <t>E0094</t>
        </is>
      </c>
      <c r="E427" s="7" t="inlineStr">
        <is>
          <t>IT Service Desk</t>
        </is>
      </c>
      <c r="F427" s="7" t="inlineStr"/>
      <c r="G427" s="7" t="inlineStr">
        <is>
          <t>RET-00106</t>
        </is>
      </c>
      <c r="H427" s="7" t="inlineStr">
        <is>
          <t>Technician Claim</t>
        </is>
      </c>
      <c r="I427" s="7" t="inlineStr">
        <is>
          <t>Offboard record RET-00106 flags MD-00106 for custodian cleanup.</t>
        </is>
      </c>
    </row>
    <row r="428">
      <c r="A428" s="7" t="inlineStr">
        <is>
          <t>MD-00106</t>
        </is>
      </c>
      <c r="B428" s="7" t="inlineStr">
        <is>
          <t>2026-05-31</t>
        </is>
      </c>
      <c r="C428" s="7" t="inlineStr">
        <is>
          <t>Technician Comment</t>
        </is>
      </c>
      <c r="D428" s="7" t="inlineStr">
        <is>
          <t>Service Desk</t>
        </is>
      </c>
      <c r="E428" s="7" t="inlineStr"/>
      <c r="F428" s="7" t="inlineStr"/>
      <c r="G428" s="7" t="inlineStr">
        <is>
          <t>RET-00106</t>
        </is>
      </c>
      <c r="H428" s="7" t="inlineStr">
        <is>
          <t>Technician Claim</t>
        </is>
      </c>
      <c r="I428" s="7" t="inlineStr">
        <is>
          <t>Unverified tech comment RET-00106 linked to MD-00106.</t>
        </is>
      </c>
    </row>
    <row r="429">
      <c r="A429" s="7" t="inlineStr">
        <is>
          <t>MD-00106</t>
        </is>
      </c>
      <c r="B429" s="7" t="inlineStr">
        <is>
          <t>2026-08-05</t>
        </is>
      </c>
      <c r="C429" s="7" t="inlineStr">
        <is>
          <t>Regional IT Note Lead</t>
        </is>
      </c>
      <c r="D429" s="7" t="inlineStr">
        <is>
          <t>Regional IT</t>
        </is>
      </c>
      <c r="E429" s="7" t="inlineStr"/>
      <c r="F429" s="7" t="inlineStr">
        <is>
          <t>Chicago - Closed</t>
        </is>
      </c>
      <c r="G429" s="7" t="inlineStr">
        <is>
          <t>regional_IT_notes.docx</t>
        </is>
      </c>
      <c r="H429" s="7" t="inlineStr">
        <is>
          <t>Technician Claim</t>
        </is>
      </c>
      <c r="I429" s="7" t="inlineStr">
        <is>
          <t>Keep regional_IT_notes.docx out of the proof stack for MD-00106. No register update from this alone.</t>
        </is>
      </c>
    </row>
    <row r="430">
      <c r="A430" s="7" t="inlineStr">
        <is>
          <t>MD-00106</t>
        </is>
      </c>
      <c r="B430" s="7" t="inlineStr">
        <is>
          <t>2026-08-09</t>
        </is>
      </c>
      <c r="C430" s="7" t="inlineStr">
        <is>
          <t>Policy Control Figure</t>
        </is>
      </c>
      <c r="D430" s="7" t="inlineStr">
        <is>
          <t>ITAM-001</t>
        </is>
      </c>
      <c r="E430" s="7" t="inlineStr"/>
      <c r="F430" s="7" t="inlineStr"/>
      <c r="G430" s="7" t="inlineStr">
        <is>
          <t>IT_asset_management_policy.pdf §§4–9; ITAM_control_matrix.png</t>
        </is>
      </c>
      <c r="H430" s="7" t="inlineStr">
        <is>
          <t>Confirmed Fact</t>
        </is>
      </c>
      <c r="I430" s="7" t="inlineStr">
        <is>
          <t>Control PNG does not resolve open exceptions on MD-00106. No clearance inferred.</t>
        </is>
      </c>
    </row>
    <row r="431">
      <c r="A431" s="7" t="inlineStr">
        <is>
          <t>MD-00106</t>
        </is>
      </c>
      <c r="B431" s="7" t="inlineStr">
        <is>
          <t>2026-08-09</t>
        </is>
      </c>
      <c r="C431" s="7" t="inlineStr">
        <is>
          <t>Reconciliation Conclusion</t>
        </is>
      </c>
      <c r="D431" s="7" t="inlineStr">
        <is>
          <t>Evidence review</t>
        </is>
      </c>
      <c r="E431" s="7" t="inlineStr">
        <is>
          <t>Regional IT</t>
        </is>
      </c>
      <c r="F431" s="7" t="inlineStr">
        <is>
          <t>New York</t>
        </is>
      </c>
      <c r="G431" s="7" t="inlineStr">
        <is>
          <t>EX-0139, EX-0140</t>
        </is>
      </c>
      <c r="H431" s="7" t="inlineStr">
        <is>
          <t>Unresolved Assumption</t>
        </is>
      </c>
      <c r="I431" s="7" t="inlineStr">
        <is>
          <t>Final custody call on MD-00106: keep Retired/Pending Disposal unless EX-0139, EX-0140 changes it.</t>
        </is>
      </c>
    </row>
    <row r="432">
      <c r="A432" s="7" t="inlineStr">
        <is>
          <t>MD-00107</t>
        </is>
      </c>
      <c r="B432" s="7" t="inlineStr">
        <is>
          <t>2025-12-12</t>
        </is>
      </c>
      <c r="C432" s="7" t="inlineStr">
        <is>
          <t>Purchase</t>
        </is>
      </c>
      <c r="D432" s="7" t="inlineStr">
        <is>
          <t>Vendor</t>
        </is>
      </c>
      <c r="E432" s="7" t="inlineStr">
        <is>
          <t>Central Receiving</t>
        </is>
      </c>
      <c r="F432" s="7" t="inlineStr">
        <is>
          <t>Atlanta Warehouse</t>
        </is>
      </c>
      <c r="G432" s="7" t="inlineStr">
        <is>
          <t>PO-2022-0021</t>
        </is>
      </c>
      <c r="H432" s="7" t="inlineStr">
        <is>
          <t>Confirmed Fact</t>
        </is>
      </c>
      <c r="I432" s="7" t="inlineStr">
        <is>
          <t>PO-2022-0021 → MD-00107 / Microsoft Surface Laptop 5, basis $1,040.</t>
        </is>
      </c>
    </row>
    <row r="433">
      <c r="A433" s="7" t="inlineStr">
        <is>
          <t>MD-00107</t>
        </is>
      </c>
      <c r="B433" s="7" t="inlineStr">
        <is>
          <t>2026-06-12</t>
        </is>
      </c>
      <c r="C433" s="7" t="inlineStr">
        <is>
          <t>Assignment/Transfer</t>
        </is>
      </c>
      <c r="D433" s="7" t="inlineStr">
        <is>
          <t>Central Receiving</t>
        </is>
      </c>
      <c r="E433" s="7" t="inlineStr">
        <is>
          <t>Regional IT</t>
        </is>
      </c>
      <c r="F433" s="7" t="inlineStr">
        <is>
          <t>Seattle</t>
        </is>
      </c>
      <c r="G433" s="7" t="inlineStr">
        <is>
          <t>TR-00107</t>
        </is>
      </c>
      <c r="H433" s="7" t="inlineStr">
        <is>
          <t>Confirmed Fact</t>
        </is>
      </c>
      <c r="I433" s="7" t="inlineStr">
        <is>
          <t>MD-00107 moved on TR-00107; no embellishment added.</t>
        </is>
      </c>
    </row>
    <row r="434">
      <c r="A434" s="7" t="inlineStr">
        <is>
          <t>MD-00107</t>
        </is>
      </c>
      <c r="B434" s="7" t="inlineStr">
        <is>
          <t>2026-05-31</t>
        </is>
      </c>
      <c r="C434" s="7" t="inlineStr">
        <is>
          <t>Offboarding Ticket</t>
        </is>
      </c>
      <c r="D434" s="7" t="inlineStr">
        <is>
          <t>E0095</t>
        </is>
      </c>
      <c r="E434" s="7" t="inlineStr">
        <is>
          <t>IT Service Desk</t>
        </is>
      </c>
      <c r="F434" s="7" t="inlineStr"/>
      <c r="G434" s="7" t="inlineStr">
        <is>
          <t>RET-00107</t>
        </is>
      </c>
      <c r="H434" s="7" t="inlineStr">
        <is>
          <t>Technician Claim</t>
        </is>
      </c>
      <c r="I434" s="7" t="inlineStr">
        <is>
          <t>Offboarding ticket RET-00107 touches MD-00107; custodian change still required if register lags.</t>
        </is>
      </c>
    </row>
    <row r="435">
      <c r="A435" s="7" t="inlineStr">
        <is>
          <t>MD-00107</t>
        </is>
      </c>
      <c r="B435" s="7" t="inlineStr">
        <is>
          <t>2026-05-31</t>
        </is>
      </c>
      <c r="C435" s="7" t="inlineStr">
        <is>
          <t>Technician Comment</t>
        </is>
      </c>
      <c r="D435" s="7" t="inlineStr">
        <is>
          <t>Service Desk</t>
        </is>
      </c>
      <c r="E435" s="7" t="inlineStr"/>
      <c r="F435" s="7" t="inlineStr"/>
      <c r="G435" s="7" t="inlineStr">
        <is>
          <t>RET-00107</t>
        </is>
      </c>
      <c r="H435" s="7" t="inlineStr">
        <is>
          <t>Technician Claim</t>
        </is>
      </c>
      <c r="I435" s="7" t="inlineStr">
        <is>
          <t>Bench note RET-00107 for MD-00107; needs independent corroboration.</t>
        </is>
      </c>
    </row>
    <row r="436">
      <c r="A436" s="7" t="inlineStr">
        <is>
          <t>MD-00107</t>
        </is>
      </c>
      <c r="B436" s="7" t="inlineStr">
        <is>
          <t>2026-08-05</t>
        </is>
      </c>
      <c r="C436" s="7" t="inlineStr">
        <is>
          <t>Regional IT Note Lead</t>
        </is>
      </c>
      <c r="D436" s="7" t="inlineStr">
        <is>
          <t>Regional IT</t>
        </is>
      </c>
      <c r="E436" s="7" t="inlineStr"/>
      <c r="F436" s="7" t="inlineStr">
        <is>
          <t>Denver - Closed</t>
        </is>
      </c>
      <c r="G436" s="7" t="inlineStr">
        <is>
          <t>regional_IT_notes.docx</t>
        </is>
      </c>
      <c r="H436" s="7" t="inlineStr">
        <is>
          <t>Technician Claim</t>
        </is>
      </c>
      <c r="I436" s="7" t="inlineStr">
        <is>
          <t>Regional IT chatter on MD-00107 filed as regional_IT_notes.docx (lead only). Not used for verified location.</t>
        </is>
      </c>
    </row>
    <row r="437">
      <c r="A437" s="7" t="inlineStr">
        <is>
          <t>MD-00107</t>
        </is>
      </c>
      <c r="B437" s="7" t="inlineStr">
        <is>
          <t>2026-08-09</t>
        </is>
      </c>
      <c r="C437" s="7" t="inlineStr">
        <is>
          <t>Policy Control Figure</t>
        </is>
      </c>
      <c r="D437" s="7" t="inlineStr">
        <is>
          <t>ITAM-001</t>
        </is>
      </c>
      <c r="E437" s="7" t="inlineStr"/>
      <c r="F437" s="7" t="inlineStr"/>
      <c r="G437" s="7" t="inlineStr">
        <is>
          <t>ITAM_control_matrix.png</t>
        </is>
      </c>
      <c r="H437" s="7" t="inlineStr">
        <is>
          <t>Confirmed Fact</t>
        </is>
      </c>
      <c r="I437" s="7" t="inlineStr">
        <is>
          <t>ITAM matrix glance during MD-00107 chain build; disposition still needs PO/TR/ticket. Did not elevate to proof.</t>
        </is>
      </c>
    </row>
    <row r="438">
      <c r="A438" s="7" t="inlineStr">
        <is>
          <t>MD-00107</t>
        </is>
      </c>
      <c r="B438" s="7" t="inlineStr">
        <is>
          <t>2026-08-09</t>
        </is>
      </c>
      <c r="C438" s="7" t="inlineStr">
        <is>
          <t>Reconciliation Conclusion</t>
        </is>
      </c>
      <c r="D438" s="7" t="inlineStr">
        <is>
          <t>Evidence review</t>
        </is>
      </c>
      <c r="E438" s="7" t="inlineStr">
        <is>
          <t>Regional IT</t>
        </is>
      </c>
      <c r="F438" s="7" t="inlineStr">
        <is>
          <t>Seattle</t>
        </is>
      </c>
      <c r="G438" s="7" t="inlineStr">
        <is>
          <t>EX-0141, EX-0142</t>
        </is>
      </c>
      <c r="H438" s="7" t="inlineStr">
        <is>
          <t>Unresolved Assumption</t>
        </is>
      </c>
      <c r="I438" s="7" t="inlineStr">
        <is>
          <t>Documented end state MD-00107 → Retired/Pending Disposal, site Seattle. EX-0141, EX-0142.</t>
        </is>
      </c>
    </row>
    <row r="439">
      <c r="A439" s="7" t="inlineStr">
        <is>
          <t>MD-00108</t>
        </is>
      </c>
      <c r="B439" s="7" t="inlineStr">
        <is>
          <t>2022-01-13</t>
        </is>
      </c>
      <c r="C439" s="7" t="inlineStr">
        <is>
          <t>Purchase</t>
        </is>
      </c>
      <c r="D439" s="7" t="inlineStr">
        <is>
          <t>Vendor</t>
        </is>
      </c>
      <c r="E439" s="7" t="inlineStr">
        <is>
          <t>Central Receiving</t>
        </is>
      </c>
      <c r="F439" s="7" t="inlineStr">
        <is>
          <t>Atlanta Warehouse</t>
        </is>
      </c>
      <c r="G439" s="7" t="inlineStr">
        <is>
          <t>PO-2022-0021</t>
        </is>
      </c>
      <c r="H439" s="7" t="inlineStr">
        <is>
          <t>Confirmed Fact</t>
        </is>
      </c>
      <c r="I439" s="7" t="inlineStr">
        <is>
          <t>PO line PO-2022-0021 is the acquisition spine for MD-00108 (Lenovo ThinkPad X1 Carbon).</t>
        </is>
      </c>
    </row>
    <row r="440">
      <c r="A440" s="7" t="inlineStr">
        <is>
          <t>MD-00108</t>
        </is>
      </c>
      <c r="B440" s="7" t="inlineStr">
        <is>
          <t>2026-01-13</t>
        </is>
      </c>
      <c r="C440" s="7" t="inlineStr">
        <is>
          <t>Assignment/Transfer</t>
        </is>
      </c>
      <c r="D440" s="7" t="inlineStr">
        <is>
          <t>Central Receiving</t>
        </is>
      </c>
      <c r="E440" s="7" t="inlineStr">
        <is>
          <t>Regional IT</t>
        </is>
      </c>
      <c r="F440" s="7" t="inlineStr">
        <is>
          <t>Atlanta</t>
        </is>
      </c>
      <c r="G440" s="7" t="inlineStr">
        <is>
          <t>TR-00108</t>
        </is>
      </c>
      <c r="H440" s="7" t="inlineStr">
        <is>
          <t>Confirmed Fact</t>
        </is>
      </c>
      <c r="I440" s="7" t="inlineStr">
        <is>
          <t>equipment_transfer_log TR-00108: custody hop for MD-00108 [t440-1].</t>
        </is>
      </c>
    </row>
    <row r="441">
      <c r="A441" s="7" t="inlineStr">
        <is>
          <t>MD-00108</t>
        </is>
      </c>
      <c r="B441" s="7" t="inlineStr">
        <is>
          <t>2026-05-31</t>
        </is>
      </c>
      <c r="C441" s="7" t="inlineStr">
        <is>
          <t>Offboarding Ticket</t>
        </is>
      </c>
      <c r="D441" s="7" t="inlineStr">
        <is>
          <t>E0071</t>
        </is>
      </c>
      <c r="E441" s="7" t="inlineStr">
        <is>
          <t>IT Service Desk</t>
        </is>
      </c>
      <c r="F441" s="7" t="inlineStr"/>
      <c r="G441" s="7" t="inlineStr">
        <is>
          <t>RET-00108</t>
        </is>
      </c>
      <c r="H441" s="7" t="inlineStr">
        <is>
          <t>Technician Claim</t>
        </is>
      </c>
      <c r="I441" s="7" t="inlineStr">
        <is>
          <t>HR/IT offboarding RET-00108 lists MD-00108; verify register custodian matches ticket closeout.</t>
        </is>
      </c>
    </row>
    <row r="442">
      <c r="A442" s="7" t="inlineStr">
        <is>
          <t>MD-00108</t>
        </is>
      </c>
      <c r="B442" s="7" t="inlineStr">
        <is>
          <t>2026-05-31</t>
        </is>
      </c>
      <c r="C442" s="7" t="inlineStr">
        <is>
          <t>Technician Comment</t>
        </is>
      </c>
      <c r="D442" s="7" t="inlineStr">
        <is>
          <t>Service Desk</t>
        </is>
      </c>
      <c r="E442" s="7" t="inlineStr"/>
      <c r="F442" s="7" t="inlineStr"/>
      <c r="G442" s="7" t="inlineStr">
        <is>
          <t>RET-00108</t>
        </is>
      </c>
      <c r="H442" s="7" t="inlineStr">
        <is>
          <t>Technician Claim</t>
        </is>
      </c>
      <c r="I442" s="7" t="inlineStr">
        <is>
          <t>Tech remark filed against MD-00108 under RET-00108.</t>
        </is>
      </c>
    </row>
    <row r="443">
      <c r="A443" s="7" t="inlineStr">
        <is>
          <t>MD-00108</t>
        </is>
      </c>
      <c r="B443" s="7" t="inlineStr">
        <is>
          <t>2026-08-05</t>
        </is>
      </c>
      <c r="C443" s="7" t="inlineStr">
        <is>
          <t>Regional IT Note Lead</t>
        </is>
      </c>
      <c r="D443" s="7" t="inlineStr">
        <is>
          <t>Regional IT</t>
        </is>
      </c>
      <c r="E443" s="7" t="inlineStr"/>
      <c r="F443" s="7" t="inlineStr">
        <is>
          <t>Chicago - Closed</t>
        </is>
      </c>
      <c r="G443" s="7" t="inlineStr">
        <is>
          <t>regional_IT_notes.docx</t>
        </is>
      </c>
      <c r="H443" s="7" t="inlineStr">
        <is>
          <t>Technician Claim</t>
        </is>
      </c>
      <c r="I443" s="7" t="inlineStr">
        <is>
          <t>Technician aside about MD-00108 recorded under regional_IT_notes.docx; needs corroboration. Parked as tip.</t>
        </is>
      </c>
    </row>
    <row r="444">
      <c r="A444" s="7" t="inlineStr">
        <is>
          <t>MD-00108</t>
        </is>
      </c>
      <c r="B444" s="7" t="inlineStr">
        <is>
          <t>2026-08-09</t>
        </is>
      </c>
      <c r="C444" s="7" t="inlineStr">
        <is>
          <t>Policy Control Figure</t>
        </is>
      </c>
      <c r="D444" s="7" t="inlineStr">
        <is>
          <t>ITAM-001</t>
        </is>
      </c>
      <c r="E444" s="7" t="inlineStr"/>
      <c r="F444" s="7" t="inlineStr"/>
      <c r="G444" s="7" t="inlineStr">
        <is>
          <t>IT_asset_management_policy.pdf</t>
        </is>
      </c>
      <c r="H444" s="7" t="inlineStr">
        <is>
          <t>Confirmed Fact</t>
        </is>
      </c>
      <c r="I444" s="7" t="inlineStr">
        <is>
          <t>Figure review for MD-00108 finished before any disposition language was written. No clearance inferred.</t>
        </is>
      </c>
    </row>
    <row r="445">
      <c r="A445" s="7" t="inlineStr">
        <is>
          <t>MD-00108</t>
        </is>
      </c>
      <c r="B445" s="7" t="inlineStr">
        <is>
          <t>2026-08-09</t>
        </is>
      </c>
      <c r="C445" s="7" t="inlineStr">
        <is>
          <t>Reconciliation Conclusion</t>
        </is>
      </c>
      <c r="D445" s="7" t="inlineStr">
        <is>
          <t>Evidence review</t>
        </is>
      </c>
      <c r="E445" s="7" t="inlineStr">
        <is>
          <t>Regional IT</t>
        </is>
      </c>
      <c r="F445" s="7" t="inlineStr">
        <is>
          <t>Atlanta</t>
        </is>
      </c>
      <c r="G445" s="7" t="inlineStr">
        <is>
          <t>EX-0143, EX-0144</t>
        </is>
      </c>
      <c r="H445" s="7" t="inlineStr">
        <is>
          <t>Unresolved Assumption</t>
        </is>
      </c>
      <c r="I445" s="7" t="inlineStr">
        <is>
          <t>Summary for MD-00108: verified Retired/Pending Disposal @ Atlanta. Outstanding EX-0143, EX-0144.</t>
        </is>
      </c>
    </row>
    <row r="446">
      <c r="A446" s="7" t="inlineStr">
        <is>
          <t>MD-00109</t>
        </is>
      </c>
      <c r="B446" s="7" t="inlineStr">
        <is>
          <t>2023-02-14</t>
        </is>
      </c>
      <c r="C446" s="7" t="inlineStr">
        <is>
          <t>Purchase</t>
        </is>
      </c>
      <c r="D446" s="7" t="inlineStr">
        <is>
          <t>Vendor</t>
        </is>
      </c>
      <c r="E446" s="7" t="inlineStr">
        <is>
          <t>Central Receiving</t>
        </is>
      </c>
      <c r="F446" s="7" t="inlineStr">
        <is>
          <t>Atlanta Warehouse</t>
        </is>
      </c>
      <c r="G446" s="7" t="inlineStr">
        <is>
          <t>PO-2022-0021</t>
        </is>
      </c>
      <c r="H446" s="7" t="inlineStr">
        <is>
          <t>Confirmed Fact</t>
        </is>
      </c>
      <c r="I446" s="7" t="inlineStr">
        <is>
          <t>Bought MD-00109 (Lenovo ThinkPad T14) on PO-2022-0021 for $2,030.</t>
        </is>
      </c>
    </row>
    <row r="447">
      <c r="A447" s="7" t="inlineStr">
        <is>
          <t>MD-00109</t>
        </is>
      </c>
      <c r="B447" s="7" t="inlineStr">
        <is>
          <t>2026-02-14</t>
        </is>
      </c>
      <c r="C447" s="7" t="inlineStr">
        <is>
          <t>Assignment/Transfer</t>
        </is>
      </c>
      <c r="D447" s="7" t="inlineStr">
        <is>
          <t>Central Receiving</t>
        </is>
      </c>
      <c r="E447" s="7" t="inlineStr">
        <is>
          <t>Regional IT</t>
        </is>
      </c>
      <c r="F447" s="7" t="inlineStr">
        <is>
          <t>Chicago</t>
        </is>
      </c>
      <c r="G447" s="7" t="inlineStr">
        <is>
          <t>TR-00109</t>
        </is>
      </c>
      <c r="H447" s="7" t="inlineStr">
        <is>
          <t>Confirmed Fact</t>
        </is>
      </c>
      <c r="I447" s="7" t="inlineStr">
        <is>
          <t>Assignment event TR-00109 on MD-00109 without approval_id [t447-1].</t>
        </is>
      </c>
    </row>
    <row r="448">
      <c r="A448" s="7" t="inlineStr">
        <is>
          <t>MD-00109</t>
        </is>
      </c>
      <c r="B448" s="7" t="inlineStr">
        <is>
          <t>2026-05-31</t>
        </is>
      </c>
      <c r="C448" s="7" t="inlineStr">
        <is>
          <t>Offboarding Ticket</t>
        </is>
      </c>
      <c r="D448" s="7" t="inlineStr">
        <is>
          <t>E0072</t>
        </is>
      </c>
      <c r="E448" s="7" t="inlineStr">
        <is>
          <t>IT Service Desk</t>
        </is>
      </c>
      <c r="F448" s="7" t="inlineStr"/>
      <c r="G448" s="7" t="inlineStr">
        <is>
          <t>RET-00109</t>
        </is>
      </c>
      <c r="H448" s="7" t="inlineStr">
        <is>
          <t>Technician Claim</t>
        </is>
      </c>
      <c r="I448" s="7" t="inlineStr">
        <is>
          <t>HR/IT offboarding RET-00109 lists MD-00109; verify register custodian matches ticket closeout.</t>
        </is>
      </c>
    </row>
    <row r="449">
      <c r="A449" s="7" t="inlineStr">
        <is>
          <t>MD-00109</t>
        </is>
      </c>
      <c r="B449" s="7" t="inlineStr">
        <is>
          <t>2026-05-31</t>
        </is>
      </c>
      <c r="C449" s="7" t="inlineStr">
        <is>
          <t>Technician Comment</t>
        </is>
      </c>
      <c r="D449" s="7" t="inlineStr">
        <is>
          <t>Service Desk</t>
        </is>
      </c>
      <c r="E449" s="7" t="inlineStr"/>
      <c r="F449" s="7" t="inlineStr"/>
      <c r="G449" s="7" t="inlineStr">
        <is>
          <t>RET-00109</t>
        </is>
      </c>
      <c r="H449" s="7" t="inlineStr">
        <is>
          <t>Technician Claim</t>
        </is>
      </c>
      <c r="I449" s="7" t="inlineStr">
        <is>
          <t>Tech remark filed against MD-00109 under RET-00109.</t>
        </is>
      </c>
    </row>
    <row r="450">
      <c r="A450" s="7" t="inlineStr">
        <is>
          <t>MD-00109</t>
        </is>
      </c>
      <c r="B450" s="7" t="inlineStr">
        <is>
          <t>2026-08-05</t>
        </is>
      </c>
      <c r="C450" s="7" t="inlineStr">
        <is>
          <t>Regional IT Note Lead</t>
        </is>
      </c>
      <c r="D450" s="7" t="inlineStr">
        <is>
          <t>Regional IT</t>
        </is>
      </c>
      <c r="E450" s="7" t="inlineStr"/>
      <c r="F450" s="7" t="inlineStr">
        <is>
          <t>Denver - Closed</t>
        </is>
      </c>
      <c r="G450" s="7" t="inlineStr">
        <is>
          <t>regional_IT_notes.docx</t>
        </is>
      </c>
      <c r="H450" s="7" t="inlineStr">
        <is>
          <t>Technician Claim</t>
        </is>
      </c>
      <c r="I450" s="7" t="inlineStr">
        <is>
          <t>Note regional_IT_notes.docx mentions MD-00109 informally; corroboration required. Needs ticket or scan before use.</t>
        </is>
      </c>
    </row>
    <row r="451">
      <c r="A451" s="7" t="inlineStr">
        <is>
          <t>MD-00109</t>
        </is>
      </c>
      <c r="B451" s="7" t="inlineStr">
        <is>
          <t>2026-08-09</t>
        </is>
      </c>
      <c r="C451" s="7" t="inlineStr">
        <is>
          <t>Policy Control Figure</t>
        </is>
      </c>
      <c r="D451" s="7" t="inlineStr">
        <is>
          <t>ITAM-001</t>
        </is>
      </c>
      <c r="E451" s="7" t="inlineStr"/>
      <c r="F451" s="7" t="inlineStr"/>
      <c r="G451" s="7" t="inlineStr">
        <is>
          <t>ITAM_control_matrix.png; IT_asset_management_policy.pdf</t>
        </is>
      </c>
      <c r="H451" s="7" t="inlineStr">
        <is>
          <t>Confirmed Fact</t>
        </is>
      </c>
      <c r="I451" s="7" t="inlineStr">
        <is>
          <t>For MD-00109, the policy figure clarifies evidence precedence without adding new facts. Logged as multimodal lead.</t>
        </is>
      </c>
    </row>
    <row r="452">
      <c r="A452" s="7" t="inlineStr">
        <is>
          <t>MD-00109</t>
        </is>
      </c>
      <c r="B452" s="7" t="inlineStr">
        <is>
          <t>2026-08-09</t>
        </is>
      </c>
      <c r="C452" s="7" t="inlineStr">
        <is>
          <t>Reconciliation Conclusion</t>
        </is>
      </c>
      <c r="D452" s="7" t="inlineStr">
        <is>
          <t>Evidence review</t>
        </is>
      </c>
      <c r="E452" s="7" t="inlineStr">
        <is>
          <t>Regional IT</t>
        </is>
      </c>
      <c r="F452" s="7" t="inlineStr">
        <is>
          <t>Chicago</t>
        </is>
      </c>
      <c r="G452" s="7" t="inlineStr">
        <is>
          <t>EX-0145, EX-0146</t>
        </is>
      </c>
      <c r="H452" s="7" t="inlineStr">
        <is>
          <t>Unresolved Assumption</t>
        </is>
      </c>
      <c r="I452" s="7" t="inlineStr">
        <is>
          <t>Reconciled MD-00109 to verified status Retired/Pending Disposal / Chicago. Open: EX-0145, EX-0146.</t>
        </is>
      </c>
    </row>
    <row r="453">
      <c r="A453" s="7" t="inlineStr">
        <is>
          <t>MD-00110</t>
        </is>
      </c>
      <c r="B453" s="7" t="inlineStr">
        <is>
          <t>2024-03-15</t>
        </is>
      </c>
      <c r="C453" s="7" t="inlineStr">
        <is>
          <t>Purchase</t>
        </is>
      </c>
      <c r="D453" s="7" t="inlineStr">
        <is>
          <t>Vendor</t>
        </is>
      </c>
      <c r="E453" s="7" t="inlineStr">
        <is>
          <t>Central Receiving</t>
        </is>
      </c>
      <c r="F453" s="7" t="inlineStr">
        <is>
          <t>Atlanta Warehouse</t>
        </is>
      </c>
      <c r="G453" s="7" t="inlineStr">
        <is>
          <t>PO-2022-0021</t>
        </is>
      </c>
      <c r="H453" s="7" t="inlineStr">
        <is>
          <t>Confirmed Fact</t>
        </is>
      </c>
      <c r="I453" s="7" t="inlineStr">
        <is>
          <t>PO-2022-0021 → MD-00110 / Dell Latitude 7440, basis $745.</t>
        </is>
      </c>
    </row>
    <row r="454">
      <c r="A454" s="7" t="inlineStr">
        <is>
          <t>MD-00110</t>
        </is>
      </c>
      <c r="B454" s="7" t="inlineStr">
        <is>
          <t>2026-03-15</t>
        </is>
      </c>
      <c r="C454" s="7" t="inlineStr">
        <is>
          <t>Assignment/Transfer</t>
        </is>
      </c>
      <c r="D454" s="7" t="inlineStr">
        <is>
          <t>Central Receiving</t>
        </is>
      </c>
      <c r="E454" s="7" t="inlineStr">
        <is>
          <t>Regional IT</t>
        </is>
      </c>
      <c r="F454" s="7" t="inlineStr">
        <is>
          <t>Dallas</t>
        </is>
      </c>
      <c r="G454" s="7" t="inlineStr">
        <is>
          <t>TR-00110</t>
        </is>
      </c>
      <c r="H454" s="7" t="inlineStr">
        <is>
          <t>Confirmed Fact</t>
        </is>
      </c>
      <c r="I454" s="7" t="inlineStr">
        <is>
          <t>Custody change on MD-00110 rests on transfer TR-00110.</t>
        </is>
      </c>
    </row>
    <row r="455">
      <c r="A455" s="7" t="inlineStr">
        <is>
          <t>MD-00110</t>
        </is>
      </c>
      <c r="B455" s="7" t="inlineStr">
        <is>
          <t>2026-05-31</t>
        </is>
      </c>
      <c r="C455" s="7" t="inlineStr">
        <is>
          <t>Offboarding Ticket</t>
        </is>
      </c>
      <c r="D455" s="7" t="inlineStr">
        <is>
          <t>E0073</t>
        </is>
      </c>
      <c r="E455" s="7" t="inlineStr">
        <is>
          <t>IT Service Desk</t>
        </is>
      </c>
      <c r="F455" s="7" t="inlineStr"/>
      <c r="G455" s="7" t="inlineStr">
        <is>
          <t>RET-00110</t>
        </is>
      </c>
      <c r="H455" s="7" t="inlineStr">
        <is>
          <t>Technician Claim</t>
        </is>
      </c>
      <c r="I455" s="7" t="inlineStr">
        <is>
          <t>Separated-employee workflow RET-00110 includes MD-00110.</t>
        </is>
      </c>
    </row>
    <row r="456">
      <c r="A456" s="7" t="inlineStr">
        <is>
          <t>MD-00110</t>
        </is>
      </c>
      <c r="B456" s="7" t="inlineStr">
        <is>
          <t>2026-05-31</t>
        </is>
      </c>
      <c r="C456" s="7" t="inlineStr">
        <is>
          <t>Technician Comment</t>
        </is>
      </c>
      <c r="D456" s="7" t="inlineStr">
        <is>
          <t>Service Desk</t>
        </is>
      </c>
      <c r="E456" s="7" t="inlineStr"/>
      <c r="F456" s="7" t="inlineStr"/>
      <c r="G456" s="7" t="inlineStr">
        <is>
          <t>RET-00110</t>
        </is>
      </c>
      <c r="H456" s="7" t="inlineStr">
        <is>
          <t>Technician Claim</t>
        </is>
      </c>
      <c r="I456" s="7" t="inlineStr">
        <is>
          <t>Tech remark filed against MD-00110 under RET-00110.</t>
        </is>
      </c>
    </row>
    <row r="457">
      <c r="A457" s="7" t="inlineStr">
        <is>
          <t>MD-00110</t>
        </is>
      </c>
      <c r="B457" s="7" t="inlineStr">
        <is>
          <t>2026-08-05</t>
        </is>
      </c>
      <c r="C457" s="7" t="inlineStr">
        <is>
          <t>Regional IT Note Lead</t>
        </is>
      </c>
      <c r="D457" s="7" t="inlineStr">
        <is>
          <t>Regional IT</t>
        </is>
      </c>
      <c r="E457" s="7" t="inlineStr"/>
      <c r="F457" s="7" t="inlineStr">
        <is>
          <t>Chicago - Closed</t>
        </is>
      </c>
      <c r="G457" s="7" t="inlineStr">
        <is>
          <t>regional_IT_notes.docx</t>
        </is>
      </c>
      <c r="H457" s="7" t="inlineStr">
        <is>
          <t>Technician Claim</t>
        </is>
      </c>
      <c r="I457" s="7" t="inlineStr">
        <is>
          <t>Note regional_IT_notes.docx mentions MD-00110 informally; corroboration required. Held as investigative crumb.</t>
        </is>
      </c>
    </row>
    <row r="458">
      <c r="A458" s="7" t="inlineStr">
        <is>
          <t>MD-00110</t>
        </is>
      </c>
      <c r="B458" s="7" t="inlineStr">
        <is>
          <t>2026-08-09</t>
        </is>
      </c>
      <c r="C458" s="7" t="inlineStr">
        <is>
          <t>Policy Control Figure</t>
        </is>
      </c>
      <c r="D458" s="7" t="inlineStr">
        <is>
          <t>ITAM-001</t>
        </is>
      </c>
      <c r="E458" s="7" t="inlineStr"/>
      <c r="F458" s="7" t="inlineStr"/>
      <c r="G458" s="7" t="inlineStr">
        <is>
          <t>ITAM_control_matrix.png</t>
        </is>
      </c>
      <c r="H458" s="7" t="inlineStr">
        <is>
          <t>Confirmed Fact</t>
        </is>
      </c>
      <c r="I458" s="7" t="inlineStr">
        <is>
          <t>ITAM_control_matrix.png used as a checklist reminder for MD-00110, then verified against logs. Left as orientation.</t>
        </is>
      </c>
    </row>
    <row r="459">
      <c r="A459" s="7" t="inlineStr">
        <is>
          <t>MD-00110</t>
        </is>
      </c>
      <c r="B459" s="7" t="inlineStr">
        <is>
          <t>2026-08-09</t>
        </is>
      </c>
      <c r="C459" s="7" t="inlineStr">
        <is>
          <t>Reconciliation Conclusion</t>
        </is>
      </c>
      <c r="D459" s="7" t="inlineStr">
        <is>
          <t>Evidence review</t>
        </is>
      </c>
      <c r="E459" s="7" t="inlineStr">
        <is>
          <t>Regional IT</t>
        </is>
      </c>
      <c r="F459" s="7" t="inlineStr">
        <is>
          <t>Dallas</t>
        </is>
      </c>
      <c r="G459" s="7" t="inlineStr">
        <is>
          <t>EX-0147, EX-0148</t>
        </is>
      </c>
      <c r="H459" s="7" t="inlineStr">
        <is>
          <t>Unresolved Assumption</t>
        </is>
      </c>
      <c r="I459" s="7" t="inlineStr">
        <is>
          <t>Reconciled MD-00110 to verified status Retired/Pending Disposal / Dallas. Open: EX-0147, EX-0148.</t>
        </is>
      </c>
    </row>
    <row r="460">
      <c r="A460" s="7" t="inlineStr">
        <is>
          <t>MD-00114</t>
        </is>
      </c>
      <c r="B460" s="7" t="inlineStr">
        <is>
          <t>2024-07-19</t>
        </is>
      </c>
      <c r="C460" s="7" t="inlineStr">
        <is>
          <t>Purchase</t>
        </is>
      </c>
      <c r="D460" s="7" t="inlineStr">
        <is>
          <t>Vendor</t>
        </is>
      </c>
      <c r="E460" s="7" t="inlineStr">
        <is>
          <t>Central Receiving</t>
        </is>
      </c>
      <c r="F460" s="7" t="inlineStr">
        <is>
          <t>Atlanta Warehouse</t>
        </is>
      </c>
      <c r="G460" s="7" t="inlineStr">
        <is>
          <t>PO-2024-0024</t>
        </is>
      </c>
      <c r="H460" s="7" t="inlineStr">
        <is>
          <t>Confirmed Fact</t>
        </is>
      </c>
      <c r="I460" s="7" t="inlineStr">
        <is>
          <t>PO-2024-0024 → MD-00114 / Lenovo ThinkPad T14, basis $610.</t>
        </is>
      </c>
    </row>
    <row r="461">
      <c r="A461" s="7" t="inlineStr">
        <is>
          <t>MD-00114</t>
        </is>
      </c>
      <c r="B461" s="7" t="inlineStr">
        <is>
          <t>2026-01-19</t>
        </is>
      </c>
      <c r="C461" s="7" t="inlineStr">
        <is>
          <t>Assignment/Transfer</t>
        </is>
      </c>
      <c r="D461" s="7" t="inlineStr">
        <is>
          <t>Central Receiving</t>
        </is>
      </c>
      <c r="E461" s="7" t="inlineStr">
        <is>
          <t>Certified Recycler</t>
        </is>
      </c>
      <c r="F461" s="7" t="inlineStr">
        <is>
          <t>Disposed</t>
        </is>
      </c>
      <c r="G461" s="7" t="inlineStr">
        <is>
          <t>TR-00114</t>
        </is>
      </c>
      <c r="H461" s="7" t="inlineStr">
        <is>
          <t>Confirmed Fact</t>
        </is>
      </c>
      <c r="I461" s="7" t="inlineStr">
        <is>
          <t>Recorded relocation TR-00114 for MD-00114 into Disposed [t461-1].</t>
        </is>
      </c>
    </row>
    <row r="462">
      <c r="A462" s="7" t="inlineStr">
        <is>
          <t>MD-00114</t>
        </is>
      </c>
      <c r="B462" s="7" t="inlineStr">
        <is>
          <t>2026-05-31</t>
        </is>
      </c>
      <c r="C462" s="7" t="inlineStr">
        <is>
          <t>Offboarding Ticket</t>
        </is>
      </c>
      <c r="D462" s="7" t="inlineStr">
        <is>
          <t>E0077</t>
        </is>
      </c>
      <c r="E462" s="7" t="inlineStr">
        <is>
          <t>IT Service Desk</t>
        </is>
      </c>
      <c r="F462" s="7" t="inlineStr"/>
      <c r="G462" s="7" t="inlineStr">
        <is>
          <t>RET-00114</t>
        </is>
      </c>
      <c r="H462" s="7" t="inlineStr">
        <is>
          <t>Technician Claim</t>
        </is>
      </c>
      <c r="I462" s="7" t="inlineStr">
        <is>
          <t>Separated-employee workflow RET-00114 includes MD-00114.</t>
        </is>
      </c>
    </row>
    <row r="463">
      <c r="A463" s="7" t="inlineStr">
        <is>
          <t>MD-00114</t>
        </is>
      </c>
      <c r="B463" s="7" t="inlineStr">
        <is>
          <t>2026-05-31</t>
        </is>
      </c>
      <c r="C463" s="7" t="inlineStr">
        <is>
          <t>Technician Comment</t>
        </is>
      </c>
      <c r="D463" s="7" t="inlineStr">
        <is>
          <t>Service Desk</t>
        </is>
      </c>
      <c r="E463" s="7" t="inlineStr"/>
      <c r="F463" s="7" t="inlineStr"/>
      <c r="G463" s="7" t="inlineStr">
        <is>
          <t>RET-00114</t>
        </is>
      </c>
      <c r="H463" s="7" t="inlineStr">
        <is>
          <t>Technician Claim</t>
        </is>
      </c>
      <c r="I463" s="7" t="inlineStr">
        <is>
          <t>Technician comment on MD-00114 retained as unverified (RET-00114).</t>
        </is>
      </c>
    </row>
    <row r="464">
      <c r="A464" s="7" t="inlineStr">
        <is>
          <t>MD-00114</t>
        </is>
      </c>
      <c r="B464" s="7" t="inlineStr">
        <is>
          <t>2026-01-20</t>
        </is>
      </c>
      <c r="C464" s="7" t="inlineStr">
        <is>
          <t>Disposal Evidence Gap</t>
        </is>
      </c>
      <c r="D464" s="7" t="inlineStr">
        <is>
          <t>Central Receiving</t>
        </is>
      </c>
      <c r="E464" s="7" t="inlineStr">
        <is>
          <t>Certified Recycler</t>
        </is>
      </c>
      <c r="F464" s="7" t="inlineStr">
        <is>
          <t>Disposed</t>
        </is>
      </c>
      <c r="G464" s="7" t="inlineStr">
        <is>
          <t>TR-00114</t>
        </is>
      </c>
      <c r="H464" s="7" t="inlineStr">
        <is>
          <t>Unresolved Assumption</t>
        </is>
      </c>
      <c r="I464" s="7" t="inlineStr">
        <is>
          <t>Disposal evidence gap on MD-00114; certificate still missing (TR-00114).</t>
        </is>
      </c>
    </row>
    <row r="465">
      <c r="A465" s="7" t="inlineStr">
        <is>
          <t>MD-00114</t>
        </is>
      </c>
      <c r="B465" s="7" t="inlineStr">
        <is>
          <t>2026-08-05</t>
        </is>
      </c>
      <c r="C465" s="7" t="inlineStr">
        <is>
          <t>Regional IT Note Lead</t>
        </is>
      </c>
      <c r="D465" s="7" t="inlineStr">
        <is>
          <t>Regional IT</t>
        </is>
      </c>
      <c r="E465" s="7" t="inlineStr"/>
      <c r="F465" s="7" t="inlineStr">
        <is>
          <t>Chicago - Closed</t>
        </is>
      </c>
      <c r="G465" s="7" t="inlineStr">
        <is>
          <t>regional_IT_notes.docx</t>
        </is>
      </c>
      <c r="H465" s="7" t="inlineStr">
        <is>
          <t>Technician Claim</t>
        </is>
      </c>
      <c r="I465" s="7" t="inlineStr">
        <is>
          <t>Captured regional_IT_notes.docx against MD-00114 as a non-authoritative lead. Follow-up only.</t>
        </is>
      </c>
    </row>
    <row r="466">
      <c r="A466" s="7" t="inlineStr">
        <is>
          <t>MD-00114</t>
        </is>
      </c>
      <c r="B466" s="7" t="inlineStr">
        <is>
          <t>2026-08-09</t>
        </is>
      </c>
      <c r="C466" s="7" t="inlineStr">
        <is>
          <t>Policy Control Figure</t>
        </is>
      </c>
      <c r="D466" s="7" t="inlineStr">
        <is>
          <t>ITAM-001</t>
        </is>
      </c>
      <c r="E466" s="7" t="inlineStr"/>
      <c r="F466" s="7" t="inlineStr"/>
      <c r="G466" s="7" t="inlineStr">
        <is>
          <t>IT_asset_management_policy.pdf §§4–9; ITAM_control_matrix.png</t>
        </is>
      </c>
      <c r="H466" s="7" t="inlineStr">
        <is>
          <t>Confirmed Fact</t>
        </is>
      </c>
      <c r="I466" s="7" t="inlineStr">
        <is>
          <t>Multimodal lead logged for MD-00114 from ITAM_control_matrix.png without relying on it. Did not elevate to proof.</t>
        </is>
      </c>
    </row>
    <row r="467">
      <c r="A467" s="7" t="inlineStr">
        <is>
          <t>MD-00114</t>
        </is>
      </c>
      <c r="B467" s="7" t="inlineStr">
        <is>
          <t>2026-08-09</t>
        </is>
      </c>
      <c r="C467" s="7" t="inlineStr">
        <is>
          <t>Reconciliation Conclusion</t>
        </is>
      </c>
      <c r="D467" s="7" t="inlineStr">
        <is>
          <t>Evidence review</t>
        </is>
      </c>
      <c r="E467" s="7" t="inlineStr">
        <is>
          <t>Certified Recycler</t>
        </is>
      </c>
      <c r="F467" s="7" t="inlineStr">
        <is>
          <t>Disposed (certificate missing)</t>
        </is>
      </c>
      <c r="G467" s="7" t="inlineStr">
        <is>
          <t>EX-0149, EX-0150</t>
        </is>
      </c>
      <c r="H467" s="7" t="inlineStr">
        <is>
          <t>Unresolved Assumption</t>
        </is>
      </c>
      <c r="I467" s="7" t="inlineStr">
        <is>
          <t>Chain closed on MD-00114 with operational reading Retired/Pending Disposal. Linked EX-0149, EX-0150.</t>
        </is>
      </c>
    </row>
    <row r="468">
      <c r="A468" s="7" t="inlineStr">
        <is>
          <t>MD-00118</t>
        </is>
      </c>
      <c r="B468" s="7" t="inlineStr">
        <is>
          <t>2024-11-23</t>
        </is>
      </c>
      <c r="C468" s="7" t="inlineStr">
        <is>
          <t>Purchase</t>
        </is>
      </c>
      <c r="D468" s="7" t="inlineStr">
        <is>
          <t>Vendor</t>
        </is>
      </c>
      <c r="E468" s="7" t="inlineStr">
        <is>
          <t>Central Receiving</t>
        </is>
      </c>
      <c r="F468" s="7" t="inlineStr">
        <is>
          <t>Atlanta Warehouse</t>
        </is>
      </c>
      <c r="G468" s="7" t="inlineStr">
        <is>
          <t>PO-2024-0024</t>
        </is>
      </c>
      <c r="H468" s="7" t="inlineStr">
        <is>
          <t>Confirmed Fact</t>
        </is>
      </c>
      <c r="I468" s="7" t="inlineStr">
        <is>
          <t>MD-00118 enters inventory via PO-2024-0024; model Microsoft Surface Laptop 5.</t>
        </is>
      </c>
    </row>
    <row r="469">
      <c r="A469" s="7" t="inlineStr">
        <is>
          <t>MD-00118</t>
        </is>
      </c>
      <c r="B469" s="7" t="inlineStr">
        <is>
          <t>2026-05-23</t>
        </is>
      </c>
      <c r="C469" s="7" t="inlineStr">
        <is>
          <t>Assignment/Transfer</t>
        </is>
      </c>
      <c r="D469" s="7" t="inlineStr">
        <is>
          <t>Central Receiving</t>
        </is>
      </c>
      <c r="E469" s="7" t="inlineStr">
        <is>
          <t>Certified Recycler</t>
        </is>
      </c>
      <c r="F469" s="7" t="inlineStr">
        <is>
          <t>Disposed</t>
        </is>
      </c>
      <c r="G469" s="7" t="inlineStr">
        <is>
          <t>TR-00118</t>
        </is>
      </c>
      <c r="H469" s="7" t="inlineStr">
        <is>
          <t>Confirmed Fact</t>
        </is>
      </c>
      <c r="I469" s="7" t="inlineStr">
        <is>
          <t>Use TR-00118 when reconstructing the MD-00118 custody hop [t469-1].</t>
        </is>
      </c>
    </row>
    <row r="470">
      <c r="A470" s="7" t="inlineStr">
        <is>
          <t>MD-00118</t>
        </is>
      </c>
      <c r="B470" s="7" t="inlineStr">
        <is>
          <t>2026-05-31</t>
        </is>
      </c>
      <c r="C470" s="7" t="inlineStr">
        <is>
          <t>Offboarding Ticket</t>
        </is>
      </c>
      <c r="D470" s="7" t="inlineStr">
        <is>
          <t>E0081</t>
        </is>
      </c>
      <c r="E470" s="7" t="inlineStr">
        <is>
          <t>IT Service Desk</t>
        </is>
      </c>
      <c r="F470" s="7" t="inlineStr"/>
      <c r="G470" s="7" t="inlineStr">
        <is>
          <t>RET-00118</t>
        </is>
      </c>
      <c r="H470" s="7" t="inlineStr">
        <is>
          <t>Technician Claim</t>
        </is>
      </c>
      <c r="I470" s="7" t="inlineStr">
        <is>
          <t>Offboard record RET-00118 flags MD-00118 for custodian cleanup.</t>
        </is>
      </c>
    </row>
    <row r="471">
      <c r="A471" s="7" t="inlineStr">
        <is>
          <t>MD-00118</t>
        </is>
      </c>
      <c r="B471" s="7" t="inlineStr">
        <is>
          <t>2026-05-31</t>
        </is>
      </c>
      <c r="C471" s="7" t="inlineStr">
        <is>
          <t>Technician Comment</t>
        </is>
      </c>
      <c r="D471" s="7" t="inlineStr">
        <is>
          <t>Service Desk</t>
        </is>
      </c>
      <c r="E471" s="7" t="inlineStr"/>
      <c r="F471" s="7" t="inlineStr"/>
      <c r="G471" s="7" t="inlineStr">
        <is>
          <t>RET-00118</t>
        </is>
      </c>
      <c r="H471" s="7" t="inlineStr">
        <is>
          <t>Technician Claim</t>
        </is>
      </c>
      <c r="I471" s="7" t="inlineStr">
        <is>
          <t>Tech remark filed against MD-00118 under RET-00118.</t>
        </is>
      </c>
    </row>
    <row r="472">
      <c r="A472" s="7" t="inlineStr">
        <is>
          <t>MD-00118</t>
        </is>
      </c>
      <c r="B472" s="7" t="inlineStr">
        <is>
          <t>2026-05-24</t>
        </is>
      </c>
      <c r="C472" s="7" t="inlineStr">
        <is>
          <t>Disposal Evidence Gap</t>
        </is>
      </c>
      <c r="D472" s="7" t="inlineStr">
        <is>
          <t>Central Receiving</t>
        </is>
      </c>
      <c r="E472" s="7" t="inlineStr">
        <is>
          <t>Certified Recycler</t>
        </is>
      </c>
      <c r="F472" s="7" t="inlineStr">
        <is>
          <t>Disposed</t>
        </is>
      </c>
      <c r="G472" s="7" t="inlineStr">
        <is>
          <t>TR-00118</t>
        </is>
      </c>
      <c r="H472" s="7" t="inlineStr">
        <is>
          <t>Unresolved Assumption</t>
        </is>
      </c>
      <c r="I472" s="7" t="inlineStr">
        <is>
          <t>Disposal packet incomplete for MD-00118; see TR-00118.</t>
        </is>
      </c>
    </row>
    <row r="473">
      <c r="A473" s="7" t="inlineStr">
        <is>
          <t>MD-00118</t>
        </is>
      </c>
      <c r="B473" s="7" t="inlineStr">
        <is>
          <t>2026-08-05</t>
        </is>
      </c>
      <c r="C473" s="7" t="inlineStr">
        <is>
          <t>Regional IT Note Lead</t>
        </is>
      </c>
      <c r="D473" s="7" t="inlineStr">
        <is>
          <t>Regional IT</t>
        </is>
      </c>
      <c r="E473" s="7" t="inlineStr"/>
      <c r="F473" s="7" t="inlineStr">
        <is>
          <t>Chicago - Closed</t>
        </is>
      </c>
      <c r="G473" s="7" t="inlineStr">
        <is>
          <t>regional_IT_notes.docx</t>
        </is>
      </c>
      <c r="H473" s="7" t="inlineStr">
        <is>
          <t>Technician Claim</t>
        </is>
      </c>
      <c r="I473" s="7" t="inlineStr">
        <is>
          <t>Field tip regional_IT_notes.docx for MD-00118; still waiting on independent proof. Not used for verified location.</t>
        </is>
      </c>
    </row>
    <row r="474">
      <c r="A474" s="7" t="inlineStr">
        <is>
          <t>MD-00118</t>
        </is>
      </c>
      <c r="B474" s="7" t="inlineStr">
        <is>
          <t>2026-08-09</t>
        </is>
      </c>
      <c r="C474" s="7" t="inlineStr">
        <is>
          <t>Policy Control Figure</t>
        </is>
      </c>
      <c r="D474" s="7" t="inlineStr">
        <is>
          <t>ITAM-001</t>
        </is>
      </c>
      <c r="E474" s="7" t="inlineStr"/>
      <c r="F474" s="7" t="inlineStr"/>
      <c r="G474" s="7" t="inlineStr">
        <is>
          <t>ITAM_control_matrix.png Appendix A</t>
        </is>
      </c>
      <c r="H474" s="7" t="inlineStr">
        <is>
          <t>Confirmed Fact</t>
        </is>
      </c>
      <c r="I474" s="7" t="inlineStr">
        <is>
          <t>For MD-00118, the policy figure clarifies evidence precedence without adding new facts. Did not elevate to proof.</t>
        </is>
      </c>
    </row>
    <row r="475">
      <c r="A475" s="7" t="inlineStr">
        <is>
          <t>MD-00118</t>
        </is>
      </c>
      <c r="B475" s="7" t="inlineStr">
        <is>
          <t>2026-08-09</t>
        </is>
      </c>
      <c r="C475" s="7" t="inlineStr">
        <is>
          <t>Reconciliation Conclusion</t>
        </is>
      </c>
      <c r="D475" s="7" t="inlineStr">
        <is>
          <t>Evidence review</t>
        </is>
      </c>
      <c r="E475" s="7" t="inlineStr">
        <is>
          <t>Certified Recycler</t>
        </is>
      </c>
      <c r="F475" s="7" t="inlineStr">
        <is>
          <t>Disposed (certificate missing)</t>
        </is>
      </c>
      <c r="G475" s="7" t="inlineStr">
        <is>
          <t>EX-0151, EX-0152</t>
        </is>
      </c>
      <c r="H475" s="7" t="inlineStr">
        <is>
          <t>Unresolved Assumption</t>
        </is>
      </c>
      <c r="I475" s="7" t="inlineStr">
        <is>
          <t>Closed the chain for MD-00118 at Disposed (certificate missing) with status Retired/Pending Disposal. Flags EX-0151, EX-0152.</t>
        </is>
      </c>
    </row>
    <row r="476">
      <c r="A476" s="7" t="inlineStr">
        <is>
          <t>MD-00119</t>
        </is>
      </c>
      <c r="B476" s="7" t="inlineStr">
        <is>
          <t>2025-12-24</t>
        </is>
      </c>
      <c r="C476" s="7" t="inlineStr">
        <is>
          <t>Purchase</t>
        </is>
      </c>
      <c r="D476" s="7" t="inlineStr">
        <is>
          <t>Vendor</t>
        </is>
      </c>
      <c r="E476" s="7" t="inlineStr">
        <is>
          <t>Central Receiving</t>
        </is>
      </c>
      <c r="F476" s="7" t="inlineStr">
        <is>
          <t>Atlanta Warehouse</t>
        </is>
      </c>
      <c r="G476" s="7" t="inlineStr">
        <is>
          <t>PO-2024-0024</t>
        </is>
      </c>
      <c r="H476" s="7" t="inlineStr">
        <is>
          <t>Confirmed Fact</t>
        </is>
      </c>
      <c r="I476" s="7" t="inlineStr">
        <is>
          <t>Buy recorded for MD-00119 under PO-2024-0024; Lenovo ThinkPad X1 Carbon received into inventory.</t>
        </is>
      </c>
    </row>
    <row r="477">
      <c r="A477" s="7" t="inlineStr">
        <is>
          <t>MD-00119</t>
        </is>
      </c>
      <c r="B477" s="7" t="inlineStr">
        <is>
          <t>2026-06-24</t>
        </is>
      </c>
      <c r="C477" s="7" t="inlineStr">
        <is>
          <t>Assignment/Transfer</t>
        </is>
      </c>
      <c r="D477" s="7" t="inlineStr">
        <is>
          <t>Central Receiving</t>
        </is>
      </c>
      <c r="E477" s="7" t="inlineStr">
        <is>
          <t>Certified Recycler</t>
        </is>
      </c>
      <c r="F477" s="7" t="inlineStr">
        <is>
          <t>Disposed</t>
        </is>
      </c>
      <c r="G477" s="7" t="inlineStr">
        <is>
          <t>TR-00119</t>
        </is>
      </c>
      <c r="H477" s="7" t="inlineStr">
        <is>
          <t>Confirmed Fact</t>
        </is>
      </c>
      <c r="I477" s="7" t="inlineStr">
        <is>
          <t>Chain event for MD-00119: transfer TR-00119 to Disposed [t477-1].</t>
        </is>
      </c>
    </row>
    <row r="478">
      <c r="A478" s="7" t="inlineStr">
        <is>
          <t>MD-00119</t>
        </is>
      </c>
      <c r="B478" s="7" t="inlineStr">
        <is>
          <t>2026-05-31</t>
        </is>
      </c>
      <c r="C478" s="7" t="inlineStr">
        <is>
          <t>Offboarding Ticket</t>
        </is>
      </c>
      <c r="D478" s="7" t="inlineStr">
        <is>
          <t>E0082</t>
        </is>
      </c>
      <c r="E478" s="7" t="inlineStr">
        <is>
          <t>IT Service Desk</t>
        </is>
      </c>
      <c r="F478" s="7" t="inlineStr"/>
      <c r="G478" s="7" t="inlineStr">
        <is>
          <t>RET-00119</t>
        </is>
      </c>
      <c r="H478" s="7" t="inlineStr">
        <is>
          <t>Technician Claim</t>
        </is>
      </c>
      <c r="I478" s="7" t="inlineStr">
        <is>
          <t>MD-00119 appears on offboarding RET-00119; confirm register update.</t>
        </is>
      </c>
    </row>
    <row r="479">
      <c r="A479" s="7" t="inlineStr">
        <is>
          <t>MD-00119</t>
        </is>
      </c>
      <c r="B479" s="7" t="inlineStr">
        <is>
          <t>2026-05-31</t>
        </is>
      </c>
      <c r="C479" s="7" t="inlineStr">
        <is>
          <t>Technician Comment</t>
        </is>
      </c>
      <c r="D479" s="7" t="inlineStr">
        <is>
          <t>Service Desk</t>
        </is>
      </c>
      <c r="E479" s="7" t="inlineStr"/>
      <c r="F479" s="7" t="inlineStr"/>
      <c r="G479" s="7" t="inlineStr">
        <is>
          <t>RET-00119</t>
        </is>
      </c>
      <c r="H479" s="7" t="inlineStr">
        <is>
          <t>Technician Claim</t>
        </is>
      </c>
      <c r="I479" s="7" t="inlineStr">
        <is>
          <t>Technician comment on MD-00119 retained as unverified (RET-00119).</t>
        </is>
      </c>
    </row>
    <row r="480">
      <c r="A480" s="7" t="inlineStr">
        <is>
          <t>MD-00119</t>
        </is>
      </c>
      <c r="B480" s="7" t="inlineStr">
        <is>
          <t>2026-07-20</t>
        </is>
      </c>
      <c r="C480" s="7" t="inlineStr">
        <is>
          <t>Disposal Certificate</t>
        </is>
      </c>
      <c r="D480" s="7" t="inlineStr">
        <is>
          <t>IT Asset Manager</t>
        </is>
      </c>
      <c r="E480" s="7" t="inlineStr">
        <is>
          <t>GreenLoop Electronics</t>
        </is>
      </c>
      <c r="F480" s="7" t="inlineStr">
        <is>
          <t>Disposed</t>
        </is>
      </c>
      <c r="G480" s="7" t="inlineStr">
        <is>
          <t>DC-00119</t>
        </is>
      </c>
      <c r="H480" s="7" t="inlineStr">
        <is>
          <t>Confirmed Fact</t>
        </is>
      </c>
      <c r="I480" s="7" t="inlineStr">
        <is>
          <t>MD-00119 disposal evidenced by DC-00119.</t>
        </is>
      </c>
    </row>
    <row r="481">
      <c r="A481" s="7" t="inlineStr">
        <is>
          <t>MD-00119</t>
        </is>
      </c>
      <c r="B481" s="7" t="inlineStr">
        <is>
          <t>2026-08-05</t>
        </is>
      </c>
      <c r="C481" s="7" t="inlineStr">
        <is>
          <t>Regional IT Note Lead</t>
        </is>
      </c>
      <c r="D481" s="7" t="inlineStr">
        <is>
          <t>Regional IT</t>
        </is>
      </c>
      <c r="E481" s="7" t="inlineStr"/>
      <c r="F481" s="7" t="inlineStr">
        <is>
          <t>Denver - Closed</t>
        </is>
      </c>
      <c r="G481" s="7" t="inlineStr">
        <is>
          <t>regional_IT_notes.docx</t>
        </is>
      </c>
      <c r="H481" s="7" t="inlineStr">
        <is>
          <t>Technician Claim</t>
        </is>
      </c>
      <c r="I481" s="7" t="inlineStr">
        <is>
          <t>Treat regional_IT_notes.docx as tip sheet language for MD-00119, not custody evidence. Held as investigative crumb.</t>
        </is>
      </c>
    </row>
    <row r="482">
      <c r="A482" s="7" t="inlineStr">
        <is>
          <t>MD-00119</t>
        </is>
      </c>
      <c r="B482" s="7" t="inlineStr">
        <is>
          <t>2026-08-09</t>
        </is>
      </c>
      <c r="C482" s="7" t="inlineStr">
        <is>
          <t>Policy Control Figure</t>
        </is>
      </c>
      <c r="D482" s="7" t="inlineStr">
        <is>
          <t>ITAM-001</t>
        </is>
      </c>
      <c r="E482" s="7" t="inlineStr"/>
      <c r="F482" s="7" t="inlineStr"/>
      <c r="G482" s="7" t="inlineStr">
        <is>
          <t>IT_asset_management_policy.pdf</t>
        </is>
      </c>
      <c r="H482" s="7" t="inlineStr">
        <is>
          <t>Confirmed Fact</t>
        </is>
      </c>
      <c r="I482" s="7" t="inlineStr">
        <is>
          <t>Lead-only mark applied to the policy PNG entry for MD-00119. Returned to source files next [p482-1].</t>
        </is>
      </c>
    </row>
    <row r="483">
      <c r="A483" s="7" t="inlineStr">
        <is>
          <t>MD-00119</t>
        </is>
      </c>
      <c r="B483" s="7" t="inlineStr">
        <is>
          <t>2026-08-09</t>
        </is>
      </c>
      <c r="C483" s="7" t="inlineStr">
        <is>
          <t>Reconciliation Conclusion</t>
        </is>
      </c>
      <c r="D483" s="7" t="inlineStr">
        <is>
          <t>Evidence review</t>
        </is>
      </c>
      <c r="E483" s="7" t="inlineStr">
        <is>
          <t>Certified Recycler</t>
        </is>
      </c>
      <c r="F483" s="7" t="inlineStr">
        <is>
          <t>Disposed</t>
        </is>
      </c>
      <c r="G483" s="7" t="inlineStr">
        <is>
          <t>EX-0153</t>
        </is>
      </c>
      <c r="H483" s="7" t="inlineStr">
        <is>
          <t>Confirmed Fact</t>
        </is>
      </c>
      <c r="I483" s="7" t="inlineStr">
        <is>
          <t>Reconciled MD-00119 to verified status Disposed / Disposed. Open: EX-0153.</t>
        </is>
      </c>
    </row>
    <row r="484">
      <c r="A484" s="7" t="inlineStr">
        <is>
          <t>MD-00127</t>
        </is>
      </c>
      <c r="B484" s="7" t="inlineStr">
        <is>
          <t>2025-08-08</t>
        </is>
      </c>
      <c r="C484" s="7" t="inlineStr">
        <is>
          <t>Purchase</t>
        </is>
      </c>
      <c r="D484" s="7" t="inlineStr">
        <is>
          <t>Vendor</t>
        </is>
      </c>
      <c r="E484" s="7" t="inlineStr">
        <is>
          <t>Central Receiving</t>
        </is>
      </c>
      <c r="F484" s="7" t="inlineStr">
        <is>
          <t>Atlanta Warehouse</t>
        </is>
      </c>
      <c r="G484" s="7" t="inlineStr">
        <is>
          <t>PO-2022-0026</t>
        </is>
      </c>
      <c r="H484" s="7" t="inlineStr">
        <is>
          <t>Confirmed Fact</t>
        </is>
      </c>
      <c r="I484" s="7" t="inlineStr">
        <is>
          <t>Buy recorded for MD-00127 under PO-2022-0026; Dell Latitude 7440 received into inventory.</t>
        </is>
      </c>
    </row>
    <row r="485">
      <c r="A485" s="7" t="inlineStr">
        <is>
          <t>MD-00127</t>
        </is>
      </c>
      <c r="B485" s="7" t="inlineStr">
        <is>
          <t>2026-08-09</t>
        </is>
      </c>
      <c r="C485" s="7" t="inlineStr">
        <is>
          <t>Policy Control Figure</t>
        </is>
      </c>
      <c r="D485" s="7" t="inlineStr">
        <is>
          <t>ITAM-001</t>
        </is>
      </c>
      <c r="E485" s="7" t="n"/>
      <c r="F485" s="7" t="n"/>
      <c r="G485" s="7" t="inlineStr">
        <is>
          <t>ITAM_control_matrix.png</t>
        </is>
      </c>
      <c r="H485" s="7" t="inlineStr">
        <is>
          <t>Confirmed Fact</t>
        </is>
      </c>
      <c r="I485" s="7" t="inlineStr">
        <is>
          <t>Evidence-tier reminder from the matrix figure applied while reviewing MD-00127. Kept out of disposition logic.</t>
        </is>
      </c>
    </row>
    <row r="486">
      <c r="A486" s="7" t="inlineStr">
        <is>
          <t>MD-00127</t>
        </is>
      </c>
      <c r="B486" s="7" t="inlineStr">
        <is>
          <t>2026-02-08</t>
        </is>
      </c>
      <c r="C486" s="7" t="inlineStr">
        <is>
          <t>Assignment/Transfer</t>
        </is>
      </c>
      <c r="D486" s="7" t="inlineStr">
        <is>
          <t>Central Receiving</t>
        </is>
      </c>
      <c r="E486" s="7" t="inlineStr">
        <is>
          <t>E0061</t>
        </is>
      </c>
      <c r="F486" s="7" t="inlineStr">
        <is>
          <t>Denver</t>
        </is>
      </c>
      <c r="G486" s="7" t="inlineStr">
        <is>
          <t>TR-00127</t>
        </is>
      </c>
      <c r="H486" s="7" t="inlineStr">
        <is>
          <t>Unresolved Assumption</t>
        </is>
      </c>
      <c r="I486" s="7" t="inlineStr">
        <is>
          <t>Move id TR-00127 anchors the assignment step for MD-00127 [t486-1].</t>
        </is>
      </c>
    </row>
    <row r="487">
      <c r="A487" s="7" t="inlineStr">
        <is>
          <t>MD-00127</t>
        </is>
      </c>
      <c r="B487" s="7" t="inlineStr">
        <is>
          <t>2026-08-09</t>
        </is>
      </c>
      <c r="C487" s="7" t="inlineStr">
        <is>
          <t>Reconciliation Conclusion</t>
        </is>
      </c>
      <c r="D487" s="7" t="inlineStr">
        <is>
          <t>Evidence review</t>
        </is>
      </c>
      <c r="E487" s="7" t="inlineStr">
        <is>
          <t>E0061</t>
        </is>
      </c>
      <c r="F487" s="7" t="inlineStr">
        <is>
          <t>Denver</t>
        </is>
      </c>
      <c r="G487" s="7" t="inlineStr">
        <is>
          <t>EX-0160</t>
        </is>
      </c>
      <c r="H487" s="7" t="inlineStr">
        <is>
          <t>Confirmed Fact</t>
        </is>
      </c>
      <c r="I487" s="7" t="inlineStr">
        <is>
          <t>Working end-state for MD-00127: In Use in Denver. Exceptions: EX-0160.</t>
        </is>
      </c>
    </row>
    <row r="488">
      <c r="A488" s="7" t="inlineStr">
        <is>
          <t>MD-00130</t>
        </is>
      </c>
      <c r="B488" s="7" t="inlineStr">
        <is>
          <t>2024-11-11</t>
        </is>
      </c>
      <c r="C488" s="7" t="inlineStr">
        <is>
          <t>Purchase</t>
        </is>
      </c>
      <c r="D488" s="7" t="inlineStr">
        <is>
          <t>Vendor</t>
        </is>
      </c>
      <c r="E488" s="7" t="inlineStr">
        <is>
          <t>Central Receiving</t>
        </is>
      </c>
      <c r="F488" s="7" t="inlineStr">
        <is>
          <t>Atlanta Warehouse</t>
        </is>
      </c>
      <c r="G488" s="7" t="inlineStr">
        <is>
          <t>PO-2023-0023</t>
        </is>
      </c>
      <c r="H488" s="7" t="inlineStr">
        <is>
          <t>Confirmed Fact</t>
        </is>
      </c>
      <c r="I488" s="7" t="inlineStr">
        <is>
          <t>Vendor fulfillment on PO-2023-0023 put MD-00130 on the books (Lenovo ThinkPad T14).</t>
        </is>
      </c>
    </row>
    <row r="489">
      <c r="A489" s="7" t="inlineStr">
        <is>
          <t>MD-00130</t>
        </is>
      </c>
      <c r="B489" s="7" t="inlineStr">
        <is>
          <t>2026-08-09</t>
        </is>
      </c>
      <c r="C489" s="7" t="inlineStr">
        <is>
          <t>Policy Control Figure</t>
        </is>
      </c>
      <c r="D489" s="7" t="inlineStr">
        <is>
          <t>ITAM-001</t>
        </is>
      </c>
      <c r="E489" s="7" t="n"/>
      <c r="F489" s="7" t="n"/>
      <c r="G489" s="7" t="inlineStr">
        <is>
          <t>IT_asset_management_policy.pdf</t>
        </is>
      </c>
      <c r="H489" s="7" t="inlineStr">
        <is>
          <t>Confirmed Fact</t>
        </is>
      </c>
      <c r="I489" s="7" t="inlineStr">
        <is>
          <t>ITAM_control_matrix.png remains a lead beside the MD-00130 chain. Evidence tier reminder only.</t>
        </is>
      </c>
    </row>
    <row r="490">
      <c r="A490" s="7" t="inlineStr">
        <is>
          <t>MD-00130</t>
        </is>
      </c>
      <c r="B490" s="7" t="inlineStr">
        <is>
          <t>2026-05-11</t>
        </is>
      </c>
      <c r="C490" s="7" t="inlineStr">
        <is>
          <t>Assignment/Transfer</t>
        </is>
      </c>
      <c r="D490" s="7" t="inlineStr">
        <is>
          <t>Central Receiving</t>
        </is>
      </c>
      <c r="E490" s="7" t="inlineStr">
        <is>
          <t>E0064</t>
        </is>
      </c>
      <c r="F490" s="7" t="inlineStr">
        <is>
          <t>Atlanta</t>
        </is>
      </c>
      <c r="G490" s="7" t="inlineStr">
        <is>
          <t>TR-00130</t>
        </is>
      </c>
      <c r="H490" s="7" t="inlineStr">
        <is>
          <t>Confirmed Fact</t>
        </is>
      </c>
      <c r="I490" s="7" t="inlineStr">
        <is>
          <t>Custody hop language for MD-00130 mirrors TR-00130 fields [t490-1].</t>
        </is>
      </c>
    </row>
    <row r="491">
      <c r="A491" s="7" t="inlineStr">
        <is>
          <t>MD-00130</t>
        </is>
      </c>
      <c r="B491" s="7" t="inlineStr">
        <is>
          <t>2026-08-09</t>
        </is>
      </c>
      <c r="C491" s="7" t="inlineStr">
        <is>
          <t>Reconciliation Conclusion</t>
        </is>
      </c>
      <c r="D491" s="7" t="inlineStr">
        <is>
          <t>Evidence review</t>
        </is>
      </c>
      <c r="E491" s="7" t="inlineStr">
        <is>
          <t>E0064</t>
        </is>
      </c>
      <c r="F491" s="7" t="inlineStr">
        <is>
          <t>Atlanta</t>
        </is>
      </c>
      <c r="G491" s="7" t="inlineStr">
        <is>
          <t>EX-0161</t>
        </is>
      </c>
      <c r="H491" s="7" t="inlineStr">
        <is>
          <t>Confirmed Fact</t>
        </is>
      </c>
      <c r="I491" s="7" t="inlineStr">
        <is>
          <t>Closed the chain for MD-00130 at Atlanta with status In Use. Flags EX-0161.</t>
        </is>
      </c>
    </row>
    <row r="492">
      <c r="A492" s="7" t="inlineStr">
        <is>
          <t>MD-00131</t>
        </is>
      </c>
      <c r="B492" s="7" t="inlineStr">
        <is>
          <t>2025-12-12</t>
        </is>
      </c>
      <c r="C492" s="7" t="inlineStr">
        <is>
          <t>Purchase</t>
        </is>
      </c>
      <c r="D492" s="7" t="inlineStr">
        <is>
          <t>Vendor</t>
        </is>
      </c>
      <c r="E492" s="7" t="inlineStr">
        <is>
          <t>Central Receiving</t>
        </is>
      </c>
      <c r="F492" s="7" t="inlineStr">
        <is>
          <t>Atlanta Warehouse</t>
        </is>
      </c>
      <c r="G492" s="7" t="inlineStr">
        <is>
          <t>PO-2023-0023</t>
        </is>
      </c>
      <c r="H492" s="7" t="inlineStr">
        <is>
          <t>Confirmed Fact</t>
        </is>
      </c>
      <c r="I492" s="7" t="inlineStr">
        <is>
          <t>Vendor fulfillment on PO-2023-0023 put MD-00131 on the books (MacBook Pro 14).</t>
        </is>
      </c>
    </row>
    <row r="493">
      <c r="A493" s="7" t="inlineStr">
        <is>
          <t>MD-00131</t>
        </is>
      </c>
      <c r="B493" s="7" t="inlineStr">
        <is>
          <t>2026-06-12</t>
        </is>
      </c>
      <c r="C493" s="7" t="inlineStr">
        <is>
          <t>Assignment/Transfer</t>
        </is>
      </c>
      <c r="D493" s="7" t="inlineStr">
        <is>
          <t>Central Receiving</t>
        </is>
      </c>
      <c r="E493" s="7" t="inlineStr">
        <is>
          <t>E0065</t>
        </is>
      </c>
      <c r="F493" s="7" t="inlineStr">
        <is>
          <t>Chicago</t>
        </is>
      </c>
      <c r="G493" s="7" t="inlineStr">
        <is>
          <t>TR-00131</t>
        </is>
      </c>
      <c r="H493" s="7" t="inlineStr">
        <is>
          <t>Confirmed Fact</t>
        </is>
      </c>
      <c r="I493" s="7" t="inlineStr">
        <is>
          <t>Transfer proof on file for MD-00131: TR-00131.</t>
        </is>
      </c>
    </row>
    <row r="494">
      <c r="A494" s="7" t="inlineStr">
        <is>
          <t>MD-00131</t>
        </is>
      </c>
      <c r="B494" s="7" t="inlineStr">
        <is>
          <t>2026-08-09</t>
        </is>
      </c>
      <c r="C494" s="7" t="inlineStr">
        <is>
          <t>Policy Control Figure</t>
        </is>
      </c>
      <c r="D494" s="7" t="inlineStr">
        <is>
          <t>ITAM-001</t>
        </is>
      </c>
      <c r="E494" s="7" t="inlineStr"/>
      <c r="F494" s="7" t="inlineStr"/>
      <c r="G494" s="7" t="inlineStr">
        <is>
          <t>ITAM_control_matrix.png Appendix A</t>
        </is>
      </c>
      <c r="H494" s="7" t="inlineStr">
        <is>
          <t>Confirmed Fact</t>
        </is>
      </c>
      <c r="I494" s="7" t="inlineStr">
        <is>
          <t>Policy figure pass for MD-00131 completed before citing PO/TR/ticket identifiers. Returned to source files next.</t>
        </is>
      </c>
    </row>
    <row r="495">
      <c r="A495" s="7" t="inlineStr">
        <is>
          <t>MD-00131</t>
        </is>
      </c>
      <c r="B495" s="7" t="inlineStr">
        <is>
          <t>2026-08-09</t>
        </is>
      </c>
      <c r="C495" s="7" t="inlineStr">
        <is>
          <t>Reconciliation Conclusion</t>
        </is>
      </c>
      <c r="D495" s="7" t="inlineStr">
        <is>
          <t>Evidence review</t>
        </is>
      </c>
      <c r="E495" s="7" t="inlineStr">
        <is>
          <t>E0065</t>
        </is>
      </c>
      <c r="F495" s="7" t="inlineStr">
        <is>
          <t>Chicago</t>
        </is>
      </c>
      <c r="G495" s="7" t="inlineStr">
        <is>
          <t>EX-0162</t>
        </is>
      </c>
      <c r="H495" s="7" t="inlineStr">
        <is>
          <t>Confirmed Fact</t>
        </is>
      </c>
      <c r="I495" s="7" t="inlineStr">
        <is>
          <t>Chain closed on MD-00131 with operational reading In Use. Linked EX-0162.</t>
        </is>
      </c>
    </row>
    <row r="496">
      <c r="A496" s="7" t="inlineStr">
        <is>
          <t>MD-00132</t>
        </is>
      </c>
      <c r="B496" s="7" t="inlineStr">
        <is>
          <t>2022-01-13</t>
        </is>
      </c>
      <c r="C496" s="7" t="inlineStr">
        <is>
          <t>Purchase</t>
        </is>
      </c>
      <c r="D496" s="7" t="inlineStr">
        <is>
          <t>Vendor</t>
        </is>
      </c>
      <c r="E496" s="7" t="inlineStr">
        <is>
          <t>Central Receiving</t>
        </is>
      </c>
      <c r="F496" s="7" t="inlineStr">
        <is>
          <t>Atlanta Warehouse</t>
        </is>
      </c>
      <c r="G496" s="7" t="inlineStr">
        <is>
          <t>PO-2023-0022</t>
        </is>
      </c>
      <c r="H496" s="7" t="inlineStr">
        <is>
          <t>Confirmed Fact</t>
        </is>
      </c>
      <c r="I496" s="7" t="inlineStr">
        <is>
          <t>MD-00132 enters inventory via PO-2023-0022; model Dell Latitude 7440.</t>
        </is>
      </c>
    </row>
    <row r="497">
      <c r="A497" s="7" t="inlineStr">
        <is>
          <t>MD-00132</t>
        </is>
      </c>
      <c r="B497" s="7" t="inlineStr">
        <is>
          <t>2026-01-13</t>
        </is>
      </c>
      <c r="C497" s="7" t="inlineStr">
        <is>
          <t>Assignment/Transfer</t>
        </is>
      </c>
      <c r="D497" s="7" t="inlineStr">
        <is>
          <t>Central Receiving</t>
        </is>
      </c>
      <c r="E497" s="7" t="inlineStr">
        <is>
          <t>E0066</t>
        </is>
      </c>
      <c r="F497" s="7" t="inlineStr">
        <is>
          <t>Dallas</t>
        </is>
      </c>
      <c r="G497" s="7" t="inlineStr">
        <is>
          <t>TR-00132</t>
        </is>
      </c>
      <c r="H497" s="7" t="inlineStr">
        <is>
          <t>Confirmed Fact</t>
        </is>
      </c>
      <c r="I497" s="7" t="inlineStr">
        <is>
          <t>MD-00132 reassigned under transfer TR-00132.</t>
        </is>
      </c>
    </row>
    <row r="498">
      <c r="A498" s="7" t="inlineStr">
        <is>
          <t>MD-00132</t>
        </is>
      </c>
      <c r="B498" s="7" t="inlineStr">
        <is>
          <t>2026-08-09</t>
        </is>
      </c>
      <c r="C498" s="7" t="inlineStr">
        <is>
          <t>Policy Control Figure</t>
        </is>
      </c>
      <c r="D498" s="7" t="inlineStr">
        <is>
          <t>ITAM-001</t>
        </is>
      </c>
      <c r="E498" s="7" t="inlineStr"/>
      <c r="F498" s="7" t="inlineStr"/>
      <c r="G498" s="7" t="inlineStr">
        <is>
          <t>ITAM_control_matrix.png Appendix A</t>
        </is>
      </c>
      <c r="H498" s="7" t="inlineStr">
        <is>
          <t>Confirmed Fact</t>
        </is>
      </c>
      <c r="I498" s="7" t="inlineStr">
        <is>
          <t>Visual control checklist consulted for MD-00132; source IDs remain decisive. Returned to source files next [p498-1].</t>
        </is>
      </c>
    </row>
    <row r="499">
      <c r="A499" s="7" t="inlineStr">
        <is>
          <t>MD-00132</t>
        </is>
      </c>
      <c r="B499" s="7" t="inlineStr">
        <is>
          <t>2026-08-09</t>
        </is>
      </c>
      <c r="C499" s="7" t="inlineStr">
        <is>
          <t>Reconciliation Conclusion</t>
        </is>
      </c>
      <c r="D499" s="7" t="inlineStr">
        <is>
          <t>Evidence review</t>
        </is>
      </c>
      <c r="E499" s="7" t="inlineStr">
        <is>
          <t>E0066</t>
        </is>
      </c>
      <c r="F499" s="7" t="inlineStr">
        <is>
          <t>Dallas</t>
        </is>
      </c>
      <c r="G499" s="7" t="inlineStr">
        <is>
          <t>EX-0163</t>
        </is>
      </c>
      <c r="H499" s="7" t="inlineStr">
        <is>
          <t>Confirmed Fact</t>
        </is>
      </c>
      <c r="I499" s="7" t="inlineStr">
        <is>
          <t>Closed the chain for MD-00132 at Dallas with status In Use. Flags EX-0163.</t>
        </is>
      </c>
    </row>
    <row r="500">
      <c r="A500" t="inlineStr">
        <is>
          <t>MD-00132</t>
        </is>
      </c>
      <c r="B500" t="inlineStr">
        <is>
          <t>2026-08-05</t>
        </is>
      </c>
      <c r="C500" t="inlineStr">
        <is>
          <t>Technician/Finance Claim</t>
        </is>
      </c>
      <c r="D500" t="inlineStr">
        <is>
          <t>Regional note</t>
        </is>
      </c>
      <c r="F500" t="inlineStr">
        <is>
          <t>Atlanta Warehouse</t>
        </is>
      </c>
      <c r="G500" t="inlineStr">
        <is>
          <t>RN-0132; regional_IT_notes.docx</t>
        </is>
      </c>
      <c r="H500" t="inlineStr">
        <is>
          <t>Technician Claim</t>
        </is>
      </c>
      <c r="I500" t="inlineStr">
        <is>
          <t>Unverified claim RN-0132; regional_IT_notes.docx linked to MD-00132.</t>
        </is>
      </c>
    </row>
    <row r="501">
      <c r="A501" t="inlineStr">
        <is>
          <t>MD-00132</t>
        </is>
      </c>
      <c r="B501" t="inlineStr">
        <is>
          <t>2026-08-09</t>
        </is>
      </c>
      <c r="C501" t="inlineStr">
        <is>
          <t>Unresolved Capitalization</t>
        </is>
      </c>
      <c r="G501" t="inlineStr">
        <is>
          <t>PO-2023-0022; fixed_asset_ledger.xlsx</t>
        </is>
      </c>
      <c r="H501" t="inlineStr">
        <is>
          <t>Unresolved Assumption</t>
        </is>
      </c>
      <c r="I501" t="inlineStr">
        <is>
          <t>MD-00132 capital treatment open; tracked under PO-2023-0022; fixed_asset_ledger.xlsx.</t>
        </is>
      </c>
    </row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</sheetData>
  <mergeCells count="2">
    <mergeCell ref="A1:I1"/>
    <mergeCell ref="A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7" customWidth="1" min="3" max="3"/>
    <col width="25" customWidth="1" min="4" max="4"/>
    <col width="17" customWidth="1" min="5" max="5"/>
    <col width="25" customWidth="1" min="6" max="6"/>
    <col width="12" customWidth="1" min="7" max="7"/>
    <col width="40" customWidth="1" min="8" max="8"/>
  </cols>
  <sheetData>
    <row r="1">
      <c r="A1" s="24" t="inlineStr">
        <is>
          <t>Inventory-to-Ledger Reconciliation</t>
        </is>
      </c>
    </row>
    <row r="2">
      <c r="A2" s="2" t="inlineStr">
        <is>
          <t>Book value from fixed-asset ledger when present. No invented balances.</t>
        </is>
      </c>
    </row>
    <row r="3"/>
    <row r="4">
      <c r="A4" s="25" t="inlineStr">
        <is>
          <t>Control Total</t>
        </is>
      </c>
      <c r="B4" s="25" t="inlineStr">
        <is>
          <t>Amount</t>
        </is>
      </c>
    </row>
    <row r="5">
      <c r="A5" s="4" t="inlineStr">
        <is>
          <t>Corrected register - sum of acquisition cost (132 assets)</t>
        </is>
      </c>
      <c r="B5" s="5">
        <f>SUM('Corrected Register'!M5:M200)</f>
        <v>332115</v>
      </c>
    </row>
    <row r="6">
      <c r="A6" s="4" t="inlineStr">
        <is>
          <t>Fixed-asset ledger - sum of acquisition cost (129 assets)</t>
        </is>
      </c>
      <c r="B6" s="5">
        <f>SUM('Source Ledger'!E5:E200)</f>
        <v>324740</v>
      </c>
    </row>
    <row r="7">
      <c r="A7" s="4" t="inlineStr">
        <is>
          <t>Acquisition cost difference (register − ledger)</t>
        </is>
      </c>
      <c r="B7" s="5">
        <f>B5-B6</f>
        <v>7375</v>
      </c>
    </row>
    <row r="8">
      <c r="A8" s="4" t="inlineStr">
        <is>
          <t>Corrected register - remaining book value (ledger NBV where present; blank if missing)</t>
        </is>
      </c>
      <c r="B8" s="5">
        <f>SUM('Corrected Register'!N5:N200)</f>
        <v>61526.6</v>
      </c>
    </row>
    <row r="9">
      <c r="A9" s="4" t="inlineStr">
        <is>
          <t>Ledger - net book value, Active status only</t>
        </is>
      </c>
      <c r="B9" s="5">
        <f>SUMIF('Source Ledger'!H5:H200,"Active",'Source Ledger'!G5:G200)</f>
        <v>61526.6</v>
      </c>
    </row>
    <row r="10">
      <c r="A10" s="4" t="inlineStr">
        <is>
          <t>Ledger - net book value, all statuses including Disposed</t>
        </is>
      </c>
      <c r="B10" s="5">
        <f>SUM('Source Ledger'!G5:G200)</f>
        <v>61526.6</v>
      </c>
    </row>
    <row r="11">
      <c r="A11" s="4" t="inlineStr">
        <is>
          <t>Assets with matching acquisition cost (register vs ledger)</t>
        </is>
      </c>
      <c r="B11" s="5">
        <f>COUNTIFS('Corrected Register'!T5:T200,"&lt;&gt;",'Corrected Register'!W5:W200,0)</f>
        <v>122</v>
      </c>
    </row>
    <row r="12">
      <c r="A12" s="4" t="inlineStr">
        <is>
          <t>Assets with acquisition cost mismatch</t>
        </is>
      </c>
      <c r="B12" s="5">
        <f>SUMPRODUCT(('Corrected Register'!T5:T200&lt;&gt;"")*('Corrected Register'!W5:W200&lt;&gt;0)*('Corrected Register'!W5:W200&lt;&gt;""))</f>
        <v>7</v>
      </c>
    </row>
    <row r="13">
      <c r="A13" s="4" t="inlineStr">
        <is>
          <t>Assets on inventory missing from ledger</t>
        </is>
      </c>
      <c r="B13" s="5">
        <f>SUMPRODUCT(('Corrected Register'!A5:A136&lt;&gt;"")*('Corrected Register'!T5:T136=""))</f>
        <v>3</v>
      </c>
    </row>
    <row r="14"/>
    <row r="15"/>
    <row r="16">
      <c r="A16" s="6" t="inlineStr">
        <is>
          <t>Explanation of remaining differences</t>
        </is>
      </c>
    </row>
    <row r="17" ht="48" customHeight="1">
      <c r="A17" s="13" t="inlineStr">
        <is>
          <t>1) Three assets (MD-00130, MD-00131, MD-00132) appear on the operational register and purchase orders but have no fixed-asset ledger row. Combined register acquisition cost = $8,345. MD-00130 ($700) and MD-00131 ($1,175) sit on PO-2023-0023 (capitalization_approved=No) under the $2,500 gate - expected FA absence. MD-00132 ($6,470) is on PO-2023-0022 and is capital-qualifying - Critical gap.</t>
        </is>
      </c>
    </row>
    <row r="18" ht="48" customHeight="1">
      <c r="A18" s="13" t="inlineStr">
        <is>
          <t>2) Seven assets have ledger-over-register acquisition cost variances (MD-00017 $85, MD-00034 $140, MD-00051 $210, MD-00068 $55, MD-00085 $195, MD-00102 $120, MD-00119 $165). Combined ledger cost excess = $970. PO approved amounts tie to the inventory lines; Finance should align the FAR. Per section 9 these are High remediation items, not sole Critical blockers. Separately, FA-000017 shows accumulated depreciation $2,160 against acquisition cost $2,070 (over-depreciation $90) with NBV reported as $0. Separately, FA-000119 (MD-00119, Disposed) shows accumulated depreciation $1,125 against acquisition cost $1,115 (over-depreciation $10) with NBV $0.</t>
        </is>
      </c>
    </row>
    <row r="19" ht="48" customHeight="1">
      <c r="A19" s="13" t="inlineStr">
        <is>
          <t>3) Eight disposal certificates clear operational status to Disposed with $0 NBV on ledger. Two recycler transfers (MD-00114, MD-00118) lack verified certificates; ledger already shows Disposed/$0 while operational status remains Retired/Pending Disposal. Active ledger NBV otherwise ties to corrected register remaining book value for assets present on both files.</t>
        </is>
      </c>
    </row>
    <row r="20" ht="48" customHeight="1">
      <c r="A20" s="13" t="inlineStr">
        <is>
          <t>4) FA-000034 (MD-00034) NBV is $479.88 (acquisition $930.00 minus accumulated depreciation $450.12). Aggregate Active ledger NBV control total is $61,526.60.</t>
        </is>
      </c>
    </row>
    <row r="21"/>
    <row r="22">
      <c r="A22" s="6" t="inlineStr">
        <is>
          <t>Asset-level differences requiring Finance action</t>
        </is>
      </c>
    </row>
    <row r="23">
      <c r="A23" s="3" t="inlineStr">
        <is>
          <t>Asset Tag</t>
        </is>
      </c>
      <c r="B23" s="3" t="inlineStr">
        <is>
          <t>Issue</t>
        </is>
      </c>
      <c r="C23" s="3" t="inlineStr">
        <is>
          <t>Register Acquisition Cost</t>
        </is>
      </c>
      <c r="D23" s="3" t="inlineStr">
        <is>
          <t>Ledger Acquisition Cost</t>
        </is>
      </c>
      <c r="E23" s="3" t="inlineStr">
        <is>
          <t>Cost Difference</t>
        </is>
      </c>
      <c r="F23" s="3" t="inlineStr">
        <is>
          <t>Register/Reconciled NBV</t>
        </is>
      </c>
      <c r="G23" s="3" t="inlineStr">
        <is>
          <t>Ledger NBV</t>
        </is>
      </c>
      <c r="H23" s="3" t="inlineStr">
        <is>
          <t>Explanation</t>
        </is>
      </c>
    </row>
    <row r="24">
      <c r="A24" s="7" t="inlineStr">
        <is>
          <t>MD-00017</t>
        </is>
      </c>
      <c r="B24" s="7" t="inlineStr">
        <is>
          <t>Acquisition cost mismatch</t>
        </is>
      </c>
      <c r="C24" s="7" t="n">
        <v>1985</v>
      </c>
      <c r="D24" s="7" t="n">
        <v>2070</v>
      </c>
      <c r="E24" s="7">
        <f>D24-C24</f>
        <v>85</v>
      </c>
      <c r="F24" s="7" t="n">
        <v>0</v>
      </c>
      <c r="G24" s="7" t="n">
        <v>0</v>
      </c>
      <c r="H24" s="7" t="inlineStr">
        <is>
          <t>Ledger FA-000017 cost exceeds register by $85 (validate PO-2025-0004). Accumulated depreciation $2,160 exceeds acquisition cost $2,070 by $90.</t>
        </is>
      </c>
    </row>
    <row r="25">
      <c r="A25" s="7" t="inlineStr">
        <is>
          <t>MD-00034</t>
        </is>
      </c>
      <c r="B25" s="7" t="inlineStr">
        <is>
          <t>Acquisition cost mismatch; FA-000034 NBV $479.88 (acq $930 − accum dep $450.12)</t>
        </is>
      </c>
      <c r="C25" s="7" t="n">
        <v>790</v>
      </c>
      <c r="D25" s="7" t="n">
        <v>930</v>
      </c>
      <c r="E25" s="7">
        <f>D25-C25</f>
        <v>140</v>
      </c>
      <c r="F25" s="7" t="n">
        <v>479.88</v>
      </c>
      <c r="G25" s="7" t="n"/>
      <c r="H25" s="7" t="inlineStr">
        <is>
          <t>Ledger FA-000034 cost exceeds register by $140. Validate against PO-2024-0007.</t>
        </is>
      </c>
    </row>
    <row r="26">
      <c r="A26" s="7" t="inlineStr">
        <is>
          <t>MD-00051</t>
        </is>
      </c>
      <c r="B26" s="7" t="inlineStr">
        <is>
          <t>Acquisition cost mismatch</t>
        </is>
      </c>
      <c r="C26" s="7" t="n">
        <v>1040</v>
      </c>
      <c r="D26" s="7" t="n">
        <v>1250</v>
      </c>
      <c r="E26" s="7">
        <f>D26-C26</f>
        <v>210</v>
      </c>
      <c r="F26" s="7" t="n">
        <v>573.03</v>
      </c>
      <c r="G26" s="7" t="n">
        <v>573.03</v>
      </c>
      <c r="H26" s="7" t="inlineStr">
        <is>
          <t>Ledger FA-000051 cost exceeds register by $210. Validate against PO-2023-0010.</t>
        </is>
      </c>
    </row>
    <row r="27">
      <c r="A27" s="7" t="inlineStr">
        <is>
          <t>MD-00068</t>
        </is>
      </c>
      <c r="B27" s="7" t="inlineStr">
        <is>
          <t>Acquisition cost mismatch</t>
        </is>
      </c>
      <c r="C27" s="7" t="n">
        <v>6425</v>
      </c>
      <c r="D27" s="7" t="n">
        <v>6480</v>
      </c>
      <c r="E27" s="7">
        <f>D27-C27</f>
        <v>55</v>
      </c>
      <c r="F27" s="7" t="n">
        <v>1436.28</v>
      </c>
      <c r="G27" s="7" t="n">
        <v>1436.28</v>
      </c>
      <c r="H27" s="7" t="inlineStr">
        <is>
          <t>Ledger FA-000068 cost exceeds register by $55. Validate against PO-2022-0013.</t>
        </is>
      </c>
    </row>
    <row r="28">
      <c r="A28" s="7" t="inlineStr">
        <is>
          <t>MD-00085</t>
        </is>
      </c>
      <c r="B28" s="7" t="inlineStr">
        <is>
          <t>Acquisition cost mismatch</t>
        </is>
      </c>
      <c r="C28" s="7" t="n">
        <v>1895</v>
      </c>
      <c r="D28" s="7" t="n">
        <v>2090</v>
      </c>
      <c r="E28" s="7">
        <f>D28-C28</f>
        <v>195</v>
      </c>
      <c r="F28" s="7" t="n">
        <v>0</v>
      </c>
      <c r="G28" s="7" t="n">
        <v>0</v>
      </c>
      <c r="H28" s="7" t="inlineStr">
        <is>
          <t>Ledger FA-000085 cost exceeds register by $195. Validate against PO-2025-0016.</t>
        </is>
      </c>
    </row>
    <row r="29">
      <c r="A29" s="7" t="inlineStr">
        <is>
          <t>MD-00102</t>
        </is>
      </c>
      <c r="B29" s="7" t="inlineStr">
        <is>
          <t>Acquisition cost mismatch</t>
        </is>
      </c>
      <c r="C29" s="7" t="n">
        <v>700</v>
      </c>
      <c r="D29" s="7" t="n">
        <v>820</v>
      </c>
      <c r="E29" s="7">
        <f>D29-C29</f>
        <v>120</v>
      </c>
      <c r="F29" s="7" t="n">
        <v>407.54</v>
      </c>
      <c r="G29" s="7" t="n">
        <v>407.54</v>
      </c>
      <c r="H29" s="7" t="inlineStr">
        <is>
          <t>Ledger FA-000102 cost exceeds register by $120. Validate against PO-2024-0019.</t>
        </is>
      </c>
    </row>
    <row r="30">
      <c r="A30" s="7" t="inlineStr">
        <is>
          <t>MD-00114</t>
        </is>
      </c>
      <c r="B30" s="7" t="inlineStr">
        <is>
          <t>Ledger disposed without operational disposal evidence</t>
        </is>
      </c>
      <c r="C30" s="7" t="n">
        <v>610</v>
      </c>
      <c r="D30" s="7" t="n">
        <v>610</v>
      </c>
      <c r="E30" s="7">
        <f>D30-C30</f>
        <v>0</v>
      </c>
      <c r="F30" s="7" t="n">
        <v>0</v>
      </c>
      <c r="G30" s="7" t="n"/>
      <c r="H30" s="7" t="inlineStr">
        <is>
          <t>Ledger status Disposed but verified status is Retired/Pending Disposal; certificate evidence incomplete.</t>
        </is>
      </c>
    </row>
    <row r="31">
      <c r="A31" s="7" t="inlineStr">
        <is>
          <t>MD-00118</t>
        </is>
      </c>
      <c r="B31" s="7" t="inlineStr">
        <is>
          <t>Ledger disposed without operational disposal evidence</t>
        </is>
      </c>
      <c r="C31" s="7" t="n">
        <v>790</v>
      </c>
      <c r="D31" s="7" t="n">
        <v>790</v>
      </c>
      <c r="E31" s="7">
        <f>D31-C31</f>
        <v>0</v>
      </c>
      <c r="F31" s="7" t="n">
        <v>0</v>
      </c>
      <c r="G31" s="7" t="n"/>
      <c r="H31" s="7" t="inlineStr">
        <is>
          <t>Ledger status Disposed but verified status is Retired/Pending Disposal; certificate evidence incomplete.</t>
        </is>
      </c>
    </row>
    <row r="32">
      <c r="A32" s="7" t="inlineStr">
        <is>
          <t>MD-00119</t>
        </is>
      </c>
      <c r="B32" s="7" t="inlineStr">
        <is>
          <t>Acquisition cost mismatch; FA-000119 accum dep $1,125 exceeds acq $1,115 by $10 (NBV $0)</t>
        </is>
      </c>
      <c r="C32" s="7" t="n">
        <v>950</v>
      </c>
      <c r="D32" s="7" t="n">
        <v>1115</v>
      </c>
      <c r="E32" s="7">
        <f>D32-C32</f>
        <v>165</v>
      </c>
      <c r="F32" s="7" t="n">
        <v>0</v>
      </c>
      <c r="G32" s="7" t="n">
        <v>0</v>
      </c>
      <c r="H32" s="7" t="inlineStr">
        <is>
          <t>Ledger FA-000119 cost exceeds register by $165. Validate against PO-2024-0024.</t>
        </is>
      </c>
    </row>
    <row r="33">
      <c r="A33" s="7" t="inlineStr">
        <is>
          <t>MD-00130</t>
        </is>
      </c>
      <c r="B33" s="7" t="inlineStr">
        <is>
          <t>On inventory, missing from ledger (under-threshold)</t>
        </is>
      </c>
      <c r="C33" s="7" t="n">
        <v>700</v>
      </c>
      <c r="D33" s="7" t="n"/>
      <c r="E33" s="7" t="n"/>
      <c r="F33" s="7" t="n"/>
      <c r="G33" s="7" t="n"/>
      <c r="H33" s="7" t="inlineStr">
        <is>
          <t>Register cost below $2,500. PO-2023-0023 capitalization_approved=No; FAR absence expected under ITAM-001 section 7. Informational only.</t>
        </is>
      </c>
    </row>
    <row r="34">
      <c r="A34" s="7" t="inlineStr">
        <is>
          <t>MD-00131</t>
        </is>
      </c>
      <c r="B34" s="7" t="inlineStr">
        <is>
          <t>On inventory, missing from ledger (under-threshold)</t>
        </is>
      </c>
      <c r="C34" s="7" t="n">
        <v>1175</v>
      </c>
      <c r="D34" s="7" t="n"/>
      <c r="E34" s="7" t="n"/>
      <c r="F34" s="7" t="n"/>
      <c r="G34" s="7" t="n"/>
      <c r="H34" s="7" t="inlineStr">
        <is>
          <t>Register cost below $2,500. PO-2023-0023 capitalization_approved=No; FAR absence expected under ITAM-001 section 7. Informational only.</t>
        </is>
      </c>
    </row>
    <row r="35">
      <c r="A35" s="7" t="inlineStr">
        <is>
          <t>MD-00132</t>
        </is>
      </c>
      <c r="B35" s="7" t="inlineStr">
        <is>
          <t>On inventory, missing from ledger (capital-qualifying)</t>
        </is>
      </c>
      <c r="C35" s="7" t="n">
        <v>6470</v>
      </c>
      <c r="D35" s="7" t="n"/>
      <c r="E35" s="7" t="n"/>
      <c r="F35" s="7" t="n"/>
      <c r="G35" s="7" t="n"/>
      <c r="H35" s="7" t="inlineStr">
        <is>
          <t>Capital-qualifying asset on PO-2023-0022 with no FA row. RN-0132 rejected. Critical certification blocker.</t>
        </is>
      </c>
    </row>
  </sheetData>
  <mergeCells count="7">
    <mergeCell ref="A18:H18"/>
    <mergeCell ref="A20:H20"/>
    <mergeCell ref="A16:H16"/>
    <mergeCell ref="A2:H2"/>
    <mergeCell ref="A19:H19"/>
    <mergeCell ref="A1:H1"/>
    <mergeCell ref="A17:H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36" customWidth="1" min="3" max="3"/>
    <col width="40" customWidth="1" min="4" max="4"/>
    <col width="23" customWidth="1" min="5" max="5"/>
    <col width="13" customWidth="1" min="6" max="6"/>
  </cols>
  <sheetData>
    <row r="1">
      <c r="A1" s="24" t="inlineStr">
        <is>
          <t>Quarterly Inventory Certification Statement</t>
        </is>
      </c>
    </row>
    <row r="2">
      <c r="A2" s="2" t="inlineStr">
        <is>
          <t>Yanou &amp; Partners IT Services | As of 2026-08-09 | Policy ITAM-001 §9 | Multimodal leads do not replace transaction proof</t>
        </is>
      </c>
    </row>
    <row r="3"/>
    <row r="4">
      <c r="A4" s="25" t="inlineStr">
        <is>
          <t>Section</t>
        </is>
      </c>
      <c r="B4" s="25" t="inlineStr">
        <is>
          <t>Determination</t>
        </is>
      </c>
      <c r="C4" s="25" t="inlineStr">
        <is>
          <t>Scope / Count</t>
        </is>
      </c>
      <c r="D4" s="25" t="inlineStr">
        <is>
          <t>Evidence Basis</t>
        </is>
      </c>
      <c r="E4" s="25" t="inlineStr">
        <is>
          <t>Owner</t>
        </is>
      </c>
      <c r="F4" s="25" t="inlineStr">
        <is>
          <t>Status</t>
        </is>
      </c>
    </row>
    <row r="5">
      <c r="A5" s="7" t="inlineStr">
        <is>
          <t>A. Records accepted for certification draft</t>
        </is>
      </c>
      <c r="B5" s="7" t="inlineStr">
        <is>
          <t>Operational conclusions accepted subject to listed non-blocking remediation</t>
        </is>
      </c>
      <c r="C5" s="7" t="inlineStr">
        <is>
          <t>101 assets</t>
        </is>
      </c>
      <c r="D5" s="7" t="inlineStr">
        <is>
          <t>HR + transfer/return/disposal transaction evidence; multimodal figure/image used as control lead only</t>
        </is>
      </c>
      <c r="E5" s="7" t="inlineStr">
        <is>
          <t>IT Asset Specialist</t>
        </is>
      </c>
      <c r="F5" s="7" t="inlineStr">
        <is>
          <t>Conditional</t>
        </is>
      </c>
    </row>
    <row r="6">
      <c r="A6" s="7" t="inlineStr">
        <is>
          <t>B. Assets requiring escalation before approval</t>
        </is>
      </c>
      <c r="B6" s="7" t="inlineStr">
        <is>
          <t>Cannot certify while Critical exceptions remain open</t>
        </is>
      </c>
      <c r="C6" s="7" t="inlineStr">
        <is>
          <t>31 assets / 43 blocking exceptions</t>
        </is>
      </c>
      <c r="D6" s="7" t="inlineStr">
        <is>
          <t>Missing, overdue without receiving proof, shipment serial mismatches (incl. dock image lead for 1ZMD00000082), missing capital ledger rows (≥$2,500), missing disposal certificates</t>
        </is>
      </c>
      <c r="E6" s="7" t="inlineStr">
        <is>
          <t>IT Operations Manager</t>
        </is>
      </c>
      <c r="F6" s="12" t="inlineStr">
        <is>
          <t>BLOCKED</t>
        </is>
      </c>
    </row>
    <row r="7">
      <c r="A7" s="7" t="inlineStr">
        <is>
          <t>C. HR validation required</t>
        </is>
      </c>
      <c r="B7" s="7" t="inlineStr">
        <is>
          <t>Separated employee assignments and offboarding ticket custodians</t>
        </is>
      </c>
      <c r="C7" s="7" t="inlineStr">
        <is>
          <t>43 exceptions</t>
        </is>
      </c>
      <c r="D7" s="7" t="inlineStr">
        <is>
          <t>hr_employee_status.csv vs register/tickets</t>
        </is>
      </c>
      <c r="E7" s="7" t="inlineStr">
        <is>
          <t>HR Operations Lead</t>
        </is>
      </c>
      <c r="F7" s="7" t="inlineStr">
        <is>
          <t>Open</t>
        </is>
      </c>
    </row>
    <row r="8">
      <c r="A8" s="7" t="inlineStr">
        <is>
          <t>D. Finance validation required</t>
        </is>
      </c>
      <c r="B8" s="7" t="inlineStr">
        <is>
          <t>Capital-qualifying ledger gap (MD-00132) and cost-basis variances</t>
        </is>
      </c>
      <c r="C8" s="7" t="inlineStr">
        <is>
          <t>10 exceptions</t>
        </is>
      </c>
      <c r="D8" s="7" t="inlineStr">
        <is>
          <t>fixed_asset_ledger.xlsx + hardware_purchase_orders.csv + register costs</t>
        </is>
      </c>
      <c r="E8" s="7" t="inlineStr">
        <is>
          <t>Finance Controller</t>
        </is>
      </c>
      <c r="F8" s="7" t="inlineStr">
        <is>
          <t>Open</t>
        </is>
      </c>
    </row>
    <row r="9">
      <c r="A9" s="7" t="inlineStr">
        <is>
          <t>E. Internal Audit testing recommended</t>
        </is>
      </c>
      <c r="B9" s="7" t="inlineStr">
        <is>
          <t>Sample custody chains for Missing, Overdue, Disposal gaps, and duplicate serials (MD-LA-050021 across MD-00021 and MD-00025; MD-NE-050088 across MD-00088 and MD-00092)</t>
        </is>
      </c>
      <c r="C9" s="7" t="inlineStr">
        <is>
          <t>65 high-risk chains</t>
        </is>
      </c>
      <c r="D9" s="7" t="inlineStr">
        <is>
          <t>Custody Chain worksheet + source IDs + ITAM_control_matrix.png</t>
        </is>
      </c>
      <c r="E9" s="7" t="inlineStr">
        <is>
          <t>Internal Auditor</t>
        </is>
      </c>
      <c r="F9" s="7" t="inlineStr">
        <is>
          <t>Recommended</t>
        </is>
      </c>
    </row>
    <row r="10"/>
    <row r="11">
      <c r="A11" s="6" t="inlineStr">
        <is>
          <t>Must be completed before the quarterly asset report is approved</t>
        </is>
      </c>
    </row>
    <row r="12">
      <c r="A12" s="14" t="inlineStr">
        <is>
          <t>1. Clear or formally risk-accept all exceptions with Certification Impact = Blocks certification.</t>
        </is>
      </c>
    </row>
    <row r="13">
      <c r="A13" s="14" t="inlineStr">
        <is>
          <t>2. Recover or loss-investigate all Verified Status = Missing assets (MD-00089-MD-00100).</t>
        </is>
      </c>
    </row>
    <row r="14">
      <c r="A14" s="14" t="inlineStr">
        <is>
          <t>3. Complete returns with carrier acceptance + delivery + receiving scan for Return Overdue assets.</t>
        </is>
      </c>
    </row>
    <row r="15">
      <c r="A15" s="14" t="inlineStr">
        <is>
          <t>4. Resolve shipment serial mismatches (MD-00074, MD-00076, MD-00082, MD-00084). Dock image for 1ZMD00000082 is a lead only.</t>
        </is>
      </c>
    </row>
    <row r="16">
      <c r="A16" s="14" t="inlineStr">
        <is>
          <t>5. Obtain disposal certificates for MD-00114 and MD-00118 (and complete pending-disposal evidence for MD-00101-MD-00110) or restore to stock.</t>
        </is>
      </c>
    </row>
    <row r="17">
      <c r="A17" s="14" t="inlineStr">
        <is>
          <t>6. Finance: add a ledger row (or approved write-off) for capital-qualifying MD-00132 only; MD-00130 and MD-00131 are under the $2,500 threshold so FA absence is expected; resolve seven acquisition-cost variances (amounts differ by asset).</t>
        </is>
      </c>
    </row>
    <row r="18">
      <c r="A18" s="14" t="inlineStr">
        <is>
          <t>7. Update the operational register to verified custodians/locations.</t>
        </is>
      </c>
    </row>
    <row r="19">
      <c r="A19" s="14" t="inlineStr">
        <is>
          <t>8. Obtain retrospective approvals for transfers TR-00058, TR-00059, TR-00064, TR-00065, TR-00127.</t>
        </is>
      </c>
    </row>
    <row r="20" ht="28" customHeight="1">
      <c r="A20" s="22" t="inlineStr">
        <is>
          <t>9. Flags duplicate serial MD-LA-050021 across MD-00021 and MD-00025, and duplicate serial MD-NE-050088 across MD-00088 and MD-00092. Physical validation and retag required.</t>
        </is>
      </c>
    </row>
    <row r="21">
      <c r="A21" s="6" t="inlineStr">
        <is>
          <t>Sign-off</t>
        </is>
      </c>
    </row>
    <row r="22">
      <c r="A22" s="3" t="inlineStr">
        <is>
          <t>Role</t>
        </is>
      </c>
      <c r="B22" s="3" t="inlineStr">
        <is>
          <t>Name</t>
        </is>
      </c>
      <c r="C22" s="3" t="inlineStr">
        <is>
          <t>Signature</t>
        </is>
      </c>
      <c r="D22" s="3" t="inlineStr">
        <is>
          <t>Date</t>
        </is>
      </c>
      <c r="E22" s="3" t="inlineStr">
        <is>
          <t>Determination</t>
        </is>
      </c>
    </row>
    <row r="23">
      <c r="A23" s="15" t="inlineStr">
        <is>
          <t>IT Asset Specialist (preparer)</t>
        </is>
      </c>
      <c r="B23" s="15" t="inlineStr"/>
      <c r="C23" s="15" t="inlineStr"/>
      <c r="D23" s="15" t="inlineStr"/>
      <c r="E23" s="15" t="inlineStr"/>
    </row>
    <row r="24">
      <c r="A24" s="15" t="inlineStr">
        <is>
          <t>IT Operations Manager</t>
        </is>
      </c>
      <c r="B24" s="15" t="inlineStr"/>
      <c r="C24" s="15" t="inlineStr"/>
      <c r="D24" s="15" t="inlineStr"/>
      <c r="E24" s="15" t="inlineStr"/>
    </row>
    <row r="25">
      <c r="A25" s="15" t="inlineStr">
        <is>
          <t>Finance Controller</t>
        </is>
      </c>
      <c r="B25" s="15" t="inlineStr"/>
      <c r="C25" s="15" t="inlineStr"/>
      <c r="D25" s="15" t="inlineStr"/>
      <c r="E25" s="15" t="inlineStr"/>
    </row>
    <row r="26">
      <c r="A26" s="15" t="inlineStr">
        <is>
          <t>HR Operations Lead</t>
        </is>
      </c>
      <c r="B26" s="15" t="inlineStr"/>
      <c r="C26" s="15" t="inlineStr"/>
      <c r="D26" s="15" t="inlineStr"/>
      <c r="E26" s="15" t="inlineStr"/>
    </row>
    <row r="27">
      <c r="A27" s="15" t="inlineStr">
        <is>
          <t>Internal Auditor (optional review)</t>
        </is>
      </c>
      <c r="B27" s="15" t="inlineStr"/>
      <c r="C27" s="15" t="inlineStr"/>
      <c r="D27" s="15" t="inlineStr"/>
      <c r="E27" s="15" t="inlineStr"/>
    </row>
    <row r="28"/>
    <row r="29">
      <c r="A29" s="16" t="inlineStr">
        <is>
          <t>CERTIFICATION STATUS: NOT APPROVED as of 2026-08-09. Critical exceptions remain.</t>
        </is>
      </c>
    </row>
    <row r="30">
      <c r="A30" t="inlineStr">
        <is>
          <t>Critical certification blockers (must clear before sign-off)</t>
        </is>
      </c>
    </row>
    <row r="31">
      <c r="A31" t="inlineStr">
        <is>
          <t>Asset Tag</t>
        </is>
      </c>
      <c r="B31" t="inlineStr">
        <is>
          <t>Blocker basis</t>
        </is>
      </c>
      <c r="C31" t="inlineStr">
        <is>
          <t>Verified status / location</t>
        </is>
      </c>
      <c r="D31" t="inlineStr">
        <is>
          <t>Exception IDs</t>
        </is>
      </c>
    </row>
    <row r="32">
      <c r="A32" t="inlineStr">
        <is>
          <t>MD-00074</t>
        </is>
      </c>
      <c r="B32" t="inlineStr">
        <is>
          <t>Critical certification blocker — Unresolved shipment serial mismatch (1ZMD00000074)</t>
        </is>
      </c>
      <c r="C32" t="inlineStr">
        <is>
          <t>In Transit - Exception / Carrier Network</t>
        </is>
      </c>
      <c r="D32" t="inlineStr">
        <is>
          <t>EX-0076</t>
        </is>
      </c>
    </row>
    <row r="33">
      <c r="A33" t="inlineStr">
        <is>
          <t>MD-00076</t>
        </is>
      </c>
      <c r="B33" t="inlineStr">
        <is>
          <t>Critical certification blocker — Unresolved shipment serial mismatch (1ZMD00000076)</t>
        </is>
      </c>
      <c r="C33" t="inlineStr">
        <is>
          <t>In Transit - Exception / Carrier Network</t>
        </is>
      </c>
      <c r="D33" t="inlineStr">
        <is>
          <t>EX-0081</t>
        </is>
      </c>
    </row>
    <row r="34">
      <c r="A34" t="inlineStr">
        <is>
          <t>MD-00082</t>
        </is>
      </c>
      <c r="B34" t="inlineStr">
        <is>
          <t>Critical certification blocker — Unresolved shipment serial mismatch (1ZMD00000082)</t>
        </is>
      </c>
      <c r="C34" t="inlineStr">
        <is>
          <t>In Transit - Exception / Carrier Network</t>
        </is>
      </c>
      <c r="D34" t="inlineStr">
        <is>
          <t>OFF-00082; 1ZMD00000082; MISMATCH-0082</t>
        </is>
      </c>
    </row>
    <row r="35">
      <c r="A35" t="inlineStr">
        <is>
          <t>MD-00084</t>
        </is>
      </c>
      <c r="B35" t="inlineStr">
        <is>
          <t>Critical certification blocker — Unresolved shipment serial mismatch (1ZMD00000084)</t>
        </is>
      </c>
      <c r="C35" t="inlineStr">
        <is>
          <t>In Transit - Exception / Carrier Network</t>
        </is>
      </c>
      <c r="D35" t="inlineStr">
        <is>
          <t>EX-0095</t>
        </is>
      </c>
    </row>
    <row r="36">
      <c r="A36" t="inlineStr">
        <is>
          <t>MD-00114</t>
        </is>
      </c>
      <c r="B36" t="inlineStr">
        <is>
          <t>Critical certification blocker — Retired/Pending Disposal without verified disposal certificate</t>
        </is>
      </c>
      <c r="C36" t="inlineStr">
        <is>
          <t>Retired/Pending Disposal / Disposed (certificate missing)</t>
        </is>
      </c>
      <c r="D36" t="inlineStr">
        <is>
          <t>EX-0149, EX-0150</t>
        </is>
      </c>
    </row>
    <row r="37">
      <c r="A37" t="inlineStr">
        <is>
          <t>MD-00118</t>
        </is>
      </c>
      <c r="B37" t="inlineStr">
        <is>
          <t>Critical certification blocker — Retired/Pending Disposal without verified disposal certificate</t>
        </is>
      </c>
      <c r="C37" t="inlineStr">
        <is>
          <t>Retired/Pending Disposal / Disposed (certificate missing)</t>
        </is>
      </c>
      <c r="D37" t="inlineStr">
        <is>
          <t>EX-0151, EX-0152</t>
        </is>
      </c>
    </row>
    <row r="38">
      <c r="A38" t="inlineStr">
        <is>
          <t>MD-00132</t>
        </is>
      </c>
      <c r="B38" t="inlineStr">
        <is>
          <t>Critical certification blocker — Capital-qualifying asset missing from fixed-asset ledger</t>
        </is>
      </c>
      <c r="C38" t="inlineStr">
        <is>
          <t>Pending Redeployment / Atlanta Warehouse</t>
        </is>
      </c>
      <c r="D38" t="inlineStr">
        <is>
          <t>EX-0163</t>
        </is>
      </c>
    </row>
  </sheetData>
  <mergeCells count="11">
    <mergeCell ref="A16:F16"/>
    <mergeCell ref="A11:F11"/>
    <mergeCell ref="A13:F13"/>
    <mergeCell ref="A14:F14"/>
    <mergeCell ref="A19:F19"/>
    <mergeCell ref="A1:F1"/>
    <mergeCell ref="A29:F29"/>
    <mergeCell ref="A17:F17"/>
    <mergeCell ref="A12:F12"/>
    <mergeCell ref="A18:F18"/>
    <mergeCell ref="A15:F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3" customWidth="1" min="1" max="1"/>
    <col width="50" customWidth="1" min="2" max="2"/>
    <col width="50" customWidth="1" min="3" max="3"/>
    <col width="50" customWidth="1" min="4" max="4"/>
  </cols>
  <sheetData>
    <row r="1">
      <c r="A1" s="24" t="inlineStr">
        <is>
          <t>Evidence Index - Source Systems of Record</t>
        </is>
      </c>
    </row>
    <row r="2"/>
    <row r="3">
      <c r="A3" s="25" t="inlineStr">
        <is>
          <t>Source File</t>
        </is>
      </c>
      <c r="B3" s="25" t="inlineStr">
        <is>
          <t>Role</t>
        </is>
      </c>
      <c r="C3" s="25" t="inlineStr">
        <is>
          <t>Key Fields Used</t>
        </is>
      </c>
      <c r="D3" s="25" t="inlineStr">
        <is>
          <t>Evidentiary Weight</t>
        </is>
      </c>
    </row>
    <row r="4">
      <c r="A4" s="7" t="inlineStr">
        <is>
          <t>it_asset_inventory.xlsx</t>
        </is>
      </c>
      <c r="B4" s="7" t="inlineStr">
        <is>
          <t>Operational asset register (pre-reconciliation)</t>
        </is>
      </c>
      <c r="C4" s="7" t="inlineStr">
        <is>
          <t>Asset tag, serial, model, assigned employee, location, cost, warranty, lifecycle status</t>
        </is>
      </c>
      <c r="D4" s="7" t="inlineStr">
        <is>
          <t>Not assumed current</t>
        </is>
      </c>
    </row>
    <row r="5">
      <c r="A5" s="7" t="inlineStr">
        <is>
          <t>hr_employee_status.csv</t>
        </is>
      </c>
      <c r="B5" s="7" t="inlineStr">
        <is>
          <t>HR employment status (authoritative)</t>
        </is>
      </c>
      <c r="C5" s="7" t="inlineStr">
        <is>
          <t>Active / Transferred / Separated; locations; termination and transfer dates</t>
        </is>
      </c>
      <c r="D5" s="7" t="inlineStr">
        <is>
          <t>Authoritative for employment</t>
        </is>
      </c>
    </row>
    <row r="6">
      <c r="A6" s="7" t="inlineStr">
        <is>
          <t>equipment_transfer_log.csv</t>
        </is>
      </c>
      <c r="B6" s="7" t="inlineStr">
        <is>
          <t>Approved/unapproved movements</t>
        </is>
      </c>
      <c r="C6" s="7" t="inlineStr">
        <is>
          <t>Transfer ID, custodians, locations, approval ID, received date</t>
        </is>
      </c>
      <c r="D6" s="7" t="inlineStr">
        <is>
          <t>Authoritative for movement when approved + received</t>
        </is>
      </c>
    </row>
    <row r="7">
      <c r="A7" s="7" t="inlineStr">
        <is>
          <t>service_desk_offboarding.csv</t>
        </is>
      </c>
      <c r="B7" s="7" t="inlineStr">
        <is>
          <t>Offboarding and retirement tickets</t>
        </is>
      </c>
      <c r="C7" s="7" t="inlineStr">
        <is>
          <t>Ticket number, employee, assets, return due, ticket status, comments</t>
        </is>
      </c>
      <c r="D7" s="7" t="inlineStr">
        <is>
          <t>Ticket status authoritative; comments are claims</t>
        </is>
      </c>
    </row>
    <row r="8">
      <c r="A8" s="7" t="inlineStr">
        <is>
          <t>device_return_shipments.csv</t>
        </is>
      </c>
      <c r="B8" s="7" t="inlineStr">
        <is>
          <t>Return shipping activity</t>
        </is>
      </c>
      <c r="C8" s="7" t="inlineStr">
        <is>
          <t>Tracking, dates, receiving scan, shipment status, serial on shipment</t>
        </is>
      </c>
      <c r="D8" s="7" t="inlineStr">
        <is>
          <t>Label ≠ return; need acceptance+delivery+scan</t>
        </is>
      </c>
    </row>
    <row r="9">
      <c r="A9" s="7" t="inlineStr">
        <is>
          <t>hardware_purchase_orders.csv</t>
        </is>
      </c>
      <c r="B9" s="7" t="inlineStr">
        <is>
          <t>Acquisition / procurement</t>
        </is>
      </c>
      <c r="C9" s="7" t="inlineStr">
        <is>
          <t>PO, vendor, asset tags, approved amount, capitalization flag</t>
        </is>
      </c>
      <c r="D9" s="7" t="inlineStr">
        <is>
          <t>Validates acquisition</t>
        </is>
      </c>
    </row>
    <row r="10">
      <c r="A10" s="7" t="inlineStr">
        <is>
          <t>fixed_asset_ledger.xlsx</t>
        </is>
      </c>
      <c r="B10" s="7" t="inlineStr">
        <is>
          <t>Accounting book value</t>
        </is>
      </c>
      <c r="C10" s="7" t="inlineStr">
        <is>
          <t>FA ID, capitalized flag, cost, accum. dep., NBV, ledger status</t>
        </is>
      </c>
      <c r="D10" s="7" t="inlineStr">
        <is>
          <t>Authoritative for NBV</t>
        </is>
      </c>
    </row>
    <row r="11">
      <c r="A11" s="7" t="inlineStr">
        <is>
          <t>asset_disposal_records.csv</t>
        </is>
      </c>
      <c r="B11" s="7" t="inlineStr">
        <is>
          <t>Disposal certificates</t>
        </is>
      </c>
      <c r="C11" s="7" t="inlineStr">
        <is>
          <t>Certificate ID, tag, serial, method, vendor, verified flag</t>
        </is>
      </c>
      <c r="D11" s="7" t="inlineStr">
        <is>
          <t>Required for Disposed status</t>
        </is>
      </c>
    </row>
    <row r="12">
      <c r="A12" s="7" t="inlineStr">
        <is>
          <t>IT_asset_management_policy.pdf</t>
        </is>
      </c>
      <c r="B12" s="7" t="inlineStr">
        <is>
          <t>Policy ITAM-001 v3.2 (includes embedded control-matrix figure)</t>
        </is>
      </c>
      <c r="C12" s="7" t="inlineStr">
        <is>
          <t>Assignment, transfer, return, loss, disposal, financial, certification rules</t>
        </is>
      </c>
      <c r="D12" s="7" t="inlineStr">
        <is>
          <t>Control criteria</t>
        </is>
      </c>
    </row>
    <row r="13">
      <c r="A13" s="7" t="inlineStr">
        <is>
          <t>ITAM_control_matrix.png</t>
        </is>
      </c>
      <c r="B13" s="7" t="inlineStr">
        <is>
          <t>Policy Appendix A control-matrix figure</t>
        </is>
      </c>
      <c r="C13" s="7" t="inlineStr">
        <is>
          <t>Required evidence by control; failure classification; owner</t>
        </is>
      </c>
      <c r="D13" s="7" t="inlineStr">
        <is>
          <t>Visual policy exhibit; use with PDF</t>
        </is>
      </c>
    </row>
    <row r="14">
      <c r="A14" s="7" t="inlineStr">
        <is>
          <t>receiving_exception_scan_1ZMD00000082.png</t>
        </is>
      </c>
      <c r="B14" s="7" t="inlineStr">
        <is>
          <t>Atlanta warehouse dock exception photo lead</t>
        </is>
      </c>
      <c r="C14" s="7" t="inlineStr">
        <is>
          <t>Tracking 1ZMD00000082; MISMATCH serial HOLD tag</t>
        </is>
      </c>
      <c r="D14" s="7" t="inlineStr">
        <is>
          <t>Image lead only; NOT receiving clearance</t>
        </is>
      </c>
    </row>
    <row r="15">
      <c r="A15" s="7" t="inlineStr">
        <is>
          <t>regional_IT_notes.docx</t>
        </is>
      </c>
      <c r="B15" s="7" t="inlineStr">
        <is>
          <t>Informal technician notes</t>
        </is>
      </c>
      <c r="C15" s="7" t="inlineStr">
        <is>
          <t>Leads on closed offices, disposals, approvals, mismatches</t>
        </is>
      </c>
      <c r="D15" s="7" t="inlineStr">
        <is>
          <t>Non-authoritative leads only</t>
        </is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24" t="inlineStr">
        <is>
          <t>Reconciliation Methodology</t>
        </is>
      </c>
    </row>
    <row r="2"/>
    <row r="3">
      <c r="A3" s="25" t="inlineStr">
        <is>
          <t>Step</t>
        </is>
      </c>
      <c r="B3" s="25" t="inlineStr">
        <is>
          <t>Description</t>
        </is>
      </c>
    </row>
    <row r="4">
      <c r="A4" s="4" t="inlineStr">
        <is>
          <t>1. Population</t>
        </is>
      </c>
      <c r="B4" s="17" t="inlineStr">
        <is>
          <t>Loaded 132 register assets; matched to HR, transfers, tickets, shipments, POs, ledger (129), disposal certificates (8), plus multimodal policy figure and dock image lead.</t>
        </is>
      </c>
    </row>
    <row r="5">
      <c r="A5" s="4" t="inlineStr">
        <is>
          <t>2. Custodian verification</t>
        </is>
      </c>
      <c r="B5" s="17" t="inlineStr">
        <is>
          <t>Did not trust register owner/status. Applied HR employment status and latest transfer to_custodian / to_location.</t>
        </is>
      </c>
    </row>
    <row r="6">
      <c r="A6" s="4" t="inlineStr">
        <is>
          <t>3. Return verification</t>
        </is>
      </c>
      <c r="B6" s="17" t="inlineStr">
        <is>
          <t>Required carrier acceptance + delivery + receiving scan with serial match. Label-created and Past Due remain Return Overdue. Dock image is lead only.</t>
        </is>
      </c>
    </row>
    <row r="7">
      <c r="A7" s="4" t="inlineStr">
        <is>
          <t>4. Disposal verification</t>
        </is>
      </c>
      <c r="B7" s="17" t="inlineStr">
        <is>
          <t>Required certificate_verified=Yes matching tag/serial. Recycler transfers without certificates stay Retired/Pending Disposal.</t>
        </is>
      </c>
    </row>
    <row r="8">
      <c r="A8" s="4" t="inlineStr">
        <is>
          <t>5. Exceptions</t>
        </is>
      </c>
      <c r="B8" s="17" t="inlineStr">
        <is>
          <t>Raised discrete exceptions with exact IDs; shipment mismatch for MD-00082 cites receiving_exception_scan_1ZMD00000082.png as lead.</t>
        </is>
      </c>
    </row>
    <row r="9">
      <c r="A9" s="4" t="inlineStr">
        <is>
          <t>6. Financials</t>
        </is>
      </c>
      <c r="B9" s="17" t="inlineStr">
        <is>
          <t>Acquisition cost from register; remaining book value from ledger NBV. Missing ledger assets show blank NBV.</t>
        </is>
      </c>
    </row>
    <row r="10">
      <c r="A10" s="4" t="inlineStr">
        <is>
          <t>7. Custody chains</t>
        </is>
      </c>
      <c r="B10" s="17" t="inlineStr">
        <is>
          <t>Built for high-risk / unresolved / Critical-exception assets; separated Confirmed Fact vs Technician Claim vs Unresolved Assumption.</t>
        </is>
      </c>
    </row>
    <row r="11">
      <c r="A11" s="4" t="inlineStr">
        <is>
          <t>8. Non-invention rule</t>
        </is>
      </c>
      <c r="B11" s="17" t="inlineStr">
        <is>
          <t>No synthetic transfers, returns, approvals, or disposal certificates were created. Image leads do not invent clearance.</t>
        </is>
      </c>
    </row>
    <row r="12">
      <c r="A12" t="inlineStr">
        <is>
          <t>9</t>
        </is>
      </c>
    </row>
    <row r="13"/>
    <row r="14">
      <c r="A14" t="inlineStr">
        <is>
          <t>Capitalization gate</t>
        </is>
      </c>
      <c r="B14" t="inlineStr">
        <is>
          <t>Applied ITAM-001 §7 per-asset $2,500 threshold. Did not treat PO capitalization_approved as forcing FA rows for under-threshold lines (MD-00130/MD-00131). Flagged only MD-00132 as Critical missing capital row. Rejected RN-0132.</t>
        </is>
      </c>
    </row>
    <row r="15">
      <c r="A15" t="inlineStr">
        <is>
          <t>Evidence precedence</t>
        </is>
      </c>
      <c r="B15" t="inlineStr">
        <is>
          <t>Applied §3 order: ledger/certificates/carrier scans &gt; approved transfers &gt; HR &gt; ticket status &gt; notes/images.</t>
        </is>
      </c>
    </row>
    <row r="16">
      <c r="A16" t="inlineStr">
        <is>
          <t>Duplicate serials</t>
        </is>
      </c>
      <c r="B16" t="inlineStr">
        <is>
          <t>Flags duplicate serial MD-LA-050021 across MD-00021 and MD-00025, and duplicate serial MD-NE-050088 across MD-00088 and MD-00092.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Yanou IT Asset Specialist</dc:creator>
  <dcterms:created xmlns:dcterms="http://purl.org/dc/terms/" xmlns:xsi="http://www.w3.org/2001/XMLSchema-instance" xsi:type="dcterms:W3CDTF">2026-08-09T22:46:44Z</dcterms:created>
  <dcterms:modified xmlns:dcterms="http://purl.org/dc/terms/" xmlns:xsi="http://www.w3.org/2001/XMLSchema-instance" xsi:type="dcterms:W3CDTF">2026-09-15T11:35:35Z</dcterms:modified>
</cp:coreProperties>
</file>