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Source Inventory" sheetId="2" state="visible" r:id="rId2"/>
    <sheet name="Dashboard" sheetId="3" state="visible" r:id="rId3"/>
    <sheet name="Corrected Register" sheetId="4" state="visible" r:id="rId4"/>
    <sheet name="Exception Register" sheetId="5" state="visible" r:id="rId5"/>
    <sheet name="Custody Chain" sheetId="6" state="visible" r:id="rId6"/>
    <sheet name="Ledger Reconciliation" sheetId="7" state="visible" r:id="rId7"/>
    <sheet name="Certification" sheetId="8" state="visible" r:id="rId8"/>
    <sheet name="Evidence Index" sheetId="9" state="visible" r:id="rId9"/>
    <sheet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479.88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 t="n">
        <v>132</v>
      </c>
    </row>
    <row r="6">
      <c r="A6" s="4" t="inlineStr">
        <is>
          <t>Corrected register acquisition cost</t>
        </is>
      </c>
      <c r="B6" s="5" t="n">
        <v>332115</v>
      </c>
    </row>
    <row r="7">
      <c r="A7" s="4" t="inlineStr">
        <is>
          <t>Remaining book value (ledger NBV where present)</t>
        </is>
      </c>
      <c r="B7" s="5" t="n">
        <v>61526.6</v>
      </c>
    </row>
    <row r="8">
      <c r="A8" s="4" t="inlineStr">
        <is>
          <t>Open exceptions</t>
        </is>
      </c>
      <c r="B8" s="5" t="n">
        <v>163</v>
      </c>
    </row>
    <row r="9">
      <c r="A9" s="4" t="inlineStr">
        <is>
          <t>Certification blockers (Critical impact)</t>
        </is>
      </c>
      <c r="B9" s="5" t="n">
        <v>43</v>
      </c>
    </row>
    <row r="10">
      <c r="A10" s="4" t="inlineStr">
        <is>
          <t>Assets Missing / Cannot Locate</t>
        </is>
      </c>
      <c r="B10" s="5" t="n">
        <v>12</v>
      </c>
    </row>
    <row r="11">
      <c r="A11" s="4" t="inlineStr">
        <is>
          <t>Overdue returns (label ≠ proof)</t>
        </is>
      </c>
      <c r="B11" s="5" t="n">
        <v>12</v>
      </c>
    </row>
    <row r="12">
      <c r="A12" s="4" t="inlineStr">
        <is>
          <t>Verified disposed with certificate</t>
        </is>
      </c>
      <c r="B12" s="5" t="n">
        <v>8</v>
      </c>
    </row>
    <row r="13">
      <c r="A13" s="4" t="inlineStr">
        <is>
          <t>Custody chains documented</t>
        </is>
      </c>
      <c r="B13" s="5" t="n"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 t="n">
        <v>25</v>
      </c>
      <c r="C19" s="7" t="n">
        <v>12961</v>
      </c>
      <c r="E19" s="7" t="inlineStr">
        <is>
          <t>Laptop</t>
        </is>
      </c>
      <c r="F19" s="7" t="n">
        <v>40</v>
      </c>
      <c r="G19" s="7" t="n">
        <v>13030.88</v>
      </c>
    </row>
    <row r="20">
      <c r="A20" s="7" t="inlineStr">
        <is>
          <t>Disposed</t>
        </is>
      </c>
      <c r="B20" s="7" t="n">
        <v>8</v>
      </c>
      <c r="C20" s="7" t="n">
        <v>0</v>
      </c>
      <c r="E20" s="7" t="inlineStr">
        <is>
          <t>Mobile Device</t>
        </is>
      </c>
      <c r="F20" s="7" t="n">
        <v>36</v>
      </c>
      <c r="G20" s="7" t="n">
        <v>18983.58</v>
      </c>
    </row>
    <row r="21">
      <c r="A21" s="8" t="inlineStr">
        <is>
          <t>In Transit - Exception</t>
        </is>
      </c>
      <c r="B21" s="7" t="n">
        <v>2</v>
      </c>
      <c r="C21" s="7" t="n">
        <v>1019.4</v>
      </c>
      <c r="E21" s="7" t="inlineStr">
        <is>
          <t>Monitor</t>
        </is>
      </c>
      <c r="F21" s="7" t="n">
        <v>28</v>
      </c>
      <c r="G21" s="7" t="n">
        <v>15372.27</v>
      </c>
    </row>
    <row r="22">
      <c r="A22" s="7" t="inlineStr">
        <is>
          <t>In Use</t>
        </is>
      </c>
      <c r="B22" s="7" t="n">
        <v>51</v>
      </c>
      <c r="C22" s="7" t="n">
        <v>25477.76</v>
      </c>
      <c r="E22" s="7" t="inlineStr">
        <is>
          <t>Network Asset</t>
        </is>
      </c>
      <c r="F22" s="7" t="n">
        <v>28</v>
      </c>
      <c r="G22" s="7" t="n">
        <v>14139.87</v>
      </c>
    </row>
    <row r="23">
      <c r="A23" s="8" t="inlineStr">
        <is>
          <t>Missing</t>
        </is>
      </c>
      <c r="B23" s="7" t="n">
        <v>12</v>
      </c>
      <c r="C23" s="7" t="n">
        <v>6214.38</v>
      </c>
    </row>
    <row r="24">
      <c r="A24" s="7" t="inlineStr">
        <is>
          <t>Pending Redeployment</t>
        </is>
      </c>
      <c r="B24" s="7" t="n">
        <v>10</v>
      </c>
      <c r="C24" s="7" t="n">
        <v>4851.08</v>
      </c>
    </row>
    <row r="25">
      <c r="A25" s="7" t="inlineStr">
        <is>
          <t>Retired/Pending Disposal</t>
        </is>
      </c>
      <c r="B25" s="7" t="n">
        <v>12</v>
      </c>
      <c r="C25" s="7" t="n">
        <v>4811.33</v>
      </c>
    </row>
    <row r="26">
      <c r="A26" s="8" t="inlineStr">
        <is>
          <t>Return Overdue</t>
        </is>
      </c>
      <c r="B26" s="7" t="n">
        <v>12</v>
      </c>
      <c r="C26" s="7" t="n">
        <v>6191.65</v>
      </c>
    </row>
    <row r="30">
      <c r="A30" s="6" t="inlineStr">
        <is>
          <t>By Verified Location</t>
        </is>
      </c>
      <c r="B30" t="n">
        <v>0</v>
      </c>
      <c r="C30" t="n">
        <v>0</v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n">
        <v>0</v>
      </c>
      <c r="C31" s="3" t="n">
        <v>0</v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 t="n">
        <v>16</v>
      </c>
      <c r="C32" s="7" t="n">
        <v>5184.18</v>
      </c>
      <c r="E32" s="7" t="inlineStr">
        <is>
          <t>Cannot Locate</t>
        </is>
      </c>
      <c r="F32" s="7" t="n">
        <v>12</v>
      </c>
      <c r="G32" s="7" t="n">
        <v>0</v>
      </c>
    </row>
    <row r="33">
      <c r="A33" s="7" t="inlineStr">
        <is>
          <t>Atlanta</t>
        </is>
      </c>
      <c r="B33" s="7" t="n">
        <v>15</v>
      </c>
      <c r="C33" s="7" t="n">
        <v>6267.29</v>
      </c>
      <c r="E33" s="7" t="inlineStr">
        <is>
          <t>Closed Location Assignment</t>
        </is>
      </c>
      <c r="F33" s="7" t="n">
        <v>61</v>
      </c>
      <c r="G33" s="7" t="n">
        <v>0</v>
      </c>
    </row>
    <row r="34">
      <c r="A34" s="7" t="inlineStr">
        <is>
          <t>Dallas</t>
        </is>
      </c>
      <c r="B34" s="7" t="n">
        <v>15</v>
      </c>
      <c r="C34" s="7" t="n">
        <v>11070.95</v>
      </c>
      <c r="E34" s="7" t="inlineStr">
        <is>
          <t>Duplicate Serial Number</t>
        </is>
      </c>
      <c r="F34" s="7" t="n">
        <v>4</v>
      </c>
      <c r="G34" s="7" t="n">
        <v>0</v>
      </c>
    </row>
    <row r="35">
      <c r="A35" s="7" t="inlineStr">
        <is>
          <t>Seattle</t>
        </is>
      </c>
      <c r="B35" s="7" t="n">
        <v>15</v>
      </c>
      <c r="C35" s="7" t="n">
        <v>5149.95</v>
      </c>
      <c r="E35" s="7" t="inlineStr">
        <is>
          <t>Former Employee Assignment</t>
        </is>
      </c>
      <c r="F35" s="7" t="n">
        <v>43</v>
      </c>
      <c r="G35" s="7" t="n">
        <v>0</v>
      </c>
    </row>
    <row r="36">
      <c r="A36" s="7" t="inlineStr">
        <is>
          <t>Denver</t>
        </is>
      </c>
      <c r="B36" s="7" t="n">
        <v>14</v>
      </c>
      <c r="C36" s="7" t="n">
        <v>5551.75</v>
      </c>
      <c r="E36" s="7" t="inlineStr">
        <is>
          <t>Inventory-to-Ledger Difference</t>
        </is>
      </c>
      <c r="F36" s="7" t="n">
        <v>8</v>
      </c>
      <c r="G36" s="7" t="n">
        <v>0</v>
      </c>
    </row>
    <row r="37">
      <c r="A37" s="7" t="inlineStr">
        <is>
          <t>New York</t>
        </is>
      </c>
      <c r="B37" s="7" t="n">
        <v>14</v>
      </c>
      <c r="C37" s="7" t="n">
        <v>10526</v>
      </c>
      <c r="E37" s="7" t="inlineStr">
        <is>
          <t>Missing Disposal Evidence</t>
        </is>
      </c>
      <c r="F37" s="7" t="n">
        <v>12</v>
      </c>
      <c r="G37" s="7" t="n">
        <v>0</v>
      </c>
    </row>
    <row r="38">
      <c r="A38" s="7" t="inlineStr">
        <is>
          <t>Unknown</t>
        </is>
      </c>
      <c r="B38" s="7" t="n">
        <v>12</v>
      </c>
      <c r="C38" s="7" t="n">
        <v>6214.38</v>
      </c>
      <c r="E38" s="7" t="inlineStr">
        <is>
          <t>Overdue Return</t>
        </is>
      </c>
      <c r="F38" s="7" t="n">
        <v>12</v>
      </c>
      <c r="G38" s="7" t="n">
        <v>0</v>
      </c>
    </row>
    <row r="39">
      <c r="A39" s="7" t="inlineStr">
        <is>
          <t>Remote - Former Employee</t>
        </is>
      </c>
      <c r="B39" s="7" t="n">
        <v>10</v>
      </c>
      <c r="C39" s="7" t="n">
        <v>4878.51</v>
      </c>
      <c r="E39" s="7" t="inlineStr">
        <is>
          <t>Shipment Mismatch</t>
        </is>
      </c>
      <c r="F39" s="7" t="n">
        <v>4</v>
      </c>
      <c r="G39" s="7" t="n">
        <v>0</v>
      </c>
    </row>
    <row r="40">
      <c r="A40" s="7" t="inlineStr">
        <is>
          <t>Disposed</t>
        </is>
      </c>
      <c r="B40" s="7" t="n">
        <v>8</v>
      </c>
      <c r="C40" s="7" t="n">
        <v>0</v>
      </c>
      <c r="E40" s="7" t="inlineStr">
        <is>
          <t>Unapproved Transfer</t>
        </is>
      </c>
      <c r="F40" s="7" t="n">
        <v>5</v>
      </c>
      <c r="G40" s="7" t="n">
        <v>0</v>
      </c>
    </row>
    <row r="41">
      <c r="A41" s="7" t="inlineStr">
        <is>
          <t>Atlanta Warehouse</t>
        </is>
      </c>
      <c r="B41" s="7" t="n">
        <v>7</v>
      </c>
      <c r="C41" s="7" t="n">
        <v>4351.05</v>
      </c>
      <c r="E41" t="inlineStr">
        <is>
          <t>Below Capitalization Threshold</t>
        </is>
      </c>
      <c r="F41" t="n">
        <v>2</v>
      </c>
      <c r="G41" t="n">
        <v>0</v>
      </c>
    </row>
    <row r="42">
      <c r="A42" s="7" t="inlineStr">
        <is>
          <t>Carrier Network / Unverified</t>
        </is>
      </c>
      <c r="B42" s="7" t="n">
        <v>4</v>
      </c>
      <c r="C42" s="7" t="n">
        <v>2332.54</v>
      </c>
    </row>
    <row r="43">
      <c r="A43" s="7" t="inlineStr">
        <is>
          <t>Disposed (certificate missing)</t>
        </is>
      </c>
      <c r="B43" s="7" t="n">
        <v>2</v>
      </c>
      <c r="C43" s="7" t="n"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n">
        <v>0</v>
      </c>
      <c r="C46" s="20" t="n">
        <v>0</v>
      </c>
    </row>
    <row r="47">
      <c r="A47" s="21" t="inlineStr">
        <is>
          <t>MD-LA-050021</t>
        </is>
      </c>
      <c r="B47" s="21" t="n">
        <v>0</v>
      </c>
      <c r="C47" s="21" t="n">
        <v>0</v>
      </c>
    </row>
    <row r="48">
      <c r="A48" s="21" t="inlineStr">
        <is>
          <t>MD-NE-050088</t>
        </is>
      </c>
      <c r="B48" s="21" t="n">
        <v>0</v>
      </c>
      <c r="C48" s="21" t="n">
        <v>0</v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Laptop</t>
        </is>
      </c>
      <c r="D5" s="7" t="inlineStr">
        <is>
          <t>HP EliteBook 840 G10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PO-2022-0001 and FA-000001 both cite MD-00001 (HP EliteBook 840 G10); register basis $1,895. HR row shows Priya Shah (E0001) as Active. transfer TR-00001 dated Jan 21, 2026, received 2026-01-21, APR-00001.</t>
        </is>
      </c>
      <c r="L5" s="7" t="inlineStr">
        <is>
          <t>2026-08-05</t>
        </is>
      </c>
      <c r="M5" s="7" t="n">
        <v>1895</v>
      </c>
      <c r="N5" s="7" t="n">
        <v>0</v>
      </c>
      <c r="O5" s="7" t="inlineStr">
        <is>
          <t>FA-000001</t>
        </is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 t="n">
        <v>1895</v>
      </c>
      <c r="U5" t="inlineStr">
        <is>
          <t>Active</t>
        </is>
      </c>
      <c r="V5" t="n">
        <v>0</v>
      </c>
      <c r="W5" t="n">
        <v>0</v>
      </c>
      <c r="X5" t="inlineStr">
        <is>
          <t>Yes</t>
        </is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Laptop</t>
        </is>
      </c>
      <c r="D6" s="7" t="inlineStr">
        <is>
          <t>Microsoft Surface Laptop 5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PO-2022-0001 and FA-000002 both cite MD-00002 (Microsoft Surface Laptop 5); register basis $610. HR row shows Marcus Ellison (E0002) as Active. transfer TR-00002 dated Feb 23, 2026, received 2026-02-25, APR-00002.</t>
        </is>
      </c>
      <c r="L6" s="7" t="inlineStr">
        <is>
          <t>2026-08-05</t>
        </is>
      </c>
      <c r="M6" s="7" t="n">
        <v>610</v>
      </c>
      <c r="N6" s="7" t="n">
        <v>313.06</v>
      </c>
      <c r="O6" s="7" t="inlineStr">
        <is>
          <t>FA-000002</t>
        </is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 t="n">
        <v>610</v>
      </c>
      <c r="U6" t="inlineStr">
        <is>
          <t>Active</t>
        </is>
      </c>
      <c r="V6" t="n">
        <v>313.06</v>
      </c>
      <c r="W6" t="n">
        <v>0</v>
      </c>
      <c r="X6" t="inlineStr">
        <is>
          <t>Yes</t>
        </is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Laptop</t>
        </is>
      </c>
      <c r="D7" s="7" t="inlineStr">
        <is>
          <t>Lenovo ThinkPad X1 Carbon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PO-2022-0001 and FA-000003 both cite MD-00003 (Lenovo ThinkPad X1 Carbon); register basis $1,085. HR row shows Elena Kovacs (E0003) as Active. transfer TR-00003 dated Mar 31, 2026, received 2026-04-03, APR-00003.</t>
        </is>
      </c>
      <c r="L7" s="7" t="inlineStr">
        <is>
          <t>2026-08-05</t>
        </is>
      </c>
      <c r="M7" s="7" t="n">
        <v>1085</v>
      </c>
      <c r="N7" s="7" t="n">
        <v>597.83</v>
      </c>
      <c r="O7" s="7" t="inlineStr">
        <is>
          <t>FA-000003</t>
        </is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 t="n">
        <v>1085</v>
      </c>
      <c r="U7" t="inlineStr">
        <is>
          <t>Active</t>
        </is>
      </c>
      <c r="V7" t="n">
        <v>597.83</v>
      </c>
      <c r="W7" t="n">
        <v>0</v>
      </c>
      <c r="X7" t="inlineStr">
        <is>
          <t>Yes</t>
        </is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Laptop</t>
        </is>
      </c>
      <c r="D8" s="7" t="inlineStr">
        <is>
          <t>Lenovo ThinkPad T14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PO-2023-0002 and FA-000004 both cite MD-00004 (Lenovo ThinkPad T14); register basis $6,380. HR row shows James Whitaker (E0004) as Active. transfer TR-00004 dated May 01, 2026, received 2026-05-01, APR-00004.</t>
        </is>
      </c>
      <c r="L8" s="7" t="inlineStr">
        <is>
          <t>2026-08-05</t>
        </is>
      </c>
      <c r="M8" s="7" t="n">
        <v>6380</v>
      </c>
      <c r="N8" s="7" t="n">
        <v>940.62</v>
      </c>
      <c r="O8" s="7" t="inlineStr">
        <is>
          <t>FA-000004</t>
        </is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 t="n">
        <v>6380</v>
      </c>
      <c r="U8" t="inlineStr">
        <is>
          <t>Active</t>
        </is>
      </c>
      <c r="V8" t="n">
        <v>940.62</v>
      </c>
      <c r="W8" t="n">
        <v>0</v>
      </c>
      <c r="X8" t="inlineStr">
        <is>
          <t>Yes</t>
        </is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PO-2023-0002 and FA-000005 both cite MD-00005 (MacBook Pro 14); register basis $2,075. transfer TR-00005 dated Jun 05, 2026, received 2026-06-08, APR-00005. HR row shows Aisha Rahman (E0005) as Active.</t>
        </is>
      </c>
      <c r="L9" s="7" t="inlineStr">
        <is>
          <t>2026-08-05</t>
        </is>
      </c>
      <c r="M9" s="7" t="n">
        <v>2075</v>
      </c>
      <c r="N9" s="7" t="n">
        <v>0</v>
      </c>
      <c r="O9" s="7" t="inlineStr">
        <is>
          <t>FA-000005</t>
        </is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 t="n">
        <v>2075</v>
      </c>
      <c r="U9" t="inlineStr">
        <is>
          <t>Active</t>
        </is>
      </c>
      <c r="V9" t="n">
        <v>0</v>
      </c>
      <c r="W9" t="n">
        <v>0</v>
      </c>
      <c r="X9" t="inlineStr">
        <is>
          <t>Yes</t>
        </is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Laptop</t>
        </is>
      </c>
      <c r="D10" s="7" t="inlineStr">
        <is>
          <t>Dell Latitude 7440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FA-000006 carries NBV $459.94 for MD-00006; operating status In Use at Atlanta. purchasing extract lists PO-2023-0002. transfer TR-00006 dated Jan 10, 2026, received 2026-01-12, APR-00006. HR row shows Colin Bergstrom (E0006) as Active.</t>
        </is>
      </c>
      <c r="L10" s="7" t="inlineStr">
        <is>
          <t>2026-08-05</t>
        </is>
      </c>
      <c r="M10" s="7" t="n">
        <v>790</v>
      </c>
      <c r="N10" s="7" t="n">
        <v>459.94</v>
      </c>
      <c r="O10" s="7" t="inlineStr">
        <is>
          <t>FA-000006</t>
        </is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 t="n">
        <v>790</v>
      </c>
      <c r="U10" t="inlineStr">
        <is>
          <t>Active</t>
        </is>
      </c>
      <c r="V10" t="n">
        <v>459.94</v>
      </c>
      <c r="W10" t="n">
        <v>0</v>
      </c>
      <c r="X10" t="inlineStr">
        <is>
          <t>Yes</t>
        </is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Laptop</t>
        </is>
      </c>
      <c r="D11" s="7" t="inlineStr">
        <is>
          <t>HP EliteBook 840 G10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MD-00007 custodian Sofia Alvarez (E0007) is Active in hr_employee_status; site Chicago, status In Use. buy path PO-2023-0002. ledger FA-000007 NBV $632.68. transfer TR-00007 dated Feb 11, 2026, received 2026-02-17, APR-00007.</t>
        </is>
      </c>
      <c r="L11" s="7" t="inlineStr">
        <is>
          <t>2026-08-05</t>
        </is>
      </c>
      <c r="M11" s="7" t="n">
        <v>950</v>
      </c>
      <c r="N11" s="7" t="n">
        <v>632.6799999999999</v>
      </c>
      <c r="O11" s="7" t="inlineStr">
        <is>
          <t>FA-000007</t>
        </is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 t="n">
        <v>950</v>
      </c>
      <c r="U11" t="inlineStr">
        <is>
          <t>Active</t>
        </is>
      </c>
      <c r="V11" t="n">
        <v>632.6799999999999</v>
      </c>
      <c r="W11" t="n">
        <v>0</v>
      </c>
      <c r="X11" t="inlineStr">
        <is>
          <t>Yes</t>
        </is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Monitor</t>
        </is>
      </c>
      <c r="D12" s="7" t="inlineStr">
        <is>
          <t>Samsung ViewFinity S8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MD-00008 / MD-NE-050008: Samsung ViewFinity S8 at Dallas marked In Use; acquisition $6,245. ledger FA-000008 NBV $1,355.01. transfer TR-00008 dated Mar 16, 2026, received 2026-03-19, APR-00008. HR row shows Derek Nguyen (E0008) as Active. buy path PO-2023-0002.</t>
        </is>
      </c>
      <c r="L12" s="7" t="inlineStr">
        <is>
          <t>2026-08-05</t>
        </is>
      </c>
      <c r="M12" s="7" t="n">
        <v>6245</v>
      </c>
      <c r="N12" s="7" t="n">
        <v>1355.01</v>
      </c>
      <c r="O12" s="7" t="inlineStr">
        <is>
          <t>FA-000008</t>
        </is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 t="n">
        <v>6245</v>
      </c>
      <c r="U12" t="inlineStr">
        <is>
          <t>Active</t>
        </is>
      </c>
      <c r="V12" t="n">
        <v>1355.01</v>
      </c>
      <c r="W12" t="n">
        <v>0</v>
      </c>
      <c r="X12" t="inlineStr">
        <is>
          <t>Yes</t>
        </is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Monitor</t>
        </is>
      </c>
      <c r="D13" s="7" t="inlineStr">
        <is>
          <t>BenQ PD2705U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FA-000009 carries NBV $109.33 for MD-00009; operating status In Use at Denver. transfer TR-00009 dated Apr 20, 2026, received 2026-04-21, APR-00009. HR row shows Hannah Cole (E0009) as Active. purchasing extract lists PO-2024-0003.</t>
        </is>
      </c>
      <c r="L13" s="7" t="inlineStr">
        <is>
          <t>2026-08-05</t>
        </is>
      </c>
      <c r="M13" s="7" t="n">
        <v>1940</v>
      </c>
      <c r="N13" s="7" t="n">
        <v>109.33</v>
      </c>
      <c r="O13" s="7" t="inlineStr">
        <is>
          <t>FA-000009</t>
        </is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 t="n">
        <v>1940</v>
      </c>
      <c r="U13" t="inlineStr">
        <is>
          <t>Active</t>
        </is>
      </c>
      <c r="V13" t="n">
        <v>109.33</v>
      </c>
      <c r="W13" t="n">
        <v>0</v>
      </c>
      <c r="X13" t="inlineStr">
        <is>
          <t>Yes</t>
        </is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MD-00010 / MD-MO-050010: Dell U2723QE at New York marked In Use; acquisition $655. transfer TR-00010 dated May 22, 2026, received 2026-05-28, APR-00010. ledger FA-000010 NBV $426.89. buy path PO-2024-0003. HR row shows Owen Patel (E0010) as Active.</t>
        </is>
      </c>
      <c r="L14" s="7" t="inlineStr">
        <is>
          <t>2026-08-05</t>
        </is>
      </c>
      <c r="M14" s="7" t="n">
        <v>655</v>
      </c>
      <c r="N14" s="7" t="n">
        <v>426.89</v>
      </c>
      <c r="O14" s="7" t="inlineStr">
        <is>
          <t>FA-000010</t>
        </is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 t="n">
        <v>655</v>
      </c>
      <c r="U14" t="inlineStr">
        <is>
          <t>Active</t>
        </is>
      </c>
      <c r="V14" t="n">
        <v>426.89</v>
      </c>
      <c r="W14" t="n">
        <v>0</v>
      </c>
      <c r="X14" t="inlineStr">
        <is>
          <t>Yes</t>
        </is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Monitor</t>
        </is>
      </c>
      <c r="D15" s="7" t="inlineStr">
        <is>
          <t>LG UltraFine 27MD5KL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PO-2024-0003 and FA-000011 both cite MD-00011 (LG UltraFine 27MD5KL); register basis $1,130. transfer TR-00011 dated Jun 26, 2026, received 2026-06-28, APR-00011. HR row shows Maya Fontaine (E0011) as Active.</t>
        </is>
      </c>
      <c r="L15" s="7" t="inlineStr">
        <is>
          <t>2026-08-05</t>
        </is>
      </c>
      <c r="M15" s="7" t="n">
        <v>1130</v>
      </c>
      <c r="N15" s="7" t="n">
        <v>882.5</v>
      </c>
      <c r="O15" s="7" t="inlineStr">
        <is>
          <t>FA-000011</t>
        </is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 t="n">
        <v>1130</v>
      </c>
      <c r="U15" t="inlineStr">
        <is>
          <t>Active</t>
        </is>
      </c>
      <c r="V15" t="n">
        <v>882.5</v>
      </c>
      <c r="W15" t="n">
        <v>0</v>
      </c>
      <c r="X15" t="inlineStr">
        <is>
          <t>Yes</t>
        </is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Monitor</t>
        </is>
      </c>
      <c r="D16" s="7" t="inlineStr">
        <is>
          <t>Samsung ViewFinity S8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TR-00012 moved MD-00012 (MD-NE-050012); inbound 2026-01-31; now In Use / Atlanta. ledger FA-000012 NBV $553.23. buy path PO-2024-0003. HR row shows Ryan Okonkwo (E0012) as Active.</t>
        </is>
      </c>
      <c r="L16" s="7" t="inlineStr">
        <is>
          <t>2026-08-05</t>
        </is>
      </c>
      <c r="M16" s="7" t="n">
        <v>6425</v>
      </c>
      <c r="N16" s="7" t="n">
        <v>553.23</v>
      </c>
      <c r="O16" s="7" t="inlineStr">
        <is>
          <t>FA-000012</t>
        </is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 t="n">
        <v>6425</v>
      </c>
      <c r="U16" t="inlineStr">
        <is>
          <t>Active</t>
        </is>
      </c>
      <c r="V16" t="n">
        <v>553.23</v>
      </c>
      <c r="W16" t="n">
        <v>0</v>
      </c>
      <c r="X16" t="inlineStr">
        <is>
          <t>Yes</t>
        </is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Monitor</t>
        </is>
      </c>
      <c r="D17" s="7" t="inlineStr">
        <is>
          <t>BenQ PD2705U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MD-00013 / MD-LA-050013: BenQ PD2705U at Chicago marked In Use; acquisition $2,120. transfer TR-00013 dated Feb 02, 2026, received 2026-02-06, APR-00013. ledger FA-000013 NBV $0. buy path PO-2024-0003. HR row shows Lauren Briggs (E0013) as Active.</t>
        </is>
      </c>
      <c r="L17" s="7" t="inlineStr">
        <is>
          <t>2026-08-05</t>
        </is>
      </c>
      <c r="M17" s="7" t="n">
        <v>2120</v>
      </c>
      <c r="N17" s="7" t="n">
        <v>0</v>
      </c>
      <c r="O17" s="7" t="inlineStr">
        <is>
          <t>FA-000013</t>
        </is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 t="n">
        <v>2120</v>
      </c>
      <c r="U17" t="inlineStr">
        <is>
          <t>Active</t>
        </is>
      </c>
      <c r="V17" t="n">
        <v>0</v>
      </c>
      <c r="W17" t="n">
        <v>0</v>
      </c>
      <c r="X17" t="inlineStr">
        <is>
          <t>Yes</t>
        </is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P2422H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PO-2024-0003 and FA-000014 both cite MD-00014 (Dell P2422H); register basis $520. HR row shows Nathan Kim (E0014) as Active. transfer TR-00014 dated Mar 07, 2026, received 2026-03-09, APR-00014.</t>
        </is>
      </c>
      <c r="L18" s="7" t="inlineStr">
        <is>
          <t>2026-08-05</t>
        </is>
      </c>
      <c r="M18" s="7" t="n">
        <v>520</v>
      </c>
      <c r="N18" s="7" t="n">
        <v>270.29</v>
      </c>
      <c r="O18" s="7" t="inlineStr">
        <is>
          <t>FA-000014</t>
        </is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 t="n">
        <v>520</v>
      </c>
      <c r="U18" t="inlineStr">
        <is>
          <t>Active</t>
        </is>
      </c>
      <c r="V18" t="n">
        <v>270.29</v>
      </c>
      <c r="W18" t="n">
        <v>0</v>
      </c>
      <c r="X18" t="inlineStr">
        <is>
          <t>Yes</t>
        </is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Monitor</t>
        </is>
      </c>
      <c r="D19" s="7" t="inlineStr">
        <is>
          <t>Dell U2723QE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TR-00015 moved MD-00015 (MD-MO-050015); inbound 2026-04-13; now In Use / Denver. HR row shows Camila Ortiz (E0015) as Active. buy path PO-2024-0003. ledger FA-000015 NBV $559.13.</t>
        </is>
      </c>
      <c r="L19" s="7" t="inlineStr">
        <is>
          <t>2026-08-05</t>
        </is>
      </c>
      <c r="M19" s="7" t="n">
        <v>995</v>
      </c>
      <c r="N19" s="7" t="n">
        <v>559.13</v>
      </c>
      <c r="O19" s="7" t="inlineStr">
        <is>
          <t>FA-000015</t>
        </is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 t="n">
        <v>995</v>
      </c>
      <c r="U19" t="inlineStr">
        <is>
          <t>Active</t>
        </is>
      </c>
      <c r="V19" t="n">
        <v>559.13</v>
      </c>
      <c r="W19" t="n">
        <v>0</v>
      </c>
      <c r="X19" t="inlineStr">
        <is>
          <t>Yes</t>
        </is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Monitor</t>
        </is>
      </c>
      <c r="D20" s="7" t="inlineStr">
        <is>
          <t>LG UltraFine 27MD5KL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MD-00016 / MD-NE-050016: LG UltraFine 27MD5KL at New York marked In Use; acquisition $6,290. HR row shows Patrick Gallagher (E0016) as Active. ledger FA-000016 NBV $968.69. buy path PO-2024-0003. transfer TR-00016 dated May 13, 2026, received 2026-05-17, APR-00016.</t>
        </is>
      </c>
      <c r="L20" s="7" t="inlineStr">
        <is>
          <t>2026-08-05</t>
        </is>
      </c>
      <c r="M20" s="7" t="n">
        <v>6290</v>
      </c>
      <c r="N20" s="7" t="n">
        <v>968.6900000000001</v>
      </c>
      <c r="O20" s="7" t="inlineStr">
        <is>
          <t>FA-000016</t>
        </is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 t="n">
        <v>6290</v>
      </c>
      <c r="U20" t="inlineStr">
        <is>
          <t>Active</t>
        </is>
      </c>
      <c r="V20" t="n">
        <v>968.6900000000001</v>
      </c>
      <c r="W20" t="n">
        <v>0</v>
      </c>
      <c r="X20" t="inlineStr">
        <is>
          <t>Yes</t>
        </is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Monitor</t>
        </is>
      </c>
      <c r="D21" s="7" t="inlineStr">
        <is>
          <t>Samsung ViewFinity S8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FA-000017 carries NBV $0 for MD-00017; operating status In Use at Seattle. HR row shows Irene Cho (E0017) as Active. purchasing extract lists PO-2025-0004. transfer TR-00017 dated Jun 17, 2026, received 2026-06-19, APR-00017.</t>
        </is>
      </c>
      <c r="L21" s="7" t="inlineStr">
        <is>
          <t>2026-08-05</t>
        </is>
      </c>
      <c r="M21" s="7" t="n">
        <v>1985</v>
      </c>
      <c r="N21" s="7" t="n">
        <v>0</v>
      </c>
      <c r="O21" s="7" t="inlineStr">
        <is>
          <t>FA-000017</t>
        </is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Yes</t>
        </is>
      </c>
      <c r="T21" t="n">
        <v>2070</v>
      </c>
      <c r="U21" t="inlineStr">
        <is>
          <t>Active</t>
        </is>
      </c>
      <c r="V21" t="n">
        <v>0</v>
      </c>
      <c r="W21" t="n">
        <v>85</v>
      </c>
      <c r="X21" t="inlineStr">
        <is>
          <t>Yes</t>
        </is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BenQ PD2705U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MD-00018 custodian Theo Barnett (E0018) is Active in hr_employee_status; site Atlanta, status In Use. transfer TR-00018 dated Jan 22, 2026, received 2026-01-23, APR-00018. buy path PO-2025-0004. ledger FA-000018 NBV $412.14.</t>
        </is>
      </c>
      <c r="L22" s="7" t="inlineStr">
        <is>
          <t>2026-08-05</t>
        </is>
      </c>
      <c r="M22" s="7" t="n">
        <v>700</v>
      </c>
      <c r="N22" s="7" t="n">
        <v>412.14</v>
      </c>
      <c r="O22" s="7" t="inlineStr">
        <is>
          <t>FA-000018</t>
        </is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 t="n">
        <v>700</v>
      </c>
      <c r="U22" t="inlineStr">
        <is>
          <t>Active</t>
        </is>
      </c>
      <c r="V22" t="n">
        <v>412.14</v>
      </c>
      <c r="W22" t="n">
        <v>0</v>
      </c>
      <c r="X22" t="inlineStr">
        <is>
          <t>Yes</t>
        </is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Monitor</t>
        </is>
      </c>
      <c r="D23" s="7" t="inlineStr">
        <is>
          <t>Dell P2422H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MD-00019 / MD-MO-050019: Dell P2422H at Chicago marked In Use; acquisition $1,175. HR row shows Jasmine Reed (E0019) as Active. ledger FA-000019 NBV $795.40. buy path PO-2025-0004. transfer TR-00019 dated Feb 23, 2026, received 2026-02-26, APR-00019.</t>
        </is>
      </c>
      <c r="L23" s="7" t="inlineStr">
        <is>
          <t>2026-08-05</t>
        </is>
      </c>
      <c r="M23" s="7" t="n">
        <v>1175</v>
      </c>
      <c r="N23" s="7" t="n">
        <v>795.4</v>
      </c>
      <c r="O23" s="7" t="inlineStr">
        <is>
          <t>FA-000019</t>
        </is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 t="n">
        <v>1175</v>
      </c>
      <c r="U23" t="inlineStr">
        <is>
          <t>Active</t>
        </is>
      </c>
      <c r="V23" t="n">
        <v>795.4</v>
      </c>
      <c r="W23" t="n">
        <v>0</v>
      </c>
      <c r="X23" t="inlineStr">
        <is>
          <t>Yes</t>
        </is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Monitor</t>
        </is>
      </c>
      <c r="D24" s="7" t="inlineStr">
        <is>
          <t>LG UltraFine 27MD5KL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TR-00020 moved MD-00020 (MD-NE-050020); inbound 2026-03-30; now In Use / Dallas. HR row shows Luis Navarro (E0020) as Active. ledger FA-000020 NBV $1,446.34. buy path PO-2025-0004.</t>
        </is>
      </c>
      <c r="L24" s="7" t="inlineStr">
        <is>
          <t>2026-08-05</t>
        </is>
      </c>
      <c r="M24" s="7" t="n">
        <v>6470</v>
      </c>
      <c r="N24" s="7" t="n">
        <v>1446.34</v>
      </c>
      <c r="O24" s="7" t="inlineStr">
        <is>
          <t>FA-000020</t>
        </is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 t="n">
        <v>6470</v>
      </c>
      <c r="U24" t="inlineStr">
        <is>
          <t>Active</t>
        </is>
      </c>
      <c r="V24" t="n">
        <v>1446.34</v>
      </c>
      <c r="W24" t="n">
        <v>0</v>
      </c>
      <c r="X24" t="inlineStr">
        <is>
          <t>Yes</t>
        </is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Monitor</t>
        </is>
      </c>
      <c r="D25" s="7" t="inlineStr">
        <is>
          <t>Samsung ViewFinity S8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MD-00021 / MD-LA-050021: Samsung ViewFinity S8 at Denver marked In Use; acquisition $1,850. duplicate serial MD-LA-050021. transfer TR-00021 dated May 02, 2026, received 2026-05-03, APR-00021. ledger FA-000021 NBV $124.52. buy path PO-2022-0005. HR row shows Grace Lindholm (E0021) as Active.</t>
        </is>
      </c>
      <c r="L25" s="7" t="inlineStr">
        <is>
          <t>2026-08-05</t>
        </is>
      </c>
      <c r="M25" s="7" t="n">
        <v>1850</v>
      </c>
      <c r="N25" s="7" t="n">
        <v>124.52</v>
      </c>
      <c r="O25" s="7" t="inlineStr">
        <is>
          <t>FA-000021</t>
        </is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Yes</t>
        </is>
      </c>
      <c r="T25" t="n">
        <v>1850</v>
      </c>
      <c r="U25" t="inlineStr">
        <is>
          <t>Active</t>
        </is>
      </c>
      <c r="V25" t="n">
        <v>124.52</v>
      </c>
      <c r="W25" t="n">
        <v>0</v>
      </c>
      <c r="X25" t="inlineStr">
        <is>
          <t>Yes</t>
        </is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BenQ PD2705U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PO-2022-0005 and FA-000022 both cite MD-00022 (BenQ PD2705U); register basis $565. transfer TR-00022 dated Jun 03, 2026, received 2026-06-05, APR-00022. HR row shows Andre Baptiste (E0022) as Active.</t>
        </is>
      </c>
      <c r="L26" s="7" t="inlineStr">
        <is>
          <t>2026-08-05</t>
        </is>
      </c>
      <c r="M26" s="7" t="n">
        <v>565</v>
      </c>
      <c r="N26" s="7" t="n">
        <v>371.95</v>
      </c>
      <c r="O26" s="7" t="inlineStr">
        <is>
          <t>FA-000022</t>
        </is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 t="n">
        <v>565</v>
      </c>
      <c r="U26" t="inlineStr">
        <is>
          <t>Active</t>
        </is>
      </c>
      <c r="V26" t="n">
        <v>371.95</v>
      </c>
      <c r="W26" t="n">
        <v>0</v>
      </c>
      <c r="X26" t="inlineStr">
        <is>
          <t>Yes</t>
        </is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Monitor</t>
        </is>
      </c>
      <c r="D27" s="7" t="inlineStr">
        <is>
          <t>Dell P2422H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TR-00023 moved MD-00023 (MD-MO-050023); inbound 2026-07-09; now In Use / Seattle. buy path PO-2022-0005. HR row shows Nina Kowalski (E0023) as Active. ledger FA-000023 NBV $823.60.</t>
        </is>
      </c>
      <c r="L27" s="7" t="inlineStr">
        <is>
          <t>2026-08-05</t>
        </is>
      </c>
      <c r="M27" s="7" t="n">
        <v>1040</v>
      </c>
      <c r="N27" s="7" t="n">
        <v>823.6</v>
      </c>
      <c r="O27" s="7" t="inlineStr">
        <is>
          <t>FA-000023</t>
        </is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 t="n">
        <v>1040</v>
      </c>
      <c r="U27" t="inlineStr">
        <is>
          <t>Active</t>
        </is>
      </c>
      <c r="V27" t="n">
        <v>823.6</v>
      </c>
      <c r="W27" t="n">
        <v>0</v>
      </c>
      <c r="X27" t="inlineStr">
        <is>
          <t>Yes</t>
        </is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Monitor</t>
        </is>
      </c>
      <c r="D28" s="7" t="inlineStr">
        <is>
          <t>Dell U2723QE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MD-00024 / MD-NE-050024: Dell U2723QE at Atlanta marked In Use; acquisition $6,335. buy path PO-2022-0005. HR row shows Chris Daley (E0024) as Active. transfer TR-00024 dated Jan 18, 2026, received 2026-01-21, APR-00024. ledger FA-000024 NBV $503.85.</t>
        </is>
      </c>
      <c r="L28" s="7" t="inlineStr">
        <is>
          <t>2026-08-05</t>
        </is>
      </c>
      <c r="M28" s="7" t="n">
        <v>6335</v>
      </c>
      <c r="N28" s="7" t="n">
        <v>503.85</v>
      </c>
      <c r="O28" s="7" t="inlineStr">
        <is>
          <t>FA-000024</t>
        </is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 t="n">
        <v>6335</v>
      </c>
      <c r="U28" t="inlineStr">
        <is>
          <t>Active</t>
        </is>
      </c>
      <c r="V28" t="n">
        <v>503.85</v>
      </c>
      <c r="W28" t="n">
        <v>0</v>
      </c>
      <c r="X28" t="inlineStr">
        <is>
          <t>Yes</t>
        </is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Monitor</t>
        </is>
      </c>
      <c r="D29" s="7" t="inlineStr">
        <is>
          <t>LG UltraFine 27MD5KL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PO-2022-0005 and FA-000025 both cite MD-00025 (LG UltraFine 27MD5KL); register basis $2,030. duplicate serial MD-LA-050021. HR row shows Fatima Hussein (E0025) as Active. transfer TR-00025 dated Jan 21, 2026, received 2026-01-22, APR-00025.</t>
        </is>
      </c>
      <c r="L29" s="7" t="inlineStr">
        <is>
          <t>2026-08-05</t>
        </is>
      </c>
      <c r="M29" s="7" t="n">
        <v>2030</v>
      </c>
      <c r="N29" s="7" t="n">
        <v>0</v>
      </c>
      <c r="O29" s="7" t="inlineStr">
        <is>
          <t>FA-000025</t>
        </is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Yes</t>
        </is>
      </c>
      <c r="T29" t="n">
        <v>2030</v>
      </c>
      <c r="U29" t="inlineStr">
        <is>
          <t>Active</t>
        </is>
      </c>
      <c r="V29" t="n">
        <v>0</v>
      </c>
      <c r="W29" t="n">
        <v>0</v>
      </c>
      <c r="X29" t="inlineStr">
        <is>
          <t>Yes</t>
        </is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Samsung ViewFinity S8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MD-00026 custodian Brendan Walsh (E0026) is Active in hr_employee_status; site Dallas, status In Use. buy path PO-2022-0005. transfer TR-00026 dated Feb 23, 2026, received 2026-02-27, APR-00026. ledger FA-000026 NBV $382.34.</t>
        </is>
      </c>
      <c r="L30" s="7" t="inlineStr">
        <is>
          <t>2026-08-05</t>
        </is>
      </c>
      <c r="M30" s="7" t="n">
        <v>745</v>
      </c>
      <c r="N30" s="7" t="n">
        <v>382.34</v>
      </c>
      <c r="O30" s="7" t="inlineStr">
        <is>
          <t>FA-000026</t>
        </is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Yes</t>
        </is>
      </c>
      <c r="T30" t="n">
        <v>745</v>
      </c>
      <c r="U30" t="inlineStr">
        <is>
          <t>Active</t>
        </is>
      </c>
      <c r="V30" t="n">
        <v>382.34</v>
      </c>
      <c r="W30" t="n">
        <v>0</v>
      </c>
      <c r="X30" t="inlineStr">
        <is>
          <t>Yes</t>
        </is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Monitor</t>
        </is>
      </c>
      <c r="D31" s="7" t="inlineStr">
        <is>
          <t>BenQ PD2705U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MD-00027 / MD-MO-050027: BenQ PD2705U at Denver marked In Use; acquisition $1,220. HR row shows Yuki Tanaka (E0027) as Active. transfer TR-00027 dated Mar 31, 2026, received 2026-04-06, APR-00027. ledger FA-000027 NBV $672.21. buy path PO-2022-0005.</t>
        </is>
      </c>
      <c r="L31" s="7" t="inlineStr">
        <is>
          <t>2026-08-05</t>
        </is>
      </c>
      <c r="M31" s="7" t="n">
        <v>1220</v>
      </c>
      <c r="N31" s="7" t="n">
        <v>672.21</v>
      </c>
      <c r="O31" s="7" t="inlineStr">
        <is>
          <t>FA-000027</t>
        </is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Yes</t>
        </is>
      </c>
      <c r="T31" t="n">
        <v>1220</v>
      </c>
      <c r="U31" t="inlineStr">
        <is>
          <t>Active</t>
        </is>
      </c>
      <c r="V31" t="n">
        <v>672.21</v>
      </c>
      <c r="W31" t="n">
        <v>0</v>
      </c>
      <c r="X31" t="inlineStr">
        <is>
          <t>Yes</t>
        </is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Monitor</t>
        </is>
      </c>
      <c r="D32" s="7" t="inlineStr">
        <is>
          <t>Dell P2422H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FA-000028 carries NBV $914.09 for MD-00028; operating status In Use at New York. HR row shows Megan Copeland (E0028) as Active. transfer TR-00028 dated May 01, 2026, received 2026-05-02, APR-00028. purchasing extract lists PO-2023-0006.</t>
        </is>
      </c>
      <c r="L32" s="7" t="inlineStr">
        <is>
          <t>2026-08-05</t>
        </is>
      </c>
      <c r="M32" s="7" t="n">
        <v>6200</v>
      </c>
      <c r="N32" s="7" t="n">
        <v>914.09</v>
      </c>
      <c r="O32" s="7" t="inlineStr">
        <is>
          <t>FA-000028</t>
        </is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Yes</t>
        </is>
      </c>
      <c r="T32" t="n">
        <v>6200</v>
      </c>
      <c r="U32" t="inlineStr">
        <is>
          <t>Active</t>
        </is>
      </c>
      <c r="V32" t="n">
        <v>914.09</v>
      </c>
      <c r="W32" t="n">
        <v>0</v>
      </c>
      <c r="X32" t="inlineStr">
        <is>
          <t>Yes</t>
        </is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Monitor</t>
        </is>
      </c>
      <c r="D33" s="7" t="inlineStr">
        <is>
          <t>Dell U2723QE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MD-00029 custodian Omar Haddad (E0029) is Active in hr_employee_status; site Seattle, status In Use. transfer TR-00029 dated Jun 05, 2026, received 2026-06-11, APR-00029. ledger FA-000029 NBV $0. buy path PO-2023-0006.</t>
        </is>
      </c>
      <c r="L33" s="7" t="inlineStr">
        <is>
          <t>2026-08-05</t>
        </is>
      </c>
      <c r="M33" s="7" t="n">
        <v>1895</v>
      </c>
      <c r="N33" s="7" t="n">
        <v>0</v>
      </c>
      <c r="O33" s="7" t="inlineStr">
        <is>
          <t>FA-000029</t>
        </is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Yes</t>
        </is>
      </c>
      <c r="T33" t="n">
        <v>1895</v>
      </c>
      <c r="U33" t="inlineStr">
        <is>
          <t>Active</t>
        </is>
      </c>
      <c r="V33" t="n">
        <v>0</v>
      </c>
      <c r="W33" t="n">
        <v>0</v>
      </c>
      <c r="X33" t="inlineStr">
        <is>
          <t>Yes</t>
        </is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Samsung ViewFinity S8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PO-2023-0006 and FA-000030 both cite MD-00030 (Samsung ViewFinity S8); register basis $610. transfer TR-00030 dated Jan 10, 2026, received 2026-01-13, APR-00030. HR row shows Stephanie Ruiz (E0030) as Active.</t>
        </is>
      </c>
      <c r="L34" s="7" t="inlineStr">
        <is>
          <t>2026-08-05</t>
        </is>
      </c>
      <c r="M34" s="7" t="n">
        <v>610</v>
      </c>
      <c r="N34" s="7" t="n">
        <v>355.14</v>
      </c>
      <c r="O34" s="7" t="inlineStr">
        <is>
          <t>FA-000030</t>
        </is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Yes</t>
        </is>
      </c>
      <c r="T34" t="n">
        <v>610</v>
      </c>
      <c r="U34" t="inlineStr">
        <is>
          <t>Active</t>
        </is>
      </c>
      <c r="V34" t="n">
        <v>355.14</v>
      </c>
      <c r="W34" t="n">
        <v>0</v>
      </c>
      <c r="X34" t="inlineStr">
        <is>
          <t>Yes</t>
        </is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Monitor</t>
        </is>
      </c>
      <c r="D35" s="7" t="inlineStr">
        <is>
          <t>BenQ PD2705U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TR-00031 moved MD-00031 (MD-MO-050031); inbound 2026-02-11; now In Use / Chicago. ledger FA-000031 NBV $722.59. HR row shows Keith Moreau (E0031) as Active. buy path PO-2023-0006.</t>
        </is>
      </c>
      <c r="L35" s="7" t="inlineStr">
        <is>
          <t>2026-08-05</t>
        </is>
      </c>
      <c r="M35" s="7" t="n">
        <v>1085</v>
      </c>
      <c r="N35" s="7" t="n">
        <v>722.59</v>
      </c>
      <c r="O35" s="7" t="inlineStr">
        <is>
          <t>FA-000031</t>
        </is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Yes</t>
        </is>
      </c>
      <c r="T35" t="n">
        <v>1085</v>
      </c>
      <c r="U35" t="inlineStr">
        <is>
          <t>Active</t>
        </is>
      </c>
      <c r="V35" t="n">
        <v>722.59</v>
      </c>
      <c r="W35" t="n">
        <v>0</v>
      </c>
      <c r="X35" t="inlineStr">
        <is>
          <t>Yes</t>
        </is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Monitor</t>
        </is>
      </c>
      <c r="D36" s="7" t="inlineStr">
        <is>
          <t>Dell P2422H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MD-00032 / MD-NE-050032: Dell P2422H at Dallas marked In Use; acquisition $6,380. ledger FA-000032 NBV $1,384.30. buy path PO-2023-0006. HR row shows Diana Voss (E0032) as Active. transfer TR-00032 dated Mar 16, 2026, received 2026-03-22, APR-00032.</t>
        </is>
      </c>
      <c r="L36" s="7" t="inlineStr">
        <is>
          <t>2026-08-05</t>
        </is>
      </c>
      <c r="M36" s="7" t="n">
        <v>6380</v>
      </c>
      <c r="N36" s="7" t="n">
        <v>1384.3</v>
      </c>
      <c r="O36" s="7" t="inlineStr">
        <is>
          <t>FA-000032</t>
        </is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Yes</t>
        </is>
      </c>
      <c r="T36" t="n">
        <v>6380</v>
      </c>
      <c r="U36" t="inlineStr">
        <is>
          <t>Active</t>
        </is>
      </c>
      <c r="V36" t="n">
        <v>1384.3</v>
      </c>
      <c r="W36" t="n">
        <v>0</v>
      </c>
      <c r="X36" t="inlineStr">
        <is>
          <t>Yes</t>
        </is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Monitor</t>
        </is>
      </c>
      <c r="D37" s="7" t="inlineStr">
        <is>
          <t>Dell U2723QE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PO-2023-0006 and FA-000033 both cite MD-00033 (Dell U2723QE); register basis $2,075. HR row shows Jordan Blake (E0033) as Active. transfer TR-00033 dated Apr 20, 2026, received 2026-04-22, APR-00033.</t>
        </is>
      </c>
      <c r="L37" s="7" t="inlineStr">
        <is>
          <t>2026-08-05</t>
        </is>
      </c>
      <c r="M37" s="7" t="n">
        <v>2075</v>
      </c>
      <c r="N37" s="7" t="n">
        <v>116.93</v>
      </c>
      <c r="O37" s="7" t="inlineStr">
        <is>
          <t>FA-000033</t>
        </is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Yes</t>
        </is>
      </c>
      <c r="T37" t="n">
        <v>2075</v>
      </c>
      <c r="U37" t="inlineStr">
        <is>
          <t>Active</t>
        </is>
      </c>
      <c r="V37" t="n">
        <v>116.93</v>
      </c>
      <c r="W37" t="n">
        <v>0</v>
      </c>
      <c r="X37" t="inlineStr">
        <is>
          <t>Yes</t>
        </is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LG UltraFine 27MD5KL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TR-00034 moved MD-00034 (MD-MO-050034); inbound 2026-05-22; now In Use / New York. ledger FA-000034 NBV $479.88. HR row shows Amelia Grant (E0034) as Active. buy path PO-2024-0007.</t>
        </is>
      </c>
      <c r="L38" s="7" t="inlineStr">
        <is>
          <t>2026-08-05</t>
        </is>
      </c>
      <c r="M38" s="7" t="n">
        <v>790</v>
      </c>
      <c r="N38" s="7" t="n">
        <v>479.88</v>
      </c>
      <c r="O38" s="7" t="inlineStr">
        <is>
          <t>FA-000034</t>
        </is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Yes</t>
        </is>
      </c>
      <c r="T38" t="n">
        <v>930</v>
      </c>
      <c r="U38" t="inlineStr">
        <is>
          <t>Active</t>
        </is>
      </c>
      <c r="V38" t="n">
        <v>479.88</v>
      </c>
      <c r="W38" t="n">
        <v>140</v>
      </c>
      <c r="X38" t="inlineStr">
        <is>
          <t>Yes</t>
        </is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Monitor</t>
        </is>
      </c>
      <c r="D39" s="7" t="inlineStr">
        <is>
          <t>Samsung ViewFinity S8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MD-00035 / MD-MO-050035: Samsung ViewFinity S8 at Seattle marked In Use; acquisition $950. HR row shows Rafael Mendes (E0035) as Active. ledger FA-000035 NBV $741.92. transfer TR-00035 dated Jun 26, 2026, received 2026-06-30, APR-00035. buy path PO-2024-0007.</t>
        </is>
      </c>
      <c r="L39" s="7" t="inlineStr">
        <is>
          <t>2026-08-05</t>
        </is>
      </c>
      <c r="M39" s="7" t="n">
        <v>950</v>
      </c>
      <c r="N39" s="7" t="n">
        <v>741.92</v>
      </c>
      <c r="O39" s="7" t="inlineStr">
        <is>
          <t>FA-000035</t>
        </is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Yes</t>
        </is>
      </c>
      <c r="T39" t="n">
        <v>950</v>
      </c>
      <c r="U39" t="inlineStr">
        <is>
          <t>Active</t>
        </is>
      </c>
      <c r="V39" t="n">
        <v>741.92</v>
      </c>
      <c r="W39" t="n">
        <v>0</v>
      </c>
      <c r="X39" t="inlineStr">
        <is>
          <t>Yes</t>
        </is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Mobile Device</t>
        </is>
      </c>
      <c r="D40" s="7" t="inlineStr">
        <is>
          <t>Samsung Galaxy S23 FE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FA-000036 carries NBV $537.73 for MD-00036; operating status In Use at Atlanta. HR row shows Kate Sorenson (E0036) as Active. purchasing extract lists PO-2025-0008. transfer TR-00036 dated Jan 30, 2026, received 2026-02-01, APR-00036.</t>
        </is>
      </c>
      <c r="L40" s="7" t="inlineStr">
        <is>
          <t>2026-08-05</t>
        </is>
      </c>
      <c r="M40" s="7" t="n">
        <v>6245</v>
      </c>
      <c r="N40" s="7" t="n">
        <v>537.73</v>
      </c>
      <c r="O40" s="7" t="inlineStr">
        <is>
          <t>FA-000036</t>
        </is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Yes</t>
        </is>
      </c>
      <c r="T40" t="n">
        <v>6245</v>
      </c>
      <c r="U40" t="inlineStr">
        <is>
          <t>Active</t>
        </is>
      </c>
      <c r="V40" t="n">
        <v>537.73</v>
      </c>
      <c r="W40" t="n">
        <v>0</v>
      </c>
      <c r="X40" t="inlineStr">
        <is>
          <t>Yes</t>
        </is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Mobile Device</t>
        </is>
      </c>
      <c r="D41" s="7" t="inlineStr">
        <is>
          <t>iPhone 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MD-00037 custodian Victor Lang (E0037) is Active in hr_employee_status; site Chicago, status In Use. ledger FA-000037 NBV $0. transfer TR-00037 dated Feb 02, 2026, received 2026-02-02, APR-00037. buy path PO-2025-0008.</t>
        </is>
      </c>
      <c r="L41" s="7" t="inlineStr">
        <is>
          <t>2026-08-05</t>
        </is>
      </c>
      <c r="M41" s="7" t="n">
        <v>1940</v>
      </c>
      <c r="N41" s="7" t="n">
        <v>0</v>
      </c>
      <c r="O41" s="7" t="inlineStr">
        <is>
          <t>FA-000037</t>
        </is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Yes</t>
        </is>
      </c>
      <c r="T41" t="n">
        <v>1940</v>
      </c>
      <c r="U41" t="inlineStr">
        <is>
          <t>Active</t>
        </is>
      </c>
      <c r="V41" t="n">
        <v>0</v>
      </c>
      <c r="W41" t="n">
        <v>0</v>
      </c>
      <c r="X41" t="inlineStr">
        <is>
          <t>Yes</t>
        </is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Mobile Device</t>
        </is>
      </c>
      <c r="D42" s="7" t="inlineStr">
        <is>
          <t>Samsung Galaxy S24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MD-00038 / MD-MO-050038: Samsung Galaxy S24 at Dallas marked In Use; acquisition $655. transfer TR-00038 dated Mar 07, 2026, received 2026-03-11, APR-00038. buy path PO-2025-0008. ledger FA-000038 NBV $340.46. HR row shows Noelle Harper (E0038) as Active.</t>
        </is>
      </c>
      <c r="L42" s="7" t="inlineStr">
        <is>
          <t>2026-08-05</t>
        </is>
      </c>
      <c r="M42" s="7" t="n">
        <v>655</v>
      </c>
      <c r="N42" s="7" t="n">
        <v>340.46</v>
      </c>
      <c r="O42" s="7" t="inlineStr">
        <is>
          <t>FA-000038</t>
        </is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Yes</t>
        </is>
      </c>
      <c r="T42" t="n">
        <v>655</v>
      </c>
      <c r="U42" t="inlineStr">
        <is>
          <t>Active</t>
        </is>
      </c>
      <c r="V42" t="n">
        <v>340.46</v>
      </c>
      <c r="W42" t="n">
        <v>0</v>
      </c>
      <c r="X42" t="inlineStr">
        <is>
          <t>Yes</t>
        </is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iPhone 15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FA-000039 carries NBV $635 for MD-00039; operating status In Use at Denver. purchasing extract lists PO-2025-0008. transfer TR-00039 dated Apr 12, 2026, received 2026-04-14, APR-00039. HR row shows Samir Kapoor (E0039) as Active.</t>
        </is>
      </c>
      <c r="L43" s="7" t="inlineStr">
        <is>
          <t>2026-08-05</t>
        </is>
      </c>
      <c r="M43" s="7" t="n">
        <v>1130</v>
      </c>
      <c r="N43" s="7" t="n">
        <v>635</v>
      </c>
      <c r="O43" s="7" t="inlineStr">
        <is>
          <t>FA-000039</t>
        </is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Yes</t>
        </is>
      </c>
      <c r="T43" t="n">
        <v>1130</v>
      </c>
      <c r="U43" t="inlineStr">
        <is>
          <t>Active</t>
        </is>
      </c>
      <c r="V43" t="n">
        <v>635</v>
      </c>
      <c r="W43" t="n">
        <v>0</v>
      </c>
      <c r="X43" t="inlineStr">
        <is>
          <t>Yes</t>
        </is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Mobile Device</t>
        </is>
      </c>
      <c r="D44" s="7" t="inlineStr">
        <is>
          <t>Samsung Galaxy S23 FE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MD-00040 / MD-NE-050040: Samsung Galaxy S23 FE at New York marked In Use; acquisition $6,425. HR row shows Holly Jensen (E0040) as Active. buy path PO-2025-0008. ledger FA-000040 NBV $989.48. transfer TR-00040 dated May 13, 2026, received 2026-05-13, APR-00040.</t>
        </is>
      </c>
      <c r="L44" s="7" t="inlineStr">
        <is>
          <t>2026-08-05</t>
        </is>
      </c>
      <c r="M44" s="7" t="n">
        <v>6425</v>
      </c>
      <c r="N44" s="7" t="n">
        <v>989.48</v>
      </c>
      <c r="O44" s="7" t="inlineStr">
        <is>
          <t>FA-000040</t>
        </is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Yes</t>
        </is>
      </c>
      <c r="T44" t="n">
        <v>6425</v>
      </c>
      <c r="U44" t="inlineStr">
        <is>
          <t>Active</t>
        </is>
      </c>
      <c r="V44" t="n">
        <v>989.48</v>
      </c>
      <c r="W44" t="n">
        <v>0</v>
      </c>
      <c r="X44" t="inlineStr">
        <is>
          <t>Yes</t>
        </is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Mobile Device</t>
        </is>
      </c>
      <c r="D45" s="7" t="inlineStr">
        <is>
          <t>iPhone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PO-2025-0008 and FA-000041 both cite MD-00041 (iPhone 14); register basis $2,120. HR row shows Eric Vann (E0041) as Active. transfer TR-00041 dated Jun 17, 2026, received 2026-06-20, APR-00041.</t>
        </is>
      </c>
      <c r="L45" s="7" t="inlineStr">
        <is>
          <t>2026-08-05</t>
        </is>
      </c>
      <c r="M45" s="7" t="n">
        <v>2120</v>
      </c>
      <c r="N45" s="7" t="n">
        <v>0</v>
      </c>
      <c r="O45" s="7" t="inlineStr">
        <is>
          <t>FA-000041</t>
        </is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Yes</t>
        </is>
      </c>
      <c r="T45" t="n">
        <v>2120</v>
      </c>
      <c r="U45" t="inlineStr">
        <is>
          <t>Active</t>
        </is>
      </c>
      <c r="V45" t="n">
        <v>0</v>
      </c>
      <c r="W45" t="n">
        <v>0</v>
      </c>
      <c r="X45" t="inlineStr">
        <is>
          <t>Yes</t>
        </is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Mobile Device</t>
        </is>
      </c>
      <c r="D46" s="7" t="inlineStr">
        <is>
          <t>Samsung Galaxy S24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TR-00042 moved MD-00042 (MD-MO-050042); inbound 2026-01-24; now In Use / Atlanta. ledger FA-000042 NBV $306.16. buy path PO-2025-0008. HR row shows Claudia Rossi (E0042) as Active.</t>
        </is>
      </c>
      <c r="L46" s="7" t="inlineStr">
        <is>
          <t>2026-08-05</t>
        </is>
      </c>
      <c r="M46" s="7" t="n">
        <v>520</v>
      </c>
      <c r="N46" s="7" t="n">
        <v>306.16</v>
      </c>
      <c r="O46" s="7" t="inlineStr">
        <is>
          <t>FA-000042</t>
        </is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Yes</t>
        </is>
      </c>
      <c r="T46" t="n">
        <v>520</v>
      </c>
      <c r="U46" t="inlineStr">
        <is>
          <t>Active</t>
        </is>
      </c>
      <c r="V46" t="n">
        <v>306.16</v>
      </c>
      <c r="W46" t="n">
        <v>0</v>
      </c>
      <c r="X46" t="inlineStr">
        <is>
          <t>Yes</t>
        </is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iPhone 15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MD-00043 / MD-MO-050043: iPhone 15 at Chicago marked In Use; acquisition $995. transfer TR-00043 dated Feb 23, 2026, received 2026-03-01, APR-00043. buy path PO-2025-0008. HR row shows Tyler Brooks (E0043) as Active. ledger FA-000043 NBV $673.55.</t>
        </is>
      </c>
      <c r="L47" s="7" t="inlineStr">
        <is>
          <t>2026-08-05</t>
        </is>
      </c>
      <c r="M47" s="7" t="n">
        <v>995</v>
      </c>
      <c r="N47" s="7" t="n">
        <v>673.55</v>
      </c>
      <c r="O47" s="7" t="inlineStr">
        <is>
          <t>FA-000043</t>
        </is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Yes</t>
        </is>
      </c>
      <c r="T47" t="n">
        <v>995</v>
      </c>
      <c r="U47" t="inlineStr">
        <is>
          <t>Active</t>
        </is>
      </c>
      <c r="V47" t="n">
        <v>673.55</v>
      </c>
      <c r="W47" t="n">
        <v>0</v>
      </c>
      <c r="X47" t="inlineStr">
        <is>
          <t>Yes</t>
        </is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Mobile Device</t>
        </is>
      </c>
      <c r="D48" s="7" t="inlineStr">
        <is>
          <t>Google Pixel 8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PO-2025-0008 and FA-000044 both cite MD-00044 (Google Pixel 8); register basis $6,290. transfer TR-00044 dated Mar 28, 2026, received 2026-03-31, APR-00044. HR row shows Leah Okada (E0044) as Active.</t>
        </is>
      </c>
      <c r="L48" s="7" t="inlineStr">
        <is>
          <t>2026-08-05</t>
        </is>
      </c>
      <c r="M48" s="7" t="n">
        <v>6290</v>
      </c>
      <c r="N48" s="7" t="n">
        <v>1406.1</v>
      </c>
      <c r="O48" s="7" t="inlineStr">
        <is>
          <t>FA-000044</t>
        </is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Yes</t>
        </is>
      </c>
      <c r="T48" t="n">
        <v>6290</v>
      </c>
      <c r="U48" t="inlineStr">
        <is>
          <t>Active</t>
        </is>
      </c>
      <c r="V48" t="n">
        <v>1406.1</v>
      </c>
      <c r="W48" t="n">
        <v>0</v>
      </c>
      <c r="X48" t="inlineStr">
        <is>
          <t>Yes</t>
        </is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Mobile Device</t>
        </is>
      </c>
      <c r="D49" s="7" t="inlineStr">
        <is>
          <t>Samsung Galaxy S23 FE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TR-00045 moved MD-00045 (MD-LA-050045); inbound 2026-05-03; now In Use / Denver. HR row shows Darnell Price (E0045) as Active. ledger FA-000045 NBV $133.60. buy path PO-2022-0009.</t>
        </is>
      </c>
      <c r="L49" s="7" t="inlineStr">
        <is>
          <t>2026-08-05</t>
        </is>
      </c>
      <c r="M49" s="7" t="n">
        <v>1985</v>
      </c>
      <c r="N49" s="7" t="n">
        <v>133.6</v>
      </c>
      <c r="O49" s="7" t="inlineStr">
        <is>
          <t>FA-000045</t>
        </is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Yes</t>
        </is>
      </c>
      <c r="T49" t="n">
        <v>1985</v>
      </c>
      <c r="U49" t="inlineStr">
        <is>
          <t>Active</t>
        </is>
      </c>
      <c r="V49" t="n">
        <v>133.6</v>
      </c>
      <c r="W49" t="n">
        <v>0</v>
      </c>
      <c r="X49" t="inlineStr">
        <is>
          <t>Yes</t>
        </is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Mobile Device</t>
        </is>
      </c>
      <c r="D50" s="7" t="inlineStr">
        <is>
          <t>iPhone 14</t>
        </is>
      </c>
      <c r="E50" s="7" t="n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MD-00046 / MD-MO-050046: iPhone 14 at New York marked Available; acquisition $700. transfer TR-00046 dated Jun 03, 2026, received 2026-06-07, APR-00046. ledger FA-000046 NBV $460.82. buy path PO-2022-0009.</t>
        </is>
      </c>
      <c r="L50" s="7" t="inlineStr">
        <is>
          <t>2026-05-24</t>
        </is>
      </c>
      <c r="M50" s="7" t="n">
        <v>700</v>
      </c>
      <c r="N50" s="7" t="n">
        <v>460.82</v>
      </c>
      <c r="O50" s="7" t="inlineStr">
        <is>
          <t>FA-000046</t>
        </is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Yes</t>
        </is>
      </c>
      <c r="T50" t="n">
        <v>700</v>
      </c>
      <c r="U50" t="inlineStr">
        <is>
          <t>Active</t>
        </is>
      </c>
      <c r="V50" t="n">
        <v>460.82</v>
      </c>
      <c r="W50" t="n">
        <v>0</v>
      </c>
      <c r="X50" t="inlineStr">
        <is>
          <t>Yes</t>
        </is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n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FA-000047 carries NBV $930.51 for MD-00047; operating status Available at Seattle. transfer TR-00047 dated Jul 08, 2026, received 2026-07-10, APR-00047. purchasing extract lists PO-2022-0009.</t>
        </is>
      </c>
      <c r="L51" s="7" t="inlineStr">
        <is>
          <t>2026-06-25</t>
        </is>
      </c>
      <c r="M51" s="7" t="n">
        <v>1175</v>
      </c>
      <c r="N51" s="7" t="n">
        <v>930.51</v>
      </c>
      <c r="O51" s="7" t="inlineStr">
        <is>
          <t>FA-000047</t>
        </is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Yes</t>
        </is>
      </c>
      <c r="T51" t="n">
        <v>1175</v>
      </c>
      <c r="U51" t="inlineStr">
        <is>
          <t>Active</t>
        </is>
      </c>
      <c r="V51" t="n">
        <v>930.51</v>
      </c>
      <c r="W51" t="n">
        <v>0</v>
      </c>
      <c r="X51" t="inlineStr">
        <is>
          <t>Yes</t>
        </is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Mobile Device</t>
        </is>
      </c>
      <c r="D52" s="7" t="inlineStr">
        <is>
          <t>iPhone 15</t>
        </is>
      </c>
      <c r="E52" s="7" t="n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MD-00048 / MD-NE-050048: iPhone 15 at Atlanta marked Available; acquisition $6,470. transfer TR-00048 dated Jan 18, 2026, received 2026-01-24, APR-00048. ledger FA-000048 NBV $514.59. buy path PO-2022-0009.</t>
        </is>
      </c>
      <c r="L52" s="7" t="inlineStr">
        <is>
          <t>2026-01-02</t>
        </is>
      </c>
      <c r="M52" s="7" t="n">
        <v>6470</v>
      </c>
      <c r="N52" s="7" t="n">
        <v>514.59</v>
      </c>
      <c r="O52" s="7" t="inlineStr">
        <is>
          <t>FA-000048</t>
        </is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Yes</t>
        </is>
      </c>
      <c r="T52" t="n">
        <v>6470</v>
      </c>
      <c r="U52" t="inlineStr">
        <is>
          <t>Active</t>
        </is>
      </c>
      <c r="V52" t="n">
        <v>514.59</v>
      </c>
      <c r="W52" t="n">
        <v>0</v>
      </c>
      <c r="X52" t="inlineStr">
        <is>
          <t>Yes</t>
        </is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Mobile Device</t>
        </is>
      </c>
      <c r="D53" s="7" t="inlineStr">
        <is>
          <t>Google Pixel 8</t>
        </is>
      </c>
      <c r="E53" s="7" t="n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MD-00049 / MD-LA-050049: Google Pixel 8 at Chicago marked Available; acquisition $1,850. transfer TR-00049 dated Jan 21, 2026, received 2026-01-23, APR-00049. ledger FA-000049 NBV $0. buy path PO-2022-0009.</t>
        </is>
      </c>
      <c r="L53" s="7" t="inlineStr">
        <is>
          <t>2026-02-03</t>
        </is>
      </c>
      <c r="M53" s="7" t="n">
        <v>1850</v>
      </c>
      <c r="N53" s="7" t="n">
        <v>0</v>
      </c>
      <c r="O53" s="7" t="inlineStr">
        <is>
          <t>FA-000049</t>
        </is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Yes</t>
        </is>
      </c>
      <c r="T53" t="n">
        <v>1850</v>
      </c>
      <c r="U53" t="inlineStr">
        <is>
          <t>Active</t>
        </is>
      </c>
      <c r="V53" t="n">
        <v>0</v>
      </c>
      <c r="W53" t="n">
        <v>0</v>
      </c>
      <c r="X53" t="inlineStr">
        <is>
          <t>Yes</t>
        </is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Mobile Device</t>
        </is>
      </c>
      <c r="D54" s="7" t="inlineStr">
        <is>
          <t>iPhone 14</t>
        </is>
      </c>
      <c r="E54" s="7" t="n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TR-00050 moved MD-00050 (MD-MO-050050); inbound 2026-02-23; now Available / Dallas. buy path PO-2023-0010. ledger FA-000050 NBV $289.96.</t>
        </is>
      </c>
      <c r="L54" s="7" t="inlineStr">
        <is>
          <t>2026-03-04</t>
        </is>
      </c>
      <c r="M54" s="7" t="n">
        <v>565</v>
      </c>
      <c r="N54" s="7" t="n">
        <v>289.96</v>
      </c>
      <c r="O54" s="7" t="inlineStr">
        <is>
          <t>FA-000050</t>
        </is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Yes</t>
        </is>
      </c>
      <c r="T54" t="n">
        <v>565</v>
      </c>
      <c r="U54" t="inlineStr">
        <is>
          <t>Active</t>
        </is>
      </c>
      <c r="V54" t="n">
        <v>289.96</v>
      </c>
      <c r="W54" t="n">
        <v>0</v>
      </c>
      <c r="X54" t="inlineStr">
        <is>
          <t>Yes</t>
        </is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n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MD-00051 / MD-MO-050051: Samsung Galaxy S24 at Denver marked Available; acquisition $1,040. buy path PO-2023-0010. ledger FA-000051 NBV $573.03. transfer TR-00051 dated Mar 31, 2026, received 2026-03-31, APR-00051.</t>
        </is>
      </c>
      <c r="L55" s="7" t="inlineStr">
        <is>
          <t>2026-04-05</t>
        </is>
      </c>
      <c r="M55" s="7" t="n">
        <v>1040</v>
      </c>
      <c r="N55" s="7" t="n">
        <v>573.03</v>
      </c>
      <c r="O55" s="7" t="inlineStr">
        <is>
          <t>FA-000051</t>
        </is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Yes</t>
        </is>
      </c>
      <c r="T55" t="n">
        <v>1250</v>
      </c>
      <c r="U55" t="inlineStr">
        <is>
          <t>Active</t>
        </is>
      </c>
      <c r="V55" t="n">
        <v>573.03</v>
      </c>
      <c r="W55" t="n">
        <v>210</v>
      </c>
      <c r="X55" t="inlineStr">
        <is>
          <t>Yes</t>
        </is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Mobile Device</t>
        </is>
      </c>
      <c r="D56" s="7" t="inlineStr">
        <is>
          <t>iPhone 15</t>
        </is>
      </c>
      <c r="E56" s="7" t="n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PO-2023-0010 and FA-000052 both cite MD-00052 (iPhone 15); register basis $6,335. transfer TR-00052 dated May 01, 2026, received 2026-05-02, APR-00052.</t>
        </is>
      </c>
      <c r="L56" s="7" t="inlineStr">
        <is>
          <t>2026-05-06</t>
        </is>
      </c>
      <c r="M56" s="7" t="n">
        <v>6335</v>
      </c>
      <c r="N56" s="7" t="n">
        <v>933.99</v>
      </c>
      <c r="O56" s="7" t="inlineStr">
        <is>
          <t>FA-000052</t>
        </is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Yes</t>
        </is>
      </c>
      <c r="T56" t="n">
        <v>6335</v>
      </c>
      <c r="U56" t="inlineStr">
        <is>
          <t>Active</t>
        </is>
      </c>
      <c r="V56" t="n">
        <v>933.99</v>
      </c>
      <c r="W56" t="n">
        <v>0</v>
      </c>
      <c r="X56" t="inlineStr">
        <is>
          <t>Yes</t>
        </is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Mobile Device</t>
        </is>
      </c>
      <c r="D57" s="7" t="inlineStr">
        <is>
          <t>Google Pixel 8</t>
        </is>
      </c>
      <c r="E57" s="7" t="n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TR-00053 moved MD-00053 (MD-LA-050053); inbound 2026-06-05; now Available / Seattle. buy path PO-2024-0011. ledger FA-000053 NBV $0.</t>
        </is>
      </c>
      <c r="L57" s="7" t="inlineStr">
        <is>
          <t>2026-06-07</t>
        </is>
      </c>
      <c r="M57" s="7" t="n">
        <v>2030</v>
      </c>
      <c r="N57" s="7" t="n">
        <v>0</v>
      </c>
      <c r="O57" s="7" t="inlineStr">
        <is>
          <t>FA-000053</t>
        </is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Yes</t>
        </is>
      </c>
      <c r="T57" t="n">
        <v>2030</v>
      </c>
      <c r="U57" t="inlineStr">
        <is>
          <t>Active</t>
        </is>
      </c>
      <c r="V57" t="n">
        <v>0</v>
      </c>
      <c r="W57" t="n">
        <v>0</v>
      </c>
      <c r="X57" t="inlineStr">
        <is>
          <t>Yes</t>
        </is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Mobile Device</t>
        </is>
      </c>
      <c r="D58" s="7" t="inlineStr">
        <is>
          <t>Samsung Galaxy S23 FE</t>
        </is>
      </c>
      <c r="E58" s="7" t="n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MD-00054 / MD-MO-050054: Samsung Galaxy S23 FE at Atlanta marked Available; acquisition $745. buy path PO-2024-0011. ledger FA-000054 NBV $433.74. transfer TR-00054 dated Jan 10, 2026, received 2026-01-16, APR-00054.</t>
        </is>
      </c>
      <c r="L58" s="7" t="inlineStr">
        <is>
          <t>2026-01-08</t>
        </is>
      </c>
      <c r="M58" s="7" t="n">
        <v>745</v>
      </c>
      <c r="N58" s="7" t="n">
        <v>433.74</v>
      </c>
      <c r="O58" s="7" t="inlineStr">
        <is>
          <t>FA-000054</t>
        </is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Yes</t>
        </is>
      </c>
      <c r="T58" t="n">
        <v>745</v>
      </c>
      <c r="U58" t="inlineStr">
        <is>
          <t>Active</t>
        </is>
      </c>
      <c r="V58" t="n">
        <v>433.74</v>
      </c>
      <c r="W58" t="n">
        <v>0</v>
      </c>
      <c r="X58" t="inlineStr">
        <is>
          <t>Yes</t>
        </is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iPhone 14</t>
        </is>
      </c>
      <c r="E59" s="7" t="n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PO-2024-0011 and FA-000055 both cite MD-00055 (iPhone 14); register basis $1,220. transfer TR-00055 dated Feb 11, 2026, received 2026-02-12, APR-00055.</t>
        </is>
      </c>
      <c r="L59" s="7" t="inlineStr">
        <is>
          <t>2026-02-09</t>
        </is>
      </c>
      <c r="M59" s="7" t="n">
        <v>1220</v>
      </c>
      <c r="N59" s="7" t="n">
        <v>812.5</v>
      </c>
      <c r="O59" s="7" t="inlineStr">
        <is>
          <t>FA-000055</t>
        </is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Yes</t>
        </is>
      </c>
      <c r="T59" t="n">
        <v>1220</v>
      </c>
      <c r="U59" t="inlineStr">
        <is>
          <t>Active</t>
        </is>
      </c>
      <c r="V59" t="n">
        <v>812.5</v>
      </c>
      <c r="W59" t="n">
        <v>0</v>
      </c>
      <c r="X59" t="inlineStr">
        <is>
          <t>Yes</t>
        </is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Mobile Device</t>
        </is>
      </c>
      <c r="D60" s="7" t="inlineStr">
        <is>
          <t>Samsung Galaxy S24</t>
        </is>
      </c>
      <c r="E60" s="7" t="n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MD-00056 / MD-NE-050056: Samsung Galaxy S24 at Dallas marked Available; acquisition $6,200. buy path PO-2024-0011. ledger FA-000056 NBV $1,345.24. transfer TR-00056 dated Mar 16, 2026, received 2026-03-16, APR-00056.</t>
        </is>
      </c>
      <c r="L60" s="7" t="inlineStr">
        <is>
          <t>2026-03-10</t>
        </is>
      </c>
      <c r="M60" s="7" t="n">
        <v>6200</v>
      </c>
      <c r="N60" s="7" t="n">
        <v>1345.24</v>
      </c>
      <c r="O60" s="7" t="inlineStr">
        <is>
          <t>FA-000056</t>
        </is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Yes</t>
        </is>
      </c>
      <c r="T60" t="n">
        <v>6200</v>
      </c>
      <c r="U60" t="inlineStr">
        <is>
          <t>Active</t>
        </is>
      </c>
      <c r="V60" t="n">
        <v>1345.24</v>
      </c>
      <c r="W60" t="n">
        <v>0</v>
      </c>
      <c r="X60" t="inlineStr">
        <is>
          <t>Yes</t>
        </is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Mobile Device</t>
        </is>
      </c>
      <c r="D61" s="7" t="inlineStr">
        <is>
          <t>iPhone 15</t>
        </is>
      </c>
      <c r="E61" s="7" t="n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MD-00057 / MD-LA-050057: iPhone 15 at Denver marked Available; acquisition $1,895. buy path PO-2024-0011. transfer TR-00057 dated Apr 20, 2026, received 2026-04-24, APR-00057. ledger FA-000057 NBV $106.79.</t>
        </is>
      </c>
      <c r="L61" s="7" t="inlineStr">
        <is>
          <t>2026-04-11</t>
        </is>
      </c>
      <c r="M61" s="7" t="n">
        <v>1895</v>
      </c>
      <c r="N61" s="7" t="n">
        <v>106.79</v>
      </c>
      <c r="O61" s="7" t="inlineStr">
        <is>
          <t>FA-000057</t>
        </is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Yes</t>
        </is>
      </c>
      <c r="T61" t="n">
        <v>1895</v>
      </c>
      <c r="U61" t="inlineStr">
        <is>
          <t>Active</t>
        </is>
      </c>
      <c r="V61" t="n">
        <v>106.79</v>
      </c>
      <c r="W61" t="n">
        <v>0</v>
      </c>
      <c r="X61" t="inlineStr">
        <is>
          <t>Yes</t>
        </is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Mobile Device</t>
        </is>
      </c>
      <c r="D62" s="7" t="inlineStr">
        <is>
          <t>Google Pixel 8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FA-000058 carries NBV $397.56 for MD-00058; operating status Pending Redeployment at New York. purchasing extract lists PO-2024-0011. transfer TR-00058 dated May 22, 2026, received 2026-05-23, approval blank.</t>
        </is>
      </c>
      <c r="L62" s="7" t="inlineStr">
        <is>
          <t>2026-08-05</t>
        </is>
      </c>
      <c r="M62" s="7" t="n">
        <v>610</v>
      </c>
      <c r="N62" s="7" t="n">
        <v>397.56</v>
      </c>
      <c r="O62" s="7" t="inlineStr">
        <is>
          <t>FA-000058</t>
        </is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Yes</t>
        </is>
      </c>
      <c r="T62" t="n">
        <v>610</v>
      </c>
      <c r="U62" t="inlineStr">
        <is>
          <t>Active</t>
        </is>
      </c>
      <c r="V62" t="n">
        <v>397.56</v>
      </c>
      <c r="W62" t="n">
        <v>0</v>
      </c>
      <c r="X62" t="inlineStr">
        <is>
          <t>Yes</t>
        </is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S23 FE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MD-00059 / MD-MO-050059: Samsung Galaxy S23 FE at Seattle marked Pending Redeployment; acquisition $1,085. buy path PO-2024-0011. ledger FA-000059 NBV $847.35. transfer TR-00059 dated Jun 26, 2026, received 2026-06-26, approval blank.</t>
        </is>
      </c>
      <c r="L63" s="7" t="inlineStr">
        <is>
          <t>2026-08-05</t>
        </is>
      </c>
      <c r="M63" s="7" t="n">
        <v>1085</v>
      </c>
      <c r="N63" s="7" t="n">
        <v>847.35</v>
      </c>
      <c r="O63" s="7" t="inlineStr">
        <is>
          <t>FA-000059</t>
        </is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Yes</t>
        </is>
      </c>
      <c r="T63" t="n">
        <v>1085</v>
      </c>
      <c r="U63" t="inlineStr">
        <is>
          <t>Active</t>
        </is>
      </c>
      <c r="V63" t="n">
        <v>847.35</v>
      </c>
      <c r="W63" t="n">
        <v>0</v>
      </c>
      <c r="X63" t="inlineStr">
        <is>
          <t>Yes</t>
        </is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Mobile Device</t>
        </is>
      </c>
      <c r="D64" s="7" t="inlineStr">
        <is>
          <t>Samsung Galaxy S24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PO-2024-0011 and FA-000060 both cite MD-00060 (Samsung Galaxy S24); register basis $6,380. transfer TR-00060 dated Jan 30, 2026, received 2026-02-02, APR-00060.</t>
        </is>
      </c>
      <c r="L64" s="7" t="inlineStr">
        <is>
          <t>2026-08-05</t>
        </is>
      </c>
      <c r="M64" s="7" t="n">
        <v>6380</v>
      </c>
      <c r="N64" s="7" t="n">
        <v>549.35</v>
      </c>
      <c r="O64" s="7" t="inlineStr">
        <is>
          <t>FA-000060</t>
        </is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Yes</t>
        </is>
      </c>
      <c r="T64" t="n">
        <v>6380</v>
      </c>
      <c r="U64" t="inlineStr">
        <is>
          <t>Active</t>
        </is>
      </c>
      <c r="V64" t="n">
        <v>549.35</v>
      </c>
      <c r="W64" t="n">
        <v>0</v>
      </c>
      <c r="X64" t="inlineStr">
        <is>
          <t>Yes</t>
        </is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Mobile Device</t>
        </is>
      </c>
      <c r="D65" s="7" t="inlineStr">
        <is>
          <t>iPhone 15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TR-00061 moved MD-00061 (MD-LA-050061); inbound 2026-02-03; now Pending Redeployment / Chicago. buy path PO-2025-0012. ledger FA-000061 NBV $0.</t>
        </is>
      </c>
      <c r="L65" s="7" t="inlineStr">
        <is>
          <t>2026-08-05</t>
        </is>
      </c>
      <c r="M65" s="7" t="n">
        <v>2075</v>
      </c>
      <c r="N65" s="7" t="n">
        <v>0</v>
      </c>
      <c r="O65" s="7" t="inlineStr">
        <is>
          <t>FA-000061</t>
        </is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Yes</t>
        </is>
      </c>
      <c r="T65" t="n">
        <v>2075</v>
      </c>
      <c r="U65" t="inlineStr">
        <is>
          <t>Active</t>
        </is>
      </c>
      <c r="V65" t="n">
        <v>0</v>
      </c>
      <c r="W65" t="n">
        <v>0</v>
      </c>
      <c r="X65" t="inlineStr">
        <is>
          <t>Yes</t>
        </is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Mobile Device</t>
        </is>
      </c>
      <c r="D66" s="7" t="inlineStr">
        <is>
          <t>Google Pixel 8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MD-00062 / MD-MO-050062: Google Pixel 8 at Dallas marked Pending Redeployment; acquisition $790. ledger FA-000062 NBV $410.63. buy path PO-2025-0012. transfer TR-00062 dated Mar 07, 2026, received 2026-03-07, APR-00062.</t>
        </is>
      </c>
      <c r="L66" s="7" t="inlineStr">
        <is>
          <t>2026-08-05</t>
        </is>
      </c>
      <c r="M66" s="7" t="n">
        <v>790</v>
      </c>
      <c r="N66" s="7" t="n">
        <v>410.63</v>
      </c>
      <c r="O66" s="7" t="inlineStr">
        <is>
          <t>FA-000062</t>
        </is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Yes</t>
        </is>
      </c>
      <c r="T66" t="n">
        <v>790</v>
      </c>
      <c r="U66" t="inlineStr">
        <is>
          <t>Active</t>
        </is>
      </c>
      <c r="V66" t="n">
        <v>410.63</v>
      </c>
      <c r="W66" t="n">
        <v>0</v>
      </c>
      <c r="X66" t="inlineStr">
        <is>
          <t>Yes</t>
        </is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S23 FE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PO-2025-0012 and FA-000063 both cite MD-00063 (Samsung Galaxy S23 FE); register basis $950. transfer TR-00063 dated Apr 12, 2026, received 2026-04-16, APR-00063.</t>
        </is>
      </c>
      <c r="L67" s="7" t="inlineStr">
        <is>
          <t>2026-08-05</t>
        </is>
      </c>
      <c r="M67" s="7" t="n">
        <v>950</v>
      </c>
      <c r="N67" s="7" t="n">
        <v>533.85</v>
      </c>
      <c r="O67" s="7" t="inlineStr">
        <is>
          <t>FA-000063</t>
        </is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Yes</t>
        </is>
      </c>
      <c r="T67" t="n">
        <v>950</v>
      </c>
      <c r="U67" t="inlineStr">
        <is>
          <t>Active</t>
        </is>
      </c>
      <c r="V67" t="n">
        <v>533.85</v>
      </c>
      <c r="W67" t="n">
        <v>0</v>
      </c>
      <c r="X67" t="inlineStr">
        <is>
          <t>Yes</t>
        </is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Mobile Device</t>
        </is>
      </c>
      <c r="D68" s="7" t="inlineStr">
        <is>
          <t>iPhone 14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TR-00064 moved MD-00064 (MD-NE-050064); inbound 2026-05-14; now Pending Redeployment / New York. ledger FA-000064 NBV $961.76. buy path PO-2025-0012.</t>
        </is>
      </c>
      <c r="L68" s="7" t="inlineStr">
        <is>
          <t>2026-08-05</t>
        </is>
      </c>
      <c r="M68" s="7" t="n">
        <v>6245</v>
      </c>
      <c r="N68" s="7" t="n">
        <v>961.76</v>
      </c>
      <c r="O68" s="7" t="inlineStr">
        <is>
          <t>FA-000064</t>
        </is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Yes</t>
        </is>
      </c>
      <c r="T68" t="n">
        <v>6245</v>
      </c>
      <c r="U68" t="inlineStr">
        <is>
          <t>Active</t>
        </is>
      </c>
      <c r="V68" t="n">
        <v>961.76</v>
      </c>
      <c r="W68" t="n">
        <v>0</v>
      </c>
      <c r="X68" t="inlineStr">
        <is>
          <t>Yes</t>
        </is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Mobile Device</t>
        </is>
      </c>
      <c r="D69" s="7" t="inlineStr">
        <is>
          <t>Samsung Galaxy S24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MD-00065 / MD-LA-050065: Samsung Galaxy S24 at Seattle marked Pending Redeployment; acquisition $1,940. transfer TR-00065 dated Jun 17, 2026, received 2026-06-23, approval blank. buy path PO-2022-0013. ledger FA-000065 NBV $0.</t>
        </is>
      </c>
      <c r="L69" s="7" t="inlineStr">
        <is>
          <t>2026-08-05</t>
        </is>
      </c>
      <c r="M69" s="7" t="n">
        <v>1940</v>
      </c>
      <c r="N69" s="7" t="n">
        <v>0</v>
      </c>
      <c r="O69" s="7" t="inlineStr">
        <is>
          <t>FA-000065</t>
        </is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Yes</t>
        </is>
      </c>
      <c r="T69" t="n">
        <v>1940</v>
      </c>
      <c r="U69" t="inlineStr">
        <is>
          <t>Active</t>
        </is>
      </c>
      <c r="V69" t="n">
        <v>0</v>
      </c>
      <c r="W69" t="n">
        <v>0</v>
      </c>
      <c r="X69" t="inlineStr">
        <is>
          <t>Yes</t>
        </is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Mobile Device</t>
        </is>
      </c>
      <c r="D70" s="7" t="inlineStr">
        <is>
          <t>iPhone 15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FA-000066 carries NBV $385.65 for MD-00066; operating status Pending Redeployment at Atlanta. transfer TR-00066 dated Jan 22, 2026, received 2026-01-25, APR-00066. purchasing extract lists PO-2022-0013.</t>
        </is>
      </c>
      <c r="L70" s="7" t="inlineStr">
        <is>
          <t>2026-08-05</t>
        </is>
      </c>
      <c r="M70" s="7" t="n">
        <v>655</v>
      </c>
      <c r="N70" s="7" t="n">
        <v>385.65</v>
      </c>
      <c r="O70" s="7" t="inlineStr">
        <is>
          <t>FA-000066</t>
        </is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Yes</t>
        </is>
      </c>
      <c r="T70" t="n">
        <v>655</v>
      </c>
      <c r="U70" t="inlineStr">
        <is>
          <t>Active</t>
        </is>
      </c>
      <c r="V70" t="n">
        <v>385.65</v>
      </c>
      <c r="W70" t="n">
        <v>0</v>
      </c>
      <c r="X70" t="inlineStr">
        <is>
          <t>Yes</t>
        </is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Google Pixel 8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MD-00067 / MD-MO-050067: Google Pixel 8 at Chicago marked Pending Redeployment; acquisition $1,130. transfer TR-00067 dated Feb 23, 2026, received 2026-02-23, APR-00067. buy path PO-2022-0013. ledger FA-000067 NBV $764.93.</t>
        </is>
      </c>
      <c r="L71" s="7" t="inlineStr">
        <is>
          <t>2026-08-05</t>
        </is>
      </c>
      <c r="M71" s="7" t="n">
        <v>1130</v>
      </c>
      <c r="N71" s="7" t="n">
        <v>764.9299999999999</v>
      </c>
      <c r="O71" s="7" t="inlineStr">
        <is>
          <t>FA-000067</t>
        </is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Yes</t>
        </is>
      </c>
      <c r="T71" t="n">
        <v>1130</v>
      </c>
      <c r="U71" t="inlineStr">
        <is>
          <t>Active</t>
        </is>
      </c>
      <c r="V71" t="n">
        <v>764.9299999999999</v>
      </c>
      <c r="W71" t="n">
        <v>0</v>
      </c>
      <c r="X71" t="inlineStr">
        <is>
          <t>Yes</t>
        </is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Mobile Device</t>
        </is>
      </c>
      <c r="D72" s="7" t="inlineStr">
        <is>
          <t>Samsung Galaxy S23 FE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MD-00068 / MD-NE-050068: Samsung Galaxy S23 FE at Remote - Former Employee marked Return Overdue; acquisition $6,425. ticket OFF-00068 cited. HR row shows Elliott Park (E0081) as Separated. buy path PO-2022-0013. overdue return lacks acceptance+receiving scan. transfer TR-00068 dated Mar 28, 2026, received 2026-04-03, APR-00068. ledger FA-000068 NBV $1,436.28.</t>
        </is>
      </c>
      <c r="L72" s="7" t="inlineStr">
        <is>
          <t>2026-06-25</t>
        </is>
      </c>
      <c r="M72" s="7" t="n">
        <v>6425</v>
      </c>
      <c r="N72" s="7" t="n">
        <v>1436.28</v>
      </c>
      <c r="O72" s="7" t="inlineStr">
        <is>
          <t>FA-000068</t>
        </is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 t="n">
        <v>6480</v>
      </c>
      <c r="U72" t="inlineStr">
        <is>
          <t>Active</t>
        </is>
      </c>
      <c r="V72" t="n">
        <v>1436.28</v>
      </c>
      <c r="W72" t="n">
        <v>55</v>
      </c>
      <c r="X72" t="inlineStr">
        <is>
          <t>Yes</t>
        </is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Mobile Device</t>
        </is>
      </c>
      <c r="D73" s="7" t="inlineStr">
        <is>
          <t>iPhone 14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FA-000069 carries NBV $142.69 for MD-00069; operating status Return Overdue at Remote - Former Employee. overdue return lacks acceptance+receiving scan. purchasing extract lists PO-2022-0013. ticket OFF-00069 cited. transfer TR-00069 dated May 02, 2026, received 2026-05-04, APR-00069. HR row shows Carmen Diaz (E0082) as Separated.</t>
        </is>
      </c>
      <c r="L73" s="7" t="inlineStr">
        <is>
          <t>2026-06-25</t>
        </is>
      </c>
      <c r="M73" s="7" t="n">
        <v>2120</v>
      </c>
      <c r="N73" s="7" t="n">
        <v>142.69</v>
      </c>
      <c r="O73" s="7" t="inlineStr">
        <is>
          <t>FA-000069</t>
        </is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 t="n">
        <v>2120</v>
      </c>
      <c r="U73" t="inlineStr">
        <is>
          <t>Active</t>
        </is>
      </c>
      <c r="V73" t="n">
        <v>142.69</v>
      </c>
      <c r="W73" t="n">
        <v>0</v>
      </c>
      <c r="X73" t="inlineStr">
        <is>
          <t>Yes</t>
        </is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Mobile Device</t>
        </is>
      </c>
      <c r="D74" s="7" t="inlineStr">
        <is>
          <t>iPhone 15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OFF-00070 remains on file for MD-00070 (iPhone 15, $520); verified state Return Overdue at Remote - Former Employee. overdue return lacks acceptance+receiving scan. transfer TR-00070 dated Jun 03, 2026, received 2026-06-03, APR-00070. ledger FA-000070 NBV $342.32. buy path PO-2022-0013. HR row shows Hugh Talbot (E0083) as Separated.</t>
        </is>
      </c>
      <c r="L74" s="7" t="inlineStr">
        <is>
          <t>2026-06-25</t>
        </is>
      </c>
      <c r="M74" s="7" t="n">
        <v>520</v>
      </c>
      <c r="N74" s="7" t="n">
        <v>342.32</v>
      </c>
      <c r="O74" s="7" t="inlineStr">
        <is>
          <t>FA-000070</t>
        </is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 t="n">
        <v>520</v>
      </c>
      <c r="U74" t="inlineStr">
        <is>
          <t>Active</t>
        </is>
      </c>
      <c r="V74" t="n">
        <v>342.32</v>
      </c>
      <c r="W74" t="n">
        <v>0</v>
      </c>
      <c r="X74" t="inlineStr">
        <is>
          <t>Yes</t>
        </is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Google Pixel 8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PO-2023-0014 and FA-000071 both cite MD-00071 (Google Pixel 8); register basis $995. HR row shows Mira Adelman (E0084) as Separated. transfer TR-00071 dated Jul 08, 2026, received 2026-07-12, APR-00071. ticket OFF-00071 cited. overdue return lacks acceptance+receiving scan.</t>
        </is>
      </c>
      <c r="L75" s="7" t="inlineStr">
        <is>
          <t>2026-06-25</t>
        </is>
      </c>
      <c r="M75" s="7" t="n">
        <v>995</v>
      </c>
      <c r="N75" s="7" t="n">
        <v>787.96</v>
      </c>
      <c r="O75" s="7" t="inlineStr">
        <is>
          <t>FA-000071</t>
        </is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 t="n">
        <v>995</v>
      </c>
      <c r="U75" t="inlineStr">
        <is>
          <t>Active</t>
        </is>
      </c>
      <c r="V75" t="n">
        <v>787.96</v>
      </c>
      <c r="W75" t="n">
        <v>0</v>
      </c>
      <c r="X75" t="inlineStr">
        <is>
          <t>Yes</t>
        </is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Fortinet FortiSwitch 148F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TR-00072 moved MD-00072 (MD-NE-050072); inbound 2026-01-18; now Return Overdue / Remote - Former Employee. ticket OFF-00072 cited. HR row shows Quincy Rhodes (E0085) as Separated. overdue return lacks acceptance+receiving scan. buy path PO-2023-0014. ledger FA-000072 NBV $500.27.</t>
        </is>
      </c>
      <c r="L76" s="7" t="inlineStr">
        <is>
          <t>2026-06-25</t>
        </is>
      </c>
      <c r="M76" s="7" t="n">
        <v>6290</v>
      </c>
      <c r="N76" s="7" t="n">
        <v>500.27</v>
      </c>
      <c r="O76" s="7" t="inlineStr">
        <is>
          <t>FA-000072</t>
        </is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 t="n">
        <v>6290</v>
      </c>
      <c r="U76" t="inlineStr">
        <is>
          <t>Active</t>
        </is>
      </c>
      <c r="V76" t="n">
        <v>500.27</v>
      </c>
      <c r="W76" t="n">
        <v>0</v>
      </c>
      <c r="X76" t="inlineStr">
        <is>
          <t>Yes</t>
        </is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Network Asset</t>
        </is>
      </c>
      <c r="D77" s="7" t="inlineStr">
        <is>
          <t>Cisco C9300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OFF-00073 remains on file for MD-00073 (Cisco C9300, $1,985); verified state Return Overdue at Remote - Former Employee. HR row shows Sloane Richter (E0086) as Separated. transfer TR-00073 dated Jan 21, 2026, received 2026-01-24, APR-00073. overdue return lacks acceptance+receiving scan. buy path PO-2023-0014. ledger FA-000073 NBV $0.</t>
        </is>
      </c>
      <c r="L77" s="7" t="inlineStr">
        <is>
          <t>2026-06-25</t>
        </is>
      </c>
      <c r="M77" s="7" t="n">
        <v>1985</v>
      </c>
      <c r="N77" s="7" t="n">
        <v>0</v>
      </c>
      <c r="O77" s="7" t="inlineStr">
        <is>
          <t>FA-000073</t>
        </is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 t="n">
        <v>1985</v>
      </c>
      <c r="U77" t="inlineStr">
        <is>
          <t>Active</t>
        </is>
      </c>
      <c r="V77" t="n">
        <v>0</v>
      </c>
      <c r="W77" t="n">
        <v>0</v>
      </c>
      <c r="X77" t="inlineStr">
        <is>
          <t>Yes</t>
        </is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Network Asset</t>
        </is>
      </c>
      <c r="D78" s="7" t="inlineStr">
        <is>
          <t>Aruba 6300M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PO-2023-0014 and FA-000074 both cite MD-00074 (Aruba 6300M); register basis $700. overdue return lacks acceptance+receiving scan. HR row shows Nolan Vega (E0087) as Separated. serial MISMATCH-0074 vs MD-MO-050074. ticket OFF-00074 cited. transfer TR-00074 dated Feb 23, 2026, received 2026-02-24, APR-00074.</t>
        </is>
      </c>
      <c r="L78" s="7" t="inlineStr">
        <is>
          <t>2026-06-25</t>
        </is>
      </c>
      <c r="M78" s="7" t="n">
        <v>700</v>
      </c>
      <c r="N78" s="7" t="n">
        <v>359.25</v>
      </c>
      <c r="O78" s="7" t="inlineStr">
        <is>
          <t>FA-000074</t>
        </is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 t="n">
        <v>700</v>
      </c>
      <c r="U78" t="inlineStr">
        <is>
          <t>Active</t>
        </is>
      </c>
      <c r="V78" t="n">
        <v>359.25</v>
      </c>
      <c r="W78" t="n">
        <v>0</v>
      </c>
      <c r="X78" t="inlineStr">
        <is>
          <t>Yes</t>
        </is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Network Asset</t>
        </is>
      </c>
      <c r="D79" s="7" t="inlineStr">
        <is>
          <t>Juniper EX3400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TR-00075 moved MD-00075 (MD-MO-050075); inbound 2026-04-01; now Return Overdue / Remote - Former Employee. ticket OFF-00075 cited. HR row shows Ivy Chenoweth (E0088) as Separated. overdue return lacks acceptance+receiving scan. buy path PO-2023-0014. ledger FA-000075 NBV $647.42.</t>
        </is>
      </c>
      <c r="L79" s="7" t="inlineStr">
        <is>
          <t>2026-06-25</t>
        </is>
      </c>
      <c r="M79" s="7" t="n">
        <v>1175</v>
      </c>
      <c r="N79" s="7" t="n">
        <v>647.42</v>
      </c>
      <c r="O79" s="7" t="inlineStr">
        <is>
          <t>FA-000075</t>
        </is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 t="n">
        <v>1175</v>
      </c>
      <c r="U79" t="inlineStr">
        <is>
          <t>Active</t>
        </is>
      </c>
      <c r="V79" t="n">
        <v>647.42</v>
      </c>
      <c r="W79" t="n">
        <v>0</v>
      </c>
      <c r="X79" t="inlineStr">
        <is>
          <t>Yes</t>
        </is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Meraki MS250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MD-00076 / MD-NE-050076: Cisco Meraki MS250 at Carrier Network / Unverified marked Return Overdue; acquisition $6,470. ticket OFF-00076 cited. transfer TR-00076 dated May 01, 2026, received 2026-05-03, APR-00076. ledger FA-000076 NBV $953.89. buy path PO-2023-0014. serial MISMATCH-0076 vs MD-NE-050076. overdue return lacks acceptance+receiving scan. HR row shows Percy Lambert (E0089) as Separated.</t>
        </is>
      </c>
      <c r="L80" s="7" t="inlineStr">
        <is>
          <t>2026-06-25</t>
        </is>
      </c>
      <c r="M80" s="7" t="n">
        <v>6470</v>
      </c>
      <c r="N80" s="7" t="n">
        <v>953.89</v>
      </c>
      <c r="O80" s="7" t="inlineStr">
        <is>
          <t>FA-000076</t>
        </is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 t="n">
        <v>6470</v>
      </c>
      <c r="U80" t="inlineStr">
        <is>
          <t>Active</t>
        </is>
      </c>
      <c r="V80" t="n">
        <v>953.89</v>
      </c>
      <c r="W80" t="n">
        <v>0</v>
      </c>
      <c r="X80" t="inlineStr">
        <is>
          <t>Yes</t>
        </is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Network Asset</t>
        </is>
      </c>
      <c r="D81" s="7" t="inlineStr">
        <is>
          <t>Fortinet FortiSwitch 148F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FA-000077 carries NBV $0 for MD-00077; operating status Return Overdue at Remote - Former Employee. overdue return lacks acceptance+receiving scan. transfer TR-00077 dated Jun 05, 2026, received 2026-06-06, APR-00077. purchasing extract lists PO-2023-0014. ticket OFF-00077 cited. HR row shows Dana Ghosh (E0090) as Separated.</t>
        </is>
      </c>
      <c r="L81" s="7" t="inlineStr">
        <is>
          <t>2026-06-25</t>
        </is>
      </c>
      <c r="M81" s="7" t="n">
        <v>1850</v>
      </c>
      <c r="N81" s="7" t="n">
        <v>0</v>
      </c>
      <c r="O81" s="7" t="inlineStr">
        <is>
          <t>FA-000077</t>
        </is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 t="n">
        <v>1850</v>
      </c>
      <c r="U81" t="inlineStr">
        <is>
          <t>Active</t>
        </is>
      </c>
      <c r="V81" t="n">
        <v>0</v>
      </c>
      <c r="W81" t="n">
        <v>0</v>
      </c>
      <c r="X81" t="inlineStr">
        <is>
          <t>Yes</t>
        </is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Network Asset</t>
        </is>
      </c>
      <c r="D82" s="7" t="inlineStr">
        <is>
          <t>Cisco C9300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MD-00078 custodian Harlan Smith (E0091) is Separated in hr_employee_status; site Remote - Former Employee, status Return Overdue. overdue return lacks acceptance+receiving scan. ledger FA-000078 NBV $328.95. buy path PO-2024-0015. ticket OFF-00078 cited. transfer TR-00078 dated Jan 10, 2026, received 2026-01-10, APR-00078.</t>
        </is>
      </c>
      <c r="L82" s="7" t="inlineStr">
        <is>
          <t>2026-06-25</t>
        </is>
      </c>
      <c r="M82" s="7" t="n">
        <v>565</v>
      </c>
      <c r="N82" s="7" t="n">
        <v>328.95</v>
      </c>
      <c r="O82" s="7" t="inlineStr">
        <is>
          <t>FA-000078</t>
        </is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 t="n">
        <v>565</v>
      </c>
      <c r="U82" t="inlineStr">
        <is>
          <t>Active</t>
        </is>
      </c>
      <c r="V82" t="n">
        <v>328.95</v>
      </c>
      <c r="W82" t="n">
        <v>0</v>
      </c>
      <c r="X82" t="inlineStr">
        <is>
          <t>Yes</t>
        </is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Network Asset</t>
        </is>
      </c>
      <c r="D83" s="7" t="inlineStr">
        <is>
          <t>Aruba 6300M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MD-00079 / MD-MO-050079: Aruba 6300M at Remote - Former Employee marked Return Overdue; acquisition $1,040. ticket OFF-00079 cited. transfer TR-00079 dated Feb 11, 2026, received 2026-02-13, APR-00079. ledger FA-000079 NBV $692.62. buy path PO-2024-0015. HR row shows June Okoye (E0092) as Separated. overdue return lacks acceptance+receiving scan.</t>
        </is>
      </c>
      <c r="L83" s="7" t="inlineStr">
        <is>
          <t>2026-06-25</t>
        </is>
      </c>
      <c r="M83" s="7" t="n">
        <v>1040</v>
      </c>
      <c r="N83" s="7" t="n">
        <v>692.62</v>
      </c>
      <c r="O83" s="7" t="inlineStr">
        <is>
          <t>FA-000079</t>
        </is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 t="n">
        <v>1040</v>
      </c>
      <c r="U83" t="inlineStr">
        <is>
          <t>Active</t>
        </is>
      </c>
      <c r="V83" t="n">
        <v>692.62</v>
      </c>
      <c r="W83" t="n">
        <v>0</v>
      </c>
      <c r="X83" t="inlineStr">
        <is>
          <t>Yes</t>
        </is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Meraki MS250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TR-00080 moved MD-00080 (MD-NE-050080); inbound 2026-03-17; now Available / Atlanta Warehouse. ledger FA-000080 NBV $1,374.53. buy path PO-2024-0015.</t>
        </is>
      </c>
      <c r="L84" s="7" t="inlineStr">
        <is>
          <t>2026-07-07</t>
        </is>
      </c>
      <c r="M84" s="7" t="n">
        <v>6335</v>
      </c>
      <c r="N84" s="7" t="n">
        <v>1374.53</v>
      </c>
      <c r="O84" s="7" t="inlineStr">
        <is>
          <t>FA-000080</t>
        </is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Yes</t>
        </is>
      </c>
      <c r="T84" t="n">
        <v>6335</v>
      </c>
      <c r="U84" t="inlineStr">
        <is>
          <t>Active</t>
        </is>
      </c>
      <c r="V84" t="n">
        <v>1374.53</v>
      </c>
      <c r="W84" t="n">
        <v>0</v>
      </c>
      <c r="X84" t="inlineStr">
        <is>
          <t>Yes</t>
        </is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Network Asset</t>
        </is>
      </c>
      <c r="D85" s="7" t="inlineStr">
        <is>
          <t>Fortinet FortiSwitch 148F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MD-00081 / MD-LA-050081: Fortinet FortiSwitch 148F at Atlanta Warehouse marked Available; acquisition $2,030. buy path PO-2024-0015. ledger FA-000081 NBV $114.40. transfer TR-00081 dated Apr 20, 2026, received 2026-04-20, APR-00081.</t>
        </is>
      </c>
      <c r="L85" s="7" t="inlineStr">
        <is>
          <t>2026-07-07</t>
        </is>
      </c>
      <c r="M85" s="7" t="n">
        <v>2030</v>
      </c>
      <c r="N85" s="7" t="n">
        <v>114.4</v>
      </c>
      <c r="O85" s="7" t="inlineStr">
        <is>
          <t>FA-000081</t>
        </is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Yes</t>
        </is>
      </c>
      <c r="T85" t="n">
        <v>2030</v>
      </c>
      <c r="U85" t="inlineStr">
        <is>
          <t>Active</t>
        </is>
      </c>
      <c r="V85" t="n">
        <v>114.4</v>
      </c>
      <c r="W85" t="n">
        <v>0</v>
      </c>
      <c r="X85" t="inlineStr">
        <is>
          <t>Yes</t>
        </is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Network Asset</t>
        </is>
      </c>
      <c r="D86" s="7" t="inlineStr">
        <is>
          <t>Cisco C9300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PO-2024-0015 and FA-000082 both cite MD-00082 (Cisco C9300); register basis $745. carrier 1ZMD00000082 is Label Created only. dock PNG is HOLD lead only. serial MISMATCH-0082 vs MD-MO-050082. transfer TR-00082 dated May 22, 2026, received 2026-05-24, APR-00082. HR row shows Emmett Boyle (E0095) as Separated. ticket OFF-00082 cited.</t>
        </is>
      </c>
      <c r="L86" s="7" t="inlineStr">
        <is>
          <t>2026-07-02</t>
        </is>
      </c>
      <c r="M86" s="7" t="n">
        <v>745</v>
      </c>
      <c r="N86" s="7" t="n">
        <v>485.55</v>
      </c>
      <c r="O86" s="7" t="inlineStr">
        <is>
          <t>FA-000082</t>
        </is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 t="n">
        <v>745</v>
      </c>
      <c r="U86" t="inlineStr">
        <is>
          <t>Active</t>
        </is>
      </c>
      <c r="V86" t="n">
        <v>485.55</v>
      </c>
      <c r="W86" t="n">
        <v>0</v>
      </c>
      <c r="X86" t="inlineStr">
        <is>
          <t>Yes</t>
        </is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Network Asset</t>
        </is>
      </c>
      <c r="D87" s="7" t="inlineStr">
        <is>
          <t>Aruba 6300M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TR-00083 moved MD-00083 (MD-MO-050083); inbound 2026-06-27; now Available / Atlanta Warehouse. buy path PO-2025-0016. ledger FA-000083 NBV $952.79.</t>
        </is>
      </c>
      <c r="L87" s="7" t="inlineStr">
        <is>
          <t>2026-07-07</t>
        </is>
      </c>
      <c r="M87" s="7" t="n">
        <v>1220</v>
      </c>
      <c r="N87" s="7" t="n">
        <v>952.79</v>
      </c>
      <c r="O87" s="7" t="inlineStr">
        <is>
          <t>FA-000083</t>
        </is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Yes</t>
        </is>
      </c>
      <c r="T87" t="n">
        <v>1220</v>
      </c>
      <c r="U87" t="inlineStr">
        <is>
          <t>Active</t>
        </is>
      </c>
      <c r="V87" t="n">
        <v>952.79</v>
      </c>
      <c r="W87" t="n">
        <v>0</v>
      </c>
      <c r="X87" t="inlineStr">
        <is>
          <t>Yes</t>
        </is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Juniper EX3400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OFF-00084 remains on file for MD-00084 (Juniper EX3400, $6,200); verified state In Transit - Exception at Carrier Network / Unverified. ledger FA-000084 NBV $533.85. buy path PO-2025-0016. serial MISMATCH-0084 vs MD-NE-050084. transfer TR-00084 dated Jan 30, 2026, received 2026-02-05, APR-00084. HR row shows Anita Bose (E0072) as Separated.</t>
        </is>
      </c>
      <c r="L88" s="7" t="inlineStr">
        <is>
          <t>2026-07-02</t>
        </is>
      </c>
      <c r="M88" s="7" t="n">
        <v>6200</v>
      </c>
      <c r="N88" s="7" t="n">
        <v>533.85</v>
      </c>
      <c r="O88" s="7" t="inlineStr">
        <is>
          <t>FA-000084</t>
        </is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 t="n">
        <v>6200</v>
      </c>
      <c r="U88" t="inlineStr">
        <is>
          <t>Active</t>
        </is>
      </c>
      <c r="V88" t="n">
        <v>533.85</v>
      </c>
      <c r="W88" t="n">
        <v>0</v>
      </c>
      <c r="X88" t="inlineStr">
        <is>
          <t>Yes</t>
        </is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Network Asset</t>
        </is>
      </c>
      <c r="D89" s="7" t="inlineStr">
        <is>
          <t>Cisco Meraki MS250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PO-2025-0016 and FA-000085 both cite MD-00085 (Cisco Meraki MS250); register basis $1,895. transfer TR-00085 dated Feb 02, 2026, received 2026-02-03, APR-00085.</t>
        </is>
      </c>
      <c r="L89" s="7" t="inlineStr">
        <is>
          <t>2026-07-07</t>
        </is>
      </c>
      <c r="M89" s="7" t="n">
        <v>1895</v>
      </c>
      <c r="N89" s="7" t="n">
        <v>0</v>
      </c>
      <c r="O89" s="7" t="inlineStr">
        <is>
          <t>FA-000085</t>
        </is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Yes</t>
        </is>
      </c>
      <c r="T89" t="n">
        <v>2090</v>
      </c>
      <c r="U89" t="inlineStr">
        <is>
          <t>Active</t>
        </is>
      </c>
      <c r="V89" t="n">
        <v>0</v>
      </c>
      <c r="W89" t="n">
        <v>195</v>
      </c>
      <c r="X89" t="inlineStr">
        <is>
          <t>Yes</t>
        </is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Network Asset</t>
        </is>
      </c>
      <c r="D90" s="7" t="inlineStr">
        <is>
          <t>Fortinet FortiSwitch 148F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MD-00086 / MD-MO-050086: Fortinet FortiSwitch 148F at Atlanta Warehouse marked Available; acquisition $610. ledger FA-000086 NBV $317.07. transfer TR-00086 dated Mar 07, 2026, received 2026-03-08, APR-00086. buy path PO-2022-0017.</t>
        </is>
      </c>
      <c r="L90" s="7" t="inlineStr">
        <is>
          <t>2026-07-07</t>
        </is>
      </c>
      <c r="M90" s="7" t="n">
        <v>610</v>
      </c>
      <c r="N90" s="7" t="n">
        <v>317.07</v>
      </c>
      <c r="O90" s="7" t="inlineStr">
        <is>
          <t>FA-000086</t>
        </is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Yes</t>
        </is>
      </c>
      <c r="T90" t="n">
        <v>610</v>
      </c>
      <c r="U90" t="inlineStr">
        <is>
          <t>Active</t>
        </is>
      </c>
      <c r="V90" t="n">
        <v>317.07</v>
      </c>
      <c r="W90" t="n">
        <v>0</v>
      </c>
      <c r="X90" t="inlineStr">
        <is>
          <t>Yes</t>
        </is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Network Asset</t>
        </is>
      </c>
      <c r="D91" s="7" t="inlineStr">
        <is>
          <t>Cisco C9300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MD-00087 / MD-MO-050087: Cisco C9300 at Atlanta Warehouse marked Available; acquisition $1,085. ledger FA-000087 NBV $609.71. transfer TR-00087 dated Apr 12, 2026, received 2026-04-12, APR-00087. buy path PO-2022-0017.</t>
        </is>
      </c>
      <c r="L91" s="7" t="inlineStr">
        <is>
          <t>2026-07-07</t>
        </is>
      </c>
      <c r="M91" s="7" t="n">
        <v>1085</v>
      </c>
      <c r="N91" s="7" t="n">
        <v>609.71</v>
      </c>
      <c r="O91" s="7" t="inlineStr">
        <is>
          <t>FA-000087</t>
        </is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Yes</t>
        </is>
      </c>
      <c r="T91" t="n">
        <v>1085</v>
      </c>
      <c r="U91" t="inlineStr">
        <is>
          <t>Active</t>
        </is>
      </c>
      <c r="V91" t="n">
        <v>609.71</v>
      </c>
      <c r="W91" t="n">
        <v>0</v>
      </c>
      <c r="X91" t="inlineStr">
        <is>
          <t>Yes</t>
        </is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Aruba 6300M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FA-000088 carries NBV $982.55 for MD-00088; operating status Available at Atlanta Warehouse. purchasing extract lists PO-2022-0017. transfer TR-00088 dated May 13, 2026, received 2026-05-14, APR-00088. duplicate serial MD-NE-050088.</t>
        </is>
      </c>
      <c r="L92" s="7" t="inlineStr">
        <is>
          <t>2026-07-07</t>
        </is>
      </c>
      <c r="M92" s="7" t="n">
        <v>6380</v>
      </c>
      <c r="N92" s="7" t="n">
        <v>982.55</v>
      </c>
      <c r="O92" s="7" t="inlineStr">
        <is>
          <t>FA-000088</t>
        </is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Yes</t>
        </is>
      </c>
      <c r="T92" t="n">
        <v>6380</v>
      </c>
      <c r="U92" t="inlineStr">
        <is>
          <t>Active</t>
        </is>
      </c>
      <c r="V92" t="n">
        <v>982.55</v>
      </c>
      <c r="W92" t="n">
        <v>0</v>
      </c>
      <c r="X92" t="inlineStr">
        <is>
          <t>Yes</t>
        </is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Network Asset</t>
        </is>
      </c>
      <c r="D93" s="7" t="inlineStr">
        <is>
          <t>Juniper EX3400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MD-00089 custodian Jonah Freedman (E0077) is Separated in hr_employee_status; site Unknown, status Missing. buy path PO-2022-0017. ticket OFF-00089 cited. last register site =IFERROR(XLOOKUP(A93,'Source Inventory'!$A$5:$A$200,'Source Inventory'!$F$5:$F$200),""). ledger FA-000089 NBV $0. transfer TR-00089 dated Jun 17, 2026, received 2026-06-17, APR-00089.</t>
        </is>
      </c>
      <c r="L93" s="7" t="inlineStr">
        <is>
          <t>2026-06-18</t>
        </is>
      </c>
      <c r="M93" s="7" t="n">
        <v>2075</v>
      </c>
      <c r="N93" s="7" t="n">
        <v>0</v>
      </c>
      <c r="O93" s="7" t="inlineStr">
        <is>
          <t>FA-000089</t>
        </is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 t="n">
        <v>2075</v>
      </c>
      <c r="U93" t="inlineStr">
        <is>
          <t>Active</t>
        </is>
      </c>
      <c r="V93" t="n">
        <v>0</v>
      </c>
      <c r="W93" t="n">
        <v>0</v>
      </c>
      <c r="X93" t="inlineStr">
        <is>
          <t>Yes</t>
        </is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Network Asset</t>
        </is>
      </c>
      <c r="D94" s="7" t="inlineStr">
        <is>
          <t>Fortinet FortiSwitch 148F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PO-2023-0018 and FA-000090 both cite MD-00090 (Fortinet FortiSwitch 148F); register basis $790. HR row shows Regina Lowe (E0078) as Separated. ticket OFF-00090 cited. transfer TR-00090 dated Jan 22, 2026, received 2026-01-28, APR-00090. last register site =IFERROR(XLOOKUP(A94,'Source Inventory'!$A$5:$A$200,'Source Inventory'!$F$5:$F$200),"").</t>
        </is>
      </c>
      <c r="L94" s="7" t="inlineStr">
        <is>
          <t>2026-06-07</t>
        </is>
      </c>
      <c r="M94" s="7" t="n">
        <v>790</v>
      </c>
      <c r="N94" s="7" t="n">
        <v>465.13</v>
      </c>
      <c r="O94" s="7" t="inlineStr">
        <is>
          <t>FA-000090</t>
        </is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 t="n">
        <v>790</v>
      </c>
      <c r="U94" t="inlineStr">
        <is>
          <t>Active</t>
        </is>
      </c>
      <c r="V94" t="n">
        <v>465.13</v>
      </c>
      <c r="W94" t="n">
        <v>0</v>
      </c>
      <c r="X94" t="inlineStr">
        <is>
          <t>Yes</t>
        </is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Network Asset</t>
        </is>
      </c>
      <c r="D95" s="7" t="inlineStr">
        <is>
          <t>Cisco C9300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TR-00091 moved MD-00091 (MD-MO-050091); inbound 2026-02-24; now Missing / Unknown. last register site =IFERROR(XLOOKUP(A95,'Source Inventory'!$A$5:$A$200,'Source Inventory'!$F$5:$F$200),""). buy path PO-2023-0018. ledger FA-000091 NBV $643.09. ticket OFF-00091 cited. HR row shows Wes Carvalho (E0079) as Separated.</t>
        </is>
      </c>
      <c r="L95" s="7" t="inlineStr">
        <is>
          <t>2026-05-08</t>
        </is>
      </c>
      <c r="M95" s="7" t="n">
        <v>950</v>
      </c>
      <c r="N95" s="7" t="n">
        <v>643.09</v>
      </c>
      <c r="O95" s="7" t="inlineStr">
        <is>
          <t>FA-000091</t>
        </is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 t="n">
        <v>950</v>
      </c>
      <c r="U95" t="inlineStr">
        <is>
          <t>Active</t>
        </is>
      </c>
      <c r="V95" t="n">
        <v>643.09</v>
      </c>
      <c r="W95" t="n">
        <v>0</v>
      </c>
      <c r="X95" t="inlineStr">
        <is>
          <t>Yes</t>
        </is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Aruba 6300M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OFF-00092 remains on file for MD-00092 (Aruba 6300M, $6,245); verified state Missing at Unknown. last register site =IFERROR(XLOOKUP(A96,'Source Inventory'!$A$5:$A$200,'Source Inventory'!$F$5:$F$200),""). ledger FA-000092 NBV $1,396.04. duplicate serial MD-NE-050088. buy path PO-2023-0018. HR row shows Tara Singh (E0080) as Separated. transfer TR-00092 dated Mar 28, 2026, received 2026-03-28, APR-00092.</t>
        </is>
      </c>
      <c r="L96" s="7" t="inlineStr">
        <is>
          <t>2026-06-09</t>
        </is>
      </c>
      <c r="M96" s="7" t="n">
        <v>6245</v>
      </c>
      <c r="N96" s="7" t="n">
        <v>1396.04</v>
      </c>
      <c r="O96" s="7" t="inlineStr">
        <is>
          <t>FA-000092</t>
        </is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 t="n">
        <v>6245</v>
      </c>
      <c r="U96" t="inlineStr">
        <is>
          <t>Active</t>
        </is>
      </c>
      <c r="V96" t="n">
        <v>1396.04</v>
      </c>
      <c r="W96" t="n">
        <v>0</v>
      </c>
      <c r="X96" t="inlineStr">
        <is>
          <t>Yes</t>
        </is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Network Asset</t>
        </is>
      </c>
      <c r="D97" s="7" t="inlineStr">
        <is>
          <t>Juniper EX3400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PO-2023-0018 and FA-000093 both cite MD-00093 (Juniper EX3400); register basis $1,940. transfer TR-00093 dated May 02, 2026, received 2026-05-06, APR-00093. last register site =IFERROR(XLOOKUP(A97,'Source Inventory'!$A$5:$A$200,'Source Inventory'!$F$5:$F$200),""). HR row shows Elliott Park (E0081) as Separated. ticket OFF-00093 cited.</t>
        </is>
      </c>
      <c r="L97" s="7" t="inlineStr">
        <is>
          <t>2026-05-10</t>
        </is>
      </c>
      <c r="M97" s="7" t="n">
        <v>1940</v>
      </c>
      <c r="N97" s="7" t="n">
        <v>130.57</v>
      </c>
      <c r="O97" s="7" t="inlineStr">
        <is>
          <t>FA-000093</t>
        </is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 t="n">
        <v>1940</v>
      </c>
      <c r="U97" t="inlineStr">
        <is>
          <t>Active</t>
        </is>
      </c>
      <c r="V97" t="n">
        <v>130.57</v>
      </c>
      <c r="W97" t="n">
        <v>0</v>
      </c>
      <c r="X97" t="inlineStr">
        <is>
          <t>Yes</t>
        </is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Network Asset</t>
        </is>
      </c>
      <c r="D98" s="7" t="inlineStr">
        <is>
          <t>Cisco Meraki MS250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TR-00094 moved MD-00094 (MD-MO-050094); inbound 2026-06-04; now Missing / Unknown. last register site =IFERROR(XLOOKUP(A98,'Source Inventory'!$A$5:$A$200,'Source Inventory'!$F$5:$F$200),""). buy path PO-2023-0018. ledger FA-000094 NBV $431.20. ticket OFF-00094 cited. HR row shows Carmen Diaz (E0082) as Separated.</t>
        </is>
      </c>
      <c r="L98" s="7" t="inlineStr">
        <is>
          <t>2026-06-11</t>
        </is>
      </c>
      <c r="M98" s="7" t="n">
        <v>655</v>
      </c>
      <c r="N98" s="7" t="n">
        <v>431.2</v>
      </c>
      <c r="O98" s="7" t="inlineStr">
        <is>
          <t>FA-000094</t>
        </is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 t="n">
        <v>655</v>
      </c>
      <c r="U98" t="inlineStr">
        <is>
          <t>Active</t>
        </is>
      </c>
      <c r="V98" t="n">
        <v>431.2</v>
      </c>
      <c r="W98" t="n">
        <v>0</v>
      </c>
      <c r="X98" t="inlineStr">
        <is>
          <t>Yes</t>
        </is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Network Asset</t>
        </is>
      </c>
      <c r="D99" s="7" t="inlineStr">
        <is>
          <t>Fortinet FortiSwitch 148F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OFF-00095 remains on file for MD-00095 (Fortinet FortiSwitch 148F, $1,130); verified state Missing at Unknown. last register site =IFERROR(XLOOKUP(A99,'Source Inventory'!$A$5:$A$200,'Source Inventory'!$F$5:$F$200),""). ledger FA-000095 NBV $894.87. transfer TR-00095 dated Jul 08, 2026, received 2026-07-08, APR-00095. buy path PO-2023-0018. HR row shows Hugh Talbot (E0083) as Separated.</t>
        </is>
      </c>
      <c r="L99" s="7" t="inlineStr">
        <is>
          <t>2026-06-24</t>
        </is>
      </c>
      <c r="M99" s="7" t="n">
        <v>1130</v>
      </c>
      <c r="N99" s="7" t="n">
        <v>894.87</v>
      </c>
      <c r="O99" s="7" t="inlineStr">
        <is>
          <t>FA-000095</t>
        </is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 t="n">
        <v>1130</v>
      </c>
      <c r="U99" t="inlineStr">
        <is>
          <t>Active</t>
        </is>
      </c>
      <c r="V99" t="n">
        <v>894.87</v>
      </c>
      <c r="W99" t="n">
        <v>0</v>
      </c>
      <c r="X99" t="inlineStr">
        <is>
          <t>Yes</t>
        </is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PO-2023-0018 and FA-000096 both cite MD-00096 (Cisco C9300); register basis $6,425. HR row shows Mira Adelman (E0084) as Separated. ticket OFF-00096 cited. transfer TR-00096 dated Jan 18, 2026, received 2026-01-19, APR-00096. last register site =IFERROR(XLOOKUP(A100,'Source Inventory'!$A$5:$A$200,'Source Inventory'!$F$5:$F$200),"").</t>
        </is>
      </c>
      <c r="L100" s="7" t="inlineStr">
        <is>
          <t>2026-06-13</t>
        </is>
      </c>
      <c r="M100" s="7" t="n">
        <v>6425</v>
      </c>
      <c r="N100" s="7" t="n">
        <v>511.01</v>
      </c>
      <c r="O100" s="7" t="inlineStr">
        <is>
          <t>FA-000096</t>
        </is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 t="n">
        <v>6425</v>
      </c>
      <c r="U100" t="inlineStr">
        <is>
          <t>Active</t>
        </is>
      </c>
      <c r="V100" t="n">
        <v>511.01</v>
      </c>
      <c r="W100" t="n">
        <v>0</v>
      </c>
      <c r="X100" t="inlineStr">
        <is>
          <t>Yes</t>
        </is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Network Asset</t>
        </is>
      </c>
      <c r="D101" s="7" t="inlineStr">
        <is>
          <t>Aruba 6300M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PO-2023-0018 and FA-000097 both cite MD-00097 (Aruba 6300M); register basis $2,120. transfer TR-00097 dated Jan 21, 2026, received 2026-01-27, APR-00097. last register site =IFERROR(XLOOKUP(A101,'Source Inventory'!$A$5:$A$200,'Source Inventory'!$F$5:$F$200),""). HR row shows Quincy Rhodes (E0085) as Separated. ticket OFF-00097 cited.</t>
        </is>
      </c>
      <c r="L101" s="7" t="inlineStr">
        <is>
          <t>2026-05-14</t>
        </is>
      </c>
      <c r="M101" s="7" t="n">
        <v>2120</v>
      </c>
      <c r="N101" s="7" t="n">
        <v>0</v>
      </c>
      <c r="O101" s="7" t="inlineStr">
        <is>
          <t>FA-000097</t>
        </is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 t="n">
        <v>2120</v>
      </c>
      <c r="U101" t="inlineStr">
        <is>
          <t>Active</t>
        </is>
      </c>
      <c r="V101" t="n">
        <v>0</v>
      </c>
      <c r="W101" t="n">
        <v>0</v>
      </c>
      <c r="X101" t="inlineStr">
        <is>
          <t>Yes</t>
        </is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Network Asset</t>
        </is>
      </c>
      <c r="D102" s="7" t="inlineStr">
        <is>
          <t>Juniper EX3400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PO-2024-0019 and FA-000098 both cite MD-00098 (Juniper EX3400); register basis $520. HR row shows Sloane Richter (E0086) as Separated. last register site =IFERROR(XLOOKUP(A102,'Source Inventory'!$A$5:$A$200,'Source Inventory'!$F$5:$F$200),""). ticket OFF-00098 cited. transfer TR-00098 dated Feb 23, 2026, received 2026-02-24, APR-00098.</t>
        </is>
      </c>
      <c r="L102" s="7" t="inlineStr">
        <is>
          <t>2026-06-15</t>
        </is>
      </c>
      <c r="M102" s="7" t="n">
        <v>520</v>
      </c>
      <c r="N102" s="7" t="n">
        <v>266.87</v>
      </c>
      <c r="O102" s="7" t="inlineStr">
        <is>
          <t>FA-000098</t>
        </is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 t="n">
        <v>520</v>
      </c>
      <c r="U102" t="inlineStr">
        <is>
          <t>Active</t>
        </is>
      </c>
      <c r="V102" t="n">
        <v>266.87</v>
      </c>
      <c r="W102" t="n">
        <v>0</v>
      </c>
      <c r="X102" t="inlineStr">
        <is>
          <t>Yes</t>
        </is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Network Asset</t>
        </is>
      </c>
      <c r="D103" s="7" t="inlineStr">
        <is>
          <t>Cisco Meraki MS250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PO-2024-0019 and FA-000099 both cite MD-00099 (Cisco Meraki MS250); register basis $995. transfer TR-00099 dated Mar 31, 2026, received 2026-04-02, APR-00099. last register site =IFERROR(XLOOKUP(A103,'Source Inventory'!$A$5:$A$200,'Source Inventory'!$F$5:$F$200),""). HR row shows Nolan Vega (E0087) as Separated. ticket OFF-00099 cited.</t>
        </is>
      </c>
      <c r="L103" s="7" t="inlineStr">
        <is>
          <t>2026-05-16</t>
        </is>
      </c>
      <c r="M103" s="7" t="n">
        <v>995</v>
      </c>
      <c r="N103" s="7" t="n">
        <v>548.24</v>
      </c>
      <c r="O103" s="7" t="inlineStr">
        <is>
          <t>FA-000099</t>
        </is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 t="n">
        <v>995</v>
      </c>
      <c r="U103" t="inlineStr">
        <is>
          <t>Active</t>
        </is>
      </c>
      <c r="V103" t="n">
        <v>548.24</v>
      </c>
      <c r="W103" t="n">
        <v>0</v>
      </c>
      <c r="X103" t="inlineStr">
        <is>
          <t>Yes</t>
        </is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Laptop</t>
        </is>
      </c>
      <c r="D104" s="7" t="inlineStr">
        <is>
          <t>HP EliteBook 840 G10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PO-2024-0019 and FA-000100 both cite MD-00100 (HP EliteBook 840 G10); register basis $6,290. transfer TR-00100 dated May 01, 2026, received 2026-05-05, APR-00100. HR row shows Ivy Chenoweth (E0088) as Separated. last register site =IFERROR(XLOOKUP(A104,'Source Inventory'!$A$5:$A$200,'Source Inventory'!$F$5:$F$200),""). ticket OFF-00100 cited.</t>
        </is>
      </c>
      <c r="L104" s="7" t="inlineStr">
        <is>
          <t>2026-06-17</t>
        </is>
      </c>
      <c r="M104" s="7" t="n">
        <v>6290</v>
      </c>
      <c r="N104" s="7" t="n">
        <v>927.36</v>
      </c>
      <c r="O104" s="7" t="inlineStr">
        <is>
          <t>FA-000100</t>
        </is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 t="n">
        <v>6290</v>
      </c>
      <c r="U104" t="inlineStr">
        <is>
          <t>Active</t>
        </is>
      </c>
      <c r="V104" t="n">
        <v>927.36</v>
      </c>
      <c r="W104" t="n">
        <v>0</v>
      </c>
      <c r="X104" t="inlineStr">
        <is>
          <t>Yes</t>
        </is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Microsoft Surface Laptop 5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PO-2024-0019 and FA-000101 both cite MD-00101 (Microsoft Surface Laptop 5); register basis $1,985. transfer TR-00101 dated Jun 05, 2026, received 2026-06-07, APR-00101. ticket RET-00101 cited.</t>
        </is>
      </c>
      <c r="L105" s="7" t="inlineStr">
        <is>
          <t>2026-06-07</t>
        </is>
      </c>
      <c r="M105" s="7" t="n">
        <v>1985</v>
      </c>
      <c r="N105" s="7" t="n">
        <v>0</v>
      </c>
      <c r="O105" s="7" t="inlineStr">
        <is>
          <t>FA-000101</t>
        </is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 t="n">
        <v>1985</v>
      </c>
      <c r="U105" t="inlineStr">
        <is>
          <t>Active</t>
        </is>
      </c>
      <c r="V105" t="n">
        <v>0</v>
      </c>
      <c r="W105" t="n">
        <v>0</v>
      </c>
      <c r="X105" t="inlineStr">
        <is>
          <t>Yes</t>
        </is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Laptop</t>
        </is>
      </c>
      <c r="D106" s="7" t="inlineStr">
        <is>
          <t>Lenovo ThinkPad X1 Carbon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PO-2024-0019 and FA-000102 both cite MD-00102 (Lenovo ThinkPad X1 Carbon); register basis $700. ticket RET-00102 cited. transfer TR-00102 dated Jan 10, 2026, received 2026-01-11, APR-00102.</t>
        </is>
      </c>
      <c r="L106" s="7" t="inlineStr">
        <is>
          <t>2026-05-31</t>
        </is>
      </c>
      <c r="M106" s="7" t="n">
        <v>700</v>
      </c>
      <c r="N106" s="7" t="n">
        <v>407.54</v>
      </c>
      <c r="O106" s="7" t="inlineStr">
        <is>
          <t>FA-000102</t>
        </is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 t="n">
        <v>820</v>
      </c>
      <c r="U106" t="inlineStr">
        <is>
          <t>Active</t>
        </is>
      </c>
      <c r="V106" t="n">
        <v>407.54</v>
      </c>
      <c r="W106" t="n">
        <v>120</v>
      </c>
      <c r="X106" t="inlineStr">
        <is>
          <t>Yes</t>
        </is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Laptop</t>
        </is>
      </c>
      <c r="D107" s="7" t="inlineStr">
        <is>
          <t>Lenovo ThinkPad T14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PO-2024-0019 and FA-000103 both cite MD-00103 (Lenovo ThinkPad T14); register basis $1,175. ticket RET-00103 cited. transfer TR-00103 dated Feb 11, 2026, received 2026-02-14, APR-00103.</t>
        </is>
      </c>
      <c r="L107" s="7" t="inlineStr">
        <is>
          <t>2026-05-31</t>
        </is>
      </c>
      <c r="M107" s="7" t="n">
        <v>1175</v>
      </c>
      <c r="N107" s="7" t="n">
        <v>782.53</v>
      </c>
      <c r="O107" s="7" t="inlineStr">
        <is>
          <t>FA-000103</t>
        </is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 t="n">
        <v>1175</v>
      </c>
      <c r="U107" t="inlineStr">
        <is>
          <t>Active</t>
        </is>
      </c>
      <c r="V107" t="n">
        <v>782.53</v>
      </c>
      <c r="W107" t="n">
        <v>0</v>
      </c>
      <c r="X107" t="inlineStr">
        <is>
          <t>Yes</t>
        </is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Laptop</t>
        </is>
      </c>
      <c r="D108" s="7" t="inlineStr">
        <is>
          <t>MacBook Pro 14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PO-2025-0020 and FA-000104 both cite MD-00104 (MacBook Pro 14); register basis $6,470. ticket RET-00104 cited. transfer TR-00104 dated Mar 16, 2026, received 2026-03-18, APR-00104.</t>
        </is>
      </c>
      <c r="L108" s="7" t="inlineStr">
        <is>
          <t>2026-05-31</t>
        </is>
      </c>
      <c r="M108" s="7" t="n">
        <v>6470</v>
      </c>
      <c r="N108" s="7" t="n">
        <v>1403.83</v>
      </c>
      <c r="O108" s="7" t="inlineStr">
        <is>
          <t>FA-000104</t>
        </is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 t="n">
        <v>6470</v>
      </c>
      <c r="U108" t="inlineStr">
        <is>
          <t>Active</t>
        </is>
      </c>
      <c r="V108" t="n">
        <v>1403.83</v>
      </c>
      <c r="W108" t="n">
        <v>0</v>
      </c>
      <c r="X108" t="inlineStr">
        <is>
          <t>Yes</t>
        </is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PO-2025-0020 and FA-000105 both cite MD-00105 (Dell Latitude 7440); register basis $1,850. transfer TR-00105 dated Apr 20, 2026, received 2026-04-21, APR-00105. ticket RET-00105 cited.</t>
        </is>
      </c>
      <c r="L109" s="7" t="inlineStr">
        <is>
          <t>2026-05-31</t>
        </is>
      </c>
      <c r="M109" s="7" t="n">
        <v>1850</v>
      </c>
      <c r="N109" s="7" t="n">
        <v>104.26</v>
      </c>
      <c r="O109" s="7" t="inlineStr">
        <is>
          <t>FA-000105</t>
        </is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 t="n">
        <v>1850</v>
      </c>
      <c r="U109" t="inlineStr">
        <is>
          <t>Active</t>
        </is>
      </c>
      <c r="V109" t="n">
        <v>104.26</v>
      </c>
      <c r="W109" t="n">
        <v>0</v>
      </c>
      <c r="X109" t="inlineStr">
        <is>
          <t>Yes</t>
        </is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Laptop</t>
        </is>
      </c>
      <c r="D110" s="7" t="inlineStr">
        <is>
          <t>HP EliteBook 840 G10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FA-000106 carries NBV $368.24 for MD-00106; operating status Retired/Pending Disposal at New York. ticket RET-00106 cited. purchasing extract lists PO-2025-0020. transfer TR-00106 dated May 22, 2026, received 2026-05-25, APR-00106.</t>
        </is>
      </c>
      <c r="L110" s="7" t="inlineStr">
        <is>
          <t>2026-05-31</t>
        </is>
      </c>
      <c r="M110" s="7" t="n">
        <v>565</v>
      </c>
      <c r="N110" s="7" t="n">
        <v>368.24</v>
      </c>
      <c r="O110" s="7" t="inlineStr">
        <is>
          <t>FA-000106</t>
        </is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 t="n">
        <v>565</v>
      </c>
      <c r="U110" t="inlineStr">
        <is>
          <t>Active</t>
        </is>
      </c>
      <c r="V110" t="n">
        <v>368.24</v>
      </c>
      <c r="W110" t="n">
        <v>0</v>
      </c>
      <c r="X110" t="inlineStr">
        <is>
          <t>Yes</t>
        </is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Laptop</t>
        </is>
      </c>
      <c r="D111" s="7" t="inlineStr">
        <is>
          <t>Microsoft Surface Laptop 5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FA-000107 carries NBV $812.21 for MD-00107; operating status Retired/Pending Disposal at Seattle. purchasing extract lists PO-2022-0021. transfer TR-00107 dated Jun 26, 2026, received 2026-06-27, APR-00107. ticket RET-00107 cited.</t>
        </is>
      </c>
      <c r="L111" s="7" t="inlineStr">
        <is>
          <t>2026-06-13</t>
        </is>
      </c>
      <c r="M111" s="7" t="n">
        <v>1040</v>
      </c>
      <c r="N111" s="7" t="n">
        <v>812.21</v>
      </c>
      <c r="O111" s="7" t="inlineStr">
        <is>
          <t>FA-000107</t>
        </is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 t="n">
        <v>1040</v>
      </c>
      <c r="U111" t="inlineStr">
        <is>
          <t>Active</t>
        </is>
      </c>
      <c r="V111" t="n">
        <v>812.21</v>
      </c>
      <c r="W111" t="n">
        <v>0</v>
      </c>
      <c r="X111" t="inlineStr">
        <is>
          <t>Yes</t>
        </is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Laptop</t>
        </is>
      </c>
      <c r="D112" s="7" t="inlineStr">
        <is>
          <t>Lenovo ThinkPad X1 Carbon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FA-000108 carries NBV $545.48 for MD-00108; operating status Retired/Pending Disposal at Atlanta. purchasing extract lists PO-2022-0021. transfer TR-00108 dated Jan 30, 2026, received 2026-01-30, APR-00108. ticket RET-00108 cited.</t>
        </is>
      </c>
      <c r="L112" s="7" t="inlineStr">
        <is>
          <t>2026-05-31</t>
        </is>
      </c>
      <c r="M112" s="7" t="n">
        <v>6335</v>
      </c>
      <c r="N112" s="7" t="n">
        <v>545.48</v>
      </c>
      <c r="O112" s="7" t="inlineStr">
        <is>
          <t>FA-000108</t>
        </is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 t="n">
        <v>6335</v>
      </c>
      <c r="U112" t="inlineStr">
        <is>
          <t>Active</t>
        </is>
      </c>
      <c r="V112" t="n">
        <v>545.48</v>
      </c>
      <c r="W112" t="n">
        <v>0</v>
      </c>
      <c r="X112" t="inlineStr">
        <is>
          <t>Yes</t>
        </is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FA-000109 carries NBV $0 for MD-00109; operating status Retired/Pending Disposal at Chicago. purchasing extract lists PO-2022-0021. transfer TR-00109 dated Feb 02, 2026, received 2026-02-04, APR-00109. ticket RET-00109 cited.</t>
        </is>
      </c>
      <c r="L113" s="7" t="inlineStr">
        <is>
          <t>2026-05-31</t>
        </is>
      </c>
      <c r="M113" s="7" t="n">
        <v>2030</v>
      </c>
      <c r="N113" s="7" t="n">
        <v>0</v>
      </c>
      <c r="O113" s="7" t="inlineStr">
        <is>
          <t>FA-000109</t>
        </is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 t="n">
        <v>2030</v>
      </c>
      <c r="U113" t="inlineStr">
        <is>
          <t>Active</t>
        </is>
      </c>
      <c r="V113" t="n">
        <v>0</v>
      </c>
      <c r="W113" t="n">
        <v>0</v>
      </c>
      <c r="X113" t="inlineStr">
        <is>
          <t>Yes</t>
        </is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Laptop</t>
        </is>
      </c>
      <c r="D114" s="7" t="inlineStr">
        <is>
          <t>Dell Latitude 7440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PO-2022-0021 and FA-000110 both cite MD-00110 (Dell Latitude 7440); register basis $745. transfer TR-00110 dated Mar 07, 2026, received 2026-03-08, APR-00110. ticket RET-00110 cited.</t>
        </is>
      </c>
      <c r="L114" s="7" t="inlineStr">
        <is>
          <t>2026-05-31</t>
        </is>
      </c>
      <c r="M114" s="7" t="n">
        <v>745</v>
      </c>
      <c r="N114" s="7" t="n">
        <v>387.24</v>
      </c>
      <c r="O114" s="7" t="inlineStr">
        <is>
          <t>FA-000110</t>
        </is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 t="n">
        <v>745</v>
      </c>
      <c r="U114" t="inlineStr">
        <is>
          <t>Active</t>
        </is>
      </c>
      <c r="V114" t="n">
        <v>387.24</v>
      </c>
      <c r="W114" t="n">
        <v>0</v>
      </c>
      <c r="X114" t="inlineStr">
        <is>
          <t>Yes</t>
        </is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Laptop</t>
        </is>
      </c>
      <c r="D115" s="7" t="inlineStr">
        <is>
          <t>HP EliteBook 840 G10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PO-2022-0021 and FA-000111 both cite MD-00111 (HP EliteBook 840 G10); register basis $1,220. transfer TR-00111 dated Apr 12, 2026, received 2026-04-13, APR-00111.</t>
        </is>
      </c>
      <c r="L115" s="7" t="inlineStr">
        <is>
          <t>2026-07-20</t>
        </is>
      </c>
      <c r="M115" s="7" t="n">
        <v>1220</v>
      </c>
      <c r="N115" s="7" t="n">
        <v>0</v>
      </c>
      <c r="O115" s="7" t="inlineStr">
        <is>
          <t>FA-000111</t>
        </is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 t="n">
        <v>1220</v>
      </c>
      <c r="U115" t="inlineStr">
        <is>
          <t>Disposed</t>
        </is>
      </c>
      <c r="V115" t="n">
        <v>0</v>
      </c>
      <c r="W115" t="n">
        <v>0</v>
      </c>
      <c r="X115" t="inlineStr">
        <is>
          <t>Yes</t>
        </is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Laptop</t>
        </is>
      </c>
      <c r="D116" s="7" t="inlineStr">
        <is>
          <t>Microsoft Surface Laptop 5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PO-2024-0024 and FA-000112 both cite MD-00112 (Microsoft Surface Laptop 5); register basis $6,200. transfer TR-00112 dated May 13, 2026, received 2026-05-15, APR-00112.</t>
        </is>
      </c>
      <c r="L116" s="7" t="inlineStr">
        <is>
          <t>2026-07-20</t>
        </is>
      </c>
      <c r="M116" s="7" t="n">
        <v>6200</v>
      </c>
      <c r="N116" s="7" t="n">
        <v>0</v>
      </c>
      <c r="O116" s="7" t="inlineStr">
        <is>
          <t>FA-000112</t>
        </is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 t="n">
        <v>6200</v>
      </c>
      <c r="U116" t="inlineStr">
        <is>
          <t>Disposed</t>
        </is>
      </c>
      <c r="V116" t="n">
        <v>0</v>
      </c>
      <c r="W116" t="n">
        <v>0</v>
      </c>
      <c r="X116" t="inlineStr">
        <is>
          <t>Yes</t>
        </is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Lenovo ThinkPad X1 Carbon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PO-2024-0024 and FA-000113 both cite MD-00113 (Lenovo ThinkPad X1 Carbon); register basis $1,895. transfer TR-00113 dated Jun 17, 2026, received 2026-06-18, APR-00113.</t>
        </is>
      </c>
      <c r="L117" s="7" t="inlineStr">
        <is>
          <t>2026-07-20</t>
        </is>
      </c>
      <c r="M117" s="7" t="n">
        <v>1895</v>
      </c>
      <c r="N117" s="7" t="n">
        <v>0</v>
      </c>
      <c r="O117" s="7" t="inlineStr">
        <is>
          <t>FA-000113</t>
        </is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 t="n">
        <v>1895</v>
      </c>
      <c r="U117" t="inlineStr">
        <is>
          <t>Disposed</t>
        </is>
      </c>
      <c r="V117" t="n">
        <v>0</v>
      </c>
      <c r="W117" t="n">
        <v>0</v>
      </c>
      <c r="X117" t="inlineStr">
        <is>
          <t>Yes</t>
        </is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Laptop</t>
        </is>
      </c>
      <c r="D118" s="7" t="inlineStr">
        <is>
          <t>Lenovo ThinkPad T14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PO-2024-0024 and FA-000114 both cite MD-00114 (Lenovo ThinkPad T14); register basis $610. ticket RET-00114 cited. no verified disposal certificate. transfer TR-00114 dated Jan 22, 2026, received 2026-01-22, APR-00114.</t>
        </is>
      </c>
      <c r="L118" s="7" t="inlineStr">
        <is>
          <t>2026-01-20</t>
        </is>
      </c>
      <c r="M118" s="7" t="n">
        <v>610</v>
      </c>
      <c r="N118" s="7" t="n">
        <v>0</v>
      </c>
      <c r="O118" s="7" t="inlineStr">
        <is>
          <t>FA-000114</t>
        </is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 t="n">
        <v>610</v>
      </c>
      <c r="U118" t="inlineStr">
        <is>
          <t>Disposed</t>
        </is>
      </c>
      <c r="V118" t="n">
        <v>0</v>
      </c>
      <c r="W118" t="n">
        <v>0</v>
      </c>
      <c r="X118" t="inlineStr">
        <is>
          <t>Yes</t>
        </is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Laptop</t>
        </is>
      </c>
      <c r="D119" s="7" t="inlineStr">
        <is>
          <t>MacBook Pro 14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PO-2024-0024 and FA-000115 both cite MD-00115 (MacBook Pro 14); register basis $1,085. transfer TR-00115 dated Feb 23, 2026, received 2026-02-25, APR-00115.</t>
        </is>
      </c>
      <c r="L119" s="7" t="inlineStr">
        <is>
          <t>2026-07-20</t>
        </is>
      </c>
      <c r="M119" s="7" t="n">
        <v>1085</v>
      </c>
      <c r="N119" s="7" t="n">
        <v>0</v>
      </c>
      <c r="O119" s="7" t="inlineStr">
        <is>
          <t>FA-000115</t>
        </is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 t="n">
        <v>1085</v>
      </c>
      <c r="U119" t="inlineStr">
        <is>
          <t>Disposed</t>
        </is>
      </c>
      <c r="V119" t="n">
        <v>0</v>
      </c>
      <c r="W119" t="n">
        <v>0</v>
      </c>
      <c r="X119" t="inlineStr">
        <is>
          <t>Yes</t>
        </is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Laptop</t>
        </is>
      </c>
      <c r="D120" s="7" t="inlineStr">
        <is>
          <t>Dell Latitude 7440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FA-000116 carries NBV $0 for MD-00116; operating status Disposed at Disposed. transfer TR-00116 dated Mar 28, 2026, received 2026-03-29, APR-00116. purchasing extract lists PO-2024-0024.</t>
        </is>
      </c>
      <c r="L120" s="7" t="inlineStr">
        <is>
          <t>2026-07-20</t>
        </is>
      </c>
      <c r="M120" s="7" t="n">
        <v>6380</v>
      </c>
      <c r="N120" s="7" t="n">
        <v>0</v>
      </c>
      <c r="O120" s="7" t="inlineStr">
        <is>
          <t>FA-000116</t>
        </is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 t="n">
        <v>6380</v>
      </c>
      <c r="U120" t="inlineStr">
        <is>
          <t>Disposed</t>
        </is>
      </c>
      <c r="V120" t="n">
        <v>0</v>
      </c>
      <c r="W120" t="n">
        <v>0</v>
      </c>
      <c r="X120" t="inlineStr">
        <is>
          <t>Yes</t>
        </is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HP EliteBook 840 G10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FA-000117 carries NBV $0 for MD-00117; operating status Disposed at Disposed. purchasing extract lists PO-2024-0024. transfer TR-00117 dated May 02, 2026, received 2026-05-02, APR-00117.</t>
        </is>
      </c>
      <c r="L121" s="7" t="inlineStr">
        <is>
          <t>2026-07-20</t>
        </is>
      </c>
      <c r="M121" s="7" t="n">
        <v>2075</v>
      </c>
      <c r="N121" s="7" t="n">
        <v>0</v>
      </c>
      <c r="O121" s="7" t="inlineStr">
        <is>
          <t>FA-000117</t>
        </is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 t="n">
        <v>2075</v>
      </c>
      <c r="U121" t="inlineStr">
        <is>
          <t>Disposed</t>
        </is>
      </c>
      <c r="V121" t="n">
        <v>0</v>
      </c>
      <c r="W121" t="n">
        <v>0</v>
      </c>
      <c r="X121" t="inlineStr">
        <is>
          <t>Yes</t>
        </is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Laptop</t>
        </is>
      </c>
      <c r="D122" s="7" t="inlineStr">
        <is>
          <t>Microsoft Surface Laptop 5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FA-000118 carries NBV $0 for MD-00118; operating status Retired/Pending Disposal at Disposed (certificate missing). purchasing extract lists PO-2024-0024. ticket RET-00118 cited. no verified disposal certificate. transfer TR-00118 dated Jun 03, 2026, received 2026-06-04, APR-00118.</t>
        </is>
      </c>
      <c r="L122" s="7" t="inlineStr">
        <is>
          <t>2026-05-24</t>
        </is>
      </c>
      <c r="M122" s="7" t="n">
        <v>790</v>
      </c>
      <c r="N122" s="7" t="n">
        <v>0</v>
      </c>
      <c r="O122" s="7" t="inlineStr">
        <is>
          <t>FA-000118</t>
        </is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 t="n">
        <v>790</v>
      </c>
      <c r="U122" t="inlineStr">
        <is>
          <t>Disposed</t>
        </is>
      </c>
      <c r="V122" t="n">
        <v>0</v>
      </c>
      <c r="W122" t="n">
        <v>0</v>
      </c>
      <c r="X122" t="inlineStr">
        <is>
          <t>Yes</t>
        </is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Laptop</t>
        </is>
      </c>
      <c r="D123" s="7" t="inlineStr">
        <is>
          <t>Lenovo ThinkPad X1 Carbon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FA-000119 carries NBV $0 for MD-00119; operating status Disposed at Disposed. purchasing extract lists PO-2024-0024. transfer TR-00119 dated Jul 08, 2026, received 2026-07-09, APR-00119.</t>
        </is>
      </c>
      <c r="L123" s="7" t="inlineStr">
        <is>
          <t>2026-07-20</t>
        </is>
      </c>
      <c r="M123" s="7" t="n">
        <v>950</v>
      </c>
      <c r="N123" s="7" t="n">
        <v>0</v>
      </c>
      <c r="O123" s="7" t="inlineStr">
        <is>
          <t>FA-000119</t>
        </is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Yes</t>
        </is>
      </c>
      <c r="T123" t="n">
        <v>1115</v>
      </c>
      <c r="U123" t="inlineStr">
        <is>
          <t>Disposed</t>
        </is>
      </c>
      <c r="V123" t="n">
        <v>0</v>
      </c>
      <c r="W123" t="n">
        <v>165</v>
      </c>
      <c r="X123" t="inlineStr">
        <is>
          <t>Yes</t>
        </is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Laptop</t>
        </is>
      </c>
      <c r="D124" s="7" t="inlineStr">
        <is>
          <t>MacBook Pro 14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PO-2025-0025 and FA-000120 both cite MD-00120 (MacBook Pro 14); register basis $6,245. transfer TR-00120 dated Jan 18, 2026, received 2026-01-20, APR-00120.</t>
        </is>
      </c>
      <c r="L124" s="7" t="inlineStr">
        <is>
          <t>2026-07-20</t>
        </is>
      </c>
      <c r="M124" s="7" t="n">
        <v>6245</v>
      </c>
      <c r="N124" s="7" t="n">
        <v>0</v>
      </c>
      <c r="O124" s="7" t="inlineStr">
        <is>
          <t>FA-000120</t>
        </is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 t="n">
        <v>6245</v>
      </c>
      <c r="U124" t="inlineStr">
        <is>
          <t>Disposed</t>
        </is>
      </c>
      <c r="V124" t="n">
        <v>0</v>
      </c>
      <c r="W124" t="n">
        <v>0</v>
      </c>
      <c r="X124" t="inlineStr">
        <is>
          <t>Yes</t>
        </is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Dell Latitude 7440</t>
        </is>
      </c>
      <c r="E125" s="7" t="n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PO-2025-0025 and FA-000121 both cite MD-00121 (Dell Latitude 7440); register basis $1,940. transfer TR-00121 dated Jan 21, 2026, received 2026-01-21, APR-00121.</t>
        </is>
      </c>
      <c r="L125" s="7" t="inlineStr">
        <is>
          <t>2026-02-03</t>
        </is>
      </c>
      <c r="M125" s="7" t="n">
        <v>1940</v>
      </c>
      <c r="N125" s="7" t="n">
        <v>0</v>
      </c>
      <c r="O125" s="7" t="inlineStr">
        <is>
          <t>FA-000121</t>
        </is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Yes</t>
        </is>
      </c>
      <c r="T125" t="n">
        <v>1940</v>
      </c>
      <c r="U125" t="inlineStr">
        <is>
          <t>Active</t>
        </is>
      </c>
      <c r="V125" t="n">
        <v>0</v>
      </c>
      <c r="W125" t="n">
        <v>0</v>
      </c>
      <c r="X125" t="inlineStr">
        <is>
          <t>Yes</t>
        </is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Laptop</t>
        </is>
      </c>
      <c r="D126" s="7" t="inlineStr">
        <is>
          <t>HP EliteBook 840 G10</t>
        </is>
      </c>
      <c r="E126" s="7" t="n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PO-2025-0025 and FA-000122 both cite MD-00122 (HP EliteBook 840 G10); register basis $655. transfer TR-00122 dated Feb 23, 2026, received 2026-02-25, APR-00122.</t>
        </is>
      </c>
      <c r="L126" s="7" t="inlineStr">
        <is>
          <t>2026-03-04</t>
        </is>
      </c>
      <c r="M126" s="7" t="n">
        <v>655</v>
      </c>
      <c r="N126" s="7" t="n">
        <v>336.15</v>
      </c>
      <c r="O126" s="7" t="inlineStr">
        <is>
          <t>FA-000122</t>
        </is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Yes</t>
        </is>
      </c>
      <c r="T126" t="n">
        <v>655</v>
      </c>
      <c r="U126" t="inlineStr">
        <is>
          <t>Active</t>
        </is>
      </c>
      <c r="V126" t="n">
        <v>336.15</v>
      </c>
      <c r="W126" t="n">
        <v>0</v>
      </c>
      <c r="X126" t="inlineStr">
        <is>
          <t>Yes</t>
        </is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Laptop</t>
        </is>
      </c>
      <c r="D127" s="7" t="inlineStr">
        <is>
          <t>Microsoft Surface Laptop 5</t>
        </is>
      </c>
      <c r="E127" s="7" t="n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PO-2025-0025 and FA-000123 both cite MD-00123 (Microsoft Surface Laptop 5); register basis $1,130. transfer TR-00123 dated Mar 31, 2026, received 2026-04-03, APR-00123.</t>
        </is>
      </c>
      <c r="L127" s="7" t="inlineStr">
        <is>
          <t>2026-04-05</t>
        </is>
      </c>
      <c r="M127" s="7" t="n">
        <v>1130</v>
      </c>
      <c r="N127" s="7" t="n">
        <v>622.62</v>
      </c>
      <c r="O127" s="7" t="inlineStr">
        <is>
          <t>FA-000123</t>
        </is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Yes</t>
        </is>
      </c>
      <c r="T127" t="n">
        <v>1130</v>
      </c>
      <c r="U127" t="inlineStr">
        <is>
          <t>Active</t>
        </is>
      </c>
      <c r="V127" t="n">
        <v>622.62</v>
      </c>
      <c r="W127" t="n">
        <v>0</v>
      </c>
      <c r="X127" t="inlineStr">
        <is>
          <t>Yes</t>
        </is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Laptop</t>
        </is>
      </c>
      <c r="D128" s="7" t="inlineStr">
        <is>
          <t>Lenovo ThinkPad X1 Carbon</t>
        </is>
      </c>
      <c r="E128" s="7" t="n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PO-2022-0026 and FA-000124 both cite MD-00124 (Lenovo ThinkPad X1 Carbon); register basis $6,425. transfer TR-00124 dated May 01, 2026, received 2026-05-01, APR-00124.</t>
        </is>
      </c>
      <c r="L128" s="7" t="inlineStr">
        <is>
          <t>2026-05-06</t>
        </is>
      </c>
      <c r="M128" s="7" t="n">
        <v>6425</v>
      </c>
      <c r="N128" s="7" t="n">
        <v>947.26</v>
      </c>
      <c r="O128" s="7" t="inlineStr">
        <is>
          <t>FA-000124</t>
        </is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Yes</t>
        </is>
      </c>
      <c r="T128" t="n">
        <v>6425</v>
      </c>
      <c r="U128" t="inlineStr">
        <is>
          <t>Active</t>
        </is>
      </c>
      <c r="V128" t="n">
        <v>947.26</v>
      </c>
      <c r="W128" t="n">
        <v>0</v>
      </c>
      <c r="X128" t="inlineStr">
        <is>
          <t>Yes</t>
        </is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Lenovo ThinkPad T14</t>
        </is>
      </c>
      <c r="E129" s="7" t="n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PO-2022-0026 and FA-000125 both cite MD-00125 (Lenovo ThinkPad T14); register basis $2,120. transfer TR-00125 dated Jun 05, 2026, received 2026-06-08, APR-00125.</t>
        </is>
      </c>
      <c r="L129" s="7" t="inlineStr">
        <is>
          <t>2026-06-07</t>
        </is>
      </c>
      <c r="M129" s="7" t="n">
        <v>2120</v>
      </c>
      <c r="N129" s="7" t="n">
        <v>0</v>
      </c>
      <c r="O129" s="7" t="inlineStr">
        <is>
          <t>FA-000125</t>
        </is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Yes</t>
        </is>
      </c>
      <c r="T129" t="n">
        <v>2120</v>
      </c>
      <c r="U129" t="inlineStr">
        <is>
          <t>Active</t>
        </is>
      </c>
      <c r="V129" t="n">
        <v>0</v>
      </c>
      <c r="W129" t="n">
        <v>0</v>
      </c>
      <c r="X129" t="inlineStr">
        <is>
          <t>Yes</t>
        </is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Laptop</t>
        </is>
      </c>
      <c r="D130" s="7" t="inlineStr">
        <is>
          <t>MacBook Pro 14</t>
        </is>
      </c>
      <c r="E130" s="7" t="n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FA-000126 carries NBV $302.75 for MD-00126; operating status Available at Atlanta. transfer TR-00126 dated Jan 10, 2026, received 2026-01-12, APR-00126. purchasing extract lists PO-2022-0026.</t>
        </is>
      </c>
      <c r="L130" s="7" t="inlineStr">
        <is>
          <t>2026-01-08</t>
        </is>
      </c>
      <c r="M130" s="7" t="n">
        <v>520</v>
      </c>
      <c r="N130" s="7" t="n">
        <v>302.75</v>
      </c>
      <c r="O130" s="7" t="inlineStr">
        <is>
          <t>FA-000126</t>
        </is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Yes</t>
        </is>
      </c>
      <c r="T130" t="n">
        <v>520</v>
      </c>
      <c r="U130" t="inlineStr">
        <is>
          <t>Active</t>
        </is>
      </c>
      <c r="V130" t="n">
        <v>302.75</v>
      </c>
      <c r="W130" t="n">
        <v>0</v>
      </c>
      <c r="X130" t="inlineStr">
        <is>
          <t>Yes</t>
        </is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Laptop</t>
        </is>
      </c>
      <c r="D131" s="7" t="inlineStr">
        <is>
          <t>Dell Latitude 7440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FA-000127 carries NBV $662.65 for MD-00127; operating status In Use at Denver. HR row shows Liam Keane (E0061) as Transferred. transfer TR-00127 dated Feb 11, 2026, received 2026-02-17, approval blank. purchasing extract lists PO-2022-0026.</t>
        </is>
      </c>
      <c r="L131" s="7" t="inlineStr">
        <is>
          <t>2026-08-05</t>
        </is>
      </c>
      <c r="M131" s="7" t="n">
        <v>995</v>
      </c>
      <c r="N131" s="7" t="n">
        <v>662.65</v>
      </c>
      <c r="O131" s="7" t="inlineStr">
        <is>
          <t>FA-000127</t>
        </is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Yes</t>
        </is>
      </c>
      <c r="T131" t="n">
        <v>995</v>
      </c>
      <c r="U131" t="inlineStr">
        <is>
          <t>Active</t>
        </is>
      </c>
      <c r="V131" t="n">
        <v>662.65</v>
      </c>
      <c r="W131" t="n">
        <v>0</v>
      </c>
      <c r="X131" t="inlineStr">
        <is>
          <t>Yes</t>
        </is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Laptop</t>
        </is>
      </c>
      <c r="D132" s="7" t="inlineStr">
        <is>
          <t>HP EliteBook 840 G10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FA-000128 carries NBV $1,364.77 for MD-00128; operating status In Use at New York. HR row shows Bianca Silva (E0062) as Transferred. transfer TR-00128 dated Mar 16, 2026, received 2026-03-19, APR-00128. purchasing extract lists PO-2022-0026.</t>
        </is>
      </c>
      <c r="L132" s="7" t="inlineStr">
        <is>
          <t>2026-08-05</t>
        </is>
      </c>
      <c r="M132" s="7" t="n">
        <v>6290</v>
      </c>
      <c r="N132" s="7" t="n">
        <v>1364.77</v>
      </c>
      <c r="O132" s="7" t="inlineStr">
        <is>
          <t>FA-000128</t>
        </is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 t="n">
        <v>6290</v>
      </c>
      <c r="U132" t="inlineStr">
        <is>
          <t>Active</t>
        </is>
      </c>
      <c r="V132" t="n">
        <v>1364.77</v>
      </c>
      <c r="W132" t="n">
        <v>0</v>
      </c>
      <c r="X132" t="inlineStr">
        <is>
          <t>Yes</t>
        </is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Microsoft Surface Laptop 5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FA-000129 carries NBV $111.86 for MD-00129; operating status In Use at Seattle. HR row shows Greg Hollis (E0063) as Transferred. transfer TR-00129 dated Apr 20, 2026, received 2026-04-21, APR-00129. purchasing extract lists PO-2022-0026.</t>
        </is>
      </c>
      <c r="L133" s="7" t="inlineStr">
        <is>
          <t>2026-08-05</t>
        </is>
      </c>
      <c r="M133" s="7" t="n">
        <v>1985</v>
      </c>
      <c r="N133" s="7" t="n">
        <v>111.86</v>
      </c>
      <c r="O133" s="7" t="inlineStr">
        <is>
          <t>FA-000129</t>
        </is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 t="n">
        <v>1985</v>
      </c>
      <c r="U133" t="inlineStr">
        <is>
          <t>Active</t>
        </is>
      </c>
      <c r="V133" t="n">
        <v>111.86</v>
      </c>
      <c r="W133" t="n">
        <v>0</v>
      </c>
      <c r="X133" t="inlineStr">
        <is>
          <t>Yes</t>
        </is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Laptop</t>
        </is>
      </c>
      <c r="D134" s="7" t="inlineStr">
        <is>
          <t>Lenovo ThinkPad T14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MD-00130 / MD-MO-050130: Lenovo ThinkPad T14 at Atlanta marked In Use; acquisition $700. transfer TR-00130 dated May 22, 2026, received 2026-05-28, APR-00130. HR row shows Naomi Berger (E0064) as Transferred. PO-2023-0023 under $2,500 gate - FAR silence expected (ITAM-001 §7).</t>
        </is>
      </c>
      <c r="L134" s="7" t="inlineStr">
        <is>
          <t>2026-08-05</t>
        </is>
      </c>
      <c r="M134" s="7" t="n">
        <v>700</v>
      </c>
      <c r="N134" s="7" t="n"/>
      <c r="O134" s="7" t="n"/>
      <c r="P134" s="7" t="n"/>
      <c r="Q134" s="9" t="inlineStr">
        <is>
          <t>High</t>
        </is>
      </c>
      <c r="R134" s="7" t="inlineStr">
        <is>
          <t>EX-0161</t>
        </is>
      </c>
      <c r="S134" s="7" t="inlineStr">
        <is>
          <t>Yes</t>
        </is>
      </c>
      <c r="X134" t="inlineStr">
        <is>
          <t>No</t>
        </is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Laptop</t>
        </is>
      </c>
      <c r="D135" s="7" t="inlineStr">
        <is>
          <t>MacBook Pro 14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MD-00131 / MD-MO-050131: MacBook Pro 14 at Chicago marked In Use; acquisition $1,175. transfer TR-00131 dated Jun 26, 2026, received 2026-06-28, APR-00131. HR row shows Felix Moreno (E0065) as Transferred. PO-2023-0023 under $2,500 gate - FAR silence expected (ITAM-001 §7).</t>
        </is>
      </c>
      <c r="L135" s="7" t="inlineStr">
        <is>
          <t>2026-08-05</t>
        </is>
      </c>
      <c r="M135" s="7" t="n">
        <v>1175</v>
      </c>
      <c r="N135" s="7" t="n"/>
      <c r="O135" s="7" t="n"/>
      <c r="P135" s="7" t="n"/>
      <c r="Q135" s="9" t="inlineStr">
        <is>
          <t>High</t>
        </is>
      </c>
      <c r="R135" s="7" t="inlineStr">
        <is>
          <t>EX-0162</t>
        </is>
      </c>
      <c r="S135" s="7" t="inlineStr">
        <is>
          <t>Yes</t>
        </is>
      </c>
      <c r="X135" t="inlineStr">
        <is>
          <t>No</t>
        </is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Laptop</t>
        </is>
      </c>
      <c r="D136" s="7" t="inlineStr">
        <is>
          <t>Dell Latitude 7440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MD-00132 / MD-NE-050132: Dell Latitude 7440 at Dallas marked In Use; acquisition $6,470. transfer TR-00132 dated Jan 30, 2026, received 2026-01-31, APR-00132. HR row shows Sharon Quinlan (E0066) as Transferred. RN-0132 rejected; $6,470 capital-qualifying with no FA row.</t>
        </is>
      </c>
      <c r="L136" s="7" t="inlineStr">
        <is>
          <t>2026-08-05</t>
        </is>
      </c>
      <c r="M136" s="7" t="n">
        <v>6470</v>
      </c>
      <c r="N136" s="7" t="n"/>
      <c r="O136" s="7" t="n"/>
      <c r="P136" s="7" t="n"/>
      <c r="Q136" s="9" t="inlineStr">
        <is>
          <t>High</t>
        </is>
      </c>
      <c r="R136" s="7" t="inlineStr">
        <is>
          <t>EX-0163</t>
        </is>
      </c>
      <c r="S136" s="7" t="inlineStr">
        <is>
          <t>Yes</t>
        </is>
      </c>
      <c r="X136" t="inlineStr">
        <is>
          <t>No</t>
        </is>
      </c>
    </row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Difference",IF(IFERROR(XLOOKUP(D5,'Source Ledger'!$B$5:$B$200,'Source Ledger'!$H$5:$H$200),"")="Disposed",IFERROR(XLOOKUP(D5,'Source Ledger'!$B$5:$B$200,'Source Ledger'!$G$5:$G$200),0),IF(IFERROR(XLOOKUP(D5,'Source Ledger'!$B$5:$B$200,'Source Ledger'!$E$5:$E$200),"")="",IFERROR(XLOOKUP(D5,'Corrected Register'!$A$5:$A$200,'Corrected Register'!$M$5:$M$200),0),ABS(IFERROR(XLOOKUP(D5,'Source Ledger'!$B$5:$B$200,'Source Ledger'!$E$5:$E$200),0)-IFERROR(XLOOKUP(D5,'Corrected Register'!$A$5:$A$200,'Corrected Register'!$M$5:$M$200),0)))),IFERROR(XLOOKUP(D5,'Corrected Register'!$A$5:$A$200,'Corrected Register'!$N$5:$N$200),0))</f>
        <v/>
      </c>
      <c r="H5" s="7" t="inlineStr">
        <is>
          <t>Finance Controller: clear over-depreciation and cost basis on FA-000017 /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PO-2025-0004 supports register $1,985 on MD-00017; FA-000017 carries $2,070 and $2,160 accumulated depreciation ( $90 above the ledger acquisition line).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on MD-00021; Employee ID:E0021; Transfer ID:TR-00021; Ticket ID:None; PO Number:PO-2022-0005; Tracking Number:None; Serial:MD-LA-050021; AlsoTagged:MD-00021,MD-00025</t>
        </is>
      </c>
      <c r="G6" s="7">
        <f>IF(B6="Inventory-to-Ledger Difference",IF(IFERROR(XLOOKUP(D6,'Source Ledger'!$B$5:$B$200,'Source Ledger'!$H$5:$H$200),"")="Disposed",IFERROR(XLOOKUP(D6,'Source Ledger'!$B$5:$B$200,'Source Ledger'!$G$5:$G$200),0),IF(IFERROR(XLOOKUP(D6,'Source Ledger'!$B$5:$B$200,'Source Ledger'!$E$5:$E$200),"")="",IFERROR(XLOOKUP(D6,'Corrected Register'!$A$5:$A$200,'Corrected Register'!$M$5:$M$200),0),ABS(IFERROR(XLOOKUP(D6,'Source Ledger'!$B$5:$B$200,'Source Ledger'!$E$5:$E$200),0)-IFERROR(XLOOKUP(D6,'Corrected Register'!$A$5:$A$200,'Corrected Register'!$M$5:$M$200),0)))),IFERROR(XLOOKUP(D6,'Corrected Register'!$A$5:$A$200,'Corrected Register'!$N$5:$N$200),0))</f>
        <v/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is shared by MD-00021 and MD-00021,MD-00025; bench validation and retag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Ledger'!$B$5:$B$200,'Source Ledger'!$H$5:$H$200),"")="Disposed",IFERROR(XLOOKUP(D7,'Source Ledger'!$B$5:$B$200,'Source Ledger'!$G$5:$G$200),0),IF(IFERROR(XLOOKUP(D7,'Source Ledger'!$B$5:$B$200,'Source Ledger'!$E$5:$E$200),"")="",IFERROR(XLOOKUP(D7,'Corrected Register'!$A$5:$A$200,'Corrected Register'!$M$5:$M$200),0),ABS(IFERROR(XLOOKUP(D7,'Source Ledger'!$B$5:$B$200,'Source Ledger'!$E$5:$E$200),0)-IFERROR(XLOOKUP(D7,'Corrected Register'!$A$5:$A$200,'Corrected Register'!$M$5:$M$200),0)))),IFERROR(XLOOKUP(D7,'Corrected Register'!$A$5:$A$200,'Corrected Register'!$N$5:$N$200),0))</f>
        <v/>
      </c>
      <c r="H7" s="7" t="inlineStr">
        <is>
          <t>IT Asset Specialist: post Chicago on MD-00025 and retire Denver - Closed (EX-0003).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opened under EX-0003 — register location for MD-00025 was never flipped off Denver - Closed; TR-00025 already points inbound to Chicago; live footprint is Chicago.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on MD-00025; Employee ID:E0025; Transfer ID:TR-00025; Ticket ID:None; PO Number:PO-2022-0005; Tracking Number:None; Serial:MD-LA-050021; AlsoTagged:MD-00021,MD-00025</t>
        </is>
      </c>
      <c r="G8" s="7">
        <f>IF(B8="Inventory-to-Ledger Difference",IF(IFERROR(XLOOKUP(D8,'Source Ledger'!$B$5:$B$200,'Source Ledger'!$H$5:$H$200),"")="Disposed",IFERROR(XLOOKUP(D8,'Source Ledger'!$B$5:$B$200,'Source Ledger'!$G$5:$G$200),0),IF(IFERROR(XLOOKUP(D8,'Source Ledger'!$B$5:$B$200,'Source Ledger'!$E$5:$E$200),"")="",IFERROR(XLOOKUP(D8,'Corrected Register'!$A$5:$A$200,'Corrected Register'!$M$5:$M$200),0),ABS(IFERROR(XLOOKUP(D8,'Source Ledger'!$B$5:$B$200,'Source Ledger'!$E$5:$E$200),0)-IFERROR(XLOOKUP(D8,'Corrected Register'!$A$5:$A$200,'Corrected Register'!$M$5:$M$200),0)))),IFERROR(XLOOKUP(D8,'Corrected Register'!$A$5:$A$200,'Corrected Register'!$N$5:$N$200),0))</f>
        <v/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is shared by MD-00025 and MD-00021,MD-00025; bench validation and retag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Ledger'!$B$5:$B$200,'Source Ledger'!$H$5:$H$200),"")="Disposed",IFERROR(XLOOKUP(D9,'Source Ledger'!$B$5:$B$200,'Source Ledger'!$G$5:$G$200),0),IF(IFERROR(XLOOKUP(D9,'Source Ledger'!$B$5:$B$200,'Source Ledger'!$E$5:$E$200),"")="",IFERROR(XLOOKUP(D9,'Corrected Register'!$A$5:$A$200,'Corrected Register'!$M$5:$M$200),0),ABS(IFERROR(XLOOKUP(D9,'Source Ledger'!$B$5:$B$200,'Source Ledger'!$E$5:$E$200),0)-IFERROR(XLOOKUP(D9,'Corrected Register'!$A$5:$A$200,'Corrected Register'!$M$5:$M$200),0)))),IFERROR(XLOOKUP(D9,'Corrected Register'!$A$5:$A$200,'Corrected Register'!$N$5:$N$200),0))</f>
        <v/>
      </c>
      <c r="H9" s="7" t="inlineStr">
        <is>
          <t>EX-0005: location hygiene on MD-00026 — replace Chicago - Closed with Dallas.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Chicago - Closed remains on MD-00026 after the consolidation cutover; TR-00026 already points inbound to Dallas; live footprint is Dallas; see EX-0005.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Ledger'!$B$5:$B$200,'Source Ledger'!$H$5:$H$200),"")="Disposed",IFERROR(XLOOKUP(D10,'Source Ledger'!$B$5:$B$200,'Source Ledger'!$G$5:$G$200),0),IF(IFERROR(XLOOKUP(D10,'Source Ledger'!$B$5:$B$200,'Source Ledger'!$E$5:$E$200),"")="",IFERROR(XLOOKUP(D10,'Corrected Register'!$A$5:$A$200,'Corrected Register'!$M$5:$M$200),0),ABS(IFERROR(XLOOKUP(D10,'Source Ledger'!$B$5:$B$200,'Source Ledger'!$E$5:$E$200),0)-IFERROR(XLOOKUP(D10,'Corrected Register'!$A$5:$A$200,'Corrected Register'!$M$5:$M$200),0)))),IFERROR(XLOOKUP(D10,'Corrected Register'!$A$5:$A$200,'Corrected Register'!$N$5:$N$200),0))</f>
        <v/>
      </c>
      <c r="H10" s="7" t="inlineStr">
        <is>
          <t>Pending register edit EX-0006: MD-00027 should show Denver, not Denver - Closed.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MD-00027 still shows closed floor Denver - Closed on the extract; TR-00027 already points inbound to Denver; live footprint is Denver; logged as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Ledger'!$B$5:$B$200,'Source Ledger'!$H$5:$H$200),"")="Disposed",IFERROR(XLOOKUP(D11,'Source Ledger'!$B$5:$B$200,'Source Ledger'!$G$5:$G$200),0),IF(IFERROR(XLOOKUP(D11,'Source Ledger'!$B$5:$B$200,'Source Ledger'!$E$5:$E$200),"")="",IFERROR(XLOOKUP(D11,'Corrected Register'!$A$5:$A$200,'Corrected Register'!$M$5:$M$200),0),ABS(IFERROR(XLOOKUP(D11,'Source Ledger'!$B$5:$B$200,'Source Ledger'!$E$5:$E$200),0)-IFERROR(XLOOKUP(D11,'Corrected Register'!$A$5:$A$200,'Corrected Register'!$M$5:$M$200),0)))),IFERROR(XLOOKUP(D11,'Corrected Register'!$A$5:$A$200,'Corrected Register'!$N$5:$N$200),0))</f>
        <v/>
      </c>
      <c r="H11" s="7" t="inlineStr">
        <is>
          <t>Register fix for MD-00028 — drop Chicago - Closed, keep New York; reference TR-00028. EX-0007.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ticketed EX-0007; site field on MD-00028 (MD-NE-050028) still reads Chicago - Closed; TR-00028 already points inbound to New York; live footprint is New York.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Ledger'!$B$5:$B$200,'Source Ledger'!$H$5:$H$200),"")="Disposed",IFERROR(XLOOKUP(D12,'Source Ledger'!$B$5:$B$200,'Source Ledger'!$G$5:$G$200),0),IF(IFERROR(XLOOKUP(D12,'Source Ledger'!$B$5:$B$200,'Source Ledger'!$E$5:$E$200),"")="",IFERROR(XLOOKUP(D12,'Corrected Register'!$A$5:$A$200,'Corrected Register'!$M$5:$M$200),0),ABS(IFERROR(XLOOKUP(D12,'Source Ledger'!$B$5:$B$200,'Source Ledger'!$E$5:$E$200),0)-IFERROR(XLOOKUP(D12,'Corrected Register'!$A$5:$A$200,'Corrected Register'!$M$5:$M$200),0)))),IFERROR(XLOOKUP(D12,'Corrected Register'!$A$5:$A$200,'Corrected Register'!$N$5:$N$200),0))</f>
        <v/>
      </c>
      <c r="H12" s="7" t="inlineStr">
        <is>
          <t>Do not certify MD-00029 while location still says Denver - Closed; target Seattle (EX-0008).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Denver - Closed remains on MD-00029 after the consolidation cutover; TR-00029 already points inbound to Seattle; live footprint is Seattle; see EX-0008.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Ledger'!$B$5:$B$200,'Source Ledger'!$H$5:$H$200),"")="Disposed",IFERROR(XLOOKUP(D13,'Source Ledger'!$B$5:$B$200,'Source Ledger'!$G$5:$G$200),0),IF(IFERROR(XLOOKUP(D13,'Source Ledger'!$B$5:$B$200,'Source Ledger'!$E$5:$E$200),"")="",IFERROR(XLOOKUP(D13,'Corrected Register'!$A$5:$A$200,'Corrected Register'!$M$5:$M$200),0),ABS(IFERROR(XLOOKUP(D13,'Source Ledger'!$B$5:$B$200,'Source Ledger'!$E$5:$E$200),0)-IFERROR(XLOOKUP(D13,'Corrected Register'!$A$5:$A$200,'Corrected Register'!$M$5:$M$200),0)))),IFERROR(XLOOKUP(D13,'Corrected Register'!$A$5:$A$200,'Corrected Register'!$N$5:$N$200),0))</f>
        <v/>
      </c>
      <c r="H13" s="7" t="inlineStr">
        <is>
          <t>Register fix for MD-00030 — drop Chicago - Closed, keep Atlanta; reference TR-00030. EX-0009.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Chicago - Closed remains on MD-00030 after the consolidation cutover — TR-00030 already points inbound to Atlanta; live footprint is Atlanta; see EX-0009.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Ledger'!$B$5:$B$200,'Source Ledger'!$H$5:$H$200),"")="Disposed",IFERROR(XLOOKUP(D14,'Source Ledger'!$B$5:$B$200,'Source Ledger'!$G$5:$G$200),0),IF(IFERROR(XLOOKUP(D14,'Source Ledger'!$B$5:$B$200,'Source Ledger'!$E$5:$E$200),"")="",IFERROR(XLOOKUP(D14,'Corrected Register'!$A$5:$A$200,'Corrected Register'!$M$5:$M$200),0),ABS(IFERROR(XLOOKUP(D14,'Source Ledger'!$B$5:$B$200,'Source Ledger'!$E$5:$E$200),0)-IFERROR(XLOOKUP(D14,'Corrected Register'!$A$5:$A$200,'Corrected Register'!$M$5:$M$200),0)))),IFERROR(XLOOKUP(D14,'Corrected Register'!$A$5:$A$200,'Corrected Register'!$N$5:$N$200),0))</f>
        <v/>
      </c>
      <c r="H14" s="7" t="inlineStr">
        <is>
          <t>EX-0010: location hygiene on MD-00031 — replace Denver - Closed with Chicago.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Denver - Closed remains on MD-00031 after the consolidation cutover. TR-00031 already points inbound to Chicago. Live footprint is Chicago. See EX-0010.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Ledger'!$B$5:$B$200,'Source Ledger'!$H$5:$H$200),"")="Disposed",IFERROR(XLOOKUP(D15,'Source Ledger'!$B$5:$B$200,'Source Ledger'!$G$5:$G$200),0),IF(IFERROR(XLOOKUP(D15,'Source Ledger'!$B$5:$B$200,'Source Ledger'!$E$5:$E$200),"")="",IFERROR(XLOOKUP(D15,'Corrected Register'!$A$5:$A$200,'Corrected Register'!$M$5:$M$200),0),ABS(IFERROR(XLOOKUP(D15,'Source Ledger'!$B$5:$B$200,'Source Ledger'!$E$5:$E$200),0)-IFERROR(XLOOKUP(D15,'Corrected Register'!$A$5:$A$200,'Corrected Register'!$M$5:$M$200),0)))),IFERROR(XLOOKUP(D15,'Corrected Register'!$A$5:$A$200,'Corrected Register'!$N$5:$N$200),0))</f>
        <v/>
      </c>
      <c r="H15" s="7" t="inlineStr">
        <is>
          <t>IT stock desk: rewrite site on MD-00032 to Dallas; Chicago - Closed is retired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MD-00032 still shows closed floor Chicago - Closed on the extract; TR-00032 already points inbound to Dallas; live footprint is Dallas; logged as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Ledger'!$B$5:$B$200,'Source Ledger'!$H$5:$H$200),"")="Disposed",IFERROR(XLOOKUP(D16,'Source Ledger'!$B$5:$B$200,'Source Ledger'!$G$5:$G$200),0),IF(IFERROR(XLOOKUP(D16,'Source Ledger'!$B$5:$B$200,'Source Ledger'!$E$5:$E$200),"")="",IFERROR(XLOOKUP(D16,'Corrected Register'!$A$5:$A$200,'Corrected Register'!$M$5:$M$200),0),ABS(IFERROR(XLOOKUP(D16,'Source Ledger'!$B$5:$B$200,'Source Ledger'!$E$5:$E$200),0)-IFERROR(XLOOKUP(D16,'Corrected Register'!$A$5:$A$200,'Corrected Register'!$M$5:$M$200),0)))),IFERROR(XLOOKUP(D16,'Corrected Register'!$A$5:$A$200,'Corrected Register'!$N$5:$N$200),0))</f>
        <v/>
      </c>
      <c r="H16" s="7" t="inlineStr">
        <is>
          <t>Register fix for MD-00033 — drop Denver - Closed, keep Denver; reference TR-00033. EX-0012.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ticketed EX-0012 — site field on MD-00033 (MD-LA-050033) still reads Denver - Closed; TR-00033 already points inbound to Denver; live footprint is Denver.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Ledger'!$B$5:$B$200,'Source Ledger'!$H$5:$H$200),"")="Disposed",IFERROR(XLOOKUP(D17,'Source Ledger'!$B$5:$B$200,'Source Ledger'!$G$5:$G$200),0),IF(IFERROR(XLOOKUP(D17,'Source Ledger'!$B$5:$B$200,'Source Ledger'!$E$5:$E$200),"")="",IFERROR(XLOOKUP(D17,'Corrected Register'!$A$5:$A$200,'Corrected Register'!$M$5:$M$200),0),ABS(IFERROR(XLOOKUP(D17,'Source Ledger'!$B$5:$B$200,'Source Ledger'!$E$5:$E$200),0)-IFERROR(XLOOKUP(D17,'Corrected Register'!$A$5:$A$200,'Corrected Register'!$M$5:$M$200),0)))),IFERROR(XLOOKUP(D17,'Corrected Register'!$A$5:$A$200,'Corrected Register'!$N$5:$N$200),0))</f>
        <v/>
      </c>
      <c r="H17" s="7" t="inlineStr">
        <is>
          <t>Do not certify MD-00034 while location still says Chicago - Closed; target New York (EX-0013).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Chicago - Closed remains on MD-00034 after the consolidation cutover. TR-00034 already points inbound to New York. Live footprint is New York. See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Difference",IF(IFERROR(XLOOKUP(D18,'Source Ledger'!$B$5:$B$200,'Source Ledger'!$H$5:$H$200),"")="Disposed",IFERROR(XLOOKUP(D18,'Source Ledger'!$B$5:$B$200,'Source Ledger'!$G$5:$G$200),0),IF(IFERROR(XLOOKUP(D18,'Source Ledger'!$B$5:$B$200,'Source Ledger'!$E$5:$E$200),"")="",IFERROR(XLOOKUP(D18,'Corrected Register'!$A$5:$A$200,'Corrected Register'!$M$5:$M$200),0),ABS(IFERROR(XLOOKUP(D18,'Source Ledger'!$B$5:$B$200,'Source Ledger'!$E$5:$E$200),0)-IFERROR(XLOOKUP(D18,'Corrected Register'!$A$5:$A$200,'Corrected Register'!$M$5:$M$200),0)))),IFERROR(XLOOKUP(D18,'Corrected Register'!$A$5:$A$200,'Corrected Register'!$N$5:$N$200),0))</f>
        <v/>
      </c>
      <c r="H18" s="7" t="inlineStr">
        <is>
          <t>Finance: tie register $790 to ledger $930 on FA-000034 and confirm NBV $479.88.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PO-2024-0007 and FA-000034 disagree on basis for MD-00034: register $790 vs ledger $930. Ledger NBV on FA-000034 is $479.88 ($930 − $450.12 accumulated depreciation).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Ledger'!$B$5:$B$200,'Source Ledger'!$H$5:$H$200),"")="Disposed",IFERROR(XLOOKUP(D19,'Source Ledger'!$B$5:$B$200,'Source Ledger'!$G$5:$G$200),0),IF(IFERROR(XLOOKUP(D19,'Source Ledger'!$B$5:$B$200,'Source Ledger'!$E$5:$E$200),"")="",IFERROR(XLOOKUP(D19,'Corrected Register'!$A$5:$A$200,'Corrected Register'!$M$5:$M$200),0),ABS(IFERROR(XLOOKUP(D19,'Source Ledger'!$B$5:$B$200,'Source Ledger'!$E$5:$E$200),0)-IFERROR(XLOOKUP(D19,'Corrected Register'!$A$5:$A$200,'Corrected Register'!$M$5:$M$200),0)))),IFERROR(XLOOKUP(D19,'Corrected Register'!$A$5:$A$200,'Corrected Register'!$N$5:$N$200),0))</f>
        <v/>
      </c>
      <c r="H19" s="7" t="inlineStr">
        <is>
          <t>Correct MD-00035 site code (Denver - Closed) now that TR-00035 supports Seattle (EX-0015).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Denver - Closed remains on MD-00035 after the consolidation cutover; TR-00035 already points inbound to Seattle; live footprint is Seattle; see EX-0015.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Ledger'!$B$5:$B$200,'Source Ledger'!$H$5:$H$200),"")="Disposed",IFERROR(XLOOKUP(D20,'Source Ledger'!$B$5:$B$200,'Source Ledger'!$G$5:$G$200),0),IF(IFERROR(XLOOKUP(D20,'Source Ledger'!$B$5:$B$200,'Source Ledger'!$E$5:$E$200),"")="",IFERROR(XLOOKUP(D20,'Corrected Register'!$A$5:$A$200,'Corrected Register'!$M$5:$M$200),0),ABS(IFERROR(XLOOKUP(D20,'Source Ledger'!$B$5:$B$200,'Source Ledger'!$E$5:$E$200),0)-IFERROR(XLOOKUP(D20,'Corrected Register'!$A$5:$A$200,'Corrected Register'!$M$5:$M$200),0)))),IFERROR(XLOOKUP(D20,'Corrected Register'!$A$5:$A$200,'Corrected Register'!$N$5:$N$200),0))</f>
        <v/>
      </c>
      <c r="H20" s="7" t="inlineStr">
        <is>
          <t>Close the location lag on MD-00036 (Chicago - Closed → Atlanta) before next cert cycle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opened under EX-0016; register location for MD-00036 was never flipped off Chicago - Closed; TR-00036 already points inbound to Atlanta; live footprint is Atlanta.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Ledger'!$B$5:$B$200,'Source Ledger'!$H$5:$H$200),"")="Disposed",IFERROR(XLOOKUP(D21,'Source Ledger'!$B$5:$B$200,'Source Ledger'!$G$5:$G$200),0),IF(IFERROR(XLOOKUP(D21,'Source Ledger'!$B$5:$B$200,'Source Ledger'!$E$5:$E$200),"")="",IFERROR(XLOOKUP(D21,'Corrected Register'!$A$5:$A$200,'Corrected Register'!$M$5:$M$200),0),ABS(IFERROR(XLOOKUP(D21,'Source Ledger'!$B$5:$B$200,'Source Ledger'!$E$5:$E$200),0)-IFERROR(XLOOKUP(D21,'Corrected Register'!$A$5:$A$200,'Corrected Register'!$M$5:$M$200),0)))),IFERROR(XLOOKUP(D21,'Corrected Register'!$A$5:$A$200,'Corrected Register'!$N$5:$N$200),0))</f>
        <v/>
      </c>
      <c r="H21" s="7" t="inlineStr">
        <is>
          <t>EX-0017: location hygiene on MD-00037 — replace Denver - Closed with Chicago.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MD-00037 still shows closed floor Denver - Closed on the extract; TR-00037 already points inbound to Chicago; live footprint is Chicago; logged as EX-0017.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Ledger'!$B$5:$B$200,'Source Ledger'!$H$5:$H$200),"")="Disposed",IFERROR(XLOOKUP(D22,'Source Ledger'!$B$5:$B$200,'Source Ledger'!$G$5:$G$200),0),IF(IFERROR(XLOOKUP(D22,'Source Ledger'!$B$5:$B$200,'Source Ledger'!$E$5:$E$200),"")="",IFERROR(XLOOKUP(D22,'Corrected Register'!$A$5:$A$200,'Corrected Register'!$M$5:$M$200),0),ABS(IFERROR(XLOOKUP(D22,'Source Ledger'!$B$5:$B$200,'Source Ledger'!$E$5:$E$200),0)-IFERROR(XLOOKUP(D22,'Corrected Register'!$A$5:$A$200,'Corrected Register'!$M$5:$M$200),0)))),IFERROR(XLOOKUP(D22,'Corrected Register'!$A$5:$A$200,'Corrected Register'!$N$5:$N$200),0))</f>
        <v/>
      </c>
      <c r="H22" s="7" t="inlineStr">
        <is>
          <t>Pending register edit EX-0018: MD-00038 should show Dallas, not Chicago - Closed.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ticketed EX-0018 — site field on MD-00038 (MD-MO-050038) still reads Chicago - Closed; TR-00038 already points inbound to Dallas; live footprint is Dallas.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Ledger'!$B$5:$B$200,'Source Ledger'!$H$5:$H$200),"")="Disposed",IFERROR(XLOOKUP(D23,'Source Ledger'!$B$5:$B$200,'Source Ledger'!$G$5:$G$200),0),IF(IFERROR(XLOOKUP(D23,'Source Ledger'!$B$5:$B$200,'Source Ledger'!$E$5:$E$200),"")="",IFERROR(XLOOKUP(D23,'Corrected Register'!$A$5:$A$200,'Corrected Register'!$M$5:$M$200),0),ABS(IFERROR(XLOOKUP(D23,'Source Ledger'!$B$5:$B$200,'Source Ledger'!$E$5:$E$200),0)-IFERROR(XLOOKUP(D23,'Corrected Register'!$A$5:$A$200,'Corrected Register'!$M$5:$M$200),0)))),IFERROR(XLOOKUP(D23,'Corrected Register'!$A$5:$A$200,'Corrected Register'!$N$5:$N$200),0))</f>
        <v/>
      </c>
      <c r="H23" s="7" t="inlineStr">
        <is>
          <t>Register fix for MD-00039 — drop Denver - Closed, keep Denver; reference TR-00039. EX-0019.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Denver - Closed remains on MD-00039 after the consolidation cutover. TR-00039 already points inbound to Denver. Live footprint is Denver. See EX-0019.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Ledger'!$B$5:$B$200,'Source Ledger'!$H$5:$H$200),"")="Disposed",IFERROR(XLOOKUP(D24,'Source Ledger'!$B$5:$B$200,'Source Ledger'!$G$5:$G$200),0),IF(IFERROR(XLOOKUP(D24,'Source Ledger'!$B$5:$B$200,'Source Ledger'!$E$5:$E$200),"")="",IFERROR(XLOOKUP(D24,'Corrected Register'!$A$5:$A$200,'Corrected Register'!$M$5:$M$200),0),ABS(IFERROR(XLOOKUP(D24,'Source Ledger'!$B$5:$B$200,'Source Ledger'!$E$5:$E$200),0)-IFERROR(XLOOKUP(D24,'Corrected Register'!$A$5:$A$200,'Corrected Register'!$M$5:$M$200),0)))),IFERROR(XLOOKUP(D24,'Corrected Register'!$A$5:$A$200,'Corrected Register'!$N$5:$N$200),0))</f>
        <v/>
      </c>
      <c r="H24" s="7" t="inlineStr">
        <is>
          <t>Pending register edit EX-0020: MD-00040 should show New York, not Chicago - Closed.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Chicago - Closed remains on MD-00040 after the consolidation cutover; TR-00040 already points inbound to New York; live footprint is New York; see EX-0020.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Ledger'!$B$5:$B$200,'Source Ledger'!$H$5:$H$200),"")="Disposed",IFERROR(XLOOKUP(D25,'Source Ledger'!$B$5:$B$200,'Source Ledger'!$G$5:$G$200),0),IF(IFERROR(XLOOKUP(D25,'Source Ledger'!$B$5:$B$200,'Source Ledger'!$E$5:$E$200),"")="",IFERROR(XLOOKUP(D25,'Corrected Register'!$A$5:$A$200,'Corrected Register'!$M$5:$M$200),0),ABS(IFERROR(XLOOKUP(D25,'Source Ledger'!$B$5:$B$200,'Source Ledger'!$E$5:$E$200),0)-IFERROR(XLOOKUP(D25,'Corrected Register'!$A$5:$A$200,'Corrected Register'!$M$5:$M$200),0)))),IFERROR(XLOOKUP(D25,'Corrected Register'!$A$5:$A$200,'Corrected Register'!$N$5:$N$200),0))</f>
        <v/>
      </c>
      <c r="H25" s="7" t="inlineStr">
        <is>
          <t>Register fix for MD-00041 — drop Denver - Closed, keep Seattle; reference TR-00041. EX-0021.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opened under EX-0021 — register location for MD-00041 was never flipped off Denver - Closed; TR-00041 already points inbound to Seattle; live footprint is Seattle.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Ledger'!$B$5:$B$200,'Source Ledger'!$H$5:$H$200),"")="Disposed",IFERROR(XLOOKUP(D26,'Source Ledger'!$B$5:$B$200,'Source Ledger'!$G$5:$G$200),0),IF(IFERROR(XLOOKUP(D26,'Source Ledger'!$B$5:$B$200,'Source Ledger'!$E$5:$E$200),"")="",IFERROR(XLOOKUP(D26,'Corrected Register'!$A$5:$A$200,'Corrected Register'!$M$5:$M$200),0),ABS(IFERROR(XLOOKUP(D26,'Source Ledger'!$B$5:$B$200,'Source Ledger'!$E$5:$E$200),0)-IFERROR(XLOOKUP(D26,'Corrected Register'!$A$5:$A$200,'Corrected Register'!$M$5:$M$200),0)))),IFERROR(XLOOKUP(D26,'Corrected Register'!$A$5:$A$200,'Corrected Register'!$N$5:$N$200),0))</f>
        <v/>
      </c>
      <c r="H26" s="7" t="inlineStr">
        <is>
          <t>EX-0022: location hygiene on MD-00042 — replace Chicago - Closed with Atlanta.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MD-00042 still shows closed floor Chicago - Closed on the extract. TR-00042 already points inbound to Atlanta. Live footprint is Atlanta. Logged as EX-0022.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Ledger'!$B$5:$B$200,'Source Ledger'!$H$5:$H$200),"")="Disposed",IFERROR(XLOOKUP(D27,'Source Ledger'!$B$5:$B$200,'Source Ledger'!$G$5:$G$200),0),IF(IFERROR(XLOOKUP(D27,'Source Ledger'!$B$5:$B$200,'Source Ledger'!$E$5:$E$200),"")="",IFERROR(XLOOKUP(D27,'Corrected Register'!$A$5:$A$200,'Corrected Register'!$M$5:$M$200),0),ABS(IFERROR(XLOOKUP(D27,'Source Ledger'!$B$5:$B$200,'Source Ledger'!$E$5:$E$200),0)-IFERROR(XLOOKUP(D27,'Corrected Register'!$A$5:$A$200,'Corrected Register'!$M$5:$M$200),0)))),IFERROR(XLOOKUP(D27,'Corrected Register'!$A$5:$A$200,'Corrected Register'!$N$5:$N$200),0))</f>
        <v/>
      </c>
      <c r="H27" s="7" t="inlineStr">
        <is>
          <t>IT stock desk: rewrite site on MD-00043 to Chicago; Denver - Closed is retired (EX-0023).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ticketed EX-0023; site field on MD-00043 (MD-MO-050043) still reads Denver - Closed; TR-00043 already points inbound to Chicago; live footprint is Chicago.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Ledger'!$B$5:$B$200,'Source Ledger'!$H$5:$H$200),"")="Disposed",IFERROR(XLOOKUP(D28,'Source Ledger'!$B$5:$B$200,'Source Ledger'!$G$5:$G$200),0),IF(IFERROR(XLOOKUP(D28,'Source Ledger'!$B$5:$B$200,'Source Ledger'!$E$5:$E$200),"")="",IFERROR(XLOOKUP(D28,'Corrected Register'!$A$5:$A$200,'Corrected Register'!$M$5:$M$200),0),ABS(IFERROR(XLOOKUP(D28,'Source Ledger'!$B$5:$B$200,'Source Ledger'!$E$5:$E$200),0)-IFERROR(XLOOKUP(D28,'Corrected Register'!$A$5:$A$200,'Corrected Register'!$M$5:$M$200),0)))),IFERROR(XLOOKUP(D28,'Corrected Register'!$A$5:$A$200,'Corrected Register'!$N$5:$N$200),0))</f>
        <v/>
      </c>
      <c r="H28" s="7" t="inlineStr">
        <is>
          <t>IT Asset Specialist: post Dallas on MD-00044 and retire Chicago - Closed (EX-0024).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Chicago - Closed remains on MD-00044 after the consolidation cutover; TR-00044 already points inbound to Dallas; live footprint is Dallas; see EX-0024.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Ledger'!$B$5:$B$200,'Source Ledger'!$H$5:$H$200),"")="Disposed",IFERROR(XLOOKUP(D29,'Source Ledger'!$B$5:$B$200,'Source Ledger'!$G$5:$G$200),0),IF(IFERROR(XLOOKUP(D29,'Source Ledger'!$B$5:$B$200,'Source Ledger'!$E$5:$E$200),"")="",IFERROR(XLOOKUP(D29,'Corrected Register'!$A$5:$A$200,'Corrected Register'!$M$5:$M$200),0),ABS(IFERROR(XLOOKUP(D29,'Source Ledger'!$B$5:$B$200,'Source Ledger'!$E$5:$E$200),0)-IFERROR(XLOOKUP(D29,'Corrected Register'!$A$5:$A$200,'Corrected Register'!$M$5:$M$200),0)))),IFERROR(XLOOKUP(D29,'Corrected Register'!$A$5:$A$200,'Corrected Register'!$N$5:$N$200),0))</f>
        <v/>
      </c>
      <c r="H29" s="7" t="inlineStr">
        <is>
          <t>Do not certify MD-00045 while location still says Denver - Closed; target Denver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opened under EX-0025; register location for MD-00045 was never flipped off Denver - Closed; TR-00045 already points inbound to Denver; live footprint is Denver.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Ledger'!$B$5:$B$200,'Source Ledger'!$H$5:$H$200),"")="Disposed",IFERROR(XLOOKUP(D30,'Source Ledger'!$B$5:$B$200,'Source Ledger'!$G$5:$G$200),0),IF(IFERROR(XLOOKUP(D30,'Source Ledger'!$B$5:$B$200,'Source Ledger'!$E$5:$E$200),"")="",IFERROR(XLOOKUP(D30,'Corrected Register'!$A$5:$A$200,'Corrected Register'!$M$5:$M$200),0),ABS(IFERROR(XLOOKUP(D30,'Source Ledger'!$B$5:$B$200,'Source Ledger'!$E$5:$E$200),0)-IFERROR(XLOOKUP(D30,'Corrected Register'!$A$5:$A$200,'Corrected Register'!$M$5:$M$200),0)))),IFERROR(XLOOKUP(D30,'Corrected Register'!$A$5:$A$200,'Corrected Register'!$N$5:$N$200),0))</f>
        <v/>
      </c>
      <c r="H30" s="7" t="inlineStr">
        <is>
          <t>Swap Chicago - Closed → New York on MD-00046's location field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ticketed EX-0026; site field on MD-00046 (MD-MO-050046) still reads Chicago - Closed; TR-00046 already points inbound to New York; live footprint is New York.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Ledger'!$B$5:$B$200,'Source Ledger'!$H$5:$H$200),"")="Disposed",IFERROR(XLOOKUP(D31,'Source Ledger'!$B$5:$B$200,'Source Ledger'!$G$5:$G$200),0),IF(IFERROR(XLOOKUP(D31,'Source Ledger'!$B$5:$B$200,'Source Ledger'!$E$5:$E$200),"")="",IFERROR(XLOOKUP(D31,'Corrected Register'!$A$5:$A$200,'Corrected Register'!$M$5:$M$200),0),ABS(IFERROR(XLOOKUP(D31,'Source Ledger'!$B$5:$B$200,'Source Ledger'!$E$5:$E$200),0)-IFERROR(XLOOKUP(D31,'Corrected Register'!$A$5:$A$200,'Corrected Register'!$M$5:$M$200),0)))),IFERROR(XLOOKUP(D31,'Corrected Register'!$A$5:$A$200,'Corrected Register'!$N$5:$N$200),0))</f>
        <v/>
      </c>
      <c r="H31" s="7" t="inlineStr">
        <is>
          <t>Update MD-00047 from Denver - Closed to Seattle using TR-00047 (EX-0027).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Denver - Closed remains on MD-00047 after the consolidation cutover; TR-00047 already points inbound to Seattle; live footprint is Seattle; see EX-0027.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Ledger'!$B$5:$B$200,'Source Ledger'!$H$5:$H$200),"")="Disposed",IFERROR(XLOOKUP(D32,'Source Ledger'!$B$5:$B$200,'Source Ledger'!$G$5:$G$200),0),IF(IFERROR(XLOOKUP(D32,'Source Ledger'!$B$5:$B$200,'Source Ledger'!$E$5:$E$200),"")="",IFERROR(XLOOKUP(D32,'Corrected Register'!$A$5:$A$200,'Corrected Register'!$M$5:$M$200),0),ABS(IFERROR(XLOOKUP(D32,'Source Ledger'!$B$5:$B$200,'Source Ledger'!$E$5:$E$200),0)-IFERROR(XLOOKUP(D32,'Corrected Register'!$A$5:$A$200,'Corrected Register'!$M$5:$M$200),0)))),IFERROR(XLOOKUP(D32,'Corrected Register'!$A$5:$A$200,'Corrected Register'!$N$5:$N$200),0))</f>
        <v/>
      </c>
      <c r="H32" s="7" t="inlineStr">
        <is>
          <t>Correct MD-00048 site code (Chicago - Closed) now that TR-00048 supports Atlanta (EX-0028).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opened under EX-0028; register location for MD-00048 was never flipped off Chicago - Closed; TR-00048 already points inbound to Atlanta; live footprint is Atlanta.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Ledger'!$B$5:$B$200,'Source Ledger'!$H$5:$H$200),"")="Disposed",IFERROR(XLOOKUP(D33,'Source Ledger'!$B$5:$B$200,'Source Ledger'!$G$5:$G$200),0),IF(IFERROR(XLOOKUP(D33,'Source Ledger'!$B$5:$B$200,'Source Ledger'!$E$5:$E$200),"")="",IFERROR(XLOOKUP(D33,'Corrected Register'!$A$5:$A$200,'Corrected Register'!$M$5:$M$200),0),ABS(IFERROR(XLOOKUP(D33,'Source Ledger'!$B$5:$B$200,'Source Ledger'!$E$5:$E$200),0)-IFERROR(XLOOKUP(D33,'Corrected Register'!$A$5:$A$200,'Corrected Register'!$M$5:$M$200),0)))),IFERROR(XLOOKUP(D33,'Corrected Register'!$A$5:$A$200,'Corrected Register'!$N$5:$N$200),0))</f>
        <v/>
      </c>
      <c r="H33" s="7" t="inlineStr">
        <is>
          <t>Close the location lag on MD-00049 (Denver - Closed → Chicago) before next cert cycle (EX-0029).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MD-00049 still shows closed floor Denver - Closed on the extract — TR-00049 already points inbound to Chicago; live footprint is Chicago; logged as EX-0029.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Ledger'!$B$5:$B$200,'Source Ledger'!$H$5:$H$200),"")="Disposed",IFERROR(XLOOKUP(D34,'Source Ledger'!$B$5:$B$200,'Source Ledger'!$G$5:$G$200),0),IF(IFERROR(XLOOKUP(D34,'Source Ledger'!$B$5:$B$200,'Source Ledger'!$E$5:$E$200),"")="",IFERROR(XLOOKUP(D34,'Corrected Register'!$A$5:$A$200,'Corrected Register'!$M$5:$M$200),0),ABS(IFERROR(XLOOKUP(D34,'Source Ledger'!$B$5:$B$200,'Source Ledger'!$E$5:$E$200),0)-IFERROR(XLOOKUP(D34,'Corrected Register'!$A$5:$A$200,'Corrected Register'!$M$5:$M$200),0)))),IFERROR(XLOOKUP(D34,'Corrected Register'!$A$5:$A$200,'Corrected Register'!$N$5:$N$200),0))</f>
        <v/>
      </c>
      <c r="H34" s="7" t="inlineStr">
        <is>
          <t>Correct MD-00050 site code (Chicago - Closed) now that TR-00050 supports Dallas (EX-0030).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Opened under EX-0030. Register location for MD-00050 was never flipped off Chicago - Closed. TR-00050 already points inbound to Dallas. Live footprint is Dallas.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Ledger'!$B$5:$B$200,'Source Ledger'!$H$5:$H$200),"")="Disposed",IFERROR(XLOOKUP(D35,'Source Ledger'!$B$5:$B$200,'Source Ledger'!$G$5:$G$200),0),IF(IFERROR(XLOOKUP(D35,'Source Ledger'!$B$5:$B$200,'Source Ledger'!$E$5:$E$200),"")="",IFERROR(XLOOKUP(D35,'Corrected Register'!$A$5:$A$200,'Corrected Register'!$M$5:$M$200),0),ABS(IFERROR(XLOOKUP(D35,'Source Ledger'!$B$5:$B$200,'Source Ledger'!$E$5:$E$200),0)-IFERROR(XLOOKUP(D35,'Corrected Register'!$A$5:$A$200,'Corrected Register'!$M$5:$M$200),0)))),IFERROR(XLOOKUP(D35,'Corrected Register'!$A$5:$A$200,'Corrected Register'!$N$5:$N$200),0))</f>
        <v/>
      </c>
      <c r="H35" s="7" t="inlineStr">
        <is>
          <t>Swap Denver - Closed → Denver on MD-00051's location field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ticketed EX-0031; site field on MD-00051 (MD-MO-050051) still reads Denver - Closed; TR-00051 already points inbound to Denver; live footprint is Denver.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Difference",IF(IFERROR(XLOOKUP(D36,'Source Ledger'!$B$5:$B$200,'Source Ledger'!$H$5:$H$200),"")="Disposed",IFERROR(XLOOKUP(D36,'Source Ledger'!$B$5:$B$200,'Source Ledger'!$G$5:$G$200),0),IF(IFERROR(XLOOKUP(D36,'Source Ledger'!$B$5:$B$200,'Source Ledger'!$E$5:$E$200),"")="",IFERROR(XLOOKUP(D36,'Corrected Register'!$A$5:$A$200,'Corrected Register'!$M$5:$M$200),0),ABS(IFERROR(XLOOKUP(D36,'Source Ledger'!$B$5:$B$200,'Source Ledger'!$E$5:$E$200),0)-IFERROR(XLOOKUP(D36,'Corrected Register'!$A$5:$A$200,'Corrected Register'!$M$5:$M$200),0)))),IFERROR(XLOOKUP(D36,'Corrected Register'!$A$5:$A$200,'Corrected Register'!$N$5:$N$200),0))</f>
        <v/>
      </c>
      <c r="H36" s="7" t="inlineStr">
        <is>
          <t>Align MD-00051 cost: register $1,040 vs ledger $1,250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PO-2023-0010 and FA-000051 disagree for MD-00051 ($1,040 vs $1,250) — EX-0032.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Ledger'!$B$5:$B$200,'Source Ledger'!$H$5:$H$200),"")="Disposed",IFERROR(XLOOKUP(D37,'Source Ledger'!$B$5:$B$200,'Source Ledger'!$G$5:$G$200),0),IF(IFERROR(XLOOKUP(D37,'Source Ledger'!$B$5:$B$200,'Source Ledger'!$E$5:$E$200),"")="",IFERROR(XLOOKUP(D37,'Corrected Register'!$A$5:$A$200,'Corrected Register'!$M$5:$M$200),0),ABS(IFERROR(XLOOKUP(D37,'Source Ledger'!$B$5:$B$200,'Source Ledger'!$E$5:$E$200),0)-IFERROR(XLOOKUP(D37,'Corrected Register'!$A$5:$A$200,'Corrected Register'!$M$5:$M$200),0)))),IFERROR(XLOOKUP(D37,'Corrected Register'!$A$5:$A$200,'Corrected Register'!$N$5:$N$200),0))</f>
        <v/>
      </c>
      <c r="H37" s="7" t="inlineStr">
        <is>
          <t>Register fix for MD-00052 — drop Chicago - Closed, keep New York; reference TR-00052. EX-0033.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MD-00052 still shows closed floor Chicago - Closed on the extract; TR-00052 already points inbound to New York; live footprint is New York; logged as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Ledger'!$B$5:$B$200,'Source Ledger'!$H$5:$H$200),"")="Disposed",IFERROR(XLOOKUP(D38,'Source Ledger'!$B$5:$B$200,'Source Ledger'!$G$5:$G$200),0),IF(IFERROR(XLOOKUP(D38,'Source Ledger'!$B$5:$B$200,'Source Ledger'!$E$5:$E$200),"")="",IFERROR(XLOOKUP(D38,'Corrected Register'!$A$5:$A$200,'Corrected Register'!$M$5:$M$200),0),ABS(IFERROR(XLOOKUP(D38,'Source Ledger'!$B$5:$B$200,'Source Ledger'!$E$5:$E$200),0)-IFERROR(XLOOKUP(D38,'Corrected Register'!$A$5:$A$200,'Corrected Register'!$M$5:$M$200),0)))),IFERROR(XLOOKUP(D38,'Corrected Register'!$A$5:$A$200,'Corrected Register'!$N$5:$N$200),0))</f>
        <v/>
      </c>
      <c r="H38" s="7" t="inlineStr">
        <is>
          <t>EX-0034: location hygiene on MD-00053 — replace Denver - Closed with Seattle.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ticketed EX-0034; site field on MD-00053 (MD-LA-050053) still reads Denver - Closed; TR-00053 already points inbound to Seattle; live footprint is Seattle.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Ledger'!$B$5:$B$200,'Source Ledger'!$H$5:$H$200),"")="Disposed",IFERROR(XLOOKUP(D39,'Source Ledger'!$B$5:$B$200,'Source Ledger'!$G$5:$G$200),0),IF(IFERROR(XLOOKUP(D39,'Source Ledger'!$B$5:$B$200,'Source Ledger'!$E$5:$E$200),"")="",IFERROR(XLOOKUP(D39,'Corrected Register'!$A$5:$A$200,'Corrected Register'!$M$5:$M$200),0),ABS(IFERROR(XLOOKUP(D39,'Source Ledger'!$B$5:$B$200,'Source Ledger'!$E$5:$E$200),0)-IFERROR(XLOOKUP(D39,'Corrected Register'!$A$5:$A$200,'Corrected Register'!$M$5:$M$200),0)))),IFERROR(XLOOKUP(D39,'Corrected Register'!$A$5:$A$200,'Corrected Register'!$N$5:$N$200),0))</f>
        <v/>
      </c>
      <c r="H39" s="7" t="inlineStr">
        <is>
          <t>IT stock desk: rewrite site on MD-00054 to Atlanta; Chicago - Closed is retired (EX-0035).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opened under EX-0035; register location for MD-00054 was never flipped off Chicago - Closed; TR-00054 already points inbound to Atlanta; live footprint is Atlanta.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Ledger'!$B$5:$B$200,'Source Ledger'!$H$5:$H$200),"")="Disposed",IFERROR(XLOOKUP(D40,'Source Ledger'!$B$5:$B$200,'Source Ledger'!$G$5:$G$200),0),IF(IFERROR(XLOOKUP(D40,'Source Ledger'!$B$5:$B$200,'Source Ledger'!$E$5:$E$200),"")="",IFERROR(XLOOKUP(D40,'Corrected Register'!$A$5:$A$200,'Corrected Register'!$M$5:$M$200),0),ABS(IFERROR(XLOOKUP(D40,'Source Ledger'!$B$5:$B$200,'Source Ledger'!$E$5:$E$200),0)-IFERROR(XLOOKUP(D40,'Corrected Register'!$A$5:$A$200,'Corrected Register'!$M$5:$M$200),0)))),IFERROR(XLOOKUP(D40,'Corrected Register'!$A$5:$A$200,'Corrected Register'!$N$5:$N$200),0))</f>
        <v/>
      </c>
      <c r="H40" s="7" t="inlineStr">
        <is>
          <t>IT Asset Specialist: post Chicago on MD-00055 and retire Denver - Closed (EX-0036).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MD-00055 still shows closed floor Denver - Closed on the extract; TR-00055 already points inbound to Chicago; live footprint is Chicago; logged as EX-0036.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Ledger'!$B$5:$B$200,'Source Ledger'!$H$5:$H$200),"")="Disposed",IFERROR(XLOOKUP(D41,'Source Ledger'!$B$5:$B$200,'Source Ledger'!$G$5:$G$200),0),IF(IFERROR(XLOOKUP(D41,'Source Ledger'!$B$5:$B$200,'Source Ledger'!$E$5:$E$200),"")="",IFERROR(XLOOKUP(D41,'Corrected Register'!$A$5:$A$200,'Corrected Register'!$M$5:$M$200),0),ABS(IFERROR(XLOOKUP(D41,'Source Ledger'!$B$5:$B$200,'Source Ledger'!$E$5:$E$200),0)-IFERROR(XLOOKUP(D41,'Corrected Register'!$A$5:$A$200,'Corrected Register'!$M$5:$M$200),0)))),IFERROR(XLOOKUP(D41,'Corrected Register'!$A$5:$A$200,'Corrected Register'!$N$5:$N$200),0))</f>
        <v/>
      </c>
      <c r="H41" s="7" t="inlineStr">
        <is>
          <t>Do not certify MD-00056 while location still says Chicago - Closed; target Dallas (EX-0037).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ticketed EX-0037; site field on MD-00056 (MD-NE-050056) still reads Chicago - Closed; TR-00056 already points inbound to Dallas; live footprint is Dallas.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Ledger'!$B$5:$B$200,'Source Ledger'!$H$5:$H$200),"")="Disposed",IFERROR(XLOOKUP(D42,'Source Ledger'!$B$5:$B$200,'Source Ledger'!$G$5:$G$200),0),IF(IFERROR(XLOOKUP(D42,'Source Ledger'!$B$5:$B$200,'Source Ledger'!$E$5:$E$200),"")="",IFERROR(XLOOKUP(D42,'Corrected Register'!$A$5:$A$200,'Corrected Register'!$M$5:$M$200),0),ABS(IFERROR(XLOOKUP(D42,'Source Ledger'!$B$5:$B$200,'Source Ledger'!$E$5:$E$200),0)-IFERROR(XLOOKUP(D42,'Corrected Register'!$A$5:$A$200,'Corrected Register'!$M$5:$M$200),0)))),IFERROR(XLOOKUP(D42,'Corrected Register'!$A$5:$A$200,'Corrected Register'!$N$5:$N$200),0))</f>
        <v/>
      </c>
      <c r="H42" s="7" t="inlineStr">
        <is>
          <t>Swap Denver - Closed → Denver on MD-00057's location field (EX-0038).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Denver - Closed remains on MD-00057 after the consolidation cutover — TR-00057 already points inbound to Denver; live footprint is Denver; see EX-0038.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Ledger'!$B$5:$B$200,'Source Ledger'!$H$5:$H$200),"")="Disposed",IFERROR(XLOOKUP(D43,'Source Ledger'!$B$5:$B$200,'Source Ledger'!$G$5:$G$200),0),IF(IFERROR(XLOOKUP(D43,'Source Ledger'!$B$5:$B$200,'Source Ledger'!$E$5:$E$200),"")="",IFERROR(XLOOKUP(D43,'Corrected Register'!$A$5:$A$200,'Corrected Register'!$M$5:$M$200),0),ABS(IFERROR(XLOOKUP(D43,'Source Ledger'!$B$5:$B$200,'Source Ledger'!$E$5:$E$200),0)-IFERROR(XLOOKUP(D43,'Corrected Register'!$A$5:$A$200,'Corrected Register'!$M$5:$M$200),0)))),IFERROR(XLOOKUP(D43,'Corrected Register'!$A$5:$A$200,'Corrected Register'!$N$5:$N$200),0))</f>
        <v/>
      </c>
      <c r="H43" s="7" t="inlineStr">
        <is>
          <t>HR Operations Lead: clear former-employee assignment on MD-00058 (Sean McCabe)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Offboarding left MD-00058 hanging on Sean McCabe (E0071); status Separated in hr_employee_status, ticket OFF-00058. EX-0039.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Ledger'!$B$5:$B$200,'Source Ledger'!$H$5:$H$200),"")="Disposed",IFERROR(XLOOKUP(D44,'Source Ledger'!$B$5:$B$200,'Source Ledger'!$G$5:$G$200),0),IF(IFERROR(XLOOKUP(D44,'Source Ledger'!$B$5:$B$200,'Source Ledger'!$E$5:$E$200),"")="",IFERROR(XLOOKUP(D44,'Corrected Register'!$A$5:$A$200,'Corrected Register'!$M$5:$M$200),0),ABS(IFERROR(XLOOKUP(D44,'Source Ledger'!$B$5:$B$200,'Source Ledger'!$E$5:$E$200),0)-IFERROR(XLOOKUP(D44,'Corrected Register'!$A$5:$A$200,'Corrected Register'!$M$5:$M$200),0)))),IFERROR(XLOOKUP(D44,'Corrected Register'!$A$5:$A$200,'Corrected Register'!$N$5:$N$200),0))</f>
        <v/>
      </c>
      <c r="H44" s="7" t="inlineStr">
        <is>
          <t>Close the location lag on MD-00058 (Chicago - Closed → New York) before next cert cycle (EX-0040).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Ticketed EX-0040. Site field on MD-00058 (MD-MO-050058) still reads Chicago - Closed. TR-00058 already points inbound to New York. Live footprint is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Ledger'!$B$5:$B$200,'Source Ledger'!$H$5:$H$200),"")="Disposed",IFERROR(XLOOKUP(D45,'Source Ledger'!$B$5:$B$200,'Source Ledger'!$G$5:$G$200),0),IF(IFERROR(XLOOKUP(D45,'Source Ledger'!$B$5:$B$200,'Source Ledger'!$E$5:$E$200),"")="",IFERROR(XLOOKUP(D45,'Corrected Register'!$A$5:$A$200,'Corrected Register'!$M$5:$M$200),0),ABS(IFERROR(XLOOKUP(D45,'Source Ledger'!$B$5:$B$200,'Source Ledger'!$E$5:$E$200),0)-IFERROR(XLOOKUP(D45,'Corrected Register'!$A$5:$A$200,'Corrected Register'!$M$5:$M$200),0)))),IFERROR(XLOOKUP(D45,'Corrected Register'!$A$5:$A$200,'Corrected Register'!$N$5:$N$200),0))</f>
        <v/>
      </c>
      <c r="H45" s="7" t="inlineStr">
        <is>
          <t>Obtain APR on TR-00058 or reverse the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TR-00058 for MD-00058 has a blank approval_id in equipment_transfer_log (ITAM-001 §4) — EX-0041.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Ledger'!$B$5:$B$200,'Source Ledger'!$H$5:$H$200),"")="Disposed",IFERROR(XLOOKUP(D46,'Source Ledger'!$B$5:$B$200,'Source Ledger'!$G$5:$G$200),0),IF(IFERROR(XLOOKUP(D46,'Source Ledger'!$B$5:$B$200,'Source Ledger'!$E$5:$E$200),"")="",IFERROR(XLOOKUP(D46,'Corrected Register'!$A$5:$A$200,'Corrected Register'!$M$5:$M$200),0),ABS(IFERROR(XLOOKUP(D46,'Source Ledger'!$B$5:$B$200,'Source Ledger'!$E$5:$E$200),0)-IFERROR(XLOOKUP(D46,'Corrected Register'!$A$5:$A$200,'Corrected Register'!$M$5:$M$200),0)))),IFERROR(XLOOKUP(D46,'Corrected Register'!$A$5:$A$200,'Corrected Register'!$N$5:$N$200),0))</f>
        <v/>
      </c>
      <c r="H46" s="7" t="inlineStr">
        <is>
          <t>Reassign MD-00059 off separated Anita Bose to a stock/Regional IT bucket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Separated custodian Anita Bose (E0072) remains on MD-00059 after OFF-00059 closed. Clear under EX-0042.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Ledger'!$B$5:$B$200,'Source Ledger'!$H$5:$H$200),"")="Disposed",IFERROR(XLOOKUP(D47,'Source Ledger'!$B$5:$B$200,'Source Ledger'!$G$5:$G$200),0),IF(IFERROR(XLOOKUP(D47,'Source Ledger'!$B$5:$B$200,'Source Ledger'!$E$5:$E$200),"")="",IFERROR(XLOOKUP(D47,'Corrected Register'!$A$5:$A$200,'Corrected Register'!$M$5:$M$200),0),ABS(IFERROR(XLOOKUP(D47,'Source Ledger'!$B$5:$B$200,'Source Ledger'!$E$5:$E$200),0)-IFERROR(XLOOKUP(D47,'Corrected Register'!$A$5:$A$200,'Corrected Register'!$M$5:$M$200),0)))),IFERROR(XLOOKUP(D47,'Corrected Register'!$A$5:$A$200,'Corrected Register'!$N$5:$N$200),0))</f>
        <v/>
      </c>
      <c r="H47" s="7" t="inlineStr">
        <is>
          <t>IT stock desk: rewrite site on MD-00059 to Seattle; Denver - Closed is retired (EX-0043).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opened under EX-0043 — register location for MD-00059 was never flipped off Denver - Closed; TR-00059 already points inbound to Seattle; live footprint is Seattle.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Ledger'!$B$5:$B$200,'Source Ledger'!$H$5:$H$200),"")="Disposed",IFERROR(XLOOKUP(D48,'Source Ledger'!$B$5:$B$200,'Source Ledger'!$G$5:$G$200),0),IF(IFERROR(XLOOKUP(D48,'Source Ledger'!$B$5:$B$200,'Source Ledger'!$E$5:$E$200),"")="",IFERROR(XLOOKUP(D48,'Corrected Register'!$A$5:$A$200,'Corrected Register'!$M$5:$M$200),0),ABS(IFERROR(XLOOKUP(D48,'Source Ledger'!$B$5:$B$200,'Source Ledger'!$E$5:$E$200),0)-IFERROR(XLOOKUP(D48,'Corrected Register'!$A$5:$A$200,'Corrected Register'!$M$5:$M$200),0)))),IFERROR(XLOOKUP(D48,'Corrected Register'!$A$5:$A$200,'Corrected Register'!$N$5:$N$200),0))</f>
        <v/>
      </c>
      <c r="H48" s="7" t="inlineStr">
        <is>
          <t>Obtain APR on TR-00059 or reverse the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TR-00059 for MD-00059 has a blank approval_id in equipment_transfer_log (ITAM-001 §4) — EX-0044.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Ledger'!$B$5:$B$200,'Source Ledger'!$H$5:$H$200),"")="Disposed",IFERROR(XLOOKUP(D49,'Source Ledger'!$B$5:$B$200,'Source Ledger'!$G$5:$G$200),0),IF(IFERROR(XLOOKUP(D49,'Source Ledger'!$B$5:$B$200,'Source Ledger'!$E$5:$E$200),"")="",IFERROR(XLOOKUP(D49,'Corrected Register'!$A$5:$A$200,'Corrected Register'!$M$5:$M$200),0),ABS(IFERROR(XLOOKUP(D49,'Source Ledger'!$B$5:$B$200,'Source Ledger'!$E$5:$E$200),0)-IFERROR(XLOOKUP(D49,'Corrected Register'!$A$5:$A$200,'Corrected Register'!$M$5:$M$200),0)))),IFERROR(XLOOKUP(D49,'Corrected Register'!$A$5:$A$200,'Corrected Register'!$N$5:$N$200),0))</f>
        <v/>
      </c>
      <c r="H49" s="7" t="inlineStr">
        <is>
          <t>Reassign MD-00060 off separated Drew Carmichael to a stock/Regional IT bucket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MD-00060 is still assigned to Drew Carmichael (E0073), whose hr_employee_status row is Separated; OFF-00060 closed with no custodian rewrite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Ledger'!$B$5:$B$200,'Source Ledger'!$H$5:$H$200),"")="Disposed",IFERROR(XLOOKUP(D50,'Source Ledger'!$B$5:$B$200,'Source Ledger'!$G$5:$G$200),0),IF(IFERROR(XLOOKUP(D50,'Source Ledger'!$B$5:$B$200,'Source Ledger'!$E$5:$E$200),"")="",IFERROR(XLOOKUP(D50,'Corrected Register'!$A$5:$A$200,'Corrected Register'!$M$5:$M$200),0),ABS(IFERROR(XLOOKUP(D50,'Source Ledger'!$B$5:$B$200,'Source Ledger'!$E$5:$E$200),0)-IFERROR(XLOOKUP(D50,'Corrected Register'!$A$5:$A$200,'Corrected Register'!$M$5:$M$200),0)))),IFERROR(XLOOKUP(D50,'Corrected Register'!$A$5:$A$200,'Corrected Register'!$N$5:$N$200),0))</f>
        <v/>
      </c>
      <c r="H50" s="7" t="inlineStr">
        <is>
          <t>Close the location lag on MD-00060 (Chicago - Closed → Atlanta) before next cert cycle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MD-00060 still shows closed floor Chicago - Closed on the extract; TR-00060 already points inbound to Atlanta; live footprint is Atlanta; logged as EX-0046.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Ledger'!$B$5:$B$200,'Source Ledger'!$H$5:$H$200),"")="Disposed",IFERROR(XLOOKUP(D51,'Source Ledger'!$B$5:$B$200,'Source Ledger'!$G$5:$G$200),0),IF(IFERROR(XLOOKUP(D51,'Source Ledger'!$B$5:$B$200,'Source Ledger'!$E$5:$E$200),"")="",IFERROR(XLOOKUP(D51,'Corrected Register'!$A$5:$A$200,'Corrected Register'!$M$5:$M$200),0),ABS(IFERROR(XLOOKUP(D51,'Source Ledger'!$B$5:$B$200,'Source Ledger'!$E$5:$E$200),0)-IFERROR(XLOOKUP(D51,'Corrected Register'!$A$5:$A$200,'Corrected Register'!$M$5:$M$200),0)))),IFERROR(XLOOKUP(D51,'Corrected Register'!$A$5:$A$200,'Corrected Register'!$N$5:$N$200),0))</f>
        <v/>
      </c>
      <c r="H51" s="7" t="inlineStr">
        <is>
          <t>HR Operations Lead: clear former-employee assignment on MD-00061 (Lila Novak)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MD-00061 is still assigned to Lila Novak (E0074), whose hr_employee_status row is Separated; OFF-00061 closed with no custodian rewrite (EX-0047).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Ledger'!$B$5:$B$200,'Source Ledger'!$H$5:$H$200),"")="Disposed",IFERROR(XLOOKUP(D52,'Source Ledger'!$B$5:$B$200,'Source Ledger'!$G$5:$G$200),0),IF(IFERROR(XLOOKUP(D52,'Source Ledger'!$B$5:$B$200,'Source Ledger'!$E$5:$E$200),"")="",IFERROR(XLOOKUP(D52,'Corrected Register'!$A$5:$A$200,'Corrected Register'!$M$5:$M$200),0),ABS(IFERROR(XLOOKUP(D52,'Source Ledger'!$B$5:$B$200,'Source Ledger'!$E$5:$E$200),0)-IFERROR(XLOOKUP(D52,'Corrected Register'!$A$5:$A$200,'Corrected Register'!$M$5:$M$200),0)))),IFERROR(XLOOKUP(D52,'Corrected Register'!$A$5:$A$200,'Corrected Register'!$N$5:$N$200),0))</f>
        <v/>
      </c>
      <c r="H52" s="7" t="inlineStr">
        <is>
          <t>Register fix for MD-00061 — drop Denver - Closed, keep Chicago; reference TR-00061. EX-0048.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MD-00061 still shows closed floor Denver - Closed on the extract — TR-00061 already points inbound to Chicago; live footprint is Chicago; logged as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Ledger'!$B$5:$B$200,'Source Ledger'!$H$5:$H$200),"")="Disposed",IFERROR(XLOOKUP(D53,'Source Ledger'!$B$5:$B$200,'Source Ledger'!$G$5:$G$200),0),IF(IFERROR(XLOOKUP(D53,'Source Ledger'!$B$5:$B$200,'Source Ledger'!$E$5:$E$200),"")="",IFERROR(XLOOKUP(D53,'Corrected Register'!$A$5:$A$200,'Corrected Register'!$M$5:$M$200),0),ABS(IFERROR(XLOOKUP(D53,'Source Ledger'!$B$5:$B$200,'Source Ledger'!$E$5:$E$200),0)-IFERROR(XLOOKUP(D53,'Corrected Register'!$A$5:$A$200,'Corrected Register'!$M$5:$M$200),0)))),IFERROR(XLOOKUP(D53,'Corrected Register'!$A$5:$A$200,'Corrected Register'!$N$5:$N$200),0))</f>
        <v/>
      </c>
      <c r="H53" s="7" t="inlineStr">
        <is>
          <t>Remove Curtis Bennett from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Separated custodian Curtis Bennett (E0075) remains on MD-00062 after OFF-00062 closed. Clear under EX-0049.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Ledger'!$B$5:$B$200,'Source Ledger'!$H$5:$H$200),"")="Disposed",IFERROR(XLOOKUP(D54,'Source Ledger'!$B$5:$B$200,'Source Ledger'!$G$5:$G$200),0),IF(IFERROR(XLOOKUP(D54,'Source Ledger'!$B$5:$B$200,'Source Ledger'!$E$5:$E$200),"")="",IFERROR(XLOOKUP(D54,'Corrected Register'!$A$5:$A$200,'Corrected Register'!$M$5:$M$200),0),ABS(IFERROR(XLOOKUP(D54,'Source Ledger'!$B$5:$B$200,'Source Ledger'!$E$5:$E$200),0)-IFERROR(XLOOKUP(D54,'Corrected Register'!$A$5:$A$200,'Corrected Register'!$M$5:$M$200),0)))),IFERROR(XLOOKUP(D54,'Corrected Register'!$A$5:$A$200,'Corrected Register'!$N$5:$N$200),0))</f>
        <v/>
      </c>
      <c r="H54" s="7" t="inlineStr">
        <is>
          <t>IT Asset Specialist: post Dallas on MD-00062 and retire Chicago - Closed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Opened under EX-0050. Register location for MD-00062 was never flipped off Chicago - Closed. TR-00062 already points inbound to Dallas. Live footprint is Dallas.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Ledger'!$B$5:$B$200,'Source Ledger'!$H$5:$H$200),"")="Disposed",IFERROR(XLOOKUP(D55,'Source Ledger'!$B$5:$B$200,'Source Ledger'!$G$5:$G$200),0),IF(IFERROR(XLOOKUP(D55,'Source Ledger'!$B$5:$B$200,'Source Ledger'!$E$5:$E$200),"")="",IFERROR(XLOOKUP(D55,'Corrected Register'!$A$5:$A$200,'Corrected Register'!$M$5:$M$200),0),ABS(IFERROR(XLOOKUP(D55,'Source Ledger'!$B$5:$B$200,'Source Ledger'!$E$5:$E$200),0)-IFERROR(XLOOKUP(D55,'Corrected Register'!$A$5:$A$200,'Corrected Register'!$M$5:$M$200),0)))),IFERROR(XLOOKUP(D55,'Corrected Register'!$A$5:$A$200,'Corrected Register'!$N$5:$N$200),0))</f>
        <v/>
      </c>
      <c r="H55" s="7" t="inlineStr">
        <is>
          <t>Reassign MD-00063 off separated Pilar Santos to a stock/Regional IT bucket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HR shows Pilar Santos (E0076) terminated, yet the register still lists them on MD-00063 (OFF-00063) — EX-0051.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Ledger'!$B$5:$B$200,'Source Ledger'!$H$5:$H$200),"")="Disposed",IFERROR(XLOOKUP(D56,'Source Ledger'!$B$5:$B$200,'Source Ledger'!$G$5:$G$200),0),IF(IFERROR(XLOOKUP(D56,'Source Ledger'!$B$5:$B$200,'Source Ledger'!$E$5:$E$200),"")="",IFERROR(XLOOKUP(D56,'Corrected Register'!$A$5:$A$200,'Corrected Register'!$M$5:$M$200),0),ABS(IFERROR(XLOOKUP(D56,'Source Ledger'!$B$5:$B$200,'Source Ledger'!$E$5:$E$200),0)-IFERROR(XLOOKUP(D56,'Corrected Register'!$A$5:$A$200,'Corrected Register'!$M$5:$M$200),0)))),IFERROR(XLOOKUP(D56,'Corrected Register'!$A$5:$A$200,'Corrected Register'!$N$5:$N$200),0))</f>
        <v/>
      </c>
      <c r="H56" s="7" t="inlineStr">
        <is>
          <t>Update MD-00063 from Denver - Closed to Denver using TR-00063 (EX-0052).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Denver - Closed remains on MD-00063 after the consolidation cutover — TR-00063 already points inbound to Denver; live footprint is Denver; see EX-0052.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Ledger'!$B$5:$B$200,'Source Ledger'!$H$5:$H$200),"")="Disposed",IFERROR(XLOOKUP(D57,'Source Ledger'!$B$5:$B$200,'Source Ledger'!$G$5:$G$200),0),IF(IFERROR(XLOOKUP(D57,'Source Ledger'!$B$5:$B$200,'Source Ledger'!$E$5:$E$200),"")="",IFERROR(XLOOKUP(D57,'Corrected Register'!$A$5:$A$200,'Corrected Register'!$M$5:$M$200),0),ABS(IFERROR(XLOOKUP(D57,'Source Ledger'!$B$5:$B$200,'Source Ledger'!$E$5:$E$200),0)-IFERROR(XLOOKUP(D57,'Corrected Register'!$A$5:$A$200,'Corrected Register'!$M$5:$M$200),0)))),IFERROR(XLOOKUP(D57,'Corrected Register'!$A$5:$A$200,'Corrected Register'!$N$5:$N$200),0))</f>
        <v/>
      </c>
      <c r="H57" s="7" t="inlineStr">
        <is>
          <t>HR Operations Lead: clear former-employee assignment on MD-00064 (Jonah Freedman)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HR shows Jonah Freedman (E0077) terminated, yet the register still lists them on MD-00064 (OFF-00064) — EX-0053.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Ledger'!$B$5:$B$200,'Source Ledger'!$H$5:$H$200),"")="Disposed",IFERROR(XLOOKUP(D58,'Source Ledger'!$B$5:$B$200,'Source Ledger'!$G$5:$G$200),0),IF(IFERROR(XLOOKUP(D58,'Source Ledger'!$B$5:$B$200,'Source Ledger'!$E$5:$E$200),"")="",IFERROR(XLOOKUP(D58,'Corrected Register'!$A$5:$A$200,'Corrected Register'!$M$5:$M$200),0),ABS(IFERROR(XLOOKUP(D58,'Source Ledger'!$B$5:$B$200,'Source Ledger'!$E$5:$E$200),0)-IFERROR(XLOOKUP(D58,'Corrected Register'!$A$5:$A$200,'Corrected Register'!$M$5:$M$200),0)))),IFERROR(XLOOKUP(D58,'Corrected Register'!$A$5:$A$200,'Corrected Register'!$N$5:$N$200),0))</f>
        <v/>
      </c>
      <c r="H58" s="7" t="inlineStr">
        <is>
          <t>Do not certify MD-00064 while location still says Chicago - Closed; target New York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Chicago - Closed remains on MD-00064 after the consolidation cutover. TR-00064 already points inbound to New York. Live footprint is New York. See EX-0054.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Ledger'!$B$5:$B$200,'Source Ledger'!$H$5:$H$200),"")="Disposed",IFERROR(XLOOKUP(D59,'Source Ledger'!$B$5:$B$200,'Source Ledger'!$G$5:$G$200),0),IF(IFERROR(XLOOKUP(D59,'Source Ledger'!$B$5:$B$200,'Source Ledger'!$E$5:$E$200),"")="",IFERROR(XLOOKUP(D59,'Corrected Register'!$A$5:$A$200,'Corrected Register'!$M$5:$M$200),0),ABS(IFERROR(XLOOKUP(D59,'Source Ledger'!$B$5:$B$200,'Source Ledger'!$E$5:$E$200),0)-IFERROR(XLOOKUP(D59,'Corrected Register'!$A$5:$A$200,'Corrected Register'!$M$5:$M$200),0)))),IFERROR(XLOOKUP(D59,'Corrected Register'!$A$5:$A$200,'Corrected Register'!$N$5:$N$200),0))</f>
        <v/>
      </c>
      <c r="H59" s="7" t="inlineStr">
        <is>
          <t>Obtain APR on TR-00064 or reverse the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for MD-00064 has a blank approval_id in equipment_transfer_log (ITAM-001 §4) — EX-0055.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Ledger'!$B$5:$B$200,'Source Ledger'!$H$5:$H$200),"")="Disposed",IFERROR(XLOOKUP(D60,'Source Ledger'!$B$5:$B$200,'Source Ledger'!$G$5:$G$200),0),IF(IFERROR(XLOOKUP(D60,'Source Ledger'!$B$5:$B$200,'Source Ledger'!$E$5:$E$200),"")="",IFERROR(XLOOKUP(D60,'Corrected Register'!$A$5:$A$200,'Corrected Register'!$M$5:$M$200),0),ABS(IFERROR(XLOOKUP(D60,'Source Ledger'!$B$5:$B$200,'Source Ledger'!$E$5:$E$200),0)-IFERROR(XLOOKUP(D60,'Corrected Register'!$A$5:$A$200,'Corrected Register'!$M$5:$M$200),0)))),IFERROR(XLOOKUP(D60,'Corrected Register'!$A$5:$A$200,'Corrected Register'!$N$5:$N$200),0))</f>
        <v/>
      </c>
      <c r="H60" s="7" t="inlineStr">
        <is>
          <t>Remove Regina Lowe from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is still assigned to Regina Lowe (E0078), whose hr_employee_status row is Separated; OFF-00065 closed with no custodian rewrite (EX-0056).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Ledger'!$B$5:$B$200,'Source Ledger'!$H$5:$H$200),"")="Disposed",IFERROR(XLOOKUP(D61,'Source Ledger'!$B$5:$B$200,'Source Ledger'!$G$5:$G$200),0),IF(IFERROR(XLOOKUP(D61,'Source Ledger'!$B$5:$B$200,'Source Ledger'!$E$5:$E$200),"")="",IFERROR(XLOOKUP(D61,'Corrected Register'!$A$5:$A$200,'Corrected Register'!$M$5:$M$200),0),ABS(IFERROR(XLOOKUP(D61,'Source Ledger'!$B$5:$B$200,'Source Ledger'!$E$5:$E$200),0)-IFERROR(XLOOKUP(D61,'Corrected Register'!$A$5:$A$200,'Corrected Register'!$M$5:$M$200),0)))),IFERROR(XLOOKUP(D61,'Corrected Register'!$A$5:$A$200,'Corrected Register'!$N$5:$N$200),0))</f>
        <v/>
      </c>
      <c r="H61" s="7" t="inlineStr">
        <is>
          <t>Update MD-00065 from Denver - Closed to Seattle using TR-00065 (EX-0057).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MD-00065 still shows closed floor Denver - Closed on the extract — TR-00065 already points inbound to Seattle; live footprint is Seattle; logged as EX-0057.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Ledger'!$B$5:$B$200,'Source Ledger'!$H$5:$H$200),"")="Disposed",IFERROR(XLOOKUP(D62,'Source Ledger'!$B$5:$B$200,'Source Ledger'!$G$5:$G$200),0),IF(IFERROR(XLOOKUP(D62,'Source Ledger'!$B$5:$B$200,'Source Ledger'!$E$5:$E$200),"")="",IFERROR(XLOOKUP(D62,'Corrected Register'!$A$5:$A$200,'Corrected Register'!$M$5:$M$200),0),ABS(IFERROR(XLOOKUP(D62,'Source Ledger'!$B$5:$B$200,'Source Ledger'!$E$5:$E$200),0)-IFERROR(XLOOKUP(D62,'Corrected Register'!$A$5:$A$200,'Corrected Register'!$M$5:$M$200),0)))),IFERROR(XLOOKUP(D62,'Corrected Register'!$A$5:$A$200,'Corrected Register'!$N$5:$N$200),0))</f>
        <v/>
      </c>
      <c r="H62" s="7" t="inlineStr">
        <is>
          <t>Obtain APR on TR-00065 or reverse the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TR-00065 for MD-00065 has a blank approval_id in equipment_transfer_log (ITAM-001 §4) — EX-0058.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Ledger'!$B$5:$B$200,'Source Ledger'!$H$5:$H$200),"")="Disposed",IFERROR(XLOOKUP(D63,'Source Ledger'!$B$5:$B$200,'Source Ledger'!$G$5:$G$200),0),IF(IFERROR(XLOOKUP(D63,'Source Ledger'!$B$5:$B$200,'Source Ledger'!$E$5:$E$200),"")="",IFERROR(XLOOKUP(D63,'Corrected Register'!$A$5:$A$200,'Corrected Register'!$M$5:$M$200),0),ABS(IFERROR(XLOOKUP(D63,'Source Ledger'!$B$5:$B$200,'Source Ledger'!$E$5:$E$200),0)-IFERROR(XLOOKUP(D63,'Corrected Register'!$A$5:$A$200,'Corrected Register'!$M$5:$M$200),0)))),IFERROR(XLOOKUP(D63,'Corrected Register'!$A$5:$A$200,'Corrected Register'!$N$5:$N$200),0))</f>
        <v/>
      </c>
      <c r="H63" s="7" t="inlineStr">
        <is>
          <t>Reassign MD-00066 off separated Wes Carvalho to a stock/Regional IT bucket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 shows Wes Carvalho (E0079) terminated, yet the register still lists them on MD-00066 (OFF-00066) — EX-0059.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Ledger'!$B$5:$B$200,'Source Ledger'!$H$5:$H$200),"")="Disposed",IFERROR(XLOOKUP(D64,'Source Ledger'!$B$5:$B$200,'Source Ledger'!$G$5:$G$200),0),IF(IFERROR(XLOOKUP(D64,'Source Ledger'!$B$5:$B$200,'Source Ledger'!$E$5:$E$200),"")="",IFERROR(XLOOKUP(D64,'Corrected Register'!$A$5:$A$200,'Corrected Register'!$M$5:$M$200),0),ABS(IFERROR(XLOOKUP(D64,'Source Ledger'!$B$5:$B$200,'Source Ledger'!$E$5:$E$200),0)-IFERROR(XLOOKUP(D64,'Corrected Register'!$A$5:$A$200,'Corrected Register'!$M$5:$M$200),0)))),IFERROR(XLOOKUP(D64,'Corrected Register'!$A$5:$A$200,'Corrected Register'!$N$5:$N$200),0))</f>
        <v/>
      </c>
      <c r="H64" s="7" t="inlineStr">
        <is>
          <t>IT Asset Specialist: post Atlanta on MD-00066 and retire Chicago - Closed (EX-0060).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ticketed EX-0060; site field on MD-00066 (MD-MO-050066) still reads Chicago - Closed; TR-00066 already points inbound to Atlanta; live footprint is Atlanta.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Ledger'!$B$5:$B$200,'Source Ledger'!$H$5:$H$200),"")="Disposed",IFERROR(XLOOKUP(D65,'Source Ledger'!$B$5:$B$200,'Source Ledger'!$G$5:$G$200),0),IF(IFERROR(XLOOKUP(D65,'Source Ledger'!$B$5:$B$200,'Source Ledger'!$E$5:$E$200),"")="",IFERROR(XLOOKUP(D65,'Corrected Register'!$A$5:$A$200,'Corrected Register'!$M$5:$M$200),0),ABS(IFERROR(XLOOKUP(D65,'Source Ledger'!$B$5:$B$200,'Source Ledger'!$E$5:$E$200),0)-IFERROR(XLOOKUP(D65,'Corrected Register'!$A$5:$A$200,'Corrected Register'!$M$5:$M$200),0)))),IFERROR(XLOOKUP(D65,'Corrected Register'!$A$5:$A$200,'Corrected Register'!$N$5:$N$200),0))</f>
        <v/>
      </c>
      <c r="H65" s="7" t="inlineStr">
        <is>
          <t>Remove Tara Singh from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Offboarding left MD-00067 hanging on Tara Singh (E0080); status Separated in hr_employee_status, ticket OFF-00067. EX-0061.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Ledger'!$B$5:$B$200,'Source Ledger'!$H$5:$H$200),"")="Disposed",IFERROR(XLOOKUP(D66,'Source Ledger'!$B$5:$B$200,'Source Ledger'!$G$5:$G$200),0),IF(IFERROR(XLOOKUP(D66,'Source Ledger'!$B$5:$B$200,'Source Ledger'!$E$5:$E$200),"")="",IFERROR(XLOOKUP(D66,'Corrected Register'!$A$5:$A$200,'Corrected Register'!$M$5:$M$200),0),ABS(IFERROR(XLOOKUP(D66,'Source Ledger'!$B$5:$B$200,'Source Ledger'!$E$5:$E$200),0)-IFERROR(XLOOKUP(D66,'Corrected Register'!$A$5:$A$200,'Corrected Register'!$M$5:$M$200),0)))),IFERROR(XLOOKUP(D66,'Corrected Register'!$A$5:$A$200,'Corrected Register'!$N$5:$N$200),0))</f>
        <v/>
      </c>
      <c r="H66" s="7" t="inlineStr">
        <is>
          <t>Update MD-00067 from Denver - Closed to Chicago using TR-00067 (EX-0062).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ticketed EX-0062 — site field on MD-00067 (MD-MO-050067) still reads Denver - Closed; TR-00067 already points inbound to Chicago; live footprint is Chicago.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Ledger'!$B$5:$B$200,'Source Ledger'!$H$5:$H$200),"")="Disposed",IFERROR(XLOOKUP(D67,'Source Ledger'!$B$5:$B$200,'Source Ledger'!$G$5:$G$200),0),IF(IFERROR(XLOOKUP(D67,'Source Ledger'!$B$5:$B$200,'Source Ledger'!$E$5:$E$200),"")="",IFERROR(XLOOKUP(D67,'Corrected Register'!$A$5:$A$200,'Corrected Register'!$M$5:$M$200),0),ABS(IFERROR(XLOOKUP(D67,'Source Ledger'!$B$5:$B$200,'Source Ledger'!$E$5:$E$200),0)-IFERROR(XLOOKUP(D67,'Corrected Register'!$A$5:$A$200,'Corrected Register'!$M$5:$M$200),0)))),IFERROR(XLOOKUP(D67,'Corrected Register'!$A$5:$A$200,'Corrected Register'!$N$5:$N$200),0))</f>
        <v/>
      </c>
      <c r="H67" s="7" t="inlineStr">
        <is>
          <t>Escalate recovery of MD-00068; 1ZMD00000068 is not proof of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1ZMD00000068 for MD-00068 never advanced past Label Created; no acceptance, delivery, or receiving scan for MD-NE-050068 (EX-0063).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Ledger'!$B$5:$B$200,'Source Ledger'!$H$5:$H$200),"")="Disposed",IFERROR(XLOOKUP(D68,'Source Ledger'!$B$5:$B$200,'Source Ledger'!$G$5:$G$200),0),IF(IFERROR(XLOOKUP(D68,'Source Ledger'!$B$5:$B$200,'Source Ledger'!$E$5:$E$200),"")="",IFERROR(XLOOKUP(D68,'Corrected Register'!$A$5:$A$200,'Corrected Register'!$M$5:$M$200),0),ABS(IFERROR(XLOOKUP(D68,'Source Ledger'!$B$5:$B$200,'Source Ledger'!$E$5:$E$200),0)-IFERROR(XLOOKUP(D68,'Corrected Register'!$A$5:$A$200,'Corrected Register'!$M$5:$M$200),0)))),IFERROR(XLOOKUP(D68,'Corrected Register'!$A$5:$A$200,'Corrected Register'!$N$5:$N$200),0))</f>
        <v/>
      </c>
      <c r="H68" s="7" t="inlineStr">
        <is>
          <t>Reassign MD-00068 off separated Elliott Park to a stock/Regional IT bucket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Separated custodian Elliott Park (E0081) remains on MD-00068 after OFF-00068 closed. Clear under EX-0064.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Difference",IF(IFERROR(XLOOKUP(D69,'Source Ledger'!$B$5:$B$200,'Source Ledger'!$H$5:$H$200),"")="Disposed",IFERROR(XLOOKUP(D69,'Source Ledger'!$B$5:$B$200,'Source Ledger'!$G$5:$G$200),0),IF(IFERROR(XLOOKUP(D69,'Source Ledger'!$B$5:$B$200,'Source Ledger'!$E$5:$E$200),"")="",IFERROR(XLOOKUP(D69,'Corrected Register'!$A$5:$A$200,'Corrected Register'!$M$5:$M$200),0),ABS(IFERROR(XLOOKUP(D69,'Source Ledger'!$B$5:$B$200,'Source Ledger'!$E$5:$E$200),0)-IFERROR(XLOOKUP(D69,'Corrected Register'!$A$5:$A$200,'Corrected Register'!$M$5:$M$200),0)))),IFERROR(XLOOKUP(D69,'Corrected Register'!$A$5:$A$200,'Corrected Register'!$N$5:$N$200),0))</f>
        <v/>
      </c>
      <c r="H69" s="7" t="inlineStr">
        <is>
          <t>Align MD-00068 cost: register $6,425 vs ledger $6,480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PO-2022-0013 and FA-000068 disagree for MD-00068 ($6,425 vs $6,480) — EX-0065.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Ledger'!$B$5:$B$200,'Source Ledger'!$H$5:$H$200),"")="Disposed",IFERROR(XLOOKUP(D70,'Source Ledger'!$B$5:$B$200,'Source Ledger'!$G$5:$G$200),0),IF(IFERROR(XLOOKUP(D70,'Source Ledger'!$B$5:$B$200,'Source Ledger'!$E$5:$E$200),"")="",IFERROR(XLOOKUP(D70,'Corrected Register'!$A$5:$A$200,'Corrected Register'!$M$5:$M$200),0),ABS(IFERROR(XLOOKUP(D70,'Source Ledger'!$B$5:$B$200,'Source Ledger'!$E$5:$E$200),0)-IFERROR(XLOOKUP(D70,'Corrected Register'!$A$5:$A$200,'Corrected Register'!$M$5:$M$200),0)))),IFERROR(XLOOKUP(D70,'Corrected Register'!$A$5:$A$200,'Corrected Register'!$N$5:$N$200),0))</f>
        <v/>
      </c>
      <c r="H70" s="7" t="inlineStr">
        <is>
          <t>IT Asset Specialist: chase MD-00069 overdue return — Label Created only on 1ZMD00000069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OFF-00069 still open on paper for MD-00069; shipment 1ZMD00000069 shows Label Created only (EX-0066).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Ledger'!$B$5:$B$200,'Source Ledger'!$H$5:$H$200),"")="Disposed",IFERROR(XLOOKUP(D71,'Source Ledger'!$B$5:$B$200,'Source Ledger'!$G$5:$G$200),0),IF(IFERROR(XLOOKUP(D71,'Source Ledger'!$B$5:$B$200,'Source Ledger'!$E$5:$E$200),"")="",IFERROR(XLOOKUP(D71,'Corrected Register'!$A$5:$A$200,'Corrected Register'!$M$5:$M$200),0),ABS(IFERROR(XLOOKUP(D71,'Source Ledger'!$B$5:$B$200,'Source Ledger'!$E$5:$E$200),0)-IFERROR(XLOOKUP(D71,'Corrected Register'!$A$5:$A$200,'Corrected Register'!$M$5:$M$200),0)))),IFERROR(XLOOKUP(D71,'Corrected Register'!$A$5:$A$200,'Corrected Register'!$N$5:$N$200),0))</f>
        <v/>
      </c>
      <c r="H71" s="7" t="inlineStr">
        <is>
          <t>HR Operations Lead: clear former-employee assignment on MD-00069 (Carmen Diaz)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Offboarding left MD-00069 hanging on Carmen Diaz (E0082); status Separated in hr_employee_status, ticket OFF-00069. EX-0067.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Ledger'!$B$5:$B$200,'Source Ledger'!$H$5:$H$200),"")="Disposed",IFERROR(XLOOKUP(D72,'Source Ledger'!$B$5:$B$200,'Source Ledger'!$G$5:$G$200),0),IF(IFERROR(XLOOKUP(D72,'Source Ledger'!$B$5:$B$200,'Source Ledger'!$E$5:$E$200),"")="",IFERROR(XLOOKUP(D72,'Corrected Register'!$A$5:$A$200,'Corrected Register'!$M$5:$M$200),0),ABS(IFERROR(XLOOKUP(D72,'Source Ledger'!$B$5:$B$200,'Source Ledger'!$E$5:$E$200),0)-IFERROR(XLOOKUP(D72,'Corrected Register'!$A$5:$A$200,'Corrected Register'!$M$5:$M$200),0)))),IFERROR(XLOOKUP(D72,'Corrected Register'!$A$5:$A$200,'Corrected Register'!$N$5:$N$200),0))</f>
        <v/>
      </c>
      <c r="H72" s="7" t="inlineStr">
        <is>
          <t>Do not clear MD-00070 Available until carrier acceptance + receiving scan exist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Return clock on MD-00070 expired with only a prepaid label (1ZMD00000070) — not docked (EX-0068).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Ledger'!$B$5:$B$200,'Source Ledger'!$H$5:$H$200),"")="Disposed",IFERROR(XLOOKUP(D73,'Source Ledger'!$B$5:$B$200,'Source Ledger'!$G$5:$G$200),0),IF(IFERROR(XLOOKUP(D73,'Source Ledger'!$B$5:$B$200,'Source Ledger'!$E$5:$E$200),"")="",IFERROR(XLOOKUP(D73,'Corrected Register'!$A$5:$A$200,'Corrected Register'!$M$5:$M$200),0),ABS(IFERROR(XLOOKUP(D73,'Source Ledger'!$B$5:$B$200,'Source Ledger'!$E$5:$E$200),0)-IFERROR(XLOOKUP(D73,'Corrected Register'!$A$5:$A$200,'Corrected Register'!$M$5:$M$200),0)))),IFERROR(XLOOKUP(D73,'Corrected Register'!$A$5:$A$200,'Corrected Register'!$N$5:$N$200),0))</f>
        <v/>
      </c>
      <c r="H73" s="7" t="inlineStr">
        <is>
          <t>HR Operations Lead: clear former-employee assignment on MD-00070 (Hugh Talbot)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is still assigned to Hugh Talbot (E0083), whose hr_employee_status row is Separated; OFF-00070 closed with no custodian rewrite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Ledger'!$B$5:$B$200,'Source Ledger'!$H$5:$H$200),"")="Disposed",IFERROR(XLOOKUP(D74,'Source Ledger'!$B$5:$B$200,'Source Ledger'!$G$5:$G$200),0),IF(IFERROR(XLOOKUP(D74,'Source Ledger'!$B$5:$B$200,'Source Ledger'!$E$5:$E$200),"")="",IFERROR(XLOOKUP(D74,'Corrected Register'!$A$5:$A$200,'Corrected Register'!$M$5:$M$200),0),ABS(IFERROR(XLOOKUP(D74,'Source Ledger'!$B$5:$B$200,'Source Ledger'!$E$5:$E$200),0)-IFERROR(XLOOKUP(D74,'Corrected Register'!$A$5:$A$200,'Corrected Register'!$M$5:$M$200),0)))),IFERROR(XLOOKUP(D74,'Corrected Register'!$A$5:$A$200,'Corrected Register'!$N$5:$N$200),0))</f>
        <v/>
      </c>
      <c r="H74" s="7" t="inlineStr">
        <is>
          <t>Escalate recovery of MD-00071; 1ZMD00000071 is not proof of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1ZMD00000071 for MD-00071 never advanced past Label Created; no acceptance, delivery, or receiving scan for MD-MO-050071 (EX-0070).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Ledger'!$B$5:$B$200,'Source Ledger'!$H$5:$H$200),"")="Disposed",IFERROR(XLOOKUP(D75,'Source Ledger'!$B$5:$B$200,'Source Ledger'!$G$5:$G$200),0),IF(IFERROR(XLOOKUP(D75,'Source Ledger'!$B$5:$B$200,'Source Ledger'!$E$5:$E$200),"")="",IFERROR(XLOOKUP(D75,'Corrected Register'!$A$5:$A$200,'Corrected Register'!$M$5:$M$200),0),ABS(IFERROR(XLOOKUP(D75,'Source Ledger'!$B$5:$B$200,'Source Ledger'!$E$5:$E$200),0)-IFERROR(XLOOKUP(D75,'Corrected Register'!$A$5:$A$200,'Corrected Register'!$M$5:$M$200),0)))),IFERROR(XLOOKUP(D75,'Corrected Register'!$A$5:$A$200,'Corrected Register'!$N$5:$N$200),0))</f>
        <v/>
      </c>
      <c r="H75" s="7" t="inlineStr">
        <is>
          <t>Remove Mira Adelman from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Separated custodian Mira Adelman (E0084) remains on MD-00071 after OFF-00071 closed. Clear under EX-0071.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Ledger'!$B$5:$B$200,'Source Ledger'!$H$5:$H$200),"")="Disposed",IFERROR(XLOOKUP(D76,'Source Ledger'!$B$5:$B$200,'Source Ledger'!$G$5:$G$200),0),IF(IFERROR(XLOOKUP(D76,'Source Ledger'!$B$5:$B$200,'Source Ledger'!$E$5:$E$200),"")="",IFERROR(XLOOKUP(D76,'Corrected Register'!$A$5:$A$200,'Corrected Register'!$M$5:$M$200),0),ABS(IFERROR(XLOOKUP(D76,'Source Ledger'!$B$5:$B$200,'Source Ledger'!$E$5:$E$200),0)-IFERROR(XLOOKUP(D76,'Corrected Register'!$A$5:$A$200,'Corrected Register'!$M$5:$M$200),0)))),IFERROR(XLOOKUP(D76,'Corrected Register'!$A$5:$A$200,'Corrected Register'!$N$5:$N$200),0))</f>
        <v/>
      </c>
      <c r="H76" s="7" t="inlineStr">
        <is>
          <t>Do not clear MD-00072 Available until carrier acceptance + receiving scan exist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Return clock on MD-00072 expired with only a prepaid label (1ZMD00000072) — not docked (EX-0072).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Ledger'!$B$5:$B$200,'Source Ledger'!$H$5:$H$200),"")="Disposed",IFERROR(XLOOKUP(D77,'Source Ledger'!$B$5:$B$200,'Source Ledger'!$G$5:$G$200),0),IF(IFERROR(XLOOKUP(D77,'Source Ledger'!$B$5:$B$200,'Source Ledger'!$E$5:$E$200),"")="",IFERROR(XLOOKUP(D77,'Corrected Register'!$A$5:$A$200,'Corrected Register'!$M$5:$M$200),0),ABS(IFERROR(XLOOKUP(D77,'Source Ledger'!$B$5:$B$200,'Source Ledger'!$E$5:$E$200),0)-IFERROR(XLOOKUP(D77,'Corrected Register'!$A$5:$A$200,'Corrected Register'!$M$5:$M$200),0)))),IFERROR(XLOOKUP(D77,'Corrected Register'!$A$5:$A$200,'Corrected Register'!$N$5:$N$200),0))</f>
        <v/>
      </c>
      <c r="H77" s="7" t="inlineStr">
        <is>
          <t>Reassign MD-00072 off separated Quincy Rhodes to a stock/Regional IT bucket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HR shows Quincy Rhodes (E0085) terminated, yet the register still lists them on MD-00072 (OFF-00072) —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Ledger'!$B$5:$B$200,'Source Ledger'!$H$5:$H$200),"")="Disposed",IFERROR(XLOOKUP(D78,'Source Ledger'!$B$5:$B$200,'Source Ledger'!$G$5:$G$200),0),IF(IFERROR(XLOOKUP(D78,'Source Ledger'!$B$5:$B$200,'Source Ledger'!$E$5:$E$200),"")="",IFERROR(XLOOKUP(D78,'Corrected Register'!$A$5:$A$200,'Corrected Register'!$M$5:$M$200),0),ABS(IFERROR(XLOOKUP(D78,'Source Ledger'!$B$5:$B$200,'Source Ledger'!$E$5:$E$200),0)-IFERROR(XLOOKUP(D78,'Corrected Register'!$A$5:$A$200,'Corrected Register'!$M$5:$M$200),0)))),IFERROR(XLOOKUP(D78,'Corrected Register'!$A$5:$A$200,'Corrected Register'!$N$5:$N$200),0))</f>
        <v/>
      </c>
      <c r="H78" s="7" t="inlineStr">
        <is>
          <t>Do not clear MD-00073 Available until carrier acceptance + receiving scan exist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OFF-00073 still open on paper for MD-00073; shipment 1ZMD00000073 shows Label Created only (EX-0074).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Ledger'!$B$5:$B$200,'Source Ledger'!$H$5:$H$200),"")="Disposed",IFERROR(XLOOKUP(D79,'Source Ledger'!$B$5:$B$200,'Source Ledger'!$G$5:$G$200),0),IF(IFERROR(XLOOKUP(D79,'Source Ledger'!$B$5:$B$200,'Source Ledger'!$E$5:$E$200),"")="",IFERROR(XLOOKUP(D79,'Corrected Register'!$A$5:$A$200,'Corrected Register'!$M$5:$M$200),0),ABS(IFERROR(XLOOKUP(D79,'Source Ledger'!$B$5:$B$200,'Source Ledger'!$E$5:$E$200),0)-IFERROR(XLOOKUP(D79,'Corrected Register'!$A$5:$A$200,'Corrected Register'!$M$5:$M$200),0)))),IFERROR(XLOOKUP(D79,'Corrected Register'!$A$5:$A$200,'Corrected Register'!$N$5:$N$200),0))</f>
        <v/>
      </c>
      <c r="H79" s="7" t="inlineStr">
        <is>
          <t>HR Operations Lead: clear former-employee assignment on MD-00073 (Sloane Richter)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HR shows Sloane Richter (E0086) terminated, yet the register still lists them on MD-00073 (OFF-00073) —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Ledger'!$B$5:$B$200,'Source Ledger'!$H$5:$H$200),"")="Disposed",IFERROR(XLOOKUP(D80,'Source Ledger'!$B$5:$B$200,'Source Ledger'!$G$5:$G$200),0),IF(IFERROR(XLOOKUP(D80,'Source Ledger'!$B$5:$B$200,'Source Ledger'!$E$5:$E$200),"")="",IFERROR(XLOOKUP(D80,'Corrected Register'!$A$5:$A$200,'Corrected Register'!$M$5:$M$200),0),ABS(IFERROR(XLOOKUP(D80,'Source Ledger'!$B$5:$B$200,'Source Ledger'!$E$5:$E$200),0)-IFERROR(XLOOKUP(D80,'Corrected Register'!$A$5:$A$200,'Corrected Register'!$M$5:$M$200),0)))),IFERROR(XLOOKUP(D80,'Corrected Register'!$A$5:$A$200,'Corrected Register'!$N$5:$N$200),0))</f>
        <v/>
      </c>
      <c r="H80" s="7" t="inlineStr">
        <is>
          <t>Critical certification blocker — IT Operations Manager: block Available on MD-00074 until mismatch cleared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Critical certification blocker — Serial clash on MD-00074 (MISMATCH-0074 vs MD-MO-050074 via 1ZMD00000074). Do not clear Available.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Ledger'!$B$5:$B$200,'Source Ledger'!$H$5:$H$200),"")="Disposed",IFERROR(XLOOKUP(D81,'Source Ledger'!$B$5:$B$200,'Source Ledger'!$G$5:$G$200),0),IF(IFERROR(XLOOKUP(D81,'Source Ledger'!$B$5:$B$200,'Source Ledger'!$E$5:$E$200),"")="",IFERROR(XLOOKUP(D81,'Corrected Register'!$A$5:$A$200,'Corrected Register'!$M$5:$M$200),0),ABS(IFERROR(XLOOKUP(D81,'Source Ledger'!$B$5:$B$200,'Source Ledger'!$E$5:$E$200),0)-IFERROR(XLOOKUP(D81,'Corrected Register'!$A$5:$A$200,'Corrected Register'!$M$5:$M$200),0)))),IFERROR(XLOOKUP(D81,'Corrected Register'!$A$5:$A$200,'Corrected Register'!$N$5:$N$200),0))</f>
        <v/>
      </c>
      <c r="H81" s="7" t="inlineStr">
        <is>
          <t>HR Operations Lead: clear former-employee assignment on MD-00074 (Nolan Vega)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HR shows Nolan Vega (E0087) terminated, yet the register still lists them on MD-00074 (OFF-00074) —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Ledger'!$B$5:$B$200,'Source Ledger'!$H$5:$H$200),"")="Disposed",IFERROR(XLOOKUP(D82,'Source Ledger'!$B$5:$B$200,'Source Ledger'!$G$5:$G$200),0),IF(IFERROR(XLOOKUP(D82,'Source Ledger'!$B$5:$B$200,'Source Ledger'!$E$5:$E$200),"")="",IFERROR(XLOOKUP(D82,'Corrected Register'!$A$5:$A$200,'Corrected Register'!$M$5:$M$200),0),ABS(IFERROR(XLOOKUP(D82,'Source Ledger'!$B$5:$B$200,'Source Ledger'!$E$5:$E$200),0)-IFERROR(XLOOKUP(D82,'Corrected Register'!$A$5:$A$200,'Corrected Register'!$M$5:$M$200),0)))),IFERROR(XLOOKUP(D82,'Corrected Register'!$A$5:$A$200,'Corrected Register'!$N$5:$N$200),0))</f>
        <v/>
      </c>
      <c r="H82" s="7" t="inlineStr">
        <is>
          <t>Escalate recovery of MD-00074; 1ZMD00000074 is not proof of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Cannot treat MD-00074 as returned: 1ZMD00000074 lacks carrier acceptance and receiving scan for MD-MO-050074 (EX-0078).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Ledger'!$B$5:$B$200,'Source Ledger'!$H$5:$H$200),"")="Disposed",IFERROR(XLOOKUP(D83,'Source Ledger'!$B$5:$B$200,'Source Ledger'!$G$5:$G$200),0),IF(IFERROR(XLOOKUP(D83,'Source Ledger'!$B$5:$B$200,'Source Ledger'!$E$5:$E$200),"")="",IFERROR(XLOOKUP(D83,'Corrected Register'!$A$5:$A$200,'Corrected Register'!$M$5:$M$200),0),ABS(IFERROR(XLOOKUP(D83,'Source Ledger'!$B$5:$B$200,'Source Ledger'!$E$5:$E$200),0)-IFERROR(XLOOKUP(D83,'Corrected Register'!$A$5:$A$200,'Corrected Register'!$M$5:$M$200),0)))),IFERROR(XLOOKUP(D83,'Corrected Register'!$A$5:$A$200,'Corrected Register'!$N$5:$N$200),0))</f>
        <v/>
      </c>
      <c r="H83" s="7" t="inlineStr">
        <is>
          <t>Escalate recovery of MD-00075; 1ZMD00000075 is not proof of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still open on paper for MD-00075; shipment 1ZMD00000075 shows Label Created only (EX-0079).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Ledger'!$B$5:$B$200,'Source Ledger'!$H$5:$H$200),"")="Disposed",IFERROR(XLOOKUP(D84,'Source Ledger'!$B$5:$B$200,'Source Ledger'!$G$5:$G$200),0),IF(IFERROR(XLOOKUP(D84,'Source Ledger'!$B$5:$B$200,'Source Ledger'!$E$5:$E$200),"")="",IFERROR(XLOOKUP(D84,'Corrected Register'!$A$5:$A$200,'Corrected Register'!$M$5:$M$200),0),ABS(IFERROR(XLOOKUP(D84,'Source Ledger'!$B$5:$B$200,'Source Ledger'!$E$5:$E$200),0)-IFERROR(XLOOKUP(D84,'Corrected Register'!$A$5:$A$200,'Corrected Register'!$M$5:$M$200),0)))),IFERROR(XLOOKUP(D84,'Corrected Register'!$A$5:$A$200,'Corrected Register'!$N$5:$N$200),0))</f>
        <v/>
      </c>
      <c r="H84" s="7" t="inlineStr">
        <is>
          <t>Reassign MD-00075 off separated Ivy Chenoweth to a stock/Regional IT bucket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Separated custodian Ivy Chenoweth (E0088) remains on MD-00075 after OFF-00075 closed. Clear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Ledger'!$B$5:$B$200,'Source Ledger'!$H$5:$H$200),"")="Disposed",IFERROR(XLOOKUP(D85,'Source Ledger'!$B$5:$B$200,'Source Ledger'!$G$5:$G$200),0),IF(IFERROR(XLOOKUP(D85,'Source Ledger'!$B$5:$B$200,'Source Ledger'!$E$5:$E$200),"")="",IFERROR(XLOOKUP(D85,'Corrected Register'!$A$5:$A$200,'Corrected Register'!$M$5:$M$200),0),ABS(IFERROR(XLOOKUP(D85,'Source Ledger'!$B$5:$B$200,'Source Ledger'!$E$5:$E$200),0)-IFERROR(XLOOKUP(D85,'Corrected Register'!$A$5:$A$200,'Corrected Register'!$M$5:$M$200),0)))),IFERROR(XLOOKUP(D85,'Corrected Register'!$A$5:$A$200,'Corrected Register'!$N$5:$N$200),0))</f>
        <v/>
      </c>
      <c r="H85" s="7" t="inlineStr">
        <is>
          <t>Critical certification blocker — IT Operations Manager: block Available on MD-00076 until mismatch cleared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Critical certification blocker — Inbound MISMATCH-0076 on 1ZMD00000076 disagrees with register MD-NE-050076; MD-00076 stays In Transit - Exception until reconciled.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Ledger'!$B$5:$B$200,'Source Ledger'!$H$5:$H$200),"")="Disposed",IFERROR(XLOOKUP(D86,'Source Ledger'!$B$5:$B$200,'Source Ledger'!$G$5:$G$200),0),IF(IFERROR(XLOOKUP(D86,'Source Ledger'!$B$5:$B$200,'Source Ledger'!$E$5:$E$200),"")="",IFERROR(XLOOKUP(D86,'Corrected Register'!$A$5:$A$200,'Corrected Register'!$M$5:$M$200),0),ABS(IFERROR(XLOOKUP(D86,'Source Ledger'!$B$5:$B$200,'Source Ledger'!$E$5:$E$200),0)-IFERROR(XLOOKUP(D86,'Corrected Register'!$A$5:$A$200,'Corrected Register'!$M$5:$M$200),0)))),IFERROR(XLOOKUP(D86,'Corrected Register'!$A$5:$A$200,'Corrected Register'!$N$5:$N$200),0))</f>
        <v/>
      </c>
      <c r="H86" s="7" t="inlineStr">
        <is>
          <t>HR Operations Lead: clear former-employee assignment on MD-00076 (Percy Lambert)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Separated custodian Percy Lambert (E0089) remains on MD-00076 after OFF-00076 closed. Clear under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Ledger'!$B$5:$B$200,'Source Ledger'!$H$5:$H$200),"")="Disposed",IFERROR(XLOOKUP(D87,'Source Ledger'!$B$5:$B$200,'Source Ledger'!$G$5:$G$200),0),IF(IFERROR(XLOOKUP(D87,'Source Ledger'!$B$5:$B$200,'Source Ledger'!$E$5:$E$200),"")="",IFERROR(XLOOKUP(D87,'Corrected Register'!$A$5:$A$200,'Corrected Register'!$M$5:$M$200),0),ABS(IFERROR(XLOOKUP(D87,'Source Ledger'!$B$5:$B$200,'Source Ledger'!$E$5:$E$200),0)-IFERROR(XLOOKUP(D87,'Corrected Register'!$A$5:$A$200,'Corrected Register'!$M$5:$M$200),0)))),IFERROR(XLOOKUP(D87,'Corrected Register'!$A$5:$A$200,'Corrected Register'!$N$5:$N$200),0))</f>
        <v/>
      </c>
      <c r="H87" s="7" t="inlineStr">
        <is>
          <t>IT Asset Specialist: chase MD-00076 overdue return — Label Created only on 1ZMD00000076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Return clock on MD-00076 expired with only a prepaid label (1ZMD00000076) — not docked (EX-0083).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Ledger'!$B$5:$B$200,'Source Ledger'!$H$5:$H$200),"")="Disposed",IFERROR(XLOOKUP(D88,'Source Ledger'!$B$5:$B$200,'Source Ledger'!$G$5:$G$200),0),IF(IFERROR(XLOOKUP(D88,'Source Ledger'!$B$5:$B$200,'Source Ledger'!$E$5:$E$200),"")="",IFERROR(XLOOKUP(D88,'Corrected Register'!$A$5:$A$200,'Corrected Register'!$M$5:$M$200),0),ABS(IFERROR(XLOOKUP(D88,'Source Ledger'!$B$5:$B$200,'Source Ledger'!$E$5:$E$200),0)-IFERROR(XLOOKUP(D88,'Corrected Register'!$A$5:$A$200,'Corrected Register'!$M$5:$M$200),0)))),IFERROR(XLOOKUP(D88,'Corrected Register'!$A$5:$A$200,'Corrected Register'!$N$5:$N$200),0))</f>
        <v/>
      </c>
      <c r="H88" s="7" t="inlineStr">
        <is>
          <t>Escalate recovery of MD-00077; 1ZMD00000077 is not proof of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1ZMD00000077 for MD-00077 never advanced past Label Created; no acceptance, delivery, or receiving scan for MD-LA-050077 (EX-0084).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Ledger'!$B$5:$B$200,'Source Ledger'!$H$5:$H$200),"")="Disposed",IFERROR(XLOOKUP(D89,'Source Ledger'!$B$5:$B$200,'Source Ledger'!$G$5:$G$200),0),IF(IFERROR(XLOOKUP(D89,'Source Ledger'!$B$5:$B$200,'Source Ledger'!$E$5:$E$200),"")="",IFERROR(XLOOKUP(D89,'Corrected Register'!$A$5:$A$200,'Corrected Register'!$M$5:$M$200),0),ABS(IFERROR(XLOOKUP(D89,'Source Ledger'!$B$5:$B$200,'Source Ledger'!$E$5:$E$200),0)-IFERROR(XLOOKUP(D89,'Corrected Register'!$A$5:$A$200,'Corrected Register'!$M$5:$M$200),0)))),IFERROR(XLOOKUP(D89,'Corrected Register'!$A$5:$A$200,'Corrected Register'!$N$5:$N$200),0))</f>
        <v/>
      </c>
      <c r="H89" s="7" t="inlineStr">
        <is>
          <t>Remove Dana Ghosh from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left MD-00077 hanging on Dana Ghosh (E0090); status Separated in hr_employee_status, ticket OFF-00077.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Ledger'!$B$5:$B$200,'Source Ledger'!$H$5:$H$200),"")="Disposed",IFERROR(XLOOKUP(D90,'Source Ledger'!$B$5:$B$200,'Source Ledger'!$G$5:$G$200),0),IF(IFERROR(XLOOKUP(D90,'Source Ledger'!$B$5:$B$200,'Source Ledger'!$E$5:$E$200),"")="",IFERROR(XLOOKUP(D90,'Corrected Register'!$A$5:$A$200,'Corrected Register'!$M$5:$M$200),0),ABS(IFERROR(XLOOKUP(D90,'Source Ledger'!$B$5:$B$200,'Source Ledger'!$E$5:$E$200),0)-IFERROR(XLOOKUP(D90,'Corrected Register'!$A$5:$A$200,'Corrected Register'!$M$5:$M$200),0)))),IFERROR(XLOOKUP(D90,'Corrected Register'!$A$5:$A$200,'Corrected Register'!$N$5:$N$200),0))</f>
        <v/>
      </c>
      <c r="H90" s="7" t="inlineStr">
        <is>
          <t>Escalate recovery of MD-00078; 1ZMD00000078 is not proof of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Return clock on MD-00078 expired with only a prepaid label (1ZMD00000078) — not docked (EX-0086).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Ledger'!$B$5:$B$200,'Source Ledger'!$H$5:$H$200),"")="Disposed",IFERROR(XLOOKUP(D91,'Source Ledger'!$B$5:$B$200,'Source Ledger'!$G$5:$G$200),0),IF(IFERROR(XLOOKUP(D91,'Source Ledger'!$B$5:$B$200,'Source Ledger'!$E$5:$E$200),"")="",IFERROR(XLOOKUP(D91,'Corrected Register'!$A$5:$A$200,'Corrected Register'!$M$5:$M$200),0),ABS(IFERROR(XLOOKUP(D91,'Source Ledger'!$B$5:$B$200,'Source Ledger'!$E$5:$E$200),0)-IFERROR(XLOOKUP(D91,'Corrected Register'!$A$5:$A$200,'Corrected Register'!$M$5:$M$200),0)))),IFERROR(XLOOKUP(D91,'Corrected Register'!$A$5:$A$200,'Corrected Register'!$N$5:$N$200),0))</f>
        <v/>
      </c>
      <c r="H91" s="7" t="inlineStr">
        <is>
          <t>Reassign MD-00078 off separated Harlan Smith to a stock/Regional IT bucket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MD-00078 is still assigned to Harlan Smith (E0091), whose hr_employee_status row is Separated; OFF-00078 closed with no custodian rewrite (EX-0087).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Ledger'!$B$5:$B$200,'Source Ledger'!$H$5:$H$200),"")="Disposed",IFERROR(XLOOKUP(D92,'Source Ledger'!$B$5:$B$200,'Source Ledger'!$G$5:$G$200),0),IF(IFERROR(XLOOKUP(D92,'Source Ledger'!$B$5:$B$200,'Source Ledger'!$E$5:$E$200),"")="",IFERROR(XLOOKUP(D92,'Corrected Register'!$A$5:$A$200,'Corrected Register'!$M$5:$M$200),0),ABS(IFERROR(XLOOKUP(D92,'Source Ledger'!$B$5:$B$200,'Source Ledger'!$E$5:$E$200),0)-IFERROR(XLOOKUP(D92,'Corrected Register'!$A$5:$A$200,'Corrected Register'!$M$5:$M$200),0)))),IFERROR(XLOOKUP(D92,'Corrected Register'!$A$5:$A$200,'Corrected Register'!$N$5:$N$200),0))</f>
        <v/>
      </c>
      <c r="H92" s="7" t="inlineStr">
        <is>
          <t>Do not clear MD-00079 Available until carrier acceptance + receiving scan exist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OFF-00079 still open on paper for MD-00079; shipment 1ZMD00000079 shows Label Created only (EX-0088).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Ledger'!$B$5:$B$200,'Source Ledger'!$H$5:$H$200),"")="Disposed",IFERROR(XLOOKUP(D93,'Source Ledger'!$B$5:$B$200,'Source Ledger'!$G$5:$G$200),0),IF(IFERROR(XLOOKUP(D93,'Source Ledger'!$B$5:$B$200,'Source Ledger'!$E$5:$E$200),"")="",IFERROR(XLOOKUP(D93,'Corrected Register'!$A$5:$A$200,'Corrected Register'!$M$5:$M$200),0),ABS(IFERROR(XLOOKUP(D93,'Source Ledger'!$B$5:$B$200,'Source Ledger'!$E$5:$E$200),0)-IFERROR(XLOOKUP(D93,'Corrected Register'!$A$5:$A$200,'Corrected Register'!$M$5:$M$200),0)))),IFERROR(XLOOKUP(D93,'Corrected Register'!$A$5:$A$200,'Corrected Register'!$N$5:$N$200),0))</f>
        <v/>
      </c>
      <c r="H93" s="7" t="inlineStr">
        <is>
          <t>HR Operations Lead: clear former-employee assignment on MD-00079 (June Okoye)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MD-00079 is still assigned to June Okoye (E0092), whose hr_employee_status row is Separated; OFF-00079 closed with no custodian rewrite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Ledger'!$B$5:$B$200,'Source Ledger'!$H$5:$H$200),"")="Disposed",IFERROR(XLOOKUP(D94,'Source Ledger'!$B$5:$B$200,'Source Ledger'!$G$5:$G$200),0),IF(IFERROR(XLOOKUP(D94,'Source Ledger'!$B$5:$B$200,'Source Ledger'!$E$5:$E$200),"")="",IFERROR(XLOOKUP(D94,'Corrected Register'!$A$5:$A$200,'Corrected Register'!$M$5:$M$200),0),ABS(IFERROR(XLOOKUP(D94,'Source Ledger'!$B$5:$B$200,'Source Ledger'!$E$5:$E$200),0)-IFERROR(XLOOKUP(D94,'Corrected Register'!$A$5:$A$200,'Corrected Register'!$M$5:$M$200),0)))),IFERROR(XLOOKUP(D94,'Corrected Register'!$A$5:$A$200,'Corrected Register'!$N$5:$N$200),0))</f>
        <v/>
      </c>
      <c r="H94" s="7" t="inlineStr">
        <is>
          <t>HR Operations Lead: clear former-employee assignment on MD-00080 (Rory Phelps)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MD-00080 is still assigned to Rory Phelps (E0093), whose hr_employee_status row is Separated; OFF-00080 closed with no custodian rewrite (EX-0090).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Ledger'!$B$5:$B$200,'Source Ledger'!$H$5:$H$200),"")="Disposed",IFERROR(XLOOKUP(D95,'Source Ledger'!$B$5:$B$200,'Source Ledger'!$G$5:$G$200),0),IF(IFERROR(XLOOKUP(D95,'Source Ledger'!$B$5:$B$200,'Source Ledger'!$E$5:$E$200),"")="",IFERROR(XLOOKUP(D95,'Corrected Register'!$A$5:$A$200,'Corrected Register'!$M$5:$M$200),0),ABS(IFERROR(XLOOKUP(D95,'Source Ledger'!$B$5:$B$200,'Source Ledger'!$E$5:$E$200),0)-IFERROR(XLOOKUP(D95,'Corrected Register'!$A$5:$A$200,'Corrected Register'!$M$5:$M$200),0)))),IFERROR(XLOOKUP(D95,'Corrected Register'!$A$5:$A$200,'Corrected Register'!$N$5:$N$200),0))</f>
        <v/>
      </c>
      <c r="H95" s="7" t="inlineStr">
        <is>
          <t>HR Operations Lead: clear former-employee assignment on MD-00081 (Cecilia Hart)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Offboarding left MD-00081 hanging on Cecilia Hart (E0094); status Separated in hr_employee_status, ticket OFF-00081. EX-0091.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Ledger'!$B$5:$B$200,'Source Ledger'!$H$5:$H$200),"")="Disposed",IFERROR(XLOOKUP(D96,'Source Ledger'!$B$5:$B$200,'Source Ledger'!$G$5:$G$200),0),IF(IFERROR(XLOOKUP(D96,'Source Ledger'!$B$5:$B$200,'Source Ledger'!$E$5:$E$200),"")="",IFERROR(XLOOKUP(D96,'Corrected Register'!$A$5:$A$200,'Corrected Register'!$M$5:$M$200),0),ABS(IFERROR(XLOOKUP(D96,'Source Ledger'!$B$5:$B$200,'Source Ledger'!$E$5:$E$200),0)-IFERROR(XLOOKUP(D96,'Corrected Register'!$A$5:$A$200,'Corrected Register'!$M$5:$M$200),0)))),IFERROR(XLOOKUP(D96,'Corrected Register'!$A$5:$A$200,'Corrected Register'!$N$5:$N$200),0))</f>
        <v/>
      </c>
      <c r="H96" s="7" t="inlineStr">
        <is>
          <t>Critical certification blocker — 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Critical certification blocker — Atlanta dock photo receiving_exception_scan_1ZMD00000082.png is a HOLD lead only; MISMATCH-0082 on 1ZMD00000082 does not match register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Ledger'!$B$5:$B$200,'Source Ledger'!$H$5:$H$200),"")="Disposed",IFERROR(XLOOKUP(D97,'Source Ledger'!$B$5:$B$200,'Source Ledger'!$G$5:$G$200),0),IF(IFERROR(XLOOKUP(D97,'Source Ledger'!$B$5:$B$200,'Source Ledger'!$E$5:$E$200),"")="",IFERROR(XLOOKUP(D97,'Corrected Register'!$A$5:$A$200,'Corrected Register'!$M$5:$M$200),0),ABS(IFERROR(XLOOKUP(D97,'Source Ledger'!$B$5:$B$200,'Source Ledger'!$E$5:$E$200),0)-IFERROR(XLOOKUP(D97,'Corrected Register'!$A$5:$A$200,'Corrected Register'!$M$5:$M$200),0)))),IFERROR(XLOOKUP(D97,'Corrected Register'!$A$5:$A$200,'Corrected Register'!$N$5:$N$200),0))</f>
        <v/>
      </c>
      <c r="H97" s="7" t="inlineStr">
        <is>
          <t>Remove Emmett Boyle from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MD-00082 is still assigned to Emmett Boyle (E0095), whose hr_employee_status row is Separated; OFF-00082 closed with no custodian rewrite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Ledger'!$B$5:$B$200,'Source Ledger'!$H$5:$H$200),"")="Disposed",IFERROR(XLOOKUP(D98,'Source Ledger'!$B$5:$B$200,'Source Ledger'!$G$5:$G$200),0),IF(IFERROR(XLOOKUP(D98,'Source Ledger'!$B$5:$B$200,'Source Ledger'!$E$5:$E$200),"")="",IFERROR(XLOOKUP(D98,'Corrected Register'!$A$5:$A$200,'Corrected Register'!$M$5:$M$200),0),ABS(IFERROR(XLOOKUP(D98,'Source Ledger'!$B$5:$B$200,'Source Ledger'!$E$5:$E$200),0)-IFERROR(XLOOKUP(D98,'Corrected Register'!$A$5:$A$200,'Corrected Register'!$M$5:$M$200),0)))),IFERROR(XLOOKUP(D98,'Corrected Register'!$A$5:$A$200,'Corrected Register'!$N$5:$N$200),0))</f>
        <v/>
      </c>
      <c r="H98" s="7" t="inlineStr">
        <is>
          <t>Remove Sean McCabe from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HR shows Sean McCabe (E0071) terminated, yet the register still lists them on MD-00083 (OFF-00083) —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Ledger'!$B$5:$B$200,'Source Ledger'!$H$5:$H$200),"")="Disposed",IFERROR(XLOOKUP(D99,'Source Ledger'!$B$5:$B$200,'Source Ledger'!$G$5:$G$200),0),IF(IFERROR(XLOOKUP(D99,'Source Ledger'!$B$5:$B$200,'Source Ledger'!$E$5:$E$200),"")="",IFERROR(XLOOKUP(D99,'Corrected Register'!$A$5:$A$200,'Corrected Register'!$M$5:$M$200),0),ABS(IFERROR(XLOOKUP(D99,'Source Ledger'!$B$5:$B$200,'Source Ledger'!$E$5:$E$200),0)-IFERROR(XLOOKUP(D99,'Corrected Register'!$A$5:$A$200,'Corrected Register'!$M$5:$M$200),0)))),IFERROR(XLOOKUP(D99,'Corrected Register'!$A$5:$A$200,'Corrected Register'!$N$5:$N$200),0))</f>
        <v/>
      </c>
      <c r="H99" s="7" t="inlineStr">
        <is>
          <t>Critical certification blocker — Resolve MISMATCH-0084 vs MD-NE-050084 on 1ZMD00000084 for MD-00084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Critical certification blocker — Inbound MISMATCH-0084 on 1ZMD00000084 disagrees with register MD-NE-050084; MD-00084 stays In Transit - Exception until reconciled.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Ledger'!$B$5:$B$200,'Source Ledger'!$H$5:$H$200),"")="Disposed",IFERROR(XLOOKUP(D100,'Source Ledger'!$B$5:$B$200,'Source Ledger'!$G$5:$G$200),0),IF(IFERROR(XLOOKUP(D100,'Source Ledger'!$B$5:$B$200,'Source Ledger'!$E$5:$E$200),"")="",IFERROR(XLOOKUP(D100,'Corrected Register'!$A$5:$A$200,'Corrected Register'!$M$5:$M$200),0),ABS(IFERROR(XLOOKUP(D100,'Source Ledger'!$B$5:$B$200,'Source Ledger'!$E$5:$E$200),0)-IFERROR(XLOOKUP(D100,'Corrected Register'!$A$5:$A$200,'Corrected Register'!$M$5:$M$200),0)))),IFERROR(XLOOKUP(D100,'Corrected Register'!$A$5:$A$200,'Corrected Register'!$N$5:$N$200),0))</f>
        <v/>
      </c>
      <c r="H100" s="7" t="inlineStr">
        <is>
          <t>Reassign MD-00084 off separated Anita Bose to a stock/Regional IT bucket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left MD-00084 hanging on Anita Bose (E0072); status Separated in hr_employee_status, ticket OFF-00084.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Ledger'!$B$5:$B$200,'Source Ledger'!$H$5:$H$200),"")="Disposed",IFERROR(XLOOKUP(D101,'Source Ledger'!$B$5:$B$200,'Source Ledger'!$G$5:$G$200),0),IF(IFERROR(XLOOKUP(D101,'Source Ledger'!$B$5:$B$200,'Source Ledger'!$E$5:$E$200),"")="",IFERROR(XLOOKUP(D101,'Corrected Register'!$A$5:$A$200,'Corrected Register'!$M$5:$M$200),0),ABS(IFERROR(XLOOKUP(D101,'Source Ledger'!$B$5:$B$200,'Source Ledger'!$E$5:$E$200),0)-IFERROR(XLOOKUP(D101,'Corrected Register'!$A$5:$A$200,'Corrected Register'!$M$5:$M$200),0)))),IFERROR(XLOOKUP(D101,'Corrected Register'!$A$5:$A$200,'Corrected Register'!$N$5:$N$200),0))</f>
        <v/>
      </c>
      <c r="H101" s="7" t="inlineStr">
        <is>
          <t>Reassign MD-00085 off separated Drew Carmichael to a stock/Regional IT bucket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HR shows Drew Carmichael (E0073) terminated, yet the register still lists them on MD-00085 (OFF-00085) — EX-0097.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Difference",IF(IFERROR(XLOOKUP(D102,'Source Ledger'!$B$5:$B$200,'Source Ledger'!$H$5:$H$200),"")="Disposed",IFERROR(XLOOKUP(D102,'Source Ledger'!$B$5:$B$200,'Source Ledger'!$G$5:$G$200),0),IF(IFERROR(XLOOKUP(D102,'Source Ledger'!$B$5:$B$200,'Source Ledger'!$E$5:$E$200),"")="",IFERROR(XLOOKUP(D102,'Corrected Register'!$A$5:$A$200,'Corrected Register'!$M$5:$M$200),0),ABS(IFERROR(XLOOKUP(D102,'Source Ledger'!$B$5:$B$200,'Source Ledger'!$E$5:$E$200),0)-IFERROR(XLOOKUP(D102,'Corrected Register'!$A$5:$A$200,'Corrected Register'!$M$5:$M$200),0)))),IFERROR(XLOOKUP(D102,'Corrected Register'!$A$5:$A$200,'Corrected Register'!$N$5:$N$200),0))</f>
        <v/>
      </c>
      <c r="H102" s="7" t="inlineStr">
        <is>
          <t>Finance: correct FA-000085 NBV to $20 and align $1,895 vs $2,090 for MD-00085.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FA-000085 shows acquisition $2,090 against register $1,895 on MD-00085; accumulated depreciation $2,070 leaves printed NBV $0 while $20 remains supportable.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Ledger'!$B$5:$B$200,'Source Ledger'!$H$5:$H$200),"")="Disposed",IFERROR(XLOOKUP(D103,'Source Ledger'!$B$5:$B$200,'Source Ledger'!$G$5:$G$200),0),IF(IFERROR(XLOOKUP(D103,'Source Ledger'!$B$5:$B$200,'Source Ledger'!$E$5:$E$200),"")="",IFERROR(XLOOKUP(D103,'Corrected Register'!$A$5:$A$200,'Corrected Register'!$M$5:$M$200),0),ABS(IFERROR(XLOOKUP(D103,'Source Ledger'!$B$5:$B$200,'Source Ledger'!$E$5:$E$200),0)-IFERROR(XLOOKUP(D103,'Corrected Register'!$A$5:$A$200,'Corrected Register'!$M$5:$M$200),0)))),IFERROR(XLOOKUP(D103,'Corrected Register'!$A$5:$A$200,'Corrected Register'!$N$5:$N$200),0))</f>
        <v/>
      </c>
      <c r="H103" s="7" t="inlineStr">
        <is>
          <t>HR Operations Lead: clear former-employee assignment on MD-00086 (Lila Novak)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 shows Lila Novak (E0074) terminated, yet the register still lists them on MD-00086 (OFF-00086) — EX-0099.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Ledger'!$B$5:$B$200,'Source Ledger'!$H$5:$H$200),"")="Disposed",IFERROR(XLOOKUP(D104,'Source Ledger'!$B$5:$B$200,'Source Ledger'!$G$5:$G$200),0),IF(IFERROR(XLOOKUP(D104,'Source Ledger'!$B$5:$B$200,'Source Ledger'!$E$5:$E$200),"")="",IFERROR(XLOOKUP(D104,'Corrected Register'!$A$5:$A$200,'Corrected Register'!$M$5:$M$200),0),ABS(IFERROR(XLOOKUP(D104,'Source Ledger'!$B$5:$B$200,'Source Ledger'!$E$5:$E$200),0)-IFERROR(XLOOKUP(D104,'Corrected Register'!$A$5:$A$200,'Corrected Register'!$M$5:$M$200),0)))),IFERROR(XLOOKUP(D104,'Corrected Register'!$A$5:$A$200,'Corrected Register'!$N$5:$N$200),0))</f>
        <v/>
      </c>
      <c r="H104" s="7" t="inlineStr">
        <is>
          <t>HR Operations Lead: clear former-employee assignment on MD-00087 (Curtis Bennett)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MD-00087 is still assigned to Curtis Bennett (E0075), whose hr_employee_status row is Separated; OFF-00087 closed with no custodian rewrite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Ledger'!$B$5:$B$200,'Source Ledger'!$H$5:$H$200),"")="Disposed",IFERROR(XLOOKUP(D105,'Source Ledger'!$B$5:$B$200,'Source Ledger'!$G$5:$G$200),0),IF(IFERROR(XLOOKUP(D105,'Source Ledger'!$B$5:$B$200,'Source Ledger'!$E$5:$E$200),"")="",IFERROR(XLOOKUP(D105,'Corrected Register'!$A$5:$A$200,'Corrected Register'!$M$5:$M$200),0),ABS(IFERROR(XLOOKUP(D105,'Source Ledger'!$B$5:$B$200,'Source Ledger'!$E$5:$E$200),0)-IFERROR(XLOOKUP(D105,'Corrected Register'!$A$5:$A$200,'Corrected Register'!$M$5:$M$200),0)))),IFERROR(XLOOKUP(D105,'Corrected Register'!$A$5:$A$200,'Corrected Register'!$N$5:$N$200),0))</f>
        <v/>
      </c>
      <c r="H105" s="7" t="inlineStr">
        <is>
          <t>Remove Pilar Santos from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left MD-00088 hanging on Pilar Santos (E0076); status Separated in hr_employee_status, ticket OFF-00088. EX-0101.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on MD-00088; Employee ID:E0076; Transfer ID:TR-00088; Ticket ID:OFF-00088; PO Number:PO-2022-0017; Tracking Number:1ZMD00000088; Serial:MD-NE-050088; AlsoTagged:MD-00088,MD-00092</t>
        </is>
      </c>
      <c r="G106" s="7">
        <f>IF(B106="Inventory-to-Ledger Difference",IF(IFERROR(XLOOKUP(D106,'Source Ledger'!$B$5:$B$200,'Source Ledger'!$H$5:$H$200),"")="Disposed",IFERROR(XLOOKUP(D106,'Source Ledger'!$B$5:$B$200,'Source Ledger'!$G$5:$G$200),0),IF(IFERROR(XLOOKUP(D106,'Source Ledger'!$B$5:$B$200,'Source Ledger'!$E$5:$E$200),"")="",IFERROR(XLOOKUP(D106,'Corrected Register'!$A$5:$A$200,'Corrected Register'!$M$5:$M$200),0),ABS(IFERROR(XLOOKUP(D106,'Source Ledger'!$B$5:$B$200,'Source Ledger'!$E$5:$E$200),0)-IFERROR(XLOOKUP(D106,'Corrected Register'!$A$5:$A$200,'Corrected Register'!$M$5:$M$200),0)))),IFERROR(XLOOKUP(D106,'Corrected Register'!$A$5:$A$200,'Corrected Register'!$N$5:$N$200),0))</f>
        <v/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is shared by MD-00088 and MD-00088,MD-00092; bench validation and retag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Ledger'!$B$5:$B$200,'Source Ledger'!$H$5:$H$200),"")="Disposed",IFERROR(XLOOKUP(D107,'Source Ledger'!$B$5:$B$200,'Source Ledger'!$G$5:$G$200),0),IF(IFERROR(XLOOKUP(D107,'Source Ledger'!$B$5:$B$200,'Source Ledger'!$E$5:$E$200),"")="",IFERROR(XLOOKUP(D107,'Corrected Register'!$A$5:$A$200,'Corrected Register'!$M$5:$M$200),0),ABS(IFERROR(XLOOKUP(D107,'Source Ledger'!$B$5:$B$200,'Source Ledger'!$E$5:$E$200),0)-IFERROR(XLOOKUP(D107,'Corrected Register'!$A$5:$A$200,'Corrected Register'!$M$5:$M$200),0)))),IFERROR(XLOOKUP(D107,'Corrected Register'!$A$5:$A$200,'Corrected Register'!$N$5:$N$200),0))</f>
        <v/>
      </c>
      <c r="H107" s="7" t="inlineStr">
        <is>
          <t>Open loss investigation on MD-00089; remain Missing until located or write-off approved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MD-00089 dropped from the floor after Denver - Closed; nothing in receiving or disposal files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Ledger'!$B$5:$B$200,'Source Ledger'!$H$5:$H$200),"")="Disposed",IFERROR(XLOOKUP(D108,'Source Ledger'!$B$5:$B$200,'Source Ledger'!$G$5:$G$200),0),IF(IFERROR(XLOOKUP(D108,'Source Ledger'!$B$5:$B$200,'Source Ledger'!$E$5:$E$200),"")="",IFERROR(XLOOKUP(D108,'Corrected Register'!$A$5:$A$200,'Corrected Register'!$M$5:$M$200),0),ABS(IFERROR(XLOOKUP(D108,'Source Ledger'!$B$5:$B$200,'Source Ledger'!$E$5:$E$200),0)-IFERROR(XLOOKUP(D108,'Corrected Register'!$A$5:$A$200,'Corrected Register'!$M$5:$M$200),0)))),IFERROR(XLOOKUP(D108,'Corrected Register'!$A$5:$A$200,'Corrected Register'!$N$5:$N$200),0))</f>
        <v/>
      </c>
      <c r="H108" s="7" t="inlineStr">
        <is>
          <t>Reassign MD-00089 off separated Jonah Freedman to a stock/Regional IT bucket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Separated custodian Jonah Freedman (E0077) remains on MD-00089 after OFF-00089 closed. Clear under EX-0104.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Ledger'!$B$5:$B$200,'Source Ledger'!$H$5:$H$200),"")="Disposed",IFERROR(XLOOKUP(D109,'Source Ledger'!$B$5:$B$200,'Source Ledger'!$G$5:$G$200),0),IF(IFERROR(XLOOKUP(D109,'Source Ledger'!$B$5:$B$200,'Source Ledger'!$E$5:$E$200),"")="",IFERROR(XLOOKUP(D109,'Corrected Register'!$A$5:$A$200,'Corrected Register'!$M$5:$M$200),0),ABS(IFERROR(XLOOKUP(D109,'Source Ledger'!$B$5:$B$200,'Source Ledger'!$E$5:$E$200),0)-IFERROR(XLOOKUP(D109,'Corrected Register'!$A$5:$A$200,'Corrected Register'!$M$5:$M$200),0)))),IFERROR(XLOOKUP(D109,'Corrected Register'!$A$5:$A$200,'Corrected Register'!$N$5:$N$200),0))</f>
        <v/>
      </c>
      <c r="H109" s="7" t="inlineStr">
        <is>
          <t>Open loss investigation on MD-00090; remain Missing until located or write-off approved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MD-00090 dropped from the floor after Chicago - Closed; nothing in receiving or disposal files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Ledger'!$B$5:$B$200,'Source Ledger'!$H$5:$H$200),"")="Disposed",IFERROR(XLOOKUP(D110,'Source Ledger'!$B$5:$B$200,'Source Ledger'!$G$5:$G$200),0),IF(IFERROR(XLOOKUP(D110,'Source Ledger'!$B$5:$B$200,'Source Ledger'!$E$5:$E$200),"")="",IFERROR(XLOOKUP(D110,'Corrected Register'!$A$5:$A$200,'Corrected Register'!$M$5:$M$200),0),ABS(IFERROR(XLOOKUP(D110,'Source Ledger'!$B$5:$B$200,'Source Ledger'!$E$5:$E$200),0)-IFERROR(XLOOKUP(D110,'Corrected Register'!$A$5:$A$200,'Corrected Register'!$M$5:$M$200),0)))),IFERROR(XLOOKUP(D110,'Corrected Register'!$A$5:$A$200,'Corrected Register'!$N$5:$N$200),0))</f>
        <v/>
      </c>
      <c r="H110" s="7" t="inlineStr">
        <is>
          <t>Reassign MD-00090 off separated Regina Lowe to a stock/Regional IT bucket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shows Regina Lowe (E0078) terminated, yet the register still lists them on MD-00090 (OFF-00090) — EX-0106.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Ledger'!$B$5:$B$200,'Source Ledger'!$H$5:$H$200),"")="Disposed",IFERROR(XLOOKUP(D111,'Source Ledger'!$B$5:$B$200,'Source Ledger'!$G$5:$G$200),0),IF(IFERROR(XLOOKUP(D111,'Source Ledger'!$B$5:$B$200,'Source Ledger'!$E$5:$E$200),"")="",IFERROR(XLOOKUP(D111,'Corrected Register'!$A$5:$A$200,'Corrected Register'!$M$5:$M$200),0),ABS(IFERROR(XLOOKUP(D111,'Source Ledger'!$B$5:$B$200,'Source Ledger'!$E$5:$E$200),0)-IFERROR(XLOOKUP(D111,'Corrected Register'!$A$5:$A$200,'Corrected Register'!$M$5:$M$200),0)))),IFERROR(XLOOKUP(D111,'Corrected Register'!$A$5:$A$200,'Corrected Register'!$N$5:$N$200),0))</f>
        <v/>
      </c>
      <c r="H111" s="7" t="inlineStr">
        <is>
          <t>Open loss investigation on MD-00091; remain Missing until located or write-off approved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Physical search has not recovered MD-00091 (MD-MO-050091); register still points at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Ledger'!$B$5:$B$200,'Source Ledger'!$H$5:$H$200),"")="Disposed",IFERROR(XLOOKUP(D112,'Source Ledger'!$B$5:$B$200,'Source Ledger'!$G$5:$G$200),0),IF(IFERROR(XLOOKUP(D112,'Source Ledger'!$B$5:$B$200,'Source Ledger'!$E$5:$E$200),"")="",IFERROR(XLOOKUP(D112,'Corrected Register'!$A$5:$A$200,'Corrected Register'!$M$5:$M$200),0),ABS(IFERROR(XLOOKUP(D112,'Source Ledger'!$B$5:$B$200,'Source Ledger'!$E$5:$E$200),0)-IFERROR(XLOOKUP(D112,'Corrected Register'!$A$5:$A$200,'Corrected Register'!$M$5:$M$200),0)))),IFERROR(XLOOKUP(D112,'Corrected Register'!$A$5:$A$200,'Corrected Register'!$N$5:$N$200),0))</f>
        <v/>
      </c>
      <c r="H112" s="7" t="inlineStr">
        <is>
          <t>HR Operations Lead: clear former-employee assignment on MD-00091 (Wes Carvalho)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Offboarding left MD-00091 hanging on Wes Carvalho (E0079); status Separated in hr_employee_status, ticket OFF-00091.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Ledger'!$B$5:$B$200,'Source Ledger'!$H$5:$H$200),"")="Disposed",IFERROR(XLOOKUP(D113,'Source Ledger'!$B$5:$B$200,'Source Ledger'!$G$5:$G$200),0),IF(IFERROR(XLOOKUP(D113,'Source Ledger'!$B$5:$B$200,'Source Ledger'!$E$5:$E$200),"")="",IFERROR(XLOOKUP(D113,'Corrected Register'!$A$5:$A$200,'Corrected Register'!$M$5:$M$200),0),ABS(IFERROR(XLOOKUP(D113,'Source Ledger'!$B$5:$B$200,'Source Ledger'!$E$5:$E$200),0)-IFERROR(XLOOKUP(D113,'Corrected Register'!$A$5:$A$200,'Corrected Register'!$M$5:$M$200),0)))),IFERROR(XLOOKUP(D113,'Corrected Register'!$A$5:$A$200,'Corrected Register'!$N$5:$N$200),0))</f>
        <v/>
      </c>
      <c r="H113" s="7" t="inlineStr">
        <is>
          <t>Open loss investigation on MD-00092; remain Missing until located or write-off approved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Loss path open on MD-00092 — last known Chicago - Closed;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Ledger'!$B$5:$B$200,'Source Ledger'!$H$5:$H$200),"")="Disposed",IFERROR(XLOOKUP(D114,'Source Ledger'!$B$5:$B$200,'Source Ledger'!$G$5:$G$200),0),IF(IFERROR(XLOOKUP(D114,'Source Ledger'!$B$5:$B$200,'Source Ledger'!$E$5:$E$200),"")="",IFERROR(XLOOKUP(D114,'Corrected Register'!$A$5:$A$200,'Corrected Register'!$M$5:$M$200),0),ABS(IFERROR(XLOOKUP(D114,'Source Ledger'!$B$5:$B$200,'Source Ledger'!$E$5:$E$200),0)-IFERROR(XLOOKUP(D114,'Corrected Register'!$A$5:$A$200,'Corrected Register'!$M$5:$M$200),0)))),IFERROR(XLOOKUP(D114,'Corrected Register'!$A$5:$A$200,'Corrected Register'!$N$5:$N$200),0))</f>
        <v/>
      </c>
      <c r="H114" s="7" t="inlineStr">
        <is>
          <t>Remove Tara Singh from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MD-00092 is still assigned to Tara Singh (E0080), whose hr_employee_status row is Separated; OFF-00092 closed with no custodian rewrite (EX-0110).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on MD-00092; Employee ID:E0080; Transfer ID:TR-00092; Ticket ID:OFF-00092; PO Number:PO-2023-0018; Tracking Number:None; Serial:MD-NE-050088; AlsoTagged:MD-00088,MD-00092</t>
        </is>
      </c>
      <c r="G115" s="7">
        <f>IF(B115="Inventory-to-Ledger Difference",IF(IFERROR(XLOOKUP(D115,'Source Ledger'!$B$5:$B$200,'Source Ledger'!$H$5:$H$200),"")="Disposed",IFERROR(XLOOKUP(D115,'Source Ledger'!$B$5:$B$200,'Source Ledger'!$G$5:$G$200),0),IF(IFERROR(XLOOKUP(D115,'Source Ledger'!$B$5:$B$200,'Source Ledger'!$E$5:$E$200),"")="",IFERROR(XLOOKUP(D115,'Corrected Register'!$A$5:$A$200,'Corrected Register'!$M$5:$M$200),0),ABS(IFERROR(XLOOKUP(D115,'Source Ledger'!$B$5:$B$200,'Source Ledger'!$E$5:$E$200),0)-IFERROR(XLOOKUP(D115,'Corrected Register'!$A$5:$A$200,'Corrected Register'!$M$5:$M$200),0)))),IFERROR(XLOOKUP(D115,'Corrected Register'!$A$5:$A$200,'Corrected Register'!$N$5:$N$200),0))</f>
        <v/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is shared by MD-00092 and MD-00088,MD-00092; bench validation and retag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Ledger'!$B$5:$B$200,'Source Ledger'!$H$5:$H$200),"")="Disposed",IFERROR(XLOOKUP(D116,'Source Ledger'!$B$5:$B$200,'Source Ledger'!$G$5:$G$200),0),IF(IFERROR(XLOOKUP(D116,'Source Ledger'!$B$5:$B$200,'Source Ledger'!$E$5:$E$200),"")="",IFERROR(XLOOKUP(D116,'Corrected Register'!$A$5:$A$200,'Corrected Register'!$M$5:$M$200),0),ABS(IFERROR(XLOOKUP(D116,'Source Ledger'!$B$5:$B$200,'Source Ledger'!$E$5:$E$200),0)-IFERROR(XLOOKUP(D116,'Corrected Register'!$A$5:$A$200,'Corrected Register'!$M$5:$M$200),0)))),IFERROR(XLOOKUP(D116,'Corrected Register'!$A$5:$A$200,'Corrected Register'!$N$5:$N$200),0))</f>
        <v/>
      </c>
      <c r="H116" s="7" t="inlineStr">
        <is>
          <t>Open loss investigation on MD-00093; remain Missing until located or write-off approved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No count, dock scan, or disposal certificate places MD-00093; last register site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Ledger'!$B$5:$B$200,'Source Ledger'!$H$5:$H$200),"")="Disposed",IFERROR(XLOOKUP(D117,'Source Ledger'!$B$5:$B$200,'Source Ledger'!$G$5:$G$200),0),IF(IFERROR(XLOOKUP(D117,'Source Ledger'!$B$5:$B$200,'Source Ledger'!$E$5:$E$200),"")="",IFERROR(XLOOKUP(D117,'Corrected Register'!$A$5:$A$200,'Corrected Register'!$M$5:$M$200),0),ABS(IFERROR(XLOOKUP(D117,'Source Ledger'!$B$5:$B$200,'Source Ledger'!$E$5:$E$200),0)-IFERROR(XLOOKUP(D117,'Corrected Register'!$A$5:$A$200,'Corrected Register'!$M$5:$M$200),0)))),IFERROR(XLOOKUP(D117,'Corrected Register'!$A$5:$A$200,'Corrected Register'!$N$5:$N$200),0))</f>
        <v/>
      </c>
      <c r="H117" s="7" t="inlineStr">
        <is>
          <t>Reassign MD-00093 off separated Elliott Park to a stock/Regional IT bucket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shows Elliott Park (E0081) terminated, yet the register still lists them on MD-00093 (OFF-00093) — EX-0113.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Ledger'!$B$5:$B$200,'Source Ledger'!$H$5:$H$200),"")="Disposed",IFERROR(XLOOKUP(D118,'Source Ledger'!$B$5:$B$200,'Source Ledger'!$G$5:$G$200),0),IF(IFERROR(XLOOKUP(D118,'Source Ledger'!$B$5:$B$200,'Source Ledger'!$E$5:$E$200),"")="",IFERROR(XLOOKUP(D118,'Corrected Register'!$A$5:$A$200,'Corrected Register'!$M$5:$M$200),0),ABS(IFERROR(XLOOKUP(D118,'Source Ledger'!$B$5:$B$200,'Source Ledger'!$E$5:$E$200),0)-IFERROR(XLOOKUP(D118,'Corrected Register'!$A$5:$A$200,'Corrected Register'!$M$5:$M$200),0)))),IFERROR(XLOOKUP(D118,'Corrected Register'!$A$5:$A$200,'Corrected Register'!$N$5:$N$200),0))</f>
        <v/>
      </c>
      <c r="H118" s="7" t="inlineStr">
        <is>
          <t>Open loss investigation on MD-00094; remain Missing until located or write-off approved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Loss path open on MD-00094 — last known Chicago - Closed; EX-0114.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Ledger'!$B$5:$B$200,'Source Ledger'!$H$5:$H$200),"")="Disposed",IFERROR(XLOOKUP(D119,'Source Ledger'!$B$5:$B$200,'Source Ledger'!$G$5:$G$200),0),IF(IFERROR(XLOOKUP(D119,'Source Ledger'!$B$5:$B$200,'Source Ledger'!$E$5:$E$200),"")="",IFERROR(XLOOKUP(D119,'Corrected Register'!$A$5:$A$200,'Corrected Register'!$M$5:$M$200),0),ABS(IFERROR(XLOOKUP(D119,'Source Ledger'!$B$5:$B$200,'Source Ledger'!$E$5:$E$200),0)-IFERROR(XLOOKUP(D119,'Corrected Register'!$A$5:$A$200,'Corrected Register'!$M$5:$M$200),0)))),IFERROR(XLOOKUP(D119,'Corrected Register'!$A$5:$A$200,'Corrected Register'!$N$5:$N$200),0))</f>
        <v/>
      </c>
      <c r="H119" s="7" t="inlineStr">
        <is>
          <t>HR Operations Lead: clear former-employee assignment on MD-00094 (Carmen Diaz)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HR shows Carmen Diaz (E0082) terminated, yet the register still lists them on MD-00094 (OFF-00094) —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Ledger'!$B$5:$B$200,'Source Ledger'!$H$5:$H$200),"")="Disposed",IFERROR(XLOOKUP(D120,'Source Ledger'!$B$5:$B$200,'Source Ledger'!$G$5:$G$200),0),IF(IFERROR(XLOOKUP(D120,'Source Ledger'!$B$5:$B$200,'Source Ledger'!$E$5:$E$200),"")="",IFERROR(XLOOKUP(D120,'Corrected Register'!$A$5:$A$200,'Corrected Register'!$M$5:$M$200),0),ABS(IFERROR(XLOOKUP(D120,'Source Ledger'!$B$5:$B$200,'Source Ledger'!$E$5:$E$200),0)-IFERROR(XLOOKUP(D120,'Corrected Register'!$A$5:$A$200,'Corrected Register'!$M$5:$M$200),0)))),IFERROR(XLOOKUP(D120,'Corrected Register'!$A$5:$A$200,'Corrected Register'!$N$5:$N$200),0))</f>
        <v/>
      </c>
      <c r="H120" s="7" t="inlineStr">
        <is>
          <t>Open loss investigation on MD-00095; remain Missing until located or write-off approved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MD-00095 dropped from the floor after Denver - Closed; nothing in receiving or disposal files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Ledger'!$B$5:$B$200,'Source Ledger'!$H$5:$H$200),"")="Disposed",IFERROR(XLOOKUP(D121,'Source Ledger'!$B$5:$B$200,'Source Ledger'!$G$5:$G$200),0),IF(IFERROR(XLOOKUP(D121,'Source Ledger'!$B$5:$B$200,'Source Ledger'!$E$5:$E$200),"")="",IFERROR(XLOOKUP(D121,'Corrected Register'!$A$5:$A$200,'Corrected Register'!$M$5:$M$200),0),ABS(IFERROR(XLOOKUP(D121,'Source Ledger'!$B$5:$B$200,'Source Ledger'!$E$5:$E$200),0)-IFERROR(XLOOKUP(D121,'Corrected Register'!$A$5:$A$200,'Corrected Register'!$M$5:$M$200),0)))),IFERROR(XLOOKUP(D121,'Corrected Register'!$A$5:$A$200,'Corrected Register'!$N$5:$N$200),0))</f>
        <v/>
      </c>
      <c r="H121" s="7" t="inlineStr">
        <is>
          <t>Remove Hugh Talbot from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HR shows Hugh Talbot (E0083) terminated, yet the register still lists them on MD-00095 (OFF-00095) —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Ledger'!$B$5:$B$200,'Source Ledger'!$H$5:$H$200),"")="Disposed",IFERROR(XLOOKUP(D122,'Source Ledger'!$B$5:$B$200,'Source Ledger'!$G$5:$G$200),0),IF(IFERROR(XLOOKUP(D122,'Source Ledger'!$B$5:$B$200,'Source Ledger'!$E$5:$E$200),"")="",IFERROR(XLOOKUP(D122,'Corrected Register'!$A$5:$A$200,'Corrected Register'!$M$5:$M$200),0),ABS(IFERROR(XLOOKUP(D122,'Source Ledger'!$B$5:$B$200,'Source Ledger'!$E$5:$E$200),0)-IFERROR(XLOOKUP(D122,'Corrected Register'!$A$5:$A$200,'Corrected Register'!$M$5:$M$200),0)))),IFERROR(XLOOKUP(D122,'Corrected Register'!$A$5:$A$200,'Corrected Register'!$N$5:$N$200),0))</f>
        <v/>
      </c>
      <c r="H122" s="7" t="inlineStr">
        <is>
          <t>Open loss investigation on MD-00096; remain Missing until located or write-off approved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Physical search has not recovered MD-00096 (MD-NE-050096); register still points at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Ledger'!$B$5:$B$200,'Source Ledger'!$H$5:$H$200),"")="Disposed",IFERROR(XLOOKUP(D123,'Source Ledger'!$B$5:$B$200,'Source Ledger'!$G$5:$G$200),0),IF(IFERROR(XLOOKUP(D123,'Source Ledger'!$B$5:$B$200,'Source Ledger'!$E$5:$E$200),"")="",IFERROR(XLOOKUP(D123,'Corrected Register'!$A$5:$A$200,'Corrected Register'!$M$5:$M$200),0),ABS(IFERROR(XLOOKUP(D123,'Source Ledger'!$B$5:$B$200,'Source Ledger'!$E$5:$E$200),0)-IFERROR(XLOOKUP(D123,'Corrected Register'!$A$5:$A$200,'Corrected Register'!$M$5:$M$200),0)))),IFERROR(XLOOKUP(D123,'Corrected Register'!$A$5:$A$200,'Corrected Register'!$N$5:$N$200),0))</f>
        <v/>
      </c>
      <c r="H123" s="7" t="inlineStr">
        <is>
          <t>Remove Mira Adelman from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left MD-00096 hanging on Mira Adelman (E0084); status Separated in hr_employee_status, ticket OFF-00096. EX-0119.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Ledger'!$B$5:$B$200,'Source Ledger'!$H$5:$H$200),"")="Disposed",IFERROR(XLOOKUP(D124,'Source Ledger'!$B$5:$B$200,'Source Ledger'!$G$5:$G$200),0),IF(IFERROR(XLOOKUP(D124,'Source Ledger'!$B$5:$B$200,'Source Ledger'!$E$5:$E$200),"")="",IFERROR(XLOOKUP(D124,'Corrected Register'!$A$5:$A$200,'Corrected Register'!$M$5:$M$200),0),ABS(IFERROR(XLOOKUP(D124,'Source Ledger'!$B$5:$B$200,'Source Ledger'!$E$5:$E$200),0)-IFERROR(XLOOKUP(D124,'Corrected Register'!$A$5:$A$200,'Corrected Register'!$M$5:$M$200),0)))),IFERROR(XLOOKUP(D124,'Corrected Register'!$A$5:$A$200,'Corrected Register'!$N$5:$N$200),0))</f>
        <v/>
      </c>
      <c r="H124" s="7" t="inlineStr">
        <is>
          <t>Open loss investigation on MD-00097; remain Missing until located or write-off approved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MD-00097 dropped from the floor after Denver - Closed; nothing in receiving or disposal files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Ledger'!$B$5:$B$200,'Source Ledger'!$H$5:$H$200),"")="Disposed",IFERROR(XLOOKUP(D125,'Source Ledger'!$B$5:$B$200,'Source Ledger'!$G$5:$G$200),0),IF(IFERROR(XLOOKUP(D125,'Source Ledger'!$B$5:$B$200,'Source Ledger'!$E$5:$E$200),"")="",IFERROR(XLOOKUP(D125,'Corrected Register'!$A$5:$A$200,'Corrected Register'!$M$5:$M$200),0),ABS(IFERROR(XLOOKUP(D125,'Source Ledger'!$B$5:$B$200,'Source Ledger'!$E$5:$E$200),0)-IFERROR(XLOOKUP(D125,'Corrected Register'!$A$5:$A$200,'Corrected Register'!$M$5:$M$200),0)))),IFERROR(XLOOKUP(D125,'Corrected Register'!$A$5:$A$200,'Corrected Register'!$N$5:$N$200),0))</f>
        <v/>
      </c>
      <c r="H125" s="7" t="inlineStr">
        <is>
          <t>HR Operations Lead: clear former-employee assignment on MD-00097 (Quincy Rhodes)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MD-00097 is still assigned to Quincy Rhodes (E0085), whose hr_employee_status row is Separated; OFF-00097 closed with no custodian rewrite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Ledger'!$B$5:$B$200,'Source Ledger'!$H$5:$H$200),"")="Disposed",IFERROR(XLOOKUP(D126,'Source Ledger'!$B$5:$B$200,'Source Ledger'!$G$5:$G$200),0),IF(IFERROR(XLOOKUP(D126,'Source Ledger'!$B$5:$B$200,'Source Ledger'!$E$5:$E$200),"")="",IFERROR(XLOOKUP(D126,'Corrected Register'!$A$5:$A$200,'Corrected Register'!$M$5:$M$200),0),ABS(IFERROR(XLOOKUP(D126,'Source Ledger'!$B$5:$B$200,'Source Ledger'!$E$5:$E$200),0)-IFERROR(XLOOKUP(D126,'Corrected Register'!$A$5:$A$200,'Corrected Register'!$M$5:$M$200),0)))),IFERROR(XLOOKUP(D126,'Corrected Register'!$A$5:$A$200,'Corrected Register'!$N$5:$N$200),0))</f>
        <v/>
      </c>
      <c r="H126" s="7" t="inlineStr">
        <is>
          <t>Open loss investigation on MD-00098; remain Missing until located or write-off approved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Physical search has not recovered MD-00098 (MD-MO-050098); register still points at Chicago - Closed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Ledger'!$B$5:$B$200,'Source Ledger'!$H$5:$H$200),"")="Disposed",IFERROR(XLOOKUP(D127,'Source Ledger'!$B$5:$B$200,'Source Ledger'!$G$5:$G$200),0),IF(IFERROR(XLOOKUP(D127,'Source Ledger'!$B$5:$B$200,'Source Ledger'!$E$5:$E$200),"")="",IFERROR(XLOOKUP(D127,'Corrected Register'!$A$5:$A$200,'Corrected Register'!$M$5:$M$200),0),ABS(IFERROR(XLOOKUP(D127,'Source Ledger'!$B$5:$B$200,'Source Ledger'!$E$5:$E$200),0)-IFERROR(XLOOKUP(D127,'Corrected Register'!$A$5:$A$200,'Corrected Register'!$M$5:$M$200),0)))),IFERROR(XLOOKUP(D127,'Corrected Register'!$A$5:$A$200,'Corrected Register'!$N$5:$N$200),0))</f>
        <v/>
      </c>
      <c r="H127" s="7" t="inlineStr">
        <is>
          <t>HR Operations Lead: clear former-employee assignment on MD-00098 (Sloane Richter)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MD-00098 is still assigned to Sloane Richter (E0086), whose hr_employee_status row is Separated; OFF-00098 closed with no custodian rewrite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Ledger'!$B$5:$B$200,'Source Ledger'!$H$5:$H$200),"")="Disposed",IFERROR(XLOOKUP(D128,'Source Ledger'!$B$5:$B$200,'Source Ledger'!$G$5:$G$200),0),IF(IFERROR(XLOOKUP(D128,'Source Ledger'!$B$5:$B$200,'Source Ledger'!$E$5:$E$200),"")="",IFERROR(XLOOKUP(D128,'Corrected Register'!$A$5:$A$200,'Corrected Register'!$M$5:$M$200),0),ABS(IFERROR(XLOOKUP(D128,'Source Ledger'!$B$5:$B$200,'Source Ledger'!$E$5:$E$200),0)-IFERROR(XLOOKUP(D128,'Corrected Register'!$A$5:$A$200,'Corrected Register'!$M$5:$M$200),0)))),IFERROR(XLOOKUP(D128,'Corrected Register'!$A$5:$A$200,'Corrected Register'!$N$5:$N$200),0))</f>
        <v/>
      </c>
      <c r="H128" s="7" t="inlineStr">
        <is>
          <t>Open loss investigation on MD-00099; remain Missing until located or write-off approved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Loss path open on MD-00099 — last known Denver - Closed; EX-0124.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Ledger'!$B$5:$B$200,'Source Ledger'!$H$5:$H$200),"")="Disposed",IFERROR(XLOOKUP(D129,'Source Ledger'!$B$5:$B$200,'Source Ledger'!$G$5:$G$200),0),IF(IFERROR(XLOOKUP(D129,'Source Ledger'!$B$5:$B$200,'Source Ledger'!$E$5:$E$200),"")="",IFERROR(XLOOKUP(D129,'Corrected Register'!$A$5:$A$200,'Corrected Register'!$M$5:$M$200),0),ABS(IFERROR(XLOOKUP(D129,'Source Ledger'!$B$5:$B$200,'Source Ledger'!$E$5:$E$200),0)-IFERROR(XLOOKUP(D129,'Corrected Register'!$A$5:$A$200,'Corrected Register'!$M$5:$M$200),0)))),IFERROR(XLOOKUP(D129,'Corrected Register'!$A$5:$A$200,'Corrected Register'!$N$5:$N$200),0))</f>
        <v/>
      </c>
      <c r="H129" s="7" t="inlineStr">
        <is>
          <t>Remove Nolan Vega from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Separated custodian Nolan Vega (E0087) remains on MD-00099 after OFF-00099 closed. Clear under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Ledger'!$B$5:$B$200,'Source Ledger'!$H$5:$H$200),"")="Disposed",IFERROR(XLOOKUP(D130,'Source Ledger'!$B$5:$B$200,'Source Ledger'!$G$5:$G$200),0),IF(IFERROR(XLOOKUP(D130,'Source Ledger'!$B$5:$B$200,'Source Ledger'!$E$5:$E$200),"")="",IFERROR(XLOOKUP(D130,'Corrected Register'!$A$5:$A$200,'Corrected Register'!$M$5:$M$200),0),ABS(IFERROR(XLOOKUP(D130,'Source Ledger'!$B$5:$B$200,'Source Ledger'!$E$5:$E$200),0)-IFERROR(XLOOKUP(D130,'Corrected Register'!$A$5:$A$200,'Corrected Register'!$M$5:$M$200),0)))),IFERROR(XLOOKUP(D130,'Corrected Register'!$A$5:$A$200,'Corrected Register'!$N$5:$N$200),0))</f>
        <v/>
      </c>
      <c r="H130" s="7" t="inlineStr">
        <is>
          <t>Open loss investigation on MD-00100; remain Missing until located or write-off approved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count, dock scan, or disposal certificate places MD-00100; last register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Ledger'!$B$5:$B$200,'Source Ledger'!$H$5:$H$200),"")="Disposed",IFERROR(XLOOKUP(D131,'Source Ledger'!$B$5:$B$200,'Source Ledger'!$G$5:$G$200),0),IF(IFERROR(XLOOKUP(D131,'Source Ledger'!$B$5:$B$200,'Source Ledger'!$E$5:$E$200),"")="",IFERROR(XLOOKUP(D131,'Corrected Register'!$A$5:$A$200,'Corrected Register'!$M$5:$M$200),0),ABS(IFERROR(XLOOKUP(D131,'Source Ledger'!$B$5:$B$200,'Source Ledger'!$E$5:$E$200),0)-IFERROR(XLOOKUP(D131,'Corrected Register'!$A$5:$A$200,'Corrected Register'!$M$5:$M$200),0)))),IFERROR(XLOOKUP(D131,'Corrected Register'!$A$5:$A$200,'Corrected Register'!$N$5:$N$200),0))</f>
        <v/>
      </c>
      <c r="H131" s="7" t="inlineStr">
        <is>
          <t>Remove Ivy Chenoweth from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shows Ivy Chenoweth (E0088) terminated, yet the register still lists them on MD-00100 (OFF-00100) —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Ledger'!$B$5:$B$200,'Source Ledger'!$H$5:$H$200),"")="Disposed",IFERROR(XLOOKUP(D132,'Source Ledger'!$B$5:$B$200,'Source Ledger'!$G$5:$G$200),0),IF(IFERROR(XLOOKUP(D132,'Source Ledger'!$B$5:$B$200,'Source Ledger'!$E$5:$E$200),"")="",IFERROR(XLOOKUP(D132,'Corrected Register'!$A$5:$A$200,'Corrected Register'!$M$5:$M$200),0),ABS(IFERROR(XLOOKUP(D132,'Source Ledger'!$B$5:$B$200,'Source Ledger'!$E$5:$E$200),0)-IFERROR(XLOOKUP(D132,'Corrected Register'!$A$5:$A$200,'Corrected Register'!$M$5:$M$200),0)))),IFERROR(XLOOKUP(D132,'Corrected Register'!$A$5:$A$200,'Corrected Register'!$N$5:$N$200),0))</f>
        <v/>
      </c>
      <c r="H132" s="7" t="inlineStr">
        <is>
          <t>Obtain disposal certificate for MD-00101 or reverse the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asset_disposal_records has no DC match for MD-LA-050101 on MD-00101 after TR-00101. EX-0128.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Ledger'!$B$5:$B$200,'Source Ledger'!$H$5:$H$200),"")="Disposed",IFERROR(XLOOKUP(D133,'Source Ledger'!$B$5:$B$200,'Source Ledger'!$G$5:$G$200),0),IF(IFERROR(XLOOKUP(D133,'Source Ledger'!$B$5:$B$200,'Source Ledger'!$E$5:$E$200),"")="",IFERROR(XLOOKUP(D133,'Corrected Register'!$A$5:$A$200,'Corrected Register'!$M$5:$M$200),0),ABS(IFERROR(XLOOKUP(D133,'Source Ledger'!$B$5:$B$200,'Source Ledger'!$E$5:$E$200),0)-IFERROR(XLOOKUP(D133,'Corrected Register'!$A$5:$A$200,'Corrected Register'!$M$5:$M$200),0)))),IFERROR(XLOOKUP(D133,'Corrected Register'!$A$5:$A$200,'Corrected Register'!$N$5:$N$200),0))</f>
        <v/>
      </c>
      <c r="H133" s="7" t="inlineStr">
        <is>
          <t>EX-0129: location hygiene on MD-00101 — replace Denver - Closed with Seattle.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MD-00101 still shows closed floor Denver - Closed on the extract — TR-00101 already points inbound to Seattle; live footprint is Seattle; logged as EX-0129.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Ledger'!$B$5:$B$200,'Source Ledger'!$H$5:$H$200),"")="Disposed",IFERROR(XLOOKUP(D134,'Source Ledger'!$B$5:$B$200,'Source Ledger'!$G$5:$G$200),0),IF(IFERROR(XLOOKUP(D134,'Source Ledger'!$B$5:$B$200,'Source Ledger'!$E$5:$E$200),"")="",IFERROR(XLOOKUP(D134,'Corrected Register'!$A$5:$A$200,'Corrected Register'!$M$5:$M$200),0),ABS(IFERROR(XLOOKUP(D134,'Source Ledger'!$B$5:$B$200,'Source Ledger'!$E$5:$E$200),0)-IFERROR(XLOOKUP(D134,'Corrected Register'!$A$5:$A$200,'Corrected Register'!$M$5:$M$200),0)))),IFERROR(XLOOKUP(D134,'Corrected Register'!$A$5:$A$200,'Corrected Register'!$N$5:$N$200),0))</f>
        <v/>
      </c>
      <c r="H134" s="7" t="inlineStr">
        <is>
          <t>Obtain disposal certificate for MD-00102 or reverse the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MD-00102 is Retired/Pending Disposal without a verified disposal certificate; TR-00102 moved it to recycler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Difference",IF(IFERROR(XLOOKUP(D135,'Source Ledger'!$B$5:$B$200,'Source Ledger'!$H$5:$H$200),"")="Disposed",IFERROR(XLOOKUP(D135,'Source Ledger'!$B$5:$B$200,'Source Ledger'!$G$5:$G$200),0),IF(IFERROR(XLOOKUP(D135,'Source Ledger'!$B$5:$B$200,'Source Ledger'!$E$5:$E$200),"")="",IFERROR(XLOOKUP(D135,'Corrected Register'!$A$5:$A$200,'Corrected Register'!$M$5:$M$200),0),ABS(IFERROR(XLOOKUP(D135,'Source Ledger'!$B$5:$B$200,'Source Ledger'!$E$5:$E$200),0)-IFERROR(XLOOKUP(D135,'Corrected Register'!$A$5:$A$200,'Corrected Register'!$M$5:$M$200),0)))),IFERROR(XLOOKUP(D135,'Corrected Register'!$A$5:$A$200,'Corrected Register'!$N$5:$N$200),0))</f>
        <v/>
      </c>
      <c r="H135" s="7" t="inlineStr">
        <is>
          <t>Align MD-00102 cost: register $700 vs ledger $820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$700 on MD-00102 vs $820 on FA-000102 (Δ $120); EX-0131.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Ledger'!$B$5:$B$200,'Source Ledger'!$H$5:$H$200),"")="Disposed",IFERROR(XLOOKUP(D136,'Source Ledger'!$B$5:$B$200,'Source Ledger'!$G$5:$G$200),0),IF(IFERROR(XLOOKUP(D136,'Source Ledger'!$B$5:$B$200,'Source Ledger'!$E$5:$E$200),"")="",IFERROR(XLOOKUP(D136,'Corrected Register'!$A$5:$A$200,'Corrected Register'!$M$5:$M$200),0),ABS(IFERROR(XLOOKUP(D136,'Source Ledger'!$B$5:$B$200,'Source Ledger'!$E$5:$E$200),0)-IFERROR(XLOOKUP(D136,'Corrected Register'!$A$5:$A$200,'Corrected Register'!$M$5:$M$200),0)))),IFERROR(XLOOKUP(D136,'Corrected Register'!$A$5:$A$200,'Corrected Register'!$N$5:$N$200),0))</f>
        <v/>
      </c>
      <c r="H136" s="7" t="inlineStr">
        <is>
          <t>IT Asset Specialist: post Atlanta on MD-00102 and retire Chicago - Closed (EX-0132).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ticketed EX-0132; site field on MD-00102 (MD-MO-050102) still reads Chicago - Closed; TR-00102 already points inbound to Atlanta; live footprint is Atlanta.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Ledger'!$B$5:$B$200,'Source Ledger'!$H$5:$H$200),"")="Disposed",IFERROR(XLOOKUP(D137,'Source Ledger'!$B$5:$B$200,'Source Ledger'!$G$5:$G$200),0),IF(IFERROR(XLOOKUP(D137,'Source Ledger'!$B$5:$B$200,'Source Ledger'!$E$5:$E$200),"")="",IFERROR(XLOOKUP(D137,'Corrected Register'!$A$5:$A$200,'Corrected Register'!$M$5:$M$200),0),ABS(IFERROR(XLOOKUP(D137,'Source Ledger'!$B$5:$B$200,'Source Ledger'!$E$5:$E$200),0)-IFERROR(XLOOKUP(D137,'Corrected Register'!$A$5:$A$200,'Corrected Register'!$M$5:$M$200),0)))),IFERROR(XLOOKUP(D137,'Corrected Register'!$A$5:$A$200,'Corrected Register'!$N$5:$N$200),0))</f>
        <v/>
      </c>
      <c r="H137" s="7" t="inlineStr">
        <is>
          <t>Obtain disposal certificate for MD-00103 or reverse the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asset_disposal_records has no DC match for MD-MO-050103 on MD-00103 after TR-00103.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Ledger'!$B$5:$B$200,'Source Ledger'!$H$5:$H$200),"")="Disposed",IFERROR(XLOOKUP(D138,'Source Ledger'!$B$5:$B$200,'Source Ledger'!$G$5:$G$200),0),IF(IFERROR(XLOOKUP(D138,'Source Ledger'!$B$5:$B$200,'Source Ledger'!$E$5:$E$200),"")="",IFERROR(XLOOKUP(D138,'Corrected Register'!$A$5:$A$200,'Corrected Register'!$M$5:$M$200),0),ABS(IFERROR(XLOOKUP(D138,'Source Ledger'!$B$5:$B$200,'Source Ledger'!$E$5:$E$200),0)-IFERROR(XLOOKUP(D138,'Corrected Register'!$A$5:$A$200,'Corrected Register'!$M$5:$M$200),0)))),IFERROR(XLOOKUP(D138,'Corrected Register'!$A$5:$A$200,'Corrected Register'!$N$5:$N$200),0))</f>
        <v/>
      </c>
      <c r="H138" s="7" t="inlineStr">
        <is>
          <t>EX-0134: location hygiene on MD-00103 — replace Denver - Closed with Chicago.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ticketed EX-0134 — site field on MD-00103 (MD-MO-050103) still reads Denver - Closed; TR-00103 already points inbound to Chicago; live footprint is Chicago.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Ledger'!$B$5:$B$200,'Source Ledger'!$H$5:$H$200),"")="Disposed",IFERROR(XLOOKUP(D139,'Source Ledger'!$B$5:$B$200,'Source Ledger'!$G$5:$G$200),0),IF(IFERROR(XLOOKUP(D139,'Source Ledger'!$B$5:$B$200,'Source Ledger'!$E$5:$E$200),"")="",IFERROR(XLOOKUP(D139,'Corrected Register'!$A$5:$A$200,'Corrected Register'!$M$5:$M$200),0),ABS(IFERROR(XLOOKUP(D139,'Source Ledger'!$B$5:$B$200,'Source Ledger'!$E$5:$E$200),0)-IFERROR(XLOOKUP(D139,'Corrected Register'!$A$5:$A$200,'Corrected Register'!$M$5:$M$200),0)))),IFERROR(XLOOKUP(D139,'Corrected Register'!$A$5:$A$200,'Corrected Register'!$N$5:$N$200),0))</f>
        <v/>
      </c>
      <c r="H139" s="7" t="inlineStr">
        <is>
          <t>Obtain disposal certificate for MD-00104 or reverse the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MD-00104 is Retired/Pending Disposal without a verified disposal certificate; TR-00104 moved it to recycler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Ledger'!$B$5:$B$200,'Source Ledger'!$H$5:$H$200),"")="Disposed",IFERROR(XLOOKUP(D140,'Source Ledger'!$B$5:$B$200,'Source Ledger'!$G$5:$G$200),0),IF(IFERROR(XLOOKUP(D140,'Source Ledger'!$B$5:$B$200,'Source Ledger'!$E$5:$E$200),"")="",IFERROR(XLOOKUP(D140,'Corrected Register'!$A$5:$A$200,'Corrected Register'!$M$5:$M$200),0),ABS(IFERROR(XLOOKUP(D140,'Source Ledger'!$B$5:$B$200,'Source Ledger'!$E$5:$E$200),0)-IFERROR(XLOOKUP(D140,'Corrected Register'!$A$5:$A$200,'Corrected Register'!$M$5:$M$200),0)))),IFERROR(XLOOKUP(D140,'Corrected Register'!$A$5:$A$200,'Corrected Register'!$N$5:$N$200),0))</f>
        <v/>
      </c>
      <c r="H140" s="7" t="inlineStr">
        <is>
          <t>Do not certify MD-00104 while location still says Chicago - Closed; target Dallas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MD-00104 still shows closed floor Chicago - Closed on the extract; TR-00104 already points inbound to Dallas; live footprint is Dallas; logged as EX-0136.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Ledger'!$B$5:$B$200,'Source Ledger'!$H$5:$H$200),"")="Disposed",IFERROR(XLOOKUP(D141,'Source Ledger'!$B$5:$B$200,'Source Ledger'!$G$5:$G$200),0),IF(IFERROR(XLOOKUP(D141,'Source Ledger'!$B$5:$B$200,'Source Ledger'!$E$5:$E$200),"")="",IFERROR(XLOOKUP(D141,'Corrected Register'!$A$5:$A$200,'Corrected Register'!$M$5:$M$200),0),ABS(IFERROR(XLOOKUP(D141,'Source Ledger'!$B$5:$B$200,'Source Ledger'!$E$5:$E$200),0)-IFERROR(XLOOKUP(D141,'Corrected Register'!$A$5:$A$200,'Corrected Register'!$M$5:$M$200),0)))),IFERROR(XLOOKUP(D141,'Corrected Register'!$A$5:$A$200,'Corrected Register'!$N$5:$N$200),0))</f>
        <v/>
      </c>
      <c r="H141" s="7" t="inlineStr">
        <is>
          <t>Obtain disposal certificate for MD-00105 or reverse the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Retirement of MD-00105 lacks certificate proof; ledger may already show Disposed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Ledger'!$B$5:$B$200,'Source Ledger'!$H$5:$H$200),"")="Disposed",IFERROR(XLOOKUP(D142,'Source Ledger'!$B$5:$B$200,'Source Ledger'!$G$5:$G$200),0),IF(IFERROR(XLOOKUP(D142,'Source Ledger'!$B$5:$B$200,'Source Ledger'!$E$5:$E$200),"")="",IFERROR(XLOOKUP(D142,'Corrected Register'!$A$5:$A$200,'Corrected Register'!$M$5:$M$200),0),ABS(IFERROR(XLOOKUP(D142,'Source Ledger'!$B$5:$B$200,'Source Ledger'!$E$5:$E$200),0)-IFERROR(XLOOKUP(D142,'Corrected Register'!$A$5:$A$200,'Corrected Register'!$M$5:$M$200),0)))),IFERROR(XLOOKUP(D142,'Corrected Register'!$A$5:$A$200,'Corrected Register'!$N$5:$N$200),0))</f>
        <v/>
      </c>
      <c r="H142" s="7" t="inlineStr">
        <is>
          <t>Correct MD-00105 site code (Denver - Closed) now that TR-00105 supports Denver (EX-0138).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MD-00105 still shows closed floor Denver - Closed on the extract — TR-00105 already points inbound to Denver; live footprint is Denver; logged as EX-0138.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Ledger'!$B$5:$B$200,'Source Ledger'!$H$5:$H$200),"")="Disposed",IFERROR(XLOOKUP(D143,'Source Ledger'!$B$5:$B$200,'Source Ledger'!$G$5:$G$200),0),IF(IFERROR(XLOOKUP(D143,'Source Ledger'!$B$5:$B$200,'Source Ledger'!$E$5:$E$200),"")="",IFERROR(XLOOKUP(D143,'Corrected Register'!$A$5:$A$200,'Corrected Register'!$M$5:$M$200),0),ABS(IFERROR(XLOOKUP(D143,'Source Ledger'!$B$5:$B$200,'Source Ledger'!$E$5:$E$200),0)-IFERROR(XLOOKUP(D143,'Corrected Register'!$A$5:$A$200,'Corrected Register'!$M$5:$M$200),0)))),IFERROR(XLOOKUP(D143,'Corrected Register'!$A$5:$A$200,'Corrected Register'!$N$5:$N$200),0))</f>
        <v/>
      </c>
      <c r="H143" s="7" t="inlineStr">
        <is>
          <t>Obtain disposal certificate for MD-00106 or reverse the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MD-00106 is Retired/Pending Disposal without a verified disposal certificate; TR-00106 moved it to recycler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Ledger'!$B$5:$B$200,'Source Ledger'!$H$5:$H$200),"")="Disposed",IFERROR(XLOOKUP(D144,'Source Ledger'!$B$5:$B$200,'Source Ledger'!$G$5:$G$200),0),IF(IFERROR(XLOOKUP(D144,'Source Ledger'!$B$5:$B$200,'Source Ledger'!$E$5:$E$200),"")="",IFERROR(XLOOKUP(D144,'Corrected Register'!$A$5:$A$200,'Corrected Register'!$M$5:$M$200),0),ABS(IFERROR(XLOOKUP(D144,'Source Ledger'!$B$5:$B$200,'Source Ledger'!$E$5:$E$200),0)-IFERROR(XLOOKUP(D144,'Corrected Register'!$A$5:$A$200,'Corrected Register'!$M$5:$M$200),0)))),IFERROR(XLOOKUP(D144,'Corrected Register'!$A$5:$A$200,'Corrected Register'!$N$5:$N$200),0))</f>
        <v/>
      </c>
      <c r="H144" s="7" t="inlineStr">
        <is>
          <t>Pending register edit EX-0140: MD-00106 should show New York, not Chicago - Closed.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Opened under EX-0140. Register location for MD-00106 was never flipped off Chicago - Closed. TR-00106 already points inbound to New York. Live footprint is New York.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Ledger'!$B$5:$B$200,'Source Ledger'!$H$5:$H$200),"")="Disposed",IFERROR(XLOOKUP(D145,'Source Ledger'!$B$5:$B$200,'Source Ledger'!$G$5:$G$200),0),IF(IFERROR(XLOOKUP(D145,'Source Ledger'!$B$5:$B$200,'Source Ledger'!$E$5:$E$200),"")="",IFERROR(XLOOKUP(D145,'Corrected Register'!$A$5:$A$200,'Corrected Register'!$M$5:$M$200),0),ABS(IFERROR(XLOOKUP(D145,'Source Ledger'!$B$5:$B$200,'Source Ledger'!$E$5:$E$200),0)-IFERROR(XLOOKUP(D145,'Corrected Register'!$A$5:$A$200,'Corrected Register'!$M$5:$M$200),0)))),IFERROR(XLOOKUP(D145,'Corrected Register'!$A$5:$A$200,'Corrected Register'!$N$5:$N$200),0))</f>
        <v/>
      </c>
      <c r="H145" s="7" t="inlineStr">
        <is>
          <t>Obtain disposal certificate for MD-00107 or reverse the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 of MD-00107 lacks certificate proof; ledger may already show Disposed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Ledger'!$B$5:$B$200,'Source Ledger'!$H$5:$H$200),"")="Disposed",IFERROR(XLOOKUP(D146,'Source Ledger'!$B$5:$B$200,'Source Ledger'!$G$5:$G$200),0),IF(IFERROR(XLOOKUP(D146,'Source Ledger'!$B$5:$B$200,'Source Ledger'!$E$5:$E$200),"")="",IFERROR(XLOOKUP(D146,'Corrected Register'!$A$5:$A$200,'Corrected Register'!$M$5:$M$200),0),ABS(IFERROR(XLOOKUP(D146,'Source Ledger'!$B$5:$B$200,'Source Ledger'!$E$5:$E$200),0)-IFERROR(XLOOKUP(D146,'Corrected Register'!$A$5:$A$200,'Corrected Register'!$M$5:$M$200),0)))),IFERROR(XLOOKUP(D146,'Corrected Register'!$A$5:$A$200,'Corrected Register'!$N$5:$N$200),0))</f>
        <v/>
      </c>
      <c r="H146" s="7" t="inlineStr">
        <is>
          <t>IT stock desk: rewrite site on MD-00107 to Seattle; Denver - Closed is retired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Denver - Closed remains on MD-00107 after the consolidation cutover — TR-00107 already points inbound to Seattle; live footprint is Seattle; see EX-0142.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Ledger'!$B$5:$B$200,'Source Ledger'!$H$5:$H$200),"")="Disposed",IFERROR(XLOOKUP(D147,'Source Ledger'!$B$5:$B$200,'Source Ledger'!$G$5:$G$200),0),IF(IFERROR(XLOOKUP(D147,'Source Ledger'!$B$5:$B$200,'Source Ledger'!$E$5:$E$200),"")="",IFERROR(XLOOKUP(D147,'Corrected Register'!$A$5:$A$200,'Corrected Register'!$M$5:$M$200),0),ABS(IFERROR(XLOOKUP(D147,'Source Ledger'!$B$5:$B$200,'Source Ledger'!$E$5:$E$200),0)-IFERROR(XLOOKUP(D147,'Corrected Register'!$A$5:$A$200,'Corrected Register'!$M$5:$M$200),0)))),IFERROR(XLOOKUP(D147,'Corrected Register'!$A$5:$A$200,'Corrected Register'!$N$5:$N$200),0))</f>
        <v/>
      </c>
      <c r="H147" s="7" t="inlineStr">
        <is>
          <t>Obtain disposal certificate for MD-00108 or reverse the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asset_disposal_records has no DC match for MD-NE-050108 on MD-00108 after TR-00108. EX-0143.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Ledger'!$B$5:$B$200,'Source Ledger'!$H$5:$H$200),"")="Disposed",IFERROR(XLOOKUP(D148,'Source Ledger'!$B$5:$B$200,'Source Ledger'!$G$5:$G$200),0),IF(IFERROR(XLOOKUP(D148,'Source Ledger'!$B$5:$B$200,'Source Ledger'!$E$5:$E$200),"")="",IFERROR(XLOOKUP(D148,'Corrected Register'!$A$5:$A$200,'Corrected Register'!$M$5:$M$200),0),ABS(IFERROR(XLOOKUP(D148,'Source Ledger'!$B$5:$B$200,'Source Ledger'!$E$5:$E$200),0)-IFERROR(XLOOKUP(D148,'Corrected Register'!$A$5:$A$200,'Corrected Register'!$M$5:$M$200),0)))),IFERROR(XLOOKUP(D148,'Corrected Register'!$A$5:$A$200,'Corrected Register'!$N$5:$N$200),0))</f>
        <v/>
      </c>
      <c r="H148" s="7" t="inlineStr">
        <is>
          <t>Swap Chicago - Closed → Atlanta on MD-00108's location field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Chicago - Closed remains on MD-00108 after the consolidation cutover. TR-00108 already points inbound to Atlanta. Live footprint is Atlanta. See EX-0144.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Ledger'!$B$5:$B$200,'Source Ledger'!$H$5:$H$200),"")="Disposed",IFERROR(XLOOKUP(D149,'Source Ledger'!$B$5:$B$200,'Source Ledger'!$G$5:$G$200),0),IF(IFERROR(XLOOKUP(D149,'Source Ledger'!$B$5:$B$200,'Source Ledger'!$E$5:$E$200),"")="",IFERROR(XLOOKUP(D149,'Corrected Register'!$A$5:$A$200,'Corrected Register'!$M$5:$M$200),0),ABS(IFERROR(XLOOKUP(D149,'Source Ledger'!$B$5:$B$200,'Source Ledger'!$E$5:$E$200),0)-IFERROR(XLOOKUP(D149,'Corrected Register'!$A$5:$A$200,'Corrected Register'!$M$5:$M$200),0)))),IFERROR(XLOOKUP(D149,'Corrected Register'!$A$5:$A$200,'Corrected Register'!$N$5:$N$200),0))</f>
        <v/>
      </c>
      <c r="H149" s="7" t="inlineStr">
        <is>
          <t>Obtain disposal certificate for MD-00109 or reverse the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of MD-00109 lacks certificate proof; ledger may already show Disposed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Ledger'!$B$5:$B$200,'Source Ledger'!$H$5:$H$200),"")="Disposed",IFERROR(XLOOKUP(D150,'Source Ledger'!$B$5:$B$200,'Source Ledger'!$G$5:$G$200),0),IF(IFERROR(XLOOKUP(D150,'Source Ledger'!$B$5:$B$200,'Source Ledger'!$E$5:$E$200),"")="",IFERROR(XLOOKUP(D150,'Corrected Register'!$A$5:$A$200,'Corrected Register'!$M$5:$M$200),0),ABS(IFERROR(XLOOKUP(D150,'Source Ledger'!$B$5:$B$200,'Source Ledger'!$E$5:$E$200),0)-IFERROR(XLOOKUP(D150,'Corrected Register'!$A$5:$A$200,'Corrected Register'!$M$5:$M$200),0)))),IFERROR(XLOOKUP(D150,'Corrected Register'!$A$5:$A$200,'Corrected Register'!$N$5:$N$200),0))</f>
        <v/>
      </c>
      <c r="H150" s="7" t="inlineStr">
        <is>
          <t>Register fix for MD-00109 — drop Denver - Closed, keep Chicago; reference TR-00109. EX-0146.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Denver - Closed remains on MD-00109 after the consolidation cutover; TR-00109 already points inbound to Chicago; live footprint is Chicago; see EX-0146.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Ledger'!$B$5:$B$200,'Source Ledger'!$H$5:$H$200),"")="Disposed",IFERROR(XLOOKUP(D151,'Source Ledger'!$B$5:$B$200,'Source Ledger'!$G$5:$G$200),0),IF(IFERROR(XLOOKUP(D151,'Source Ledger'!$B$5:$B$200,'Source Ledger'!$E$5:$E$200),"")="",IFERROR(XLOOKUP(D151,'Corrected Register'!$A$5:$A$200,'Corrected Register'!$M$5:$M$200),0),ABS(IFERROR(XLOOKUP(D151,'Source Ledger'!$B$5:$B$200,'Source Ledger'!$E$5:$E$200),0)-IFERROR(XLOOKUP(D151,'Corrected Register'!$A$5:$A$200,'Corrected Register'!$M$5:$M$200),0)))),IFERROR(XLOOKUP(D151,'Corrected Register'!$A$5:$A$200,'Corrected Register'!$N$5:$N$200),0))</f>
        <v/>
      </c>
      <c r="H151" s="7" t="inlineStr">
        <is>
          <t>Obtain disposal certificate for MD-00110 or reverse the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MD-00110 is Retired/Pending Disposal without a verified disposal certificate; TR-00110 moved it to recycler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Ledger'!$B$5:$B$200,'Source Ledger'!$H$5:$H$200),"")="Disposed",IFERROR(XLOOKUP(D152,'Source Ledger'!$B$5:$B$200,'Source Ledger'!$G$5:$G$200),0),IF(IFERROR(XLOOKUP(D152,'Source Ledger'!$B$5:$B$200,'Source Ledger'!$E$5:$E$200),"")="",IFERROR(XLOOKUP(D152,'Corrected Register'!$A$5:$A$200,'Corrected Register'!$M$5:$M$200),0),ABS(IFERROR(XLOOKUP(D152,'Source Ledger'!$B$5:$B$200,'Source Ledger'!$E$5:$E$200),0)-IFERROR(XLOOKUP(D152,'Corrected Register'!$A$5:$A$200,'Corrected Register'!$M$5:$M$200),0)))),IFERROR(XLOOKUP(D152,'Corrected Register'!$A$5:$A$200,'Corrected Register'!$N$5:$N$200),0))</f>
        <v/>
      </c>
      <c r="H152" s="7" t="inlineStr">
        <is>
          <t>Do not certify MD-00110 while location still says Chicago - Closed; target Dallas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ticketed EX-0148; site field on MD-00110 (MD-MO-050110) still reads Chicago - Closed; TR-00110 already points inbound to Dallas; live footprint is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Ledger'!$B$5:$B$200,'Source Ledger'!$H$5:$H$200),"")="Disposed",IFERROR(XLOOKUP(D153,'Source Ledger'!$B$5:$B$200,'Source Ledger'!$G$5:$G$200),0),IF(IFERROR(XLOOKUP(D153,'Source Ledger'!$B$5:$B$200,'Source Ledger'!$E$5:$E$200),"")="",IFERROR(XLOOKUP(D153,'Corrected Register'!$A$5:$A$200,'Corrected Register'!$M$5:$M$200),0),ABS(IFERROR(XLOOKUP(D153,'Source Ledger'!$B$5:$B$200,'Source Ledger'!$E$5:$E$200),0)-IFERROR(XLOOKUP(D153,'Corrected Register'!$A$5:$A$200,'Corrected Register'!$M$5:$M$200),0)))),IFERROR(XLOOKUP(D153,'Corrected Register'!$A$5:$A$200,'Corrected Register'!$N$5:$N$200),0))</f>
        <v/>
      </c>
      <c r="H153" s="7" t="inlineStr">
        <is>
          <t>Critical certification blocker — Obtain disposal certificate for MD-00114 or reverse the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Critical certification blocker — Retirement of MD-00114 lacks certificate proof; ledger may already show Disposed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Ledger'!$B$5:$B$200,'Source Ledger'!$H$5:$H$200),"")="Disposed",IFERROR(XLOOKUP(D154,'Source Ledger'!$B$5:$B$200,'Source Ledger'!$G$5:$G$200),0),IF(IFERROR(XLOOKUP(D154,'Source Ledger'!$B$5:$B$200,'Source Ledger'!$E$5:$E$200),"")="",IFERROR(XLOOKUP(D154,'Corrected Register'!$A$5:$A$200,'Corrected Register'!$M$5:$M$200),0),ABS(IFERROR(XLOOKUP(D154,'Source Ledger'!$B$5:$B$200,'Source Ledger'!$E$5:$E$200),0)-IFERROR(XLOOKUP(D154,'Corrected Register'!$A$5:$A$200,'Corrected Register'!$M$5:$M$200),0)))),IFERROR(XLOOKUP(D154,'Corrected Register'!$A$5:$A$200,'Corrected Register'!$N$5:$N$200),0))</f>
        <v/>
      </c>
      <c r="H154" s="7" t="inlineStr">
        <is>
          <t>EX-0150: location hygiene on MD-00114 — replace Chicago - Closed with Disposed (certificate missing).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opened under EX-0150; register location for MD-00114 was never flipped off Chicago - Closed; TR-00114 already points inbound to Disposed (certificate missing); live footprint is Disposed (certificate missing).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Ledger'!$B$5:$B$200,'Source Ledger'!$H$5:$H$200),"")="Disposed",IFERROR(XLOOKUP(D155,'Source Ledger'!$B$5:$B$200,'Source Ledger'!$G$5:$G$200),0),IF(IFERROR(XLOOKUP(D155,'Source Ledger'!$B$5:$B$200,'Source Ledger'!$E$5:$E$200),"")="",IFERROR(XLOOKUP(D155,'Corrected Register'!$A$5:$A$200,'Corrected Register'!$M$5:$M$200),0),ABS(IFERROR(XLOOKUP(D155,'Source Ledger'!$B$5:$B$200,'Source Ledger'!$E$5:$E$200),0)-IFERROR(XLOOKUP(D155,'Corrected Register'!$A$5:$A$200,'Corrected Register'!$M$5:$M$200),0)))),IFERROR(XLOOKUP(D155,'Corrected Register'!$A$5:$A$200,'Corrected Register'!$N$5:$N$200),0))</f>
        <v/>
      </c>
      <c r="H155" s="7" t="inlineStr">
        <is>
          <t>Critical certification blocker — Obtain disposal certificate for MD-00118 or reverse the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Critical certification blocker — asset_disposal_records has no DC match for MD-MO-050118 on MD-00118 after TR-00118.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Ledger'!$B$5:$B$200,'Source Ledger'!$H$5:$H$200),"")="Disposed",IFERROR(XLOOKUP(D156,'Source Ledger'!$B$5:$B$200,'Source Ledger'!$G$5:$G$200),0),IF(IFERROR(XLOOKUP(D156,'Source Ledger'!$B$5:$B$200,'Source Ledger'!$E$5:$E$200),"")="",IFERROR(XLOOKUP(D156,'Corrected Register'!$A$5:$A$200,'Corrected Register'!$M$5:$M$200),0),ABS(IFERROR(XLOOKUP(D156,'Source Ledger'!$B$5:$B$200,'Source Ledger'!$E$5:$E$200),0)-IFERROR(XLOOKUP(D156,'Corrected Register'!$A$5:$A$200,'Corrected Register'!$M$5:$M$200),0)))),IFERROR(XLOOKUP(D156,'Corrected Register'!$A$5:$A$200,'Corrected Register'!$N$5:$N$200),0))</f>
        <v/>
      </c>
      <c r="H156" s="7" t="inlineStr">
        <is>
          <t>Update MD-00118 from Chicago - Closed to Disposed (certificate missing) using TR-00118 (EX-0152).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opened under EX-0152; register location for MD-00118 was never flipped off Chicago - Closed; TR-00118 already points inbound to Disposed (certificate missing); live footprint is Disposed (certificate missing).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</t>
        </is>
      </c>
      <c r="G157" s="7">
        <f>IF(B157="Inventory-to-Ledger Difference",IF(IFERROR(XLOOKUP(D157,'Source Ledger'!$B$5:$B$200,'Source Ledger'!$H$5:$H$200),"")="Disposed",IFERROR(XLOOKUP(D157,'Source Ledger'!$B$5:$B$200,'Source Ledger'!$G$5:$G$200),0),IF(IFERROR(XLOOKUP(D157,'Source Ledger'!$B$5:$B$200,'Source Ledger'!$E$5:$E$200),"")="",IFERROR(XLOOKUP(D157,'Corrected Register'!$A$5:$A$200,'Corrected Register'!$M$5:$M$200),0),ABS(IFERROR(XLOOKUP(D157,'Source Ledger'!$B$5:$B$200,'Source Ledger'!$E$5:$E$200),0)-IFERROR(XLOOKUP(D157,'Corrected Register'!$A$5:$A$200,'Corrected Register'!$M$5:$M$200),0)))),IFERROR(XLOOKUP(D157,'Corrected Register'!$A$5:$A$200,'Corrected Register'!$N$5:$N$200),0))</f>
        <v/>
      </c>
      <c r="H157" s="7" t="inlineStr">
        <is>
          <t>Align MD-00119 cost: register $950 vs ledger $1,115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Cost basis split on MD-00119: inventory $950, ledger $1,115 via PO-2024-0024 / FA-000119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Ledger'!$B$5:$B$200,'Source Ledger'!$H$5:$H$200),"")="Disposed",IFERROR(XLOOKUP(D158,'Source Ledger'!$B$5:$B$200,'Source Ledger'!$G$5:$G$200),0),IF(IFERROR(XLOOKUP(D158,'Source Ledger'!$B$5:$B$200,'Source Ledger'!$E$5:$E$200),"")="",IFERROR(XLOOKUP(D158,'Corrected Register'!$A$5:$A$200,'Corrected Register'!$M$5:$M$200),0),ABS(IFERROR(XLOOKUP(D158,'Source Ledger'!$B$5:$B$200,'Source Ledger'!$E$5:$E$200),0)-IFERROR(XLOOKUP(D158,'Corrected Register'!$A$5:$A$200,'Corrected Register'!$M$5:$M$200),0)))),IFERROR(XLOOKUP(D158,'Corrected Register'!$A$5:$A$200,'Corrected Register'!$N$5:$N$200),0))</f>
        <v/>
      </c>
      <c r="H158" s="7" t="inlineStr">
        <is>
          <t>Swap Denver - Closed → Chicago on MD-00121's location field (EX-0154).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opened under EX-0154; register location for MD-00121 was never flipped off Denver - Closed; TR-00121 already points inbound to Chicago; live footprint is Chicago.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Ledger'!$B$5:$B$200,'Source Ledger'!$H$5:$H$200),"")="Disposed",IFERROR(XLOOKUP(D159,'Source Ledger'!$B$5:$B$200,'Source Ledger'!$G$5:$G$200),0),IF(IFERROR(XLOOKUP(D159,'Source Ledger'!$B$5:$B$200,'Source Ledger'!$E$5:$E$200),"")="",IFERROR(XLOOKUP(D159,'Corrected Register'!$A$5:$A$200,'Corrected Register'!$M$5:$M$200),0),ABS(IFERROR(XLOOKUP(D159,'Source Ledger'!$B$5:$B$200,'Source Ledger'!$E$5:$E$200),0)-IFERROR(XLOOKUP(D159,'Corrected Register'!$A$5:$A$200,'Corrected Register'!$M$5:$M$200),0)))),IFERROR(XLOOKUP(D159,'Corrected Register'!$A$5:$A$200,'Corrected Register'!$N$5:$N$200),0))</f>
        <v/>
      </c>
      <c r="H159" s="7" t="inlineStr">
        <is>
          <t>Update MD-00122 from Chicago - Closed to Dallas using TR-00122 (EX-0155).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MD-00122 still shows closed floor Chicago - Closed on the extract; TR-00122 already points inbound to Dallas; live footprint is Dallas; logged as EX-0155.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Ledger'!$B$5:$B$200,'Source Ledger'!$H$5:$H$200),"")="Disposed",IFERROR(XLOOKUP(D160,'Source Ledger'!$B$5:$B$200,'Source Ledger'!$G$5:$G$200),0),IF(IFERROR(XLOOKUP(D160,'Source Ledger'!$B$5:$B$200,'Source Ledger'!$E$5:$E$200),"")="",IFERROR(XLOOKUP(D160,'Corrected Register'!$A$5:$A$200,'Corrected Register'!$M$5:$M$200),0),ABS(IFERROR(XLOOKUP(D160,'Source Ledger'!$B$5:$B$200,'Source Ledger'!$E$5:$E$200),0)-IFERROR(XLOOKUP(D160,'Corrected Register'!$A$5:$A$200,'Corrected Register'!$M$5:$M$200),0)))),IFERROR(XLOOKUP(D160,'Corrected Register'!$A$5:$A$200,'Corrected Register'!$N$5:$N$200),0))</f>
        <v/>
      </c>
      <c r="H160" s="7" t="inlineStr">
        <is>
          <t>Pending register edit EX-0156: MD-00123 should show Denver, not Denver - Closed.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ticketed EX-0156; site field on MD-00123 (MD-MO-050123) still reads Denver - Closed; TR-00123 already points inbound to Denver; live footprint is Denver.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Ledger'!$B$5:$B$200,'Source Ledger'!$H$5:$H$200),"")="Disposed",IFERROR(XLOOKUP(D161,'Source Ledger'!$B$5:$B$200,'Source Ledger'!$G$5:$G$200),0),IF(IFERROR(XLOOKUP(D161,'Source Ledger'!$B$5:$B$200,'Source Ledger'!$E$5:$E$200),"")="",IFERROR(XLOOKUP(D161,'Corrected Register'!$A$5:$A$200,'Corrected Register'!$M$5:$M$200),0),ABS(IFERROR(XLOOKUP(D161,'Source Ledger'!$B$5:$B$200,'Source Ledger'!$E$5:$E$200),0)-IFERROR(XLOOKUP(D161,'Corrected Register'!$A$5:$A$200,'Corrected Register'!$M$5:$M$200),0)))),IFERROR(XLOOKUP(D161,'Corrected Register'!$A$5:$A$200,'Corrected Register'!$N$5:$N$200),0))</f>
        <v/>
      </c>
      <c r="H161" s="7" t="inlineStr">
        <is>
          <t>Close the location lag on MD-00124 (Chicago - Closed → New York) before next cert cycle (EX-0157).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Chicago - Closed remains on MD-00124 after the consolidation cutover — TR-00124 already points inbound to New York; live footprint is New York; see EX-0157.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Ledger'!$B$5:$B$200,'Source Ledger'!$H$5:$H$200),"")="Disposed",IFERROR(XLOOKUP(D162,'Source Ledger'!$B$5:$B$200,'Source Ledger'!$G$5:$G$200),0),IF(IFERROR(XLOOKUP(D162,'Source Ledger'!$B$5:$B$200,'Source Ledger'!$E$5:$E$200),"")="",IFERROR(XLOOKUP(D162,'Corrected Register'!$A$5:$A$200,'Corrected Register'!$M$5:$M$200),0),ABS(IFERROR(XLOOKUP(D162,'Source Ledger'!$B$5:$B$200,'Source Ledger'!$E$5:$E$200),0)-IFERROR(XLOOKUP(D162,'Corrected Register'!$A$5:$A$200,'Corrected Register'!$M$5:$M$200),0)))),IFERROR(XLOOKUP(D162,'Corrected Register'!$A$5:$A$200,'Corrected Register'!$N$5:$N$200),0))</f>
        <v/>
      </c>
      <c r="H162" s="7" t="inlineStr">
        <is>
          <t>EX-0158: location hygiene on MD-00125 — replace Denver - Closed with Seattle.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MD-00125 still shows closed floor Denver - Closed on the extract; TR-00125 already points inbound to Seattle; live footprint is Seattle; logged as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Ledger'!$B$5:$B$200,'Source Ledger'!$H$5:$H$200),"")="Disposed",IFERROR(XLOOKUP(D163,'Source Ledger'!$B$5:$B$200,'Source Ledger'!$G$5:$G$200),0),IF(IFERROR(XLOOKUP(D163,'Source Ledger'!$B$5:$B$200,'Source Ledger'!$E$5:$E$200),"")="",IFERROR(XLOOKUP(D163,'Corrected Register'!$A$5:$A$200,'Corrected Register'!$M$5:$M$200),0),ABS(IFERROR(XLOOKUP(D163,'Source Ledger'!$B$5:$B$200,'Source Ledger'!$E$5:$E$200),0)-IFERROR(XLOOKUP(D163,'Corrected Register'!$A$5:$A$200,'Corrected Register'!$M$5:$M$200),0)))),IFERROR(XLOOKUP(D163,'Corrected Register'!$A$5:$A$200,'Corrected Register'!$N$5:$N$200),0))</f>
        <v/>
      </c>
      <c r="H163" s="7" t="inlineStr">
        <is>
          <t>IT stock desk: rewrite site on MD-00126 to Atlanta; Chicago - Closed is retired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ticketed EX-0159; site field on MD-00126 (MD-MO-050126) still reads Chicago - Closed; TR-00126 already points inbound to Atlanta; live footprint is Atlanta.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Ledger'!$B$5:$B$200,'Source Ledger'!$H$5:$H$200),"")="Disposed",IFERROR(XLOOKUP(D164,'Source Ledger'!$B$5:$B$200,'Source Ledger'!$G$5:$G$200),0),IF(IFERROR(XLOOKUP(D164,'Source Ledger'!$B$5:$B$200,'Source Ledger'!$E$5:$E$200),"")="",IFERROR(XLOOKUP(D164,'Corrected Register'!$A$5:$A$200,'Corrected Register'!$M$5:$M$200),0),ABS(IFERROR(XLOOKUP(D164,'Source Ledger'!$B$5:$B$200,'Source Ledger'!$E$5:$E$200),0)-IFERROR(XLOOKUP(D164,'Corrected Register'!$A$5:$A$200,'Corrected Register'!$M$5:$M$200),0)))),IFERROR(XLOOKUP(D164,'Corrected Register'!$A$5:$A$200,'Corrected Register'!$N$5:$N$200),0))</f>
        <v/>
      </c>
      <c r="H164" s="7" t="inlineStr">
        <is>
          <t>Obtain APR on TR-00127 or reverse the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TR-00127 for MD-00127 has a blank approval_id in equipment_transfer_log (ITAM-001 §4) — EX-0160.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Ledger'!$B$5:$B$200,'Source Ledger'!$H$5:$H$200),"")="Disposed",IFERROR(XLOOKUP(D165,'Source Ledger'!$B$5:$B$200,'Source Ledger'!$G$5:$G$200),0),IF(IFERROR(XLOOKUP(D165,'Source Ledger'!$B$5:$B$200,'Source Ledger'!$E$5:$E$200),"")="",IFERROR(XLOOKUP(D165,'Corrected Register'!$A$5:$A$200,'Corrected Register'!$M$5:$M$200),0),ABS(IFERROR(XLOOKUP(D165,'Source Ledger'!$B$5:$B$200,'Source Ledger'!$E$5:$E$200),0)-IFERROR(XLOOKUP(D165,'Corrected Register'!$A$5:$A$200,'Corrected Register'!$M$5:$M$200),0)))),IFERROR(XLOOKUP(D165,'Corrected Register'!$A$5:$A$200,'Corrected Register'!$N$5:$N$200),0))</f>
        <v/>
      </c>
      <c r="H165" s="7" t="inlineStr">
        <is>
          <t>Informational — MD-00130 under $2,500 gate; no FAR row expected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acquisition $700 sits under the $2,500 ITAM-001 §7 gate; missing FAR row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Ledger'!$B$5:$B$200,'Source Ledger'!$H$5:$H$200),"")="Disposed",IFERROR(XLOOKUP(D166,'Source Ledger'!$B$5:$B$200,'Source Ledger'!$G$5:$G$200),0),IF(IFERROR(XLOOKUP(D166,'Source Ledger'!$B$5:$B$200,'Source Ledger'!$E$5:$E$200),"")="",IFERROR(XLOOKUP(D166,'Corrected Register'!$A$5:$A$200,'Corrected Register'!$M$5:$M$200),0),ABS(IFERROR(XLOOKUP(D166,'Source Ledger'!$B$5:$B$200,'Source Ledger'!$E$5:$E$200),0)-IFERROR(XLOOKUP(D166,'Corrected Register'!$A$5:$A$200,'Corrected Register'!$M$5:$M$200),0)))),IFERROR(XLOOKUP(D166,'Corrected Register'!$A$5:$A$200,'Corrected Register'!$N$5:$N$200),0))</f>
        <v/>
      </c>
      <c r="H166" s="7" t="inlineStr">
        <is>
          <t>Informational — MD-00131 under $2,500 gate; no FAR row expected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acquisition $1,175 sits under the $2,500 ITAM-001 §7 gate; missing FAR row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Ledger'!$B$5:$B$200,'Source Ledger'!$H$5:$H$200),"")="Disposed",IFERROR(XLOOKUP(D167,'Source Ledger'!$B$5:$B$200,'Source Ledger'!$G$5:$G$200),0),IF(IFERROR(XLOOKUP(D167,'Source Ledger'!$B$5:$B$200,'Source Ledger'!$E$5:$E$200),"")="",IFERROR(XLOOKUP(D167,'Corrected Register'!$A$5:$A$200,'Corrected Register'!$M$5:$M$200),0),ABS(IFERROR(XLOOKUP(D167,'Source Ledger'!$B$5:$B$200,'Source Ledger'!$E$5:$E$200),0)-IFERROR(XLOOKUP(D167,'Corrected Register'!$A$5:$A$200,'Corrected Register'!$M$5:$M$200),0)))),IFERROR(XLOOKUP(D167,'Corrected Register'!$A$5:$A$200,'Corrected Register'!$N$5:$N$200),0))</f>
        <v/>
      </c>
      <c r="H167" s="7" t="inlineStr">
        <is>
          <t>Capitalize MD-00132 or obtain approved write-off; reject RN-0132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at $6,470 clears the $2,500 capitalization gate with no FA row; RN-0132 under-threshold claim rejected (EX-0163).</t>
        </is>
      </c>
      <c r="M167" s="12" t="inlineStr">
        <is>
          <t>Blocks certification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PO-2025-0004</t>
        </is>
      </c>
      <c r="H5" s="7" t="inlineStr">
        <is>
          <t>Confirmed Fact</t>
        </is>
      </c>
      <c r="I5" s="7" t="inlineStr">
        <is>
          <t>Acquisition packet for MD-00017: vendor delivery against PO-2025-0004, $1,985.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 Appendix A</t>
        </is>
      </c>
      <c r="H6" s="7" t="inlineStr">
        <is>
          <t>Confirmed Fact</t>
        </is>
      </c>
      <c r="I6" s="7" t="inlineStr">
        <is>
          <t>Checked ITAM_control_matrix.png financial row while reviewing MD-00017; proof stays with PO-2025-0004.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TR-00017</t>
        </is>
      </c>
      <c r="H7" s="7" t="inlineStr">
        <is>
          <t>Confirmed Fact</t>
        </is>
      </c>
      <c r="I7" s="7" t="inlineStr">
        <is>
          <t>equipment_transfer_log TR-00017: 2026-06-17 out, 2026-06-19 in, APR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EX-0001</t>
        </is>
      </c>
      <c r="H8" s="7" t="inlineStr">
        <is>
          <t>Confirmed Fact</t>
        </is>
      </c>
      <c r="I8" s="7" t="inlineStr">
        <is>
          <t>Working end-state for MD-00017: In Use in Seattle, confidence High. Exceptions: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PO-2022-0005</t>
        </is>
      </c>
      <c r="H9" s="7" t="inlineStr">
        <is>
          <t>Confirmed Fact</t>
        </is>
      </c>
      <c r="I9" s="7" t="inlineStr">
        <is>
          <t>PO-2022-0005 → MD-00021 / Samsung ViewFinity S8, basis $1,850.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TR-00021</t>
        </is>
      </c>
      <c r="H10" s="7" t="inlineStr">
        <is>
          <t>Confirmed Fact</t>
        </is>
      </c>
      <c r="I10" s="7" t="inlineStr">
        <is>
          <t>Custody hop on MD-00021 via TR-00021 (APR APR-00021).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 Appendix A</t>
        </is>
      </c>
      <c r="H11" s="7" t="inlineStr">
        <is>
          <t>Confirmed Fact</t>
        </is>
      </c>
      <c r="I11" s="7" t="inlineStr">
        <is>
          <t>Pulled the financial strip on ITAM_control_matrix.png for MD-00021 before trusting PO-2022-0005.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EX-0002</t>
        </is>
      </c>
      <c r="H12" s="7" t="inlineStr">
        <is>
          <t>Confirmed Fact</t>
        </is>
      </c>
      <c r="I12" s="7" t="inlineStr">
        <is>
          <t>MD-00021 closes at In Use / Denver (Medium).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PO-2022-0005</t>
        </is>
      </c>
      <c r="H13" s="7" t="inlineStr">
        <is>
          <t>Confirmed Fact</t>
        </is>
      </c>
      <c r="I13" s="7" t="inlineStr">
        <is>
          <t>Bought MD-00025 (LG UltraFine 27MD5KL) on PO-2022-0005 for $2,030.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TR-00025</t>
        </is>
      </c>
      <c r="H14" s="7" t="inlineStr">
        <is>
          <t>Confirmed Fact</t>
        </is>
      </c>
      <c r="I14" s="7" t="inlineStr">
        <is>
          <t>equipment_transfer_log TR-00025: 2026-01-21 out, 2026-01-22 in, APR APR-00025.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Skipped empty RN hit for MD-00025; continued with HR/transfer/ledger files.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IT_asset_management_policy.pdf</t>
        </is>
      </c>
      <c r="H16" s="7" t="inlineStr">
        <is>
          <t>Confirmed Fact</t>
        </is>
      </c>
      <c r="I16" s="7" t="inlineStr">
        <is>
          <t>No image substitute: disposal control for MD-00025 still needs PO-2022-0005 in the packet.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EX-0003, EX-0004</t>
        </is>
      </c>
      <c r="H17" s="7" t="inlineStr">
        <is>
          <t>Confirmed Fact</t>
        </is>
      </c>
      <c r="I17" s="7" t="inlineStr">
        <is>
          <t>MD-00025 → In Use; location Chicago; Medium.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PO-2024-0007</t>
        </is>
      </c>
      <c r="H18" s="7" t="inlineStr">
        <is>
          <t>Confirmed Fact</t>
        </is>
      </c>
      <c r="I18" s="7" t="inlineStr">
        <is>
          <t>Bought MD-00034 (LG UltraFine 27MD5KL) on PO-2024-0007 for $790.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TR-00034</t>
        </is>
      </c>
      <c r="H19" s="7" t="inlineStr">
        <is>
          <t>Confirmed Fact</t>
        </is>
      </c>
      <c r="I19" s="7" t="inlineStr">
        <is>
          <t>TR-00034 moved MD-00034 on 2026-05-22; inbound 2026-05-22; APR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searched for MD-00034; nothing usable as location proof.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IT_asset_management_policy.pdf</t>
        </is>
      </c>
      <c r="H21" s="7" t="inlineStr">
        <is>
          <t>Confirmed Fact</t>
        </is>
      </c>
      <c r="I21" s="7" t="inlineStr">
        <is>
          <t>Mapped MD-00034 to matrix disposal; kept PO-2024-0007 as the auditable record.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EX-0013, EX-0014</t>
        </is>
      </c>
      <c r="H22" s="7" t="inlineStr">
        <is>
          <t>Confirmed Fact</t>
        </is>
      </c>
      <c r="I22" s="7" t="inlineStr">
        <is>
          <t>MD-00034 → In Use; location New York; High.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PO-2023-0010</t>
        </is>
      </c>
      <c r="H23" s="7" t="inlineStr">
        <is>
          <t>Confirmed Fact</t>
        </is>
      </c>
      <c r="I23" s="7" t="inlineStr">
        <is>
          <t>MD-00051 capitalized path starts at PO-2023-0010 (Samsung Galaxy S24, $1,040).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TR-00051</t>
        </is>
      </c>
      <c r="H24" s="7" t="inlineStr">
        <is>
          <t>Confirmed Fact</t>
        </is>
      </c>
      <c r="I24" s="7" t="inlineStr">
        <is>
          <t>equipment_transfer_log TR-00051: 2026-03-31 out, 2026-03-31 in, APR APR-00051.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Skipped empty RN hit for MD-00051; continued with HR/transfer/ledger files.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IT_asset_management_policy.pdf §§4–9; ITAM_control_matrix.png</t>
        </is>
      </c>
      <c r="H26" s="7" t="inlineStr">
        <is>
          <t>Confirmed Fact</t>
        </is>
      </c>
      <c r="I26" s="7" t="inlineStr">
        <is>
          <t>Pulled the return strip on ITAM_control_matrix.png for MD-00051 before trusting PO-2023-0010.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EX-0031, EX-0032</t>
        </is>
      </c>
      <c r="H27" s="7" t="inlineStr">
        <is>
          <t>Confirmed Fact</t>
        </is>
      </c>
      <c r="I27" s="7" t="inlineStr">
        <is>
          <t>Cert packet lists MD-00051 as Available, site Denver, High.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PO-2024-0011</t>
        </is>
      </c>
      <c r="H28" s="7" t="inlineStr">
        <is>
          <t>Confirmed Fact</t>
        </is>
      </c>
      <c r="I28" s="7" t="inlineStr">
        <is>
          <t>Purchasing extract lists PO-2024-0011 covering MD-00058 at $610.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TR-00058</t>
        </is>
      </c>
      <c r="H29" s="7" t="inlineStr">
        <is>
          <t>Unresolved Assumption</t>
        </is>
      </c>
      <c r="I29" s="7" t="inlineStr">
        <is>
          <t>equipment_transfer_log TR-00058: 2026-05-22 out, 2026-05-23 in, approval blank.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OFF-00058</t>
        </is>
      </c>
      <c r="H30" s="7" t="inlineStr">
        <is>
          <t>Technician Claim</t>
        </is>
      </c>
      <c r="I30" s="7" t="inlineStr">
        <is>
          <t>Service desk OFF-00058: status Closed; return_required=Yes; due 2026-07-15. Ticket alone does not dock MD-00058.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regional_IT_notes.docx searched for MD-00058; nothing usable as location proof.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Cross-read IT_asset_management_policy.pdf §§4–9 against the transfer matrix line for MD-00058.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EX-0039, EX-0040, EX-0041</t>
        </is>
      </c>
      <c r="H34" s="7" t="inlineStr">
        <is>
          <t>Confirmed Fact</t>
        </is>
      </c>
      <c r="I34" s="7" t="inlineStr">
        <is>
          <t>After file review, MD-00058 is Pending Redeployment at New York (Medium).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PO-2024-0011</t>
        </is>
      </c>
      <c r="H35" s="7" t="inlineStr">
        <is>
          <t>Confirmed Fact</t>
        </is>
      </c>
      <c r="I35" s="7" t="inlineStr">
        <is>
          <t>MD-00059 capitalized path starts at PO-2024-0011 (Samsung Galaxy S23 FE, $1,085).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TR-00059</t>
        </is>
      </c>
      <c r="H36" s="7" t="inlineStr">
        <is>
          <t>Unresolved Assumption</t>
        </is>
      </c>
      <c r="I36" s="7" t="inlineStr">
        <is>
          <t>TR-00059 moved MD-00059 on 2026-06-26; inbound 2026-06-26; approval blank.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OFF-00059</t>
        </is>
      </c>
      <c r="H37" s="7" t="inlineStr">
        <is>
          <t>Technician Claim</t>
        </is>
      </c>
      <c r="I37" s="7" t="inlineStr">
        <is>
          <t>Service desk OFF-00059: status Closed; return_required=Yes; due 2026-07-15. Ticket alone does not dock MD-00059.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No corroborated RN line for MD-00059 in regional_IT_notes.docx.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 Appendix A</t>
        </is>
      </c>
      <c r="H40" s="7" t="inlineStr">
        <is>
          <t>Confirmed Fact</t>
        </is>
      </c>
      <c r="I40" s="7" t="inlineStr">
        <is>
          <t>For MD-00059, matrix financial criteria only frame the test; PO-2024-0011 is the evidence.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EX-0042, EX-0043, EX-0044</t>
        </is>
      </c>
      <c r="H41" s="7" t="inlineStr">
        <is>
          <t>Confirmed Fact</t>
        </is>
      </c>
      <c r="I41" s="7" t="inlineStr">
        <is>
          <t>MD-00059 closes at Pending Redeployment / Seattle (Medium).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PO-2024-0011</t>
        </is>
      </c>
      <c r="H42" s="7" t="inlineStr">
        <is>
          <t>Confirmed Fact</t>
        </is>
      </c>
      <c r="I42" s="7" t="inlineStr">
        <is>
          <t>Acquisition packet for MD-00060: vendor delivery against PO-2024-0011, $6,380.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TR-00060</t>
        </is>
      </c>
      <c r="H43" s="7" t="inlineStr">
        <is>
          <t>Confirmed Fact</t>
        </is>
      </c>
      <c r="I43" s="7" t="inlineStr">
        <is>
          <t>Custody hop on MD-00060 via TR-00060 (APR APR-00060).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OFF-00060</t>
        </is>
      </c>
      <c r="H44" s="7" t="inlineStr">
        <is>
          <t>Technician Claim</t>
        </is>
      </c>
      <c r="I44" s="7" t="inlineStr">
        <is>
          <t>Service desk OFF-00060: status Closed; return_required=Yes; due 2026-07-15. Ticket alone does not dock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Skipped empty RN hit for MD-00060; continued with HR/transfer/ledger files.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IT_asset_management_policy.pdf</t>
        </is>
      </c>
      <c r="H47" s="7" t="inlineStr">
        <is>
          <t>Confirmed Fact</t>
        </is>
      </c>
      <c r="I47" s="7" t="inlineStr">
        <is>
          <t>No image substitute: disposal control for MD-00060 still needs PO-2024-0011 in the packet.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EX-0045, EX-0046</t>
        </is>
      </c>
      <c r="H48" s="7" t="inlineStr">
        <is>
          <t>Confirmed Fact</t>
        </is>
      </c>
      <c r="I48" s="7" t="inlineStr">
        <is>
          <t>MD-00060 → Pending Redeployment; location Atlanta; High.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PO-2025-0012</t>
        </is>
      </c>
      <c r="H49" s="7" t="inlineStr">
        <is>
          <t>Confirmed Fact</t>
        </is>
      </c>
      <c r="I49" s="7" t="inlineStr">
        <is>
          <t>Purchasing extract lists PO-2025-0012 covering MD-00061 at $2,075.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TR-00061</t>
        </is>
      </c>
      <c r="H50" s="7" t="inlineStr">
        <is>
          <t>Confirmed Fact</t>
        </is>
      </c>
      <c r="I50" s="7" t="inlineStr">
        <is>
          <t>equipment_transfer_log TR-00061: 2026-02-02 out, 2026-02-03 in, APR APR-00061.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OFF-00061</t>
        </is>
      </c>
      <c r="H51" s="7" t="inlineStr">
        <is>
          <t>Technician Claim</t>
        </is>
      </c>
      <c r="I51" s="7" t="inlineStr">
        <is>
          <t>Service desk OFF-00061: status Closed; return_required=Yes; due 2026-07-15. Ticket alone does not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regional_IT_notes.docx searched for MD-00061; nothing usable as location proof.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Opened matrix PNG to the transfer band for MD-00061, then filed PO-2025-0012.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EX-0047, EX-0048</t>
        </is>
      </c>
      <c r="H55" s="7" t="inlineStr">
        <is>
          <t>Confirmed Fact</t>
        </is>
      </c>
      <c r="I55" s="7" t="inlineStr">
        <is>
          <t>After file review, MD-00061 is Pending Redeployment at Chicago (High).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PO-2025-0012</t>
        </is>
      </c>
      <c r="H56" s="7" t="inlineStr">
        <is>
          <t>Confirmed Fact</t>
        </is>
      </c>
      <c r="I56" s="7" t="inlineStr">
        <is>
          <t>MD-00062 capitalized path starts at PO-2025-0012 (Google Pixel 8, 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TR-00062</t>
        </is>
      </c>
      <c r="H57" s="7" t="inlineStr">
        <is>
          <t>Confirmed Fact</t>
        </is>
      </c>
      <c r="I57" s="7" t="inlineStr">
        <is>
          <t>TR-00062 moved MD-00062 on 2026-03-07; inbound 2026-03-07; APR APR-00062.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OFF-00062</t>
        </is>
      </c>
      <c r="H58" s="7" t="inlineStr">
        <is>
          <t>Technician Claim</t>
        </is>
      </c>
      <c r="I58" s="7" t="inlineStr">
        <is>
          <t>Service desk OFF-00062: status Closed; return_required=Yes; due 2026-07-15. Ticket alone does not dock MD-00062.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No corroborated RN line for MD-00062 in regional_IT_notes.docx.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 Appendix A</t>
        </is>
      </c>
      <c r="H61" s="7" t="inlineStr">
        <is>
          <t>Confirmed Fact</t>
        </is>
      </c>
      <c r="I61" s="7" t="inlineStr">
        <is>
          <t>Appendix A financial expectations for MD-00062 come from the matrix PNG — not a substitute for PO-2025-0012.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EX-0049, EX-0050</t>
        </is>
      </c>
      <c r="H62" s="7" t="inlineStr">
        <is>
          <t>Confirmed Fact</t>
        </is>
      </c>
      <c r="I62" s="7" t="inlineStr">
        <is>
          <t>MD-00062 closes at Pending Redeployment / Dallas (High).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PO-2025-0012</t>
        </is>
      </c>
      <c r="H63" s="7" t="inlineStr">
        <is>
          <t>Confirmed Fact</t>
        </is>
      </c>
      <c r="I63" s="7" t="inlineStr">
        <is>
          <t>PO-2025-0012 → MD-00063 / Samsung Galaxy S23 FE, basis $950.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TR-00063</t>
        </is>
      </c>
      <c r="H64" s="7" t="inlineStr">
        <is>
          <t>Confirmed Fact</t>
        </is>
      </c>
      <c r="I64" s="7" t="inlineStr">
        <is>
          <t>Custody hop on MD-00063 via TR-00063 (APR APR-00063).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OFF-00063</t>
        </is>
      </c>
      <c r="H65" s="7" t="inlineStr">
        <is>
          <t>Technician Claim</t>
        </is>
      </c>
      <c r="I65" s="7" t="inlineStr">
        <is>
          <t>Service desk OFF-00063: status Closed; return_required=Yes; due 2026-07-15. Ticket alone does not dock MD-00063.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Skipped empty RN hit for MD-00063; continued with HR/transfer/ledger files.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IT_asset_management_policy.pdf §§4–9; ITAM_control_matrix.png</t>
        </is>
      </c>
      <c r="H68" s="7" t="inlineStr">
        <is>
          <t>Confirmed Fact</t>
        </is>
      </c>
      <c r="I68" s="7" t="inlineStr">
        <is>
          <t>Control matrix return column consulted for MD-00063; dock/image leads still subordinate to PO-2025-0012.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EX-0051, EX-0052</t>
        </is>
      </c>
      <c r="H69" s="7" t="inlineStr">
        <is>
          <t>Confirmed Fact</t>
        </is>
      </c>
      <c r="I69" s="7" t="inlineStr">
        <is>
          <t>Cert packet lists MD-00063 as Pending Redeployment, site Denver, High.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PO-2025-0012</t>
        </is>
      </c>
      <c r="H70" s="7" t="inlineStr">
        <is>
          <t>Confirmed Fact</t>
        </is>
      </c>
      <c r="I70" s="7" t="inlineStr">
        <is>
          <t>Bought MD-00064 (iPhone 14) on PO-2025-0012 for $6,245.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TR-00064</t>
        </is>
      </c>
      <c r="H71" s="7" t="inlineStr">
        <is>
          <t>Unresolved Assumption</t>
        </is>
      </c>
      <c r="I71" s="7" t="inlineStr">
        <is>
          <t>equipment_transfer_log TR-00064: 2026-05-13 out, 2026-05-14 in, approval blank.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OFF-00064</t>
        </is>
      </c>
      <c r="H72" s="7" t="inlineStr">
        <is>
          <t>Technician Claim</t>
        </is>
      </c>
      <c r="I72" s="7" t="inlineStr">
        <is>
          <t>Service desk OFF-00064: status Closed; return_required=Yes; due 2026-07-15. Ticket alone does not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regional_IT_notes.docx searched for MD-00064; nothing usable as location proof.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</t>
        </is>
      </c>
      <c r="H75" s="7" t="inlineStr">
        <is>
          <t>Confirmed Fact</t>
        </is>
      </c>
      <c r="I75" s="7" t="inlineStr">
        <is>
          <t>MD-00064: used ITAM_control_matrix.png as a lead on assignment controls, then returned to PO-2025-0012.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EX-0053, EX-0054, EX-0055</t>
        </is>
      </c>
      <c r="H76" s="7" t="inlineStr">
        <is>
          <t>Confirmed Fact</t>
        </is>
      </c>
      <c r="I76" s="7" t="inlineStr">
        <is>
          <t>Working end-state for MD-00064: Pending Redeployment in New York, confidence Medium. Exceptions: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PO-2022-0013</t>
        </is>
      </c>
      <c r="H77" s="7" t="inlineStr">
        <is>
          <t>Confirmed Fact</t>
        </is>
      </c>
      <c r="I77" s="7" t="inlineStr">
        <is>
          <t>Acquisition packet for MD-00065: vendor delivery against PO-2022-0013, $1,940.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TR-00065</t>
        </is>
      </c>
      <c r="H78" s="7" t="inlineStr">
        <is>
          <t>Unresolved Assumption</t>
        </is>
      </c>
      <c r="I78" s="7" t="inlineStr">
        <is>
          <t>TR-00065 moved MD-00065 on 2026-06-17; inbound 2026-06-23; approval blank.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OFF-00065</t>
        </is>
      </c>
      <c r="H79" s="7" t="inlineStr">
        <is>
          <t>Technician Claim</t>
        </is>
      </c>
      <c r="I79" s="7" t="inlineStr">
        <is>
          <t>Service desk OFF-00065: status Closed; return_required=Yes; due 2026-07-15. Ticket alone does not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No corroborated RN line for MD-00065 in regional_IT_notes.docx.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IT_asset_management_policy.pdf</t>
        </is>
      </c>
      <c r="H82" s="7" t="inlineStr">
        <is>
          <t>Confirmed Fact</t>
        </is>
      </c>
      <c r="I82" s="7" t="inlineStr">
        <is>
          <t>Policy PDF §9 and the matrix disposal cell both flag the same burden of proof on MD-00065.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EX-0056, EX-0057, EX-0058</t>
        </is>
      </c>
      <c r="H83" s="7" t="inlineStr">
        <is>
          <t>Confirmed Fact</t>
        </is>
      </c>
      <c r="I83" s="7" t="inlineStr">
        <is>
          <t>MD-00065 → Pending Redeployment; location Seattle; Medium. EX-0056, EX-0057, EX-0058.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PO-2022-0013</t>
        </is>
      </c>
      <c r="H84" s="7" t="inlineStr">
        <is>
          <t>Confirmed Fact</t>
        </is>
      </c>
      <c r="I84" s="7" t="inlineStr">
        <is>
          <t>Purchasing extract lists PO-2022-0013 covering MD-00066 at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TR-00066</t>
        </is>
      </c>
      <c r="H85" s="7" t="inlineStr">
        <is>
          <t>Confirmed Fact</t>
        </is>
      </c>
      <c r="I85" s="7" t="inlineStr">
        <is>
          <t>Custody hop on MD-00066 via TR-00066 (APR APR-00066).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OFF-00066</t>
        </is>
      </c>
      <c r="H86" s="7" t="inlineStr">
        <is>
          <t>Technician Claim</t>
        </is>
      </c>
      <c r="I86" s="7" t="inlineStr">
        <is>
          <t>Service desk OFF-00066: status Closed; return_required=Yes; due 2026-07-15. Ticket alone does not dock MD-00066.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Skipped empty RN hit for MD-00066; continued with HR/transfer/ledger files.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No image substitute: transfer control for MD-00066 still needs PO-2022-0013 in the packet.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EX-0059, EX-0060</t>
        </is>
      </c>
      <c r="H90" s="7" t="inlineStr">
        <is>
          <t>Confirmed Fact</t>
        </is>
      </c>
      <c r="I90" s="7" t="inlineStr">
        <is>
          <t>After file review, MD-00066 is Pending Redeployment at Atlanta (High).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PO-2022-0013</t>
        </is>
      </c>
      <c r="H91" s="7" t="inlineStr">
        <is>
          <t>Confirmed Fact</t>
        </is>
      </c>
      <c r="I91" s="7" t="inlineStr">
        <is>
          <t>MD-00067 capitalized path starts at PO-2022-0013 (Google Pixel 8, $1,130).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TR-00067</t>
        </is>
      </c>
      <c r="H92" s="7" t="inlineStr">
        <is>
          <t>Confirmed Fact</t>
        </is>
      </c>
      <c r="I92" s="7" t="inlineStr">
        <is>
          <t>equipment_transfer_log TR-00067: 2026-02-23 out, 2026-02-23 in, APR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OFF-00067</t>
        </is>
      </c>
      <c r="H93" s="7" t="inlineStr">
        <is>
          <t>Technician Claim</t>
        </is>
      </c>
      <c r="I93" s="7" t="inlineStr">
        <is>
          <t>Service desk OFF-00067: status Closed; return_required=Yes; due 2026-07-15. Ticket alone does not dock MD-00067.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regional_IT_notes.docx searched for MD-00067; nothing usable as location proof.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 Appendix A</t>
        </is>
      </c>
      <c r="H96" s="7" t="inlineStr">
        <is>
          <t>Confirmed Fact</t>
        </is>
      </c>
      <c r="I96" s="7" t="inlineStr">
        <is>
          <t>Opened matrix PNG to the financial band for MD-00067, then filed PO-2022-0013.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EX-0061, EX-0062</t>
        </is>
      </c>
      <c r="H97" s="7" t="inlineStr">
        <is>
          <t>Confirmed Fact</t>
        </is>
      </c>
      <c r="I97" s="7" t="inlineStr">
        <is>
          <t>MD-00067 closes at Pending Redeployment / Chicago (High).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PO-2022-0013</t>
        </is>
      </c>
      <c r="H98" s="7" t="inlineStr">
        <is>
          <t>Confirmed Fact</t>
        </is>
      </c>
      <c r="I98" s="7" t="inlineStr">
        <is>
          <t>PO-2022-0013 → MD-00068 / Samsung Galaxy S23 FE, basis $6,425.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TR-00068</t>
        </is>
      </c>
      <c r="H99" s="7" t="inlineStr">
        <is>
          <t>Confirmed Fact</t>
        </is>
      </c>
      <c r="I99" s="7" t="inlineStr">
        <is>
          <t>TR-00068 moved MD-00068 on 2026-03-28; inbound 2026-04-03; APR APR-00068.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OFF-00068</t>
        </is>
      </c>
      <c r="H100" s="7" t="inlineStr">
        <is>
          <t>Technician Claim</t>
        </is>
      </c>
      <c r="I100" s="7" t="inlineStr">
        <is>
          <t>Service desk OFF-00068: status Past Due; return_required=Yes; due 2026-07-15. Ticket alone does not dock MD-00068.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1ZMD00000068</t>
        </is>
      </c>
      <c r="H102" s="7" t="inlineStr">
        <is>
          <t>Technician Claim</t>
        </is>
      </c>
      <c r="I102" s="7" t="inlineStr">
        <is>
          <t>Prepaid label 1ZMD00000068 for MD-00068 is Label Created only — not a completed return.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regional_IT_notes.docx searched for MD-00068; nothing usable as location proof.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IT_asset_management_policy.pdf</t>
        </is>
      </c>
      <c r="H104" s="7" t="inlineStr">
        <is>
          <t>Confirmed Fact</t>
        </is>
      </c>
      <c r="I104" s="7" t="inlineStr">
        <is>
          <t>Mapped MD-00068 to matrix disposal; kept PO-2022-0013 as the auditable record.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EX-0063, EX-0064, EX-0065</t>
        </is>
      </c>
      <c r="H105" s="7" t="inlineStr">
        <is>
          <t>Unresolved Assumption</t>
        </is>
      </c>
      <c r="I105" s="7" t="inlineStr">
        <is>
          <t>MD-00068 → Return Overdue; location Remote - Former Employee; Low.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PO-2022-0013</t>
        </is>
      </c>
      <c r="H106" s="7" t="inlineStr">
        <is>
          <t>Confirmed Fact</t>
        </is>
      </c>
      <c r="I106" s="7" t="inlineStr">
        <is>
          <t>Purchasing extract lists PO-2022-0013 covering MD-00069 at $2,120.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TR-00069</t>
        </is>
      </c>
      <c r="H107" s="7" t="inlineStr">
        <is>
          <t>Confirmed Fact</t>
        </is>
      </c>
      <c r="I107" s="7" t="inlineStr">
        <is>
          <t>TR-00069 moved MD-00069 on 2026-05-02; inbound 2026-05-04; APR APR-00069.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OFF-00069</t>
        </is>
      </c>
      <c r="H108" s="7" t="inlineStr">
        <is>
          <t>Technician Claim</t>
        </is>
      </c>
      <c r="I108" s="7" t="inlineStr">
        <is>
          <t>Service desk OFF-00069: status Past Due; return_required=Yes; due 2026-07-15. Ticket alone does not dock MD-00069.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1ZMD00000069</t>
        </is>
      </c>
      <c r="H110" s="7" t="inlineStr">
        <is>
          <t>Technician Claim</t>
        </is>
      </c>
      <c r="I110" s="7" t="inlineStr">
        <is>
          <t>Prepaid label 1ZMD00000069 for MD-00069 is Label Created only — not a completed return.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regional_IT_notes.docx searched for MD-00069; nothing usable as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IT_asset_management_policy.pdf §§4–9; ITAM_control_matrix.png</t>
        </is>
      </c>
      <c r="H112" s="7" t="inlineStr">
        <is>
          <t>Confirmed Fact</t>
        </is>
      </c>
      <c r="I112" s="7" t="inlineStr">
        <is>
          <t>MD-00069: used ITAM_control_matrix.png as a lead on return controls, then returned to PO-2022-0013.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EX-0066, EX-0067</t>
        </is>
      </c>
      <c r="H113" s="7" t="inlineStr">
        <is>
          <t>Unresolved Assumption</t>
        </is>
      </c>
      <c r="I113" s="7" t="inlineStr">
        <is>
          <t>Cert packet lists MD-00069 as Return Overdue, site Remote - Former Employee, Low.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PO-2022-0013</t>
        </is>
      </c>
      <c r="H114" s="7" t="inlineStr">
        <is>
          <t>Confirmed Fact</t>
        </is>
      </c>
      <c r="I114" s="7" t="inlineStr">
        <is>
          <t>Purchasing extract lists PO-2022-0013 covering MD-00070 at $520.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TR-00070</t>
        </is>
      </c>
      <c r="H115" s="7" t="inlineStr">
        <is>
          <t>Confirmed Fact</t>
        </is>
      </c>
      <c r="I115" s="7" t="inlineStr">
        <is>
          <t>TR-00070 moved MD-00070 on 2026-06-03; inbound 2026-06-03; APR APR-00070.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OFF-00070</t>
        </is>
      </c>
      <c r="H116" s="7" t="inlineStr">
        <is>
          <t>Technician Claim</t>
        </is>
      </c>
      <c r="I116" s="7" t="inlineStr">
        <is>
          <t>Service desk OFF-00070: status Past Due; return_required=Yes; due 2026-07-15. Ticket alone does not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1ZMD00000070</t>
        </is>
      </c>
      <c r="H118" s="7" t="inlineStr">
        <is>
          <t>Technician Claim</t>
        </is>
      </c>
      <c r="I118" s="7" t="inlineStr">
        <is>
          <t>Prepaid label 1ZMD00000070 for MD-00070 is Label Created only — not a completed return.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regional_IT_notes.docx searched for MD-00070; nothing usable as location proof.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IT_asset_management_policy.pdf §§4–9; ITAM_control_matrix.png</t>
        </is>
      </c>
      <c r="H120" s="7" t="inlineStr">
        <is>
          <t>Confirmed Fact</t>
        </is>
      </c>
      <c r="I120" s="7" t="inlineStr">
        <is>
          <t>MD-00070: used ITAM_control_matrix.png as a lead on return controls, then returned to PO-2022-0013.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EX-0068, EX-0069</t>
        </is>
      </c>
      <c r="H121" s="7" t="inlineStr">
        <is>
          <t>Unresolved Assumption</t>
        </is>
      </c>
      <c r="I121" s="7" t="inlineStr">
        <is>
          <t>Cert packet lists MD-00070 as Return Overdue, site Remote - Former Employee, Low.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PO-2023-0014</t>
        </is>
      </c>
      <c r="H122" s="7" t="inlineStr">
        <is>
          <t>Confirmed Fact</t>
        </is>
      </c>
      <c r="I122" s="7" t="inlineStr">
        <is>
          <t>Bought MD-00071 (Google Pixel 8) on PO-2023-0014 for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TR-00071</t>
        </is>
      </c>
      <c r="H123" s="7" t="inlineStr">
        <is>
          <t>Confirmed Fact</t>
        </is>
      </c>
      <c r="I123" s="7" t="inlineStr">
        <is>
          <t>TR-00071 moved MD-00071 on 2026-07-08; inbound 2026-07-12; APR APR-00071.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OFF-00071</t>
        </is>
      </c>
      <c r="H124" s="7" t="inlineStr">
        <is>
          <t>Technician Claim</t>
        </is>
      </c>
      <c r="I124" s="7" t="inlineStr">
        <is>
          <t>Service desk OFF-00071: status Past Due; return_required=Yes; due 2026-07-15. Ticket alone does not dock MD-00071.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1ZMD00000071</t>
        </is>
      </c>
      <c r="H126" s="7" t="inlineStr">
        <is>
          <t>Technician Claim</t>
        </is>
      </c>
      <c r="I126" s="7" t="inlineStr">
        <is>
          <t>Prepaid label 1ZMD00000071 for MD-00071 is Label Created only — not a completed return.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searched for MD-00071; nothing usable as location proof.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Cross-read IT_asset_management_policy.pdf §§4–9 against the transfer matrix line for MD-00071.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EX-0070, EX-0071</t>
        </is>
      </c>
      <c r="H129" s="7" t="inlineStr">
        <is>
          <t>Unresolved Assumption</t>
        </is>
      </c>
      <c r="I129" s="7" t="inlineStr">
        <is>
          <t>After file review, MD-00071 is Return Overdue at Remote - Former Employee (Low).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PO-2023-0014</t>
        </is>
      </c>
      <c r="H130" s="7" t="inlineStr">
        <is>
          <t>Confirmed Fact</t>
        </is>
      </c>
      <c r="I130" s="7" t="inlineStr">
        <is>
          <t>MD-00072 capitalized path starts at PO-2023-0014 (Fortinet FortiSwitch 148F, $6,290).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TR-00072</t>
        </is>
      </c>
      <c r="H131" s="7" t="inlineStr">
        <is>
          <t>Confirmed Fact</t>
        </is>
      </c>
      <c r="I131" s="7" t="inlineStr">
        <is>
          <t>TR-00072 moved MD-00072 on 2026-01-18; inbound 2026-01-18; APR APR-00072.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OFF-00072</t>
        </is>
      </c>
      <c r="H132" s="7" t="inlineStr">
        <is>
          <t>Technician Claim</t>
        </is>
      </c>
      <c r="I132" s="7" t="inlineStr">
        <is>
          <t>Service desk OFF-00072: status Past Due; return_required=Yes; due 2026-07-15. Ticket alone does not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1ZMD00000072</t>
        </is>
      </c>
      <c r="H134" s="7" t="inlineStr">
        <is>
          <t>Technician Claim</t>
        </is>
      </c>
      <c r="I134" s="7" t="inlineStr">
        <is>
          <t>Prepaid label 1ZMD00000072 for MD-00072 is Label Created only — not a completed return.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regional_IT_notes.docx searched for MD-00072; nothing usable as location proof.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</t>
        </is>
      </c>
      <c r="H136" s="7" t="inlineStr">
        <is>
          <t>Confirmed Fact</t>
        </is>
      </c>
      <c r="I136" s="7" t="inlineStr">
        <is>
          <t>Opened matrix PNG to the assignment band for MD-00072, then filed PO-2023-0014.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EX-0072, EX-0073</t>
        </is>
      </c>
      <c r="H137" s="7" t="inlineStr">
        <is>
          <t>Unresolved Assumption</t>
        </is>
      </c>
      <c r="I137" s="7" t="inlineStr">
        <is>
          <t>Working end-state for MD-00072: Return Overdue in Remote - Former Employee, confidence Low. Exceptions: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PO-2023-0014</t>
        </is>
      </c>
      <c r="H138" s="7" t="inlineStr">
        <is>
          <t>Confirmed Fact</t>
        </is>
      </c>
      <c r="I138" s="7" t="inlineStr">
        <is>
          <t>Acquisition packet for MD-00073: vendor delivery against PO-2023-0014, $1,985.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TR-00073</t>
        </is>
      </c>
      <c r="H139" s="7" t="inlineStr">
        <is>
          <t>Confirmed Fact</t>
        </is>
      </c>
      <c r="I139" s="7" t="inlineStr">
        <is>
          <t>TR-00073 moved MD-00073 on 2026-01-21; inbound 2026-01-24; APR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OFF-00073</t>
        </is>
      </c>
      <c r="H140" s="7" t="inlineStr">
        <is>
          <t>Technician Claim</t>
        </is>
      </c>
      <c r="I140" s="7" t="inlineStr">
        <is>
          <t>Service desk OFF-00073: status Past Due; return_required=Yes; due 2026-07-15. Ticket alone does not dock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1ZMD00000073</t>
        </is>
      </c>
      <c r="H142" s="7" t="inlineStr">
        <is>
          <t>Technician Claim</t>
        </is>
      </c>
      <c r="I142" s="7" t="inlineStr">
        <is>
          <t>Prepaid label 1ZMD00000073 for MD-00073 is Label Created only — not a completed return.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regional_IT_notes.docx searched for MD-00073; nothing usable as location proof.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 Appendix A</t>
        </is>
      </c>
      <c r="H144" s="7" t="inlineStr">
        <is>
          <t>Confirmed Fact</t>
        </is>
      </c>
      <c r="I144" s="7" t="inlineStr">
        <is>
          <t>Mapped MD-00073 to matrix financial; kept PO-2023-0014 as the auditable record.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EX-0074, EX-0075</t>
        </is>
      </c>
      <c r="H145" s="7" t="inlineStr">
        <is>
          <t>Unresolved Assumption</t>
        </is>
      </c>
      <c r="I145" s="7" t="inlineStr">
        <is>
          <t>MD-00073 closes at Return Overdue / Remote - Former Employee (Low).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PO-2023-0014</t>
        </is>
      </c>
      <c r="H146" s="7" t="inlineStr">
        <is>
          <t>Confirmed Fact</t>
        </is>
      </c>
      <c r="I146" s="7" t="inlineStr">
        <is>
          <t>PO-2023-0014 → MD-00074 / Aruba 6300M, basis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TR-00074</t>
        </is>
      </c>
      <c r="H147" s="7" t="inlineStr">
        <is>
          <t>Confirmed Fact</t>
        </is>
      </c>
      <c r="I147" s="7" t="inlineStr">
        <is>
          <t>TR-00074 moved MD-00074 on 2026-02-23; inbound 2026-02-24; APR APR-00074.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OFF-00074</t>
        </is>
      </c>
      <c r="H148" s="7" t="inlineStr">
        <is>
          <t>Technician Claim</t>
        </is>
      </c>
      <c r="I148" s="7" t="inlineStr">
        <is>
          <t>Service desk OFF-00074: status Past Due; return_required=Yes; due 2026-07-15. Ticket alone does not dock MD-00074.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1ZMD00000074</t>
        </is>
      </c>
      <c r="H150" s="7" t="inlineStr">
        <is>
          <t>Technician Claim</t>
        </is>
      </c>
      <c r="I150" s="7" t="inlineStr">
        <is>
          <t>Prepaid label 1ZMD00000074 for MD-00074 is Label Created only — not a completed return.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1ZMD00000074</t>
        </is>
      </c>
      <c r="H151" s="7" t="inlineStr">
        <is>
          <t>Unresolved Assumption</t>
        </is>
      </c>
      <c r="I151" s="7" t="inlineStr">
        <is>
          <t>Carrier exception on 1ZMD00000074: inbound serial ≠ register MD-MO-050074 for MD-00074.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Skipped empty RN hit for MD-00074; continued with HR/transfer/ledger files.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 Appendix A</t>
        </is>
      </c>
      <c r="H153" s="7" t="inlineStr">
        <is>
          <t>Confirmed Fact</t>
        </is>
      </c>
      <c r="I153" s="7" t="inlineStr">
        <is>
          <t>Checked ITAM_control_matrix.png financial row while reviewing MD-00074; proof stays with PO-2023-0014.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EX-0076, EX-0077, EX-0078</t>
        </is>
      </c>
      <c r="H154" s="7" t="inlineStr">
        <is>
          <t>Unresolved Assumption</t>
        </is>
      </c>
      <c r="I154" s="7" t="inlineStr">
        <is>
          <t>Critical certification blocker — MD-00074 held In Transit - Exception for unresolved shipment serial mismatch.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PO-2023-0014</t>
        </is>
      </c>
      <c r="H155" s="7" t="inlineStr">
        <is>
          <t>Confirmed Fact</t>
        </is>
      </c>
      <c r="I155" s="7" t="inlineStr">
        <is>
          <t>PO-2023-0014 → MD-00075 / Juniper EX3400, basis $1,175.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TR-00075</t>
        </is>
      </c>
      <c r="H156" s="7" t="inlineStr">
        <is>
          <t>Confirmed Fact</t>
        </is>
      </c>
      <c r="I156" s="7" t="inlineStr">
        <is>
          <t>equipment_transfer_log TR-00075: 2026-03-31 out, 2026-04-01 in, APR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OFF-00075</t>
        </is>
      </c>
      <c r="H157" s="7" t="inlineStr">
        <is>
          <t>Technician Claim</t>
        </is>
      </c>
      <c r="I157" s="7" t="inlineStr">
        <is>
          <t>Service desk OFF-00075: status Past Due; return_required=Yes; due 2026-07-15. Ticket alone does not dock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1ZMD00000075</t>
        </is>
      </c>
      <c r="H159" s="7" t="inlineStr">
        <is>
          <t>Technician Claim</t>
        </is>
      </c>
      <c r="I159" s="7" t="inlineStr">
        <is>
          <t>Prepaid label 1ZMD00000075 for MD-00075 is Label Created only — not a completed return.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Skipped empty RN hit for MD-00075; continued with HR/transfer/ledger files.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IT_asset_management_policy.pdf</t>
        </is>
      </c>
      <c r="H161" s="7" t="inlineStr">
        <is>
          <t>Confirmed Fact</t>
        </is>
      </c>
      <c r="I161" s="7" t="inlineStr">
        <is>
          <t>No image substitute: disposal control for MD-00075 still needs PO-2023-0014 in the packet.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EX-0079, EX-0080</t>
        </is>
      </c>
      <c r="H162" s="7" t="inlineStr">
        <is>
          <t>Unresolved Assumption</t>
        </is>
      </c>
      <c r="I162" s="7" t="inlineStr">
        <is>
          <t>MD-00075 → Return Overdue; location Remote - Former Employee; Low.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PO-2023-0014</t>
        </is>
      </c>
      <c r="H163" s="7" t="inlineStr">
        <is>
          <t>Confirmed Fact</t>
        </is>
      </c>
      <c r="I163" s="7" t="inlineStr">
        <is>
          <t>Purchasing extract lists PO-2023-0014 covering MD-00076 at $6,470.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TR-00076</t>
        </is>
      </c>
      <c r="H164" s="7" t="inlineStr">
        <is>
          <t>Confirmed Fact</t>
        </is>
      </c>
      <c r="I164" s="7" t="inlineStr">
        <is>
          <t>equipment_transfer_log TR-00076: 2026-05-01 out, 2026-05-03 in, APR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OFF-00076</t>
        </is>
      </c>
      <c r="H165" s="7" t="inlineStr">
        <is>
          <t>Technician Claim</t>
        </is>
      </c>
      <c r="I165" s="7" t="inlineStr">
        <is>
          <t>Service desk OFF-00076: status Past Due; return_required=Yes; due 2026-07-15. Ticket alone does not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1ZMD00000076</t>
        </is>
      </c>
      <c r="H167" s="7" t="inlineStr">
        <is>
          <t>Technician Claim</t>
        </is>
      </c>
      <c r="I167" s="7" t="inlineStr">
        <is>
          <t>Prepaid label 1ZMD00000076 for MD-00076 is Label Created only — not a completed return.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1ZMD00000076</t>
        </is>
      </c>
      <c r="H168" s="7" t="inlineStr">
        <is>
          <t>Unresolved Assumption</t>
        </is>
      </c>
      <c r="I168" s="7" t="inlineStr">
        <is>
          <t>Carrier exception on 1ZMD00000076: inbound serial ≠ register MD-NE-050076 for MD-00076.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No corroborated RN line for MD-00076 in regional_IT_notes.docx.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IT_asset_management_policy.pdf</t>
        </is>
      </c>
      <c r="H170" s="7" t="inlineStr">
        <is>
          <t>Confirmed Fact</t>
        </is>
      </c>
      <c r="I170" s="7" t="inlineStr">
        <is>
          <t>Appendix A disposal expectations for MD-00076 come from the matrix PNG — not a substitute for PO-2023-0014.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EX-0081, EX-0082, EX-0083</t>
        </is>
      </c>
      <c r="H171" s="7" t="inlineStr">
        <is>
          <t>Unresolved Assumption</t>
        </is>
      </c>
      <c r="I171" s="7" t="inlineStr">
        <is>
          <t>Critical certification blocker — MD-00076 held In Transit - Exception for unresolved shipment serial mismatch.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PO-2023-0014</t>
        </is>
      </c>
      <c r="H172" s="7" t="inlineStr">
        <is>
          <t>Confirmed Fact</t>
        </is>
      </c>
      <c r="I172" s="7" t="inlineStr">
        <is>
          <t>Purchasing extract lists PO-2023-0014 covering MD-00077 at $1,850.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TR-00077</t>
        </is>
      </c>
      <c r="H173" s="7" t="inlineStr">
        <is>
          <t>Confirmed Fact</t>
        </is>
      </c>
      <c r="I173" s="7" t="inlineStr">
        <is>
          <t>Custody hop on MD-00077 via TR-00077 (APR APR-00077).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OFF-00077</t>
        </is>
      </c>
      <c r="H174" s="7" t="inlineStr">
        <is>
          <t>Technician Claim</t>
        </is>
      </c>
      <c r="I174" s="7" t="inlineStr">
        <is>
          <t>Service desk OFF-00077: status Past Due; return_required=Yes; due 2026-07-15. Ticket alone does not dock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1ZMD00000077</t>
        </is>
      </c>
      <c r="H176" s="7" t="inlineStr">
        <is>
          <t>Technician Claim</t>
        </is>
      </c>
      <c r="I176" s="7" t="inlineStr">
        <is>
          <t>Prepaid label 1ZMD00000077 for MD-00077 is Label Created only — not a completed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No corroborated RN line for MD-00077 in regional_IT_notes.docx.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IT_asset_management_policy.pdf §§4–9; ITAM_control_matrix.png</t>
        </is>
      </c>
      <c r="H178" s="7" t="inlineStr">
        <is>
          <t>Confirmed Fact</t>
        </is>
      </c>
      <c r="I178" s="7" t="inlineStr">
        <is>
          <t>ITAM-001 figure reference (return) noted for MD-00077; filing continues under PO-2023-0014.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EX-0084, EX-0085</t>
        </is>
      </c>
      <c r="H179" s="7" t="inlineStr">
        <is>
          <t>Unresolved Assumption</t>
        </is>
      </c>
      <c r="I179" s="7" t="inlineStr">
        <is>
          <t>Cert packet lists MD-00077 as Return Overdue, site Remote - Former Employee, Low.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PO-2024-0015</t>
        </is>
      </c>
      <c r="H180" s="7" t="inlineStr">
        <is>
          <t>Confirmed Fact</t>
        </is>
      </c>
      <c r="I180" s="7" t="inlineStr">
        <is>
          <t>Bought MD-00078 (Cisco C9300) on PO-2024-0015 for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TR-00078</t>
        </is>
      </c>
      <c r="H181" s="7" t="inlineStr">
        <is>
          <t>Confirmed Fact</t>
        </is>
      </c>
      <c r="I181" s="7" t="inlineStr">
        <is>
          <t>Custody hop on MD-00078 via TR-00078 (APR APR-00078).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OFF-00078</t>
        </is>
      </c>
      <c r="H182" s="7" t="inlineStr">
        <is>
          <t>Technician Claim</t>
        </is>
      </c>
      <c r="I182" s="7" t="inlineStr">
        <is>
          <t>Service desk OFF-00078: status Past Due; return_required=Yes; due 2026-07-15. Ticket alone does not dock MD-00078.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1ZMD00000078</t>
        </is>
      </c>
      <c r="H184" s="7" t="inlineStr">
        <is>
          <t>Technician Claim</t>
        </is>
      </c>
      <c r="I184" s="7" t="inlineStr">
        <is>
          <t>Prepaid label 1ZMD00000078 for MD-00078 is Label Created only — not a completed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No corroborated RN line for MD-00078 in regional_IT_notes.docx.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Policy PDF §9 and the matrix transfer cell both flag the same burden of proof on MD-00078.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EX-0086, EX-0087</t>
        </is>
      </c>
      <c r="H187" s="7" t="inlineStr">
        <is>
          <t>Unresolved Assumption</t>
        </is>
      </c>
      <c r="I187" s="7" t="inlineStr">
        <is>
          <t>After file review, MD-00078 is Return Overdue at Remote - Former Employee (Low). EX-0086, EX-0087.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PO-2024-0015</t>
        </is>
      </c>
      <c r="H188" s="7" t="inlineStr">
        <is>
          <t>Confirmed Fact</t>
        </is>
      </c>
      <c r="I188" s="7" t="inlineStr">
        <is>
          <t>MD-00079 capitalized path starts at PO-2024-0015 (Aruba 6300M, $1,040).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TR-00079</t>
        </is>
      </c>
      <c r="H189" s="7" t="inlineStr">
        <is>
          <t>Confirmed Fact</t>
        </is>
      </c>
      <c r="I189" s="7" t="inlineStr">
        <is>
          <t>Custody hop on MD-00079 via TR-00079 (APR APR-00079).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OFF-00079</t>
        </is>
      </c>
      <c r="H190" s="7" t="inlineStr">
        <is>
          <t>Technician Claim</t>
        </is>
      </c>
      <c r="I190" s="7" t="inlineStr">
        <is>
          <t>Service desk OFF-00079: status Past Due; return_required=Yes; due 2026-07-15. Ticket alone does not dock MD-00079.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1ZMD00000079</t>
        </is>
      </c>
      <c r="H192" s="7" t="inlineStr">
        <is>
          <t>Technician Claim</t>
        </is>
      </c>
      <c r="I192" s="7" t="inlineStr">
        <is>
          <t>Prepaid label 1ZMD00000079 for MD-00079 is Label Created only — not a completed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No corroborated RN line for MD-00079 in regional_IT_notes.docx.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</t>
        </is>
      </c>
      <c r="H194" s="7" t="inlineStr">
        <is>
          <t>Confirmed Fact</t>
        </is>
      </c>
      <c r="I194" s="7" t="inlineStr">
        <is>
          <t>For MD-00079, matrix assignment criteria only frame the test; PO-2024-0015 is the evidence.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EX-0088, EX-0089</t>
        </is>
      </c>
      <c r="H195" s="7" t="inlineStr">
        <is>
          <t>Unresolved Assumption</t>
        </is>
      </c>
      <c r="I195" s="7" t="inlineStr">
        <is>
          <t>Working end-state for MD-00079: Return Overdue in Remote - Former Employee, confidence Low. Exceptions: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PO-2024-0015</t>
        </is>
      </c>
      <c r="H196" s="7" t="inlineStr">
        <is>
          <t>Confirmed Fact</t>
        </is>
      </c>
      <c r="I196" s="7" t="inlineStr">
        <is>
          <t>MD-00080 capitalized path starts at PO-2024-0015 (Cisco Meraki MS250, $6,335).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TR-00080</t>
        </is>
      </c>
      <c r="H197" s="7" t="inlineStr">
        <is>
          <t>Confirmed Fact</t>
        </is>
      </c>
      <c r="I197" s="7" t="inlineStr">
        <is>
          <t>Custody hop on MD-00080 via TR-00080 (APR APR-00080).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OFF-00080</t>
        </is>
      </c>
      <c r="H198" s="7" t="inlineStr">
        <is>
          <t>Technician Claim</t>
        </is>
      </c>
      <c r="I198" s="7" t="inlineStr">
        <is>
          <t>Service desk OFF-00080: status Shipment Open; return_required=Yes; due 2026-07-15. Ticket alone does not dock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1ZMD00000080</t>
        </is>
      </c>
      <c r="H200" s="7" t="inlineStr">
        <is>
          <t>Technician Claim</t>
        </is>
      </c>
      <c r="I200" s="7" t="inlineStr">
        <is>
          <t>Prepaid label 1ZMD00000080 for MD-00080 is Label Created only — not a completed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1ZMD00000080</t>
        </is>
      </c>
      <c r="H201" s="7" t="inlineStr">
        <is>
          <t>Confirmed Fact</t>
        </is>
      </c>
      <c r="I201" s="7" t="inlineStr">
        <is>
          <t>Carrier acceptance recorded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1ZMD00000080</t>
        </is>
      </c>
      <c r="H202" s="7" t="inlineStr">
        <is>
          <t>Confirmed Fact</t>
        </is>
      </c>
      <c r="I202" s="7" t="inlineStr">
        <is>
          <t>Delivery event on 1ZMD00000080; receiving scan still required for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1ZMD00000080</t>
        </is>
      </c>
      <c r="H203" s="7" t="inlineStr">
        <is>
          <t>Confirmed Fact</t>
        </is>
      </c>
      <c r="I203" s="7" t="inlineStr">
        <is>
          <t>Receiving scan posted for 1ZMD00000080 (MD-00080).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No corroborated RN line for MD-00080 in regional_IT_notes.docx.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IT_asset_management_policy.pdf</t>
        </is>
      </c>
      <c r="H205" s="7" t="inlineStr">
        <is>
          <t>Confirmed Fact</t>
        </is>
      </c>
      <c r="I205" s="7" t="inlineStr">
        <is>
          <t>Appendix A disposal expectations for MD-00080 come from the matrix PNG — not a substitute for PO-2024-0015.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EX-0090</t>
        </is>
      </c>
      <c r="H206" s="7" t="inlineStr">
        <is>
          <t>Confirmed Fact</t>
        </is>
      </c>
      <c r="I206" s="7" t="inlineStr">
        <is>
          <t>MD-00080 → Available; location Atlanta Warehouse; High.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PO-2024-0015</t>
        </is>
      </c>
      <c r="H207" s="7" t="inlineStr">
        <is>
          <t>Confirmed Fact</t>
        </is>
      </c>
      <c r="I207" s="7" t="inlineStr">
        <is>
          <t>Purchasing extract lists PO-2024-0015 covering MD-00081 at $2,030.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TR-00081</t>
        </is>
      </c>
      <c r="H208" s="7" t="inlineStr">
        <is>
          <t>Confirmed Fact</t>
        </is>
      </c>
      <c r="I208" s="7" t="inlineStr">
        <is>
          <t>Custody hop on MD-00081 via TR-00081 (APR APR-00081).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OFF-00081</t>
        </is>
      </c>
      <c r="H209" s="7" t="inlineStr">
        <is>
          <t>Technician Claim</t>
        </is>
      </c>
      <c r="I209" s="7" t="inlineStr">
        <is>
          <t>Service desk OFF-00081: status Shipment Open; return_required=Yes; due 2026-07-15. Ticket alone does not dock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1ZMD00000081</t>
        </is>
      </c>
      <c r="H211" s="7" t="inlineStr">
        <is>
          <t>Technician Claim</t>
        </is>
      </c>
      <c r="I211" s="7" t="inlineStr">
        <is>
          <t>Prepaid label 1ZMD00000081 for MD-00081 is Label Created only — not a completed return.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1ZMD00000081</t>
        </is>
      </c>
      <c r="H212" s="7" t="inlineStr">
        <is>
          <t>Confirmed Fact</t>
        </is>
      </c>
      <c r="I212" s="7" t="inlineStr">
        <is>
          <t>Carrier acceptance recorded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1ZMD00000081</t>
        </is>
      </c>
      <c r="H213" s="7" t="inlineStr">
        <is>
          <t>Confirmed Fact</t>
        </is>
      </c>
      <c r="I213" s="7" t="inlineStr">
        <is>
          <t>Delivery event on 1ZMD00000081; receiving scan still required for MD-00081.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1ZMD00000081</t>
        </is>
      </c>
      <c r="H214" s="7" t="inlineStr">
        <is>
          <t>Confirmed Fact</t>
        </is>
      </c>
      <c r="I214" s="7" t="inlineStr">
        <is>
          <t>Receiving scan posted for 1ZMD00000081 (MD-00081).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No corroborated RN line for MD-00081 in regional_IT_notes.docx.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</t>
        </is>
      </c>
      <c r="H216" s="7" t="inlineStr">
        <is>
          <t>Confirmed Fact</t>
        </is>
      </c>
      <c r="I216" s="7" t="inlineStr">
        <is>
          <t>Policy PDF §9 and the matrix assignment cell both flag the same burden of proof on MD-00081.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EX-0091</t>
        </is>
      </c>
      <c r="H217" s="7" t="inlineStr">
        <is>
          <t>Confirmed Fact</t>
        </is>
      </c>
      <c r="I217" s="7" t="inlineStr">
        <is>
          <t>Working end-state for MD-00081: Available in Atlanta Warehouse, confidence High. Exceptions: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PO-2024-0015</t>
        </is>
      </c>
      <c r="H218" s="7" t="inlineStr">
        <is>
          <t>Confirmed Fact</t>
        </is>
      </c>
      <c r="I218" s="7" t="inlineStr">
        <is>
          <t>Acquisition packet for MD-00082: vendor delivery against PO-2024-0015, $745.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TR-00082</t>
        </is>
      </c>
      <c r="H219" s="7" t="inlineStr">
        <is>
          <t>Confirmed Fact</t>
        </is>
      </c>
      <c r="I219" s="7" t="inlineStr">
        <is>
          <t>Custody hop on MD-00082 via TR-00082 (APR APR-00082).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OFF-00082</t>
        </is>
      </c>
      <c r="H220" s="7" t="inlineStr">
        <is>
          <t>Technician Claim</t>
        </is>
      </c>
      <c r="I220" s="7" t="inlineStr">
        <is>
          <t>Service desk OFF-00082: status Shipment Open; return_required=Yes; due 2026-07-15. Ticket alone does not dock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1ZMD00000082</t>
        </is>
      </c>
      <c r="H222" s="7" t="inlineStr">
        <is>
          <t>Technician Claim</t>
        </is>
      </c>
      <c r="I222" s="7" t="inlineStr">
        <is>
          <t>Prepaid label 1ZMD00000082 for MD-00082 is Label Created only — not a completed return.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1ZMD00000082</t>
        </is>
      </c>
      <c r="H223" s="7" t="inlineStr">
        <is>
          <t>Confirmed Fact</t>
        </is>
      </c>
      <c r="I223" s="7" t="inlineStr">
        <is>
          <t>Carrier acceptance recorded on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1ZMD00000082</t>
        </is>
      </c>
      <c r="H224" s="7" t="inlineStr">
        <is>
          <t>Unresolved Assumption</t>
        </is>
      </c>
      <c r="I224" s="7" t="inlineStr">
        <is>
          <t>Carrier exception on 1ZMD00000082: inbound serial ≠ register MD-MO-050082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receiving_exception_scan_1ZMD00000082.png</t>
        </is>
      </c>
      <c r="H225" s="7" t="inlineStr">
        <is>
          <t>Technician Claim</t>
        </is>
      </c>
      <c r="I225" s="7" t="inlineStr">
        <is>
          <t>receiving_exception_scan_1ZMD00000082.png shows HOLD / MISMATCH — lead only, not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No corroborated RN line for MD-00082 in regional_IT_notes.docx.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IT_asset_management_policy.pdf §§4–9; ITAM_control_matrix.png</t>
        </is>
      </c>
      <c r="H227" s="7" t="inlineStr">
        <is>
          <t>Confirmed Fact</t>
        </is>
      </c>
      <c r="I227" s="7" t="inlineStr">
        <is>
          <t>Appendix A return expectations for MD-00082 come from the matrix PNG — not a substitute for PO-2024-0015.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EX-0092, EX-0093</t>
        </is>
      </c>
      <c r="H228" s="7" t="inlineStr">
        <is>
          <t>Unresolved Assumption</t>
        </is>
      </c>
      <c r="I228" s="7" t="inlineStr">
        <is>
          <t>Critical certification blocker — MD-00082 held In Transit - Exception for unresolved shipment serial mismatch.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PO-2025-0016</t>
        </is>
      </c>
      <c r="H229" s="7" t="inlineStr">
        <is>
          <t>Confirmed Fact</t>
        </is>
      </c>
      <c r="I229" s="7" t="inlineStr">
        <is>
          <t>Bought MD-00083 (Aruba 6300M) on PO-2025-0016 for $1,220.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TR-00083</t>
        </is>
      </c>
      <c r="H230" s="7" t="inlineStr">
        <is>
          <t>Confirmed Fact</t>
        </is>
      </c>
      <c r="I230" s="7" t="inlineStr">
        <is>
          <t>Custody hop on MD-00083 via TR-00083 (APR APR-00083).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OFF-00083</t>
        </is>
      </c>
      <c r="H231" s="7" t="inlineStr">
        <is>
          <t>Technician Claim</t>
        </is>
      </c>
      <c r="I231" s="7" t="inlineStr">
        <is>
          <t>Service desk OFF-00083: status Shipment Open; return_required=Yes; due 2026-07-15. Ticket alone does not dock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1ZMD00000083</t>
        </is>
      </c>
      <c r="H233" s="7" t="inlineStr">
        <is>
          <t>Technician Claim</t>
        </is>
      </c>
      <c r="I233" s="7" t="inlineStr">
        <is>
          <t>Prepaid label 1ZMD00000083 for MD-00083 is Label Created only — not a completed return.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1ZMD00000083</t>
        </is>
      </c>
      <c r="H234" s="7" t="inlineStr">
        <is>
          <t>Confirmed Fact</t>
        </is>
      </c>
      <c r="I234" s="7" t="inlineStr">
        <is>
          <t>Carrier acceptance recorded on 1ZMD00000083.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1ZMD00000083</t>
        </is>
      </c>
      <c r="H235" s="7" t="inlineStr">
        <is>
          <t>Confirmed Fact</t>
        </is>
      </c>
      <c r="I235" s="7" t="inlineStr">
        <is>
          <t>Delivery event on 1ZMD00000083; receiving scan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1ZMD00000083</t>
        </is>
      </c>
      <c r="H236" s="7" t="inlineStr">
        <is>
          <t>Confirmed Fact</t>
        </is>
      </c>
      <c r="I236" s="7" t="inlineStr">
        <is>
          <t>Receiving scan posted for 1ZMD00000083 (MD-00083).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No corroborated RN line for MD-00083 in regional_IT_notes.docx.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 Appendix A</t>
        </is>
      </c>
      <c r="H238" s="7" t="inlineStr">
        <is>
          <t>Confirmed Fact</t>
        </is>
      </c>
      <c r="I238" s="7" t="inlineStr">
        <is>
          <t>Policy PDF §9 and the matrix financial cell both flag the same burden of proof on MD-00083.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EX-0094</t>
        </is>
      </c>
      <c r="H239" s="7" t="inlineStr">
        <is>
          <t>Confirmed Fact</t>
        </is>
      </c>
      <c r="I239" s="7" t="inlineStr">
        <is>
          <t>MD-00083 closes at Available / Atlanta Warehouse (High).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PO-2025-0016</t>
        </is>
      </c>
      <c r="H240" s="7" t="inlineStr">
        <is>
          <t>Confirmed Fact</t>
        </is>
      </c>
      <c r="I240" s="7" t="inlineStr">
        <is>
          <t>PO-2025-0016 → MD-00084 / Juniper EX3400, basis $6,200.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TR-00084</t>
        </is>
      </c>
      <c r="H241" s="7" t="inlineStr">
        <is>
          <t>Confirmed Fact</t>
        </is>
      </c>
      <c r="I241" s="7" t="inlineStr">
        <is>
          <t>Custody hop on MD-00084 via TR-00084 (APR APR-00084).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OFF-00084</t>
        </is>
      </c>
      <c r="H242" s="7" t="inlineStr">
        <is>
          <t>Technician Claim</t>
        </is>
      </c>
      <c r="I242" s="7" t="inlineStr">
        <is>
          <t>Service desk OFF-00084: status Shipment Open; return_required=Yes; due 2026-07-15. Ticket alone does not dock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1ZMD00000084</t>
        </is>
      </c>
      <c r="H244" s="7" t="inlineStr">
        <is>
          <t>Technician Claim</t>
        </is>
      </c>
      <c r="I244" s="7" t="inlineStr">
        <is>
          <t>Prepaid label 1ZMD00000084 for MD-00084 is Label Created only — not a completed return.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1ZMD00000084</t>
        </is>
      </c>
      <c r="H245" s="7" t="inlineStr">
        <is>
          <t>Confirmed Fact</t>
        </is>
      </c>
      <c r="I245" s="7" t="inlineStr">
        <is>
          <t>Carrier acceptance recorded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1ZMD00000084</t>
        </is>
      </c>
      <c r="H246" s="7" t="inlineStr">
        <is>
          <t>Unresolved Assumption</t>
        </is>
      </c>
      <c r="I246" s="7" t="inlineStr">
        <is>
          <t>Carrier exception on 1ZMD00000084: inbound serial ≠ register MD-NE-050084 for MD-00084.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Skipped empty RN hit for MD-00084; continued with HR/transfer/ledger files.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</t>
        </is>
      </c>
      <c r="H248" s="7" t="inlineStr">
        <is>
          <t>Confirmed Fact</t>
        </is>
      </c>
      <c r="I248" s="7" t="inlineStr">
        <is>
          <t>Pulled the assignment strip on ITAM_control_matrix.png for MD-00084 before trusting PO-2025-0016.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EX-0095, EX-0096</t>
        </is>
      </c>
      <c r="H249" s="7" t="inlineStr">
        <is>
          <t>Unresolved Assumption</t>
        </is>
      </c>
      <c r="I249" s="7" t="inlineStr">
        <is>
          <t>Critical certification blocker — MD-00084 held In Transit - Exception for unresolved shipment serial mismatch.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PO-2025-0016</t>
        </is>
      </c>
      <c r="H250" s="7" t="inlineStr">
        <is>
          <t>Confirmed Fact</t>
        </is>
      </c>
      <c r="I250" s="7" t="inlineStr">
        <is>
          <t>Acquisition packet for MD-00085: vendor delivery against PO-2025-0016, $1,895.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TR-00085</t>
        </is>
      </c>
      <c r="H251" s="7" t="inlineStr">
        <is>
          <t>Confirmed Fact</t>
        </is>
      </c>
      <c r="I251" s="7" t="inlineStr">
        <is>
          <t>equipment_transfer_log TR-00085: 2026-02-02 out, 2026-02-03 in, APR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OFF-00085</t>
        </is>
      </c>
      <c r="H252" s="7" t="inlineStr">
        <is>
          <t>Technician Claim</t>
        </is>
      </c>
      <c r="I252" s="7" t="inlineStr">
        <is>
          <t>Service desk OFF-00085: status Shipment Open; return_required=Yes; due 2026-07-15. Ticket alone does not dock MD-00085.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1ZMD00000085</t>
        </is>
      </c>
      <c r="H254" s="7" t="inlineStr">
        <is>
          <t>Technician Claim</t>
        </is>
      </c>
      <c r="I254" s="7" t="inlineStr">
        <is>
          <t>Prepaid label 1ZMD00000085 for MD-00085 is Label Created only — not a completed return.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1ZMD00000085</t>
        </is>
      </c>
      <c r="H255" s="7" t="inlineStr">
        <is>
          <t>Confirmed Fact</t>
        </is>
      </c>
      <c r="I255" s="7" t="inlineStr">
        <is>
          <t>Carrier acceptance recorded on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1ZMD00000085</t>
        </is>
      </c>
      <c r="H256" s="7" t="inlineStr">
        <is>
          <t>Confirmed Fact</t>
        </is>
      </c>
      <c r="I256" s="7" t="inlineStr">
        <is>
          <t>Delivery event on 1ZMD00000085; receiving scan still required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1ZMD00000085</t>
        </is>
      </c>
      <c r="H257" s="7" t="inlineStr">
        <is>
          <t>Confirmed Fact</t>
        </is>
      </c>
      <c r="I257" s="7" t="inlineStr">
        <is>
          <t>Receiving scan posted for 1ZMD00000085 (MD-00085).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Skipped empty RN hit for MD-00085; continued with HR/transfer/ledger files.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IT_asset_management_policy.pdf §§4–9; ITAM_control_matrix.png</t>
        </is>
      </c>
      <c r="H259" s="7" t="inlineStr">
        <is>
          <t>Confirmed Fact</t>
        </is>
      </c>
      <c r="I259" s="7" t="inlineStr">
        <is>
          <t>Checked ITAM_control_matrix.png return row while reviewing MD-00085; proof stays with PO-2025-0016.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EX-0097, EX-0098</t>
        </is>
      </c>
      <c r="H260" s="7" t="inlineStr">
        <is>
          <t>Confirmed Fact</t>
        </is>
      </c>
      <c r="I260" s="7" t="inlineStr">
        <is>
          <t>Cert packet lists MD-00085 as Available, site Atlanta Warehouse, High.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PO-2022-0017</t>
        </is>
      </c>
      <c r="H261" s="7" t="inlineStr">
        <is>
          <t>Confirmed Fact</t>
        </is>
      </c>
      <c r="I261" s="7" t="inlineStr">
        <is>
          <t>Bought MD-00086 (Fortinet FortiSwitch 148F) on PO-2022-0017 for $610.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TR-00086</t>
        </is>
      </c>
      <c r="H262" s="7" t="inlineStr">
        <is>
          <t>Confirmed Fact</t>
        </is>
      </c>
      <c r="I262" s="7" t="inlineStr">
        <is>
          <t>equipment_transfer_log TR-00086: 2026-03-07 out, 2026-03-08 in, APR APR-00086.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OFF-00086</t>
        </is>
      </c>
      <c r="H263" s="7" t="inlineStr">
        <is>
          <t>Technician Claim</t>
        </is>
      </c>
      <c r="I263" s="7" t="inlineStr">
        <is>
          <t>Service desk OFF-00086: status Shipment Open; return_required=Yes; due 2026-07-15. Ticket alone does not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1ZMD00000086</t>
        </is>
      </c>
      <c r="H265" s="7" t="inlineStr">
        <is>
          <t>Technician Claim</t>
        </is>
      </c>
      <c r="I265" s="7" t="inlineStr">
        <is>
          <t>Prepaid label 1ZMD00000086 for MD-00086 is Label Created only — not a completed return.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1ZMD00000086</t>
        </is>
      </c>
      <c r="H266" s="7" t="inlineStr">
        <is>
          <t>Confirmed Fact</t>
        </is>
      </c>
      <c r="I266" s="7" t="inlineStr">
        <is>
          <t>Carrier acceptance recorded on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1ZMD00000086</t>
        </is>
      </c>
      <c r="H267" s="7" t="inlineStr">
        <is>
          <t>Confirmed Fact</t>
        </is>
      </c>
      <c r="I267" s="7" t="inlineStr">
        <is>
          <t>Delivery event on 1ZMD00000086; receiving scan still required for MD-00086.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1ZMD00000086</t>
        </is>
      </c>
      <c r="H268" s="7" t="inlineStr">
        <is>
          <t>Confirmed Fact</t>
        </is>
      </c>
      <c r="I268" s="7" t="inlineStr">
        <is>
          <t>Receiving scan posted for 1ZMD00000086 (MD-00086).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Skipped empty RN hit for MD-00086; continued with HR/transfer/ledger files.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 Appendix A</t>
        </is>
      </c>
      <c r="H270" s="7" t="inlineStr">
        <is>
          <t>Confirmed Fact</t>
        </is>
      </c>
      <c r="I270" s="7" t="inlineStr">
        <is>
          <t>Pulled the financial strip on ITAM_control_matrix.png for MD-00086 before trusting PO-2022-0017.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EX-0099</t>
        </is>
      </c>
      <c r="H271" s="7" t="inlineStr">
        <is>
          <t>Confirmed Fact</t>
        </is>
      </c>
      <c r="I271" s="7" t="inlineStr">
        <is>
          <t>MD-00086 closes at Available / Atlanta Warehouse (High).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PO-2022-0017</t>
        </is>
      </c>
      <c r="H272" s="7" t="inlineStr">
        <is>
          <t>Confirmed Fact</t>
        </is>
      </c>
      <c r="I272" s="7" t="inlineStr">
        <is>
          <t>PO-2022-0017 → MD-00087 / Cisco C9300, basis $1,085.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TR-00087</t>
        </is>
      </c>
      <c r="H273" s="7" t="inlineStr">
        <is>
          <t>Confirmed Fact</t>
        </is>
      </c>
      <c r="I273" s="7" t="inlineStr">
        <is>
          <t>equipment_transfer_log TR-00087: 2026-04-12 out, 2026-04-12 in, APR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OFF-00087</t>
        </is>
      </c>
      <c r="H274" s="7" t="inlineStr">
        <is>
          <t>Technician Claim</t>
        </is>
      </c>
      <c r="I274" s="7" t="inlineStr">
        <is>
          <t>Service desk OFF-00087: status Shipment Open; return_required=Yes; due 2026-07-15. Ticket alone does not dock MD-00087.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1ZMD00000087</t>
        </is>
      </c>
      <c r="H276" s="7" t="inlineStr">
        <is>
          <t>Technician Claim</t>
        </is>
      </c>
      <c r="I276" s="7" t="inlineStr">
        <is>
          <t>Prepaid label 1ZMD00000087 for MD-00087 is Label Created only — not a completed return.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1ZMD00000087</t>
        </is>
      </c>
      <c r="H277" s="7" t="inlineStr">
        <is>
          <t>Confirmed Fact</t>
        </is>
      </c>
      <c r="I277" s="7" t="inlineStr">
        <is>
          <t>Carrier acceptance recorded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1ZMD00000087</t>
        </is>
      </c>
      <c r="H278" s="7" t="inlineStr">
        <is>
          <t>Confirmed Fact</t>
        </is>
      </c>
      <c r="I278" s="7" t="inlineStr">
        <is>
          <t>Delivery event on 1ZMD00000087; receiving scan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1ZMD00000087</t>
        </is>
      </c>
      <c r="H279" s="7" t="inlineStr">
        <is>
          <t>Confirmed Fact</t>
        </is>
      </c>
      <c r="I279" s="7" t="inlineStr">
        <is>
          <t>Receiving scan posted for 1ZMD00000087 (MD-00087).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Skipped empty RN hit for MD-00087; continued with HR/transfer/ledger files.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Checked ITAM_control_matrix.png transfer row while reviewing MD-00087; proof stays with PO-2022-0017.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EX-0100</t>
        </is>
      </c>
      <c r="H282" s="7" t="inlineStr">
        <is>
          <t>Confirmed Fact</t>
        </is>
      </c>
      <c r="I282" s="7" t="inlineStr">
        <is>
          <t>After file review, MD-00087 is Available at Atlanta Warehouse (High).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PO-2022-0017</t>
        </is>
      </c>
      <c r="H283" s="7" t="inlineStr">
        <is>
          <t>Confirmed Fact</t>
        </is>
      </c>
      <c r="I283" s="7" t="inlineStr">
        <is>
          <t>MD-00088 capitalized path starts at PO-2022-0017 (Aruba 6300M, $6,380).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TR-00088</t>
        </is>
      </c>
      <c r="H284" s="7" t="inlineStr">
        <is>
          <t>Confirmed Fact</t>
        </is>
      </c>
      <c r="I284" s="7" t="inlineStr">
        <is>
          <t>equipment_transfer_log TR-00088: 2026-05-13 out, 2026-05-14 in, APR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OFF-00088</t>
        </is>
      </c>
      <c r="H285" s="7" t="inlineStr">
        <is>
          <t>Technician Claim</t>
        </is>
      </c>
      <c r="I285" s="7" t="inlineStr">
        <is>
          <t>Service desk OFF-00088: status Shipment Open; return_required=Yes; due 2026-07-15. Ticket alone does not dock MD-00088.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1ZMD00000088</t>
        </is>
      </c>
      <c r="H287" s="7" t="inlineStr">
        <is>
          <t>Technician Claim</t>
        </is>
      </c>
      <c r="I287" s="7" t="inlineStr">
        <is>
          <t>Prepaid label 1ZMD00000088 for MD-00088 is Label Created only — not a completed return.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1ZMD00000088</t>
        </is>
      </c>
      <c r="H288" s="7" t="inlineStr">
        <is>
          <t>Confirmed Fact</t>
        </is>
      </c>
      <c r="I288" s="7" t="inlineStr">
        <is>
          <t>Carrier acceptance recorded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1ZMD00000088</t>
        </is>
      </c>
      <c r="H289" s="7" t="inlineStr">
        <is>
          <t>Confirmed Fact</t>
        </is>
      </c>
      <c r="I289" s="7" t="inlineStr">
        <is>
          <t>Delivery event on 1ZMD00000088; receiving scan still required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1ZMD00000088</t>
        </is>
      </c>
      <c r="H290" s="7" t="inlineStr">
        <is>
          <t>Confirmed Fact</t>
        </is>
      </c>
      <c r="I290" s="7" t="inlineStr">
        <is>
          <t>Receiving scan posted for 1ZMD00000088 (MD-00088).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Skipped empty RN hit for MD-00088; continued with HR/transfer/ledger files.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IT_asset_management_policy.pdf</t>
        </is>
      </c>
      <c r="H292" s="7" t="inlineStr">
        <is>
          <t>Confirmed Fact</t>
        </is>
      </c>
      <c r="I292" s="7" t="inlineStr">
        <is>
          <t>Pulled the disposal strip on ITAM_control_matrix.png for MD-00088 before trusting PO-2022-0017.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EX-0101, EX-0102</t>
        </is>
      </c>
      <c r="H293" s="7" t="inlineStr">
        <is>
          <t>Confirmed Fact</t>
        </is>
      </c>
      <c r="I293" s="7" t="inlineStr">
        <is>
          <t>MD-00088 → Available; location Atlanta Warehouse; Medium.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PO-2022-0017</t>
        </is>
      </c>
      <c r="H294" s="7" t="inlineStr">
        <is>
          <t>Confirmed Fact</t>
        </is>
      </c>
      <c r="I294" s="7" t="inlineStr">
        <is>
          <t>Purchasing extract lists PO-2022-0017 covering MD-00089 at $2,075.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TR-00089</t>
        </is>
      </c>
      <c r="H295" s="7" t="inlineStr">
        <is>
          <t>Confirmed Fact</t>
        </is>
      </c>
      <c r="I295" s="7" t="inlineStr">
        <is>
          <t>equipment_transfer_log TR-00089: 2026-06-17 out, 2026-06-17 in, APR APR-00089.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OFF-00089</t>
        </is>
      </c>
      <c r="H296" s="7" t="inlineStr">
        <is>
          <t>Technician Claim</t>
        </is>
      </c>
      <c r="I296" s="7" t="inlineStr">
        <is>
          <t>Service desk OFF-00089: status Unresolved; return_required=Yes; due 2026-07-15. Ticket alone does not dock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searched for MD-00089; nothing usable as location proof.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Mapped MD-00089 to matrix transfer; kept PO-2022-0017 as the auditable record.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No dock scan, disposal certificate, or floor count currently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EX-0103, EX-0104</t>
        </is>
      </c>
      <c r="H301" s="7" t="inlineStr">
        <is>
          <t>Unresolved Assumption</t>
        </is>
      </c>
      <c r="I301" s="7" t="inlineStr">
        <is>
          <t>Cert packet lists MD-00089 as Missing, site Unknown, Low.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PO-2023-0018</t>
        </is>
      </c>
      <c r="H302" s="7" t="inlineStr">
        <is>
          <t>Confirmed Fact</t>
        </is>
      </c>
      <c r="I302" s="7" t="inlineStr">
        <is>
          <t>Purchasing extract lists PO-2023-0018 covering MD-00090 at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TR-00090</t>
        </is>
      </c>
      <c r="H303" s="7" t="inlineStr">
        <is>
          <t>Confirmed Fact</t>
        </is>
      </c>
      <c r="I303" s="7" t="inlineStr">
        <is>
          <t>equipment_transfer_log TR-00090: 2026-01-22 out, 2026-01-28 in, APR APR-00090.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OFF-00090</t>
        </is>
      </c>
      <c r="H304" s="7" t="inlineStr">
        <is>
          <t>Technician Claim</t>
        </is>
      </c>
      <c r="I304" s="7" t="inlineStr">
        <is>
          <t>Service desk OFF-00090: status Unresolved; return_required=Yes; due 2026-07-15. Ticket alone does not dock MD-00090.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regional_IT_notes.docx searched for MD-00090; nothing usable as location proof.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Mapped MD-00090 to matrix transfer; kept PO-2023-0018 as the auditable record.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No dock scan, disposal certificate, or floor count currently places MD-00090.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EX-0105, EX-0106</t>
        </is>
      </c>
      <c r="H309" s="7" t="inlineStr">
        <is>
          <t>Unresolved Assumption</t>
        </is>
      </c>
      <c r="I309" s="7" t="inlineStr">
        <is>
          <t>Cert packet lists MD-00090 as Missing, site Unknown, Low.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PO-2023-0018</t>
        </is>
      </c>
      <c r="H310" s="7" t="inlineStr">
        <is>
          <t>Confirmed Fact</t>
        </is>
      </c>
      <c r="I310" s="7" t="inlineStr">
        <is>
          <t>Bought MD-00091 (Cisco C9300) on PO-2023-0018 for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TR-00091</t>
        </is>
      </c>
      <c r="H311" s="7" t="inlineStr">
        <is>
          <t>Confirmed Fact</t>
        </is>
      </c>
      <c r="I311" s="7" t="inlineStr">
        <is>
          <t>equipment_transfer_log TR-00091: 2026-02-23 out, 2026-02-24 in, APR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OFF-00091</t>
        </is>
      </c>
      <c r="H312" s="7" t="inlineStr">
        <is>
          <t>Technician Claim</t>
        </is>
      </c>
      <c r="I312" s="7" t="inlineStr">
        <is>
          <t>Service desk OFF-00091: status Unresolved; return_required=Yes; due 2026-07-15. Ticket alone does not dock MD-00091.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searched for MD-00091; nothing usable as location proof.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</t>
        </is>
      </c>
      <c r="H315" s="7" t="inlineStr">
        <is>
          <t>Confirmed Fact</t>
        </is>
      </c>
      <c r="I315" s="7" t="inlineStr">
        <is>
          <t>MD-00091: used ITAM_control_matrix.png as a lead on assignment controls, then returned to PO-2023-0018.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No dock scan, disposal certificate, or floor count currently places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EX-0107, EX-0108</t>
        </is>
      </c>
      <c r="H317" s="7" t="inlineStr">
        <is>
          <t>Unresolved Assumption</t>
        </is>
      </c>
      <c r="I317" s="7" t="inlineStr">
        <is>
          <t>After file review, MD-00091 is Missing at Unknown (Low). EX-0107, EX-0108.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PO-2023-0018</t>
        </is>
      </c>
      <c r="H318" s="7" t="inlineStr">
        <is>
          <t>Confirmed Fact</t>
        </is>
      </c>
      <c r="I318" s="7" t="inlineStr">
        <is>
          <t>MD-00092 capitalized path starts at PO-2023-0018 (Aruba 6300M, $6,245).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TR-00092</t>
        </is>
      </c>
      <c r="H319" s="7" t="inlineStr">
        <is>
          <t>Confirmed Fact</t>
        </is>
      </c>
      <c r="I319" s="7" t="inlineStr">
        <is>
          <t>equipment_transfer_log TR-00092: 2026-03-28 out, 2026-03-28 in, APR APR-00092.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OFF-00092</t>
        </is>
      </c>
      <c r="H320" s="7" t="inlineStr">
        <is>
          <t>Technician Claim</t>
        </is>
      </c>
      <c r="I320" s="7" t="inlineStr">
        <is>
          <t>Service desk OFF-00092: status Unresolved; return_required=Yes; due 2026-07-15. Ticket alone does not dock MD-00092.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regional_IT_notes.docx searched for MD-00092; nothing usable as location proof.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 Appendix A</t>
        </is>
      </c>
      <c r="H323" s="7" t="inlineStr">
        <is>
          <t>Confirmed Fact</t>
        </is>
      </c>
      <c r="I323" s="7" t="inlineStr">
        <is>
          <t>Cross-read IT_asset_management_policy.pdf §§4–9 against the financial matrix line for MD-00092.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No dock scan, disposal certificate, or floor count currently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EX-0109, EX-0110, EX-0111</t>
        </is>
      </c>
      <c r="H325" s="7" t="inlineStr">
        <is>
          <t>Unresolved Assumption</t>
        </is>
      </c>
      <c r="I325" s="7" t="inlineStr">
        <is>
          <t>Working end-state for MD-00092: Missing in Unknown, confidence Low. Exceptions: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PO-2023-0018</t>
        </is>
      </c>
      <c r="H326" s="7" t="inlineStr">
        <is>
          <t>Confirmed Fact</t>
        </is>
      </c>
      <c r="I326" s="7" t="inlineStr">
        <is>
          <t>Acquisition packet for MD-00093: vendor delivery against PO-2023-0018, $1,940.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TR-00093</t>
        </is>
      </c>
      <c r="H327" s="7" t="inlineStr">
        <is>
          <t>Confirmed Fact</t>
        </is>
      </c>
      <c r="I327" s="7" t="inlineStr">
        <is>
          <t>equipment_transfer_log TR-00093: 2026-05-02 out, 2026-05-06 in, APR APR-00093.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OFF-00093</t>
        </is>
      </c>
      <c r="H328" s="7" t="inlineStr">
        <is>
          <t>Technician Claim</t>
        </is>
      </c>
      <c r="I328" s="7" t="inlineStr">
        <is>
          <t>Service desk OFF-00093: status Unresolved; return_required=Yes; due 2026-07-15. Ticket alone does not dock MD-00093.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searched for MD-00093; nothing usable as location proof.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IT_asset_management_policy.pdf</t>
        </is>
      </c>
      <c r="H331" s="7" t="inlineStr">
        <is>
          <t>Confirmed Fact</t>
        </is>
      </c>
      <c r="I331" s="7" t="inlineStr">
        <is>
          <t>Opened matrix PNG to the disposal band for MD-00093, then filed PO-2023-0018.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No dock scan, disposal certificate, or floor count currently places MD-00093.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EX-0112, EX-0113</t>
        </is>
      </c>
      <c r="H333" s="7" t="inlineStr">
        <is>
          <t>Unresolved Assumption</t>
        </is>
      </c>
      <c r="I333" s="7" t="inlineStr">
        <is>
          <t>MD-00093 closes at Missing / Unknown (Low).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PO-2023-0018</t>
        </is>
      </c>
      <c r="H334" s="7" t="inlineStr">
        <is>
          <t>Confirmed Fact</t>
        </is>
      </c>
      <c r="I334" s="7" t="inlineStr">
        <is>
          <t>PO-2023-0018 → MD-00094 / Cisco Meraki MS250, basis $655.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TR-00094</t>
        </is>
      </c>
      <c r="H335" s="7" t="inlineStr">
        <is>
          <t>Confirmed Fact</t>
        </is>
      </c>
      <c r="I335" s="7" t="inlineStr">
        <is>
          <t>equipment_transfer_log TR-00094: 2026-06-03 out, 2026-06-04 in, APR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OFF-00094</t>
        </is>
      </c>
      <c r="H336" s="7" t="inlineStr">
        <is>
          <t>Technician Claim</t>
        </is>
      </c>
      <c r="I336" s="7" t="inlineStr">
        <is>
          <t>Service desk OFF-00094: status Unresolved; return_required=Yes; due 2026-07-15. Ticket alone does not dock MD-00094.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regional_IT_notes.docx searched for MD-00094; nothing usable as location proof.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IT_asset_management_policy.pdf §§4–9; ITAM_control_matrix.png</t>
        </is>
      </c>
      <c r="H339" s="7" t="inlineStr">
        <is>
          <t>Confirmed Fact</t>
        </is>
      </c>
      <c r="I339" s="7" t="inlineStr">
        <is>
          <t>Mapped MD-00094 to matrix return; kept PO-2023-0018 as the auditable record.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No dock scan, disposal certificate, or floor count currently places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EX-0114, EX-0115</t>
        </is>
      </c>
      <c r="H341" s="7" t="inlineStr">
        <is>
          <t>Unresolved Assumption</t>
        </is>
      </c>
      <c r="I341" s="7" t="inlineStr">
        <is>
          <t>MD-00094 → Missing; location Unknown; Low.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PO-2023-0018</t>
        </is>
      </c>
      <c r="H342" s="7" t="inlineStr">
        <is>
          <t>Confirmed Fact</t>
        </is>
      </c>
      <c r="I342" s="7" t="inlineStr">
        <is>
          <t>Purchasing extract lists PO-2023-0018 covering MD-00095 at $1,130.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TR-00095</t>
        </is>
      </c>
      <c r="H343" s="7" t="inlineStr">
        <is>
          <t>Confirmed Fact</t>
        </is>
      </c>
      <c r="I343" s="7" t="inlineStr">
        <is>
          <t>equipment_transfer_log TR-00095: 2026-07-08 out, 2026-07-08 in, APR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OFF-00095</t>
        </is>
      </c>
      <c r="H344" s="7" t="inlineStr">
        <is>
          <t>Technician Claim</t>
        </is>
      </c>
      <c r="I344" s="7" t="inlineStr">
        <is>
          <t>Service desk OFF-00095: status Unresolved; return_required=Yes; due 2026-07-15. Ticket alone does not dock MD-00095.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regional_IT_notes.docx searched for MD-00095; nothing usable as location proof.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MD-00095: used ITAM_control_matrix.png as a lead on transfer controls, then returned to PO-2023-0018.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No dock scan, disposal certificate, or floor count currently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EX-0116, EX-0117</t>
        </is>
      </c>
      <c r="H349" s="7" t="inlineStr">
        <is>
          <t>Unresolved Assumption</t>
        </is>
      </c>
      <c r="I349" s="7" t="inlineStr">
        <is>
          <t>Cert packet lists MD-00095 as Missing, site Unknown, Low.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PO-2023-0018</t>
        </is>
      </c>
      <c r="H350" s="7" t="inlineStr">
        <is>
          <t>Confirmed Fact</t>
        </is>
      </c>
      <c r="I350" s="7" t="inlineStr">
        <is>
          <t>Bought MD-00096 (Cisco C9300) on PO-2023-0018 for $6,425.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TR-00096</t>
        </is>
      </c>
      <c r="H351" s="7" t="inlineStr">
        <is>
          <t>Confirmed Fact</t>
        </is>
      </c>
      <c r="I351" s="7" t="inlineStr">
        <is>
          <t>equipment_transfer_log TR-00096: 2026-01-18 out, 2026-01-19 in, APR APR-00096.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OFF-00096</t>
        </is>
      </c>
      <c r="H352" s="7" t="inlineStr">
        <is>
          <t>Technician Claim</t>
        </is>
      </c>
      <c r="I352" s="7" t="inlineStr">
        <is>
          <t>Service desk OFF-00096: status Unresolved; return_required=Yes; due 2026-07-15. Ticket alone does not dock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regional_IT_notes.docx searched for MD-00096; nothing usable as location proof.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</t>
        </is>
      </c>
      <c r="H355" s="7" t="inlineStr">
        <is>
          <t>Confirmed Fact</t>
        </is>
      </c>
      <c r="I355" s="7" t="inlineStr">
        <is>
          <t>Cross-read IT_asset_management_policy.pdf §§4–9 against the assignment matrix line for MD-00096.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No dock scan, disposal certificate, or floor count currently places MD-00096.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EX-0118, EX-0119</t>
        </is>
      </c>
      <c r="H357" s="7" t="inlineStr">
        <is>
          <t>Unresolved Assumption</t>
        </is>
      </c>
      <c r="I357" s="7" t="inlineStr">
        <is>
          <t>After file review, MD-00096 is Missing at Unknown (Low).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PO-2023-0018</t>
        </is>
      </c>
      <c r="H358" s="7" t="inlineStr">
        <is>
          <t>Confirmed Fact</t>
        </is>
      </c>
      <c r="I358" s="7" t="inlineStr">
        <is>
          <t>MD-00097 capitalized path starts at PO-2023-0018 (Aruba 6300M, $2,120).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TR-00097</t>
        </is>
      </c>
      <c r="H359" s="7" t="inlineStr">
        <is>
          <t>Confirmed Fact</t>
        </is>
      </c>
      <c r="I359" s="7" t="inlineStr">
        <is>
          <t>equipment_transfer_log TR-00097: 2026-01-21 out, 2026-01-27 in, APR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OFF-00097</t>
        </is>
      </c>
      <c r="H360" s="7" t="inlineStr">
        <is>
          <t>Technician Claim</t>
        </is>
      </c>
      <c r="I360" s="7" t="inlineStr">
        <is>
          <t>Service desk OFF-00097: status Unresolved; return_required=Yes; due 2026-07-15. Ticket alone does not dock MD-00097.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regional_IT_notes.docx searched for MD-00097; nothing usable as location proof.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 Appendix A</t>
        </is>
      </c>
      <c r="H363" s="7" t="inlineStr">
        <is>
          <t>Confirmed Fact</t>
        </is>
      </c>
      <c r="I363" s="7" t="inlineStr">
        <is>
          <t>Opened matrix PNG to the financial band for MD-00097, then filed PO-2023-0018.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No dock scan, disposal certificate, or floor count currently places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EX-0120, EX-0121</t>
        </is>
      </c>
      <c r="H365" s="7" t="inlineStr">
        <is>
          <t>Unresolved Assumption</t>
        </is>
      </c>
      <c r="I365" s="7" t="inlineStr">
        <is>
          <t>Working end-state for MD-00097: Missing in Unknown, confidence Low. Exceptions: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PO-2024-0019</t>
        </is>
      </c>
      <c r="H366" s="7" t="inlineStr">
        <is>
          <t>Confirmed Fact</t>
        </is>
      </c>
      <c r="I366" s="7" t="inlineStr">
        <is>
          <t>Acquisition packet for MD-00098: vendor delivery against PO-2024-0019, $520.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TR-00098</t>
        </is>
      </c>
      <c r="H367" s="7" t="inlineStr">
        <is>
          <t>Confirmed Fact</t>
        </is>
      </c>
      <c r="I367" s="7" t="inlineStr">
        <is>
          <t>equipment_transfer_log TR-00098: 2026-02-23 out, 2026-02-24 in, APR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OFF-00098</t>
        </is>
      </c>
      <c r="H368" s="7" t="inlineStr">
        <is>
          <t>Technician Claim</t>
        </is>
      </c>
      <c r="I368" s="7" t="inlineStr">
        <is>
          <t>Service desk OFF-00098: status Unresolved; return_required=Yes; due 2026-07-15. Ticket alone does not dock MD-00098.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searched for MD-00098; nothing usable as location proof.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IT_asset_management_policy.pdf</t>
        </is>
      </c>
      <c r="H371" s="7" t="inlineStr">
        <is>
          <t>Confirmed Fact</t>
        </is>
      </c>
      <c r="I371" s="7" t="inlineStr">
        <is>
          <t>Mapped MD-00098 to matrix disposal; kept PO-2024-0019 as the auditable record.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No dock scan, disposal certificate, or floor count currently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EX-0122, EX-0123</t>
        </is>
      </c>
      <c r="H373" s="7" t="inlineStr">
        <is>
          <t>Unresolved Assumption</t>
        </is>
      </c>
      <c r="I373" s="7" t="inlineStr">
        <is>
          <t>MD-00098 closes at Missing / Unknown (Low).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PO-2024-0019</t>
        </is>
      </c>
      <c r="H374" s="7" t="inlineStr">
        <is>
          <t>Confirmed Fact</t>
        </is>
      </c>
      <c r="I374" s="7" t="inlineStr">
        <is>
          <t>PO-2024-0019 → MD-00099 / Cisco Meraki MS250, basis $995.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TR-00099</t>
        </is>
      </c>
      <c r="H375" s="7" t="inlineStr">
        <is>
          <t>Confirmed Fact</t>
        </is>
      </c>
      <c r="I375" s="7" t="inlineStr">
        <is>
          <t>equipment_transfer_log TR-00099: 2026-03-31 out, 2026-04-02 in, APR APR-00099.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OFF-00099</t>
        </is>
      </c>
      <c r="H376" s="7" t="inlineStr">
        <is>
          <t>Technician Claim</t>
        </is>
      </c>
      <c r="I376" s="7" t="inlineStr">
        <is>
          <t>Service desk OFF-00099: status Unresolved; return_required=Yes; due 2026-07-15. Ticket alone does not dock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searched for MD-00099; nothing usable as location proof.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IT_asset_management_policy.pdf §§4–9; ITAM_control_matrix.png</t>
        </is>
      </c>
      <c r="H379" s="7" t="inlineStr">
        <is>
          <t>Confirmed Fact</t>
        </is>
      </c>
      <c r="I379" s="7" t="inlineStr">
        <is>
          <t>MD-00099: used ITAM_control_matrix.png as a lead on return controls, then returned to PO-2024-0019.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No dock scan, disposal certificate, or floor count currently places MD-00099.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EX-0124, EX-0125</t>
        </is>
      </c>
      <c r="H381" s="7" t="inlineStr">
        <is>
          <t>Unresolved Assumption</t>
        </is>
      </c>
      <c r="I381" s="7" t="inlineStr">
        <is>
          <t>MD-00099 → Missing; location Unknown; Low.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PO-2024-0019</t>
        </is>
      </c>
      <c r="H382" s="7" t="inlineStr">
        <is>
          <t>Confirmed Fact</t>
        </is>
      </c>
      <c r="I382" s="7" t="inlineStr">
        <is>
          <t>Acquisition packet for MD-00100: vendor delivery against PO-2024-0019, $6,290.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TR-00100</t>
        </is>
      </c>
      <c r="H383" s="7" t="inlineStr">
        <is>
          <t>Confirmed Fact</t>
        </is>
      </c>
      <c r="I383" s="7" t="inlineStr">
        <is>
          <t>equipment_transfer_log TR-00100: 2026-05-01 out, 2026-05-05 in, APR APR-00100.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OFF-00100</t>
        </is>
      </c>
      <c r="H384" s="7" t="inlineStr">
        <is>
          <t>Technician Claim</t>
        </is>
      </c>
      <c r="I384" s="7" t="inlineStr">
        <is>
          <t>Service desk OFF-00100: status Unresolved; return_required=Yes; due 2026-07-15. Ticket alone does not dock MD-00100.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regional_IT_notes.docx searched for MD-00100; nothing usable as location proof.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IT_asset_management_policy.pdf</t>
        </is>
      </c>
      <c r="H387" s="7" t="inlineStr">
        <is>
          <t>Confirmed Fact</t>
        </is>
      </c>
      <c r="I387" s="7" t="inlineStr">
        <is>
          <t>Mapped MD-00100 to matrix disposal; kept PO-2024-0019 as the auditable record.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No dock scan, disposal certificate, or floor count currently places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EX-0126, EX-0127</t>
        </is>
      </c>
      <c r="H389" s="7" t="inlineStr">
        <is>
          <t>Unresolved Assumption</t>
        </is>
      </c>
      <c r="I389" s="7" t="inlineStr">
        <is>
          <t>MD-00100 closes at Missing / Unknown (Low).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PO-2024-0019</t>
        </is>
      </c>
      <c r="H390" s="7" t="inlineStr">
        <is>
          <t>Confirmed Fact</t>
        </is>
      </c>
      <c r="I390" s="7" t="inlineStr">
        <is>
          <t>PO-2024-0019 → MD-00101 / Microsoft Surface Laptop 5, basis $1,985.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TR-00101</t>
        </is>
      </c>
      <c r="H391" s="7" t="inlineStr">
        <is>
          <t>Confirmed Fact</t>
        </is>
      </c>
      <c r="I391" s="7" t="inlineStr">
        <is>
          <t>equipment_transfer_log TR-00101: 2026-06-05 out, 2026-06-07 in, APR APR-00101.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RET-00101</t>
        </is>
      </c>
      <c r="H392" s="7" t="inlineStr">
        <is>
          <t>Technician Claim</t>
        </is>
      </c>
      <c r="I392" s="7" t="inlineStr">
        <is>
          <t>Service desk RET-00101: status Pending Disposal; return_required=No; due n/a. Ticket alone does not dock MD-00101.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regional_IT_notes.docx searched for MD-00101; nothing usable as location proof.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IT_asset_management_policy.pdf §§4–9; ITAM_control_matrix.png</t>
        </is>
      </c>
      <c r="H395" s="7" t="inlineStr">
        <is>
          <t>Confirmed Fact</t>
        </is>
      </c>
      <c r="I395" s="7" t="inlineStr">
        <is>
          <t>MD-00101: used ITAM_control_matrix.png as a lead on return controls, then returned to PO-2024-0019.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EX-0128, EX-0129</t>
        </is>
      </c>
      <c r="H396" s="7" t="inlineStr">
        <is>
          <t>Unresolved Assumption</t>
        </is>
      </c>
      <c r="I396" s="7" t="inlineStr">
        <is>
          <t>Cert packet lists MD-00101 as Retired/Pending Disposal, site Seattle, Medium.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PO-2024-0019</t>
        </is>
      </c>
      <c r="H397" s="7" t="inlineStr">
        <is>
          <t>Confirmed Fact</t>
        </is>
      </c>
      <c r="I397" s="7" t="inlineStr">
        <is>
          <t>Bought MD-00102 (Lenovo ThinkPad X1 Carbon) on PO-2024-0019 for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TR-00102</t>
        </is>
      </c>
      <c r="H398" s="7" t="inlineStr">
        <is>
          <t>Confirmed Fact</t>
        </is>
      </c>
      <c r="I398" s="7" t="inlineStr">
        <is>
          <t>TR-00102 moved MD-00102 on 2026-01-10; inbound 2026-01-11; APR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RET-00102</t>
        </is>
      </c>
      <c r="H399" s="7" t="inlineStr">
        <is>
          <t>Technician Claim</t>
        </is>
      </c>
      <c r="I399" s="7" t="inlineStr">
        <is>
          <t>Service desk RET-00102: status Pending Disposal; return_required=No; due n/a. Ticket alone does not dock MD-00102.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No corroborated RN line for MD-00102 in regional_IT_notes.docx.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</t>
        </is>
      </c>
      <c r="H402" s="7" t="inlineStr">
        <is>
          <t>Confirmed Fact</t>
        </is>
      </c>
      <c r="I402" s="7" t="inlineStr">
        <is>
          <t>Policy PDF §9 and the matrix assignment cell both flag the same burden of proof on MD-00102.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EX-0130, EX-0131, EX-0132</t>
        </is>
      </c>
      <c r="H403" s="7" t="inlineStr">
        <is>
          <t>Unresolved Assumption</t>
        </is>
      </c>
      <c r="I403" s="7" t="inlineStr">
        <is>
          <t>Working end-state for MD-00102: Retired/Pending Disposal in Atlanta, confidence Medium. Exceptions: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PO-2024-0019</t>
        </is>
      </c>
      <c r="H404" s="7" t="inlineStr">
        <is>
          <t>Confirmed Fact</t>
        </is>
      </c>
      <c r="I404" s="7" t="inlineStr">
        <is>
          <t>Acquisition packet for MD-00103: vendor delivery against PO-2024-0019, $1,175.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TR-00103</t>
        </is>
      </c>
      <c r="H405" s="7" t="inlineStr">
        <is>
          <t>Confirmed Fact</t>
        </is>
      </c>
      <c r="I405" s="7" t="inlineStr">
        <is>
          <t>Custody hop on MD-00103 via TR-00103 (APR APR-00103).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RET-00103</t>
        </is>
      </c>
      <c r="H406" s="7" t="inlineStr">
        <is>
          <t>Technician Claim</t>
        </is>
      </c>
      <c r="I406" s="7" t="inlineStr">
        <is>
          <t>Service desk RET-00103: status Pending Disposal; return_required=No; due n/a. Ticket alone does not dock MD-00103.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Skipped empty RN hit for MD-00103; continued with HR/transfer/ledger files.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IT_asset_management_policy.pdf</t>
        </is>
      </c>
      <c r="H409" s="7" t="inlineStr">
        <is>
          <t>Confirmed Fact</t>
        </is>
      </c>
      <c r="I409" s="7" t="inlineStr">
        <is>
          <t>No image substitute: disposal control for MD-00103 still needs PO-2024-0019 in the packet.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EX-0133, EX-0134</t>
        </is>
      </c>
      <c r="H410" s="7" t="inlineStr">
        <is>
          <t>Unresolved Assumption</t>
        </is>
      </c>
      <c r="I410" s="7" t="inlineStr">
        <is>
          <t>MD-00103 → Retired/Pending Disposal; location Chicago; Medium.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PO-2025-0020</t>
        </is>
      </c>
      <c r="H411" s="7" t="inlineStr">
        <is>
          <t>Confirmed Fact</t>
        </is>
      </c>
      <c r="I411" s="7" t="inlineStr">
        <is>
          <t>Purchasing extract lists PO-2025-0020 covering MD-00104 at $6,470.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TR-00104</t>
        </is>
      </c>
      <c r="H412" s="7" t="inlineStr">
        <is>
          <t>Confirmed Fact</t>
        </is>
      </c>
      <c r="I412" s="7" t="inlineStr">
        <is>
          <t>equipment_transfer_log TR-00104: 2026-03-16 out, 2026-03-18 in, APR APR-00104.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RET-00104</t>
        </is>
      </c>
      <c r="H413" s="7" t="inlineStr">
        <is>
          <t>Technician Claim</t>
        </is>
      </c>
      <c r="I413" s="7" t="inlineStr">
        <is>
          <t>Service desk RET-00104: status Pending Disposal; return_required=No; due n/a. Ticket alone does not dock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regional_IT_notes.docx searched for MD-00104; nothing usable as location proof.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Opened matrix PNG to the transfer band for MD-00104, then filed PO-2025-0020.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EX-0135, EX-0136</t>
        </is>
      </c>
      <c r="H417" s="7" t="inlineStr">
        <is>
          <t>Unresolved Assumption</t>
        </is>
      </c>
      <c r="I417" s="7" t="inlineStr">
        <is>
          <t>After file review, MD-00104 is Retired/Pending Disposal at Dallas (Medium).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PO-2025-0020</t>
        </is>
      </c>
      <c r="H418" s="7" t="inlineStr">
        <is>
          <t>Confirmed Fact</t>
        </is>
      </c>
      <c r="I418" s="7" t="inlineStr">
        <is>
          <t>MD-00105 capitalized path starts at PO-2025-0020 (Dell Latitude 7440, $1,850).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TR-00105</t>
        </is>
      </c>
      <c r="H419" s="7" t="inlineStr">
        <is>
          <t>Confirmed Fact</t>
        </is>
      </c>
      <c r="I419" s="7" t="inlineStr">
        <is>
          <t>TR-00105 moved MD-00105 on 2026-04-20; inbound 2026-04-21; APR APR-00105.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RET-00105</t>
        </is>
      </c>
      <c r="H420" s="7" t="inlineStr">
        <is>
          <t>Technician Claim</t>
        </is>
      </c>
      <c r="I420" s="7" t="inlineStr">
        <is>
          <t>Service desk RET-00105: status Pending Disposal; return_required=No; due n/a. Ticket alone does not dock MD-00105.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No corroborated RN line for MD-00105 in regional_IT_notes.docx.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 Appendix A</t>
        </is>
      </c>
      <c r="H423" s="7" t="inlineStr">
        <is>
          <t>Confirmed Fact</t>
        </is>
      </c>
      <c r="I423" s="7" t="inlineStr">
        <is>
          <t>Appendix A financial expectations for MD-00105 come from the matrix PNG — not a substitute for PO-2025-0020.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EX-0137, EX-0138</t>
        </is>
      </c>
      <c r="H424" s="7" t="inlineStr">
        <is>
          <t>Unresolved Assumption</t>
        </is>
      </c>
      <c r="I424" s="7" t="inlineStr">
        <is>
          <t>MD-00105 closes at Retired/Pending Disposal / Denver (Medium).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PO-2025-0020</t>
        </is>
      </c>
      <c r="H425" s="7" t="inlineStr">
        <is>
          <t>Confirmed Fact</t>
        </is>
      </c>
      <c r="I425" s="7" t="inlineStr">
        <is>
          <t>PO-2025-0020 → MD-00106 / HP EliteBook 840 G10, basis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TR-00106</t>
        </is>
      </c>
      <c r="H426" s="7" t="inlineStr">
        <is>
          <t>Confirmed Fact</t>
        </is>
      </c>
      <c r="I426" s="7" t="inlineStr">
        <is>
          <t>Custody hop on MD-00106 via TR-00106 (APR APR-00106).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RET-00106</t>
        </is>
      </c>
      <c r="H427" s="7" t="inlineStr">
        <is>
          <t>Technician Claim</t>
        </is>
      </c>
      <c r="I427" s="7" t="inlineStr">
        <is>
          <t>Service desk RET-00106: status Pending Disposal; return_required=No; due n/a. Ticket alone does not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Skipped empty RN hit for MD-00106; continued with HR/transfer/ledger files.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IT_asset_management_policy.pdf §§4–9; ITAM_control_matrix.png</t>
        </is>
      </c>
      <c r="H430" s="7" t="inlineStr">
        <is>
          <t>Confirmed Fact</t>
        </is>
      </c>
      <c r="I430" s="7" t="inlineStr">
        <is>
          <t>Control matrix return column consulted for MD-00106; dock/image leads still subordinate to PO-2025-0020.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EX-0139, EX-0140</t>
        </is>
      </c>
      <c r="H431" s="7" t="inlineStr">
        <is>
          <t>Unresolved Assumption</t>
        </is>
      </c>
      <c r="I431" s="7" t="inlineStr">
        <is>
          <t>Cert packet lists MD-00106 as Retired/Pending Disposal, site New York, Medium. EX-0139, EX-0140.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PO-2022-0021</t>
        </is>
      </c>
      <c r="H432" s="7" t="inlineStr">
        <is>
          <t>Confirmed Fact</t>
        </is>
      </c>
      <c r="I432" s="7" t="inlineStr">
        <is>
          <t>Bought MD-00107 (Microsoft Surface Laptop 5) on PO-2022-0021 for $1,040.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TR-00107</t>
        </is>
      </c>
      <c r="H433" s="7" t="inlineStr">
        <is>
          <t>Confirmed Fact</t>
        </is>
      </c>
      <c r="I433" s="7" t="inlineStr">
        <is>
          <t>equipment_transfer_log TR-00107: 2026-06-26 out, 2026-06-27 in, APR APR-00107.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RET-00107</t>
        </is>
      </c>
      <c r="H434" s="7" t="inlineStr">
        <is>
          <t>Technician Claim</t>
        </is>
      </c>
      <c r="I434" s="7" t="inlineStr">
        <is>
          <t>Service desk RET-00107: status Pending Disposal; return_required=No; due n/a. Ticket alone does not dock MD-00107.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regional_IT_notes.docx searched for MD-00107; nothing usable as location proof.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</t>
        </is>
      </c>
      <c r="H437" s="7" t="inlineStr">
        <is>
          <t>Confirmed Fact</t>
        </is>
      </c>
      <c r="I437" s="7" t="inlineStr">
        <is>
          <t>MD-00107: used ITAM_control_matrix.png as a lead on assignment controls, then returned to PO-2022-0021.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EX-0141, EX-0142</t>
        </is>
      </c>
      <c r="H438" s="7" t="inlineStr">
        <is>
          <t>Unresolved Assumption</t>
        </is>
      </c>
      <c r="I438" s="7" t="inlineStr">
        <is>
          <t>Working end-state for MD-00107: Retired/Pending Disposal in Seattle, confidence Medium. Exceptions: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PO-2022-0021</t>
        </is>
      </c>
      <c r="H439" s="7" t="inlineStr">
        <is>
          <t>Confirmed Fact</t>
        </is>
      </c>
      <c r="I439" s="7" t="inlineStr">
        <is>
          <t>Acquisition packet for MD-00108: vendor delivery against PO-2022-0021, $6,335.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TR-00108</t>
        </is>
      </c>
      <c r="H440" s="7" t="inlineStr">
        <is>
          <t>Confirmed Fact</t>
        </is>
      </c>
      <c r="I440" s="7" t="inlineStr">
        <is>
          <t>TR-00108 moved MD-00108 on 2026-01-30; inbound 2026-01-30; APR APR-00108.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RET-00108</t>
        </is>
      </c>
      <c r="H441" s="7" t="inlineStr">
        <is>
          <t>Technician Claim</t>
        </is>
      </c>
      <c r="I441" s="7" t="inlineStr">
        <is>
          <t>Service desk RET-00108: status Pending Disposal; return_required=No; due n/a. Ticket alone does not dock MD-00108.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No corroborated RN line for MD-00108 in regional_IT_notes.docx.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IT_asset_management_policy.pdf</t>
        </is>
      </c>
      <c r="H444" s="7" t="inlineStr">
        <is>
          <t>Confirmed Fact</t>
        </is>
      </c>
      <c r="I444" s="7" t="inlineStr">
        <is>
          <t>Policy PDF §9 and the matrix disposal cell both flag the same burden of proof on MD-00108.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EX-0143, EX-0144</t>
        </is>
      </c>
      <c r="H445" s="7" t="inlineStr">
        <is>
          <t>Unresolved Assumption</t>
        </is>
      </c>
      <c r="I445" s="7" t="inlineStr">
        <is>
          <t>MD-00108 → Retired/Pending Disposal; location Atlanta; Medium.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PO-2022-0021</t>
        </is>
      </c>
      <c r="H446" s="7" t="inlineStr">
        <is>
          <t>Confirmed Fact</t>
        </is>
      </c>
      <c r="I446" s="7" t="inlineStr">
        <is>
          <t>Purchasing extract lists PO-2022-0021 covering MD-00109 at $2,030.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TR-00109</t>
        </is>
      </c>
      <c r="H447" s="7" t="inlineStr">
        <is>
          <t>Confirmed Fact</t>
        </is>
      </c>
      <c r="I447" s="7" t="inlineStr">
        <is>
          <t>Custody hop on MD-00109 via TR-00109 (APR APR-00109).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RET-00109</t>
        </is>
      </c>
      <c r="H448" s="7" t="inlineStr">
        <is>
          <t>Technician Claim</t>
        </is>
      </c>
      <c r="I448" s="7" t="inlineStr">
        <is>
          <t>Service desk RET-00109: status Pending Disposal; return_required=No; due n/a. Ticket alone does not dock MD-00109.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Skipped empty RN hit for MD-00109; continued with HR/transfer/ledger files.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No image substitute: transfer control for MD-00109 still needs PO-2022-0021 in the packet.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EX-0145, EX-0146</t>
        </is>
      </c>
      <c r="H452" s="7" t="inlineStr">
        <is>
          <t>Unresolved Assumption</t>
        </is>
      </c>
      <c r="I452" s="7" t="inlineStr">
        <is>
          <t>After file review, MD-00109 is Retired/Pending Disposal at Chicago (Medium).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PO-2022-0021</t>
        </is>
      </c>
      <c r="H453" s="7" t="inlineStr">
        <is>
          <t>Confirmed Fact</t>
        </is>
      </c>
      <c r="I453" s="7" t="inlineStr">
        <is>
          <t>Bought MD-00110 (Dell Latitude 7440) on PO-2022-0021 for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TR-00110</t>
        </is>
      </c>
      <c r="H454" s="7" t="inlineStr">
        <is>
          <t>Confirmed Fact</t>
        </is>
      </c>
      <c r="I454" s="7" t="inlineStr">
        <is>
          <t>equipment_transfer_log TR-00110: 2026-03-07 out, 2026-03-08 in, APR APR-00110.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RET-00110</t>
        </is>
      </c>
      <c r="H455" s="7" t="inlineStr">
        <is>
          <t>Technician Claim</t>
        </is>
      </c>
      <c r="I455" s="7" t="inlineStr">
        <is>
          <t>Service desk RET-00110: status Pending Disposal; return_required=No; due n/a. Ticket alone does not dock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searched for MD-00110; nothing usable as location proof.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</t>
        </is>
      </c>
      <c r="H458" s="7" t="inlineStr">
        <is>
          <t>Confirmed Fact</t>
        </is>
      </c>
      <c r="I458" s="7" t="inlineStr">
        <is>
          <t>Cross-read IT_asset_management_policy.pdf §§4–9 against the assignment matrix line for MD-00110.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EX-0147, EX-0148</t>
        </is>
      </c>
      <c r="H459" s="7" t="inlineStr">
        <is>
          <t>Unresolved Assumption</t>
        </is>
      </c>
      <c r="I459" s="7" t="inlineStr">
        <is>
          <t>Working end-state for MD-00110: Retired/Pending Disposal in Dallas, confidence Medium. Exceptions: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PO-2024-0024</t>
        </is>
      </c>
      <c r="H460" s="7" t="inlineStr">
        <is>
          <t>Confirmed Fact</t>
        </is>
      </c>
      <c r="I460" s="7" t="inlineStr">
        <is>
          <t>Purchasing extract lists PO-2024-0024 covering MD-00114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TR-00114</t>
        </is>
      </c>
      <c r="H461" s="7" t="inlineStr">
        <is>
          <t>Confirmed Fact</t>
        </is>
      </c>
      <c r="I461" s="7" t="inlineStr">
        <is>
          <t>TR-00114 moved MD-00114 on 2026-01-22; inbound 2026-01-22; APR APR-00114.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RET-00114</t>
        </is>
      </c>
      <c r="H462" s="7" t="inlineStr">
        <is>
          <t>Technician Claim</t>
        </is>
      </c>
      <c r="I462" s="7" t="inlineStr">
        <is>
          <t>Service desk RET-00114: status Closed; return_required=No; due n/a. Ticket alone does not dock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TR-00114</t>
        </is>
      </c>
      <c r="H464" s="7" t="inlineStr">
        <is>
          <t>Unresolved Assumption</t>
        </is>
      </c>
      <c r="I464" s="7" t="inlineStr">
        <is>
          <t>Recycler move for MD-00114 lacks matching disposal certificate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regional_IT_notes.docx searched for MD-00114; nothing usable as location proof.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IT_asset_management_policy.pdf §§4–9; ITAM_control_matrix.png</t>
        </is>
      </c>
      <c r="H466" s="7" t="inlineStr">
        <is>
          <t>Confirmed Fact</t>
        </is>
      </c>
      <c r="I466" s="7" t="inlineStr">
        <is>
          <t>Cross-read IT_asset_management_policy.pdf §§4–9 against the return matrix line for MD-00114.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EX-0149, EX-0150</t>
        </is>
      </c>
      <c r="H467" s="7" t="inlineStr">
        <is>
          <t>Unresolved Assumption</t>
        </is>
      </c>
      <c r="I467" s="7" t="inlineStr">
        <is>
          <t>Critical certification blocker — MD-00114 remains Retired/Pending Disposal at Disposed (certificate missing), confidence Low.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PO-2024-0024</t>
        </is>
      </c>
      <c r="H468" s="7" t="inlineStr">
        <is>
          <t>Confirmed Fact</t>
        </is>
      </c>
      <c r="I468" s="7" t="inlineStr">
        <is>
          <t>Acquisition packet for MD-00118: vendor delivery against PO-2024-0024, $790.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TR-00118</t>
        </is>
      </c>
      <c r="H469" s="7" t="inlineStr">
        <is>
          <t>Confirmed Fact</t>
        </is>
      </c>
      <c r="I469" s="7" t="inlineStr">
        <is>
          <t>TR-00118 moved MD-00118 on 2026-06-03; inbound 2026-06-04; APR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RET-00118</t>
        </is>
      </c>
      <c r="H470" s="7" t="inlineStr">
        <is>
          <t>Technician Claim</t>
        </is>
      </c>
      <c r="I470" s="7" t="inlineStr">
        <is>
          <t>Service desk RET-00118: status Closed; return_required=No; due n/a. Ticket alone does not dock MD-00118.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TR-00118</t>
        </is>
      </c>
      <c r="H472" s="7" t="inlineStr">
        <is>
          <t>Unresolved Assumption</t>
        </is>
      </c>
      <c r="I472" s="7" t="inlineStr">
        <is>
          <t>Recycler move for MD-00118 lacks matching disposal certificate (TR-00118).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regional_IT_notes.docx searched for MD-00118; nothing usable as location proof.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 Appendix A</t>
        </is>
      </c>
      <c r="H474" s="7" t="inlineStr">
        <is>
          <t>Confirmed Fact</t>
        </is>
      </c>
      <c r="I474" s="7" t="inlineStr">
        <is>
          <t>Cross-read IT_asset_management_policy.pdf §§4–9 against the financial matrix line for MD-00118.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EX-0151, EX-0152</t>
        </is>
      </c>
      <c r="H475" s="7" t="inlineStr">
        <is>
          <t>Unresolved Assumption</t>
        </is>
      </c>
      <c r="I475" s="7" t="inlineStr">
        <is>
          <t>Critical certification blocker — MD-00118 remains Retired/Pending Disposal at Disposed (certificate missing), confidence Low.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PO-2024-0024</t>
        </is>
      </c>
      <c r="H476" s="7" t="inlineStr">
        <is>
          <t>Confirmed Fact</t>
        </is>
      </c>
      <c r="I476" s="7" t="inlineStr">
        <is>
          <t>PO-2024-0024 → MD-00119 / Lenovo ThinkPad X1 Carbon, basis $950.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TR-00119</t>
        </is>
      </c>
      <c r="H477" s="7" t="inlineStr">
        <is>
          <t>Confirmed Fact</t>
        </is>
      </c>
      <c r="I477" s="7" t="inlineStr">
        <is>
          <t>TR-00119 moved MD-00119 on 2026-07-08; inbound 2026-07-09; APR APR-00119.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RET-00119</t>
        </is>
      </c>
      <c r="H478" s="7" t="inlineStr">
        <is>
          <t>Technician Claim</t>
        </is>
      </c>
      <c r="I478" s="7" t="inlineStr">
        <is>
          <t>Service desk RET-00119: status Closed; return_required=No; due n/a. Ticket alone does not dock MD-00119.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DC-00119</t>
        </is>
      </c>
      <c r="H480" s="7" t="inlineStr">
        <is>
          <t>Confirmed Fact</t>
        </is>
      </c>
      <c r="I480" s="7" t="inlineStr">
        <is>
          <t>Disposal certificate DC-00119 verified for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regional_IT_notes.docx searched for MD-00119; nothing usable as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IT_asset_management_policy.pdf</t>
        </is>
      </c>
      <c r="H482" s="7" t="inlineStr">
        <is>
          <t>Confirmed Fact</t>
        </is>
      </c>
      <c r="I482" s="7" t="inlineStr">
        <is>
          <t>Opened matrix PNG to the disposal band for MD-00119, then filed PO-2024-0024.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EX-0153</t>
        </is>
      </c>
      <c r="H483" s="7" t="inlineStr">
        <is>
          <t>Confirmed Fact</t>
        </is>
      </c>
      <c r="I483" s="7" t="inlineStr">
        <is>
          <t>MD-00119 → Disposed; location Disposed; High.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PO-2022-0026</t>
        </is>
      </c>
      <c r="H484" s="7" t="inlineStr">
        <is>
          <t>Confirmed Fact</t>
        </is>
      </c>
      <c r="I484" s="7" t="inlineStr">
        <is>
          <t>MD-00127 capitalized path starts at PO-2022-0026 (Dell Latitude 7440, $995).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</t>
        </is>
      </c>
      <c r="H485" s="7" t="inlineStr">
        <is>
          <t>Confirmed Fact</t>
        </is>
      </c>
      <c r="I485" s="7" t="inlineStr">
        <is>
          <t>Policy PDF §9 and the matrix assignment cell both flag the same burden of proof on MD-00127.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TR-00127</t>
        </is>
      </c>
      <c r="H486" s="7" t="inlineStr">
        <is>
          <t>Unresolved Assumption</t>
        </is>
      </c>
      <c r="I486" s="7" t="inlineStr">
        <is>
          <t>Custody hop on MD-00127 via TR-00127 (approval blank).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EX-0160</t>
        </is>
      </c>
      <c r="H487" s="7" t="inlineStr">
        <is>
          <t>Confirmed Fact</t>
        </is>
      </c>
      <c r="I487" s="7" t="inlineStr">
        <is>
          <t>After file review, MD-00127 is In Use at Denver (Medium).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PO-2023-0023</t>
        </is>
      </c>
      <c r="H488" s="7" t="inlineStr">
        <is>
          <t>Confirmed Fact</t>
        </is>
      </c>
      <c r="I488" s="7" t="inlineStr">
        <is>
          <t>PO-2023-0023 → MD-00130 / Lenovo ThinkPad T14, basis $700.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IT_asset_management_policy.pdf</t>
        </is>
      </c>
      <c r="H489" s="7" t="inlineStr">
        <is>
          <t>Confirmed Fact</t>
        </is>
      </c>
      <c r="I489" s="7" t="inlineStr">
        <is>
          <t>MD-00130: used ITAM_control_matrix.png as a lead on disposal controls, then returned to PO-2023-0023.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TR-00130</t>
        </is>
      </c>
      <c r="H490" s="7" t="inlineStr">
        <is>
          <t>Confirmed Fact</t>
        </is>
      </c>
      <c r="I490" s="7" t="inlineStr">
        <is>
          <t>TR-00130 moved MD-00130 on 2026-05-22; inbound 2026-05-28; APR APR-00130.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EX-0161</t>
        </is>
      </c>
      <c r="H491" s="7" t="inlineStr">
        <is>
          <t>Confirmed Fact</t>
        </is>
      </c>
      <c r="I491" s="7" t="inlineStr">
        <is>
          <t>MD-00130 closes at In Use / Atlanta (High).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PO-2023-0023</t>
        </is>
      </c>
      <c r="H492" s="7" t="inlineStr">
        <is>
          <t>Confirmed Fact</t>
        </is>
      </c>
      <c r="I492" s="7" t="inlineStr">
        <is>
          <t>PO-2023-0023 → MD-00131 / MacBook Pro 14, basis $1,175.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TR-00131</t>
        </is>
      </c>
      <c r="H493" s="7" t="inlineStr">
        <is>
          <t>Confirmed Fact</t>
        </is>
      </c>
      <c r="I493" s="7" t="inlineStr">
        <is>
          <t>equipment_transfer_log TR-00131: 2026-06-26 out, 2026-06-28 in, APR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 Appendix A</t>
        </is>
      </c>
      <c r="H494" s="7" t="inlineStr">
        <is>
          <t>Confirmed Fact</t>
        </is>
      </c>
      <c r="I494" s="7" t="inlineStr">
        <is>
          <t>MD-00131: used ITAM_control_matrix.png as a lead on financial controls, then returned to PO-2023-0023.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EX-0162</t>
        </is>
      </c>
      <c r="H495" s="7" t="inlineStr">
        <is>
          <t>Confirmed Fact</t>
        </is>
      </c>
      <c r="I495" s="7" t="inlineStr">
        <is>
          <t>MD-00131 closes at In Use / Chicago (High).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PO-2023-0022</t>
        </is>
      </c>
      <c r="H496" s="7" t="inlineStr">
        <is>
          <t>Confirmed Fact</t>
        </is>
      </c>
      <c r="I496" s="7" t="inlineStr">
        <is>
          <t>PO-2023-0022 → MD-00132 / Dell Latitude 7440, basis $6,470.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TR-00132</t>
        </is>
      </c>
      <c r="H497" s="7" t="inlineStr">
        <is>
          <t>Confirmed Fact</t>
        </is>
      </c>
      <c r="I497" s="7" t="inlineStr">
        <is>
          <t>TR-00132 moved MD-00132 on 2026-01-30; inbound 2026-01-31; APR APR-00132.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 Appendix A</t>
        </is>
      </c>
      <c r="H498" s="7" t="inlineStr">
        <is>
          <t>Confirmed Fact</t>
        </is>
      </c>
      <c r="I498" s="7" t="inlineStr">
        <is>
          <t>ITAM-001 figure reference (financial) noted for MD-00132; filing continues under PO-2023-0022.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EX-0163</t>
        </is>
      </c>
      <c r="H499" s="7" t="inlineStr">
        <is>
          <t>Confirmed Fact</t>
        </is>
      </c>
      <c r="I499" s="7" t="inlineStr">
        <is>
          <t>MD-00132 closes at In Use / Dallas (High).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regional_IT_notes.docx</t>
        </is>
      </c>
      <c r="H500" t="inlineStr">
        <is>
          <t>Technician Claim</t>
        </is>
      </c>
      <c r="I500" t="inlineStr">
        <is>
          <t>RN-0132 claimed MD-00132 was expensed under threshold; rejected because $6,470 exceeds the capitalization gate and no FA row exists.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PO-2023-0022; fixed_asset_ledger.xlsx</t>
        </is>
      </c>
      <c r="H501" t="inlineStr">
        <is>
          <t>Unresolved Assumption</t>
        </is>
      </c>
      <c r="I501" t="inlineStr">
        <is>
          <t>MD-00132 / PO-2023-0022: capital-qualifying with no FA row; blocks certification until capitalized or formally written off.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 t="n">
        <v>332115</v>
      </c>
    </row>
    <row r="6">
      <c r="A6" s="4" t="inlineStr">
        <is>
          <t>Fixed-asset ledger - sum of acquisition cost (129 assets)</t>
        </is>
      </c>
      <c r="B6" s="5">
        <f>SUM('Source Ledger'!E5:E200)</f>
        <v/>
      </c>
    </row>
    <row r="7">
      <c r="A7" s="4" t="inlineStr">
        <is>
          <t>Acquisition cost difference (register − ledger)</t>
        </is>
      </c>
      <c r="B7" s="5">
        <f>B5-B6</f>
        <v/>
      </c>
    </row>
    <row r="8">
      <c r="A8" s="4" t="inlineStr">
        <is>
          <t>Corrected register - remaining book value (ledger NBV where present; blank if missing)</t>
        </is>
      </c>
      <c r="B8" s="5" t="n">
        <v>61526.6</v>
      </c>
    </row>
    <row r="9">
      <c r="A9" s="4" t="inlineStr">
        <is>
          <t>Ledger - net book value, Active status only</t>
        </is>
      </c>
      <c r="B9" s="5">
        <f>SUMIF('Source Ledger'!H5:H200,"Active",'Source Ledger'!G5:G200)</f>
        <v/>
      </c>
    </row>
    <row r="10">
      <c r="A10" s="4" t="inlineStr">
        <is>
          <t>Ledger - net book value, all statuses including Disposed</t>
        </is>
      </c>
      <c r="B10" s="5">
        <f>SUM('Source Ledger'!G5:G200)</f>
        <v/>
      </c>
    </row>
    <row r="11">
      <c r="A11" s="4" t="inlineStr">
        <is>
          <t>Assets with matching acquisition cost (register vs ledger)</t>
        </is>
      </c>
      <c r="B11" s="5" t="n">
        <v>123</v>
      </c>
    </row>
    <row r="12">
      <c r="A12" s="4" t="inlineStr">
        <is>
          <t>Assets with acquisition cost mismatch</t>
        </is>
      </c>
      <c r="B12" s="5" t="n">
        <v>6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 t="n">
        <v>1985</v>
      </c>
      <c r="D24" s="7" t="n">
        <v>2070</v>
      </c>
      <c r="E24" s="7" t="n">
        <v>85</v>
      </c>
      <c r="F24" s="7" t="n">
        <v>0</v>
      </c>
      <c r="G24" s="7" t="n">
        <v>0</v>
      </c>
      <c r="H24" s="7" t="inlineStr">
        <is>
          <t>Ledger FA-000017 cost exceeds register by $85 (validate PO-2025-0004).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 t="n">
        <v>790</v>
      </c>
      <c r="D25" s="7" t="n">
        <v>930</v>
      </c>
      <c r="E25" s="7" t="n">
        <v>140</v>
      </c>
      <c r="F25" s="7" t="n">
        <v>479.88</v>
      </c>
      <c r="G25" s="7" t="n"/>
      <c r="H25" s="7" t="inlineStr">
        <is>
          <t>Ledger FA-000034 cost exceeds register by $140. Validate against PO-2024-0007.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 t="n">
        <v>1040</v>
      </c>
      <c r="D26" s="7" t="n">
        <v>1250</v>
      </c>
      <c r="E26" s="7" t="n">
        <v>210</v>
      </c>
      <c r="F26" s="7" t="n">
        <v>573.03</v>
      </c>
      <c r="G26" s="7" t="n">
        <v>573.03</v>
      </c>
      <c r="H26" s="7" t="inlineStr">
        <is>
          <t>Ledger FA-000051 cost exceeds register by $210. Validate against PO-2023-0010.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 t="n">
        <v>6425</v>
      </c>
      <c r="D27" s="7" t="n">
        <v>6480</v>
      </c>
      <c r="E27" s="7" t="n">
        <v>55</v>
      </c>
      <c r="F27" s="7" t="n">
        <v>1436.28</v>
      </c>
      <c r="G27" s="7" t="n">
        <v>1436.28</v>
      </c>
      <c r="H27" s="7" t="inlineStr">
        <is>
          <t>Ledger FA-000068 cost exceeds register by $55. Validate against PO-2022-0013.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 t="n">
        <v>1895</v>
      </c>
      <c r="D28" s="7" t="n">
        <v>2090</v>
      </c>
      <c r="E28" s="7" t="n">
        <v>195</v>
      </c>
      <c r="F28" s="7" t="n">
        <v>0</v>
      </c>
      <c r="G28" s="7" t="n">
        <v>0</v>
      </c>
      <c r="H28" s="7" t="inlineStr">
        <is>
          <t>Ledger FA-000085 cost exceeds register by $195. Validate against PO-2025-0016.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 t="n">
        <v>700</v>
      </c>
      <c r="D29" s="7" t="n">
        <v>820</v>
      </c>
      <c r="E29" s="7" t="n">
        <v>120</v>
      </c>
      <c r="F29" s="7" t="n">
        <v>407.54</v>
      </c>
      <c r="G29" s="7" t="n">
        <v>407.54</v>
      </c>
      <c r="H29" s="7" t="inlineStr">
        <is>
          <t>Ledger FA-000102 cost exceeds register by $120. Validate against PO-2024-0019.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 t="n">
        <v>610</v>
      </c>
      <c r="D30" s="7" t="n">
        <v>610</v>
      </c>
      <c r="E30" s="7" t="n">
        <v>0</v>
      </c>
      <c r="F30" s="7" t="n">
        <v>0</v>
      </c>
      <c r="G30" s="7" t="n"/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 t="n">
        <v>790</v>
      </c>
      <c r="D31" s="7" t="n">
        <v>790</v>
      </c>
      <c r="E31" s="7" t="n">
        <v>0</v>
      </c>
      <c r="F31" s="7" t="n">
        <v>0</v>
      </c>
      <c r="G31" s="7" t="n"/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 t="n">
        <v>950</v>
      </c>
      <c r="D32" s="7" t="n">
        <v>1115</v>
      </c>
      <c r="E32" s="7" t="n">
        <v>165</v>
      </c>
      <c r="F32" s="7" t="n">
        <v>0</v>
      </c>
      <c r="G32" s="7" t="n">
        <v>0</v>
      </c>
      <c r="H32" s="7" t="inlineStr">
        <is>
          <t>Ledger FA-000119 cost exceeds register by $165. Validate against PO-2024-0024.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 t="n">
        <v>700</v>
      </c>
      <c r="D33" s="7" t="n"/>
      <c r="E33" s="7" t="n"/>
      <c r="F33" s="7" t="n"/>
      <c r="G33" s="7" t="n"/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 t="n">
        <v>1175</v>
      </c>
      <c r="D34" s="7" t="n"/>
      <c r="E34" s="7" t="n"/>
      <c r="F34" s="7" t="n"/>
      <c r="G34" s="7" t="n"/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 t="n">
        <v>6470</v>
      </c>
      <c r="D35" s="7" t="n"/>
      <c r="E35" s="7" t="n"/>
      <c r="F35" s="7" t="n"/>
      <c r="G35" s="7" t="n"/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  <row r="30">
      <c r="A30" t="inlineStr">
        <is>
          <t>Critical certification blockers (must clear before sign-off)</t>
        </is>
      </c>
    </row>
    <row r="31">
      <c r="A31" t="inlineStr">
        <is>
          <t>Asset Tag</t>
        </is>
      </c>
      <c r="B31" t="inlineStr">
        <is>
          <t>Blocker basis</t>
        </is>
      </c>
      <c r="C31" t="inlineStr">
        <is>
          <t>Verified status / location</t>
        </is>
      </c>
      <c r="D31" t="inlineStr">
        <is>
          <t>Exception IDs</t>
        </is>
      </c>
    </row>
    <row r="32">
      <c r="A32" t="inlineStr">
        <is>
          <t>MD-00074</t>
        </is>
      </c>
      <c r="B32" t="inlineStr">
        <is>
          <t>Critical certification blocker — Unresolved shipment serial mismatch (1ZMD00000074)</t>
        </is>
      </c>
      <c r="C32" t="inlineStr">
        <is>
          <t>In Transit - Exception / Carrier Network</t>
        </is>
      </c>
      <c r="D32" t="inlineStr">
        <is>
          <t>EX-0076</t>
        </is>
      </c>
    </row>
    <row r="33">
      <c r="A33" t="inlineStr">
        <is>
          <t>MD-00076</t>
        </is>
      </c>
      <c r="B33" t="inlineStr">
        <is>
          <t>Critical certification blocker — Unresolved shipment serial mismatch (1ZMD00000076)</t>
        </is>
      </c>
      <c r="C33" t="inlineStr">
        <is>
          <t>In Transit - Exception / Carrier Network</t>
        </is>
      </c>
      <c r="D33" t="inlineStr">
        <is>
          <t>EX-0081</t>
        </is>
      </c>
    </row>
    <row r="34">
      <c r="A34" t="inlineStr">
        <is>
          <t>MD-00082</t>
        </is>
      </c>
      <c r="B34" t="inlineStr">
        <is>
          <t>Critical certification blocker — Unresolved shipment serial mismatch (1ZMD00000082)</t>
        </is>
      </c>
      <c r="C34" t="inlineStr">
        <is>
          <t>In Transit - Exception / Carrier Network</t>
        </is>
      </c>
      <c r="D34" t="inlineStr">
        <is>
          <t>EX-0092</t>
        </is>
      </c>
    </row>
    <row r="35">
      <c r="A35" t="inlineStr">
        <is>
          <t>MD-00084</t>
        </is>
      </c>
      <c r="B35" t="inlineStr">
        <is>
          <t>Critical certification blocker — Unresolved shipment serial mismatch (1ZMD00000084)</t>
        </is>
      </c>
      <c r="C35" t="inlineStr">
        <is>
          <t>In Transit - Exception / Carrier Network</t>
        </is>
      </c>
      <c r="D35" t="inlineStr">
        <is>
          <t>EX-0095</t>
        </is>
      </c>
    </row>
    <row r="36">
      <c r="A36" t="inlineStr">
        <is>
          <t>MD-00114</t>
        </is>
      </c>
      <c r="B36" t="inlineStr">
        <is>
          <t>Critical certification blocker — Retired/Pending Disposal without verified disposal certificate</t>
        </is>
      </c>
      <c r="C36" t="inlineStr">
        <is>
          <t>Retired/Pending Disposal / Disposed (certificate missing)</t>
        </is>
      </c>
      <c r="D36" t="inlineStr">
        <is>
          <t>EX-0149, EX-0150</t>
        </is>
      </c>
    </row>
    <row r="37">
      <c r="A37" t="inlineStr">
        <is>
          <t>MD-00118</t>
        </is>
      </c>
      <c r="B37" t="inlineStr">
        <is>
          <t>Critical certification blocker — Retired/Pending Disposal without verified disposal certificate</t>
        </is>
      </c>
      <c r="C37" t="inlineStr">
        <is>
          <t>Retired/Pending Disposal / Disposed (certificate missing)</t>
        </is>
      </c>
      <c r="D37" t="inlineStr">
        <is>
          <t>EX-0151, EX-0152</t>
        </is>
      </c>
    </row>
    <row r="38">
      <c r="A38" t="inlineStr">
        <is>
          <t>MD-00132</t>
        </is>
      </c>
      <c r="B38" t="inlineStr">
        <is>
          <t>Critical certification blocker — Capital-qualifying asset missing from fixed-asset ledger</t>
        </is>
      </c>
      <c r="C38" t="inlineStr">
        <is>
          <t>Pending Redeployment / Atlanta Warehouse</t>
        </is>
      </c>
      <c r="D38" t="inlineStr">
        <is>
          <t>EX-0163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2026-09-10T19:47:02Z</dcterms:modified>
</cp:coreProperties>
</file>