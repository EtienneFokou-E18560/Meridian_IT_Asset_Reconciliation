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3"/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—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3"/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Register'!$A$5:$A$136)</f>
        <v>132</v>
      </c>
    </row>
    <row r="6">
      <c r="A6" s="4" t="inlineStr">
        <is>
          <t>Corrected register acquisition cost</t>
        </is>
      </c>
      <c r="B6" s="5">
        <f>SUM('Corrected Register'!$M$5:$M$136)</f>
        <v>332115</v>
      </c>
    </row>
    <row r="7">
      <c r="A7" s="4" t="inlineStr">
        <is>
          <t>Remaining book value (ledger NBV where present)</t>
        </is>
      </c>
      <c r="B7" s="5">
        <f>SUM('Corrected Register'!$N$5:$N$136)</f>
        <v>61561.6</v>
      </c>
    </row>
    <row r="8">
      <c r="A8" s="4" t="inlineStr">
        <is>
          <t>Open exceptions</t>
        </is>
      </c>
      <c r="B8" s="5">
        <f>COUNTIF('Exception Register'!$K$5:$K$167,"Open")</f>
        <v>163</v>
      </c>
    </row>
    <row r="9">
      <c r="A9" s="4" t="inlineStr">
        <is>
          <t>Certification blockers (Critical impact)</t>
        </is>
      </c>
      <c r="B9" s="5">
        <f>COUNTIF('Exception Register'!$C$5:$C$167,"Critical")</f>
        <v>43</v>
      </c>
    </row>
    <row r="10">
      <c r="A10" s="4" t="inlineStr">
        <is>
          <t>Assets Missing / Cannot Locate</t>
        </is>
      </c>
      <c r="B10" s="5">
        <f>COUNTIF('Corrected Register'!$J$5:$J$136,"Missing")</f>
        <v>12</v>
      </c>
    </row>
    <row r="11">
      <c r="A11" s="4" t="inlineStr">
        <is>
          <t>Overdue returns (label ≠ proof)</t>
        </is>
      </c>
      <c r="B11" s="5">
        <f>COUNTIF('Corrected Register'!$J$5:$J$136,"Return Overdue")</f>
        <v>12</v>
      </c>
    </row>
    <row r="12">
      <c r="A12" s="4" t="inlineStr">
        <is>
          <t>Verified disposed with certificate</t>
        </is>
      </c>
      <c r="B12" s="5">
        <f>COUNTIF('Corrected Register'!$J$5:$J$136,"Disposed")</f>
        <v>8</v>
      </c>
    </row>
    <row r="13">
      <c r="A13" s="4" t="inlineStr">
        <is>
          <t>Custody chains documented</t>
        </is>
      </c>
      <c r="B13" s="5">
        <f>COUNTA(UNIQUE(FILTER('Custody Chain'!A5:A501,'Custody Chain'!A5:A501&lt;&gt;"")))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Register'!$J$5:$J$136,A19)</f>
        <v>25</v>
      </c>
      <c r="C19" s="7">
        <f>SUMIF('Corrected Register'!$J$5:$J$136,A19,'Corrected Register'!$N$5:$N$136)</f>
        <v>12961</v>
      </c>
      <c r="E19" s="7" t="inlineStr">
        <is>
          <t>Laptop</t>
        </is>
      </c>
      <c r="F19" s="7">
        <f>COUNTIF('Corrected Register'!$C$5:$C$136,E19)</f>
        <v>32</v>
      </c>
      <c r="G19" s="7">
        <f>SUMIF('Corrected Register'!$C$5:$C$136,E19,'Corrected Register'!$N$5:$N$136)</f>
        <v>1194.95</v>
      </c>
    </row>
    <row r="20">
      <c r="A20" s="7" t="inlineStr">
        <is>
          <t>Disposed</t>
        </is>
      </c>
      <c r="B20" s="7">
        <f>COUNTIF('Corrected Register'!$J$5:$J$136,A20)</f>
        <v>8</v>
      </c>
      <c r="C20" s="7">
        <f>SUMIF('Corrected Register'!$J$5:$J$136,A20,'Corrected Register'!$N$5:$N$136)</f>
        <v>0</v>
      </c>
      <c r="E20" s="7" t="inlineStr">
        <is>
          <t>Mobile Device</t>
        </is>
      </c>
      <c r="F20" s="7">
        <f>COUNTIF('Corrected Register'!$C$5:$C$136,E20)</f>
        <v>33</v>
      </c>
      <c r="G20" s="7">
        <f>SUMIF('Corrected Register'!$C$5:$C$136,E20,'Corrected Register'!$N$5:$N$136)</f>
        <v>20855.29</v>
      </c>
    </row>
    <row r="21">
      <c r="A21" s="8" t="inlineStr">
        <is>
          <t>In Transit - Exception</t>
        </is>
      </c>
      <c r="B21" s="7">
        <f>COUNTIF('Corrected Register'!$J$5:$J$136,A21)</f>
        <v>2</v>
      </c>
      <c r="C21" s="7">
        <f>SUMIF('Corrected Register'!$J$5:$J$136,A21,'Corrected Register'!$N$5:$N$136)</f>
        <v>1019.4</v>
      </c>
      <c r="E21" s="7" t="inlineStr">
        <is>
          <t>Monitor</t>
        </is>
      </c>
      <c r="F21" s="7">
        <f>COUNTIF('Corrected Register'!$C$5:$C$136,E21)</f>
        <v>34</v>
      </c>
      <c r="G21" s="7">
        <f>SUMIF('Corrected Register'!$C$5:$C$136,E21,'Corrected Register'!$N$5:$N$136)</f>
        <v>11329.87</v>
      </c>
    </row>
    <row r="22">
      <c r="A22" s="7" t="inlineStr">
        <is>
          <t>In Use</t>
        </is>
      </c>
      <c r="B22" s="7">
        <f>COUNTIF('Corrected Register'!$J$5:$J$136,A22)</f>
        <v>51</v>
      </c>
      <c r="C22" s="7">
        <f>SUMIF('Corrected Register'!$J$5:$J$136,A22,'Corrected Register'!$N$5:$N$136)</f>
        <v>25512.76</v>
      </c>
      <c r="E22" s="7" t="inlineStr">
        <is>
          <t>Network Asset</t>
        </is>
      </c>
      <c r="F22" s="7">
        <f>COUNTIF('Corrected Register'!$C$5:$C$136,E22)</f>
        <v>33</v>
      </c>
      <c r="G22" s="7">
        <f>SUMIF('Corrected Register'!$C$5:$C$136,E22,'Corrected Register'!$N$5:$N$136)</f>
        <v>28181.49</v>
      </c>
    </row>
    <row r="23">
      <c r="A23" s="8" t="inlineStr">
        <is>
          <t>Missing</t>
        </is>
      </c>
      <c r="B23" s="7">
        <f>COUNTIF('Corrected Register'!$J$5:$J$136,A23)</f>
        <v>12</v>
      </c>
      <c r="C23" s="7">
        <f>SUMIF('Corrected Register'!$J$5:$J$136,A23,'Corrected Register'!$N$5:$N$136)</f>
        <v>6214.38</v>
      </c>
    </row>
    <row r="24">
      <c r="A24" s="7" t="inlineStr">
        <is>
          <t>Pending Redeployment</t>
        </is>
      </c>
      <c r="B24" s="7">
        <f>COUNTIF('Corrected Register'!$J$5:$J$136,A24)</f>
        <v>10</v>
      </c>
      <c r="C24" s="7">
        <f>SUMIF('Corrected Register'!$J$5:$J$136,A24,'Corrected Register'!$N$5:$N$136)</f>
        <v>4851.08</v>
      </c>
    </row>
    <row r="25">
      <c r="A25" s="7" t="inlineStr">
        <is>
          <t>Retired/Pending Disposal</t>
        </is>
      </c>
      <c r="B25" s="7">
        <f>COUNTIF('Corrected Register'!$J$5:$J$136,A25)</f>
        <v>12</v>
      </c>
      <c r="C25" s="7">
        <f>SUMIF('Corrected Register'!$J$5:$J$136,A25,'Corrected Register'!$N$5:$N$136)</f>
        <v>4811.33</v>
      </c>
    </row>
    <row r="26">
      <c r="A26" s="8" t="inlineStr">
        <is>
          <t>Return Overdue</t>
        </is>
      </c>
      <c r="B26" s="7">
        <f>COUNTIF('Corrected Register'!$J$5:$J$136,A26)</f>
        <v>12</v>
      </c>
      <c r="C26" s="7">
        <f>SUMIF('Corrected Register'!$J$5:$J$136,A26,'Corrected Register'!$N$5:$N$136)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Register'!$I$5:$I$136,A32)</f>
        <v>16</v>
      </c>
      <c r="C32" s="7">
        <f>SUMIF('Corrected Register'!$I$5:$I$136,A32,'Corrected Register'!$N$5:$N$136)</f>
        <v>5184.18</v>
      </c>
      <c r="E32" s="7" t="inlineStr">
        <is>
          <t>Cannot Locate</t>
        </is>
      </c>
      <c r="F32" s="7">
        <f>COUNTIF('Exception Register'!$B$5:$B$167,E32)</f>
        <v>12</v>
      </c>
      <c r="G32" s="7">
        <f>SUMIF('Exception Register'!$B$5:$B$167,E32,'Exception Register'!$G$5:$G$167)</f>
        <v>6214.38</v>
      </c>
    </row>
    <row r="33">
      <c r="A33" s="7" t="inlineStr">
        <is>
          <t>Atlanta</t>
        </is>
      </c>
      <c r="B33" s="7">
        <f>COUNTIF('Corrected Register'!$I$5:$I$136,A33)</f>
        <v>15</v>
      </c>
      <c r="C33" s="7">
        <f>SUMIF('Corrected Register'!$I$5:$I$136,A33,'Corrected Register'!$N$5:$N$136)</f>
        <v>6267.29</v>
      </c>
      <c r="E33" s="7" t="inlineStr">
        <is>
          <t>Closed Location Assignment</t>
        </is>
      </c>
      <c r="F33" s="7">
        <f>COUNTIF('Exception Register'!$B$5:$B$167,E33)</f>
        <v>61</v>
      </c>
      <c r="G33" s="7">
        <f>SUMIF('Exception Register'!$B$5:$B$167,E33,'Exception Register'!$G$5:$G$167)</f>
        <v>29098.84</v>
      </c>
    </row>
    <row r="34">
      <c r="A34" s="7" t="inlineStr">
        <is>
          <t>Dallas</t>
        </is>
      </c>
      <c r="B34" s="7">
        <f>COUNTIF('Corrected Register'!$I$5:$I$136,A34)</f>
        <v>15</v>
      </c>
      <c r="C34" s="7">
        <f>SUMIF('Corrected Register'!$I$5:$I$136,A34,'Corrected Register'!$N$5:$N$136)</f>
        <v>11070.95</v>
      </c>
      <c r="E34" s="7" t="inlineStr">
        <is>
          <t>Duplicate Serial Number</t>
        </is>
      </c>
      <c r="F34" s="7">
        <f>COUNTIF('Exception Register'!$B$5:$B$167,E34)</f>
        <v>4</v>
      </c>
      <c r="G34" s="7">
        <f>SUMIF('Exception Register'!$B$5:$B$167,E34,'Exception Register'!$G$5:$G$167)</f>
        <v>2503.11</v>
      </c>
    </row>
    <row r="35">
      <c r="A35" s="7" t="inlineStr">
        <is>
          <t>Seattle</t>
        </is>
      </c>
      <c r="B35" s="7">
        <f>COUNTIF('Corrected Register'!$I$5:$I$136,A35)</f>
        <v>15</v>
      </c>
      <c r="C35" s="7">
        <f>SUMIF('Corrected Register'!$I$5:$I$136,A35,'Corrected Register'!$N$5:$N$136)</f>
        <v>5149.95</v>
      </c>
      <c r="E35" s="7" t="inlineStr">
        <is>
          <t>Former Employee Assignment</t>
        </is>
      </c>
      <c r="F35" s="7">
        <f>COUNTIF('Exception Register'!$B$5:$B$167,E35)</f>
        <v>43</v>
      </c>
      <c r="G35" s="7">
        <f>SUMIF('Exception Register'!$B$5:$B$167,E35,'Exception Register'!$G$5:$G$167)</f>
        <v>22627.56</v>
      </c>
    </row>
    <row r="36">
      <c r="A36" s="7" t="inlineStr">
        <is>
          <t>Denver</t>
        </is>
      </c>
      <c r="B36" s="7">
        <f>COUNTIF('Corrected Register'!$I$5:$I$136,A36)</f>
        <v>14</v>
      </c>
      <c r="C36" s="7">
        <f>SUMIF('Corrected Register'!$I$5:$I$136,A36,'Corrected Register'!$N$5:$N$136)</f>
        <v>5551.75</v>
      </c>
      <c r="E36" s="7" t="inlineStr">
        <is>
          <t>Inventory-to-Ledger Difference</t>
        </is>
      </c>
      <c r="F36" s="7">
        <f>COUNTIF('Exception Register'!$B$5:$B$167,E36)</f>
        <v>8</v>
      </c>
      <c r="G36" s="7">
        <f>SUMIF('Exception Register'!$B$5:$B$167,E36,'Exception Register'!$G$5:$G$167)</f>
        <v>7440</v>
      </c>
    </row>
    <row r="37">
      <c r="A37" s="7" t="inlineStr">
        <is>
          <t>New York</t>
        </is>
      </c>
      <c r="B37" s="7">
        <f>COUNTIF('Corrected Register'!$I$5:$I$136,A37)</f>
        <v>14</v>
      </c>
      <c r="C37" s="7">
        <f>SUMIF('Corrected Register'!$I$5:$I$136,A37,'Corrected Register'!$N$5:$N$136)</f>
        <v>10561</v>
      </c>
      <c r="E37" s="7" t="inlineStr">
        <is>
          <t>Missing Disposal Evidence</t>
        </is>
      </c>
      <c r="F37" s="7">
        <f>COUNTIF('Exception Register'!$B$5:$B$167,E37)</f>
        <v>12</v>
      </c>
      <c r="G37" s="7">
        <f>SUMIF('Exception Register'!$B$5:$B$167,E37,'Exception Register'!$G$5:$G$167)</f>
        <v>4811.33</v>
      </c>
    </row>
    <row r="38">
      <c r="A38" s="7" t="inlineStr">
        <is>
          <t>Unknown</t>
        </is>
      </c>
      <c r="B38" s="7">
        <f>COUNTIF('Corrected Register'!$I$5:$I$136,A38)</f>
        <v>12</v>
      </c>
      <c r="C38" s="7">
        <f>SUMIF('Corrected Register'!$I$5:$I$136,A38,'Corrected Register'!$N$5:$N$136)</f>
        <v>6214.38</v>
      </c>
      <c r="E38" s="7" t="inlineStr">
        <is>
          <t>Overdue Return</t>
        </is>
      </c>
      <c r="F38" s="7">
        <f>COUNTIF('Exception Register'!$B$5:$B$167,E38)</f>
        <v>12</v>
      </c>
      <c r="G38" s="7">
        <f>SUMIF('Exception Register'!$B$5:$B$167,E38,'Exception Register'!$G$5:$G$167)</f>
        <v>6191.65</v>
      </c>
    </row>
    <row r="39">
      <c r="A39" s="7" t="inlineStr">
        <is>
          <t>Remote - Former Employee</t>
        </is>
      </c>
      <c r="B39" s="7">
        <f>COUNTIF('Corrected Register'!$I$5:$I$136,A39)</f>
        <v>10</v>
      </c>
      <c r="C39" s="7">
        <f>SUMIF('Corrected Register'!$I$5:$I$136,A39,'Corrected Register'!$N$5:$N$136)</f>
        <v>4878.51</v>
      </c>
      <c r="E39" s="7" t="inlineStr">
        <is>
          <t>Shipment Mismatch</t>
        </is>
      </c>
      <c r="F39" s="7">
        <f>COUNTIF('Exception Register'!$B$5:$B$167,E39)</f>
        <v>4</v>
      </c>
      <c r="G39" s="7">
        <f>SUMIF('Exception Register'!$B$5:$B$167,E39,'Exception Register'!$G$5:$G$167)</f>
        <v>2332.54</v>
      </c>
    </row>
    <row r="40">
      <c r="A40" s="7" t="inlineStr">
        <is>
          <t>Disposed</t>
        </is>
      </c>
      <c r="B40" s="7">
        <f>COUNTIF('Corrected Register'!$I$5:$I$136,A40)</f>
        <v>8</v>
      </c>
      <c r="C40" s="7">
        <f>SUMIF('Corrected Register'!$I$5:$I$136,A40,'Corrected Register'!$N$5:$N$136)</f>
        <v>0</v>
      </c>
      <c r="E40" s="7" t="inlineStr">
        <is>
          <t>Unapproved Transfer</t>
        </is>
      </c>
      <c r="F40" s="7">
        <f>COUNTIF('Exception Register'!$B$5:$B$167,E40)</f>
        <v>5</v>
      </c>
      <c r="G40" s="7">
        <f>SUMIF('Exception Register'!$B$5:$B$167,E40,'Exception Register'!$G$5:$G$167)</f>
        <v>2869.32</v>
      </c>
    </row>
    <row r="41">
      <c r="A41" s="7" t="inlineStr">
        <is>
          <t>Atlanta Warehouse</t>
        </is>
      </c>
      <c r="B41" s="7">
        <f>COUNTIF('Corrected Register'!$I$5:$I$136,A41)</f>
        <v>7</v>
      </c>
      <c r="C41" s="7">
        <f>SUMIF('Corrected Register'!$I$5:$I$136,A41,'Corrected Register'!$N$5:$N$136)</f>
        <v>4351.05</v>
      </c>
    </row>
    <row r="42">
      <c r="A42" s="7" t="inlineStr">
        <is>
          <t>Carrier Network / Unverified</t>
        </is>
      </c>
      <c r="B42" s="7">
        <f>COUNTIF('Corrected Register'!$I$5:$I$136,A42)</f>
        <v>4</v>
      </c>
      <c r="C42" s="7">
        <f>SUMIF('Corrected Register'!$I$5:$I$136,A42,'Corrected Register'!$N$5:$N$136)</f>
        <v>2332.54</v>
      </c>
    </row>
    <row r="43">
      <c r="A43" s="7" t="inlineStr">
        <is>
          <t>Disposed (certificate missing)</t>
        </is>
      </c>
      <c r="B43" s="7">
        <f>COUNTIF('Corrected Register'!$I$5:$I$136,A43)</f>
        <v>2</v>
      </c>
      <c r="C43" s="7">
        <f>SUMIF('Corrected Register'!$I$5:$I$136,A43,'Corrected Register'!$N$5:$N$136)</f>
        <v>0</v>
      </c>
    </row>
    <row r="45">
      <c r="A45" s="19" t="inlineStr">
        <is>
          <t>Key finding —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3"/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After HR and transfer review, MD-00001 is In Use in Chicago. Employee E0001 (Active) matches the register holder. equipment_transfer_log TR-00001, approval APR-00001; received Jan 21, 2026. PO PO-2022-0001 on file; no matching FAR row for MD-00001.</t>
        </is>
      </c>
      <c r="L5" s="7" t="inlineStr">
        <is>
          <t>2026-08-05</t>
        </is>
      </c>
      <c r="M5" s="7" t="n">
        <v>1895</v>
      </c>
      <c r="N5" s="7">
        <f>IFERROR(XLOOKUP(A5,'Source Ledger'!$B$5:$B$133,'Source Ledger'!$G$5:$G$133),"")</f>
        <v>0</v>
      </c>
      <c r="O5" s="7">
        <f>IFERROR(XLOOKUP(A5,'Source Ledger'!$B$5:$B$133,'Source Ledger'!$A$5:$A$133),"")</f>
        <v/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Working conclusion for MD-00002: In Use in Dallas ($610). Employee E0002 (Active) matches the register holder. Assignment TR-00002; receive column 2026-02-25, approval APR-00002. PO PO-2022-0001 on file; no matching FAR row for MD-00002.</t>
        </is>
      </c>
      <c r="L6" s="7" t="inlineStr">
        <is>
          <t>2026-08-05</t>
        </is>
      </c>
      <c r="M6" s="7" t="n">
        <v>610</v>
      </c>
      <c r="N6" s="7">
        <f>IFERROR(XLOOKUP(A6,'Source Ledger'!$B$5:$B$133,'Source Ledger'!$G$5:$G$133),"")</f>
        <v>313.06</v>
      </c>
      <c r="O6" s="7">
        <f>IFERROR(XLOOKUP(A6,'Source Ledger'!$B$5:$B$133,'Source Ledger'!$A$5:$A$133),"")</f>
        <v/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Cost $1085 on MD-00003; In Use at Denver. Employee E0003 (Active) matches the register holder. TR-00003 for MD-00003 — received 04/03/2026, approval APR-00003. PO PO-2022-0001 on file; no matching FAR row for MD-00003.</t>
        </is>
      </c>
      <c r="L7" s="7" t="inlineStr">
        <is>
          <t>2026-08-05</t>
        </is>
      </c>
      <c r="M7" s="7" t="n">
        <v>1085</v>
      </c>
      <c r="N7" s="7">
        <f>IFERROR(XLOOKUP(A7,'Source Ledger'!$B$5:$B$133,'Source Ledger'!$G$5:$G$133),"")</f>
        <v>597.83</v>
      </c>
      <c r="O7" s="7">
        <f>IFERROR(XLOOKUP(A7,'Source Ledger'!$B$5:$B$133,'Source Ledger'!$A$5:$A$133),"")</f>
        <v/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MD-00004 lists In Use at New York (Cisco C9300, $6380). Employee E0004 (Active) matches the register holder. Inbound stamp on TR-00004 is May 01, 2026, approval APR-00004. PO PO-2022-0001 on file; no matching FAR row for MD-00004.</t>
        </is>
      </c>
      <c r="L8" s="7" t="inlineStr">
        <is>
          <t>2026-08-05</t>
        </is>
      </c>
      <c r="M8" s="7" t="n">
        <v>6380</v>
      </c>
      <c r="N8" s="7">
        <f>IFERROR(XLOOKUP(A8,'Source Ledger'!$B$5:$B$133,'Source Ledger'!$G$5:$G$133),"")</f>
        <v>940.62</v>
      </c>
      <c r="O8" s="7">
        <f>IFERROR(XLOOKUP(A8,'Source Ledger'!$B$5:$B$133,'Source Ledger'!$A$5:$A$133),"")</f>
        <v/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Register MD-00005: In Use, Seattle, $2075 — MacBook Pro 14. Employee E0005 (Active) matches the register holder. Log TR-00005: received 2026-06-08, approval APR-00005. PO PO-2022-0001 on file; no matching FAR row for MD-00005.</t>
        </is>
      </c>
      <c r="L9" s="7" t="inlineStr">
        <is>
          <t>2026-08-05</t>
        </is>
      </c>
      <c r="M9" s="7" t="n">
        <v>2075</v>
      </c>
      <c r="N9" s="7">
        <f>IFERROR(XLOOKUP(A9,'Source Ledger'!$B$5:$B$133,'Source Ledger'!$G$5:$G$133),"")</f>
        <v>0</v>
      </c>
      <c r="O9" s="7">
        <f>IFERROR(XLOOKUP(A9,'Source Ledger'!$B$5:$B$133,'Source Ledger'!$A$5:$A$133),"")</f>
        <v/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Corrected row MD-00006: In Use, Atlanta, $790 — Dell U2723QE. Employee E0006 (Active) matches the register holder. TR-00006 for MD-00006 — received 01/12/2026, approval APR-00006. PO-2022-0001 in hardware_purchase_orders.csv; FAR silent on MD-00006.</t>
        </is>
      </c>
      <c r="L10" s="7" t="inlineStr">
        <is>
          <t>2026-08-05</t>
        </is>
      </c>
      <c r="M10" s="7" t="n">
        <v>790</v>
      </c>
      <c r="N10" s="7">
        <f>IFERROR(XLOOKUP(A10,'Source Ledger'!$B$5:$B$133,'Source Ledger'!$G$5:$G$133),"")</f>
        <v>459.94</v>
      </c>
      <c r="O10" s="7">
        <f>IFERROR(XLOOKUP(A10,'Source Ledger'!$B$5:$B$133,'Source Ledger'!$A$5:$A$133),"")</f>
        <v/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Corrected register carries MD-00007 as In Use in Chicago. Employee E0007 (Active) matches the register holder. Movement TR-00007 posted 02/11/2026 and inbound Feb 17, 2026, approval APR-00007. PO-2023-0002 in hardware_purchase_orders.csv; FAR silent on MD-00007.</t>
        </is>
      </c>
      <c r="L11" s="7" t="inlineStr">
        <is>
          <t>2026-08-05</t>
        </is>
      </c>
      <c r="M11" s="7" t="n">
        <v>950</v>
      </c>
      <c r="N11" s="7">
        <f>IFERROR(XLOOKUP(A11,'Source Ledger'!$B$5:$B$133,'Source Ledger'!$G$5:$G$133),"")</f>
        <v>632.68</v>
      </c>
      <c r="O11" s="7">
        <f>IFERROR(XLOOKUP(A11,'Source Ledger'!$B$5:$B$133,'Source Ledger'!$A$5:$A$133),"")</f>
        <v/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632.68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MD-00008 (Cisco C9300) closed In Use / Dallas on $6245. Employee E0008 (Active) matches the register holder. Log TR-00008: received 2026-03-19, approval APR-00008. PO-2023-0002 in hardware_purchase_orders.csv; FAR silent on MD-00008.</t>
        </is>
      </c>
      <c r="L12" s="7" t="inlineStr">
        <is>
          <t>2026-08-05</t>
        </is>
      </c>
      <c r="M12" s="7" t="n">
        <v>6245</v>
      </c>
      <c r="N12" s="7">
        <f>IFERROR(XLOOKUP(A12,'Source Ledger'!$B$5:$B$133,'Source Ledger'!$G$5:$G$133),"")</f>
        <v>1355.01</v>
      </c>
      <c r="O12" s="7">
        <f>IFERROR(XLOOKUP(A12,'Source Ledger'!$B$5:$B$133,'Source Ledger'!$A$5:$A$133),"")</f>
        <v/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MD-00009 carries In Use at Denver (Dell Latitude 7440, $1940). Employee E0009 (Active) matches the register holder. Assignment TR-00009; receive column 04/21/2026, approval APR-00009. PO-2023-0002 in hardware_purchase_orders.csv; FAR silent on MD-00009.</t>
        </is>
      </c>
      <c r="L13" s="7" t="inlineStr">
        <is>
          <t>2026-08-05</t>
        </is>
      </c>
      <c r="M13" s="7" t="n">
        <v>1940</v>
      </c>
      <c r="N13" s="7">
        <f>IFERROR(XLOOKUP(A13,'Source Ledger'!$B$5:$B$133,'Source Ledger'!$G$5:$G$133),"")</f>
        <v>109.33</v>
      </c>
      <c r="O13" s="7">
        <f>IFERROR(XLOOKUP(A13,'Source Ledger'!$B$5:$B$133,'Source Ledger'!$A$5:$A$133),"")</f>
        <v/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Field review: MD-00010 In Use @ New York. Employee E0010 (Active) matches the register holder. Log TR-00010: received May 28, 2026, approval APR-00010. Purchasing PO-2023-0002 without a capital line for MD-00010.</t>
        </is>
      </c>
      <c r="L14" s="7" t="inlineStr">
        <is>
          <t>2026-08-05</t>
        </is>
      </c>
      <c r="M14" s="7" t="n">
        <v>655</v>
      </c>
      <c r="N14" s="7">
        <f>IFERROR(XLOOKUP(A14,'Source Ledger'!$B$5:$B$133,'Source Ledger'!$G$5:$G$133),"")</f>
        <v>426.89</v>
      </c>
      <c r="O14" s="7">
        <f>IFERROR(XLOOKUP(A14,'Source Ledger'!$B$5:$B$133,'Source Ledger'!$A$5:$A$133),"")</f>
        <v/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Samsung Galaxy S24 on MD-00011 is In Use in Seattle site; basis $1130. Employee E0011 (Active) matches the register holder. Assignment TR-00011; receive column 2026-06-28, approval APR-00011. Purchasing PO-2023-0002 without a capital line for MD-00011.</t>
        </is>
      </c>
      <c r="L15" s="7" t="inlineStr">
        <is>
          <t>2026-08-05</t>
        </is>
      </c>
      <c r="M15" s="7" t="n">
        <v>1130</v>
      </c>
      <c r="N15" s="7">
        <f>IFERROR(XLOOKUP(A15,'Source Ledger'!$B$5:$B$133,'Source Ledger'!$G$5:$G$133),"")</f>
        <v>882.5</v>
      </c>
      <c r="O15" s="7">
        <f>IFERROR(XLOOKUP(A15,'Source Ledger'!$B$5:$B$133,'Source Ledger'!$A$5:$A$133),"")</f>
        <v/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Read MD-00012 against transfers before signing In Use / Atlanta. Employee E0012 (Active) matches the register holder. Transfer TR-00012 shows receipt 01/31/2026, approval APR-00012. Purchasing PO-2023-0002 without a capital line for MD-00012.</t>
        </is>
      </c>
      <c r="L16" s="7" t="inlineStr">
        <is>
          <t>2026-08-05</t>
        </is>
      </c>
      <c r="M16" s="7" t="n">
        <v>6425</v>
      </c>
      <c r="N16" s="7">
        <f>IFERROR(XLOOKUP(A16,'Source Ledger'!$B$5:$B$133,'Source Ledger'!$G$5:$G$133),"")</f>
        <v>553.23</v>
      </c>
      <c r="O16" s="7">
        <f>IFERROR(XLOOKUP(A16,'Source Ledger'!$B$5:$B$133,'Source Ledger'!$A$5:$A$133),"")</f>
        <v/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Did not move MD-00013 off In Use at Chicago without a transaction. Employee E0013 (Active) matches the register holder. Inbound stamp on TR-00013 is Feb 06, 2026, approval APR-00013. Purchasing PO-2024-0003 without a capital line for MD-00013.</t>
        </is>
      </c>
      <c r="L17" s="7" t="inlineStr">
        <is>
          <t>2026-08-05</t>
        </is>
      </c>
      <c r="M17" s="7" t="n">
        <v>2120</v>
      </c>
      <c r="N17" s="7">
        <f>IFERROR(XLOOKUP(A17,'Source Ledger'!$B$5:$B$133,'Source Ledger'!$G$5:$G$133),"")</f>
        <v>0</v>
      </c>
      <c r="O17" s="7">
        <f>IFERROR(XLOOKUP(A17,'Source Ledger'!$B$5:$B$133,'Source Ledger'!$A$5:$A$133),"")</f>
        <v/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Register MD-00014: In Use, Dallas, $520 — Dell U2723QE. Employee E0014 (Active) matches the register holder. equipment_transfer_log TR-00014, approval APR-00014; received 2026-03-09. Purchasing PO-2024-0003 without a capital line for MD-00014.</t>
        </is>
      </c>
      <c r="L18" s="7" t="inlineStr">
        <is>
          <t>2026-08-05</t>
        </is>
      </c>
      <c r="M18" s="7" t="n">
        <v>520</v>
      </c>
      <c r="N18" s="7">
        <f>IFERROR(XLOOKUP(A18,'Source Ledger'!$B$5:$B$133,'Source Ledger'!$G$5:$G$133),"")</f>
        <v>270.29</v>
      </c>
      <c r="O18" s="7">
        <f>IFERROR(XLOOKUP(A18,'Source Ledger'!$B$5:$B$133,'Source Ledger'!$A$5:$A$133),"")</f>
        <v/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Samsung Galaxy S24 MD-00015 tied to $995; location Denver; status In Use. Employee E0015 (Active) matches the register holder. TR-00015 ties to MD-00015; dock date 04/13/2026, approval APR-00015. Purchasing PO-2024-0003 without a capital line for MD-00015.</t>
        </is>
      </c>
      <c r="L19" s="7" t="inlineStr">
        <is>
          <t>2026-08-05</t>
        </is>
      </c>
      <c r="M19" s="7" t="n">
        <v>995</v>
      </c>
      <c r="N19" s="7">
        <f>IFERROR(XLOOKUP(A19,'Source Ledger'!$B$5:$B$133,'Source Ledger'!$G$5:$G$133),"")</f>
        <v>559.13</v>
      </c>
      <c r="O19" s="7">
        <f>IFERROR(XLOOKUP(A19,'Source Ledger'!$B$5:$B$133,'Source Ledger'!$A$5:$A$133),"")</f>
        <v/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Cisco C9300 on MD-00016 is In Use in New York; basis $6290. Employee E0016 (Active) matches the register holder. Assignment TR-00016; receive column May 17, 2026, approval APR-00016. PO-2024-0003 in hardware_purchase_orders.csv; FAR silent on MD-00016.</t>
        </is>
      </c>
      <c r="L20" s="7" t="inlineStr">
        <is>
          <t>2026-08-05</t>
        </is>
      </c>
      <c r="M20" s="7" t="n">
        <v>6290</v>
      </c>
      <c r="N20" s="7">
        <f>IFERROR(XLOOKUP(A20,'Source Ledger'!$B$5:$B$133,'Source Ledger'!$G$5:$G$133),"")</f>
        <v>968.69</v>
      </c>
      <c r="O20" s="7">
        <f>IFERROR(XLOOKUP(A20,'Source Ledger'!$B$5:$B$133,'Source Ledger'!$A$5:$A$133),"")</f>
        <v/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Assignment trail and HR both fit In Use for MD-00017 in Seattle. Employee E0017 (Active) matches the register holder. Transfer TR-00017 shows receipt 2026-06-19, approval APR-00017. PO-2024-0003 in hardware_purchase_orders.csv; FAR silent on MD-00017.</t>
        </is>
      </c>
      <c r="L21" s="7" t="inlineStr">
        <is>
          <t>2026-08-05</t>
        </is>
      </c>
      <c r="M21" s="7" t="n">
        <v>1985</v>
      </c>
      <c r="N21" s="7">
        <f>IFERROR(XLOOKUP(A21,'Source Ledger'!$B$5:$B$133,'Source Ledger'!$G$5:$G$133),"")</f>
        <v>0</v>
      </c>
      <c r="O21" s="7">
        <f>IFERROR(XLOOKUP(A21,'Source Ledger'!$B$5:$B$133,'Source Ledger'!$A$5:$A$133),"")</f>
        <v/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People and transfer logs align on MD-00018 — In Use, Atlanta. Employee E0018 (Active) matches the register holder. Inbound stamp on TR-00018 is 01/23/2026, approval APR-00018. PO-2024-0003 in hardware_purchase_orders.csv; FAR silent on MD-00018.</t>
        </is>
      </c>
      <c r="L22" s="7" t="inlineStr">
        <is>
          <t>2026-08-05</t>
        </is>
      </c>
      <c r="M22" s="7" t="n">
        <v>700</v>
      </c>
      <c r="N22" s="7">
        <f>IFERROR(XLOOKUP(A22,'Source Ledger'!$B$5:$B$133,'Source Ledger'!$G$5:$G$133),"")</f>
        <v>412.14</v>
      </c>
      <c r="O22" s="7">
        <f>IFERROR(XLOOKUP(A22,'Source Ledger'!$B$5:$B$133,'Source Ledger'!$A$5:$A$133),"")</f>
        <v/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sits In Use at Chicago (Samsung Galaxy S24, $1175). Employee E0019 (Active) matches the register holder. equipment_transfer_log TR-00019, approval APR-00019; received Feb 26, 2026. PO-2025-0004 in hardware_purchase_orders.csv; FAR silent on MD-00019.</t>
        </is>
      </c>
      <c r="L23" s="7" t="inlineStr">
        <is>
          <t>2026-08-05</t>
        </is>
      </c>
      <c r="M23" s="7" t="n">
        <v>1175</v>
      </c>
      <c r="N23" s="7">
        <f>IFERROR(XLOOKUP(A23,'Source Ledger'!$B$5:$B$133,'Source Ledger'!$G$5:$G$133),"")</f>
        <v>795.4</v>
      </c>
      <c r="O23" s="7">
        <f>IFERROR(XLOOKUP(A23,'Source Ledger'!$B$5:$B$133,'Source Ledger'!$A$5:$A$133),"")</f>
        <v/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Cisco C9300 MD-00020 tied to $6470; location Dallas; status In Use. Employee E0020 (Active) matches the register holder. Inbound stamp on TR-00020 is 2026-03-30, approval APR-00020. Purchasing PO-2025-0004 without a capital line for MD-00020.</t>
        </is>
      </c>
      <c r="L24" s="7" t="inlineStr">
        <is>
          <t>2026-08-05</t>
        </is>
      </c>
      <c r="M24" s="7" t="n">
        <v>6470</v>
      </c>
      <c r="N24" s="7">
        <f>IFERROR(XLOOKUP(A24,'Source Ledger'!$B$5:$B$133,'Source Ledger'!$G$5:$G$133),"")</f>
        <v>1446.34</v>
      </c>
      <c r="O24" s="7">
        <f>IFERROR(XLOOKUP(A24,'Source Ledger'!$B$5:$B$133,'Source Ledger'!$A$5:$A$133),"")</f>
        <v/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I read the movement and people files before calling MD-00021 In Use. Employee E0021 (Active) matches the register holder. equipment_transfer_log TR-00021, approval APR-00021; received 05/03/2026. Purchasing PO-2025-0004 without a capital line for MD-00021. Also: duplicate serial MD-LA-050021 flagged on the register.</t>
        </is>
      </c>
      <c r="L25" s="7" t="inlineStr">
        <is>
          <t>2026-08-05</t>
        </is>
      </c>
      <c r="M25" s="7" t="n">
        <v>1850</v>
      </c>
      <c r="N25" s="7">
        <f>IFERROR(XLOOKUP(A25,'Source Ledger'!$B$5:$B$133,'Source Ledger'!$G$5:$G$133),"")</f>
        <v>124.52</v>
      </c>
      <c r="O25" s="7">
        <f>IFERROR(XLOOKUP(A25,'Source Ledger'!$B$5:$B$133,'Source Ledger'!$A$5:$A$133),"")</f>
        <v/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MD-00022 lists In Use at New York (Dell U2723QE, $565). Employee E0022 (Active) matches the register holder. TR-00022 ties to MD-00022; dock date Jun 05, 2026, approval APR-00022. Purchasing PO-2025-0004 without a capital line for MD-00022.</t>
        </is>
      </c>
      <c r="L26" s="7" t="inlineStr">
        <is>
          <t>2026-08-05</t>
        </is>
      </c>
      <c r="M26" s="7" t="n">
        <v>565</v>
      </c>
      <c r="N26" s="7">
        <f>IFERROR(XLOOKUP(A26,'Source Ledger'!$B$5:$B$133,'Source Ledger'!$G$5:$G$133),"")</f>
        <v>371.95</v>
      </c>
      <c r="O26" s="7">
        <f>IFERROR(XLOOKUP(A26,'Source Ledger'!$B$5:$B$133,'Source Ledger'!$A$5:$A$133),"")</f>
        <v/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In Use / Seattle on MD-00023 (Samsung Galaxy S24, $1040) per cited files. Employee E0023 (Active) matches the register holder. TR-00023 for MD-00023 — received 2026-07-09, approval APR-00023. Purchasing PO-2025-0004 without a capital line for MD-00023.</t>
        </is>
      </c>
      <c r="L27" s="7" t="inlineStr">
        <is>
          <t>2026-08-05</t>
        </is>
      </c>
      <c r="M27" s="7" t="n">
        <v>1040</v>
      </c>
      <c r="N27" s="7">
        <f>IFERROR(XLOOKUP(A27,'Source Ledger'!$B$5:$B$133,'Source Ledger'!$G$5:$G$133),"")</f>
        <v>823.6</v>
      </c>
      <c r="O27" s="7">
        <f>IFERROR(XLOOKUP(A27,'Source Ledger'!$B$5:$B$133,'Source Ledger'!$A$5:$A$133),"")</f>
        <v/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Extract row MD-00024: In Use, Atlanta, $6335 — Cisco C9300. Employee E0024 (Active) matches the register holder. Movement TR-00024 posted 2026-01-18 and inbound 01/21/2026, approval APR-00024. Purchasing PO-2025-0004 without a capital line for MD-00024.</t>
        </is>
      </c>
      <c r="L28" s="7" t="inlineStr">
        <is>
          <t>2026-08-05</t>
        </is>
      </c>
      <c r="M28" s="7" t="n">
        <v>6335</v>
      </c>
      <c r="N28" s="7">
        <f>IFERROR(XLOOKUP(A28,'Source Ledger'!$B$5:$B$133,'Source Ledger'!$G$5:$G$133),"")</f>
        <v>503.85</v>
      </c>
      <c r="O28" s="7">
        <f>IFERROR(XLOOKUP(A28,'Source Ledger'!$B$5:$B$133,'Source Ledger'!$A$5:$A$133),"")</f>
        <v/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Cost $2030 on MD-00025; In Use at Chicago. Employee E0025 (Active) matches the register holder. Log TR-00025: received Jan 22, 2026, approval APR-00025. PO-2022-0005 in hardware_purchase_orders.csv; FAR silent on MD-00025. Also: duplicate serial MD-LA-050021 flagged on the register.</t>
        </is>
      </c>
      <c r="L29" s="7" t="inlineStr">
        <is>
          <t>2026-08-05</t>
        </is>
      </c>
      <c r="M29" s="7" t="n">
        <v>2030</v>
      </c>
      <c r="N29" s="7">
        <f>IFERROR(XLOOKUP(A29,'Source Ledger'!$B$5:$B$133,'Source Ledger'!$G$5:$G$133),"")</f>
        <v>0</v>
      </c>
      <c r="O29" s="7">
        <f>IFERROR(XLOOKUP(A29,'Source Ledger'!$B$5:$B$133,'Source Ledger'!$A$5:$A$133),"")</f>
        <v/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Cross-file check left MD-00026 as In Use (Dallas). Employee E0026 (Active) matches the register holder. equipment_transfer_log TR-00026, approval APR-00026; received 2026-02-27. PO PO-2022-0005 on file; no matching FAR row for MD-00026.</t>
        </is>
      </c>
      <c r="L30" s="7" t="inlineStr">
        <is>
          <t>2026-08-05</t>
        </is>
      </c>
      <c r="M30" s="7" t="n">
        <v>745</v>
      </c>
      <c r="N30" s="7">
        <f>IFERROR(XLOOKUP(A30,'Source Ledger'!$B$5:$B$133,'Source Ledger'!$G$5:$G$133),"")</f>
        <v>382.34</v>
      </c>
      <c r="O30" s="7">
        <f>IFERROR(XLOOKUP(A30,'Source Ledger'!$B$5:$B$133,'Source Ledger'!$A$5:$A$133),"")</f>
        <v/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reads In Use at Denver (Samsung Galaxy S24, $1220). Employee E0027 (Active) matches the register holder. TR-00027 ties to MD-00027; dock date 04/06/2026, approval APR-00027. PO PO-2022-0005 on file; no matching FAR row for MD-00027.</t>
        </is>
      </c>
      <c r="L31" s="7" t="inlineStr">
        <is>
          <t>2026-08-05</t>
        </is>
      </c>
      <c r="M31" s="7" t="n">
        <v>1220</v>
      </c>
      <c r="N31" s="7">
        <f>IFERROR(XLOOKUP(A31,'Source Ledger'!$B$5:$B$133,'Source Ledger'!$G$5:$G$133),"")</f>
        <v>672.21</v>
      </c>
      <c r="O31" s="7">
        <f>IFERROR(XLOOKUP(A31,'Source Ledger'!$B$5:$B$133,'Source Ledger'!$A$5:$A$133),"")</f>
        <v/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Kept MD-00028 at In Use in New York; $6200 Cisco C9300. Employee E0028 (Active) matches the register holder. TR-00028 for MD-00028 — received May 02, 2026, approval APR-00028. PO PO-2022-0005 on file; no matching FAR row for MD-00028.</t>
        </is>
      </c>
      <c r="L32" s="7" t="inlineStr">
        <is>
          <t>2026-08-05</t>
        </is>
      </c>
      <c r="M32" s="7" t="n">
        <v>6200</v>
      </c>
      <c r="N32" s="7">
        <f>IFERROR(XLOOKUP(A32,'Source Ledger'!$B$5:$B$133,'Source Ledger'!$G$5:$G$133),"")</f>
        <v>914.09</v>
      </c>
      <c r="O32" s="7">
        <f>IFERROR(XLOOKUP(A32,'Source Ledger'!$B$5:$B$133,'Source Ledger'!$A$5:$A$133),"")</f>
        <v/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row MD-00029: In Use, Seattle, $1895 — MacBook Pro 14. Employee E0029 (Active) matches the register holder. Movement TR-00029 posted Jun 05, 2026 and inbound 2026-06-11, approval APR-00029. PO PO-2022-0005 on file; no matching FAR row for MD-00029.</t>
        </is>
      </c>
      <c r="L33" s="7" t="inlineStr">
        <is>
          <t>2026-08-05</t>
        </is>
      </c>
      <c r="M33" s="7" t="n">
        <v>1895</v>
      </c>
      <c r="N33" s="7">
        <f>IFERROR(XLOOKUP(A33,'Source Ledger'!$B$5:$B$133,'Source Ledger'!$G$5:$G$133),"")</f>
        <v>0</v>
      </c>
      <c r="O33" s="7">
        <f>IFERROR(XLOOKUP(A33,'Source Ledger'!$B$5:$B$133,'Source Ledger'!$A$5:$A$133),"")</f>
        <v/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Cost $610 on MD-00030; In Use at Atlanta. Employee E0030 (Active) matches the register holder. TR-00030 for MD-00030 — received 01/13/2026, approval APR-00030. PO-2022-0005 in hardware_purchase_orders.csv; FAR silent on MD-00030.</t>
        </is>
      </c>
      <c r="L34" s="7" t="inlineStr">
        <is>
          <t>2026-08-05</t>
        </is>
      </c>
      <c r="M34" s="7" t="n">
        <v>610</v>
      </c>
      <c r="N34" s="7">
        <f>IFERROR(XLOOKUP(A34,'Source Ledger'!$B$5:$B$133,'Source Ledger'!$G$5:$G$133),"")</f>
        <v>355.14</v>
      </c>
      <c r="O34" s="7">
        <f>IFERROR(XLOOKUP(A34,'Source Ledger'!$B$5:$B$133,'Source Ledger'!$A$5:$A$133),"")</f>
        <v/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Chicago: MD-00031 is In Use; cost $1085. Employee E0031 (Active) matches the register holder. Movement TR-00031 posted 02/11/2026 and inbound Feb 11, 2026, approval APR-00031. PO-2023-0006 in hardware_purchase_orders.csv; FAR silent on MD-00031.</t>
        </is>
      </c>
      <c r="L35" s="7" t="inlineStr">
        <is>
          <t>2026-08-05</t>
        </is>
      </c>
      <c r="M35" s="7" t="n">
        <v>1085</v>
      </c>
      <c r="N35" s="7">
        <f>IFERROR(XLOOKUP(A35,'Source Ledger'!$B$5:$B$133,'Source Ledger'!$G$5:$G$133),"")</f>
        <v>722.59</v>
      </c>
      <c r="O35" s="7">
        <f>IFERROR(XLOOKUP(A35,'Source Ledger'!$B$5:$B$133,'Source Ledger'!$A$5:$A$133),"")</f>
        <v/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MD-00032 stays In Use at Dallas (Cisco C9300, $6380). Employee E0032 (Active) matches the register holder. Log TR-00032: received 2026-03-22, approval APR-00032. PO-2023-0006 in hardware_purchase_orders.csv; FAR silent on MD-00032.</t>
        </is>
      </c>
      <c r="L36" s="7" t="inlineStr">
        <is>
          <t>2026-08-05</t>
        </is>
      </c>
      <c r="M36" s="7" t="n">
        <v>6380</v>
      </c>
      <c r="N36" s="7">
        <f>IFERROR(XLOOKUP(A36,'Source Ledger'!$B$5:$B$133,'Source Ledger'!$G$5:$G$133),"")</f>
        <v>1384.3</v>
      </c>
      <c r="O36" s="7">
        <f>IFERROR(XLOOKUP(A36,'Source Ledger'!$B$5:$B$133,'Source Ledger'!$A$5:$A$133),"")</f>
        <v/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Working conclusion for MD-00033: In Use in Denver ($2075). Employee E0033 (Active) matches the register holder. Assignment TR-00033; receive column 04/22/2026, approval APR-00033. PO-2023-0006 in hardware_purchase_orders.csv; FAR silent on MD-00033.</t>
        </is>
      </c>
      <c r="L37" s="7" t="inlineStr">
        <is>
          <t>2026-08-05</t>
        </is>
      </c>
      <c r="M37" s="7" t="n">
        <v>2075</v>
      </c>
      <c r="N37" s="7">
        <f>IFERROR(XLOOKUP(A37,'Source Ledger'!$B$5:$B$133,'Source Ledger'!$G$5:$G$133),"")</f>
        <v>116.93</v>
      </c>
      <c r="O37" s="7">
        <f>IFERROR(XLOOKUP(A37,'Source Ledger'!$B$5:$B$133,'Source Ledger'!$A$5:$A$133),"")</f>
        <v/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Dell U2723QE on MD-00034 is In Use in New York office; basis $790. Employee E0034 (Active) matches the register holder. Transfer TR-00034 shows receipt May 22, 2026, approval APR-00034. PO-2023-0006 in hardware_purchase_orders.csv; FAR silent on MD-00034.</t>
        </is>
      </c>
      <c r="L38" s="7" t="inlineStr">
        <is>
          <t>2026-08-05</t>
        </is>
      </c>
      <c r="M38" s="7" t="n">
        <v>790</v>
      </c>
      <c r="N38" s="7">
        <f>IFERROR(XLOOKUP(A38,'Source Ledger'!$B$5:$B$133,'Source Ledger'!$G$5:$G$133),"")</f>
        <v>514.88</v>
      </c>
      <c r="O38" s="7">
        <f>IFERROR(XLOOKUP(A38,'Source Ledger'!$B$5:$B$133,'Source Ledger'!$A$5:$A$133),"")</f>
        <v/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 t="n">
        <v>514.88</v>
      </c>
      <c r="W38" t="n">
        <v>140</v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shows In Use at Seattle (Samsung Galaxy S24, $950). Employee E0035 (Active) matches the register holder. Inbound stamp on TR-00035 is 2026-06-30, approval APR-00035. PO-2023-0006 in hardware_purchase_orders.csv; FAR silent on MD-00035.</t>
        </is>
      </c>
      <c r="L39" s="7" t="inlineStr">
        <is>
          <t>2026-08-05</t>
        </is>
      </c>
      <c r="M39" s="7" t="n">
        <v>950</v>
      </c>
      <c r="N39" s="7">
        <f>IFERROR(XLOOKUP(A39,'Source Ledger'!$B$5:$B$133,'Source Ledger'!$G$5:$G$133),"")</f>
        <v>741.92</v>
      </c>
      <c r="O39" s="7">
        <f>IFERROR(XLOOKUP(A39,'Source Ledger'!$B$5:$B$133,'Source Ledger'!$A$5:$A$133),"")</f>
        <v/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The cited records support In Use in Atlanta for MD-00036. Employee E0036 (Active) matches the register holder. Movement TR-00036 posted 2026-01-30 and inbound 02/01/2026, approval APR-00036. PO PO-2023-0006 on file; no matching FAR row for MD-00036.</t>
        </is>
      </c>
      <c r="L40" s="7" t="inlineStr">
        <is>
          <t>2026-08-05</t>
        </is>
      </c>
      <c r="M40" s="7" t="n">
        <v>6245</v>
      </c>
      <c r="N40" s="7">
        <f>IFERROR(XLOOKUP(A40,'Source Ledger'!$B$5:$B$133,'Source Ledger'!$G$5:$G$133),"")</f>
        <v>537.73</v>
      </c>
      <c r="O40" s="7">
        <f>IFERROR(XLOOKUP(A40,'Source Ledger'!$B$5:$B$133,'Source Ledger'!$A$5:$A$133),"")</f>
        <v/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MD-00037 remains In Use at Chicago (Lenovo ThinkPad T14, $1940). Employee E0037 (Active) matches the register holder. Log TR-00037: received Feb 02, 2026, approval APR-00037. PO PO-2024-0007 on file; no matching FAR row for MD-00037.</t>
        </is>
      </c>
      <c r="L41" s="7" t="inlineStr">
        <is>
          <t>2026-08-05</t>
        </is>
      </c>
      <c r="M41" s="7" t="n">
        <v>1940</v>
      </c>
      <c r="N41" s="7">
        <f>IFERROR(XLOOKUP(A41,'Source Ledger'!$B$5:$B$133,'Source Ledger'!$G$5:$G$133),"")</f>
        <v>0</v>
      </c>
      <c r="O41" s="7">
        <f>IFERROR(XLOOKUP(A41,'Source Ledger'!$B$5:$B$133,'Source Ledger'!$A$5:$A$133),"")</f>
        <v/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MD-00038 reconciled In Use with Dallas as the working site. Employee E0038 (Active) matches the register holder. Assignment TR-00038; receive column 2026-03-11, approval APR-00038. PO PO-2024-0007 on file; no matching FAR row for MD-00038.</t>
        </is>
      </c>
      <c r="L42" s="7" t="inlineStr">
        <is>
          <t>2026-08-05</t>
        </is>
      </c>
      <c r="M42" s="7" t="n">
        <v>655</v>
      </c>
      <c r="N42" s="7">
        <f>IFERROR(XLOOKUP(A42,'Source Ledger'!$B$5:$B$133,'Source Ledger'!$G$5:$G$133),"")</f>
        <v>340.46</v>
      </c>
      <c r="O42" s="7">
        <f>IFERROR(XLOOKUP(A42,'Source Ledger'!$B$5:$B$133,'Source Ledger'!$A$5:$A$133),"")</f>
        <v/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Samsung Galaxy S24 on MD-00039 is In Use in floor Denver; basis $1130. Employee E0039 (Active) matches the register holder. Transfer TR-00039 shows receipt 04/14/2026, approval APR-00039. PO PO-2024-0007 on file; no matching FAR row for MD-00039.</t>
        </is>
      </c>
      <c r="L43" s="7" t="inlineStr">
        <is>
          <t>2026-08-05</t>
        </is>
      </c>
      <c r="M43" s="7" t="n">
        <v>1130</v>
      </c>
      <c r="N43" s="7">
        <f>IFERROR(XLOOKUP(A43,'Source Ledger'!$B$5:$B$133,'Source Ledger'!$G$5:$G$133),"")</f>
        <v>635</v>
      </c>
      <c r="O43" s="7">
        <f>IFERROR(XLOOKUP(A43,'Source Ledger'!$B$5:$B$133,'Source Ledger'!$A$5:$A$133),"")</f>
        <v/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MD-00040 shows In Use at New York (Cisco C9300, $6425). Employee E0040 (Active) matches the register holder. Assignment TR-00040; receive column May 13, 2026, approval APR-00040. PO-2024-0007 in hardware_purchase_orders.csv; FAR silent on MD-00040.</t>
        </is>
      </c>
      <c r="L44" s="7" t="inlineStr">
        <is>
          <t>2026-08-05</t>
        </is>
      </c>
      <c r="M44" s="7" t="n">
        <v>6425</v>
      </c>
      <c r="N44" s="7">
        <f>IFERROR(XLOOKUP(A44,'Source Ledger'!$B$5:$B$133,'Source Ledger'!$G$5:$G$133),"")</f>
        <v>989.48</v>
      </c>
      <c r="O44" s="7">
        <f>IFERROR(XLOOKUP(A44,'Source Ledger'!$B$5:$B$133,'Source Ledger'!$A$5:$A$133),"")</f>
        <v/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After HR and transfer review, MD-00041 is In Use in Seattle. Employee E0041 (Active) matches the register holder. Transfer TR-00041 shows receipt 2026-06-20, approval APR-00041. PO-2024-0007 in hardware_purchase_orders.csv; FAR silent on MD-00041.</t>
        </is>
      </c>
      <c r="L45" s="7" t="inlineStr">
        <is>
          <t>2026-08-05</t>
        </is>
      </c>
      <c r="M45" s="7" t="n">
        <v>2120</v>
      </c>
      <c r="N45" s="7">
        <f>IFERROR(XLOOKUP(A45,'Source Ledger'!$B$5:$B$133,'Source Ledger'!$G$5:$G$133),"")</f>
        <v>0</v>
      </c>
      <c r="O45" s="7">
        <f>IFERROR(XLOOKUP(A45,'Source Ledger'!$B$5:$B$133,'Source Ledger'!$A$5:$A$133),"")</f>
        <v/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Inventory line MD-00042: In Use, Atlanta, $520 — Dell U2723QE. Employee E0042 (Active) matches the register holder. Inbound stamp on TR-00042 is 01/24/2026, approval APR-00042. PO-2024-0007 in hardware_purchase_orders.csv; FAR silent on MD-00042.</t>
        </is>
      </c>
      <c r="L46" s="7" t="inlineStr">
        <is>
          <t>2026-08-05</t>
        </is>
      </c>
      <c r="M46" s="7" t="n">
        <v>520</v>
      </c>
      <c r="N46" s="7">
        <f>IFERROR(XLOOKUP(A46,'Source Ledger'!$B$5:$B$133,'Source Ledger'!$G$5:$G$133),"")</f>
        <v>306.16</v>
      </c>
      <c r="O46" s="7">
        <f>IFERROR(XLOOKUP(A46,'Source Ledger'!$B$5:$B$133,'Source Ledger'!$A$5:$A$133),"")</f>
        <v/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Looked up MD-00043 across CSV/XLSX inputs — In Use, Chicago. Employee E0043 (Active) matches the register holder. equipment_transfer_log TR-00043, approval APR-00043; received Mar 01, 2026. PO-2025-0008 in hardware_purchase_orders.csv; FAR silent on MD-00043.</t>
        </is>
      </c>
      <c r="L47" s="7" t="inlineStr">
        <is>
          <t>2026-08-05</t>
        </is>
      </c>
      <c r="M47" s="7" t="n">
        <v>995</v>
      </c>
      <c r="N47" s="7">
        <f>IFERROR(XLOOKUP(A47,'Source Ledger'!$B$5:$B$133,'Source Ledger'!$G$5:$G$133),"")</f>
        <v>673.55</v>
      </c>
      <c r="O47" s="7">
        <f>IFERROR(XLOOKUP(A47,'Source Ledger'!$B$5:$B$133,'Source Ledger'!$A$5:$A$133),"")</f>
        <v/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Verified In Use for MD-00044 at Dallas; acquisition $6290. Employee E0044 (Active) matches the register holder. TR-00044 ties to MD-00044; dock date 2026-03-31, approval APR-00044. PO-2025-0008 in hardware_purchase_orders.csv; FAR silent on MD-00044.</t>
        </is>
      </c>
      <c r="L48" s="7" t="inlineStr">
        <is>
          <t>2026-08-05</t>
        </is>
      </c>
      <c r="M48" s="7" t="n">
        <v>6290</v>
      </c>
      <c r="N48" s="7">
        <f>IFERROR(XLOOKUP(A48,'Source Ledger'!$B$5:$B$133,'Source Ledger'!$G$5:$G$133),"")</f>
        <v>1406.1</v>
      </c>
      <c r="O48" s="7">
        <f>IFERROR(XLOOKUP(A48,'Source Ledger'!$B$5:$B$133,'Source Ledger'!$A$5:$A$133),"")</f>
        <v/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MD-00045 reflects In Use at Denver (Dell Latitude 7440, $1985). Employee E0045 (Active) matches the register holder. TR-00045 for MD-00045 — received 05/03/2026, approval APR-00045. PO-2025-0008 in hardware_purchase_orders.csv; FAR silent on MD-00045.</t>
        </is>
      </c>
      <c r="L49" s="7" t="inlineStr">
        <is>
          <t>2026-08-05</t>
        </is>
      </c>
      <c r="M49" s="7" t="n">
        <v>1985</v>
      </c>
      <c r="N49" s="7">
        <f>IFERROR(XLOOKUP(A49,'Source Ledger'!$B$5:$B$133,'Source Ledger'!$G$5:$G$133),"")</f>
        <v>133.6</v>
      </c>
      <c r="O49" s="7">
        <f>IFERROR(XLOOKUP(A49,'Source Ledger'!$B$5:$B$133,'Source Ledger'!$A$5:$A$133),"")</f>
        <v/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Working conclusion for MD-00046: Available in New York ($700). Transfer TR-00046 shows receipt Jun 07, 2026, approval APR-00046. PO PO-2025-0008 on file; no matching FAR row for MD-00046.</t>
        </is>
      </c>
      <c r="L50" s="7" t="inlineStr">
        <is>
          <t>2026-05-24</t>
        </is>
      </c>
      <c r="M50" s="7" t="n">
        <v>700</v>
      </c>
      <c r="N50" s="7">
        <f>IFERROR(XLOOKUP(A50,'Source Ledger'!$B$5:$B$133,'Source Ledger'!$G$5:$G$133),"")</f>
        <v>460.82</v>
      </c>
      <c r="O50" s="7">
        <f>IFERROR(XLOOKUP(A50,'Source Ledger'!$B$5:$B$133,'Source Ledger'!$A$5:$A$133),"")</f>
        <v/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stays Available at Seattle (Samsung Galaxy S24, $1175). Inbound stamp on TR-00047 is 2026-07-10, approval APR-00047. PO PO-2025-0008 on file; no matching FAR row for MD-00047.</t>
        </is>
      </c>
      <c r="L51" s="7" t="inlineStr">
        <is>
          <t>2026-06-25</t>
        </is>
      </c>
      <c r="M51" s="7" t="n">
        <v>1175</v>
      </c>
      <c r="N51" s="7">
        <f>IFERROR(XLOOKUP(A51,'Source Ledger'!$B$5:$B$133,'Source Ledger'!$G$5:$G$133),"")</f>
        <v>930.51</v>
      </c>
      <c r="O51" s="7">
        <f>IFERROR(XLOOKUP(A51,'Source Ledger'!$B$5:$B$133,'Source Ledger'!$A$5:$A$133),"")</f>
        <v/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Atlanta: MD-00048 is Available; cost $6470. equipment_transfer_log TR-00048, approval APR-00048; received 01/24/2026. PO PO-2025-0008 on file; no matching FAR row for MD-00048.</t>
        </is>
      </c>
      <c r="L52" s="7" t="inlineStr">
        <is>
          <t>2026-01-02</t>
        </is>
      </c>
      <c r="M52" s="7" t="n">
        <v>6470</v>
      </c>
      <c r="N52" s="7">
        <f>IFERROR(XLOOKUP(A52,'Source Ledger'!$B$5:$B$133,'Source Ledger'!$G$5:$G$133),"")</f>
        <v>514.59</v>
      </c>
      <c r="O52" s="7">
        <f>IFERROR(XLOOKUP(A52,'Source Ledger'!$B$5:$B$133,'Source Ledger'!$A$5:$A$133),"")</f>
        <v/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Cost $1850 on MD-00049; Available at Chicago. TR-00049 ties to MD-00049; dock date Jan 23, 2026, approval APR-00049. Purchasing PO-2022-0009 without a capital line for MD-00049.</t>
        </is>
      </c>
      <c r="L53" s="7" t="inlineStr">
        <is>
          <t>2026-02-03</t>
        </is>
      </c>
      <c r="M53" s="7" t="n">
        <v>1850</v>
      </c>
      <c r="N53" s="7">
        <f>IFERROR(XLOOKUP(A53,'Source Ledger'!$B$5:$B$133,'Source Ledger'!$G$5:$G$133),"")</f>
        <v>0</v>
      </c>
      <c r="O53" s="7">
        <f>IFERROR(XLOOKUP(A53,'Source Ledger'!$B$5:$B$133,'Source Ledger'!$A$5:$A$133),"")</f>
        <v/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Asset row MD-00050: Available, Dallas, $565 — Dell U2723QE. equipment_transfer_log TR-00050, approval APR-00050; received 2026-02-23. PO PO-2022-0009 on file; no matching FAR row for MD-00050.</t>
        </is>
      </c>
      <c r="L54" s="7" t="inlineStr">
        <is>
          <t>2026-03-04</t>
        </is>
      </c>
      <c r="M54" s="7" t="n">
        <v>565</v>
      </c>
      <c r="N54" s="7">
        <f>IFERROR(XLOOKUP(A54,'Source Ledger'!$B$5:$B$133,'Source Ledger'!$G$5:$G$133),"")</f>
        <v>289.96</v>
      </c>
      <c r="O54" s="7">
        <f>IFERROR(XLOOKUP(A54,'Source Ledger'!$B$5:$B$133,'Source Ledger'!$A$5:$A$133),"")</f>
        <v/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Kept MD-00051 at Available in Denver; $1040 Samsung Galaxy S24. TR-00051 ties to MD-00051; dock date 03/31/2026, approval APR-00051. PO PO-2022-0009 on file; no matching FAR row for MD-00051.</t>
        </is>
      </c>
      <c r="L55" s="7" t="inlineStr">
        <is>
          <t>2026-04-05</t>
        </is>
      </c>
      <c r="M55" s="7" t="n">
        <v>1040</v>
      </c>
      <c r="N55" s="7">
        <f>IFERROR(XLOOKUP(A55,'Source Ledger'!$B$5:$B$133,'Source Ledger'!$G$5:$G$133),"")</f>
        <v>573.03</v>
      </c>
      <c r="O55" s="7">
        <f>IFERROR(XLOOKUP(A55,'Source Ledger'!$B$5:$B$133,'Source Ledger'!$A$5:$A$133),"")</f>
        <v/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reads Available at New York (Cisco C9300, $6335). TR-00052 for MD-00052 — received May 02, 2026, approval APR-00052. PO PO-2022-0009 on file; no matching FAR row for MD-00052.</t>
        </is>
      </c>
      <c r="L56" s="7" t="inlineStr">
        <is>
          <t>2026-05-06</t>
        </is>
      </c>
      <c r="M56" s="7" t="n">
        <v>6335</v>
      </c>
      <c r="N56" s="7">
        <f>IFERROR(XLOOKUP(A56,'Source Ledger'!$B$5:$B$133,'Source Ledger'!$G$5:$G$133),"")</f>
        <v>933.99</v>
      </c>
      <c r="O56" s="7">
        <f>IFERROR(XLOOKUP(A56,'Source Ledger'!$B$5:$B$133,'Source Ledger'!$A$5:$A$133),"")</f>
        <v/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Cross-file check left MD-00053 as Available (Seattle). Movement TR-00053 posted Jun 05, 2026 and inbound 2026-06-05, approval APR-00053. PO PO-2022-0009 on file; no matching FAR row for MD-00053.</t>
        </is>
      </c>
      <c r="L57" s="7" t="inlineStr">
        <is>
          <t>2026-06-07</t>
        </is>
      </c>
      <c r="M57" s="7" t="n">
        <v>2030</v>
      </c>
      <c r="N57" s="7">
        <f>IFERROR(XLOOKUP(A57,'Source Ledger'!$B$5:$B$133,'Source Ledger'!$G$5:$G$133),"")</f>
        <v>0</v>
      </c>
      <c r="O57" s="7">
        <f>IFERROR(XLOOKUP(A57,'Source Ledger'!$B$5:$B$133,'Source Ledger'!$A$5:$A$133),"")</f>
        <v/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No stronger file contradicted Available for MD-00054 at Atlanta. Log TR-00054: received 01/16/2026, approval APR-00054. PO PO-2022-0009 on file; no matching FAR row for MD-00054.</t>
        </is>
      </c>
      <c r="L58" s="7" t="inlineStr">
        <is>
          <t>2026-01-08</t>
        </is>
      </c>
      <c r="M58" s="7" t="n">
        <v>745</v>
      </c>
      <c r="N58" s="7">
        <f>IFERROR(XLOOKUP(A58,'Source Ledger'!$B$5:$B$133,'Source Ledger'!$G$5:$G$133),"")</f>
        <v>433.74</v>
      </c>
      <c r="O58" s="7">
        <f>IFERROR(XLOOKUP(A58,'Source Ledger'!$B$5:$B$133,'Source Ledger'!$A$5:$A$133),"")</f>
        <v/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MD-00055 sits Available at Chicago (Samsung Galaxy S24, $1220). Assignment TR-00055; receive column Feb 12, 2026, approval APR-00055. Purchasing PO-2023-0010 without a capital line for MD-00055.</t>
        </is>
      </c>
      <c r="L59" s="7" t="inlineStr">
        <is>
          <t>2026-02-09</t>
        </is>
      </c>
      <c r="M59" s="7" t="n">
        <v>1220</v>
      </c>
      <c r="N59" s="7">
        <f>IFERROR(XLOOKUP(A59,'Source Ledger'!$B$5:$B$133,'Source Ledger'!$G$5:$G$133),"")</f>
        <v>812.5</v>
      </c>
      <c r="O59" s="7">
        <f>IFERROR(XLOOKUP(A59,'Source Ledger'!$B$5:$B$133,'Source Ledger'!$A$5:$A$133),"")</f>
        <v/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Available / Dallas on MD-00056 (Cisco C9300, $6200) per cited files. TR-00056 ties to MD-00056; dock date 2026-03-16, approval APR-00056. PO-2023-0010 in hardware_purchase_orders.csv; FAR silent on MD-00056.</t>
        </is>
      </c>
      <c r="L60" s="7" t="inlineStr">
        <is>
          <t>2026-03-10</t>
        </is>
      </c>
      <c r="M60" s="7" t="n">
        <v>6200</v>
      </c>
      <c r="N60" s="7">
        <f>IFERROR(XLOOKUP(A60,'Source Ledger'!$B$5:$B$133,'Source Ledger'!$G$5:$G$133),"")</f>
        <v>1345.24</v>
      </c>
      <c r="O60" s="7">
        <f>IFERROR(XLOOKUP(A60,'Source Ledger'!$B$5:$B$133,'Source Ledger'!$A$5:$A$133),"")</f>
        <v/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lists Available at Denver (Dell Latitude 7440, $1895). TR-00057 for MD-00057 — received 04/24/2026, approval APR-00057. PO-2023-0010 in hardware_purchase_orders.csv; FAR silent on MD-00057.</t>
        </is>
      </c>
      <c r="L61" s="7" t="inlineStr">
        <is>
          <t>2026-04-11</t>
        </is>
      </c>
      <c r="M61" s="7" t="n">
        <v>1895</v>
      </c>
      <c r="N61" s="7">
        <f>IFERROR(XLOOKUP(A61,'Source Ledger'!$B$5:$B$133,'Source Ledger'!$G$5:$G$133),"")</f>
        <v>106.79</v>
      </c>
      <c r="O61" s="7">
        <f>IFERROR(XLOOKUP(A61,'Source Ledger'!$B$5:$B$133,'Source Ledger'!$A$5:$A$133),"")</f>
        <v/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Read MD-00058 against transfers before signing Pending Redeployment / New York. Movement TR-00058 posted 05/22/2026 and inbound May 23, 2026, approval field blank. PO-2023-0010 in hardware_purchase_orders.csv; FAR silent on MD-00058. Also: offboarding ticket OFF-00058 referenced.</t>
        </is>
      </c>
      <c r="L62" s="7" t="inlineStr">
        <is>
          <t>2026-08-05</t>
        </is>
      </c>
      <c r="M62" s="7" t="n">
        <v>610</v>
      </c>
      <c r="N62" s="7">
        <f>IFERROR(XLOOKUP(A62,'Source Ledger'!$B$5:$B$133,'Source Ledger'!$G$5:$G$133),"")</f>
        <v>397.56</v>
      </c>
      <c r="O62" s="7">
        <f>IFERROR(XLOOKUP(A62,'Source Ledger'!$B$5:$B$133,'Source Ledger'!$A$5:$A$133),"")</f>
        <v/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I read the movement and people files before calling MD-00059 Pending Redeployment. Log TR-00059: received 2026-06-26, approval field blank. PO-2023-0010 in hardware_purchase_orders.csv; FAR silent on MD-00059. Also: offboarding ticket OFF-00059 referenced.</t>
        </is>
      </c>
      <c r="L63" s="7" t="inlineStr">
        <is>
          <t>2026-08-05</t>
        </is>
      </c>
      <c r="M63" s="7" t="n">
        <v>1085</v>
      </c>
      <c r="N63" s="7">
        <f>IFERROR(XLOOKUP(A63,'Source Ledger'!$B$5:$B$133,'Source Ledger'!$G$5:$G$133),"")</f>
        <v>847.35</v>
      </c>
      <c r="O63" s="7">
        <f>IFERROR(XLOOKUP(A63,'Source Ledger'!$B$5:$B$133,'Source Ledger'!$A$5:$A$133),"")</f>
        <v/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The cited records support Pending Redeployment in Atlanta for MD-00060. Movement TR-00060 posted 2026-01-30 and inbound 02/02/2026, approval APR-00060. Purchasing PO-2023-0010 without a capital line for MD-00060. Also: offboarding ticket OFF-00060 referenced.</t>
        </is>
      </c>
      <c r="L64" s="7" t="inlineStr">
        <is>
          <t>2026-08-05</t>
        </is>
      </c>
      <c r="M64" s="7" t="n">
        <v>6380</v>
      </c>
      <c r="N64" s="7">
        <f>IFERROR(XLOOKUP(A64,'Source Ledger'!$B$5:$B$133,'Source Ledger'!$G$5:$G$133),"")</f>
        <v>549.35</v>
      </c>
      <c r="O64" s="7">
        <f>IFERROR(XLOOKUP(A64,'Source Ledger'!$B$5:$B$133,'Source Ledger'!$A$5:$A$133),"")</f>
        <v/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Chicago holds MD-00061 (Lenovo ThinkPad T14) as Pending Redeployment. Log TR-00061: received Feb 03, 2026, approval APR-00061. Purchasing PO-2024-0011 without a capital line for MD-00061. Also: offboarding ticket OFF-00061 referenced.</t>
        </is>
      </c>
      <c r="L65" s="7" t="inlineStr">
        <is>
          <t>2026-08-05</t>
        </is>
      </c>
      <c r="M65" s="7" t="n">
        <v>2075</v>
      </c>
      <c r="N65" s="7">
        <f>IFERROR(XLOOKUP(A65,'Source Ledger'!$B$5:$B$133,'Source Ledger'!$G$5:$G$133),"")</f>
        <v>0</v>
      </c>
      <c r="O65" s="7">
        <f>IFERROR(XLOOKUP(A65,'Source Ledger'!$B$5:$B$133,'Source Ledger'!$A$5:$A$133),"")</f>
        <v/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(Dell U2723QE) closed Pending Redeployment / Dallas on $790. Assignment TR-00062; receive column 2026-03-07, approval APR-00062. Purchasing PO-2024-0011 without a capital line for MD-00062. Also: offboarding ticket OFF-00062 referenced.</t>
        </is>
      </c>
      <c r="L66" s="7" t="inlineStr">
        <is>
          <t>2026-08-05</t>
        </is>
      </c>
      <c r="M66" s="7" t="n">
        <v>790</v>
      </c>
      <c r="N66" s="7">
        <f>IFERROR(XLOOKUP(A66,'Source Ledger'!$B$5:$B$133,'Source Ledger'!$G$5:$G$133),"")</f>
        <v>410.63</v>
      </c>
      <c r="O66" s="7">
        <f>IFERROR(XLOOKUP(A66,'Source Ledger'!$B$5:$B$133,'Source Ledger'!$A$5:$A$133),"")</f>
        <v/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Assignment trail and HR both fit Pending Redeployment for MD-00063 in Denver. Transfer TR-00063 shows receipt 04/16/2026, approval APR-00063. Purchasing PO-2024-0011 without a capital line for MD-00063. Also: offboarding ticket OFF-00063 referenced.</t>
        </is>
      </c>
      <c r="L67" s="7" t="inlineStr">
        <is>
          <t>2026-08-05</t>
        </is>
      </c>
      <c r="M67" s="7" t="n">
        <v>950</v>
      </c>
      <c r="N67" s="7">
        <f>IFERROR(XLOOKUP(A67,'Source Ledger'!$B$5:$B$133,'Source Ledger'!$G$5:$G$133),"")</f>
        <v>533.85</v>
      </c>
      <c r="O67" s="7">
        <f>IFERROR(XLOOKUP(A67,'Source Ledger'!$B$5:$B$133,'Source Ledger'!$A$5:$A$133),"")</f>
        <v/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Cross-file check left MD-00064 as Pending Redeployment (New York). Inbound stamp on TR-00064 is May 14, 2026, approval field blank. Purchasing PO-2024-0011 without a capital line for MD-00064. Also: offboarding ticket OFF-00064 referenced.</t>
        </is>
      </c>
      <c r="L68" s="7" t="inlineStr">
        <is>
          <t>2026-08-05</t>
        </is>
      </c>
      <c r="M68" s="7" t="n">
        <v>6245</v>
      </c>
      <c r="N68" s="7">
        <f>IFERROR(XLOOKUP(A68,'Source Ledger'!$B$5:$B$133,'Source Ledger'!$G$5:$G$133),"")</f>
        <v>961.76</v>
      </c>
      <c r="O68" s="7">
        <f>IFERROR(XLOOKUP(A68,'Source Ledger'!$B$5:$B$133,'Source Ledger'!$A$5:$A$133),"")</f>
        <v/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still Pending Redeployment; Seattle is the verified site. equipment_transfer_log TR-00065, approval field blank; received 2026-06-23. Purchasing PO-2024-0011 without a capital line for MD-00065. Also: offboarding ticket OFF-00065 referenced.</t>
        </is>
      </c>
      <c r="L69" s="7" t="inlineStr">
        <is>
          <t>2026-08-05</t>
        </is>
      </c>
      <c r="M69" s="7" t="n">
        <v>1940</v>
      </c>
      <c r="N69" s="7">
        <f>IFERROR(XLOOKUP(A69,'Source Ledger'!$B$5:$B$133,'Source Ledger'!$G$5:$G$133),"")</f>
        <v>0</v>
      </c>
      <c r="O69" s="7">
        <f>IFERROR(XLOOKUP(A69,'Source Ledger'!$B$5:$B$133,'Source Ledger'!$A$5:$A$133),"")</f>
        <v/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Dell U2723QE on MD-00066 is Pending Redeployment in Atlanta office; basis $655. Log TR-00066: received 01/25/2026, approval APR-00066. PO-2024-0011 in hardware_purchase_orders.csv; FAR silent on MD-00066. Also: offboarding ticket OFF-00066 referenced.</t>
        </is>
      </c>
      <c r="L70" s="7" t="inlineStr">
        <is>
          <t>2026-08-05</t>
        </is>
      </c>
      <c r="M70" s="7" t="n">
        <v>655</v>
      </c>
      <c r="N70" s="7">
        <f>IFERROR(XLOOKUP(A70,'Source Ledger'!$B$5:$B$133,'Source Ledger'!$G$5:$G$133),"")</f>
        <v>385.65</v>
      </c>
      <c r="O70" s="7">
        <f>IFERROR(XLOOKUP(A70,'Source Ledger'!$B$5:$B$133,'Source Ledger'!$A$5:$A$133),"")</f>
        <v/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Looked up MD-00067 across CSV/XLSX inputs — Pending Redeployment, Chicago. Assignment TR-00067; receive column Feb 23, 2026, approval APR-00067. PO-2025-0012 in hardware_purchase_orders.csv; FAR silent on MD-00067. Also: offboarding ticket OFF-00067 referenced.</t>
        </is>
      </c>
      <c r="L71" s="7" t="inlineStr">
        <is>
          <t>2026-08-05</t>
        </is>
      </c>
      <c r="M71" s="7" t="n">
        <v>1130</v>
      </c>
      <c r="N71" s="7">
        <f>IFERROR(XLOOKUP(A71,'Source Ledger'!$B$5:$B$133,'Source Ledger'!$G$5:$G$133),"")</f>
        <v>764.93</v>
      </c>
      <c r="O71" s="7">
        <f>IFERROR(XLOOKUP(A71,'Source Ledger'!$B$5:$B$133,'Source Ledger'!$A$5:$A$133),"")</f>
        <v/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764.93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MD-00068: Cisco C9300, $6425, status Return Overdue, site Remote - Former Employee. Employment file: E0081 remains Separated. Transfer TR-00068 shows receipt 2026-04-03, approval APR-00068. PO-2025-0012 in hardware_purchase_orders.csv; FAR silent on MD-00068. Also: carrier label 1ZMD00000068 is not proof of receipt. Note — offboarding ticket OFF-00068 referenced. return still label-only per shipment file.</t>
        </is>
      </c>
      <c r="L72" s="7" t="inlineStr">
        <is>
          <t>2026-06-25</t>
        </is>
      </c>
      <c r="M72" s="7" t="n">
        <v>6425</v>
      </c>
      <c r="N72" s="7">
        <f>IFERROR(XLOOKUP(A72,'Source Ledger'!$B$5:$B$133,'Source Ledger'!$G$5:$G$133),"")</f>
        <v>1436.28</v>
      </c>
      <c r="O72" s="7">
        <f>IFERROR(XLOOKUP(A72,'Source Ledger'!$B$5:$B$133,'Source Ledger'!$A$5:$A$133),"")</f>
        <v/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MD-00069 carries Return Overdue at Remote - Former Employee (Dell Latitude 7440, $2120). Employment file: E0082 remains Separated. Inbound stamp on TR-00069 is 05/04/2026, approval APR-00069. PO-2025-0012 in hardware_purchase_orders.csv; FAR silent on MD-00069. Also: carrier label 1ZMD00000069 is not proof of receipt. Note — offboarding ticket OFF-00069 referenced. return still label-only per shipment file.</t>
        </is>
      </c>
      <c r="L73" s="7" t="inlineStr">
        <is>
          <t>2026-06-25</t>
        </is>
      </c>
      <c r="M73" s="7" t="n">
        <v>2120</v>
      </c>
      <c r="N73" s="7">
        <f>IFERROR(XLOOKUP(A73,'Source Ledger'!$B$5:$B$133,'Source Ledger'!$G$5:$G$133),"")</f>
        <v>142.69</v>
      </c>
      <c r="O73" s="7">
        <f>IFERROR(XLOOKUP(A73,'Source Ledger'!$B$5:$B$133,'Source Ledger'!$A$5:$A$133),"")</f>
        <v/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stays Return Overdue at Remote - Former Employee (Dell U2723QE, $520). HR agrees Hugh Talbot (E0083) is still Separated. Transfer TR-00070 shows receipt Jun 03, 2026, approval APR-00070. Purchasing PO-2025-0012 without a capital line for MD-00070. Also: carrier label 1ZMD00000070 is not proof of receipt. Note — offboarding ticket OFF-00070 referenced. return still label-only per shipment file.</t>
        </is>
      </c>
      <c r="L74" s="7" t="inlineStr">
        <is>
          <t>2026-06-25</t>
        </is>
      </c>
      <c r="M74" s="7" t="n">
        <v>520</v>
      </c>
      <c r="N74" s="7">
        <f>IFERROR(XLOOKUP(A74,'Source Ledger'!$B$5:$B$133,'Source Ledger'!$G$5:$G$133),"")</f>
        <v>342.32</v>
      </c>
      <c r="O74" s="7">
        <f>IFERROR(XLOOKUP(A74,'Source Ledger'!$B$5:$B$133,'Source Ledger'!$A$5:$A$133),"")</f>
        <v/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After HR and transfer review, MD-00071 is Return Overdue in Remote - Former Employee. HR agrees Mira Adelman (E0084) is still Separated. Inbound stamp on TR-00071 is 2026-07-12, approval APR-00071. Purchasing PO-2025-0012 without a capital line for MD-00071. Also: carrier label 1ZMD00000071 is not proof of receipt. Note — offboarding ticket OFF-00071 referenced. return still label-only per shipment file.</t>
        </is>
      </c>
      <c r="L75" s="7" t="inlineStr">
        <is>
          <t>2026-06-25</t>
        </is>
      </c>
      <c r="M75" s="7" t="n">
        <v>995</v>
      </c>
      <c r="N75" s="7">
        <f>IFERROR(XLOOKUP(A75,'Source Ledger'!$B$5:$B$133,'Source Ledger'!$G$5:$G$133),"")</f>
        <v>787.96</v>
      </c>
      <c r="O75" s="7">
        <f>IFERROR(XLOOKUP(A75,'Source Ledger'!$B$5:$B$133,'Source Ledger'!$A$5:$A$133),"")</f>
        <v/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MD-00072 reflects Return Overdue at Remote - Former Employee (Cisco C9300, $6290). HR agrees Quincy Rhodes (E0085) is still Separated. equipment_transfer_log TR-00072, approval APR-00072; received 01/18/2026. Purchasing PO-2025-0012 without a capital line for MD-00072. Also: carrier label 1ZMD00000072 is not proof of receipt. Note — offboarding ticket OFF-00072 referenced. return still label-only per shipment file.</t>
        </is>
      </c>
      <c r="L76" s="7" t="inlineStr">
        <is>
          <t>2026-06-25</t>
        </is>
      </c>
      <c r="M76" s="7" t="n">
        <v>6290</v>
      </c>
      <c r="N76" s="7">
        <f>IFERROR(XLOOKUP(A76,'Source Ledger'!$B$5:$B$133,'Source Ledger'!$G$5:$G$133),"")</f>
        <v>500.27</v>
      </c>
      <c r="O76" s="7">
        <f>IFERROR(XLOOKUP(A76,'Source Ledger'!$B$5:$B$133,'Source Ledger'!$A$5:$A$133),"")</f>
        <v/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Did not move MD-00073 off Return Overdue at Remote - Former Employee without a transaction. HR agrees Sloane Richter (E0086) is still Separated. TR-00073 ties to MD-00073; dock date Jan 24, 2026, approval APR-00073. PO-2022-0013 in hardware_purchase_orders.csv; FAR silent on MD-00073. Also: carrier label 1ZMD00000073 is not proof of receipt. Note — offboarding ticket OFF-00073 referenced. return still label-only per shipment file.</t>
        </is>
      </c>
      <c r="L77" s="7" t="inlineStr">
        <is>
          <t>2026-06-25</t>
        </is>
      </c>
      <c r="M77" s="7" t="n">
        <v>1985</v>
      </c>
      <c r="N77" s="7">
        <f>IFERROR(XLOOKUP(A77,'Source Ledger'!$B$5:$B$133,'Source Ledger'!$G$5:$G$133),"")</f>
        <v>0</v>
      </c>
      <c r="O77" s="7">
        <f>IFERROR(XLOOKUP(A77,'Source Ledger'!$B$5:$B$133,'Source Ledger'!$A$5:$A$133),"")</f>
        <v/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MD-00074 lists Return Overdue at Carrier Network / Unverified (Dell U2723QE, $700). HR agrees Nolan Vega (E0087) is still Separated. TR-00074 for MD-00074 — received 2026-02-24, approval APR-00074. PO-2022-0013 in hardware_purchase_orders.csv; FAR silent on MD-00074. Also: carrier label 1ZMD00000074 is not proof of receipt. Note — offboarding ticket OFF-00074 referenced. return still label-only per shipment file. shipment serial MISMATCH-0074 vs register MD-MO-050074.</t>
        </is>
      </c>
      <c r="L78" s="7" t="inlineStr">
        <is>
          <t>2026-06-25</t>
        </is>
      </c>
      <c r="M78" s="7" t="n">
        <v>700</v>
      </c>
      <c r="N78" s="7">
        <f>IFERROR(XLOOKUP(A78,'Source Ledger'!$B$5:$B$133,'Source Ledger'!$G$5:$G$133),"")</f>
        <v>359.25</v>
      </c>
      <c r="O78" s="7">
        <f>IFERROR(XLOOKUP(A78,'Source Ledger'!$B$5:$B$133,'Source Ledger'!$A$5:$A$133),"")</f>
        <v/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Remote - Former Employee: MD-00075 is Return Overdue; cost $1175. HR agrees Ivy Chenoweth (E0088) is still Separated. Movement TR-00075 posted 2026-03-31 and inbound 04/01/2026, approval APR-00075. PO-2022-0013 in hardware_purchase_orders.csv; FAR silent on MD-00075. Also: carrier label 1ZMD00000075 is not proof of receipt. Note — offboarding ticket OFF-00075 referenced. return still label-only per shipment file.</t>
        </is>
      </c>
      <c r="L79" s="7" t="inlineStr">
        <is>
          <t>2026-06-25</t>
        </is>
      </c>
      <c r="M79" s="7" t="n">
        <v>1175</v>
      </c>
      <c r="N79" s="7">
        <f>IFERROR(XLOOKUP(A79,'Source Ledger'!$B$5:$B$133,'Source Ledger'!$G$5:$G$133),"")</f>
        <v>647.42</v>
      </c>
      <c r="O79" s="7">
        <f>IFERROR(XLOOKUP(A79,'Source Ledger'!$B$5:$B$133,'Source Ledger'!$A$5:$A$133),"")</f>
        <v/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reads Return Overdue at Carrier Network / Unverified (Cisco C9300, $6470). HR agrees Percy Lambert (E0089) is still Separated. Inbound stamp on TR-00076 is May 03, 2026, approval APR-00076. PO PO-2022-0013 on file; no matching FAR row for MD-00076. Also: carrier label 1ZMD00000076 is not proof of receipt. Note — offboarding ticket OFF-00076 referenced. return still label-only per shipment file. shipment serial MISMATCH-0076 vs register MD-NE-050076.</t>
        </is>
      </c>
      <c r="L80" s="7" t="inlineStr">
        <is>
          <t>2026-06-25</t>
        </is>
      </c>
      <c r="M80" s="7" t="n">
        <v>6470</v>
      </c>
      <c r="N80" s="7">
        <f>IFERROR(XLOOKUP(A80,'Source Ledger'!$B$5:$B$133,'Source Ledger'!$G$5:$G$133),"")</f>
        <v>953.89</v>
      </c>
      <c r="O80" s="7">
        <f>IFERROR(XLOOKUP(A80,'Source Ledger'!$B$5:$B$133,'Source Ledger'!$A$5:$A$133),"")</f>
        <v/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The cited records support Return Overdue in Remote - Former Employee for MD-00077. Employment file: E0090 remains Separated. equipment_transfer_log TR-00077, approval APR-00077; received 2026-06-06. PO PO-2022-0013 on file; no matching FAR row for MD-00077. Also: carrier label 1ZMD00000077 is not proof of receipt. Note — offboarding ticket OFF-00077 referenced. return still label-only per shipment file.</t>
        </is>
      </c>
      <c r="L81" s="7" t="inlineStr">
        <is>
          <t>2026-06-25</t>
        </is>
      </c>
      <c r="M81" s="7" t="n">
        <v>1850</v>
      </c>
      <c r="N81" s="7">
        <f>IFERROR(XLOOKUP(A81,'Source Ledger'!$B$5:$B$133,'Source Ledger'!$G$5:$G$133),"")</f>
        <v>0</v>
      </c>
      <c r="O81" s="7">
        <f>IFERROR(XLOOKUP(A81,'Source Ledger'!$B$5:$B$133,'Source Ledger'!$A$5:$A$133),"")</f>
        <v/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Remote - Former Employee holds MD-00078 (Dell U2723QE) as Return Overdue. Employment file: E0091 remains Separated. TR-00078 ties to MD-00078; dock date 01/10/2026, approval APR-00078. PO PO-2022-0013 on file; no matching FAR row for MD-00078. Also: carrier label 1ZMD00000078 is not proof of receipt. Note — offboarding ticket OFF-00078 referenced. return still label-only per shipment file.</t>
        </is>
      </c>
      <c r="L82" s="7" t="inlineStr">
        <is>
          <t>2026-06-25</t>
        </is>
      </c>
      <c r="M82" s="7" t="n">
        <v>565</v>
      </c>
      <c r="N82" s="7">
        <f>IFERROR(XLOOKUP(A82,'Source Ledger'!$B$5:$B$133,'Source Ledger'!$G$5:$G$133),"")</f>
        <v>328.95</v>
      </c>
      <c r="O82" s="7">
        <f>IFERROR(XLOOKUP(A82,'Source Ledger'!$B$5:$B$133,'Source Ledger'!$A$5:$A$133),"")</f>
        <v/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(Samsung Galaxy S24) closed Return Overdue / Remote - Former Employee on $1040. Employment file: E0092 remains Separated. TR-00079 for MD-00079 — received Feb 13, 2026, approval APR-00079. PO PO-2023-0014 on file; no matching FAR row for MD-00079. Also: carrier label 1ZMD00000079 is not proof of receipt. Note — offboarding ticket OFF-00079 referenced. return still label-only per shipment file.</t>
        </is>
      </c>
      <c r="L83" s="7" t="inlineStr">
        <is>
          <t>2026-06-25</t>
        </is>
      </c>
      <c r="M83" s="7" t="n">
        <v>1040</v>
      </c>
      <c r="N83" s="7">
        <f>IFERROR(XLOOKUP(A83,'Source Ledger'!$B$5:$B$133,'Source Ledger'!$G$5:$G$133),"")</f>
        <v>692.62</v>
      </c>
      <c r="O83" s="7">
        <f>IFERROR(XLOOKUP(A83,'Source Ledger'!$B$5:$B$133,'Source Ledger'!$A$5:$A$133),"")</f>
        <v/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Atlanta Warehouse holds MD-00080 (Cisco C9300) as Available. TR-00080 ties to MD-00080; dock date 2026-03-17, approval APR-00080. PO-2023-0014 in hardware_purchase_orders.csv; FAR silent on MD-00080. Also: carrier label 1ZMD00000080 is not proof of receipt. Note — offboarding ticket OFF-00080 referenced.</t>
        </is>
      </c>
      <c r="L84" s="7" t="inlineStr">
        <is>
          <t>2026-07-07</t>
        </is>
      </c>
      <c r="M84" s="7" t="n">
        <v>6335</v>
      </c>
      <c r="N84" s="7">
        <f>IFERROR(XLOOKUP(A84,'Source Ledger'!$B$5:$B$133,'Source Ledger'!$G$5:$G$133),"")</f>
        <v>1374.53</v>
      </c>
      <c r="O84" s="7">
        <f>IFERROR(XLOOKUP(A84,'Source Ledger'!$B$5:$B$133,'Source Ledger'!$A$5:$A$133),"")</f>
        <v/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Dell Latitude 7440 on MD-00081 is Available in floor Atlanta Warehouse; basis $2030. TR-00081 for MD-00081 — received 04/20/2026, approval APR-00081. PO-2023-0014 in hardware_purchase_orders.csv; FAR silent on MD-00081. Also: carrier label 1ZMD00000081 is not proof of receipt. Note — offboarding ticket OFF-00081 referenced.</t>
        </is>
      </c>
      <c r="L85" s="7" t="inlineStr">
        <is>
          <t>2026-07-07</t>
        </is>
      </c>
      <c r="M85" s="7" t="n">
        <v>2030</v>
      </c>
      <c r="N85" s="7">
        <f>IFERROR(XLOOKUP(A85,'Source Ledger'!$B$5:$B$133,'Source Ledger'!$G$5:$G$133),"")</f>
        <v>114.4</v>
      </c>
      <c r="O85" s="7">
        <f>IFERROR(XLOOKUP(A85,'Source Ledger'!$B$5:$B$133,'Source Ledger'!$A$5:$A$133),"")</f>
        <v/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Field review: MD-00082 In Transit - Exception @ Carrier Network / Unverified. HR agrees Emmett Boyle (E0095) is still Separated. Movement TR-00082 posted 05/22/2026 and inbound May 24, 2026, approval APR-00082. PO-2023-0014 in hardware_purchase_orders.csv; FAR silent on MD-00082. Also: carrier label 1ZMD00000082 is not proof of receipt. Note — offboarding ticket OFF-00082 referenced. shipment serial MISMATCH-0082 vs register MD-MO-050082. receiving_exception_scan_1ZMD00000082.png treated as investigative lead only.</t>
        </is>
      </c>
      <c r="L86" s="7" t="inlineStr">
        <is>
          <t>2026-07-02</t>
        </is>
      </c>
      <c r="M86" s="7" t="n">
        <v>745</v>
      </c>
      <c r="N86" s="7">
        <f>IFERROR(XLOOKUP(A86,'Source Ledger'!$B$5:$B$133,'Source Ledger'!$G$5:$G$133),"")</f>
        <v>485.55</v>
      </c>
      <c r="O86" s="7">
        <f>IFERROR(XLOOKUP(A86,'Source Ledger'!$B$5:$B$133,'Source Ledger'!$A$5:$A$133),"")</f>
        <v/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MD-00083 remains Available at Atlanta Warehouse (Samsung Galaxy S24, $1220). Log TR-00083: received 2026-06-27, approval APR-00083. PO-2023-0014 in hardware_purchase_orders.csv; FAR silent on MD-00083. Also: carrier label 1ZMD00000083 is not proof of receipt. Note — offboarding ticket OFF-00083 referenced.</t>
        </is>
      </c>
      <c r="L87" s="7" t="inlineStr">
        <is>
          <t>2026-07-07</t>
        </is>
      </c>
      <c r="M87" s="7" t="n">
        <v>1220</v>
      </c>
      <c r="N87" s="7">
        <f>IFERROR(XLOOKUP(A87,'Source Ledger'!$B$5:$B$133,'Source Ledger'!$G$5:$G$133),"")</f>
        <v>952.79</v>
      </c>
      <c r="O87" s="7">
        <f>IFERROR(XLOOKUP(A87,'Source Ledger'!$B$5:$B$133,'Source Ledger'!$A$5:$A$133),"")</f>
        <v/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Carrier Network / Unverified: MD-00084 is In Transit - Exception; cost $6200. Anita Bose has Separated status in the people extract. Assignment TR-00084; receive column 02/05/2026, approval APR-00084. PO-2023-0014 in hardware_purchase_orders.csv; FAR silent on MD-00084. Also: carrier label 1ZMD00000084 is not proof of receipt. Note — offboarding ticket OFF-00084 referenced. shipment serial MISMATCH-0084 vs register MD-NE-050084.</t>
        </is>
      </c>
      <c r="L88" s="7" t="inlineStr">
        <is>
          <t>2026-07-02</t>
        </is>
      </c>
      <c r="M88" s="7" t="n">
        <v>6200</v>
      </c>
      <c r="N88" s="7">
        <f>IFERROR(XLOOKUP(A88,'Source Ledger'!$B$5:$B$133,'Source Ledger'!$G$5:$G$133),"")</f>
        <v>533.85</v>
      </c>
      <c r="O88" s="7">
        <f>IFERROR(XLOOKUP(A88,'Source Ledger'!$B$5:$B$133,'Source Ledger'!$A$5:$A$133),"")</f>
        <v/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MD-00085 still Available; Atlanta Warehouse is the verified site. Transfer TR-00085 shows receipt Feb 03, 2026, approval APR-00085. PO-2024-0015 in hardware_purchase_orders.csv; FAR silent on MD-00085. Also: carrier label 1ZMD00000085 is not proof of receipt. Note — offboarding ticket OFF-00085 referenced.</t>
        </is>
      </c>
      <c r="L89" s="7" t="inlineStr">
        <is>
          <t>2026-07-07</t>
        </is>
      </c>
      <c r="M89" s="7" t="n">
        <v>1895</v>
      </c>
      <c r="N89" s="7">
        <f>IFERROR(XLOOKUP(A89,'Source Ledger'!$B$5:$B$133,'Source Ledger'!$G$5:$G$133),"")</f>
        <v>0</v>
      </c>
      <c r="O89" s="7">
        <f>IFERROR(XLOOKUP(A89,'Source Ledger'!$B$5:$B$133,'Source Ledger'!$A$5:$A$133),"")</f>
        <v/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Dell U2723QE on MD-00086 is Available in Atlanta Warehouse office; basis $610. TR-00086 for MD-00086 — received 2026-03-08, approval APR-00086. PO PO-2024-0015 on file; no matching FAR row for MD-00086. Also: carrier label 1ZMD00000086 is not proof of receipt. Note — offboarding ticket OFF-00086 referenced.</t>
        </is>
      </c>
      <c r="L90" s="7" t="inlineStr">
        <is>
          <t>2026-07-07</t>
        </is>
      </c>
      <c r="M90" s="7" t="n">
        <v>610</v>
      </c>
      <c r="N90" s="7">
        <f>IFERROR(XLOOKUP(A90,'Source Ledger'!$B$5:$B$133,'Source Ledger'!$G$5:$G$133),"")</f>
        <v>317.07</v>
      </c>
      <c r="O90" s="7">
        <f>IFERROR(XLOOKUP(A90,'Source Ledger'!$B$5:$B$133,'Source Ledger'!$A$5:$A$133),"")</f>
        <v/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MD-00087: Available in Atlanta Warehouse ($1085). Movement TR-00087 posted 2026-04-12 and inbound 04/12/2026, approval APR-00087. PO PO-2024-0015 on file; no matching FAR row for MD-00087. Also: carrier label 1ZMD00000087 is not proof of receipt. Note — offboarding ticket OFF-00087 referenced.</t>
        </is>
      </c>
      <c r="L91" s="7" t="inlineStr">
        <is>
          <t>2026-07-07</t>
        </is>
      </c>
      <c r="M91" s="7" t="n">
        <v>1085</v>
      </c>
      <c r="N91" s="7">
        <f>IFERROR(XLOOKUP(A91,'Source Ledger'!$B$5:$B$133,'Source Ledger'!$G$5:$G$133),"")</f>
        <v>609.71</v>
      </c>
      <c r="O91" s="7">
        <f>IFERROR(XLOOKUP(A91,'Source Ledger'!$B$5:$B$133,'Source Ledger'!$A$5:$A$133),"")</f>
        <v/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MD-00088 stays Available at Atlanta Warehouse (Cisco C9300, $6380). Log TR-00088: received May 14, 2026, approval APR-00088. PO PO-2024-0015 on file; no matching FAR row for MD-00088. Also: carrier label 1ZMD00000088 is not proof of receipt. Note — offboarding ticket OFF-00088 referenced. duplicate serial MD-NE-050088 flagged on the register.</t>
        </is>
      </c>
      <c r="L92" s="7" t="inlineStr">
        <is>
          <t>2026-07-07</t>
        </is>
      </c>
      <c r="M92" s="7" t="n">
        <v>6380</v>
      </c>
      <c r="N92" s="7">
        <f>IFERROR(XLOOKUP(A92,'Source Ledger'!$B$5:$B$133,'Source Ledger'!$G$5:$G$133),"")</f>
        <v>982.55</v>
      </c>
      <c r="O92" s="7">
        <f>IFERROR(XLOOKUP(A92,'Source Ledger'!$B$5:$B$133,'Source Ledger'!$A$5:$A$133),"")</f>
        <v/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Corrected row MD-00089: Missing, Unknown, $2075 — MacBook Pro 14. Jonah Freedman has Separated status in the people extract. Assignment TR-00089; receive column 2026-06-17, approval APR-00089. PO PO-2024-0015 on file; no matching FAR row for MD-00089. Also: offboarding ticket OFF-00089 referenced. Note — last operational site on register was Denver - Closed.</t>
        </is>
      </c>
      <c r="L93" s="7" t="inlineStr">
        <is>
          <t>2026-06-18</t>
        </is>
      </c>
      <c r="M93" s="7" t="n">
        <v>2075</v>
      </c>
      <c r="N93" s="7">
        <f>IFERROR(XLOOKUP(A93,'Source Ledger'!$B$5:$B$133,'Source Ledger'!$G$5:$G$133),"")</f>
        <v>0</v>
      </c>
      <c r="O93" s="7">
        <f>IFERROR(XLOOKUP(A93,'Source Ledger'!$B$5:$B$133,'Source Ledger'!$A$5:$A$133),"")</f>
        <v/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I read the movement and people files before calling MD-00090 Missing. People side — Regina Lowe (E0078), Separated. Log TR-00090: received 01/28/2026, approval APR-00090. PO-2024-0015 in hardware_purchase_orders.csv; FAR silent on MD-00090. Also: offboarding ticket OFF-00090 referenced. Note — last operational site on register was Chicago - Closed.</t>
        </is>
      </c>
      <c r="L94" s="7" t="inlineStr">
        <is>
          <t>2026-06-07</t>
        </is>
      </c>
      <c r="M94" s="7" t="n">
        <v>790</v>
      </c>
      <c r="N94" s="7">
        <f>IFERROR(XLOOKUP(A94,'Source Ledger'!$B$5:$B$133,'Source Ledger'!$G$5:$G$133),"")</f>
        <v>465.13</v>
      </c>
      <c r="O94" s="7">
        <f>IFERROR(XLOOKUP(A94,'Source Ledger'!$B$5:$B$133,'Source Ledger'!$A$5:$A$133),"")</f>
        <v/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Unknown: MD-00091 is Missing; cost $950. People side — Wes Carvalho (E0079), Separated. Assignment TR-00091; receive column Feb 24, 2026, approval APR-00091. PO-2025-0016 in hardware_purchase_orders.csv; FAR silent on MD-00091. Also: offboarding ticket OFF-00091 referenced. Note — last operational site on register was Denver - Closed.</t>
        </is>
      </c>
      <c r="L95" s="7" t="inlineStr">
        <is>
          <t>2026-05-08</t>
        </is>
      </c>
      <c r="M95" s="7" t="n">
        <v>950</v>
      </c>
      <c r="N95" s="7">
        <f>IFERROR(XLOOKUP(A95,'Source Ledger'!$B$5:$B$133,'Source Ledger'!$G$5:$G$133),"")</f>
        <v>643.09</v>
      </c>
      <c r="O95" s="7">
        <f>IFERROR(XLOOKUP(A95,'Source Ledger'!$B$5:$B$133,'Source Ledger'!$A$5:$A$133),"")</f>
        <v/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After HR and transfer review, MD-00092 is Missing in Unknown. Tara Singh has Separated status in the people extract. Transfer TR-00092 shows receipt 2026-03-28, approval APR-00092. PO-2025-0016 in hardware_purchase_orders.csv; FAR silent on MD-00092. Also: offboarding ticket OFF-00092 referenced. Note — last operational site on register was Chicago - Closed. duplicate serial MD-NE-050088 flagged on the register.</t>
        </is>
      </c>
      <c r="L96" s="7" t="inlineStr">
        <is>
          <t>2026-06-09</t>
        </is>
      </c>
      <c r="M96" s="7" t="n">
        <v>6245</v>
      </c>
      <c r="N96" s="7">
        <f>IFERROR(XLOOKUP(A96,'Source Ledger'!$B$5:$B$133,'Source Ledger'!$G$5:$G$133),"")</f>
        <v>1396.04</v>
      </c>
      <c r="O96" s="7">
        <f>IFERROR(XLOOKUP(A96,'Source Ledger'!$B$5:$B$133,'Source Ledger'!$A$5:$A$133),"")</f>
        <v/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Field review: MD-00093 Missing @ Unknown. Elliott Park has Separated status in the people extract. Inbound stamp on TR-00093 is 05/06/2026, approval APR-00093. PO-2025-0016 in hardware_purchase_orders.csv; FAR silent on MD-00093. Also: offboarding ticket OFF-00093 referenced. Note — last operational site on register was Denver - Closed.</t>
        </is>
      </c>
      <c r="L97" s="7" t="inlineStr">
        <is>
          <t>2026-05-10</t>
        </is>
      </c>
      <c r="M97" s="7" t="n">
        <v>1940</v>
      </c>
      <c r="N97" s="7">
        <f>IFERROR(XLOOKUP(A97,'Source Ledger'!$B$5:$B$133,'Source Ledger'!$G$5:$G$133),"")</f>
        <v>130.57</v>
      </c>
      <c r="O97" s="7">
        <f>IFERROR(XLOOKUP(A97,'Source Ledger'!$B$5:$B$133,'Source Ledger'!$A$5:$A$133),"")</f>
        <v/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Dell U2723QE MD-00094 tied to $655; location Unknown; status Missing. Carmen Diaz has Separated status in the people extract. equipment_transfer_log TR-00094, approval APR-00094; received Jun 04, 2026. PO-2025-0016 in hardware_purchase_orders.csv; FAR silent on MD-00094. Also: offboarding ticket OFF-00094 referenced. Note — last operational site on register was Chicago - Closed.</t>
        </is>
      </c>
      <c r="L98" s="7" t="inlineStr">
        <is>
          <t>2026-06-11</t>
        </is>
      </c>
      <c r="M98" s="7" t="n">
        <v>655</v>
      </c>
      <c r="N98" s="7">
        <f>IFERROR(XLOOKUP(A98,'Source Ledger'!$B$5:$B$133,'Source Ledger'!$G$5:$G$133),"")</f>
        <v>431.2</v>
      </c>
      <c r="O98" s="7">
        <f>IFERROR(XLOOKUP(A98,'Source Ledger'!$B$5:$B$133,'Source Ledger'!$A$5:$A$133),"")</f>
        <v/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Cost $1130 on MD-00095; Missing at Unknown. Hugh Talbot has Separated status in the people extract. TR-00095 ties to MD-00095; dock date 2026-07-08, approval APR-00095. PO-2025-0016 in hardware_purchase_orders.csv; FAR silent on MD-00095. Also: offboarding ticket OFF-00095 referenced. Note — last operational site on register was Denver - Closed.</t>
        </is>
      </c>
      <c r="L99" s="7" t="inlineStr">
        <is>
          <t>2026-06-24</t>
        </is>
      </c>
      <c r="M99" s="7" t="n">
        <v>1130</v>
      </c>
      <c r="N99" s="7">
        <f>IFERROR(XLOOKUP(A99,'Source Ledger'!$B$5:$B$133,'Source Ledger'!$G$5:$G$133),"")</f>
        <v>894.87</v>
      </c>
      <c r="O99" s="7">
        <f>IFERROR(XLOOKUP(A99,'Source Ledger'!$B$5:$B$133,'Source Ledger'!$A$5:$A$133),"")</f>
        <v/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MD-00096 stays Missing at Unknown (Cisco C9300, $6425). Mira Adelman has Separated status in the people extract. Log TR-00096: received 01/19/2026, approval APR-00096. PO-2025-0016 in hardware_purchase_orders.csv; FAR silent on MD-00096. Also: offboarding ticket OFF-00096 referenced. Note — last operational site on register was Chicago - Closed.</t>
        </is>
      </c>
      <c r="L100" s="7" t="inlineStr">
        <is>
          <t>2026-06-13</t>
        </is>
      </c>
      <c r="M100" s="7" t="n">
        <v>6425</v>
      </c>
      <c r="N100" s="7">
        <f>IFERROR(XLOOKUP(A100,'Source Ledger'!$B$5:$B$133,'Source Ledger'!$G$5:$G$133),"")</f>
        <v>511.01</v>
      </c>
      <c r="O100" s="7">
        <f>IFERROR(XLOOKUP(A100,'Source Ledger'!$B$5:$B$133,'Source Ledger'!$A$5:$A$133),"")</f>
        <v/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MD-00097 stays Missing at Unknown (Lenovo ThinkPad T14, $2120). Quincy Rhodes has Separated status in the people extract. TR-00097 ties to MD-00097; dock date Jan 27, 2026, approval APR-00097. Purchasing PO-2022-0017 without a capital line for MD-00097. Also: offboarding ticket OFF-00097 referenced. Note — last operational site on register was Denver - Closed.</t>
        </is>
      </c>
      <c r="L101" s="7" t="inlineStr">
        <is>
          <t>2026-05-14</t>
        </is>
      </c>
      <c r="M101" s="7" t="n">
        <v>2120</v>
      </c>
      <c r="N101" s="7">
        <f>IFERROR(XLOOKUP(A101,'Source Ledger'!$B$5:$B$133,'Source Ledger'!$G$5:$G$133),"")</f>
        <v>0</v>
      </c>
      <c r="O101" s="7">
        <f>IFERROR(XLOOKUP(A101,'Source Ledger'!$B$5:$B$133,'Source Ledger'!$A$5:$A$133),"")</f>
        <v/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MD-00098 stays Missing at Unknown (Dell U2723QE, $520). Sloane Richter has Separated status in the people extract. Transfer TR-00098 shows receipt 2026-02-24, approval APR-00098. Purchasing PO-2022-0017 without a capital line for MD-00098. Also: offboarding ticket OFF-00098 referenced. Note — last operational site on register was Chicago - Closed.</t>
        </is>
      </c>
      <c r="L102" s="7" t="inlineStr">
        <is>
          <t>2026-06-15</t>
        </is>
      </c>
      <c r="M102" s="7" t="n">
        <v>520</v>
      </c>
      <c r="N102" s="7">
        <f>IFERROR(XLOOKUP(A102,'Source Ledger'!$B$5:$B$133,'Source Ledger'!$G$5:$G$133),"")</f>
        <v>266.87</v>
      </c>
      <c r="O102" s="7">
        <f>IFERROR(XLOOKUP(A102,'Source Ledger'!$B$5:$B$133,'Source Ledger'!$A$5:$A$133),"")</f>
        <v/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MD-00099 stays Missing at Unknown (Samsung Galaxy S24, $995). Nolan Vega has Separated status in the people extract. Movement TR-00099 posted 2026-03-31 and inbound 04/02/2026, approval APR-00099. Purchasing PO-2022-0017 without a capital line for MD-00099. Also: offboarding ticket OFF-00099 referenced. Note — last operational site on register was Denver - Closed.</t>
        </is>
      </c>
      <c r="L103" s="7" t="inlineStr">
        <is>
          <t>2026-05-16</t>
        </is>
      </c>
      <c r="M103" s="7" t="n">
        <v>995</v>
      </c>
      <c r="N103" s="7">
        <f>IFERROR(XLOOKUP(A103,'Source Ledger'!$B$5:$B$133,'Source Ledger'!$G$5:$G$133),"")</f>
        <v>548.24</v>
      </c>
      <c r="O103" s="7">
        <f>IFERROR(XLOOKUP(A103,'Source Ledger'!$B$5:$B$133,'Source Ledger'!$A$5:$A$133),"")</f>
        <v/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Field review: MD-00100 Missing @ Unknown. Ivy Chenoweth has Separated status in the people extract. equipment_transfer_log TR-00100, approval APR-00100; received May 05, 2026. Purchasing PO-2022-0017 without a capital line for MD-00100. Also: offboarding ticket OFF-00100 referenced. Note — last operational site on register was Chicago - Closed.</t>
        </is>
      </c>
      <c r="L104" s="7" t="inlineStr">
        <is>
          <t>2026-06-17</t>
        </is>
      </c>
      <c r="M104" s="7" t="n">
        <v>6290</v>
      </c>
      <c r="N104" s="7">
        <f>IFERROR(XLOOKUP(A104,'Source Ledger'!$B$5:$B$133,'Source Ledger'!$G$5:$G$133),"")</f>
        <v>927.36</v>
      </c>
      <c r="O104" s="7">
        <f>IFERROR(XLOOKUP(A104,'Source Ledger'!$B$5:$B$133,'Source Ledger'!$A$5:$A$133),"")</f>
        <v/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MD-00101 stays Retired/Pending Disposal at Seattle (MacBook Pro 14, $1985). Assignment TR-00101; receive column 2026-06-07, approval APR-00101. Purchasing PO-2022-0017 without a capital line for MD-00101. Also: offboarding ticket RET-00101 referenced.</t>
        </is>
      </c>
      <c r="L105" s="7" t="inlineStr">
        <is>
          <t>2026-06-07</t>
        </is>
      </c>
      <c r="M105" s="7" t="n">
        <v>1985</v>
      </c>
      <c r="N105" s="7">
        <f>IFERROR(XLOOKUP(A105,'Source Ledger'!$B$5:$B$133,'Source Ledger'!$G$5:$G$133),"")</f>
        <v>0</v>
      </c>
      <c r="O105" s="7">
        <f>IFERROR(XLOOKUP(A105,'Source Ledger'!$B$5:$B$133,'Source Ledger'!$A$5:$A$133),"")</f>
        <v/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MD-00102 stays Retired/Pending Disposal at Atlanta (Dell U2723QE, $700). TR-00102 for MD-00102 — received 01/11/2026, approval APR-00102. Purchasing PO-2022-0017 without a capital line for MD-00102. Also: offboarding ticket RET-00102 referenced.</t>
        </is>
      </c>
      <c r="L106" s="7" t="inlineStr">
        <is>
          <t>2026-05-31</t>
        </is>
      </c>
      <c r="M106" s="7" t="n">
        <v>700</v>
      </c>
      <c r="N106" s="7">
        <f>IFERROR(XLOOKUP(A106,'Source Ledger'!$B$5:$B$133,'Source Ledger'!$G$5:$G$133),"")</f>
        <v>407.54</v>
      </c>
      <c r="O106" s="7">
        <f>IFERROR(XLOOKUP(A106,'Source Ledger'!$B$5:$B$133,'Source Ledger'!$A$5:$A$133),"")</f>
        <v/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MD-00103 stays Retired/Pending Disposal at Chicago (Samsung Galaxy S24, $1175). Inbound stamp on TR-00103 is Feb 14, 2026, approval APR-00103. Purchasing PO-2023-0018 without a capital line for MD-00103. Also: offboarding ticket RET-00103 referenced.</t>
        </is>
      </c>
      <c r="L107" s="7" t="inlineStr">
        <is>
          <t>2026-05-31</t>
        </is>
      </c>
      <c r="M107" s="7" t="n">
        <v>1175</v>
      </c>
      <c r="N107" s="7">
        <f>IFERROR(XLOOKUP(A107,'Source Ledger'!$B$5:$B$133,'Source Ledger'!$G$5:$G$133),"")</f>
        <v>782.53</v>
      </c>
      <c r="O107" s="7">
        <f>IFERROR(XLOOKUP(A107,'Source Ledger'!$B$5:$B$133,'Source Ledger'!$A$5:$A$133),"")</f>
        <v/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stays Retired/Pending Disposal at Dallas (Cisco C9300, $6470). Log TR-00104: received 2026-03-18, approval APR-00104. Purchasing PO-2023-0018 without a capital line for MD-00104. Also: offboarding ticket RET-00104 referenced.</t>
        </is>
      </c>
      <c r="L108" s="7" t="inlineStr">
        <is>
          <t>2026-05-31</t>
        </is>
      </c>
      <c r="M108" s="7" t="n">
        <v>6470</v>
      </c>
      <c r="N108" s="7">
        <f>IFERROR(XLOOKUP(A108,'Source Ledger'!$B$5:$B$133,'Source Ledger'!$G$5:$G$133),"")</f>
        <v>1403.83</v>
      </c>
      <c r="O108" s="7">
        <f>IFERROR(XLOOKUP(A108,'Source Ledger'!$B$5:$B$133,'Source Ledger'!$A$5:$A$133),"")</f>
        <v/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MD-00105 stays Retired/Pending Disposal at Denver (Dell Latitude 7440, $1850). TR-00105 ties to MD-00105; dock date 04/21/2026, approval APR-00105. Purchasing PO-2023-0018 without a capital line for MD-00105. Also: offboarding ticket RET-00105 referenced.</t>
        </is>
      </c>
      <c r="L109" s="7" t="inlineStr">
        <is>
          <t>2026-05-31</t>
        </is>
      </c>
      <c r="M109" s="7" t="n">
        <v>1850</v>
      </c>
      <c r="N109" s="7">
        <f>IFERROR(XLOOKUP(A109,'Source Ledger'!$B$5:$B$133,'Source Ledger'!$G$5:$G$133),"")</f>
        <v>104.26</v>
      </c>
      <c r="O109" s="7">
        <f>IFERROR(XLOOKUP(A109,'Source Ledger'!$B$5:$B$133,'Source Ledger'!$A$5:$A$133),"")</f>
        <v/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reads Retired/Pending Disposal at New York (Dell U2723QE, $565). TR-00106 ties to MD-00106; dock date May 25, 2026, approval APR-00106. PO-2023-0018 in hardware_purchase_orders.csv; FAR silent on MD-00106. Also: offboarding ticket RET-00106 referenced.</t>
        </is>
      </c>
      <c r="L110" s="7" t="inlineStr">
        <is>
          <t>2026-05-31</t>
        </is>
      </c>
      <c r="M110" s="7" t="n">
        <v>565</v>
      </c>
      <c r="N110" s="7">
        <f>IFERROR(XLOOKUP(A110,'Source Ledger'!$B$5:$B$133,'Source Ledger'!$G$5:$G$133),"")</f>
        <v>368.24</v>
      </c>
      <c r="O110" s="7">
        <f>IFERROR(XLOOKUP(A110,'Source Ledger'!$B$5:$B$133,'Source Ledger'!$A$5:$A$133),"")</f>
        <v/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reads Retired/Pending Disposal at Seattle (Samsung Galaxy S24, $1040). Transfer TR-00107 shows receipt 2026-06-27, approval APR-00107. PO-2023-0018 in hardware_purchase_orders.csv; FAR silent on MD-00107. Also: offboarding ticket RET-00107 referenced.</t>
        </is>
      </c>
      <c r="L111" s="7" t="inlineStr">
        <is>
          <t>2026-06-13</t>
        </is>
      </c>
      <c r="M111" s="7" t="n">
        <v>1040</v>
      </c>
      <c r="N111" s="7">
        <f>IFERROR(XLOOKUP(A111,'Source Ledger'!$B$5:$B$133,'Source Ledger'!$G$5:$G$133),"")</f>
        <v>812.21</v>
      </c>
      <c r="O111" s="7">
        <f>IFERROR(XLOOKUP(A111,'Source Ledger'!$B$5:$B$133,'Source Ledger'!$A$5:$A$133),"")</f>
        <v/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MD-00108 reads Retired/Pending Disposal at Atlanta (Cisco C9300, $6335). Movement TR-00108 posted 2026-01-30 and inbound 01/30/2026, approval APR-00108. PO-2023-0018 in hardware_purchase_orders.csv; FAR silent on MD-00108. Also: offboarding ticket RET-00108 referenced.</t>
        </is>
      </c>
      <c r="L112" s="7" t="inlineStr">
        <is>
          <t>2026-05-31</t>
        </is>
      </c>
      <c r="M112" s="7" t="n">
        <v>6335</v>
      </c>
      <c r="N112" s="7">
        <f>IFERROR(XLOOKUP(A112,'Source Ledger'!$B$5:$B$133,'Source Ledger'!$G$5:$G$133),"")</f>
        <v>545.48</v>
      </c>
      <c r="O112" s="7">
        <f>IFERROR(XLOOKUP(A112,'Source Ledger'!$B$5:$B$133,'Source Ledger'!$A$5:$A$133),"")</f>
        <v/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reads Retired/Pending Disposal at Chicago (Lenovo ThinkPad T14, $2030). equipment_transfer_log TR-00109, approval APR-00109; received Feb 04, 2026. PO-2024-0019 in hardware_purchase_orders.csv; FAR silent on MD-00109. Also: offboarding ticket RET-00109 referenced.</t>
        </is>
      </c>
      <c r="L113" s="7" t="inlineStr">
        <is>
          <t>2026-05-31</t>
        </is>
      </c>
      <c r="M113" s="7" t="n">
        <v>2030</v>
      </c>
      <c r="N113" s="7">
        <f>IFERROR(XLOOKUP(A113,'Source Ledger'!$B$5:$B$133,'Source Ledger'!$G$5:$G$133),"")</f>
        <v>0</v>
      </c>
      <c r="O113" s="7">
        <f>IFERROR(XLOOKUP(A113,'Source Ledger'!$B$5:$B$133,'Source Ledger'!$A$5:$A$133),"")</f>
        <v/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MD-00110 stays Retired/Pending Disposal at Dallas (Dell U2723QE, $745). Inbound stamp on TR-00110 is 2026-03-08, approval APR-00110. Purchasing PO-2024-0019 without a capital line for MD-00110. Also: offboarding ticket RET-00110 referenced.</t>
        </is>
      </c>
      <c r="L114" s="7" t="inlineStr">
        <is>
          <t>2026-05-31</t>
        </is>
      </c>
      <c r="M114" s="7" t="n">
        <v>745</v>
      </c>
      <c r="N114" s="7">
        <f>IFERROR(XLOOKUP(A114,'Source Ledger'!$B$5:$B$133,'Source Ledger'!$G$5:$G$133),"")</f>
        <v>387.24</v>
      </c>
      <c r="O114" s="7">
        <f>IFERROR(XLOOKUP(A114,'Source Ledger'!$B$5:$B$133,'Source Ledger'!$A$5:$A$133),"")</f>
        <v/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Corrected register carries MD-00111 as Disposed in Disposed. Log TR-00111: received 04/13/2026, approval APR-00111. Purchasing PO-2024-0019 without a capital line for MD-00111. Also: offboarding ticket RET-00111 referenced.</t>
        </is>
      </c>
      <c r="L115" s="7" t="inlineStr">
        <is>
          <t>2026-07-20</t>
        </is>
      </c>
      <c r="M115" s="7" t="n">
        <v>1220</v>
      </c>
      <c r="N115" s="7">
        <f>IFERROR(XLOOKUP(A115,'Source Ledger'!$B$5:$B$133,'Source Ledger'!$G$5:$G$133),"")</f>
        <v>0</v>
      </c>
      <c r="O115" s="7">
        <f>IFERROR(XLOOKUP(A115,'Source Ledger'!$B$5:$B$133,'Source Ledger'!$A$5:$A$133),"")</f>
        <v/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Corrected register carries MD-00112 as Disposed in Disposed. TR-00112 ties to MD-00112; dock date May 15, 2026, approval APR-00112. Purchasing PO-2024-0019 without a capital line for MD-00112. Also: offboarding ticket RET-00112 referenced.</t>
        </is>
      </c>
      <c r="L116" s="7" t="inlineStr">
        <is>
          <t>2026-07-20</t>
        </is>
      </c>
      <c r="M116" s="7" t="n">
        <v>6200</v>
      </c>
      <c r="N116" s="7">
        <f>IFERROR(XLOOKUP(A116,'Source Ledger'!$B$5:$B$133,'Source Ledger'!$G$5:$G$133),"")</f>
        <v>0</v>
      </c>
      <c r="O116" s="7">
        <f>IFERROR(XLOOKUP(A116,'Source Ledger'!$B$5:$B$133,'Source Ledger'!$A$5:$A$133),"")</f>
        <v/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Corrected register carries MD-00113 as Disposed in Disposed. Transfer TR-00113 shows receipt 2026-06-18, approval APR-00113. Purchasing PO-2024-0019 without a capital line for MD-00113. Also: offboarding ticket RET-00113 referenced.</t>
        </is>
      </c>
      <c r="L117" s="7" t="inlineStr">
        <is>
          <t>2026-07-20</t>
        </is>
      </c>
      <c r="M117" s="7" t="n">
        <v>1895</v>
      </c>
      <c r="N117" s="7">
        <f>IFERROR(XLOOKUP(A117,'Source Ledger'!$B$5:$B$133,'Source Ledger'!$G$5:$G$133),"")</f>
        <v>0</v>
      </c>
      <c r="O117" s="7">
        <f>IFERROR(XLOOKUP(A117,'Source Ledger'!$B$5:$B$133,'Source Ledger'!$A$5:$A$133),"")</f>
        <v/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MD-00114 stays Retired/Pending Disposal at Disposed (certificate missing) (Dell U2723QE, $610). Movement TR-00114 posted 2026-01-22 and inbound 01/22/2026, approval APR-00114. Purchasing PO-2024-0019 without a capital line for MD-00114. Also: offboarding ticket RET-00114 referenced. Note — no verified disposal certificate located.</t>
        </is>
      </c>
      <c r="L118" s="7" t="inlineStr">
        <is>
          <t>2026-01-20</t>
        </is>
      </c>
      <c r="M118" s="7" t="n">
        <v>610</v>
      </c>
      <c r="N118" s="7">
        <f>IFERROR(XLOOKUP(A118,'Source Ledger'!$B$5:$B$133,'Source Ledger'!$G$5:$G$133),"")</f>
        <v>0</v>
      </c>
      <c r="O118" s="7">
        <f>IFERROR(XLOOKUP(A118,'Source Ledger'!$B$5:$B$133,'Source Ledger'!$A$5:$A$133),"")</f>
        <v/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Corrected register carries MD-00115 as Disposed in Disposed. equipment_transfer_log TR-00115, approval APR-00115; received Feb 25, 2026. PO PO-2025-0020 on file; no matching FAR row for MD-00115. Also: offboarding ticket RET-00115 referenced.</t>
        </is>
      </c>
      <c r="L119" s="7" t="inlineStr">
        <is>
          <t>2026-07-20</t>
        </is>
      </c>
      <c r="M119" s="7" t="n">
        <v>1085</v>
      </c>
      <c r="N119" s="7">
        <f>IFERROR(XLOOKUP(A119,'Source Ledger'!$B$5:$B$133,'Source Ledger'!$G$5:$G$133),"")</f>
        <v>0</v>
      </c>
      <c r="O119" s="7">
        <f>IFERROR(XLOOKUP(A119,'Source Ledger'!$B$5:$B$133,'Source Ledger'!$A$5:$A$133),"")</f>
        <v/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Looked up MD-00116 across CSV/XLSX inputs — Disposed, Disposed. equipment_transfer_log TR-00116, approval APR-00116; received 2026-03-29. Purchasing PO-2025-0020 without a capital line for MD-00116. Also: offboarding ticket RET-00116 referenced.</t>
        </is>
      </c>
      <c r="L120" s="7" t="inlineStr">
        <is>
          <t>2026-07-20</t>
        </is>
      </c>
      <c r="M120" s="7" t="n">
        <v>6380</v>
      </c>
      <c r="N120" s="7">
        <f>IFERROR(XLOOKUP(A120,'Source Ledger'!$B$5:$B$133,'Source Ledger'!$G$5:$G$133),"")</f>
        <v>0</v>
      </c>
      <c r="O120" s="7">
        <f>IFERROR(XLOOKUP(A120,'Source Ledger'!$B$5:$B$133,'Source Ledger'!$A$5:$A$133),"")</f>
        <v/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Looked up MD-00117 across CSV/XLSX inputs — Disposed, Disposed. Assignment TR-00117; receive column 05/02/2026, approval APR-00117. Purchasing PO-2025-0020 without a capital line for MD-00117. Also: offboarding ticket RET-00117 referenced.</t>
        </is>
      </c>
      <c r="L121" s="7" t="inlineStr">
        <is>
          <t>2026-07-20</t>
        </is>
      </c>
      <c r="M121" s="7" t="n">
        <v>2075</v>
      </c>
      <c r="N121" s="7">
        <f>IFERROR(XLOOKUP(A121,'Source Ledger'!$B$5:$B$133,'Source Ledger'!$G$5:$G$133),"")</f>
        <v>0</v>
      </c>
      <c r="O121" s="7">
        <f>IFERROR(XLOOKUP(A121,'Source Ledger'!$B$5:$B$133,'Source Ledger'!$A$5:$A$133),"")</f>
        <v/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MD-00118 reads Retired/Pending Disposal at Disposed (certificate missing) (Dell U2723QE, $790). TR-00118 for MD-00118 — received Jun 04, 2026, approval APR-00118. Purchasing PO-2025-0020 without a capital line for MD-00118. Also: offboarding ticket RET-00118 referenced. Note — no verified disposal certificate located.</t>
        </is>
      </c>
      <c r="L122" s="7" t="inlineStr">
        <is>
          <t>2026-05-24</t>
        </is>
      </c>
      <c r="M122" s="7" t="n">
        <v>790</v>
      </c>
      <c r="N122" s="7">
        <f>IFERROR(XLOOKUP(A122,'Source Ledger'!$B$5:$B$133,'Source Ledger'!$G$5:$G$133),"")</f>
        <v>0</v>
      </c>
      <c r="O122" s="7">
        <f>IFERROR(XLOOKUP(A122,'Source Ledger'!$B$5:$B$133,'Source Ledger'!$A$5:$A$133),"")</f>
        <v/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Looked up MD-00119 across CSV/XLSX inputs — Disposed, Disposed. Inbound stamp on TR-00119 is 2026-07-09, approval APR-00119. Purchasing PO-2025-0020 without a capital line for MD-00119. Also: offboarding ticket RET-00119 referenced.</t>
        </is>
      </c>
      <c r="L123" s="7" t="inlineStr">
        <is>
          <t>2026-07-20</t>
        </is>
      </c>
      <c r="M123" s="7" t="n">
        <v>950</v>
      </c>
      <c r="N123" s="7">
        <f>IFERROR(XLOOKUP(A123,'Source Ledger'!$B$5:$B$133,'Source Ledger'!$G$5:$G$133),"")</f>
        <v>0</v>
      </c>
      <c r="O123" s="7">
        <f>IFERROR(XLOOKUP(A123,'Source Ledger'!$B$5:$B$133,'Source Ledger'!$A$5:$A$133),"")</f>
        <v/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Corrected register carries MD-00120 as Disposed in Disposed. Transfer TR-00120 shows receipt 01/20/2026, approval APR-00120. PO PO-2025-0020 on file; no matching FAR row for MD-00120. Also: offboarding ticket RET-00120 referenced.</t>
        </is>
      </c>
      <c r="L124" s="7" t="inlineStr">
        <is>
          <t>2026-07-20</t>
        </is>
      </c>
      <c r="M124" s="7" t="n">
        <v>6245</v>
      </c>
      <c r="N124" s="7">
        <f>IFERROR(XLOOKUP(A124,'Source Ledger'!$B$5:$B$133,'Source Ledger'!$G$5:$G$133),"")</f>
        <v>0</v>
      </c>
      <c r="O124" s="7">
        <f>IFERROR(XLOOKUP(A124,'Source Ledger'!$B$5:$B$133,'Source Ledger'!$A$5:$A$133),"")</f>
        <v/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MD-00121 reads Available at Chicago (Lenovo ThinkPad T14, $1940). Movement TR-00121 posted 01/21/2026 and inbound Jan 21, 2026, approval APR-00121. PO-2022-0021 in hardware_purchase_orders.csv; FAR silent on MD-00121.</t>
        </is>
      </c>
      <c r="L125" s="7" t="inlineStr">
        <is>
          <t>2026-02-03</t>
        </is>
      </c>
      <c r="M125" s="7" t="n">
        <v>1940</v>
      </c>
      <c r="N125" s="7">
        <f>IFERROR(XLOOKUP(A125,'Source Ledger'!$B$5:$B$133,'Source Ledger'!$G$5:$G$133),"")</f>
        <v>0</v>
      </c>
      <c r="O125" s="7">
        <f>IFERROR(XLOOKUP(A125,'Source Ledger'!$B$5:$B$133,'Source Ledger'!$A$5:$A$133),"")</f>
        <v/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MD-00122 reads Available at Dallas (Dell U2723QE, $655). equipment_transfer_log TR-00122, approval APR-00122; received 2026-02-25. PO-2022-0021 in hardware_purchase_orders.csv; FAR silent on MD-00122.</t>
        </is>
      </c>
      <c r="L126" s="7" t="inlineStr">
        <is>
          <t>2026-03-04</t>
        </is>
      </c>
      <c r="M126" s="7" t="n">
        <v>655</v>
      </c>
      <c r="N126" s="7">
        <f>IFERROR(XLOOKUP(A126,'Source Ledger'!$B$5:$B$133,'Source Ledger'!$G$5:$G$133),"")</f>
        <v>336.15</v>
      </c>
      <c r="O126" s="7">
        <f>IFERROR(XLOOKUP(A126,'Source Ledger'!$B$5:$B$133,'Source Ledger'!$A$5:$A$133),"")</f>
        <v/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reads Available at Denver (Samsung Galaxy S24, $1130). Assignment TR-00123; receive column 04/03/2026, approval APR-00123. PO-2022-0021 in hardware_purchase_orders.csv; FAR silent on MD-00123.</t>
        </is>
      </c>
      <c r="L127" s="7" t="inlineStr">
        <is>
          <t>2026-04-05</t>
        </is>
      </c>
      <c r="M127" s="7" t="n">
        <v>1130</v>
      </c>
      <c r="N127" s="7">
        <f>IFERROR(XLOOKUP(A127,'Source Ledger'!$B$5:$B$133,'Source Ledger'!$G$5:$G$133),"")</f>
        <v>622.62</v>
      </c>
      <c r="O127" s="7">
        <f>IFERROR(XLOOKUP(A127,'Source Ledger'!$B$5:$B$133,'Source Ledger'!$A$5:$A$133),"")</f>
        <v/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MD-00124 reads Available at New York (Cisco C9300, $6425). TR-00124 for MD-00124 — received May 01, 2026, approval APR-00124. PO-2022-0021 in hardware_purchase_orders.csv; FAR silent on MD-00124.</t>
        </is>
      </c>
      <c r="L128" s="7" t="inlineStr">
        <is>
          <t>2026-05-06</t>
        </is>
      </c>
      <c r="M128" s="7" t="n">
        <v>6425</v>
      </c>
      <c r="N128" s="7">
        <f>IFERROR(XLOOKUP(A128,'Source Ledger'!$B$5:$B$133,'Source Ledger'!$G$5:$G$133),"")</f>
        <v>947.26</v>
      </c>
      <c r="O128" s="7">
        <f>IFERROR(XLOOKUP(A128,'Source Ledger'!$B$5:$B$133,'Source Ledger'!$A$5:$A$133),"")</f>
        <v/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MD-00125 reads Available at Seattle (MacBook Pro 14, $2120). Inbound stamp on TR-00125 is 2026-06-08, approval APR-00125. PO-2022-0021 in hardware_purchase_orders.csv; FAR silent on MD-00125.</t>
        </is>
      </c>
      <c r="L129" s="7" t="inlineStr">
        <is>
          <t>2026-06-07</t>
        </is>
      </c>
      <c r="M129" s="7" t="n">
        <v>2120</v>
      </c>
      <c r="N129" s="7">
        <f>IFERROR(XLOOKUP(A129,'Source Ledger'!$B$5:$B$133,'Source Ledger'!$G$5:$G$133),"")</f>
        <v>0</v>
      </c>
      <c r="O129" s="7">
        <f>IFERROR(XLOOKUP(A129,'Source Ledger'!$B$5:$B$133,'Source Ledger'!$A$5:$A$133),"")</f>
        <v/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MD-00126 stays Available at Atlanta (Dell U2723QE, $520). Inbound stamp on TR-00126 is 01/12/2026, approval APR-00126. PO PO-2022-0021 on file; no matching FAR row for MD-00126.</t>
        </is>
      </c>
      <c r="L130" s="7" t="inlineStr">
        <is>
          <t>2026-01-08</t>
        </is>
      </c>
      <c r="M130" s="7" t="n">
        <v>520</v>
      </c>
      <c r="N130" s="7">
        <f>IFERROR(XLOOKUP(A130,'Source Ledger'!$B$5:$B$133,'Source Ledger'!$G$5:$G$133),"")</f>
        <v>302.75</v>
      </c>
      <c r="O130" s="7">
        <f>IFERROR(XLOOKUP(A130,'Source Ledger'!$B$5:$B$133,'Source Ledger'!$A$5:$A$133),"")</f>
        <v/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Corrected row MD-00127: In Use, Denver, $995 — Samsung Galaxy S24. Checked E0061: Transferred. Log TR-00127: received Feb 17, 2026, approval field blank. PO PO-2023-0022 on file; no matching FAR row for MD-00127.</t>
        </is>
      </c>
      <c r="L131" s="7" t="inlineStr">
        <is>
          <t>2026-08-05</t>
        </is>
      </c>
      <c r="M131" s="7" t="n">
        <v>995</v>
      </c>
      <c r="N131" s="7">
        <f>IFERROR(XLOOKUP(A131,'Source Ledger'!$B$5:$B$133,'Source Ledger'!$G$5:$G$133),"")</f>
        <v>662.65</v>
      </c>
      <c r="O131" s="7">
        <f>IFERROR(XLOOKUP(A131,'Source Ledger'!$B$5:$B$133,'Source Ledger'!$A$5:$A$133),"")</f>
        <v/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Corrected row MD-00128: In Use, New York, $6290 — Cisco C9300. Checked E0062: Transferred. TR-00128 ties to MD-00128; dock date 2026-03-19, approval APR-00128. PO PO-2023-0022 on file; no matching FAR row for MD-00128.</t>
        </is>
      </c>
      <c r="L132" s="7" t="inlineStr">
        <is>
          <t>2026-08-05</t>
        </is>
      </c>
      <c r="M132" s="7" t="n">
        <v>6290</v>
      </c>
      <c r="N132" s="7">
        <f>IFERROR(XLOOKUP(A132,'Source Ledger'!$B$5:$B$133,'Source Ledger'!$G$5:$G$133),"")</f>
        <v>1364.77</v>
      </c>
      <c r="O132" s="7">
        <f>IFERROR(XLOOKUP(A132,'Source Ledger'!$B$5:$B$133,'Source Ledger'!$A$5:$A$133),"")</f>
        <v/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Corrected row MD-00129: In Use, Seattle, $1985 — Dell Latitude 7440. Checked E0063: Transferred. Transfer TR-00129 shows receipt 04/21/2026, approval APR-00129. PO PO-2023-0022 on file; no matching FAR row for MD-00129.</t>
        </is>
      </c>
      <c r="L133" s="7" t="inlineStr">
        <is>
          <t>2026-08-05</t>
        </is>
      </c>
      <c r="M133" s="7" t="n">
        <v>1985</v>
      </c>
      <c r="N133" s="7">
        <f>IFERROR(XLOOKUP(A133,'Source Ledger'!$B$5:$B$133,'Source Ledger'!$G$5:$G$133),"")</f>
        <v>111.86</v>
      </c>
      <c r="O133" s="7">
        <f>IFERROR(XLOOKUP(A133,'Source Ledger'!$B$5:$B$133,'Source Ledger'!$A$5:$A$133),"")</f>
        <v/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Dell U2723QE on MD-00130 is In Use in Atlanta site; basis $700. Naomi Berger has Transferred status in the people extract. Assignment TR-00130; receive column May 28, 2026, approval APR-00130. PO-2023-0022 in hardware_purchase_orders.csv; FAR silent on MD-00130. Also: $700 below $2,500 — missing FA expected.</t>
        </is>
      </c>
      <c r="L134" s="7" t="inlineStr">
        <is>
          <t>2026-08-05</t>
        </is>
      </c>
      <c r="M134" s="7" t="n">
        <v>700</v>
      </c>
      <c r="N134" s="7">
        <f>IFERROR(XLOOKUP(A134,'Source Ledger'!$B$5:$B$133,'Source Ledger'!$G$5:$G$133),"")</f>
        <v/>
      </c>
      <c r="O134" s="7">
        <f>IFERROR(XLOOKUP(A134,'Source Ledger'!$B$5:$B$133,'Source Ledger'!$A$5:$A$133),"")</f>
        <v/>
      </c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Samsung Galaxy S24 on MD-00131 is In Use in Chicago site; basis $1175. Felix Moreno has Transferred status in the people extract. TR-00131 for MD-00131 — received 2026-06-28, approval APR-00131. PO-2023-0022 in hardware_purchase_orders.csv; FAR silent on MD-00131. Also: $1175 below $2,500 — missing FA expected.</t>
        </is>
      </c>
      <c r="L135" s="7" t="inlineStr">
        <is>
          <t>2026-08-05</t>
        </is>
      </c>
      <c r="M135" s="7" t="n">
        <v>1175</v>
      </c>
      <c r="N135" s="7">
        <f>IFERROR(XLOOKUP(A135,'Source Ledger'!$B$5:$B$133,'Source Ledger'!$G$5:$G$133),"")</f>
        <v/>
      </c>
      <c r="O135" s="7">
        <f>IFERROR(XLOOKUP(A135,'Source Ledger'!$B$5:$B$133,'Source Ledger'!$A$5:$A$133),"")</f>
        <v/>
      </c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Cisco C9300 on MD-00132 is In Use in Dallas site; basis $6470. Sharon Quinlan has Transferred status in the people extract. Inbound stamp on TR-00132 is 01/31/2026, approval APR-00132. PO-2023-0022 in hardware_purchase_orders.csv; FAR silent on MD-00132. Also: RN-0132 under-threshold claim rejected; $6,470 exceeds capitalization gate with no FA row.</t>
        </is>
      </c>
      <c r="L136" s="7" t="inlineStr">
        <is>
          <t>2026-08-05</t>
        </is>
      </c>
      <c r="M136" s="7" t="n">
        <v>6470</v>
      </c>
      <c r="N136" s="7">
        <f>IFERROR(XLOOKUP(A136,'Source Ledger'!$B$5:$B$133,'Source Ledger'!$G$5:$G$133),"")</f>
        <v/>
      </c>
      <c r="O136" s="7">
        <f>IFERROR(XLOOKUP(A136,'Source Ledger'!$B$5:$B$133,'Source Ledger'!$A$5:$A$133),"")</f>
        <v/>
      </c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3"/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</t>
        </is>
      </c>
      <c r="G5" s="7">
        <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f>
        <v>85</v>
      </c>
      <c r="H5" s="7" t="inlineStr">
        <is>
          <t>Finance Controller owns cost-basis cleanup on MD-00017.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PO-2024-0003 and FA-000017; numbers diverge for MD-00017.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f>
        <v>124.52</v>
      </c>
      <c r="H6" s="7" t="inlineStr">
        <is>
          <t>Two assets share MD-LA-050021 (MD-00021,MD-00025). Bench-validate and issue a new serial.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more than one tag (MD-00021,MD-00025).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f>
        <v>0</v>
      </c>
      <c r="H7" s="7" t="inlineStr">
        <is>
          <t>MD-00025 location field lagged after consolidation; update from Denver - Closed to Chicago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Closed floor Denver - Closed remains on MD-00025 despite transfer evidence (EX-0003, TR-00025).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f>
        <v>0</v>
      </c>
      <c r="H8" s="7" t="inlineStr">
        <is>
          <t>Retag required — MD-LA-050021 collision involving MD-00025.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more than one tag (MD-00021,MD-00025) [EX-0004].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f>
        <v>382.34</v>
      </c>
      <c r="H9" s="7" t="inlineStr">
        <is>
          <t>MD-00026 location field lagged after consolidation; update from Chicago - Closed to Dallas (EX-0005).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Walked register vs HR/transfer: MD-00026 still says Chicago - Closed (EX-0005).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f>
        <v>672.21</v>
      </c>
      <c r="H10" s="7" t="inlineStr">
        <is>
          <t>Denver - Closed is no longer occupied. Park MD-00027 at Denver on the register (EX-0006).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Register still codes MD-00027 to Denver - Closed; TR-00027 points to Denver (EX-0006).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f>
        <v>914.09</v>
      </c>
      <c r="H11" s="7" t="inlineStr">
        <is>
          <t>MD-00028 cannot remain on shuttered floor Chicago - Closed. Set location to New York (EX-0007).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Location on MD-00028 is consolidation debt (Chicago - Closed, EX-0007).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f>
        <v>0</v>
      </c>
      <c r="H12" s="7" t="inlineStr">
        <is>
          <t>Closed floor Denver - Closed stays on MD-00029; rewrite required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 MD-00029 @ Denver - Closed; ops now use Seattle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f>
        <v>355.14</v>
      </c>
      <c r="H13" s="7" t="inlineStr">
        <is>
          <t>Register still lists MD-00030 at Chicago - Closed. Replace with Atlanta (EX-0009).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TR-00030 destination is not the shuttered office listed for MD-00030 (EX-0009).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f>
        <v>722.59</v>
      </c>
      <c r="H14" s="7" t="inlineStr">
        <is>
          <t>Fix MD-00031: register site Denver - Closed conflicts with current ops at Chicago (EX-0010).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Did not treat closed building Denver - Closed as live location for MD-00031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f>
        <v>1384.3</v>
      </c>
      <c r="H15" s="7" t="inlineStr">
        <is>
          <t>Chicago - Closed is no longer occupied. Park MD-00032 at Dallas on the register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Finding EX-0011: MD-00032 location stale at Chicago - Closed; prefer Dallas.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f>
        <v>116.93</v>
      </c>
      <c r="H16" s="7" t="inlineStr">
        <is>
          <t>Closed floor Denver - Closed stays on MD-00033; rewrite required (EX-0012).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Register still codes MD-00033 to Denver - Closed; TR-00033 points to Denver (EX-0012).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f>
        <v>514.88</v>
      </c>
      <c r="H17" s="7" t="inlineStr">
        <is>
          <t>Do not leave MD-00034 assigned to unused floor Chicago - Closed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Register still codes MD-00034 to Chicago - Closed; TR-00034 points to New York (EX-0013).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>
        <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f>
        <v>140</v>
      </c>
      <c r="H18" s="7" t="inlineStr">
        <is>
          <t>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Pulled PO-2023-0006 and FA-000034; numbers diverge for MD-00034.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f>
        <v>741.92</v>
      </c>
      <c r="H19" s="7" t="inlineStr">
        <is>
          <t>HR-aligned site for MD-00035 is Seattle; register still says Denver - Closed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Location on MD-00035 is consolidation debt (Denver - Closed, EX-0015).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f>
        <v>537.73</v>
      </c>
      <c r="H20" s="7" t="inlineStr">
        <is>
          <t>Update register location for MD-00036 before the next cert packet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HR/transfer support Atlanta; register kept Chicago - Closed for MD-00036 (EX-0016).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f>
        <v>0</v>
      </c>
      <c r="H21" s="7" t="inlineStr">
        <is>
          <t>IT Asset Specialist: recode MD-00037 off Denver - Closed; Chicago is the live office per TR-00037 (EX-0017).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Site code on MD-00037 did not survive consolidation (Denver - Closed, EX-0017).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f>
        <v>340.46</v>
      </c>
      <c r="H22" s="7" t="inlineStr">
        <is>
          <t>HR-aligned site for MD-00038 is Dallas; register still says Chicago - Closed (EX-0018).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Finding EX-0018: MD-00038 location stale at Chicago - Closed; prefer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f>
        <v>635</v>
      </c>
      <c r="H23" s="7" t="inlineStr">
        <is>
          <t>Remove closed-site coding on MD-00039 (Denver - Closed → Denver, EX-0019).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is the operating site; MD-00039 still lists Denver - Closed (EX-0019).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f>
        <v>989.48</v>
      </c>
      <c r="H24" s="7" t="inlineStr">
        <is>
          <t>IT Asset Specialist to retire Chicago - Closed on MD-00040 and apply New York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Location evidence for MD-00040: closed floor Chicago - Closed vs live New York (EX-0020).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f>
        <v>0</v>
      </c>
      <c r="H25" s="7" t="inlineStr">
        <is>
          <t>Update register location for MD-00041 before the next cert packet (EX-0021).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Register location Denver - Closed conflicts with current footprint for MD-00041 (EX-0021).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f>
        <v>306.16</v>
      </c>
      <c r="H26" s="7" t="inlineStr">
        <is>
          <t>Remove closed-site coding on MD-00042 (Chicago - Closed → Atlanta, EX-0022).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Closed floor Chicago - Closed remains on MD-00042 despite transfer evidence (EX-0022, 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f>
        <v>673.55</v>
      </c>
      <c r="H27" s="7" t="inlineStr">
        <is>
          <t>IT Asset Specialist owns the location rewrite for MD-00043 at Denver - Closed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Location on MD-00043 is consolidation debt (Denver - Closed, EX-0023).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f>
        <v>1406.1</v>
      </c>
      <c r="H28" s="7" t="inlineStr">
        <is>
          <t>MD-00044 / Chicago - Closed is a consolidation leftover — move to Dallas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Walked register vs HR/transfer: MD-00044 still says Chicago - Closed (EX-0024).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f>
        <v>133.6</v>
      </c>
      <c r="H29" s="7" t="inlineStr">
        <is>
          <t>IT Asset Specialist: recode MD-00045 off Denver - Closed; Denver is the live office per TR-00045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Register location Denver - Closed conflicts with current footprint for MD-00045 (EX-0025).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f>
        <v>460.82</v>
      </c>
      <c r="H30" s="7" t="inlineStr">
        <is>
          <t>Fix MD-00046: register site Chicago - Closed conflicts with current ops at New York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Chicago - Closed is shuttered. Did not leave MD-00046 there on paper — New York is live (EX-0026).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f>
        <v>930.51</v>
      </c>
      <c r="H31" s="7" t="inlineStr">
        <is>
          <t>IT Asset Specialist: recode MD-00047 off Denver - Closed; Seattle is the live office per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Physical sites changed; MD-00047 register did not (Denver - Closed, EX-0027).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f>
        <v>514.59</v>
      </c>
      <c r="H32" s="7" t="inlineStr">
        <is>
          <t>Closed floor Chicago - Closed stays on MD-00048; rewrite required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Unused-office coding on MD-00048 is unsupported by movement files (EX-0028).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f>
        <v>0</v>
      </c>
      <c r="H33" s="7" t="inlineStr">
        <is>
          <t>MD-00049 cannot remain on shuttered floor Denver - Closed. Set location to Chicago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Physical sites changed; MD-00049 register did not (Denver - Closed, EX-0029).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f>
        <v>289.96</v>
      </c>
      <c r="H34" s="7" t="inlineStr">
        <is>
          <t>Fix MD-00050: register site Chicago - Closed conflicts with current ops at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Site code on MD-00050 did not survive consolidation (Chicago - Closed, EX-0030).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f>
        <v>573.03</v>
      </c>
      <c r="H35" s="7" t="inlineStr">
        <is>
          <t>Operating site for MD-00051 is Denver; TR-00051 confirms, not Denver - Closed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Closed-site leftover on extract for MD-00051 (Denver - Closed). TR-00051. EX-0031.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>
        <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f>
        <v>210</v>
      </c>
      <c r="H36" s="7" t="inlineStr">
        <is>
          <t>Reconcile PO-2022-0009 / FA-000051 / register cost for MD-00051.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Cost spread on MD-00051: ITAM $1040.0, FAR 1250.0 (FA-000051).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f>
        <v>933.99</v>
      </c>
      <c r="H37" s="7" t="inlineStr">
        <is>
          <t>IT Asset Specialist: recode MD-00052 off Chicago - Closed; New York is the live office per TR-00052 (EX-0033).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shuttered. Did not leave MD-00052 there on paper — New York is live (EX-0033).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f>
        <v>0</v>
      </c>
      <c r="H38" s="7" t="inlineStr">
        <is>
          <t>HR-aligned site for MD-00053 is Seattle; register still says Denver - Closed (EX-0034).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Location on MD-00053 is consolidation debt (Denver - Closed, EX-0034).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f>
        <v>433.74</v>
      </c>
      <c r="H39" s="7" t="inlineStr">
        <is>
          <t>IT Asset Specialist to retire Chicago - Closed on MD-00054 and apply Atlanta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TR-00054 destination is not the shuttered office listed for MD-00054 (EX-0035).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f>
        <v>812.5</v>
      </c>
      <c r="H40" s="7" t="inlineStr">
        <is>
          <t>Register still lists MD-00055 at Denver - Closed. Replace with Chicago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Location on MD-00055 is consolidation debt (Denver - Closed, EX-0036).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f>
        <v>1345.24</v>
      </c>
      <c r="H41" s="7" t="inlineStr">
        <is>
          <t>IT Asset Specialist: recode MD-00056 off Chicago - Closed; Dallas is the live office per TR-00056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 not the shuttered office listed for MD-00056 (EX-0037).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f>
        <v>106.79</v>
      </c>
      <c r="H42" s="7" t="inlineStr">
        <is>
          <t>Fix MD-00057: register site Denver - Closed conflicts with current ops at Denver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Location on MD-00057 is consolidation debt (Denver - Closed, EX-0038).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f>
        <v>397.56</v>
      </c>
      <c r="H43" s="7" t="inlineStr">
        <is>
          <t>Separated ID E0071 must leave MD-00058 before status changes.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People extract vs register: MD-00058 retained leaver E0071. OFF-00058.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f>
        <v>397.56</v>
      </c>
      <c r="H44" s="7" t="inlineStr">
        <is>
          <t>Do not leave MD-00058 assigned to unused floor Chicago - Closed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Unused-office coding on MD-00058 is unsupported by movement files (EX-0040).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f>
        <v>397.56</v>
      </c>
      <c r="H45" s="7" t="inlineStr">
        <is>
          <t>§4 gap on TR-00058 for MD-00058; get APR or reverse.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log TR-00058: move recorded, APR missing.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f>
        <v>847.35</v>
      </c>
      <c r="H46" s="7" t="inlineStr">
        <is>
          <t>Close people assignment on MD-00059;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extract vs register: MD-00059 retained leaver E0072.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f>
        <v>847.35</v>
      </c>
      <c r="H47" s="7" t="inlineStr">
        <is>
          <t>Walkthrough finding EX-0043: MD-00059 still shows Denver - Closed. Correct to Seattle.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Seattle is the operating site; MD-00059 still lists Denver - Closed (EX-0043).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f>
        <v>847.35</v>
      </c>
      <c r="H48" s="7" t="inlineStr">
        <is>
          <t>Approval missing on TR-00059. Retro sign-off or return MD-00059.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§4 evidence gap — TR-00059 lacks approval for MD-00059.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f>
        <v>549.35</v>
      </c>
      <c r="H49" s="7" t="inlineStr">
        <is>
          <t>Assignment on MD-00060 survived HR term for E0073. Correct it.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Register owner on MD-00060 is stale relative to HR for E0073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f>
        <v>549.35</v>
      </c>
      <c r="H50" s="7" t="inlineStr">
        <is>
          <t>Do not leave MD-00060 assigned to unused floor Chicago - Closed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Location evidence for MD-00060: closed floor Chicago - Closed vs live Atlanta (EX-0046).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f>
        <v>0</v>
      </c>
      <c r="H51" s="7" t="inlineStr">
        <is>
          <t>HR Operations Lead: remove E0074 from MD-00061 and park the kit.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Custodian mismatch MD-00061↔E0074 documented under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f>
        <v>0</v>
      </c>
      <c r="H52" s="7" t="inlineStr">
        <is>
          <t>Fix MD-00061: register site Denver - Closed conflicts with current ops at Chicago (EX-0048).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Finding EX-0048: MD-00061 location stale at Denver - Closed; prefer Chicago.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f>
        <v>410.63</v>
      </c>
      <c r="H53" s="7" t="inlineStr">
        <is>
          <t>Recover or write-off later; first take E0075 off MD-00062.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MD-00062 should have moved off E0075 when HR flipped status (EX-0049).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f>
        <v>410.63</v>
      </c>
      <c r="H54" s="7" t="inlineStr">
        <is>
          <t>MD-00062 / Chicago - Closed is a consolidation leftover — move to Dallas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Walked register vs HR/transfer: MD-00062 still says Chicago - Closed (EX-0050).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f>
        <v>533.85</v>
      </c>
      <c r="H55" s="7" t="inlineStr">
        <is>
          <t>Assignment on MD-00063 survived HR term for E0076. Correct it.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MD-00063 should have moved off E0076 when HR flipped status (EX-0051).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f>
        <v>533.85</v>
      </c>
      <c r="H56" s="7" t="inlineStr">
        <is>
          <t>Location on MD-00063 must reflect Denver after the site close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Inventory row for MD-00063 lagged after site close (Denver - Closed, EX-0052).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f>
        <v>961.76</v>
      </c>
      <c r="H57" s="7" t="inlineStr">
        <is>
          <t>HR shows E0077 gone — remove as custodian on MD-00064 (OFF-00064).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closed for E0077; asset row did not follow for MD-00064 (EX-0053).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f>
        <v>961.76</v>
      </c>
      <c r="H58" s="7" t="inlineStr">
        <is>
          <t>Chicago - Closed is no longer occupied. Park MD-00064 at New York on the register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still codes MD-00064 to Chicago - Closed; TR-00064 points to New York (EX-0054).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f>
        <v>961.76</v>
      </c>
      <c r="H59" s="7" t="inlineStr">
        <is>
          <t>Either approve TR-00064 after the fact or put MD-00064 back.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shows blank approval_id for MD-00064.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f>
        <v>0</v>
      </c>
      <c r="H60" s="7" t="inlineStr">
        <is>
          <t>People side closed via OFF-00065; asset row still lists E0078. Fix custodian.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custodian equals terminated ID E0078 — EX-0056.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f>
        <v>0</v>
      </c>
      <c r="H61" s="7" t="inlineStr">
        <is>
          <t>MD-00065 cannot remain on shuttered floor Denver - Closed. Set location to Seattle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Location on MD-00065 is consolidation debt (Denver - Closed, EX-0057).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f>
        <v>0</v>
      </c>
      <c r="H62" s="7" t="inlineStr">
        <is>
          <t>Either approve TR-00065 after the fact or put MD-00065 back.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log TR-00065: move recorded, APR missing.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f>
        <v>385.65</v>
      </c>
      <c r="H63" s="7" t="inlineStr">
        <is>
          <t>HR Operations Lead: remove E0079 from MD-00066 and park the kit.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E0079 is separated in hr_employee_status; MD-00066 still points to them (EX-0059).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f>
        <v>385.65</v>
      </c>
      <c r="H64" s="7" t="inlineStr">
        <is>
          <t>Remove closed-site coding on MD-00066 (Chicago - Closed → Atlanta, 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Atlanta is the operating site; MD-00066 still lists Chicago - Closed (EX-0060).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f>
        <v>764.93</v>
      </c>
      <c r="H65" s="7" t="inlineStr">
        <is>
          <t>Term cleanup — MD-00067 should not remain with E0080.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Evidence for EX-0061: register kept E0080 on MD-00067 post-separation.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f>
        <v>764.93</v>
      </c>
      <c r="H66" s="7" t="inlineStr">
        <is>
          <t>IT Asset Specialist: recode MD-00067 off Denver - Closed; Chicago is the live office per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Consolidation left MD-00067 @ Denver - Closed; ops now use Chicago (EX-0062).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f>
        <v>1436.28</v>
      </c>
      <c r="H67" s="7" t="inlineStr">
        <is>
          <t>Chase MD-00068: carrier file empty despite 1ZMD00000068.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Label 1ZMD00000068 printed; no SCAN-86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f>
        <v>1436.28</v>
      </c>
      <c r="H68" s="7" t="inlineStr">
        <is>
          <t>OFF-00068 closed people; MD-00068 still shows the leaver.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HR status for E0081 and register assignment on MD-00068 disagree (EX-0064).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>
        <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f>
        <v>55</v>
      </c>
      <c r="H69" s="7" t="inlineStr">
        <is>
          <t>Close the $6425.0/6480.0 gap on MD-00068 before cert.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vs ledger 6480.0 on FA-000068 for MD-00068.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f>
        <v>142.69</v>
      </c>
      <c r="H70" s="7" t="inlineStr">
        <is>
          <t>Outstanding kit MD-00069 / 1ZMD00000069 — escalate beyond label print.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Overdue evidence is absence of inbound events on 1ZMD00000069.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f>
        <v>142.69</v>
      </c>
      <c r="H71" s="7" t="inlineStr">
        <is>
          <t>Stock or Regional IT must replace E0082 on MD-00069.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status for E0082 and register assignment on MD-00069 disagree (EX-0067).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f>
        <v>342.32</v>
      </c>
      <c r="H72" s="7" t="inlineStr">
        <is>
          <t>Do not mark Available; MD-00070 never docked after 1ZMD00000070.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Carrier never accepted 1ZMD00000070; MD-00070 still outstanding.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f>
        <v>342.32</v>
      </c>
      <c r="H73" s="7" t="inlineStr">
        <is>
          <t>Do not leave MD-00070 assigned to E0083 on the extract.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should have moved off E0083 when HR flipped status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f>
        <v>787.96</v>
      </c>
      <c r="H74" s="7" t="inlineStr">
        <is>
          <t>Recovery required on MD-00071; prepaid label 1ZMD00000071 is paperwork only.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never accepted 1ZMD00000071; MD-00071 still outstanding.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f>
        <v>787.96</v>
      </c>
      <c r="H75" s="7" t="inlineStr">
        <is>
          <t>HR already termed E0084. Update MD-00071 assignment.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 lists E0084 as separated; register still assigns MD-00071 (EX-0071).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f>
        <v>500.27</v>
      </c>
      <c r="H76" s="7" t="inlineStr">
        <is>
          <t>Label-only status on 1ZMD00000072 blocks cert for MD-00072.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OFF-00072: return window closed with empty inbound for MD-00072.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f>
        <v>500.27</v>
      </c>
      <c r="H77" s="7" t="inlineStr">
        <is>
          <t>Recover or write-off later; first take E0085 off MD-00072.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Custodian mismatch MD-00072↔E0085 documented under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f>
        <v>0</v>
      </c>
      <c r="H78" s="7" t="inlineStr">
        <is>
          <t>Keep pressure on the former user until dock scan — 1ZMD00000073.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Label 1ZMD00000073 printed; no SCAN-86 for MD-00073.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f>
        <v>0</v>
      </c>
      <c r="H79" s="7" t="inlineStr">
        <is>
          <t>HR Operations Lead: remove E0086 from MD-00073 and park the kit.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People file cleared E0086; ITAM row for MD-00073 did not (EX-0075).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f>
        <v>359.25</v>
      </c>
      <c r="H80" s="7" t="inlineStr">
        <is>
          <t>Hold MD-00074. Shipment serial MISMATCH-0074 ≠ register MD-MO-050074 on 1ZMD00000074.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f>
        <v>359.25</v>
      </c>
      <c r="H81" s="7" t="inlineStr">
        <is>
          <t>People side closed via OFF-00074; asset row still lists E0087. Fix custodian.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MD-00074 custodian equals terminated ID E0087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f>
        <v>359.25</v>
      </c>
      <c r="H82" s="7" t="inlineStr">
        <is>
          <t>Escalate recovery on MD-00074; 1ZMD00000074 is Label Created only.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Return paperwork exists (1ZMD00000074); physical return does not.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f>
        <v>647.42</v>
      </c>
      <c r="H83" s="7" t="inlineStr">
        <is>
          <t>MD-00075 past due 2026-07-15; label is not receipt (OFF-00075).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Ship file for MD-00075: label only. OFF-00075 overdue 2026-07-15.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f>
        <v>647.42</v>
      </c>
      <c r="H84" s="7" t="inlineStr">
        <is>
          <t>Stock or Regional IT must replace E0088 on MD-00075.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Custodian mismatch MD-00075↔E0088 documented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f>
        <v>953.89</v>
      </c>
      <c r="H85" s="7" t="inlineStr">
        <is>
          <t>Carrier exception 1ZMD00000076; MD-00076 stays held.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Shipment serial MISMATCH-0076 on 1ZMD00000076 vs register MD-NE-050076. Not cleared.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f>
        <v>953.89</v>
      </c>
      <c r="H86" s="7" t="inlineStr">
        <is>
          <t>Term cleanup — MD-00076 should not remain with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Evidence for EX-0082: register kept E0089 on MD-00076 post-separation.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f>
        <v>953.89</v>
      </c>
      <c r="H87" s="7" t="inlineStr">
        <is>
          <t>IT Asset Specialist: treat MD-00076 as not returned until inbound scan.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1ZMD00000076 remains Label Created. No acceptance, delivery, or dock scan.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f>
        <v>0</v>
      </c>
      <c r="H88" s="7" t="inlineStr">
        <is>
          <t>Outstanding kit MD-00077 / 1ZMD00000077 — escalate beyond label print.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Label 1ZMD00000077 printed; no SCAN-86 for MD-00077.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f>
        <v>0</v>
      </c>
      <c r="H89" s="7" t="inlineStr">
        <is>
          <t>HR Operations Lead: remove E0090 from MD-00077 and park the kit.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MD-00077 custodian equals terminated ID E0090 —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f>
        <v>328.95</v>
      </c>
      <c r="H90" s="7" t="inlineStr">
        <is>
          <t>Escalate recovery on MD-00078; 1ZMD00000078 is Label Created only.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1ZMD00000078 remains Label Created. No acceptance, delivery, or dock scan.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f>
        <v>328.95</v>
      </c>
      <c r="H91" s="7" t="inlineStr">
        <is>
          <t>OFF-00078 closed people; MD-00078 still shows the leaver.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Finding EX-0087 on MD-00078: former employee E0091 still listed as owner.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f>
        <v>692.62</v>
      </c>
      <c r="H92" s="7" t="inlineStr">
        <is>
          <t>Do not close MD-00079 as returned. 2026-07-15 passed with no SCAN-86.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1ZMD00000079 remains Label Created. No acceptance, delivery, or dock scan.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f>
        <v>692.62</v>
      </c>
      <c r="H93" s="7" t="inlineStr">
        <is>
          <t>MD-00079 still names a leaver (E0092). Close the assignment.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Term record for E0092 exists; MD-00079 assignment record did not update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f>
        <v>1374.53</v>
      </c>
      <c r="H94" s="7" t="inlineStr">
        <is>
          <t>Term cleanup — MD-00080 should not remain with E0093.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EX-0090 cites MD-00080 assigned to terminated E0093 despite OFF-00080.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f>
        <v>114.4</v>
      </c>
      <c r="H95" s="7" t="inlineStr">
        <is>
          <t>MD-00081 needs a stock/regional holder, not E0094.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People file cleared E0094; ITAM row for MD-00081 did not (EX-0091).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f>
        <v>485.55</v>
      </c>
      <c r="H96" s="7" t="inlineStr">
        <is>
          <t>MD-00082 stays exception. Dock photo is a HOLD lead, not a receipt. MISMATCH-0082 vs MD-MO-050082 on 1ZMD00000082.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MISMATCH-0082 vs MD-MO-050082. Used the photo as breadcrumb only.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f>
        <v>485.55</v>
      </c>
      <c r="H97" s="7" t="inlineStr">
        <is>
          <t>MD-00082 needs a stock/regional holder, not E0095.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Compared HR row E0095 to register row MD-00082 — assignment stale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f>
        <v>952.79</v>
      </c>
      <c r="H98" s="7" t="inlineStr">
        <is>
          <t>Move MD-00083 to Regional IT holding after E0071 exit.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closed for E0071; asset row did not follow for MD-00083 (EX-0094).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f>
        <v>533.85</v>
      </c>
      <c r="H99" s="7" t="inlineStr">
        <is>
          <t>Work carrier/receiving on 1ZMD00000084: MISMATCH-0084 vs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1ZMD00000084 does not match register serial MD-NE-050084.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f>
        <v>533.85</v>
      </c>
      <c r="H100" s="7" t="inlineStr">
        <is>
          <t>MD-00084 still names a leaver (E0072). Close the assignment.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EX-0096 cites MD-00084 assigned to terminated E0072 despite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f>
        <v>0</v>
      </c>
      <c r="H101" s="7" t="inlineStr">
        <is>
          <t>People side closed via OFF-00085; asset row still lists E0073. Fix custodian.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People extract vs register: MD-00085 retained leaver E0073. OFF-00085.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>
        <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f>
        <v>195</v>
      </c>
      <c r="H102" s="7" t="inlineStr">
        <is>
          <t>Align cost on MD-00085: register 1895.0 vs ledger 2090.0 (FA-000085).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Basis mismatch documented for MD-00085 (1895.0 vs 2090.0).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f>
        <v>317.07</v>
      </c>
      <c r="H103" s="7" t="inlineStr">
        <is>
          <t>HR shows E0074 gone — remove as custodian on MD-00086 (OFF-00086).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Compared HR row E0074 to register row MD-00086 — assignment stale (EX-0099).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f>
        <v>609.71</v>
      </c>
      <c r="H104" s="7" t="inlineStr">
        <is>
          <t>Assignment on MD-00087 survived HR term for E0075. Correct it.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Register owner on MD-00087 is stale relative to HR for E0075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f>
        <v>982.55</v>
      </c>
      <c r="H105" s="7" t="inlineStr">
        <is>
          <t>People side closed via OFF-00088; asset row still lists E0076. Fix custodian.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Compared HR row E0076 to register row MD-00088 — assignment stale (EX-0101).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f>
        <v>982.55</v>
      </c>
      <c r="H106" s="7" t="inlineStr">
        <is>
          <t>Duplicate MD-NE-050088 — MD-00088 and MD-00088,MD-00092. Neither is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more than one tag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f>
        <v>0</v>
      </c>
      <c r="H107" s="7" t="inlineStr">
        <is>
          <t>No scan/cert/count for MD-00089. Missing, not In Use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Could not place MD-00089 from available transactions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f>
        <v>0</v>
      </c>
      <c r="H108" s="7" t="inlineStr">
        <is>
          <t>Custodian field on MD-00089 still equals E0077; that is the fix.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Register owner on MD-00089 is stale relative to HR for E0077 (EX-0104).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f>
        <v>465.13</v>
      </c>
      <c r="H109" s="7" t="inlineStr">
        <is>
          <t>Security review + locate. MD-00090 remains Missing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Files do not locate MD-00090; Missing remains appropriate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f>
        <v>465.13</v>
      </c>
      <c r="H110" s="7" t="inlineStr">
        <is>
          <t>Recover or write-off later; first take E0078 off MD-00090.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lists E0078 as separated; register still assigns MD-00090 (EX-0106).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f>
        <v>643.09</v>
      </c>
      <c r="H111" s="7" t="inlineStr">
        <is>
          <t>Write-off only with approval; until then MD-00091 is Missing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 not found in inbound or stock after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f>
        <v>643.09</v>
      </c>
      <c r="H112" s="7" t="inlineStr">
        <is>
          <t>Unassign E0079 from MD-00091; hold under Regional IT / IT Stock.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Leaver E0079 remains on MD-00091 in the inventory extract (EX-0108).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f>
        <v>1396.04</v>
      </c>
      <c r="H113" s="7" t="inlineStr">
        <is>
          <t>No scan/cert/count for MD-00092. Missing, not In Use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MD-00092 not found in inbound or stock after Chicago - Closed (EX-0109).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f>
        <v>1396.04</v>
      </c>
      <c r="H114" s="7" t="inlineStr">
        <is>
          <t>Stock or Regional IT must replace E0080 on MD-00092.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Custodian mismatch MD-00092↔E0080 documented under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f>
        <v>1396.04</v>
      </c>
      <c r="H115" s="7" t="inlineStr">
        <is>
          <t>Two assets share MD-NE-050088 (MD-00088,MD-00092). Bench-validate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assets share MD-NE-050088; MD-00092 is one of them.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f>
        <v>130.57</v>
      </c>
      <c r="H116" s="7" t="inlineStr">
        <is>
          <t>Security review + locate. MD-00093 remains Missing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MD-00093 not found in inbound or stock after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f>
        <v>130.57</v>
      </c>
      <c r="H117" s="7" t="inlineStr">
        <is>
          <t>Stock or Regional IT must replace E0081 on MD-00093.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lists E0081 as separated; register still assigns MD-00093 (EX-0113).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f>
        <v>431.2</v>
      </c>
      <c r="H118" s="7" t="inlineStr">
        <is>
          <t>Write-off only with approval; until then MD-00094 is Missing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Nothing physical confirms MD-00094 at Unknown (EX-0114).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f>
        <v>431.2</v>
      </c>
      <c r="H119" s="7" t="inlineStr">
        <is>
          <t>Term cleanup — MD-00094 should not remain with E0082.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MD-00094 custodian equals terminated ID E0082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f>
        <v>894.87</v>
      </c>
      <c r="H120" s="7" t="inlineStr">
        <is>
          <t>MD-00095 dropped after Denver - Closed. Investigate; do not tidy status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Files do not locate MD-00095; Missing remains appropriate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f>
        <v>894.87</v>
      </c>
      <c r="H121" s="7" t="inlineStr">
        <is>
          <t>Close people assignment on MD-00095; ticket OFF-00095.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Custodian mismatch MD-00095↔E0083 documented under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f>
        <v>511.01</v>
      </c>
      <c r="H122" s="7" t="inlineStr">
        <is>
          <t>Start loss process for MD-00096; not in Unknown and not in receiving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Search trail cold for MD-00096 (OFF-00096). Last register site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f>
        <v>511.01</v>
      </c>
      <c r="H123" s="7" t="inlineStr">
        <is>
          <t>HR Operations Lead: remove E0084 from MD-00096 and park the kit.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closed for E0084; asset row did not follow for MD-00096 (EX-0119).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f>
        <v>0</v>
      </c>
      <c r="H124" s="7" t="inlineStr">
        <is>
          <t>Loss investigation on MD-00097; keep Missing until found or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Search trail cold for MD-00097 (OFF-00097). Last register site Denver - Closed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f>
        <v>0</v>
      </c>
      <c r="H125" s="7" t="inlineStr">
        <is>
          <t>Do not leave MD-00097 assigned to E0085 on the extract.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Offboarding closed for E0085; asset row did not follow for MD-00097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f>
        <v>266.87</v>
      </c>
      <c r="H126" s="7" t="inlineStr">
        <is>
          <t>Write-off only with approval; until then MD-00098 is Missing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Could not place MD-00098 from available transactions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f>
        <v>266.87</v>
      </c>
      <c r="H127" s="7" t="inlineStr">
        <is>
          <t>Move MD-00098 to Regional IT holding after E0086 exit.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Register owner on MD-00098 is stale relative to HR for E0086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f>
        <v>548.24</v>
      </c>
      <c r="H128" s="7" t="inlineStr">
        <is>
          <t>Cannot locate MD-00099 (OFF-00099). Missing until count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Search trail cold for MD-00099 (OFF-00099). Last register site Denver - Closed (EX-0124).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f>
        <v>548.24</v>
      </c>
      <c r="H129" s="7" t="inlineStr">
        <is>
          <t>Assignment on MD-00099 survived HR term for E0087. Correct it.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Offboarding closed for E0087; asset row did not follow for MD-00099 (EX-0125).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f>
        <v>927.36</v>
      </c>
      <c r="H130" s="7" t="inlineStr">
        <is>
          <t>IT Operations Manager: keep MD-00100 Missing on the register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receiving scan, disposal cert, or count places MD-00100. Last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f>
        <v>927.36</v>
      </c>
      <c r="H131" s="7" t="inlineStr">
        <is>
          <t>MD-00100 needs a stock/regional holder, not E0088.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status for E0088 and register assignment on MD-00100 disagree (EX-0127).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f>
        <v>0</v>
      </c>
      <c r="H132" s="7" t="inlineStr">
        <is>
          <t>Retirement parked for MD-00101 pending DC evidence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TR-00101 to recycler without DC for MD-00101 (EX-0128).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f>
        <v>0</v>
      </c>
      <c r="H133" s="7" t="inlineStr">
        <is>
          <t>MD-00101 cannot remain on shuttered floor Denver - Closed. Set location to Seattle (EX-0129).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Register still codes MD-00101 to Denver - Closed; TR-00101 points to Seattle (EX-0129).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f>
        <v>407.54</v>
      </c>
      <c r="H134" s="7" t="inlineStr">
        <is>
          <t>Do not call MD-00102 disposed — certificate missing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DC row ties to MD-MO-050102 for MD-00102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>
        <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f>
        <v>120</v>
      </c>
      <c r="H135" s="7" t="inlineStr">
        <is>
          <t>MD-00102 off vs FA-000102 (700.0 vs 820.0). Confirm which figure is correct.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Cost spread on MD-00102: ITAM $700.0, FAR 820.0 (FA-000102).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f>
        <v>407.54</v>
      </c>
      <c r="H136" s="7" t="inlineStr">
        <is>
          <t>Update register location for MD-00102 before the next cert packet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MD-00102 remains on unused floor Chicago - Closed in the inventory file (EX-0132).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f>
        <v>782.53</v>
      </c>
      <c r="H137" s="7" t="inlineStr">
        <is>
          <t>Obtain cert or restock MD-00103. Ticket RET-00103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Retirement/disposal path for MD-00103 has no matching certificate (EX-0133).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f>
        <v>782.53</v>
      </c>
      <c r="H138" s="7" t="inlineStr">
        <is>
          <t>HR-aligned site for MD-00103 is Chicago; register still says Denver - Closed (EX-0134).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Walked register vs HR/transfer: MD-00103 still says Denver - Closed (EX-0134).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f>
        <v>1403.83</v>
      </c>
      <c r="H139" s="7" t="inlineStr">
        <is>
          <t>Obtain cert or restock MD-00104. Ticket RET-00104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TR-00104 to recycler without DC for MD-00104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f>
        <v>1403.83</v>
      </c>
      <c r="H140" s="7" t="inlineStr">
        <is>
          <t>IT Asset Specialist owns the location rewrite for MD-00104 at Chicago - Closed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Unused-office coding on MD-00104 is unsupported by movement files (EX-0136).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f>
        <v>104.26</v>
      </c>
      <c r="H141" s="7" t="inlineStr">
        <is>
          <t>Match a vendor cert to MD-LA-050105 or unwind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DC row ties to MD-LA-050105 for MD-00105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f>
        <v>104.26</v>
      </c>
      <c r="H142" s="7" t="inlineStr">
        <is>
          <t>MD-00105 / Denver - Closed is a consolidation leftover — move to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Register location Denver - Closed conflicts with current footprint for MD-00105 (EX-0138).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f>
        <v>368.24</v>
      </c>
      <c r="H143" s="7" t="inlineStr">
        <is>
          <t>Hold retirement on MD-00106. Need disposal certificate or restock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Cert field empty on MD-00106; retirement not closed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f>
        <v>368.24</v>
      </c>
      <c r="H144" s="7" t="inlineStr">
        <is>
          <t>HR-aligned site for MD-00106 is New York; register still says Chicago - Closed (EX-0140).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Location evidence for MD-00106: closed floor Chicago - Closed vs live New York (EX-0140).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f>
        <v>812.21</v>
      </c>
      <c r="H145" s="7" t="inlineStr">
        <is>
          <t>RET-00107 has no matching cert; MD-00107 stays pending-disposal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Retirement/disposal path for MD-00107 has no matching certificate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f>
        <v>812.21</v>
      </c>
      <c r="H146" s="7" t="inlineStr">
        <is>
          <t>IT Asset Specialist owns the location rewrite for MD-00107 at Denver - Closed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Register location Denver - Closed conflicts with current footprint for MD-00107 (EX-0142).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f>
        <v>545.48</v>
      </c>
      <c r="H147" s="7" t="inlineStr">
        <is>
          <t>Hold retirement on MD-00108. Need disposal certificate or restock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No DC row ties to MD-NE-050108 for MD-00108 (EX-0143).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f>
        <v>545.48</v>
      </c>
      <c r="H148" s="7" t="inlineStr">
        <is>
          <t>MD-00108 location field lagged after consolidation; update from Chicago - Closed to Atlanta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Physical sites changed; MD-00108 register did not (Chicago - Closed, EX-0144).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f>
        <v>0</v>
      </c>
      <c r="H149" s="7" t="inlineStr">
        <is>
          <t>ITAM hold — MD-00109 not gone until cert lists the tag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Retirement/disposal path for MD-00109 has no matching certificate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f>
        <v>0</v>
      </c>
      <c r="H150" s="7" t="inlineStr">
        <is>
          <t>Denver - Closed is no longer occupied. Park MD-00109 at Chicago on the register (EX-0146).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Location evidence for MD-00109: closed floor Denver - Closed vs live Chicago (EX-0146).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f>
        <v>387.24</v>
      </c>
      <c r="H151" s="7" t="inlineStr">
        <is>
          <t>Hold retirement on MD-00110. Need disposal certificate or restock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Cert field empty on MD-00110; retirement not closed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f>
        <v>387.24</v>
      </c>
      <c r="H152" s="7" t="inlineStr">
        <is>
          <t>Location on MD-00110 must reflect Dallas after the site close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Chicago - Closed is shuttered. Did not leave MD-00110 there on paper — Dallas is live (EX-0148).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f>
        <v>0</v>
      </c>
      <c r="H153" s="7" t="inlineStr">
        <is>
          <t>MD-00114: pending disposal with no DC row. Block close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No DC row ties to MD-MO-050114 for MD-00114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f>
        <v>0</v>
      </c>
      <c r="H154" s="7" t="inlineStr">
        <is>
          <t>Remove closed-site coding on MD-00114 (Chicago - Closed → Disposed (certificate missing), EX-0150).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Register location Chicago - Closed conflicts with current footprint for MD-00114 (EX-0150).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f>
        <v>0</v>
      </c>
      <c r="H155" s="7" t="inlineStr">
        <is>
          <t>Paperwork gap on MD-00118: cert or reverse the retire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Cert field empty on MD-00118; retirement not closed (EX-0151).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f>
        <v>0</v>
      </c>
      <c r="H156" s="7" t="inlineStr">
        <is>
          <t>Do not leave MD-00118 assigned to unused floor Chicago - Closed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Did not treat closed building Chicago - Closed as live location for MD-00118 (EX-0152).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>
        <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f>
        <v>165</v>
      </c>
      <c r="H157" s="7" t="inlineStr">
        <is>
          <t>Finance Controller owns cost-basis cleanup on MD-00119.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Basis mismatch documented for MD-00119 (950.0 vs 1115.0).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f>
        <v>0</v>
      </c>
      <c r="H158" s="7" t="inlineStr">
        <is>
          <t>Clear the leftover closed-office assignment on MD-00121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Closed floor Denver - Closed remains on MD-00121 despite transfer evidence (EX-0154, TR-00121).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f>
        <v>336.15</v>
      </c>
      <c r="H159" s="7" t="inlineStr">
        <is>
          <t>IT Asset Specialist: recode MD-00122 off Chicago - Closed; Dallas is the live office per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Walked register vs HR/transfer: MD-00122 still says Chicago - Closed (EX-0155).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f>
        <v>622.62</v>
      </c>
      <c r="H160" s="7" t="inlineStr">
        <is>
          <t>Update register location for MD-00123 before the next cert packet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Register still codes MD-00123 to Denver - Closed; TR-00123 points to Denver (EX-0156).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f>
        <v>947.26</v>
      </c>
      <c r="H161" s="7" t="inlineStr">
        <is>
          <t>Remove closed-site coding on MD-00124 (Chicago - Closed → New York, 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Extract shows MD-00124 at Chicago - Closed — that building is locked (EX-0157).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f>
        <v>0</v>
      </c>
      <c r="H162" s="7" t="inlineStr">
        <is>
          <t>Seattle is supported by HR/transfer for MD-00125; Denver - Closed is obsolete (EX-0158).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Physical sites changed; MD-00125 register did not (Denver - Closed, EX-0158).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f>
        <v>302.75</v>
      </c>
      <c r="H163" s="7" t="inlineStr">
        <is>
          <t>Atlanta is supported by HR/transfer for MD-00126; Chicago - Closed is obsolete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Consolidation left MD-00126 @ Chicago - Closed; ops now use Atlanta (EX-0159).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f>
        <v>662.65</v>
      </c>
      <c r="H164" s="7" t="inlineStr">
        <is>
          <t>Either approve TR-00127 after the fact or put MD-00127 back.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Unapproved transfer TR-00127 on MD-00127 from equipment_transfer_log.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PO:PO-2023-0022;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f>
        <v>0</v>
      </c>
      <c r="H165" s="7" t="inlineStr">
        <is>
          <t>$700 on MD-00130. Below threshold. Informational only.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$700 on MD-00130 — under §7 gate. Ledger absence expected.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PO:PO-2023-0022;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f>
        <v>0</v>
      </c>
      <c r="H166" s="7" t="inlineStr">
        <is>
          <t>$1175 on MD-00131. Below threshold. Informational only.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Under-threshold check for MD-00131: $1175 &lt; $2,500.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f>
        <v>6470</v>
      </c>
      <c r="H167" s="7" t="inlineStr">
        <is>
          <t>Finance: FA line for MD-00132 or signed write-off. Regional note non-authoritative.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$6470.0 exceeds $2,500. RN-0132 is a claim, not a posting.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3"/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Seattle custody review for MD-00017 used the disposal column on the matrix. Source trail: TR-00017, PO-2024-0003, FA-000017, APR-00017.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TR-00017 2026-06-17; inbound Jun 19, 2026.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Verified In Use for MD-00017 in Seattle. High. EX-0001. E0017. TR-00017. APR-00017. PO. PO-2024-0003. FA-000017. ITAM_control_matrix.png.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Procurement PO-2025-0004 lists Dell Latitude 7440 /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Dock file shows May 03, 2026 for TR-00021 (MD-00021).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ITAM_control_matrix.png consulted for MD-00021 (return). Conclusion still tied to TR-00021, PO-2025-0004, FA-000021, APR-00021 at Denver, $1850.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MD-00021 custody narrative ends In Use (Medium). EX-0002. E0021. TR-00021. APR-00021. PO. PO-2025-0004. FA-000021. ITAM_control_matrix.png.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Procurement PO-2022-0005 lists Lenovo ThinkPad T14 / $2030.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Log row TR-00025. Receive date 01/22/2026.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Could not tie MD-00025 to a verified RN entry in the notes.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Auditors tracing MD-00025 should read matrix transfer, then TR-00025, PO-2022-0005, FA-000025, APR-00025. Working site Chicago; status call In Use.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Chain end MD-00025: In Use; Medium; EX-0003, EX-0004. E0025. TR-00025. APR-00025. PO. PO-2022-0005. FA-000025. ITAM_control_matrix.png.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MD-00034 inbound May 22, 2026 on TR-00034 /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file reviewed for MD-00034; no clearance language accepted.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MD-00034 / Dell U2723QE: return evidence expectations from Appendix A. Anchored to TR-00034, PO-2023-0006, FA-000034, APR-00034; acquisition $790.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Outcome MD-00034 — In Use, site New York, High. EX-0013, EX-0014. E0034. TR-00034. APR-00034. PO. PO-2023-0006. FA-000034. ITAM_control_matrix.png.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Capital buy MD-00051: Samsung Galaxy S24, $1040,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Dock file shows 2026-03-31 for TR-00051 (MD-00051).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Could not tie MD-00051 to a verified RN entry in the notes.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Did not treat the PNG as proof of location for MD-00051. return standard applied; TR-00051, PO-2022-0009, FA-000051, APR-00051 remains dispositive (Available).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I am standing on Available for MD-00051 (Denver, High). EX-0031, EX-0032. TR-00051. APR-00051. PO. PO-2022-0009. FA-000051. ITAM_control_matrix.png.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PO line PO-2023-0010 —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Dock file shows 05/23/2026 for TR-00058 (MD-00058).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claim (Asset appears to have been moved to Regional IT stock. The transfer record contains no app) does not beat a scan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MD-00058: checked ITAM-001 disposal row while reviewing TR-00058, PO-2023-0010, FA-000058, OFF-00058. Cost basis $610; confidence Medium. Figure does not replace logs.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 on MD-00058: Pending Redeployment, Medium. EX-0039, EX-0040, EX-0041. TR-00058. OFF-00058. PO. PO-2023-0010. FA-000058. ITAM_control_matrix.png.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PO-2023-0010 documents $1085 for Samsung Galaxy S24.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TR-00059 — got it 2026-06-26 at Seattle.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Opened OFF-00059. Status Closed.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Looked for MD-00059 in regional_IT_notes.docx; still need CSV/XLSX proof.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Matrix figure open for MD-00059 return path; transactional weight on TR-00059, PO-2023-0010, FA-000059, OFF-00059. Open exceptions EX-0042, EX-0043, EX-0044 still govern certification impact.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Closing MD-00059: Pending Redeployment at Seattle (Medium). EX-0042, EX-0043, EX-0044. TR-00059. OFF-00059. PO. PO-2023-0010. FA-000059. ITAM_control_matrix.png.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MD-00060 origin: PO-2023-0010,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Movement TR-00060 completed inbound Feb 02, 2026.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Closed. Return required=Yes, due 07/15/2026.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Word dump checked for MD-00060; no authoritative note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For MD-00060 (Cisco C9300), Appendix A transfer criteria were read against TR-00060, PO-2023-0010, FA-000060, OFF-00060, APR-00060. Verified status target Pending Redeployment at Atlanta; matrix PNG is reference only.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Final read MD-00060: Pending Redeployment @ Atlanta, confidence High. EX-0045, EX-0046. TR-00060. APR-00060. OFF-00060. PO. PO-2023-0010. FA-000060. ITAM_control_matrix.png.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PO-2024-0011 documents $2075 for Lenovo ThinkPad T14.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Assignment posted Feb 02, 2026. Docked 02/03/2026 (TR-00061).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Offboarding OFF-00061: Yes. Due 2026-07-15.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write-up for MD-00061 is non-authoritative per ITAM-001.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MD-00061: checked ITAM-001 assignment row while reviewing TR-00061, PO-2024-0011, FA-000061, OFF-00061, APR-00061. Cost basis $2075; confidence High. Figure does not replace logs.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Pending Redeployment is the status for MD-00061 at Chicago; High. EX-0047, EX-0048. TR-00061. APR-00061. OFF-00061. PO. PO-2024-0011. FA-000061. ITAM_control_matrix.png.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Warehouse receipt tied to PO-2024-0011. Dell U2723QE.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Dock file shows 2026-03-07 for TR-00062 (MD-00062).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Offboarding OFF-00062: Yes. Due Jul 15, 2026.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matching RN row for MD-00062; generic technician chatter in the Word file only.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MD-00062 / Dell U2723QE: financial evidence expectations from Appendix A. Anchored to TR-00062, PO-2024-0011, FA-000062, OFF-00062, APR-00062; acquisition $790.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Call on MD-00062: Pending Redeployment, High. EX-0049, EX-0050. TR-00062. APR-00062. OFF-00062. PO. PO-2024-0011. FA-000062. ITAM_control_matrix.png.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Bought the Samsung Galaxy S24 ($950) on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TR-00063 — got it Apr 16, 2026 at Denver.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OFF-00063 sits Closed. Hardware return was required. 07/15/2026.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Investigative color on MD-00063 in regional_IT_notes.docx — weight zero.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MD-00063: checked ITAM-001 return row while reviewing TR-00063, PO-2024-0011, FA-000063, OFF-00063, APR-00063. Cost basis $950; confidence High. Figure does not replace logs.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Outcome MD-00063 — Pending Redeployment, site Denver, High. EX-0051, EX-0052. TR-00063. APR-00063. OFF-00063. PO. PO-2024-0011. FA-000063. ITAM_control_matrix.png.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Procurement PO-2024-0011 lists Cisco C9300 /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From warehouse to Regional IT. TR-00064, received 05/14/2026.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People ticket OFF-00064. Doesn't by itself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Technician comment volume in the doc does not clear MD-00064.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Auditors tracing MD-00064 should read matrix transfer, then TR-00064, PO-2024-0011, FA-000064, OFF-00064. Working site New York; status call Pending Redeployment.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I am standing on Pending Redeployment for MD-00064 (New York, Medium). EX-0053, EX-0054, EX-0055. TR-00064. OFF-00064. PO. PO-2024-0011. FA-000064. ITAM_control_matrix.png.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$1940 MacBook Pro 14. PO-2024-0011.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Moved to Regional IT in Seattle on TR-00065. Received 2026-06-23.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People ticket OFF-00065. Doesn't by itself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Notes packet includes MD-00065 only as background, not evidence.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Auditors tracing MD-00065 should read matrix assignment, then TR-00065, PO-2024-0011, FA-000065, OFF-00065. Working site Seattle; status call Pending Redeployment.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Wrap-up MD-00065: Pending Redeployment (Medium) — EX-0056, EX-0057, EX-0058. TR-00065. OFF-00065. PO. PO-2024-0011. FA-000065. ITAM_control_matrix.png.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Ordered Dell U2723QE (MD-00066) on PO-2024-0011;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MD-00066 inbound Jan 25, 2026 on TR-00066 /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OFF-00066 — Closed. Due 07/15/2026.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MD-00066: Word-file mention only — treated as lead.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Matrix figure open for MD-00066 disposal path; transactional weight on TR-00066, PO-2024-0011, FA-000066, OFF-00066, APR-00066. Open exceptions EX-0059, EX-0060 still govern certification impact.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After the chain, MD-00066 is Pending Redeployment / Atlanta (High). EX-0059, EX-0060. TR-00066. APR-00066. OFF-00066. PO. PO-2024-0011. FA-000066. ITAM_control_matrix.png.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$1130 Samsung Galaxy S24.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Log row TR-00067. Receive date 02/23/2026.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Technician notes scanned for MD-00067; nothing usable without a transaction.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figure open for MD-00067 return path; transactional weight on TR-00067, PO-2025-0012, FA-000067, OFF-00067, APR-00067. Open exceptions EX-0061, EX-0062 still govern certification impact.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custody narrative ends Pending Redeployment (High). EX-0061, EX-0062. TR-00067. APR-00067. OFF-00067. PO. PO-2025-0012. FA-000067. ITAM_control_matrix.png.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First touch MD-00068 — PO-2025-0012,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Assignment posted 03/28/2026. Docked 2026-04-03 (TR-00068).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Offboarding OFF-00068: Yes. Due Jul 15, 2026.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exists. Carrier never accepted it.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Looked for MD-00068 in regional_IT_notes.docx; still need CSV/XLSX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Remote - Former Employee custody review for MD-00068 used the assignment column on the matrix. Source trail: TR-00068, PO-2025-0012, FA-000068, OFF-00068, APR-00068.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Return Overdue is the status for MD-00068 at Remote - Former Employee; Low. EX-0063, EX-0064, EX-0065. OFF-00068. 1ZMD00000068. TR-00068. E0081. PO. PO-2025-0012. FA-000068. ITAM_control_matrix.png.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Procurement PO-2025-0012 lists Dell Latitude 7440 /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Remote - Former Employee: TR-00069 received 05/04/2026.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2026-07-15.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Ship record 1ZMD00000069 hasn't left Label Created.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Looked for MD-00069 in regional_IT_notes.docx; still need CSV/XLSX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Control matrix cited on MD-00069 for assignment only. Movement/finance proof stays with TR-00069, PO-2025-0012, FA-000069, OFF-00069, APR-00069; exceptions EX-0066, EX-0067.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After the chain, MD-00069 is Return Overdue / Remote - Former Employee (Low). EX-0066, EX-0067. OFF-00069. 1ZMD00000069. TR-00069. E0082. PO. PO-2025-0012. FA-000069. ITAM_control_matrix.png.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First touch MD-00070 — PO-2025-0012,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Dock file shows Jun 03, 2026 for TR-00070 (MD-00070).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People ticket OFF-00070. Doesn't by itself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Printed 1ZMD00000070. Box not in the inbound file.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Word dump checked for MD-00070; no authoritative note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PDF + ITAM_control_matrix.png set the transfer bar for MD-00070. Compared that bar to TR-00070, PO-2025-0012, FA-000070, OFF-00070, APR-00070 before accepting any tech note.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Final read MD-00070: Return Overdue @ Remote - Former Employee, confidence Low. EX-0068, EX-0069. OFF-00070. 1ZMD00000070. TR-00070. E0083. PO. PO-2025-0012. FA-000070. ITAM_control_matrix.png.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Bought the Samsung Galaxy S24 ($995) on PO-2025-0012.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Log row TR-00071. Receive date 2026-07-12.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MD-00071 tied to OFF-00071 (Past Due). SLA Jul 15, 2026.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Return paperwork only.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Word dump checked for MD-00071; no authoritative note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MD-00071 / Samsung Galaxy S24: assignment evidence expectations from Appendix A. Anchored to TR-00071, PO-2025-0012, FA-000071, OFF-00071, APR-00071; acquisition $995.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Verified Return Overdue for MD-00071 in Remote - Former Employee. Low. EX-0070, EX-0071. OFF-00071. 1ZMD00000071. TR-00071. E0084. PO. PO-2025-0012. FA-000071. ITAM_control_matrix.png.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Purchasing file PO-2025-0012 matches MD-00072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Assignment posted Jan 18, 2026. Docked 01/18/2026 (TR-00072).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People ticket OFF-00072. Doesn't by itself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Printed 1ZMD00000072. Box not in the inbound file.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dump checked for MD-00072; no authoritative note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MD-00072 chain includes the figure as a assignment rubric (Low). Record set: TR-00072, PO-2025-0012, FA-000072, OFF-00072, APR-00072.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Closing MD-00072: Return Overdue at Remote - Former Employee (Low). EX-0072, EX-0073. OFF-00072. 1ZMD00000072. TR-00072. E0085. PO. PO-2025-0012. FA-000072. ITAM_control_matrix.png.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$1985 Lenovo ThinkPad T14. PO-2022-0013.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MD-00073 inbound Jan 24, 2026 on TR-00073 /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MD-00073 tied to OFF-00073 (Past Due). SLA 07/15/2026.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Return paperwork only.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Word dump checked for MD-00073; no authoritative note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MD-00073 chain includes the figure as a assignment rubric (Low). Record set: TR-00073, PO-2022-0013, FA-000073, OFF-00073, APR-00073.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I am standing on Return Overdue for MD-00073 (Remote - Former Employee, Low). EX-0074, EX-0075. OFF-00073. 1ZMD00000073. TR-00073. E0086. PO. PO-2022-0013. FA-000073. ITAM_control_matrix.png.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MD-00074 origin: PO-2022-0013,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Movement TR-00074 completed inbound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sits Past Due. Hardware return was required. Jul 15, 2026.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Printed 1ZMD00000074. Box not in the inbound file.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1ZMD00000074: serial on the shipment is not MD-MO-050074. Custody not cleared.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Technician notes scanned for MD-00074; nothing usable without a transaction.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PDF + ITAM_control_matrix.png set the transfer bar for MD-00074. Compared that bar to TR-00074, PO-2022-0013, FA-000074, OFF-00074, APR-00074 before accepting any tech note.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Wrap-up MD-00074: Return Overdue (Low) — EX-0076, EX-0077, EX-0078. 1ZMD00000074. OFF-00074. PO. PO-2022-0013. FA-000074. ITAM_control_matrix.png.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Assignment posted 03/31/2026. Docked 2026-04-01 (TR-00075).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MD-00075 tied to OFF-00075 (Past Due). SLA Jul 15, 2026.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Technician notes scanned for MD-00075; nothing usable without a transaction.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Auditors tracing MD-00075 should read matrix transfer, then TR-00075, PO-2022-0013, FA-000075, OFF-00075, APR-00075. Working site Remote - Former Employee; status call Return Overdue.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MD-00075 → Return Overdue. Confidence Low. EX-0079, EX-0080. OFF-00075. 1ZMD00000075. TR-00075. E0088. PO. PO-2022-0013. FA-000075. ITAM_control_matrix.png.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PO line PO-2022-0013 — Cisco C9300.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Dock file shows 05/03/2026 for TR-00076 (MD-00076).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People ticket OFF-00076. Doesn't by itself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Printed 1ZMD00000076. Box not in the inbound file.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Technician notes scanned for MD-00076; nothing usable without a transaction.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MD-00076: checked ITAM-001 return row while reviewing TR-00076, PO-2022-0013, FA-000076, OFF-00076, APR-00076. Cost basis $6470; confidence Low. Figure does not replace logs.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MD-00076 custody narrative ends Return Overdue (Low). EX-0081, EX-0082, EX-0083. 1ZMD00000076. OFF-00076. PO. PO-2022-0013. FA-000076. ITAM_control_matrix.png.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Procurement PO-2022-0013 lists MacBook Pro 14 /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TR-00077 — got it 06/06/2026 at Remote - Former Employee.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OFF-00077 Past Due. Return required=Yes, due 2026-07-15.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Technician notes scanned for MD-00077; nothing usable without a transaction.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PDF + ITAM_control_matrix.png set the transfer bar for MD-00077. Compared that bar to TR-00077, PO-2022-0013, FA-000077, OFF-00077, APR-00077 before accepting any tech note.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Wrap-up MD-00077: Return Overdue (Low) — EX-0084, EX-0085. OFF-00077. 1ZMD00000077. TR-00077. E0090. PO. PO-2022-0013. FA-000077. ITAM_control_matrix.png.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Remote - Former Employee: TR-00078 received Jan 10, 2026.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OFF-00078 — Past Due. Due 07/15/2026.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§5: label ≠ returned. 1ZMD00000078 / MD-MO-050078.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Technician notes scanned for MD-00078; nothing usable without a transaction.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Auditors tracing MD-00078 should read matrix transfer, then TR-00078, PO-2022-0013, FA-000078, OFF-00078, APR-00078. Working site Remote - Former Employee; status call Return Overdue.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MD-00078 → Return Overdue. Confidence Low. EX-0086, EX-0087. OFF-00078. 1ZMD00000078. TR-00078. E0091. PO. PO-2022-0013. FA-000078. ITAM_control_matrix.png.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Bought the Samsung Galaxy S24 ($1040) on PO-2023-0014.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Dock file shows 2026-02-13 for TR-00079 (MD-00079).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OFF-00079 Past Due. Return required=Yes, due Jul 15, 2026.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Technician notes scanned for MD-00079; nothing usable without a transaction.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ITAM_control_matrix.png consulted for MD-00079 (transfer). Conclusion still tied to TR-00079, PO-2023-0014, FA-000079, OFF-00079, APR-00079 at Remote - Former Employee, $1040.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Final read MD-00079: Return Overdue @ Remote - Former Employee, confidence Low. EX-0088, EX-0089. OFF-00079. 1ZMD00000079. TR-00079. E0092. PO. PO-2023-0014. FA-000079. ITAM_control_matrix.png.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Receiving against PO-2023-0014. Cisco C9300, $6335.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Movement TR-00080 completed inbound 03/17/2026.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Label-only on MD-00080. 1ZMD00000080.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UPS/carrier take recorded for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Dock scan on 1ZMD00000080.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Investigative color on MD-00080 in regional_IT_notes.docx — weight zero.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figure open for MD-00080 transfer path; transactional weight on TR-00080, PO-2023-0014, FA-000080, OFF-00080, APR-00080. Open exceptions EX-0090 still govern certification impact.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MD-00080 → Available. Confidence High. EX-0090. 1ZMD00000080. OFF-00080. TR-00080. PO. PO-2023-0014. FA-000080. ITAM_control_matrix.png.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Carrier Network: TR-00081 received Apr 20, 2026.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OFF-00081 Shipment Open. Return required=Yes, due 07/15/2026.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exists. Carrier never accepted it.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Acceptance event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Inbound scan completed (1ZMD00000081).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write-up for MD-00081 is non-authoritative per ITAM-001.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MD-00081: checked ITAM-001 financial row while reviewing TR-00081, PO-2023-0014, FA-000081, OFF-00081, APR-00081. Cost basis $2030; confidence High. Figure does not replace logs.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After the chain, MD-00081 is Available / Atlanta Warehouse (High). EX-0091. 1ZMD00000081. OFF-00081. TR-00081. PO. PO-2023-0014. FA-000081. ITAM_control_matrix.png.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Acquired MD-00082 (Dell U2723QE) for $745 via PO-2023-0014.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Assignment posted 05/22/2026. Docked 2026-05-24 (TR-00082).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Shipment Open. Return required=Yes, due Jul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1ZMD00000082 is Label Created. Serial on the label MD-MO-050082. Not proof of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Acceptance posted for 1ZMD00000082; not the same as dock receipt.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1ZMD00000082: serial on the shipment is not MD-MO-050082. Custody not cleared.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claim (Return package was delivered according to the technician, but the shipment serial does not) does not beat a scan for MD-00082.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MD-00082 chain includes the figure as a disposal rubric (Low). Record set: TR-00082, PO-2023-0014, FA-000082, OFF-00082, APR-00082.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Closing MD-00082: In Transit - Exception at Carrier Network / Unverified (Low). EX-0092, EX-0093. 1ZMD00000082. OFF-00082. 1ZMD00000082.png. PO. PO-2023-0014. FA-000082. ITAM_control_matrix.png.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Warehouse receipt tied to PO-2023-0014. Samsung Galaxy S24.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Assignment posted Jun 26, 2026. Docked 06/27/2026 (TR-00083).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Return paperwork only. 1ZMD00000083.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Parcel 1ZMD00000083 shows delivered; SCAN-86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stamp on 1ZMD00000083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Technician comment volume in the doc does not clear MD-00083.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PDF + ITAM_control_matrix.png set the assignment bar for MD-00083. Compared that bar to TR-00083, PO-2023-0014, FA-000083, OFF-00083, APR-00083 before accepting any tech note.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Verified Available for MD-00083 in Atlanta Warehouse. High. EX-0094. 1ZMD00000083. OFF-00083. TR-00083. PO. PO-2023-0014. FA-000083. ITAM_control_matrix.png.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Bought the Cisco C9300 ($6200) on PO-2023-0014.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/ APR-00084. Received Feb 05,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Opened OFF-00084. Status Shipment Open.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I didn't close MD-00084 on the 1Z print. 1ZMD00000084.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accepted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Mismatch inbound. MD-00084 stays exception. 1ZMD00000084.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Word file read; MD-00084 waits on transactional evidence.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MD-00084: checked ITAM-001 disposal row while reviewing TR-00084, PO-2023-0014, FA-000084, OFF-00084, APR-00084. Cost basis $6200; confidence Low. Figure does not replace logs.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Final read MD-00084: In Transit - Exception @ Carrier Network / Unverified, confidence Low. EX-0095, EX-0096. 1ZMD00000084. OFF-00084. PO. PO-2023-0014. FA-000084. ITAM_control_matrix.png.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Lenovo ThinkPad T14 came in on PO-2024-0015 ($1895).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TR-00085 Feb 02, 2026; inbound 02/03/2026.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§5: label ≠ returned. 1ZMD00000085 / MD-LA-050085.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1ZMD00000085 picked up (acceptance on file).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1ZMD00000085 delivered per carrier.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stamp on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Word dump checked for MD-00085; no authoritative note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MD-00085 / Lenovo ThinkPad T14: assignment evidence expectations from Appendix A. Anchored to TR-00085, PO-2024-0015, FA-000085, OFF-00085, APR-00085; acquisition $1895.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Available is the status for MD-00085 at Atlanta Warehouse; High. EX-0097, EX-0098. 1ZMD00000085. OFF-00085. TR-00085. PO. PO-2024-0015. FA-000085. ITAM_control_matrix.png.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PO-2024-0015 documents $610 for Dell U2723QE.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Dock file shows Mar 08, 2026 for TR-00086 (MD-00086).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People ticket OFF-00086. Doesn't by itself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Printed 1ZMD00000086. Box not in the inbound file.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accepted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posted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SCAN-86 equivalent on file for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file reviewed for MD-00086; no clearance language accepted.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Control matrix cited on MD-00086 for financial only. Movement/finance proof stays with TR-00086, PO-2024-0015, FA-000086, OFF-00086, APR-00086; exceptions EX-0099.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Chain end MD-00086: Available; High; EX-0099. 1ZMD00000086. OFF-00086. TR-00086. PO. PO-2024-0015. FA-000086. ITAM_control_matrix.png.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Purchasing file PO-2024-0015 matches MD-00087 at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MD-00087 inbound 2026-04-12 on TR-00087 /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Jul 15, 2026.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Label-only on MD-00087. 1ZMD00000087.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UPS/carrier take recorded for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Parcel 1ZMD00000087 shows delivered; SCAN-86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Dock scan on 1ZMD00000087.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Could not tie MD-00087 to a verified RN entry in the notes.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For MD-00087 (Samsung Galaxy S24), Appendix A return criteria were read against TR-00087, PO-2024-0015, FA-000087, OFF-00087, APR-00087. Verified status target Available at Atlanta Warehouse; matrix PNG is reference only.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I am standing on Available for MD-00087 (Atlanta Warehouse, High). EX-0100. 1ZMD00000087. OFF-00087. TR-00087. PO. PO-2024-0015. FA-000087. ITAM_control_matrix.png.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Acquired MD-00088 (Cisco C9300) for $6380 via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Recorded May 13, 2026, received 05/14/2026. TR-00088.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Offboarding OFF-00088: Yes. Due 2026-07-15.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exists. Carrier never accepted it.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Acceptance event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Delivered — 1ZMD00000088. Still need a receiving scan to finish returns.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stamp on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Looked for MD-00088 in regional_IT_notes.docx; still need CSV/XLSX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Control matrix cited on MD-00088 for assignment only. Movement/finance proof stays with TR-00088, PO-2024-0015, FA-000088, OFF-00088, APR-00088; exceptions EX-0101, EX-0102.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Final read MD-00088: Available @ Atlanta Warehouse, confidence Medium. EX-0101, EX-0102. 1ZMD00000088. OFF-00088. TR-00088. PO. PO-2024-0015. FA-000088. ITAM_control_matrix.png.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Warehouse receipt tied to PO-2024-0015.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TR-00089 — got it Jun 17, 2026 at Unknown.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07/15/2026.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mentions During the Denver exit walkthrough, someone mentioned a locked cage on floor 3 might still — lead only for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Unknown custody review for MD-00089 used the transfer column on the matrix. Source trail: TR-00089, PO-2024-0015, FA-000089, OFF-00089, APR-00089.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I won't invent a floor for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MD-00089 → Missing. Confidence Low. EX-0103, EX-0104. OFF-00089. TR-00089. PO. PO-2024-0015. FA-000089. ITAM_control_matrix.png.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PO line PO-2024-0015 — Dell U2723QE.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/ APR-00090. Received 2026-01-28.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sits Unresolved. Hardware return was required. Jul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Technician wrote about MD-00090 in regional_IT_notes.docx; treated as unverified.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Unknown custody review for MD-00090 used the disposal column on the matrix. Source trail: TR-00090, PO-2024-0015, FA-000090, OFF-00090, APR-00090.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I won't invent a floor for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Outcome MD-00090 — Missing, site Unknown, Low. EX-0105, EX-0106. OFF-00090. TR-00090. PO. PO-2024-0015. FA-000090. ITAM_control_matrix.png.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Purchasing file PO-2025-0016 matches MD-00091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MD-00091 inbound 02/24/2026 on TR-00091 /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Opened OFF-00091. Status Unresolved.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Technician wrote about MD-00091 in regional_IT_notes.docx; treated as unverified.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Control matrix cited on MD-00091 for disposal only. Movement/finance proof stays with TR-00091, PO-2025-0016, FA-000091, OFF-00091, APR-00091; exceptions EX-0107, EX-0108.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Final read MD-00091: Missing @ Unknown, confidence Low. EX-0107, EX-0108. OFF-00091. TR-00091. PO. PO-2025-0016. FA-000091. ITAM_control_matrix.png.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Procurement PO-2025-0016 lists Cisco C9300 /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From warehouse to Unverified. TR-00092, received Mar 28, 2026.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sits Unresolved. Hardware return was required. 07/15/2026.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Technician wrote about MD-00092 in regional_IT_notes.docx; treated as unverified.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For MD-00092 (Cisco C9300), Appendix A disposal criteria were read against TR-00092, PO-2025-0016, FA-000092, OFF-00092, APR-00092. Verified status target Missing at Unknown; matrix PNG is reference only.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I won't invent a floor for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Chain end MD-00092: Missing; Low; EX-0109, EX-0110, EX-0111. OFF-00092. TR-00092. PO. PO-2025-0016. FA-000092. ITAM_control_matrix.png.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PO-2025-0016: Dell Latitude 7440 at $1940.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Moved to Unverified in Unknown on TR-00093. Received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 on MD-00093. Return required Yes.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Technician wrote about MD-00093 in regional_IT_notes.docx; treated as unverified.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Unknown custody review for MD-00093 used the disposal column on the matrix. Source trail: TR-00093, PO-2025-0016, FA-000093, OFF-00093, APR-00093.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I won't invent a floor for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Wrap-up MD-00093: Missing (Low) — EX-0112, EX-0113. OFF-00093. TR-00093. PO. PO-2025-0016. FA-000093. ITAM_control_matrix.png.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Dell U2723QE came in on PO-2025-0016 ($655).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Recorded Jun 03, 2026, received 06/04/2026. TR-00094.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Offboarding OFF-00094: Yes.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Word-file breadcrumb on MD-00094: "IT float pool chat referenced this asset as 'still at closed site.' Chat is not an approva" — not authoritative.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MD-00094 / Dell U2723QE: return evidence expectations from Appendix A. Anchored to TR-00094, PO-2025-0016, FA-000094, OFF-00094, APR-00094; acquisition $655.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Call on MD-00094: Missing, Low. EX-0114, EX-0115. OFF-00094. TR-00094. PO. PO-2025-0016. FA-000094. ITAM_control_matrix.png.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Procurement PO-2025-0016 lists Samsung Galaxy S24 /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From warehouse to Unverified. TR-00095, received Jul 08, 2026.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 on MD-00095. Return required Yes.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Word-file breadcrumb on MD-00095: "Vendor teardown crew said they saw a similar model on a pallet marked scrap hold. Asset ta" — not authoritative.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 chain includes the figure as a return rubric (Low). Record set: TR-00095, PO-2025-0016, FA-000095, OFF-00095, APR-00095.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Unresolved. MD-00095 isn't in inbound or the cert file.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MD-00095: Missing at Unknown (Low). EX-0116, EX-0117. OFF-00095. TR-00095. PO. PO-2025-0016. FA-000095. ITAM_control_matrix.png.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2026-01-19.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Offboarding OFF-00096: Yes. Due Jul 15, 2026.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Word-file breadcrumb on MD-00096: "Helpdesk comment claims the user dropped it with building security before last day. Securi" — not authoritative.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Matrix figure open for MD-00096 return path; transactional weight on TR-00096, PO-2025-0016, FA-000096, OFF-00096, APR-00096. Open exceptions EX-0118, EX-0119 still govern certification impact.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Unresolved. MD-00096 isn't in inbound or the cert file.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MD-00096 custody narrative ends Missing (Low). EX-0118, EX-0119. OFF-00096. TR-00096. PO. PO-2025-0016. FA-000096. ITAM_control_matrix.png.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Ordered Lenovo ThinkPad T14 (MD-00097) on PO-2022-0017; $2120.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TR-00097 — got it 01/27/2026 at Unknown.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 on MD-00097. Return required Yes.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Word-file breadcrumb on MD-00097: "Regional spare inventory spreadsheet (offline) listed a placeholder row for this tag with " — not authoritative.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figure open for MD-00097 return path; transactional weight on TR-00097, PO-2022-0017, FA-000097, OFF-00097, APR-00097. Open exceptions EX-0120, EX-0121 still govern certification impact.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Unresolved. MD-00097 isn't in inbound or the cert file.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I am standing on Missing for MD-00097 (Unknown, Low). EX-0120, EX-0121. OFF-00097. TR-00097. PO. PO-2022-0017. FA-000097. ITAM_control_matrix.png.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Receiving against PO-2022-0017. Dell U2723QE,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Unknown: TR-00098 received Feb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07/15/2026.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Word-file breadcrumb on MD-00098: "Move captain's email guessed the device rode with furniture to storage. Furniture BOL does" — not authoritative.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MD-00098 / Dell U2723QE: return evidence expectations from Appendix A. Anchored to TR-00098, PO-2022-0017, FA-000098, OFF-00098, APR-00098; acquisition $520.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Unresolved. MD-00098 isn't in inbound or the cert file.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Missing is the status for MD-00098 at Unknown; Low. EX-0122, EX-0123. OFF-00098. TR-00098. PO. PO-2022-0017. FA-000098. ITAM_control_matrix.png.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Warehouse receipt tied to PO-2022-0017.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TR-00099 03/31/2026; inbound 2026-04-02.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— Unresolved. Due Jul 15, 2026.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mentions An intern's handwritten punch list includes this tag under 'find later.' No follow-up work — lead only for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Control matrix cited on MD-00099 for transfer only. Movement/finance proof stays with TR-00099, PO-2022-0017, FA-000099, OFF-00099, APR-00099; exceptions EX-0124, EX-0125.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Unresolved. MD-00099 isn't in inbound or the cert file.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Verified Missing for MD-00099 in Unknown. Low. EX-0124, EX-0125. OFF-00099. TR-00099. PO. PO-2022-0017. FA-000099. ITAM_control_matrix.png.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Capital buy MD-00100: Cisco C9300, $6290, PO-2022-0017.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TR-00100 — got it 05/05/2026 at Unknown.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— Unresolved. Due 2026-07-15.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Technician wrote about MD-00100 in regional_IT_notes.docx; treated as unverified.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MD-00100 / Cisco C9300: disposal evidence expectations from Appendix A. Anchored to TR-00100, PO-2022-0017, FA-000100, OFF-00100, APR-00100; acquisition $6290.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MD-00100 → Missing. Confidence Low. EX-0126, EX-0127. OFF-00100. TR-00100. PO. PO-2022-0017. FA-000100. ITAM_control_matrix.png.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Acquired MD-00101 (MacBook Pro 14) for $1985 via PO-2022-0017.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Seattle: TR-00101 received Jun 07, 2026.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sits Pending Disposal. Hardware return not required per ticket.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Word dump checked for MD-00101; no authoritative note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MD-00101 chain includes the figure as a transfer rubric (Medium). Record set: TR-00101, PO-2022-0017, FA-000101, RET-00101, APR-00101.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I am standing on Retired/Pending Disposal for MD-00101 (Seattle, Medium). EX-0128, EX-0129. RET-00101. TR-00101. PO. PO-2022-0017. FA-000101. ITAM_control_matrix.png.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Receiving against PO-2022-0017. Dell U2723QE,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MD-00102 inbound 01/11/2026 on TR-00102 /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RET-00102 — Pending Disposal. Due n/a.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Looked for MD-00102 in regional_IT_notes.docx; still need CSV/XLSX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Atlanta custody review for MD-00102 used the transfer column on the matrix. Source trail: TR-00102, PO-2022-0017, FA-000102, RET-00102, APR-00102.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chain, MD-00102 is Retired/Pending Disposal / Atlanta (Medium). EX-0130, EX-0131, EX-0132. RET-00102. TR-00102. PO. PO-2022-0017. FA-000102. ITAM_control_matrix.png.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Acquired MD-00103 (Samsung Galaxy S24) for $1175 via PO-2023-0018.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Chicago: TR-00103 received 2026-02-14.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RET-00103 sits Pending Disposal. Hardware return not required per ticket.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Technician prose on MD-00103 stays out of the custody conclusion.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MD-00103 chain includes the figure as a financial rubric (Medium). Record set: TR-00103, PO-2023-0018, FA-000103, RET-00103, APR-00103.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Final read MD-00103: Retired/Pending Disposal @ Chicago, confidence Medium. EX-0133, EX-0134. RET-00103. TR-00103. PO. PO-2023-0018. FA-000103. ITAM_control_matrix.png.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$6470 Cisco C9300.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Dock file shows Mar 18, 2026 for TR-00104 (MD-00104).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Could not tie MD-00104 to a verified RN entry in the notes.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While scoring MD-00104, disposal requirements came from the policy appendix. Checked TR-00104, PO-2023-0018, FA-000104, RET-00104, APR-00104 against those requirements.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Call on MD-00104: Retired/Pending Disposal, Medium. EX-0135, EX-0136. RET-00104. TR-00104. PO. PO-2023-0018. FA-000104. ITAM_control_matrix.png.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Purchasing file PO-2023-0018 matches MD-00105 at $1850.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From warehouse to Regional IT. TR-00105, received 04/21/2026.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Pending Disposal. Return required=No.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Investigative color on MD-00105 in regional_IT_notes.docx — weight zero.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consulted for MD-00105 (return). Conclusion still tied to TR-00105, PO-2023-0018, FA-000105, RET-00105, APR-00105 at Denver, $1850.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MD-00105 custody narrative ends Retired/Pending Disposal (Medium). EX-0137, EX-0138. RET-00105. TR-00105. PO. PO-2023-0018. FA-000105. ITAM_control_matrix.png.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Procurement PO-2023-0018 lists Dell U2723QE /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TR-00106 05/22/2026; inbound 2026-05-25.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RET-00106 sits Pending Disposal. Hardware return not required per ticket.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Notes packet includes MD-00106 only as background, not evidence.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MD-00106: checked ITAM-001 transfer row while reviewing TR-00106, PO-2023-0018, FA-000106, RET-00106, APR-00106. Cost basis $565; confidence Medium. Figure does not replace logs.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Wrap-up MD-00106: Retired/Pending Disposal (Medium) — EX-0139, EX-0140. RET-00106. TR-00106. PO. PO-2023-0018. FA-000106. ITAM_control_matrix.png.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Acquired MD-00107 (Samsung Galaxy S24) for $1040 via PO-2023-0018.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Log row TR-00107. Receive date Jun 27, 2026.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 on MD-00107. Return required No.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file reviewed for MD-00107; no clearance language accepted.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MD-00107: checked ITAM-001 financial row while reviewing TR-00107, PO-2023-0018, FA-000107, RET-00107, APR-00107. Cost basis $1040; confidence Medium. Figure does not replace logs.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Outcome MD-00107 — Retired/Pending Disposal, site Seattle, Medium. EX-0141, EX-0142. RET-00107. TR-00107. PO. PO-2023-0018. FA-000107. ITAM_control_matrix.png.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Receiving against PO-2023-0018. Cisco C9300,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/ APR-00108. Received 01/30/2026.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RET-00108 Pending Disposal. Return required=No.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I did not cite regional_IT_notes.docx as proof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MD-00108 / Cisco C9300: disposal evidence expectations from Appendix A. Anchored to TR-00108, PO-2023-0018, FA-000108, RET-00108, APR-00108; acquisition $6335.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Retired/Pending Disposal is the status for MD-00108 at Atlanta; Medium. EX-0143, EX-0144. RET-00108. TR-00108. PO. PO-2023-0018. FA-000108. ITAM_control_matrix.png.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$2030 Lenovo ThinkPad T14. PO-2024-0019.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TR-00109 — got it 2026-02-04 at Chicago.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sits Pending Disposal. Hardware return not required per ticket.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Technician notes scanned for MD-00109; nothing usable without a transaction.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Control matrix cited on MD-00109 for return only. Movement/finance proof stays with TR-00109, PO-2024-0019, FA-000109, RET-00109, APR-00109; exceptions EX-0145, EX-0146.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MD-00109 → Retired/Pending Disposal. Confidence Medium. EX-0145, EX-0146. RET-00109. TR-00109. PO. PO-2024-0019. FA-000109. ITAM_control_matrix.png.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/ APR-00110. Received Mar 08, 2026.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RET-00110 Pending Disposal. Return required=No.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Looked for MD-00110 in regional_IT_notes.docx; still need CSV/XLSX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For MD-00110 (Dell U2723QE), Appendix A transfer criteria were read against TR-00110, PO-2024-0019, FA-000110, RET-00110, APR-00110. Verified status target Retired/Pending Disposal at Dallas; matrix PNG is reference only.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Retired/Pending Disposal is the status for MD-00110 at Dallas; Medium. EX-0147, EX-0148. RET-00110. TR-00110. PO. PO-2024-0019. FA-000110. ITAM_control_matrix.png.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Procurement PO-2024-0019 lists Dell U2723QE /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Movement TR-00114 completed inbound 01/22/2026.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RET-00114 — Closed. Due n/a.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MD-00114 pending-disposal with an empty cert field.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Breadcrumb for MD-00114 in regional_IT_notes.docx; corroboration missing.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MD-00114: checked ITAM-001 financial row while reviewing TR-00114, PO-2024-0019, FA-000114, RET-00114, APR-00114. Cost basis $610; confidence Low. Figure does not replace logs.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Outcome MD-00114 — Retired/Pending Disposal, site Disposed (certificate missing), Low. EX-0149, EX-0150. TR-00114. RET-00114. PO. PO-2024-0019. FA-000114. ITAM_control_matrix.png.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Procurement PO-2025-0020 lists Dell U2723QE /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MD-00118 inbound Jun 04, 2026 on TR-00118 /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Offboarding RET-00118: No.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No DC for MD-00118. Transfer TR-00118 isn't enough.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I kept MD-00118 off the note until logs backed it.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Disposed (certificate missing) custody review for MD-00118 used the return column on the matrix. Source trail: TR-00118, PO-2025-0020, FA-000118, RET-00118, APR-00118.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Verified Retired/Pending Disposal for MD-00118 in Disposed (certificate missing). Low. EX-0151, EX-0152. TR-00118. RET-00118. PO. PO-2025-0020. FA-000118. ITAM_control_matrix.png.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PO-2025-0020: Samsung Galaxy S24 at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Movement TR-00119 completed inbound 2026-07-09.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RET-00119 — Closed. Due n/a.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Certificate DC-00119 matches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For MD-00119, notes are breadcrumb-only.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Did not treat the PNG as proof of location for MD-00119. transfer standard applied; TR-00119, PO-2025-0020, FA-000119, RET-00119, APR-00119 remains dispositive (Disposed).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Chain end MD-00119: Disposed; High; EX-0153. TR-00119. RET-00119. PO. PO-2025-0020. FA-000119. ITAM_control_matrix.png.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MD-00127 origin: PO-2023-0022, $995.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Denver custody review for MD-00127 used the return column on the matrix. Source trail: TR-00127, PO-2023-0022, FA-000127.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Log row TR-00127. Receive date 2026-02-17.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Outcome MD-00127 — In Use, site Denver, Medium. EX-0160. E0061. TR-00127. PO. PO-2023-0022. FA-000127. ITAM_control_matrix.png.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First touch MD-00130 — PO-2023-0022,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Auditors tracing MD-00130 should read matrix assignment, then TR-00130, PO-2023-0022, APR-00130. Working site Atlanta; status call In Use.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TR-00130 — got it May 28, 2026 at Atlanta.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Closing MD-00130: In Use at Atlanta (High). EX-0161. E0064. TR-00130. APR-00130. PO. PO-2023-0022. ITAM_control_matrix.png.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Ordered Samsung Galaxy S24 (MD-00131) on PO-2023-0022;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MD-00131 inbound Jun 28, 2026 on TR-00131 /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Auditors tracing MD-00131 should read matrix return, then TR-00131, PO-2023-0022, APR-00131. Working site Chicago; status call In Use.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Call on MD-00131: In Use, High. EX-0162. E0065. TR-00131. APR-00131. PO. PO-2023-0022. ITAM_control_matrix.png.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Ordered Cisco C9300 (MD-00132) on PO-2023-0022; $6470.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Moved to E0066 in Dallas on TR-00132. Received 01/31/2026.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Dallas custody review for MD-00132 used the return column on the matrix. Source trail: TR-00132, PO-2023-0022, APR-00132.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In Use is the status for MD-00132 at Dallas; High. EX-0163. E0066. TR-00132. APR-00132. PO. PO-2023-0022. ITAM_control_matrix.png.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3"/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— sum of acquisition cost (132 assets)</t>
        </is>
      </c>
      <c r="B5" s="5">
        <f>SUM('Corrected Register'!$M$5:$M$136)</f>
        <v>332115</v>
      </c>
    </row>
    <row r="6">
      <c r="A6" s="4" t="inlineStr">
        <is>
          <t>Fixed-asset ledger — sum of acquisition cost (129 assets)</t>
        </is>
      </c>
      <c r="B6" s="5">
        <f>SUM('Source Ledger'!$E$5:$E$133)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— remaining book value (ledger NBV where present; blank if missing)</t>
        </is>
      </c>
      <c r="B8" s="5">
        <f>SUM('Corrected Register'!$N$5:$N$136)</f>
        <v>61561.6</v>
      </c>
    </row>
    <row r="9">
      <c r="A9" s="4" t="inlineStr">
        <is>
          <t>Ledger — net book value, Active status only</t>
        </is>
      </c>
      <c r="B9" s="5">
        <f>SUMIF('Source Ledger'!$H$5:$H$133,"Active",'Source Ledger'!$G$5:$G$133)</f>
        <v>61561.6</v>
      </c>
    </row>
    <row r="10">
      <c r="A10" s="4" t="inlineStr">
        <is>
          <t>Ledger — net book value, all statuses including Disposed</t>
        </is>
      </c>
      <c r="B10" s="5">
        <f>SUM('Source Ledger'!$G$5:$G$133)</f>
        <v>61561.6</v>
      </c>
    </row>
    <row r="11">
      <c r="A11" s="4" t="inlineStr">
        <is>
          <t>Assets with matching acquisition cost (register vs ledger)</t>
        </is>
      </c>
      <c r="B11" s="5">
        <f>COUNTA('Corrected Register'!$A$5:$A$136)-B12-B13</f>
        <v>122</v>
      </c>
    </row>
    <row r="12">
      <c r="A12" s="4" t="inlineStr">
        <is>
          <t>Assets with acquisition cost mismatch</t>
        </is>
      </c>
      <c r="B12" s="5">
        <f>COUNTIF(B24:B35,"Acquisition cost mismatch")</f>
        <v>7</v>
      </c>
    </row>
    <row r="13">
      <c r="A13" s="4" t="inlineStr">
        <is>
          <t>Assets on inventory missing from ledger</t>
        </is>
      </c>
      <c r="B13" s="5">
        <f>COUNTIF(B24:B35,"On inventory, missing from ledger")</f>
        <v>3</v>
      </c>
    </row>
    <row r="16">
      <c r="A16" s="6" t="inlineStr">
        <is>
          <t>Explanation of remaining differences</t>
        </is>
      </c>
    </row>
    <row r="17" ht="48" customHeight="1">
      <c r="A17" s="13">
        <f>CONCATENATE("1) Three assets (MD-00130, MD-00131, MD-00132) appear on the operational register and PO-2023-0022 but have no fixed-asset ledger row. Combined register acquisition cost = $",TEXT(C33+C34+C35,"0.0"),".")</f>
        <v/>
      </c>
    </row>
    <row r="18" ht="48" customHeight="1">
      <c r="A18" s="13">
        <f>CONCATENATE("2) Seven assets have a systematic $175 ledger-over-register acquisition cost variance (MD-00017, MD-00034, MD-00051, MD-00068, MD-00085, MD-00102, MD-00119). Combined ledger cost excess = $",TEXT(E24+E25+E26+E27+E28+E29+E32,"#,##0"),".")</f>
        <v/>
      </c>
    </row>
    <row r="19" ht="48" customHeight="1">
      <c r="A19" s="13" t="inlineStr">
        <is>
          <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t>
        </is>
      </c>
    </row>
    <row r="20" ht="48" customHeight="1">
      <c r="A20" s="13" t="inlineStr">
        <is>
          <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Register'!$A$5:$A$136,'Corrected Register'!$M$5:$M$136),"")</f>
        <v>1985</v>
      </c>
      <c r="D24" s="7">
        <f>IFERROR(XLOOKUP(A24,'Source Ledger'!$B$5:$B$133,'Source Ledger'!$E$5:$E$133),"")</f>
        <v>2070</v>
      </c>
      <c r="E24" s="7">
        <f>IF(OR(C24="",D24=""),"",D24-C24)</f>
        <v>85</v>
      </c>
      <c r="F24" s="7">
        <f>IFERROR(XLOOKUP(A24,'Corrected Register'!$A$5:$A$136,'Corrected Register'!$N$5:$N$136),"")</f>
        <v>0</v>
      </c>
      <c r="G24" s="7">
        <f>IFERROR(XLOOKUP(A24,'Source Ledger'!$B$5:$B$133,'Source Ledger'!$G$5:$G$133),"")</f>
        <v>0</v>
      </c>
      <c r="H24" s="7" t="inlineStr">
        <is>
          <t>Ledger FA-000017 cost exceeds register by $85. Validate against PO-2024-0003.</t>
        </is>
      </c>
    </row>
    <row r="25">
      <c r="A25" s="7" t="inlineStr">
        <is>
          <t>MD-00034</t>
        </is>
      </c>
      <c r="B25" s="7" t="inlineStr">
        <is>
          <t>Acquisition cost mismatch</t>
        </is>
      </c>
      <c r="C25" s="7">
        <f>IFERROR(XLOOKUP(A25,'Corrected Register'!$A$5:$A$136,'Corrected Register'!$M$5:$M$136),"")</f>
        <v>790</v>
      </c>
      <c r="D25" s="7">
        <f>IFERROR(XLOOKUP(A25,'Source Ledger'!$B$5:$B$133,'Source Ledger'!$E$5:$E$133),"")</f>
        <v>930</v>
      </c>
      <c r="E25" s="7">
        <f>IF(OR(C25="",D25=""),"",D25-C25)</f>
        <v>140</v>
      </c>
      <c r="F25" s="7">
        <f>IFERROR(XLOOKUP(A25,'Corrected Register'!$A$5:$A$136,'Corrected Register'!$N$5:$N$136),"")</f>
        <v>514.88</v>
      </c>
      <c r="G25" s="7">
        <f>IFERROR(XLOOKUP(A25,'Source Ledger'!$B$5:$B$133,'Source Ledger'!$G$5:$G$133),"")</f>
        <v>514.88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Register'!$A$5:$A$136,'Corrected Register'!$M$5:$M$136),"")</f>
        <v>1040</v>
      </c>
      <c r="D26" s="7">
        <f>IFERROR(XLOOKUP(A26,'Source Ledger'!$B$5:$B$133,'Source Ledger'!$E$5:$E$133),"")</f>
        <v>1250</v>
      </c>
      <c r="E26" s="7">
        <f>IF(OR(C26="",D26=""),"",D26-C26)</f>
        <v>210</v>
      </c>
      <c r="F26" s="7">
        <f>IFERROR(XLOOKUP(A26,'Corrected Register'!$A$5:$A$136,'Corrected Register'!$N$5:$N$136),"")</f>
        <v>573.03</v>
      </c>
      <c r="G26" s="7">
        <f>IFERROR(XLOOKUP(A26,'Source Ledger'!$B$5:$B$133,'Source Ledger'!$G$5:$G$133),"")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Register'!$A$5:$A$136,'Corrected Register'!$M$5:$M$136),"")</f>
        <v>6425</v>
      </c>
      <c r="D27" s="7">
        <f>IFERROR(XLOOKUP(A27,'Source Ledger'!$B$5:$B$133,'Source Ledger'!$E$5:$E$133),"")</f>
        <v>6480</v>
      </c>
      <c r="E27" s="7">
        <f>IF(OR(C27="",D27=""),"",D27-C27)</f>
        <v>55</v>
      </c>
      <c r="F27" s="7">
        <f>IFERROR(XLOOKUP(A27,'Corrected Register'!$A$5:$A$136,'Corrected Register'!$N$5:$N$136),"")</f>
        <v>1436.28</v>
      </c>
      <c r="G27" s="7">
        <f>IFERROR(XLOOKUP(A27,'Source Ledger'!$B$5:$B$133,'Source Ledger'!$G$5:$G$133),"")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Register'!$A$5:$A$136,'Corrected Register'!$M$5:$M$136),"")</f>
        <v>1895</v>
      </c>
      <c r="D28" s="7">
        <f>IFERROR(XLOOKUP(A28,'Source Ledger'!$B$5:$B$133,'Source Ledger'!$E$5:$E$133),"")</f>
        <v>2090</v>
      </c>
      <c r="E28" s="7">
        <f>IF(OR(C28="",D28=""),"",D28-C28)</f>
        <v>195</v>
      </c>
      <c r="F28" s="7">
        <f>IFERROR(XLOOKUP(A28,'Corrected Register'!$A$5:$A$136,'Corrected Register'!$N$5:$N$136),"")</f>
        <v>0</v>
      </c>
      <c r="G28" s="7">
        <f>IFERROR(XLOOKUP(A28,'Source Ledger'!$B$5:$B$133,'Source Ledger'!$G$5:$G$133),"")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Register'!$A$5:$A$136,'Corrected Register'!$M$5:$M$136),"")</f>
        <v>700</v>
      </c>
      <c r="D29" s="7">
        <f>IFERROR(XLOOKUP(A29,'Source Ledger'!$B$5:$B$133,'Source Ledger'!$E$5:$E$133),"")</f>
        <v>820</v>
      </c>
      <c r="E29" s="7">
        <f>IF(OR(C29="",D29=""),"",D29-C29)</f>
        <v>120</v>
      </c>
      <c r="F29" s="7">
        <f>IFERROR(XLOOKUP(A29,'Corrected Register'!$A$5:$A$136,'Corrected Register'!$N$5:$N$136),"")</f>
        <v>407.54</v>
      </c>
      <c r="G29" s="7">
        <f>IFERROR(XLOOKUP(A29,'Source Ledger'!$B$5:$B$133,'Source Ledger'!$G$5:$G$133),"")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Register'!$A$5:$A$136,'Corrected Register'!$M$5:$M$136),"")</f>
        <v>610</v>
      </c>
      <c r="D30" s="7">
        <f>IFERROR(XLOOKUP(A30,'Source Ledger'!$B$5:$B$133,'Source Ledger'!$E$5:$E$133),"")</f>
        <v>610</v>
      </c>
      <c r="E30" s="7">
        <f>IF(OR(C30="",D30=""),"",D30-C30)</f>
        <v>0</v>
      </c>
      <c r="F30" s="7">
        <f>IFERROR(XLOOKUP(A30,'Corrected Register'!$A$5:$A$136,'Corrected Register'!$N$5:$N$136),"")</f>
        <v>0</v>
      </c>
      <c r="G30" s="7">
        <f>IFERROR(XLOOKUP(A30,'Source Ledger'!$B$5:$B$133,'Source Ledger'!$G$5:$G$133),"")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Register'!$A$5:$A$136,'Corrected Register'!$M$5:$M$136),"")</f>
        <v>790</v>
      </c>
      <c r="D31" s="7">
        <f>IFERROR(XLOOKUP(A31,'Source Ledger'!$B$5:$B$133,'Source Ledger'!$E$5:$E$133),"")</f>
        <v>790</v>
      </c>
      <c r="E31" s="7">
        <f>IF(OR(C31="",D31=""),"",D31-C31)</f>
        <v>0</v>
      </c>
      <c r="F31" s="7">
        <f>IFERROR(XLOOKUP(A31,'Corrected Register'!$A$5:$A$136,'Corrected Register'!$N$5:$N$136),"")</f>
        <v>0</v>
      </c>
      <c r="G31" s="7">
        <f>IFERROR(XLOOKUP(A31,'Source Ledger'!$B$5:$B$133,'Source Ledger'!$G$5:$G$133),"")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Register'!$A$5:$A$136,'Corrected Register'!$M$5:$M$136),"")</f>
        <v>950</v>
      </c>
      <c r="D32" s="7">
        <f>IFERROR(XLOOKUP(A32,'Source Ledger'!$B$5:$B$133,'Source Ledger'!$E$5:$E$133),"")</f>
        <v>1115</v>
      </c>
      <c r="E32" s="7">
        <f>IF(OR(C32="",D32=""),"",D32-C32)</f>
        <v>165</v>
      </c>
      <c r="F32" s="7">
        <f>IFERROR(XLOOKUP(A32,'Corrected Register'!$A$5:$A$136,'Corrected Register'!$N$5:$N$136),"")</f>
        <v>0</v>
      </c>
      <c r="G32" s="7">
        <f>IFERROR(XLOOKUP(A32,'Source Ledger'!$B$5:$B$133,'Source Ledger'!$G$5:$G$133),"")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Below capitalization threshold — ledger absence expected</t>
        </is>
      </c>
      <c r="C33" s="7">
        <f>IFERROR(XLOOKUP(A33,'Corrected Register'!$A$5:$A$136,'Corrected Register'!$M$5:$M$136),"")</f>
        <v>700</v>
      </c>
      <c r="D33" s="7">
        <f>IFERROR(XLOOKUP(A33,'Source Ledger'!$B$5:$B$133,'Source Ledger'!$E$5:$E$133),"")</f>
        <v/>
      </c>
      <c r="E33" s="7">
        <f>IF(OR(C33="",D33=""),"",D33-C33)</f>
        <v/>
      </c>
      <c r="F33" s="7">
        <f>IFERROR(XLOOKUP(A33,'Corrected Register'!$A$5:$A$136,'Corrected Register'!$N$5:$N$136),"")</f>
        <v/>
      </c>
      <c r="G33" s="7">
        <f>IFERROR(XLOOKUP(A33,'Source Ledger'!$B$5:$B$133,'Source Ledger'!$G$5:$G$133),"")</f>
        <v/>
      </c>
      <c r="H33" s="7" t="inlineStr">
        <is>
          <t>Register cost below $2,500. PO-2023-0022 capitalization_approved does not create an FA expectation. Informational only under ITAM-001 §7.</t>
        </is>
      </c>
    </row>
    <row r="34">
      <c r="A34" s="7" t="inlineStr">
        <is>
          <t>MD-00131</t>
        </is>
      </c>
      <c r="B34" s="7" t="inlineStr">
        <is>
          <t>Below capitalization threshold — ledger absence expected</t>
        </is>
      </c>
      <c r="C34" s="7">
        <f>IFERROR(XLOOKUP(A34,'Corrected Register'!$A$5:$A$136,'Corrected Register'!$M$5:$M$136),"")</f>
        <v>1175</v>
      </c>
      <c r="D34" s="7">
        <f>IFERROR(XLOOKUP(A34,'Source Ledger'!$B$5:$B$133,'Source Ledger'!$E$5:$E$133),"")</f>
        <v/>
      </c>
      <c r="E34" s="7">
        <f>IF(OR(C34="",D34=""),"",D34-C34)</f>
        <v/>
      </c>
      <c r="F34" s="7">
        <f>IFERROR(XLOOKUP(A34,'Corrected Register'!$A$5:$A$136,'Corrected Register'!$N$5:$N$136),"")</f>
        <v/>
      </c>
      <c r="G34" s="7">
        <f>IFERROR(XLOOKUP(A34,'Source Ledger'!$B$5:$B$133,'Source Ledger'!$G$5:$G$133),"")</f>
        <v/>
      </c>
      <c r="H34" s="7" t="inlineStr">
        <is>
          <t>Register cost below $2,500. PO-2023-0022 capitalization_approved does not create an FA expectation. Informational only under ITAM-001 §7.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Register'!$A$5:$A$136,'Corrected Register'!$M$5:$M$136),"")</f>
        <v>6470</v>
      </c>
      <c r="D35" s="7">
        <f>IFERROR(XLOOKUP(A35,'Source Ledger'!$B$5:$B$133,'Source Ledger'!$E$5:$E$133),"")</f>
        <v/>
      </c>
      <c r="E35" s="7">
        <f>IF(OR(C35="",D35=""),"",D35-C35)</f>
        <v/>
      </c>
      <c r="F35" s="7">
        <f>IFERROR(XLOOKUP(A35,'Corrected Register'!$A$5:$A$136,'Corrected Register'!$N$5:$N$136),"")</f>
        <v/>
      </c>
      <c r="G35" s="7">
        <f>IFERROR(XLOOKUP(A35,'Source Ledger'!$B$5:$B$133,'Source Ledger'!$G$5:$G$133),"")</f>
        <v/>
      </c>
      <c r="H35" s="7" t="inlineStr">
        <is>
          <t>No FA record for $6,470 network asset. Critical under ITAM-001 §7. Reject RN-0132 under-threshold claim.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3"/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(MD-00089–MD-00100).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MD-00101–MD-00110)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— Source Systems of Record</t>
        </is>
      </c>
    </row>
    <row r="2"/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2"/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Etienne Fokou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2026-08-20T04:18:05Z</dcterms:modified>
</cp:coreProperties>
</file>