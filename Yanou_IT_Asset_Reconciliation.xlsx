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Ledg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rrected Register" sheetId="3" state="visible" r:id="rId3"/>
    <sheet xmlns:r="http://schemas.openxmlformats.org/officeDocument/2006/relationships" name="Exception Register" sheetId="4" state="visible" r:id="rId4"/>
    <sheet xmlns:r="http://schemas.openxmlformats.org/officeDocument/2006/relationships" name="Custody Chain" sheetId="5" state="visible" r:id="rId5"/>
    <sheet xmlns:r="http://schemas.openxmlformats.org/officeDocument/2006/relationships" name="Ledger Reconciliation" sheetId="6" state="visible" r:id="rId6"/>
    <sheet xmlns:r="http://schemas.openxmlformats.org/officeDocument/2006/relationships" name="Certification" sheetId="7" state="visible" r:id="rId7"/>
    <sheet xmlns:r="http://schemas.openxmlformats.org/officeDocument/2006/relationships" name="Evidence Index" sheetId="8" state="visible" r:id="rId8"/>
    <sheet xmlns:r="http://schemas.openxmlformats.org/officeDocument/2006/relationships"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  <font>
      <name val="Calibri"/>
      <sz val="11"/>
    </font>
  </fonts>
  <fills count="12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  <xf numFmtId="0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514.88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>
        <f>COUNTA('Corrected Register'!$A$5:$A$136)</f>
        <v>132</v>
      </c>
    </row>
    <row r="6">
      <c r="A6" s="4" t="inlineStr">
        <is>
          <t>Corrected register acquisition cost</t>
        </is>
      </c>
      <c r="B6" s="5">
        <f>SUM('Corrected Register'!$M$5:$M$136)</f>
        <v>332115</v>
      </c>
    </row>
    <row r="7">
      <c r="A7" s="4" t="inlineStr">
        <is>
          <t>Remaining book value (ledger NBV where present)</t>
        </is>
      </c>
      <c r="B7" s="5">
        <f>SUM('Corrected Register'!$N$5:$N$136)</f>
        <v>61561.6</v>
      </c>
    </row>
    <row r="8">
      <c r="A8" s="4" t="inlineStr">
        <is>
          <t>Open exceptions</t>
        </is>
      </c>
      <c r="B8" s="5">
        <f>COUNTIF('Exception Register'!$K$5:$K$167,"Open")</f>
        <v>163</v>
      </c>
    </row>
    <row r="9">
      <c r="A9" s="4" t="inlineStr">
        <is>
          <t>Certification blockers (Critical impact)</t>
        </is>
      </c>
      <c r="B9" s="5">
        <f>COUNTIF('Exception Register'!$C$5:$C$167,"Critical")</f>
        <v>43</v>
      </c>
    </row>
    <row r="10">
      <c r="A10" s="4" t="inlineStr">
        <is>
          <t>Assets Missing / Cannot Locate</t>
        </is>
      </c>
      <c r="B10" s="5">
        <f>COUNTIF('Corrected Register'!$J$5:$J$136,"Missing")</f>
        <v>12</v>
      </c>
    </row>
    <row r="11">
      <c r="A11" s="4" t="inlineStr">
        <is>
          <t>Overdue returns (label ≠ proof)</t>
        </is>
      </c>
      <c r="B11" s="5">
        <f>COUNTIF('Corrected Register'!$J$5:$J$136,"Return Overdue")</f>
        <v>12</v>
      </c>
    </row>
    <row r="12">
      <c r="A12" s="4" t="inlineStr">
        <is>
          <t>Verified disposed with certificate</t>
        </is>
      </c>
      <c r="B12" s="5">
        <f>COUNTIF('Corrected Register'!$J$5:$J$136,"Disposed")</f>
        <v>8</v>
      </c>
    </row>
    <row r="13">
      <c r="A13" s="4" t="inlineStr">
        <is>
          <t>Custody chains documented</t>
        </is>
      </c>
      <c r="B13" s="5">
        <f>COUNTA(UNIQUE(FILTER('Custody Chain'!A5:A501,'Custody Chain'!A5:A501&lt;&gt;"")))</f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Register'!$J$5:$J$136,A19)</f>
        <v>25</v>
      </c>
      <c r="C19" s="7">
        <f>SUMIF('Corrected Register'!$J$5:$J$136,A19,'Corrected Register'!$N$5:$N$136)</f>
        <v>12961</v>
      </c>
      <c r="E19" s="7" t="inlineStr">
        <is>
          <t>Laptop</t>
        </is>
      </c>
      <c r="F19" s="7">
        <f>COUNTIF('Corrected Register'!$C$5:$C$136,E19)</f>
        <v>32</v>
      </c>
      <c r="G19" s="7">
        <f>SUMIF('Corrected Register'!$C$5:$C$136,E19,'Corrected Register'!$N$5:$N$136)</f>
        <v>1194.95</v>
      </c>
    </row>
    <row r="20">
      <c r="A20" s="7" t="inlineStr">
        <is>
          <t>Disposed</t>
        </is>
      </c>
      <c r="B20" s="7">
        <f>COUNTIF('Corrected Register'!$J$5:$J$136,A20)</f>
        <v>8</v>
      </c>
      <c r="C20" s="7">
        <f>SUMIF('Corrected Register'!$J$5:$J$136,A20,'Corrected Register'!$N$5:$N$136)</f>
        <v>0</v>
      </c>
      <c r="E20" s="7" t="inlineStr">
        <is>
          <t>Mobile Device</t>
        </is>
      </c>
      <c r="F20" s="7">
        <f>COUNTIF('Corrected Register'!$C$5:$C$136,E20)</f>
        <v>33</v>
      </c>
      <c r="G20" s="7">
        <f>SUMIF('Corrected Register'!$C$5:$C$136,E20,'Corrected Register'!$N$5:$N$136)</f>
        <v>20855.29</v>
      </c>
    </row>
    <row r="21">
      <c r="A21" s="8" t="inlineStr">
        <is>
          <t>In Transit - Exception</t>
        </is>
      </c>
      <c r="B21" s="7">
        <f>COUNTIF('Corrected Register'!$J$5:$J$136,A21)</f>
        <v>2</v>
      </c>
      <c r="C21" s="7">
        <f>SUMIF('Corrected Register'!$J$5:$J$136,A21,'Corrected Register'!$N$5:$N$136)</f>
        <v>1019.4000000000001</v>
      </c>
      <c r="E21" s="7" t="inlineStr">
        <is>
          <t>Monitor</t>
        </is>
      </c>
      <c r="F21" s="7">
        <f>COUNTIF('Corrected Register'!$C$5:$C$136,E21)</f>
        <v>34</v>
      </c>
      <c r="G21" s="7">
        <f>SUMIF('Corrected Register'!$C$5:$C$136,E21,'Corrected Register'!$N$5:$N$136)</f>
        <v>11329.869999999999</v>
      </c>
    </row>
    <row r="22">
      <c r="A22" s="7" t="inlineStr">
        <is>
          <t>In Use</t>
        </is>
      </c>
      <c r="B22" s="7">
        <f>COUNTIF('Corrected Register'!$J$5:$J$136,A22)</f>
        <v>51</v>
      </c>
      <c r="C22" s="7">
        <f>SUMIF('Corrected Register'!$J$5:$J$136,A22,'Corrected Register'!$N$5:$N$136)</f>
        <v>25512.76</v>
      </c>
      <c r="E22" s="7" t="inlineStr">
        <is>
          <t>Network Asset</t>
        </is>
      </c>
      <c r="F22" s="7">
        <f>COUNTIF('Corrected Register'!$C$5:$C$136,E22)</f>
        <v>33</v>
      </c>
      <c r="G22" s="7">
        <f>SUMIF('Corrected Register'!$C$5:$C$136,E22,'Corrected Register'!$N$5:$N$136)</f>
        <v>28181.489999999998</v>
      </c>
    </row>
    <row r="23">
      <c r="A23" s="8" t="inlineStr">
        <is>
          <t>Missing</t>
        </is>
      </c>
      <c r="B23" s="7">
        <f>COUNTIF('Corrected Register'!$J$5:$J$136,A23)</f>
        <v>12</v>
      </c>
      <c r="C23" s="7">
        <f>SUMIF('Corrected Register'!$J$5:$J$136,A23,'Corrected Register'!$N$5:$N$136)</f>
        <v>6214.38</v>
      </c>
    </row>
    <row r="24">
      <c r="A24" s="7" t="inlineStr">
        <is>
          <t>Pending Redeployment</t>
        </is>
      </c>
      <c r="B24" s="7">
        <f>COUNTIF('Corrected Register'!$J$5:$J$136,A24)</f>
        <v>10</v>
      </c>
      <c r="C24" s="7">
        <f>SUMIF('Corrected Register'!$J$5:$J$136,A24,'Corrected Register'!$N$5:$N$136)</f>
        <v>4851.08</v>
      </c>
    </row>
    <row r="25">
      <c r="A25" s="7" t="inlineStr">
        <is>
          <t>Retired/Pending Disposal</t>
        </is>
      </c>
      <c r="B25" s="7">
        <f>COUNTIF('Corrected Register'!$J$5:$J$136,A25)</f>
        <v>12</v>
      </c>
      <c r="C25" s="7">
        <f>SUMIF('Corrected Register'!$J$5:$J$136,A25,'Corrected Register'!$N$5:$N$136)</f>
        <v>4811.33</v>
      </c>
    </row>
    <row r="26">
      <c r="A26" s="8" t="inlineStr">
        <is>
          <t>Return Overdue</t>
        </is>
      </c>
      <c r="B26" s="7">
        <f>COUNTIF('Corrected Register'!$J$5:$J$136,A26)</f>
        <v>12</v>
      </c>
      <c r="C26" s="7">
        <f>SUMIF('Corrected Register'!$J$5:$J$136,A26,'Corrected Register'!$N$5:$N$136)</f>
        <v>6191.65</v>
      </c>
    </row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Register'!$I$5:$I$136,A32)</f>
        <v>16</v>
      </c>
      <c r="C32" s="7">
        <f>SUMIF('Corrected Register'!$I$5:$I$136,A32,'Corrected Register'!$N$5:$N$136)</f>
        <v>5184.18</v>
      </c>
      <c r="E32" s="7" t="inlineStr">
        <is>
          <t>Cannot Locate</t>
        </is>
      </c>
      <c r="F32" s="7">
        <f>COUNTIF('Exception Register'!$B$5:$B$167,E32)</f>
        <v>12</v>
      </c>
      <c r="G32" s="7">
        <f>SUMIF('Exception Register'!$B$5:$B$167,E32,'Exception Register'!$G$5:$G$167)</f>
        <v>6214.379999999999</v>
      </c>
    </row>
    <row r="33">
      <c r="A33" s="7" t="inlineStr">
        <is>
          <t>Atlanta</t>
        </is>
      </c>
      <c r="B33" s="7">
        <f>COUNTIF('Corrected Register'!$I$5:$I$136,A33)</f>
        <v>15</v>
      </c>
      <c r="C33" s="7">
        <f>SUMIF('Corrected Register'!$I$5:$I$136,A33,'Corrected Register'!$N$5:$N$136)</f>
        <v>6267.29</v>
      </c>
      <c r="E33" s="7" t="inlineStr">
        <is>
          <t>Closed Location Assignment</t>
        </is>
      </c>
      <c r="F33" s="7">
        <f>COUNTIF('Exception Register'!$B$5:$B$167,E33)</f>
        <v>61</v>
      </c>
      <c r="G33" s="7">
        <f>SUMIF('Exception Register'!$B$5:$B$167,E33,'Exception Register'!$G$5:$G$167)</f>
        <v>29098.839999999997</v>
      </c>
    </row>
    <row r="34">
      <c r="A34" s="7" t="inlineStr">
        <is>
          <t>Dallas</t>
        </is>
      </c>
      <c r="B34" s="7">
        <f>COUNTIF('Corrected Register'!$I$5:$I$136,A34)</f>
        <v>15</v>
      </c>
      <c r="C34" s="7">
        <f>SUMIF('Corrected Register'!$I$5:$I$136,A34,'Corrected Register'!$N$5:$N$136)</f>
        <v>11070.949999999999</v>
      </c>
      <c r="E34" s="7" t="inlineStr">
        <is>
          <t>Duplicate Serial Number</t>
        </is>
      </c>
      <c r="F34" s="7">
        <f>COUNTIF('Exception Register'!$B$5:$B$167,E34)</f>
        <v>4</v>
      </c>
      <c r="G34" s="7">
        <f>SUMIF('Exception Register'!$B$5:$B$167,E34,'Exception Register'!$G$5:$G$167)</f>
        <v>2503.1099999999997</v>
      </c>
    </row>
    <row r="35">
      <c r="A35" s="7" t="inlineStr">
        <is>
          <t>Seattle</t>
        </is>
      </c>
      <c r="B35" s="7">
        <f>COUNTIF('Corrected Register'!$I$5:$I$136,A35)</f>
        <v>15</v>
      </c>
      <c r="C35" s="7">
        <f>SUMIF('Corrected Register'!$I$5:$I$136,A35,'Corrected Register'!$N$5:$N$136)</f>
        <v>5149.95</v>
      </c>
      <c r="E35" s="7" t="inlineStr">
        <is>
          <t>Former Employee Assignment</t>
        </is>
      </c>
      <c r="F35" s="7">
        <f>COUNTIF('Exception Register'!$B$5:$B$167,E35)</f>
        <v>43</v>
      </c>
      <c r="G35" s="7">
        <f>SUMIF('Exception Register'!$B$5:$B$167,E35,'Exception Register'!$G$5:$G$167)</f>
        <v>22627.56</v>
      </c>
    </row>
    <row r="36">
      <c r="A36" s="7" t="inlineStr">
        <is>
          <t>Denver</t>
        </is>
      </c>
      <c r="B36" s="7">
        <f>COUNTIF('Corrected Register'!$I$5:$I$136,A36)</f>
        <v>14</v>
      </c>
      <c r="C36" s="7">
        <f>SUMIF('Corrected Register'!$I$5:$I$136,A36,'Corrected Register'!$N$5:$N$136)</f>
        <v>5551.75</v>
      </c>
      <c r="E36" s="7" t="inlineStr">
        <is>
          <t>Inventory-to-Ledger Difference</t>
        </is>
      </c>
      <c r="F36" s="7">
        <f>COUNTIF('Exception Register'!$B$5:$B$167,E36)</f>
        <v>8</v>
      </c>
      <c r="G36" s="7">
        <f>SUMIF('Exception Register'!$B$5:$B$167,E36,'Exception Register'!$G$5:$G$167)</f>
        <v>7275</v>
      </c>
    </row>
    <row r="37">
      <c r="A37" s="7" t="inlineStr">
        <is>
          <t>New York</t>
        </is>
      </c>
      <c r="B37" s="7">
        <f>COUNTIF('Corrected Register'!$I$5:$I$136,A37)</f>
        <v>14</v>
      </c>
      <c r="C37" s="7">
        <f>SUMIF('Corrected Register'!$I$5:$I$136,A37,'Corrected Register'!$N$5:$N$136)</f>
        <v>10561</v>
      </c>
      <c r="E37" s="7" t="inlineStr">
        <is>
          <t>Missing Disposal Evidence</t>
        </is>
      </c>
      <c r="F37" s="7">
        <f>COUNTIF('Exception Register'!$B$5:$B$167,E37)</f>
        <v>12</v>
      </c>
      <c r="G37" s="7">
        <f>SUMIF('Exception Register'!$B$5:$B$167,E37,'Exception Register'!$G$5:$G$167)</f>
        <v>4811.33</v>
      </c>
    </row>
    <row r="38">
      <c r="A38" s="7" t="inlineStr">
        <is>
          <t>Unknown</t>
        </is>
      </c>
      <c r="B38" s="7">
        <f>COUNTIF('Corrected Register'!$I$5:$I$136,A38)</f>
        <v>12</v>
      </c>
      <c r="C38" s="7">
        <f>SUMIF('Corrected Register'!$I$5:$I$136,A38,'Corrected Register'!$N$5:$N$136)</f>
        <v>6214.38</v>
      </c>
      <c r="E38" s="7" t="inlineStr">
        <is>
          <t>Overdue Return</t>
        </is>
      </c>
      <c r="F38" s="7">
        <f>COUNTIF('Exception Register'!$B$5:$B$167,E38)</f>
        <v>12</v>
      </c>
      <c r="G38" s="7">
        <f>SUMIF('Exception Register'!$B$5:$B$167,E38,'Exception Register'!$G$5:$G$167)</f>
        <v>6191.65</v>
      </c>
    </row>
    <row r="39">
      <c r="A39" s="7" t="inlineStr">
        <is>
          <t>Remote - Former Employee</t>
        </is>
      </c>
      <c r="B39" s="7">
        <f>COUNTIF('Corrected Register'!$I$5:$I$136,A39)</f>
        <v>10</v>
      </c>
      <c r="C39" s="7">
        <f>SUMIF('Corrected Register'!$I$5:$I$136,A39,'Corrected Register'!$N$5:$N$136)</f>
        <v>4878.51</v>
      </c>
      <c r="E39" s="7" t="inlineStr">
        <is>
          <t>Shipment Mismatch</t>
        </is>
      </c>
      <c r="F39" s="7">
        <f>COUNTIF('Exception Register'!$B$5:$B$167,E39)</f>
        <v>4</v>
      </c>
      <c r="G39" s="7">
        <f>SUMIF('Exception Register'!$B$5:$B$167,E39,'Exception Register'!$G$5:$G$167)</f>
        <v>2332.54</v>
      </c>
    </row>
    <row r="40">
      <c r="A40" s="7" t="inlineStr">
        <is>
          <t>Disposed</t>
        </is>
      </c>
      <c r="B40" s="7">
        <f>COUNTIF('Corrected Register'!$I$5:$I$136,A40)</f>
        <v>8</v>
      </c>
      <c r="C40" s="7">
        <f>SUMIF('Corrected Register'!$I$5:$I$136,A40,'Corrected Register'!$N$5:$N$136)</f>
        <v>0</v>
      </c>
      <c r="E40" s="7" t="inlineStr">
        <is>
          <t>Unapproved Transfer</t>
        </is>
      </c>
      <c r="F40" s="7">
        <f>COUNTIF('Exception Register'!$B$5:$B$167,E40)</f>
        <v>5</v>
      </c>
      <c r="G40" s="7">
        <f>SUMIF('Exception Register'!$B$5:$B$167,E40,'Exception Register'!$G$5:$G$167)</f>
        <v>2869.32</v>
      </c>
    </row>
    <row r="41">
      <c r="A41" s="7" t="inlineStr">
        <is>
          <t>Atlanta Warehouse</t>
        </is>
      </c>
      <c r="B41" s="7">
        <f>COUNTIF('Corrected Register'!$I$5:$I$136,A41)</f>
        <v>7</v>
      </c>
      <c r="C41" s="7">
        <f>SUMIF('Corrected Register'!$I$5:$I$136,A41,'Corrected Register'!$N$5:$N$136)</f>
        <v>4351.05</v>
      </c>
    </row>
    <row r="42">
      <c r="A42" s="7" t="inlineStr">
        <is>
          <t>Carrier Network / Unverified</t>
        </is>
      </c>
      <c r="B42" s="7">
        <f>COUNTIF('Corrected Register'!$I$5:$I$136,A42)</f>
        <v>4</v>
      </c>
      <c r="C42" s="7">
        <f>SUMIF('Corrected Register'!$I$5:$I$136,A42,'Corrected Register'!$N$5:$N$136)</f>
        <v>2332.54</v>
      </c>
    </row>
    <row r="43">
      <c r="A43" s="7" t="inlineStr">
        <is>
          <t>Disposed (certificate missing)</t>
        </is>
      </c>
      <c r="B43" s="7">
        <f>COUNTIF('Corrected Register'!$I$5:$I$136,A43)</f>
        <v>2</v>
      </c>
      <c r="C43" s="7">
        <f>SUMIF('Corrected Register'!$I$5:$I$136,A43,'Corrected Register'!$N$5:$N$136)</f>
        <v>0</v>
      </c>
    </row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is>
          <t>MD-LA-050001</t>
        </is>
      </c>
      <c r="C5" s="7" t="inlineStr">
        <is>
          <t>Monitor</t>
        </is>
      </c>
      <c r="D5" s="7" t="inlineStr">
        <is>
          <t>Lenovo ThinkPad T14</t>
        </is>
      </c>
      <c r="E5" s="7" t="inlineStr">
        <is>
          <t>E0001</t>
        </is>
      </c>
      <c r="F5" s="7" t="inlineStr">
        <is>
          <t>Chicago</t>
        </is>
      </c>
      <c r="G5" s="7" t="inlineStr"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After HR and transfer review, MD-00001 is In Use in Chicago. Employee E0001 (Active) matches the register holder. equipment_transfer_log TR-00001, approval APR-00001; received Jan 21, 2026. Purchase order PO-2022-0001 and FAR row FA-000001 both cite MD-00001.</t>
        </is>
      </c>
      <c r="L5" s="7" t="inlineStr">
        <is>
          <t>2026-08-05</t>
        </is>
      </c>
      <c r="M5" s="7" t="n">
        <v>1895</v>
      </c>
      <c r="N5" s="7">
        <f>IFERROR(XLOOKUP(A5,'Source Ledger'!$B$5:$B$133,'Source Ledger'!$G$5:$G$133),"")</f>
        <v>0</v>
      </c>
      <c r="O5" s="7" t="str">
        <f>IFERROR(XLOOKUP(A5,'Source Ledger'!$B$5:$B$133,'Source Ledger'!$A$5:$A$133),"")</f>
        <v>FA-000001</v>
      </c>
      <c r="P5" s="7" t="inlineStr">
        <is>
          <t>No</t>
        </is>
      </c>
      <c r="Q5" s="9" t="inlineStr">
        <is>
          <t>High</t>
        </is>
      </c>
      <c r="R5" s="7" t="inlineStr"/>
      <c r="S5" s="7" t="inlineStr">
        <is>
          <t>No</t>
        </is>
      </c>
      <c r="T5">
        <f>IFERROR(XLOOKUP(A5,'Source Ledger'!$B$5:$B$133,'Source Ledger'!$E$5:$E$133),"")</f>
        <v>1895</v>
      </c>
      <c r="U5" t="str">
        <f>IFERROR(XLOOKUP(A5,'Source Ledger'!$B$5:$B$133,'Source Ledger'!$H$5:$H$133),"")</f>
        <v>Active</v>
      </c>
      <c r="V5">
        <f>IFERROR(XLOOKUP(A5,'Source Ledger'!$B$5:$B$133,'Source Ledger'!$G$5:$G$133),"")</f>
        <v>0</v>
      </c>
      <c r="W5">
        <f>IF(OR(T5="",M5=""),"",T5-M5)</f>
        <v>0</v>
      </c>
      <c r="X5" t="str">
        <f>IF(N5="","No","Yes")</f>
        <v>Yes</v>
      </c>
    </row>
    <row r="6">
      <c r="A6" s="7" t="inlineStr">
        <is>
          <t>MD-00002</t>
        </is>
      </c>
      <c r="B6" s="7" t="inlineStr">
        <is>
          <t>MD-MO-050002</t>
        </is>
      </c>
      <c r="C6" s="7" t="inlineStr">
        <is>
          <t>Monitor</t>
        </is>
      </c>
      <c r="D6" s="7" t="inlineStr">
        <is>
          <t>Dell U2723QE</t>
        </is>
      </c>
      <c r="E6" s="7" t="inlineStr">
        <is>
          <t>E0002</t>
        </is>
      </c>
      <c r="F6" s="7" t="inlineStr">
        <is>
          <t>Dallas</t>
        </is>
      </c>
      <c r="G6" s="7" t="inlineStr"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Working conclusion for MD-00002: In Use in Dallas ($610). Employee E0002 (Active) matches the register holder. Assignment TR-00002; receive column 2026-02-25, approval APR-00002. PO-2022-0001 and FA-000002 agree on MD-00002.</t>
        </is>
      </c>
      <c r="L6" s="7" t="inlineStr">
        <is>
          <t>2026-08-05</t>
        </is>
      </c>
      <c r="M6" s="7" t="n">
        <v>610</v>
      </c>
      <c r="N6" s="7">
        <f>IFERROR(XLOOKUP(A6,'Source Ledger'!$B$5:$B$133,'Source Ledger'!$G$5:$G$133),"")</f>
        <v>313.06</v>
      </c>
      <c r="O6" s="7" t="str">
        <f>IFERROR(XLOOKUP(A6,'Source Ledger'!$B$5:$B$133,'Source Ledger'!$A$5:$A$133),"")</f>
        <v>FA-000002</v>
      </c>
      <c r="P6" s="7" t="inlineStr">
        <is>
          <t>No</t>
        </is>
      </c>
      <c r="Q6" s="9" t="inlineStr">
        <is>
          <t>High</t>
        </is>
      </c>
      <c r="R6" s="7" t="inlineStr"/>
      <c r="S6" s="7" t="inlineStr">
        <is>
          <t>No</t>
        </is>
      </c>
      <c r="T6">
        <f>IFERROR(XLOOKUP(A6,'Source Ledger'!$B$5:$B$133,'Source Ledger'!$E$5:$E$133),"")</f>
        <v>610</v>
      </c>
      <c r="U6" t="str">
        <f>IFERROR(XLOOKUP(A6,'Source Ledger'!$B$5:$B$133,'Source Ledger'!$H$5:$H$133),"")</f>
        <v>Active</v>
      </c>
      <c r="V6">
        <f>IFERROR(XLOOKUP(A6,'Source Ledger'!$B$5:$B$133,'Source Ledger'!$G$5:$G$133),"")</f>
        <v>313.06</v>
      </c>
      <c r="W6">
        <f>IF(OR(T6="",M6=""),"",T6-M6)</f>
        <v>0</v>
      </c>
      <c r="X6" t="str">
        <f>IF(N6="","No","Yes")</f>
        <v>Yes</v>
      </c>
    </row>
    <row r="7">
      <c r="A7" s="7" t="inlineStr">
        <is>
          <t>MD-00003</t>
        </is>
      </c>
      <c r="B7" s="7" t="inlineStr">
        <is>
          <t>MD-MO-050003</t>
        </is>
      </c>
      <c r="C7" s="7" t="inlineStr">
        <is>
          <t>Mobile Device</t>
        </is>
      </c>
      <c r="D7" s="7" t="inlineStr">
        <is>
          <t>Samsung Galaxy S24</t>
        </is>
      </c>
      <c r="E7" s="7" t="inlineStr">
        <is>
          <t>E0003</t>
        </is>
      </c>
      <c r="F7" s="7" t="inlineStr">
        <is>
          <t>Denver</t>
        </is>
      </c>
      <c r="G7" s="7" t="inlineStr"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Cost $1085 on MD-00003; In Use at Denver. Employee E0003 (Active) matches the register holder. TR-00003 for MD-00003 - received 04/03/2026, approval APR-00003. Procurement PO-2022-0001 maps to ledger FA-000003.</t>
        </is>
      </c>
      <c r="L7" s="7" t="inlineStr">
        <is>
          <t>2026-08-05</t>
        </is>
      </c>
      <c r="M7" s="7" t="n">
        <v>1085</v>
      </c>
      <c r="N7" s="7">
        <f>IFERROR(XLOOKUP(A7,'Source Ledger'!$B$5:$B$133,'Source Ledger'!$G$5:$G$133),"")</f>
        <v>597.83</v>
      </c>
      <c r="O7" s="7" t="str">
        <f>IFERROR(XLOOKUP(A7,'Source Ledger'!$B$5:$B$133,'Source Ledger'!$A$5:$A$133),"")</f>
        <v>FA-000003</v>
      </c>
      <c r="P7" s="7" t="inlineStr">
        <is>
          <t>No</t>
        </is>
      </c>
      <c r="Q7" s="9" t="inlineStr">
        <is>
          <t>High</t>
        </is>
      </c>
      <c r="R7" s="7" t="inlineStr"/>
      <c r="S7" s="7" t="inlineStr">
        <is>
          <t>No</t>
        </is>
      </c>
      <c r="T7">
        <f>IFERROR(XLOOKUP(A7,'Source Ledger'!$B$5:$B$133,'Source Ledger'!$E$5:$E$133),"")</f>
        <v>1085</v>
      </c>
      <c r="U7" t="str">
        <f>IFERROR(XLOOKUP(A7,'Source Ledger'!$B$5:$B$133,'Source Ledger'!$H$5:$H$133),"")</f>
        <v>Active</v>
      </c>
      <c r="V7">
        <f>IFERROR(XLOOKUP(A7,'Source Ledger'!$B$5:$B$133,'Source Ledger'!$G$5:$G$133),"")</f>
        <v>597.83</v>
      </c>
      <c r="W7">
        <f>IF(OR(T7="",M7=""),"",T7-M7)</f>
        <v>0</v>
      </c>
      <c r="X7" t="str">
        <f>IF(N7="","No","Yes")</f>
        <v>Yes</v>
      </c>
    </row>
    <row r="8">
      <c r="A8" s="7" t="inlineStr">
        <is>
          <t>MD-00004</t>
        </is>
      </c>
      <c r="B8" s="7" t="inlineStr">
        <is>
          <t>MD-NE-050004</t>
        </is>
      </c>
      <c r="C8" s="7" t="inlineStr">
        <is>
          <t>Network Asset</t>
        </is>
      </c>
      <c r="D8" s="7" t="inlineStr">
        <is>
          <t>Cisco C9300</t>
        </is>
      </c>
      <c r="E8" s="7" t="inlineStr">
        <is>
          <t>E0004</t>
        </is>
      </c>
      <c r="F8" s="7" t="inlineStr">
        <is>
          <t>New York</t>
        </is>
      </c>
      <c r="G8" s="7" t="inlineStr"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MD-00004 lists In Use at New York (Cisco C9300, $6380). Employee E0004 (Active) matches the register holder. Inbound stamp on TR-00004 is May 01, 2026, approval APR-00004. Purchase order PO-2022-0001 and FAR row FA-000004 both cite MD-00004.</t>
        </is>
      </c>
      <c r="L8" s="7" t="inlineStr">
        <is>
          <t>2026-08-05</t>
        </is>
      </c>
      <c r="M8" s="7" t="n">
        <v>6380</v>
      </c>
      <c r="N8" s="7">
        <f>IFERROR(XLOOKUP(A8,'Source Ledger'!$B$5:$B$133,'Source Ledger'!$G$5:$G$133),"")</f>
        <v>940.62</v>
      </c>
      <c r="O8" s="7" t="str">
        <f>IFERROR(XLOOKUP(A8,'Source Ledger'!$B$5:$B$133,'Source Ledger'!$A$5:$A$133),"")</f>
        <v>FA-000004</v>
      </c>
      <c r="P8" s="7" t="inlineStr">
        <is>
          <t>Yes</t>
        </is>
      </c>
      <c r="Q8" s="9" t="inlineStr">
        <is>
          <t>High</t>
        </is>
      </c>
      <c r="R8" s="7" t="inlineStr"/>
      <c r="S8" s="7" t="inlineStr">
        <is>
          <t>No</t>
        </is>
      </c>
      <c r="T8">
        <f>IFERROR(XLOOKUP(A8,'Source Ledger'!$B$5:$B$133,'Source Ledger'!$E$5:$E$133),"")</f>
        <v>6380</v>
      </c>
      <c r="U8" t="str">
        <f>IFERROR(XLOOKUP(A8,'Source Ledger'!$B$5:$B$133,'Source Ledger'!$H$5:$H$133),"")</f>
        <v>Active</v>
      </c>
      <c r="V8">
        <f>IFERROR(XLOOKUP(A8,'Source Ledger'!$B$5:$B$133,'Source Ledger'!$G$5:$G$133),"")</f>
        <v>940.62</v>
      </c>
      <c r="W8">
        <f>IF(OR(T8="",M8=""),"",T8-M8)</f>
        <v>0</v>
      </c>
      <c r="X8" t="str">
        <f>IF(N8="","No","Yes")</f>
        <v>Yes</v>
      </c>
    </row>
    <row r="9">
      <c r="A9" s="7" t="inlineStr">
        <is>
          <t>MD-00005</t>
        </is>
      </c>
      <c r="B9" s="7" t="inlineStr">
        <is>
          <t>MD-LA-050005</t>
        </is>
      </c>
      <c r="C9" s="7" t="inlineStr">
        <is>
          <t>Laptop</t>
        </is>
      </c>
      <c r="D9" s="7" t="inlineStr">
        <is>
          <t>MacBook Pro 14</t>
        </is>
      </c>
      <c r="E9" s="7" t="inlineStr">
        <is>
          <t>E0005</t>
        </is>
      </c>
      <c r="F9" s="7" t="inlineStr">
        <is>
          <t>Seattle</t>
        </is>
      </c>
      <c r="G9" s="7" t="inlineStr"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Register MD-00005: In Use, Seattle, $2075 - MacBook Pro 14. Employee E0005 (Active) matches the register holder. Log TR-00005: received 2026-06-08, approval APR-00005. PO-2022-0001 and FA-000005 agree on MD-00005.</t>
        </is>
      </c>
      <c r="L9" s="7" t="inlineStr">
        <is>
          <t>2026-08-05</t>
        </is>
      </c>
      <c r="M9" s="7" t="n">
        <v>2075</v>
      </c>
      <c r="N9" s="7">
        <f>IFERROR(XLOOKUP(A9,'Source Ledger'!$B$5:$B$133,'Source Ledger'!$G$5:$G$133),"")</f>
        <v>0</v>
      </c>
      <c r="O9" s="7" t="str">
        <f>IFERROR(XLOOKUP(A9,'Source Ledger'!$B$5:$B$133,'Source Ledger'!$A$5:$A$133),"")</f>
        <v>FA-000005</v>
      </c>
      <c r="P9" s="7" t="inlineStr">
        <is>
          <t>No</t>
        </is>
      </c>
      <c r="Q9" s="9" t="inlineStr">
        <is>
          <t>High</t>
        </is>
      </c>
      <c r="R9" s="7" t="inlineStr"/>
      <c r="S9" s="7" t="inlineStr">
        <is>
          <t>No</t>
        </is>
      </c>
      <c r="T9">
        <f>IFERROR(XLOOKUP(A9,'Source Ledger'!$B$5:$B$133,'Source Ledger'!$E$5:$E$133),"")</f>
        <v>2075</v>
      </c>
      <c r="U9" t="str">
        <f>IFERROR(XLOOKUP(A9,'Source Ledger'!$B$5:$B$133,'Source Ledger'!$H$5:$H$133),"")</f>
        <v>Active</v>
      </c>
      <c r="V9">
        <f>IFERROR(XLOOKUP(A9,'Source Ledger'!$B$5:$B$133,'Source Ledger'!$G$5:$G$133),"")</f>
        <v>0</v>
      </c>
      <c r="W9">
        <f>IF(OR(T9="",M9=""),"",T9-M9)</f>
        <v>0</v>
      </c>
      <c r="X9" t="str">
        <f>IF(N9="","No","Yes")</f>
        <v>Yes</v>
      </c>
    </row>
    <row r="10">
      <c r="A10" s="7" t="inlineStr">
        <is>
          <t>MD-00006</t>
        </is>
      </c>
      <c r="B10" s="7" t="inlineStr">
        <is>
          <t>MD-MO-050006</t>
        </is>
      </c>
      <c r="C10" s="7" t="inlineStr">
        <is>
          <t>Monitor</t>
        </is>
      </c>
      <c r="D10" s="7" t="inlineStr">
        <is>
          <t>Dell U2723QE</t>
        </is>
      </c>
      <c r="E10" s="7" t="inlineStr">
        <is>
          <t>E0006</t>
        </is>
      </c>
      <c r="F10" s="7" t="inlineStr">
        <is>
          <t>Atlanta</t>
        </is>
      </c>
      <c r="G10" s="7" t="inlineStr"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Corrected row MD-00006: In Use, Atlanta, $790 - Dell U2723QE. Employee E0006 (Active) matches the register holder. TR-00006 for MD-00006 - received 01/12/2026, approval APR-00006. Procurement PO-2022-0001 maps to ledger FA-000006.</t>
        </is>
      </c>
      <c r="L10" s="7" t="inlineStr">
        <is>
          <t>2026-08-05</t>
        </is>
      </c>
      <c r="M10" s="7" t="n">
        <v>790</v>
      </c>
      <c r="N10" s="7">
        <f>IFERROR(XLOOKUP(A10,'Source Ledger'!$B$5:$B$133,'Source Ledger'!$G$5:$G$133),"")</f>
        <v>459.94</v>
      </c>
      <c r="O10" s="7" t="str">
        <f>IFERROR(XLOOKUP(A10,'Source Ledger'!$B$5:$B$133,'Source Ledger'!$A$5:$A$133),"")</f>
        <v>FA-000006</v>
      </c>
      <c r="P10" s="7" t="inlineStr">
        <is>
          <t>No</t>
        </is>
      </c>
      <c r="Q10" s="9" t="inlineStr">
        <is>
          <t>High</t>
        </is>
      </c>
      <c r="R10" s="7" t="inlineStr"/>
      <c r="S10" s="7" t="inlineStr">
        <is>
          <t>No</t>
        </is>
      </c>
      <c r="T10">
        <f>IFERROR(XLOOKUP(A10,'Source Ledger'!$B$5:$B$133,'Source Ledger'!$E$5:$E$133),"")</f>
        <v>790</v>
      </c>
      <c r="U10" t="str">
        <f>IFERROR(XLOOKUP(A10,'Source Ledger'!$B$5:$B$133,'Source Ledger'!$H$5:$H$133),"")</f>
        <v>Active</v>
      </c>
      <c r="V10">
        <f>IFERROR(XLOOKUP(A10,'Source Ledger'!$B$5:$B$133,'Source Ledger'!$G$5:$G$133),"")</f>
        <v>459.94</v>
      </c>
      <c r="W10">
        <f>IF(OR(T10="",M10=""),"",T10-M10)</f>
        <v>0</v>
      </c>
      <c r="X10" t="str">
        <f>IF(N10="","No","Yes")</f>
        <v>Yes</v>
      </c>
    </row>
    <row r="11">
      <c r="A11" s="7" t="inlineStr">
        <is>
          <t>MD-00007</t>
        </is>
      </c>
      <c r="B11" s="7" t="inlineStr">
        <is>
          <t>MD-MO-050007</t>
        </is>
      </c>
      <c r="C11" s="7" t="inlineStr">
        <is>
          <t>Mobile Device</t>
        </is>
      </c>
      <c r="D11" s="7" t="inlineStr">
        <is>
          <t>Samsung Galaxy S24</t>
        </is>
      </c>
      <c r="E11" s="7" t="inlineStr">
        <is>
          <t>E0007</t>
        </is>
      </c>
      <c r="F11" s="7" t="inlineStr">
        <is>
          <t>Chicago</t>
        </is>
      </c>
      <c r="G11" s="7" t="inlineStr"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Corrected register carries MD-00007 as In Use in Chicago. Employee E0007 (Active) matches the register holder. Movement TR-00007 posted 02/11/2026 and inbound Feb 17, 2026, approval APR-00007. Purchase order PO-2023-0002 and FAR row FA-000007 both cite MD-00007.</t>
        </is>
      </c>
      <c r="L11" s="7" t="inlineStr">
        <is>
          <t>2026-08-05</t>
        </is>
      </c>
      <c r="M11" s="7" t="n">
        <v>950</v>
      </c>
      <c r="N11" s="7">
        <f>IFERROR(XLOOKUP(A11,'Source Ledger'!$B$5:$B$133,'Source Ledger'!$G$5:$G$133),"")</f>
        <v>632.68</v>
      </c>
      <c r="O11" s="7" t="str">
        <f>IFERROR(XLOOKUP(A11,'Source Ledger'!$B$5:$B$133,'Source Ledger'!$A$5:$A$133),"")</f>
        <v>FA-000007</v>
      </c>
      <c r="P11" s="7" t="inlineStr">
        <is>
          <t>No</t>
        </is>
      </c>
      <c r="Q11" s="9" t="inlineStr">
        <is>
          <t>High</t>
        </is>
      </c>
      <c r="R11" s="7" t="inlineStr"/>
      <c r="S11" s="7" t="inlineStr">
        <is>
          <t>No</t>
        </is>
      </c>
      <c r="T11">
        <f>IFERROR(XLOOKUP(A11,'Source Ledger'!$B$5:$B$133,'Source Ledger'!$E$5:$E$133),"")</f>
        <v>950</v>
      </c>
      <c r="U11" t="str">
        <f>IFERROR(XLOOKUP(A11,'Source Ledger'!$B$5:$B$133,'Source Ledger'!$H$5:$H$133),"")</f>
        <v>Active</v>
      </c>
      <c r="V11">
        <f>IFERROR(XLOOKUP(A11,'Source Ledger'!$B$5:$B$133,'Source Ledger'!$G$5:$G$133),"")</f>
        <v>632.68</v>
      </c>
      <c r="W11">
        <f>IF(OR(T11="",M11=""),"",T11-M11)</f>
        <v>0</v>
      </c>
      <c r="X11" t="str">
        <f>IF(N11="","No","Yes")</f>
        <v>Yes</v>
      </c>
    </row>
    <row r="12">
      <c r="A12" s="7" t="inlineStr">
        <is>
          <t>MD-00008</t>
        </is>
      </c>
      <c r="B12" s="7" t="inlineStr">
        <is>
          <t>MD-NE-050008</t>
        </is>
      </c>
      <c r="C12" s="7" t="inlineStr">
        <is>
          <t>Network Asset</t>
        </is>
      </c>
      <c r="D12" s="7" t="inlineStr">
        <is>
          <t>Cisco C9300</t>
        </is>
      </c>
      <c r="E12" s="7" t="inlineStr">
        <is>
          <t>E0008</t>
        </is>
      </c>
      <c r="F12" s="7" t="inlineStr">
        <is>
          <t>Dallas</t>
        </is>
      </c>
      <c r="G12" s="7" t="inlineStr"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MD-00008 (Cisco C9300) closed In Use / Dallas on $6245. Employee E0008 (Active) matches the register holder. Log TR-00008: received 2026-03-19, approval APR-00008. PO-2023-0002 and FA-000008 agree on MD-00008.</t>
        </is>
      </c>
      <c r="L12" s="7" t="inlineStr">
        <is>
          <t>2026-08-05</t>
        </is>
      </c>
      <c r="M12" s="7" t="n">
        <v>6245</v>
      </c>
      <c r="N12" s="7">
        <f>IFERROR(XLOOKUP(A12,'Source Ledger'!$B$5:$B$133,'Source Ledger'!$G$5:$G$133),"")</f>
        <v>1355.01</v>
      </c>
      <c r="O12" s="7" t="str">
        <f>IFERROR(XLOOKUP(A12,'Source Ledger'!$B$5:$B$133,'Source Ledger'!$A$5:$A$133),"")</f>
        <v>FA-000008</v>
      </c>
      <c r="P12" s="7" t="inlineStr">
        <is>
          <t>Yes</t>
        </is>
      </c>
      <c r="Q12" s="9" t="inlineStr">
        <is>
          <t>High</t>
        </is>
      </c>
      <c r="R12" s="7" t="inlineStr"/>
      <c r="S12" s="7" t="inlineStr">
        <is>
          <t>No</t>
        </is>
      </c>
      <c r="T12">
        <f>IFERROR(XLOOKUP(A12,'Source Ledger'!$B$5:$B$133,'Source Ledger'!$E$5:$E$133),"")</f>
        <v>6245</v>
      </c>
      <c r="U12" t="str">
        <f>IFERROR(XLOOKUP(A12,'Source Ledger'!$B$5:$B$133,'Source Ledger'!$H$5:$H$133),"")</f>
        <v>Active</v>
      </c>
      <c r="V12">
        <f>IFERROR(XLOOKUP(A12,'Source Ledger'!$B$5:$B$133,'Source Ledger'!$G$5:$G$133),"")</f>
        <v>1355.01</v>
      </c>
      <c r="W12">
        <f>IF(OR(T12="",M12=""),"",T12-M12)</f>
        <v>0</v>
      </c>
      <c r="X12" t="str">
        <f>IF(N12="","No","Yes")</f>
        <v>Yes</v>
      </c>
    </row>
    <row r="13">
      <c r="A13" s="7" t="inlineStr">
        <is>
          <t>MD-00009</t>
        </is>
      </c>
      <c r="B13" s="7" t="inlineStr">
        <is>
          <t>MD-LA-050009</t>
        </is>
      </c>
      <c r="C13" s="7" t="inlineStr">
        <is>
          <t>Laptop</t>
        </is>
      </c>
      <c r="D13" s="7" t="inlineStr">
        <is>
          <t>Dell Latitude 7440</t>
        </is>
      </c>
      <c r="E13" s="7" t="inlineStr">
        <is>
          <t>E0009</t>
        </is>
      </c>
      <c r="F13" s="7" t="inlineStr">
        <is>
          <t>Denver</t>
        </is>
      </c>
      <c r="G13" s="7" t="inlineStr"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MD-00009 carries In Use at Denver (Dell Latitude 7440, $1940). Employee E0009 (Active) matches the register holder. Assignment TR-00009; receive column 04/21/2026, approval APR-00009. Procurement PO-2023-0002 maps to ledger FA-000009.</t>
        </is>
      </c>
      <c r="L13" s="7" t="inlineStr">
        <is>
          <t>2026-08-05</t>
        </is>
      </c>
      <c r="M13" s="7" t="n">
        <v>1940</v>
      </c>
      <c r="N13" s="7">
        <f>IFERROR(XLOOKUP(A13,'Source Ledger'!$B$5:$B$133,'Source Ledger'!$G$5:$G$133),"")</f>
        <v>109.33</v>
      </c>
      <c r="O13" s="7" t="str">
        <f>IFERROR(XLOOKUP(A13,'Source Ledger'!$B$5:$B$133,'Source Ledger'!$A$5:$A$133),"")</f>
        <v>FA-000009</v>
      </c>
      <c r="P13" s="7" t="inlineStr">
        <is>
          <t>No</t>
        </is>
      </c>
      <c r="Q13" s="9" t="inlineStr">
        <is>
          <t>High</t>
        </is>
      </c>
      <c r="R13" s="7" t="inlineStr"/>
      <c r="S13" s="7" t="inlineStr">
        <is>
          <t>No</t>
        </is>
      </c>
      <c r="T13">
        <f>IFERROR(XLOOKUP(A13,'Source Ledger'!$B$5:$B$133,'Source Ledger'!$E$5:$E$133),"")</f>
        <v>1940</v>
      </c>
      <c r="U13" t="str">
        <f>IFERROR(XLOOKUP(A13,'Source Ledger'!$B$5:$B$133,'Source Ledger'!$H$5:$H$133),"")</f>
        <v>Active</v>
      </c>
      <c r="V13">
        <f>IFERROR(XLOOKUP(A13,'Source Ledger'!$B$5:$B$133,'Source Ledger'!$G$5:$G$133),"")</f>
        <v>109.33</v>
      </c>
      <c r="W13">
        <f>IF(OR(T13="",M13=""),"",T13-M13)</f>
        <v>0</v>
      </c>
      <c r="X13" t="str">
        <f>IF(N13="","No","Yes")</f>
        <v>Yes</v>
      </c>
    </row>
    <row r="14">
      <c r="A14" s="7" t="inlineStr">
        <is>
          <t>MD-00010</t>
        </is>
      </c>
      <c r="B14" s="7" t="inlineStr">
        <is>
          <t>MD-MO-050010</t>
        </is>
      </c>
      <c r="C14" s="7" t="inlineStr">
        <is>
          <t>Monitor</t>
        </is>
      </c>
      <c r="D14" s="7" t="inlineStr">
        <is>
          <t>Dell U2723QE</t>
        </is>
      </c>
      <c r="E14" s="7" t="inlineStr">
        <is>
          <t>E0010</t>
        </is>
      </c>
      <c r="F14" s="7" t="inlineStr">
        <is>
          <t>New York</t>
        </is>
      </c>
      <c r="G14" s="7" t="inlineStr"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Field review: MD-00010 In Use @ New York. Employee E0010 (Active) matches the register holder. Log TR-00010: received May 28, 2026, approval APR-00010. PO-2023-0002 and FA-000010 agree on MD-00010.</t>
        </is>
      </c>
      <c r="L14" s="7" t="inlineStr">
        <is>
          <t>2026-08-05</t>
        </is>
      </c>
      <c r="M14" s="7" t="n">
        <v>655</v>
      </c>
      <c r="N14" s="7">
        <f>IFERROR(XLOOKUP(A14,'Source Ledger'!$B$5:$B$133,'Source Ledger'!$G$5:$G$133),"")</f>
        <v>426.89</v>
      </c>
      <c r="O14" s="7" t="str">
        <f>IFERROR(XLOOKUP(A14,'Source Ledger'!$B$5:$B$133,'Source Ledger'!$A$5:$A$133),"")</f>
        <v>FA-000010</v>
      </c>
      <c r="P14" s="7" t="inlineStr">
        <is>
          <t>No</t>
        </is>
      </c>
      <c r="Q14" s="9" t="inlineStr">
        <is>
          <t>High</t>
        </is>
      </c>
      <c r="R14" s="7" t="inlineStr"/>
      <c r="S14" s="7" t="inlineStr">
        <is>
          <t>No</t>
        </is>
      </c>
      <c r="T14">
        <f>IFERROR(XLOOKUP(A14,'Source Ledger'!$B$5:$B$133,'Source Ledger'!$E$5:$E$133),"")</f>
        <v>655</v>
      </c>
      <c r="U14" t="str">
        <f>IFERROR(XLOOKUP(A14,'Source Ledger'!$B$5:$B$133,'Source Ledger'!$H$5:$H$133),"")</f>
        <v>Active</v>
      </c>
      <c r="V14">
        <f>IFERROR(XLOOKUP(A14,'Source Ledger'!$B$5:$B$133,'Source Ledger'!$G$5:$G$133),"")</f>
        <v>426.89</v>
      </c>
      <c r="W14">
        <f>IF(OR(T14="",M14=""),"",T14-M14)</f>
        <v>0</v>
      </c>
      <c r="X14" t="str">
        <f>IF(N14="","No","Yes")</f>
        <v>Yes</v>
      </c>
    </row>
    <row r="15">
      <c r="A15" s="7" t="inlineStr">
        <is>
          <t>MD-00011</t>
        </is>
      </c>
      <c r="B15" s="7" t="inlineStr">
        <is>
          <t>MD-MO-050011</t>
        </is>
      </c>
      <c r="C15" s="7" t="inlineStr">
        <is>
          <t>Mobile Device</t>
        </is>
      </c>
      <c r="D15" s="7" t="inlineStr">
        <is>
          <t>Samsung Galaxy S24</t>
        </is>
      </c>
      <c r="E15" s="7" t="inlineStr">
        <is>
          <t>E0011</t>
        </is>
      </c>
      <c r="F15" s="7" t="inlineStr">
        <is>
          <t>Seattle</t>
        </is>
      </c>
      <c r="G15" s="7" t="inlineStr"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Samsung Galaxy S24 on MD-00011 is In Use in Seattle site; basis $1130. Employee E0011 (Active) matches the register holder. Assignment TR-00011; receive column 2026-06-28, approval APR-00011. Procurement PO-2023-0002 maps to ledger FA-000011.</t>
        </is>
      </c>
      <c r="L15" s="7" t="inlineStr">
        <is>
          <t>2026-08-05</t>
        </is>
      </c>
      <c r="M15" s="7" t="n">
        <v>1130</v>
      </c>
      <c r="N15" s="7">
        <f>IFERROR(XLOOKUP(A15,'Source Ledger'!$B$5:$B$133,'Source Ledger'!$G$5:$G$133),"")</f>
        <v>882.5</v>
      </c>
      <c r="O15" s="7" t="str">
        <f>IFERROR(XLOOKUP(A15,'Source Ledger'!$B$5:$B$133,'Source Ledger'!$A$5:$A$133),"")</f>
        <v>FA-000011</v>
      </c>
      <c r="P15" s="7" t="inlineStr">
        <is>
          <t>No</t>
        </is>
      </c>
      <c r="Q15" s="9" t="inlineStr">
        <is>
          <t>High</t>
        </is>
      </c>
      <c r="R15" s="7" t="inlineStr"/>
      <c r="S15" s="7" t="inlineStr">
        <is>
          <t>No</t>
        </is>
      </c>
      <c r="T15">
        <f>IFERROR(XLOOKUP(A15,'Source Ledger'!$B$5:$B$133,'Source Ledger'!$E$5:$E$133),"")</f>
        <v>1130</v>
      </c>
      <c r="U15" t="str">
        <f>IFERROR(XLOOKUP(A15,'Source Ledger'!$B$5:$B$133,'Source Ledger'!$H$5:$H$133),"")</f>
        <v>Active</v>
      </c>
      <c r="V15">
        <f>IFERROR(XLOOKUP(A15,'Source Ledger'!$B$5:$B$133,'Source Ledger'!$G$5:$G$133),"")</f>
        <v>882.5</v>
      </c>
      <c r="W15">
        <f>IF(OR(T15="",M15=""),"",T15-M15)</f>
        <v>0</v>
      </c>
      <c r="X15" t="str">
        <f>IF(N15="","No","Yes")</f>
        <v>Yes</v>
      </c>
    </row>
    <row r="16">
      <c r="A16" s="7" t="inlineStr">
        <is>
          <t>MD-00012</t>
        </is>
      </c>
      <c r="B16" s="7" t="inlineStr">
        <is>
          <t>MD-NE-050012</t>
        </is>
      </c>
      <c r="C16" s="7" t="inlineStr">
        <is>
          <t>Network Asset</t>
        </is>
      </c>
      <c r="D16" s="7" t="inlineStr">
        <is>
          <t>Cisco C9300</t>
        </is>
      </c>
      <c r="E16" s="7" t="inlineStr">
        <is>
          <t>E0012</t>
        </is>
      </c>
      <c r="F16" s="7" t="inlineStr">
        <is>
          <t>Atlanta</t>
        </is>
      </c>
      <c r="G16" s="7" t="inlineStr"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Read MD-00012 against transfers before signing In Use / Atlanta. Employee E0012 (Active) matches the register holder. Transfer TR-00012 shows receipt 01/31/2026, approval APR-00012. Purchase order PO-2023-0002 and FAR row FA-000012 both cite MD-00012.</t>
        </is>
      </c>
      <c r="L16" s="7" t="inlineStr">
        <is>
          <t>2026-08-05</t>
        </is>
      </c>
      <c r="M16" s="7" t="n">
        <v>6425</v>
      </c>
      <c r="N16" s="7">
        <f>IFERROR(XLOOKUP(A16,'Source Ledger'!$B$5:$B$133,'Source Ledger'!$G$5:$G$133),"")</f>
        <v>553.23</v>
      </c>
      <c r="O16" s="7" t="str">
        <f>IFERROR(XLOOKUP(A16,'Source Ledger'!$B$5:$B$133,'Source Ledger'!$A$5:$A$133),"")</f>
        <v>FA-000012</v>
      </c>
      <c r="P16" s="7" t="inlineStr">
        <is>
          <t>Yes</t>
        </is>
      </c>
      <c r="Q16" s="9" t="inlineStr">
        <is>
          <t>High</t>
        </is>
      </c>
      <c r="R16" s="7" t="inlineStr"/>
      <c r="S16" s="7" t="inlineStr">
        <is>
          <t>No</t>
        </is>
      </c>
      <c r="T16">
        <f>IFERROR(XLOOKUP(A16,'Source Ledger'!$B$5:$B$133,'Source Ledger'!$E$5:$E$133),"")</f>
        <v>6425</v>
      </c>
      <c r="U16" t="str">
        <f>IFERROR(XLOOKUP(A16,'Source Ledger'!$B$5:$B$133,'Source Ledger'!$H$5:$H$133),"")</f>
        <v>Active</v>
      </c>
      <c r="V16">
        <f>IFERROR(XLOOKUP(A16,'Source Ledger'!$B$5:$B$133,'Source Ledger'!$G$5:$G$133),"")</f>
        <v>553.23</v>
      </c>
      <c r="W16">
        <f>IF(OR(T16="",M16=""),"",T16-M16)</f>
        <v>0</v>
      </c>
      <c r="X16" t="str">
        <f>IF(N16="","No","Yes")</f>
        <v>Yes</v>
      </c>
    </row>
    <row r="17">
      <c r="A17" s="7" t="inlineStr">
        <is>
          <t>MD-00013</t>
        </is>
      </c>
      <c r="B17" s="7" t="inlineStr">
        <is>
          <t>MD-LA-050013</t>
        </is>
      </c>
      <c r="C17" s="7" t="inlineStr">
        <is>
          <t>Laptop</t>
        </is>
      </c>
      <c r="D17" s="7" t="inlineStr">
        <is>
          <t>Lenovo ThinkPad T14</t>
        </is>
      </c>
      <c r="E17" s="7" t="inlineStr">
        <is>
          <t>E0013</t>
        </is>
      </c>
      <c r="F17" s="7" t="inlineStr">
        <is>
          <t>Chicago</t>
        </is>
      </c>
      <c r="G17" s="7" t="inlineStr"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Did not move MD-00013 off In Use at Chicago without a transaction. Employee E0013 (Active) matches the register holder. Inbound stamp on TR-00013 is Feb 06, 2026, approval APR-00013. PO-2024-0003 and FA-000013 agree on MD-00013.</t>
        </is>
      </c>
      <c r="L17" s="7" t="inlineStr">
        <is>
          <t>2026-08-05</t>
        </is>
      </c>
      <c r="M17" s="7" t="n">
        <v>2120</v>
      </c>
      <c r="N17" s="7">
        <f>IFERROR(XLOOKUP(A17,'Source Ledger'!$B$5:$B$133,'Source Ledger'!$G$5:$G$133),"")</f>
        <v>0</v>
      </c>
      <c r="O17" s="7" t="str">
        <f>IFERROR(XLOOKUP(A17,'Source Ledger'!$B$5:$B$133,'Source Ledger'!$A$5:$A$133),"")</f>
        <v>FA-000013</v>
      </c>
      <c r="P17" s="7" t="inlineStr">
        <is>
          <t>No</t>
        </is>
      </c>
      <c r="Q17" s="9" t="inlineStr">
        <is>
          <t>High</t>
        </is>
      </c>
      <c r="R17" s="7" t="inlineStr"/>
      <c r="S17" s="7" t="inlineStr">
        <is>
          <t>No</t>
        </is>
      </c>
      <c r="T17">
        <f>IFERROR(XLOOKUP(A17,'Source Ledger'!$B$5:$B$133,'Source Ledger'!$E$5:$E$133),"")</f>
        <v>2120</v>
      </c>
      <c r="U17" t="str">
        <f>IFERROR(XLOOKUP(A17,'Source Ledger'!$B$5:$B$133,'Source Ledger'!$H$5:$H$133),"")</f>
        <v>Active</v>
      </c>
      <c r="V17">
        <f>IFERROR(XLOOKUP(A17,'Source Ledger'!$B$5:$B$133,'Source Ledger'!$G$5:$G$133),"")</f>
        <v>0</v>
      </c>
      <c r="W17">
        <f>IF(OR(T17="",M17=""),"",T17-M17)</f>
        <v>0</v>
      </c>
      <c r="X17" t="str">
        <f>IF(N17="","No","Yes")</f>
        <v>Yes</v>
      </c>
    </row>
    <row r="18">
      <c r="A18" s="7" t="inlineStr">
        <is>
          <t>MD-00014</t>
        </is>
      </c>
      <c r="B18" s="7" t="inlineStr">
        <is>
          <t>MD-MO-050014</t>
        </is>
      </c>
      <c r="C18" s="7" t="inlineStr">
        <is>
          <t>Monitor</t>
        </is>
      </c>
      <c r="D18" s="7" t="inlineStr">
        <is>
          <t>Dell U2723QE</t>
        </is>
      </c>
      <c r="E18" s="7" t="inlineStr">
        <is>
          <t>E0014</t>
        </is>
      </c>
      <c r="F18" s="7" t="inlineStr">
        <is>
          <t>Dallas</t>
        </is>
      </c>
      <c r="G18" s="7" t="inlineStr"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Register MD-00014: In Use, Dallas, $520 - Dell U2723QE. Employee E0014 (Active) matches the register holder. equipment_transfer_log TR-00014, approval APR-00014; received 2026-03-09. Procurement PO-2024-0003 maps to ledger FA-000014.</t>
        </is>
      </c>
      <c r="L18" s="7" t="inlineStr">
        <is>
          <t>2026-08-05</t>
        </is>
      </c>
      <c r="M18" s="7" t="n">
        <v>520</v>
      </c>
      <c r="N18" s="7">
        <f>IFERROR(XLOOKUP(A18,'Source Ledger'!$B$5:$B$133,'Source Ledger'!$G$5:$G$133),"")</f>
        <v>270.29</v>
      </c>
      <c r="O18" s="7" t="str">
        <f>IFERROR(XLOOKUP(A18,'Source Ledger'!$B$5:$B$133,'Source Ledger'!$A$5:$A$133),"")</f>
        <v>FA-000014</v>
      </c>
      <c r="P18" s="7" t="inlineStr">
        <is>
          <t>No</t>
        </is>
      </c>
      <c r="Q18" s="9" t="inlineStr">
        <is>
          <t>High</t>
        </is>
      </c>
      <c r="R18" s="7" t="inlineStr"/>
      <c r="S18" s="7" t="inlineStr">
        <is>
          <t>No</t>
        </is>
      </c>
      <c r="T18">
        <f>IFERROR(XLOOKUP(A18,'Source Ledger'!$B$5:$B$133,'Source Ledger'!$E$5:$E$133),"")</f>
        <v>520</v>
      </c>
      <c r="U18" t="str">
        <f>IFERROR(XLOOKUP(A18,'Source Ledger'!$B$5:$B$133,'Source Ledger'!$H$5:$H$133),"")</f>
        <v>Active</v>
      </c>
      <c r="V18">
        <f>IFERROR(XLOOKUP(A18,'Source Ledger'!$B$5:$B$133,'Source Ledger'!$G$5:$G$133),"")</f>
        <v>270.29</v>
      </c>
      <c r="W18">
        <f>IF(OR(T18="",M18=""),"",T18-M18)</f>
        <v>0</v>
      </c>
      <c r="X18" t="str">
        <f>IF(N18="","No","Yes")</f>
        <v>Yes</v>
      </c>
    </row>
    <row r="19">
      <c r="A19" s="7" t="inlineStr">
        <is>
          <t>MD-00015</t>
        </is>
      </c>
      <c r="B19" s="7" t="inlineStr">
        <is>
          <t>MD-MO-050015</t>
        </is>
      </c>
      <c r="C19" s="7" t="inlineStr">
        <is>
          <t>Mobile Device</t>
        </is>
      </c>
      <c r="D19" s="7" t="inlineStr">
        <is>
          <t>Samsung Galaxy S24</t>
        </is>
      </c>
      <c r="E19" s="7" t="inlineStr">
        <is>
          <t>E0015</t>
        </is>
      </c>
      <c r="F19" s="7" t="inlineStr">
        <is>
          <t>Denver</t>
        </is>
      </c>
      <c r="G19" s="7" t="inlineStr"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Samsung Galaxy S24 MD-00015 tied to $995; location Denver; status In Use. Employee E0015 (Active) matches the register holder. TR-00015 ties to MD-00015; dock date 04/13/2026, approval APR-00015. Purchase order PO-2024-0003 and FAR row FA-000015 both cite MD-00015.</t>
        </is>
      </c>
      <c r="L19" s="7" t="inlineStr">
        <is>
          <t>2026-08-05</t>
        </is>
      </c>
      <c r="M19" s="7" t="n">
        <v>995</v>
      </c>
      <c r="N19" s="7">
        <f>IFERROR(XLOOKUP(A19,'Source Ledger'!$B$5:$B$133,'Source Ledger'!$G$5:$G$133),"")</f>
        <v>559.13</v>
      </c>
      <c r="O19" s="7" t="str">
        <f>IFERROR(XLOOKUP(A19,'Source Ledger'!$B$5:$B$133,'Source Ledger'!$A$5:$A$133),"")</f>
        <v>FA-000015</v>
      </c>
      <c r="P19" s="7" t="inlineStr">
        <is>
          <t>No</t>
        </is>
      </c>
      <c r="Q19" s="9" t="inlineStr">
        <is>
          <t>High</t>
        </is>
      </c>
      <c r="R19" s="7" t="inlineStr"/>
      <c r="S19" s="7" t="inlineStr">
        <is>
          <t>No</t>
        </is>
      </c>
      <c r="T19">
        <f>IFERROR(XLOOKUP(A19,'Source Ledger'!$B$5:$B$133,'Source Ledger'!$E$5:$E$133),"")</f>
        <v>995</v>
      </c>
      <c r="U19" t="str">
        <f>IFERROR(XLOOKUP(A19,'Source Ledger'!$B$5:$B$133,'Source Ledger'!$H$5:$H$133),"")</f>
        <v>Active</v>
      </c>
      <c r="V19">
        <f>IFERROR(XLOOKUP(A19,'Source Ledger'!$B$5:$B$133,'Source Ledger'!$G$5:$G$133),"")</f>
        <v>559.13</v>
      </c>
      <c r="W19">
        <f>IF(OR(T19="",M19=""),"",T19-M19)</f>
        <v>0</v>
      </c>
      <c r="X19" t="str">
        <f>IF(N19="","No","Yes")</f>
        <v>Yes</v>
      </c>
    </row>
    <row r="20">
      <c r="A20" s="7" t="inlineStr">
        <is>
          <t>MD-00016</t>
        </is>
      </c>
      <c r="B20" s="7" t="inlineStr">
        <is>
          <t>MD-NE-050016</t>
        </is>
      </c>
      <c r="C20" s="7" t="inlineStr">
        <is>
          <t>Network Asset</t>
        </is>
      </c>
      <c r="D20" s="7" t="inlineStr">
        <is>
          <t>Cisco C9300</t>
        </is>
      </c>
      <c r="E20" s="7" t="inlineStr">
        <is>
          <t>E0016</t>
        </is>
      </c>
      <c r="F20" s="7" t="inlineStr">
        <is>
          <t>New York</t>
        </is>
      </c>
      <c r="G20" s="7" t="inlineStr"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Cisco C9300 on MD-00016 is In Use in New York; basis $6290. Employee E0016 (Active) matches the register holder. Assignment TR-00016; receive column May 17, 2026, approval APR-00016. PO-2024-0003 and FA-000016 agree on MD-00016.</t>
        </is>
      </c>
      <c r="L20" s="7" t="inlineStr">
        <is>
          <t>2026-08-05</t>
        </is>
      </c>
      <c r="M20" s="7" t="n">
        <v>6290</v>
      </c>
      <c r="N20" s="7">
        <f>IFERROR(XLOOKUP(A20,'Source Ledger'!$B$5:$B$133,'Source Ledger'!$G$5:$G$133),"")</f>
        <v>968.69</v>
      </c>
      <c r="O20" s="7" t="str">
        <f>IFERROR(XLOOKUP(A20,'Source Ledger'!$B$5:$B$133,'Source Ledger'!$A$5:$A$133),"")</f>
        <v>FA-000016</v>
      </c>
      <c r="P20" s="7" t="inlineStr">
        <is>
          <t>Yes</t>
        </is>
      </c>
      <c r="Q20" s="9" t="inlineStr">
        <is>
          <t>High</t>
        </is>
      </c>
      <c r="R20" s="7" t="inlineStr"/>
      <c r="S20" s="7" t="inlineStr">
        <is>
          <t>No</t>
        </is>
      </c>
      <c r="T20">
        <f>IFERROR(XLOOKUP(A20,'Source Ledger'!$B$5:$B$133,'Source Ledger'!$E$5:$E$133),"")</f>
        <v>6290</v>
      </c>
      <c r="U20" t="str">
        <f>IFERROR(XLOOKUP(A20,'Source Ledger'!$B$5:$B$133,'Source Ledger'!$H$5:$H$133),"")</f>
        <v>Active</v>
      </c>
      <c r="V20">
        <f>IFERROR(XLOOKUP(A20,'Source Ledger'!$B$5:$B$133,'Source Ledger'!$G$5:$G$133),"")</f>
        <v>968.69</v>
      </c>
      <c r="W20">
        <f>IF(OR(T20="",M20=""),"",T20-M20)</f>
        <v>0</v>
      </c>
      <c r="X20" t="str">
        <f>IF(N20="","No","Yes")</f>
        <v>Yes</v>
      </c>
    </row>
    <row r="21">
      <c r="A21" s="7" t="inlineStr">
        <is>
          <t>MD-00017</t>
        </is>
      </c>
      <c r="B21" s="7" t="inlineStr">
        <is>
          <t>MD-LA-050017</t>
        </is>
      </c>
      <c r="C21" s="7" t="inlineStr">
        <is>
          <t>Laptop</t>
        </is>
      </c>
      <c r="D21" s="7" t="inlineStr">
        <is>
          <t>MacBook Pro 14</t>
        </is>
      </c>
      <c r="E21" s="7" t="inlineStr">
        <is>
          <t>E0017</t>
        </is>
      </c>
      <c r="F21" s="7" t="inlineStr">
        <is>
          <t>Seattle</t>
        </is>
      </c>
      <c r="G21" s="7" t="inlineStr"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Assignment trail and HR both fit In Use for MD-00017 in Seattle. Employee E0017 (Active) matches the register holder. Transfer TR-00017 shows receipt 2026-06-19, approval APR-00017. Procurement PO-2024-0003 maps to ledger FA-000017.</t>
        </is>
      </c>
      <c r="L21" s="7" t="inlineStr">
        <is>
          <t>2026-08-05</t>
        </is>
      </c>
      <c r="M21" s="7" t="n">
        <v>1985</v>
      </c>
      <c r="N21" s="7">
        <f>IFERROR(XLOOKUP(A21,'Source Ledger'!$B$5:$B$133,'Source Ledger'!$G$5:$G$133),"")</f>
        <v>0</v>
      </c>
      <c r="O21" s="7" t="str">
        <f>IFERROR(XLOOKUP(A21,'Source Ledger'!$B$5:$B$133,'Source Ledger'!$A$5:$A$133),"")</f>
        <v>FA-000017</v>
      </c>
      <c r="P21" s="7" t="inlineStr">
        <is>
          <t>No</t>
        </is>
      </c>
      <c r="Q21" s="9" t="inlineStr">
        <is>
          <t>High</t>
        </is>
      </c>
      <c r="R21" s="7" t="inlineStr">
        <is>
          <t>EX-0001</t>
        </is>
      </c>
      <c r="S21" s="7" t="inlineStr">
        <is>
          <t>No</t>
        </is>
      </c>
      <c r="T21">
        <f>IFERROR(XLOOKUP(A21,'Source Ledger'!$B$5:$B$133,'Source Ledger'!$E$5:$E$133),"")</f>
        <v>2070</v>
      </c>
      <c r="U21" t="str">
        <f>IFERROR(XLOOKUP(A21,'Source Ledger'!$B$5:$B$133,'Source Ledger'!$H$5:$H$133),"")</f>
        <v>Active</v>
      </c>
      <c r="V21">
        <f>IFERROR(XLOOKUP(A21,'Source Ledger'!$B$5:$B$133,'Source Ledger'!$G$5:$G$133),"")</f>
        <v>0</v>
      </c>
      <c r="W21">
        <f>IF(OR(T21="",M21=""),"",T21-M21)</f>
        <v>85</v>
      </c>
      <c r="X21" t="str">
        <f>IF(N21="","No","Yes")</f>
        <v>Yes</v>
      </c>
    </row>
    <row r="22">
      <c r="A22" s="7" t="inlineStr">
        <is>
          <t>MD-00018</t>
        </is>
      </c>
      <c r="B22" s="7" t="inlineStr">
        <is>
          <t>MD-MO-050018</t>
        </is>
      </c>
      <c r="C22" s="7" t="inlineStr">
        <is>
          <t>Monitor</t>
        </is>
      </c>
      <c r="D22" s="7" t="inlineStr">
        <is>
          <t>Dell U2723QE</t>
        </is>
      </c>
      <c r="E22" s="7" t="inlineStr">
        <is>
          <t>E0018</t>
        </is>
      </c>
      <c r="F22" s="7" t="inlineStr">
        <is>
          <t>Atlanta</t>
        </is>
      </c>
      <c r="G22" s="7" t="inlineStr"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People and transfer logs align on MD-00018 - In Use, Atlanta. Employee E0018 (Active) matches the register holder. Inbound stamp on TR-00018 is 01/23/2026, approval APR-00018. Purchase order PO-2024-0003 and FAR row FA-000018 both cite MD-00018.</t>
        </is>
      </c>
      <c r="L22" s="7" t="inlineStr">
        <is>
          <t>2026-08-05</t>
        </is>
      </c>
      <c r="M22" s="7" t="n">
        <v>700</v>
      </c>
      <c r="N22" s="7">
        <f>IFERROR(XLOOKUP(A22,'Source Ledger'!$B$5:$B$133,'Source Ledger'!$G$5:$G$133),"")</f>
        <v>412.14</v>
      </c>
      <c r="O22" s="7" t="str">
        <f>IFERROR(XLOOKUP(A22,'Source Ledger'!$B$5:$B$133,'Source Ledger'!$A$5:$A$133),"")</f>
        <v>FA-000018</v>
      </c>
      <c r="P22" s="7" t="inlineStr">
        <is>
          <t>No</t>
        </is>
      </c>
      <c r="Q22" s="9" t="inlineStr">
        <is>
          <t>High</t>
        </is>
      </c>
      <c r="R22" s="7" t="inlineStr"/>
      <c r="S22" s="7" t="inlineStr">
        <is>
          <t>No</t>
        </is>
      </c>
      <c r="T22">
        <f>IFERROR(XLOOKUP(A22,'Source Ledger'!$B$5:$B$133,'Source Ledger'!$E$5:$E$133),"")</f>
        <v>700</v>
      </c>
      <c r="U22" t="str">
        <f>IFERROR(XLOOKUP(A22,'Source Ledger'!$B$5:$B$133,'Source Ledger'!$H$5:$H$133),"")</f>
        <v>Active</v>
      </c>
      <c r="V22">
        <f>IFERROR(XLOOKUP(A22,'Source Ledger'!$B$5:$B$133,'Source Ledger'!$G$5:$G$133),"")</f>
        <v>412.14</v>
      </c>
      <c r="W22">
        <f>IF(OR(T22="",M22=""),"",T22-M22)</f>
        <v>0</v>
      </c>
      <c r="X22" t="str">
        <f>IF(N22="","No","Yes")</f>
        <v>Yes</v>
      </c>
    </row>
    <row r="23">
      <c r="A23" s="7" t="inlineStr">
        <is>
          <t>MD-00019</t>
        </is>
      </c>
      <c r="B23" s="7" t="inlineStr">
        <is>
          <t>MD-MO-050019</t>
        </is>
      </c>
      <c r="C23" s="7" t="inlineStr">
        <is>
          <t>Mobile Device</t>
        </is>
      </c>
      <c r="D23" s="7" t="inlineStr">
        <is>
          <t>Samsung Galaxy S24</t>
        </is>
      </c>
      <c r="E23" s="7" t="inlineStr">
        <is>
          <t>E0019</t>
        </is>
      </c>
      <c r="F23" s="7" t="inlineStr">
        <is>
          <t>Chicago</t>
        </is>
      </c>
      <c r="G23" s="7" t="inlineStr"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MD-00019 sits In Use at Chicago (Samsung Galaxy S24, $1175). Employee E0019 (Active) matches the register holder. equipment_transfer_log TR-00019, approval APR-00019; received Feb 26, 2026. PO-2025-0004 and FA-000019 agree on MD-00019.</t>
        </is>
      </c>
      <c r="L23" s="7" t="inlineStr">
        <is>
          <t>2026-08-05</t>
        </is>
      </c>
      <c r="M23" s="7" t="n">
        <v>1175</v>
      </c>
      <c r="N23" s="7">
        <f>IFERROR(XLOOKUP(A23,'Source Ledger'!$B$5:$B$133,'Source Ledger'!$G$5:$G$133),"")</f>
        <v>795.4</v>
      </c>
      <c r="O23" s="7" t="str">
        <f>IFERROR(XLOOKUP(A23,'Source Ledger'!$B$5:$B$133,'Source Ledger'!$A$5:$A$133),"")</f>
        <v>FA-000019</v>
      </c>
      <c r="P23" s="7" t="inlineStr">
        <is>
          <t>No</t>
        </is>
      </c>
      <c r="Q23" s="9" t="inlineStr">
        <is>
          <t>High</t>
        </is>
      </c>
      <c r="R23" s="7" t="inlineStr"/>
      <c r="S23" s="7" t="inlineStr">
        <is>
          <t>No</t>
        </is>
      </c>
      <c r="T23">
        <f>IFERROR(XLOOKUP(A23,'Source Ledger'!$B$5:$B$133,'Source Ledger'!$E$5:$E$133),"")</f>
        <v>1175</v>
      </c>
      <c r="U23" t="str">
        <f>IFERROR(XLOOKUP(A23,'Source Ledger'!$B$5:$B$133,'Source Ledger'!$H$5:$H$133),"")</f>
        <v>Active</v>
      </c>
      <c r="V23">
        <f>IFERROR(XLOOKUP(A23,'Source Ledger'!$B$5:$B$133,'Source Ledger'!$G$5:$G$133),"")</f>
        <v>795.4</v>
      </c>
      <c r="W23">
        <f>IF(OR(T23="",M23=""),"",T23-M23)</f>
        <v>0</v>
      </c>
      <c r="X23" t="str">
        <f>IF(N23="","No","Yes")</f>
        <v>Yes</v>
      </c>
    </row>
    <row r="24">
      <c r="A24" s="7" t="inlineStr">
        <is>
          <t>MD-00020</t>
        </is>
      </c>
      <c r="B24" s="7" t="inlineStr">
        <is>
          <t>MD-NE-050020</t>
        </is>
      </c>
      <c r="C24" s="7" t="inlineStr">
        <is>
          <t>Network Asset</t>
        </is>
      </c>
      <c r="D24" s="7" t="inlineStr">
        <is>
          <t>Cisco C9300</t>
        </is>
      </c>
      <c r="E24" s="7" t="inlineStr">
        <is>
          <t>E0020</t>
        </is>
      </c>
      <c r="F24" s="7" t="inlineStr">
        <is>
          <t>Dallas</t>
        </is>
      </c>
      <c r="G24" s="7" t="inlineStr"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Cisco C9300 MD-00020 tied to $6470; location Dallas; status In Use. Employee E0020 (Active) matches the register holder. Inbound stamp on TR-00020 is 2026-03-30, approval APR-00020. Purchase order PO-2025-0004 and FAR row FA-000020 both cite MD-00020.</t>
        </is>
      </c>
      <c r="L24" s="7" t="inlineStr">
        <is>
          <t>2026-08-05</t>
        </is>
      </c>
      <c r="M24" s="7" t="n">
        <v>6470</v>
      </c>
      <c r="N24" s="7">
        <f>IFERROR(XLOOKUP(A24,'Source Ledger'!$B$5:$B$133,'Source Ledger'!$G$5:$G$133),"")</f>
        <v>1446.34</v>
      </c>
      <c r="O24" s="7" t="str">
        <f>IFERROR(XLOOKUP(A24,'Source Ledger'!$B$5:$B$133,'Source Ledger'!$A$5:$A$133),"")</f>
        <v>FA-000020</v>
      </c>
      <c r="P24" s="7" t="inlineStr">
        <is>
          <t>Yes</t>
        </is>
      </c>
      <c r="Q24" s="9" t="inlineStr">
        <is>
          <t>High</t>
        </is>
      </c>
      <c r="R24" s="7" t="inlineStr"/>
      <c r="S24" s="7" t="inlineStr">
        <is>
          <t>No</t>
        </is>
      </c>
      <c r="T24">
        <f>IFERROR(XLOOKUP(A24,'Source Ledger'!$B$5:$B$133,'Source Ledger'!$E$5:$E$133),"")</f>
        <v>6470</v>
      </c>
      <c r="U24" t="str">
        <f>IFERROR(XLOOKUP(A24,'Source Ledger'!$B$5:$B$133,'Source Ledger'!$H$5:$H$133),"")</f>
        <v>Active</v>
      </c>
      <c r="V24">
        <f>IFERROR(XLOOKUP(A24,'Source Ledger'!$B$5:$B$133,'Source Ledger'!$G$5:$G$133),"")</f>
        <v>1446.34</v>
      </c>
      <c r="W24">
        <f>IF(OR(T24="",M24=""),"",T24-M24)</f>
        <v>0</v>
      </c>
      <c r="X24" t="str">
        <f>IF(N24="","No","Yes")</f>
        <v>Yes</v>
      </c>
    </row>
    <row r="25">
      <c r="A25" s="7" t="inlineStr">
        <is>
          <t>MD-00021</t>
        </is>
      </c>
      <c r="B25" s="7" t="inlineStr">
        <is>
          <t>MD-LA-050021</t>
        </is>
      </c>
      <c r="C25" s="7" t="inlineStr">
        <is>
          <t>Laptop</t>
        </is>
      </c>
      <c r="D25" s="7" t="inlineStr">
        <is>
          <t>Dell Latitude 7440</t>
        </is>
      </c>
      <c r="E25" s="7" t="inlineStr">
        <is>
          <t>E0021</t>
        </is>
      </c>
      <c r="F25" s="7" t="inlineStr">
        <is>
          <t>Denver</t>
        </is>
      </c>
      <c r="G25" s="7" t="inlineStr"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I read the movement and people files before calling MD-00021 In Use. Employee E0021 (Active) matches the register holder. equipment_transfer_log TR-00021, approval APR-00021; received 05/03/2026. PO-2025-0004 and FA-000021 agree on MD-00021. Also: duplicate serial MD-LA-050021 flagged on the register.</t>
        </is>
      </c>
      <c r="L25" s="7" t="inlineStr">
        <is>
          <t>2026-08-05</t>
        </is>
      </c>
      <c r="M25" s="7" t="n">
        <v>1850</v>
      </c>
      <c r="N25" s="7">
        <f>IFERROR(XLOOKUP(A25,'Source Ledger'!$B$5:$B$133,'Source Ledger'!$G$5:$G$133),"")</f>
        <v>124.52</v>
      </c>
      <c r="O25" s="7" t="str">
        <f>IFERROR(XLOOKUP(A25,'Source Ledger'!$B$5:$B$133,'Source Ledger'!$A$5:$A$133),"")</f>
        <v>FA-000021</v>
      </c>
      <c r="P25" s="7" t="inlineStr">
        <is>
          <t>No</t>
        </is>
      </c>
      <c r="Q25" s="7" t="inlineStr">
        <is>
          <t>Medium</t>
        </is>
      </c>
      <c r="R25" s="7" t="inlineStr">
        <is>
          <t>EX-0002</t>
        </is>
      </c>
      <c r="S25" s="7" t="inlineStr">
        <is>
          <t>No</t>
        </is>
      </c>
      <c r="T25">
        <f>IFERROR(XLOOKUP(A25,'Source Ledger'!$B$5:$B$133,'Source Ledger'!$E$5:$E$133),"")</f>
        <v>1850</v>
      </c>
      <c r="U25" t="str">
        <f>IFERROR(XLOOKUP(A25,'Source Ledger'!$B$5:$B$133,'Source Ledger'!$H$5:$H$133),"")</f>
        <v>Active</v>
      </c>
      <c r="V25">
        <f>IFERROR(XLOOKUP(A25,'Source Ledger'!$B$5:$B$133,'Source Ledger'!$G$5:$G$133),"")</f>
        <v>124.52</v>
      </c>
      <c r="W25">
        <f>IF(OR(T25="",M25=""),"",T25-M25)</f>
        <v>0</v>
      </c>
      <c r="X25" t="str">
        <f>IF(N25="","No","Yes")</f>
        <v>Yes</v>
      </c>
    </row>
    <row r="26">
      <c r="A26" s="7" t="inlineStr">
        <is>
          <t>MD-00022</t>
        </is>
      </c>
      <c r="B26" s="7" t="inlineStr">
        <is>
          <t>MD-MO-050022</t>
        </is>
      </c>
      <c r="C26" s="7" t="inlineStr">
        <is>
          <t>Monitor</t>
        </is>
      </c>
      <c r="D26" s="7" t="inlineStr">
        <is>
          <t>Dell U2723QE</t>
        </is>
      </c>
      <c r="E26" s="7" t="inlineStr">
        <is>
          <t>E0022</t>
        </is>
      </c>
      <c r="F26" s="7" t="inlineStr">
        <is>
          <t>New York</t>
        </is>
      </c>
      <c r="G26" s="7" t="inlineStr"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MD-00022 lists In Use at New York (Dell U2723QE, $565). Employee E0022 (Active) matches the register holder. TR-00022 ties to MD-00022; dock date Jun 05, 2026, approval APR-00022. Procurement PO-2025-0004 maps to ledger FA-000022.</t>
        </is>
      </c>
      <c r="L26" s="7" t="inlineStr">
        <is>
          <t>2026-08-05</t>
        </is>
      </c>
      <c r="M26" s="7" t="n">
        <v>565</v>
      </c>
      <c r="N26" s="7">
        <f>IFERROR(XLOOKUP(A26,'Source Ledger'!$B$5:$B$133,'Source Ledger'!$G$5:$G$133),"")</f>
        <v>371.95</v>
      </c>
      <c r="O26" s="7" t="str">
        <f>IFERROR(XLOOKUP(A26,'Source Ledger'!$B$5:$B$133,'Source Ledger'!$A$5:$A$133),"")</f>
        <v>FA-000022</v>
      </c>
      <c r="P26" s="7" t="inlineStr">
        <is>
          <t>No</t>
        </is>
      </c>
      <c r="Q26" s="9" t="inlineStr">
        <is>
          <t>High</t>
        </is>
      </c>
      <c r="R26" s="7" t="inlineStr"/>
      <c r="S26" s="7" t="inlineStr">
        <is>
          <t>No</t>
        </is>
      </c>
      <c r="T26">
        <f>IFERROR(XLOOKUP(A26,'Source Ledger'!$B$5:$B$133,'Source Ledger'!$E$5:$E$133),"")</f>
        <v>565</v>
      </c>
      <c r="U26" t="str">
        <f>IFERROR(XLOOKUP(A26,'Source Ledger'!$B$5:$B$133,'Source Ledger'!$H$5:$H$133),"")</f>
        <v>Active</v>
      </c>
      <c r="V26">
        <f>IFERROR(XLOOKUP(A26,'Source Ledger'!$B$5:$B$133,'Source Ledger'!$G$5:$G$133),"")</f>
        <v>371.95</v>
      </c>
      <c r="W26">
        <f>IF(OR(T26="",M26=""),"",T26-M26)</f>
        <v>0</v>
      </c>
      <c r="X26" t="str">
        <f>IF(N26="","No","Yes")</f>
        <v>Yes</v>
      </c>
    </row>
    <row r="27">
      <c r="A27" s="7" t="inlineStr">
        <is>
          <t>MD-00023</t>
        </is>
      </c>
      <c r="B27" s="7" t="inlineStr">
        <is>
          <t>MD-MO-050023</t>
        </is>
      </c>
      <c r="C27" s="7" t="inlineStr">
        <is>
          <t>Mobile Device</t>
        </is>
      </c>
      <c r="D27" s="7" t="inlineStr">
        <is>
          <t>Samsung Galaxy S24</t>
        </is>
      </c>
      <c r="E27" s="7" t="inlineStr">
        <is>
          <t>E0023</t>
        </is>
      </c>
      <c r="F27" s="7" t="inlineStr">
        <is>
          <t>Seattle</t>
        </is>
      </c>
      <c r="G27" s="7" t="inlineStr"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In Use / Seattle on MD-00023 (Samsung Galaxy S24, $1040) per cited files. Employee E0023 (Active) matches the register holder. TR-00023 for MD-00023 - received 2026-07-09, approval APR-00023. Purchase order PO-2025-0004 and FAR row FA-000023 both cite MD-00023.</t>
        </is>
      </c>
      <c r="L27" s="7" t="inlineStr">
        <is>
          <t>2026-08-05</t>
        </is>
      </c>
      <c r="M27" s="7" t="n">
        <v>1040</v>
      </c>
      <c r="N27" s="7">
        <f>IFERROR(XLOOKUP(A27,'Source Ledger'!$B$5:$B$133,'Source Ledger'!$G$5:$G$133),"")</f>
        <v>823.6</v>
      </c>
      <c r="O27" s="7" t="str">
        <f>IFERROR(XLOOKUP(A27,'Source Ledger'!$B$5:$B$133,'Source Ledger'!$A$5:$A$133),"")</f>
        <v>FA-000023</v>
      </c>
      <c r="P27" s="7" t="inlineStr">
        <is>
          <t>No</t>
        </is>
      </c>
      <c r="Q27" s="9" t="inlineStr">
        <is>
          <t>High</t>
        </is>
      </c>
      <c r="R27" s="7" t="inlineStr"/>
      <c r="S27" s="7" t="inlineStr">
        <is>
          <t>No</t>
        </is>
      </c>
      <c r="T27">
        <f>IFERROR(XLOOKUP(A27,'Source Ledger'!$B$5:$B$133,'Source Ledger'!$E$5:$E$133),"")</f>
        <v>1040</v>
      </c>
      <c r="U27" t="str">
        <f>IFERROR(XLOOKUP(A27,'Source Ledger'!$B$5:$B$133,'Source Ledger'!$H$5:$H$133),"")</f>
        <v>Active</v>
      </c>
      <c r="V27">
        <f>IFERROR(XLOOKUP(A27,'Source Ledger'!$B$5:$B$133,'Source Ledger'!$G$5:$G$133),"")</f>
        <v>823.6</v>
      </c>
      <c r="W27">
        <f>IF(OR(T27="",M27=""),"",T27-M27)</f>
        <v>0</v>
      </c>
      <c r="X27" t="str">
        <f>IF(N27="","No","Yes")</f>
        <v>Yes</v>
      </c>
    </row>
    <row r="28">
      <c r="A28" s="7" t="inlineStr">
        <is>
          <t>MD-00024</t>
        </is>
      </c>
      <c r="B28" s="7" t="inlineStr">
        <is>
          <t>MD-NE-050024</t>
        </is>
      </c>
      <c r="C28" s="7" t="inlineStr">
        <is>
          <t>Network Asset</t>
        </is>
      </c>
      <c r="D28" s="7" t="inlineStr">
        <is>
          <t>Cisco C9300</t>
        </is>
      </c>
      <c r="E28" s="7" t="inlineStr">
        <is>
          <t>E0024</t>
        </is>
      </c>
      <c r="F28" s="7" t="inlineStr">
        <is>
          <t>Atlanta</t>
        </is>
      </c>
      <c r="G28" s="7" t="inlineStr"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Extract row MD-00024: In Use, Atlanta, $6335 - Cisco C9300. Employee E0024 (Active) matches the register holder. Movement TR-00024 posted 2026-01-18 and inbound 01/21/2026, approval APR-00024. PO-2025-0004 and FA-000024 agree on MD-00024.</t>
        </is>
      </c>
      <c r="L28" s="7" t="inlineStr">
        <is>
          <t>2026-08-05</t>
        </is>
      </c>
      <c r="M28" s="7" t="n">
        <v>6335</v>
      </c>
      <c r="N28" s="7">
        <f>IFERROR(XLOOKUP(A28,'Source Ledger'!$B$5:$B$133,'Source Ledger'!$G$5:$G$133),"")</f>
        <v>503.85</v>
      </c>
      <c r="O28" s="7" t="str">
        <f>IFERROR(XLOOKUP(A28,'Source Ledger'!$B$5:$B$133,'Source Ledger'!$A$5:$A$133),"")</f>
        <v>FA-000024</v>
      </c>
      <c r="P28" s="7" t="inlineStr">
        <is>
          <t>Yes</t>
        </is>
      </c>
      <c r="Q28" s="9" t="inlineStr">
        <is>
          <t>High</t>
        </is>
      </c>
      <c r="R28" s="7" t="inlineStr"/>
      <c r="S28" s="7" t="inlineStr">
        <is>
          <t>No</t>
        </is>
      </c>
      <c r="T28">
        <f>IFERROR(XLOOKUP(A28,'Source Ledger'!$B$5:$B$133,'Source Ledger'!$E$5:$E$133),"")</f>
        <v>6335</v>
      </c>
      <c r="U28" t="str">
        <f>IFERROR(XLOOKUP(A28,'Source Ledger'!$B$5:$B$133,'Source Ledger'!$H$5:$H$133),"")</f>
        <v>Active</v>
      </c>
      <c r="V28">
        <f>IFERROR(XLOOKUP(A28,'Source Ledger'!$B$5:$B$133,'Source Ledger'!$G$5:$G$133),"")</f>
        <v>503.85</v>
      </c>
      <c r="W28">
        <f>IF(OR(T28="",M28=""),"",T28-M28)</f>
        <v>0</v>
      </c>
      <c r="X28" t="str">
        <f>IF(N28="","No","Yes")</f>
        <v>Yes</v>
      </c>
    </row>
    <row r="29">
      <c r="A29" s="7" t="inlineStr">
        <is>
          <t>MD-00025</t>
        </is>
      </c>
      <c r="B29" s="7" t="inlineStr">
        <is>
          <t>MD-LA-050021</t>
        </is>
      </c>
      <c r="C29" s="7" t="inlineStr">
        <is>
          <t>Laptop</t>
        </is>
      </c>
      <c r="D29" s="7" t="inlineStr">
        <is>
          <t>Lenovo ThinkPad T14</t>
        </is>
      </c>
      <c r="E29" s="7" t="inlineStr">
        <is>
          <t>E0025</t>
        </is>
      </c>
      <c r="F29" s="7" t="inlineStr">
        <is>
          <t>Denver - Closed</t>
        </is>
      </c>
      <c r="G29" s="7" t="inlineStr"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Cost $2030 on MD-00025; In Use at Chicago. Employee E0025 (Active) matches the register holder. Log TR-00025: received Jan 22, 2026, approval APR-00025. Purchase order PO-2022-0005 and FAR row FA-000025 both cite MD-00025. Also: duplicate serial MD-LA-050021 flagged on the register.</t>
        </is>
      </c>
      <c r="L29" s="7" t="inlineStr">
        <is>
          <t>2026-08-05</t>
        </is>
      </c>
      <c r="M29" s="7" t="n">
        <v>2030</v>
      </c>
      <c r="N29" s="7">
        <f>IFERROR(XLOOKUP(A29,'Source Ledger'!$B$5:$B$133,'Source Ledger'!$G$5:$G$133),"")</f>
        <v>0</v>
      </c>
      <c r="O29" s="7" t="str">
        <f>IFERROR(XLOOKUP(A29,'Source Ledger'!$B$5:$B$133,'Source Ledger'!$A$5:$A$133),"")</f>
        <v>FA-000025</v>
      </c>
      <c r="P29" s="7" t="inlineStr">
        <is>
          <t>No</t>
        </is>
      </c>
      <c r="Q29" s="7" t="inlineStr">
        <is>
          <t>Medium</t>
        </is>
      </c>
      <c r="R29" s="7" t="inlineStr">
        <is>
          <t>EX-0003, EX-0004</t>
        </is>
      </c>
      <c r="S29" s="7" t="inlineStr">
        <is>
          <t>No</t>
        </is>
      </c>
      <c r="T29">
        <f>IFERROR(XLOOKUP(A29,'Source Ledger'!$B$5:$B$133,'Source Ledger'!$E$5:$E$133),"")</f>
        <v>2030</v>
      </c>
      <c r="U29" t="str">
        <f>IFERROR(XLOOKUP(A29,'Source Ledger'!$B$5:$B$133,'Source Ledger'!$H$5:$H$133),"")</f>
        <v>Active</v>
      </c>
      <c r="V29">
        <f>IFERROR(XLOOKUP(A29,'Source Ledger'!$B$5:$B$133,'Source Ledger'!$G$5:$G$133),"")</f>
        <v>0</v>
      </c>
      <c r="W29">
        <f>IF(OR(T29="",M29=""),"",T29-M29)</f>
        <v>0</v>
      </c>
      <c r="X29" t="str">
        <f>IF(N29="","No","Yes")</f>
        <v>Yes</v>
      </c>
    </row>
    <row r="30">
      <c r="A30" s="7" t="inlineStr">
        <is>
          <t>MD-00026</t>
        </is>
      </c>
      <c r="B30" s="7" t="inlineStr">
        <is>
          <t>MD-MO-050026</t>
        </is>
      </c>
      <c r="C30" s="7" t="inlineStr">
        <is>
          <t>Monitor</t>
        </is>
      </c>
      <c r="D30" s="7" t="inlineStr">
        <is>
          <t>Dell U2723QE</t>
        </is>
      </c>
      <c r="E30" s="7" t="inlineStr">
        <is>
          <t>E0026</t>
        </is>
      </c>
      <c r="F30" s="7" t="inlineStr">
        <is>
          <t>Chicago - Closed</t>
        </is>
      </c>
      <c r="G30" s="7" t="inlineStr"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Cross-file check left MD-00026 as In Use (Dallas). Employee E0026 (Active) matches the register holder. equipment_transfer_log TR-00026, approval APR-00026; received 2026-02-27. PO-2022-0005 and FA-000026 agree on MD-00026.</t>
        </is>
      </c>
      <c r="L30" s="7" t="inlineStr">
        <is>
          <t>2026-08-05</t>
        </is>
      </c>
      <c r="M30" s="7" t="n">
        <v>745</v>
      </c>
      <c r="N30" s="7">
        <f>IFERROR(XLOOKUP(A30,'Source Ledger'!$B$5:$B$133,'Source Ledger'!$G$5:$G$133),"")</f>
        <v>382.34</v>
      </c>
      <c r="O30" s="7" t="str">
        <f>IFERROR(XLOOKUP(A30,'Source Ledger'!$B$5:$B$133,'Source Ledger'!$A$5:$A$133),"")</f>
        <v>FA-000026</v>
      </c>
      <c r="P30" s="7" t="inlineStr">
        <is>
          <t>No</t>
        </is>
      </c>
      <c r="Q30" s="9" t="inlineStr">
        <is>
          <t>High</t>
        </is>
      </c>
      <c r="R30" s="7" t="inlineStr">
        <is>
          <t>EX-0005</t>
        </is>
      </c>
      <c r="S30" s="7" t="inlineStr">
        <is>
          <t>No</t>
        </is>
      </c>
      <c r="T30">
        <f>IFERROR(XLOOKUP(A30,'Source Ledger'!$B$5:$B$133,'Source Ledger'!$E$5:$E$133),"")</f>
        <v>745</v>
      </c>
      <c r="U30" t="str">
        <f>IFERROR(XLOOKUP(A30,'Source Ledger'!$B$5:$B$133,'Source Ledger'!$H$5:$H$133),"")</f>
        <v>Active</v>
      </c>
      <c r="V30">
        <f>IFERROR(XLOOKUP(A30,'Source Ledger'!$B$5:$B$133,'Source Ledger'!$G$5:$G$133),"")</f>
        <v>382.34</v>
      </c>
      <c r="W30">
        <f>IF(OR(T30="",M30=""),"",T30-M30)</f>
        <v>0</v>
      </c>
      <c r="X30" t="str">
        <f>IF(N30="","No","Yes")</f>
        <v>Yes</v>
      </c>
    </row>
    <row r="31">
      <c r="A31" s="7" t="inlineStr">
        <is>
          <t>MD-00027</t>
        </is>
      </c>
      <c r="B31" s="7" t="inlineStr">
        <is>
          <t>MD-MO-050027</t>
        </is>
      </c>
      <c r="C31" s="7" t="inlineStr">
        <is>
          <t>Mobile Device</t>
        </is>
      </c>
      <c r="D31" s="7" t="inlineStr">
        <is>
          <t>Samsung Galaxy S24</t>
        </is>
      </c>
      <c r="E31" s="7" t="inlineStr">
        <is>
          <t>E0027</t>
        </is>
      </c>
      <c r="F31" s="7" t="inlineStr">
        <is>
          <t>Denver - Closed</t>
        </is>
      </c>
      <c r="G31" s="7" t="inlineStr"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MD-00027 reads In Use at Denver (Samsung Galaxy S24, $1220). Employee E0027 (Active) matches the register holder. TR-00027 ties to MD-00027; dock date 04/06/2026, approval APR-00027. Procurement PO-2022-0005 maps to ledger FA-000027.</t>
        </is>
      </c>
      <c r="L31" s="7" t="inlineStr">
        <is>
          <t>2026-08-05</t>
        </is>
      </c>
      <c r="M31" s="7" t="n">
        <v>1220</v>
      </c>
      <c r="N31" s="7">
        <f>IFERROR(XLOOKUP(A31,'Source Ledger'!$B$5:$B$133,'Source Ledger'!$G$5:$G$133),"")</f>
        <v>672.21</v>
      </c>
      <c r="O31" s="7" t="str">
        <f>IFERROR(XLOOKUP(A31,'Source Ledger'!$B$5:$B$133,'Source Ledger'!$A$5:$A$133),"")</f>
        <v>FA-000027</v>
      </c>
      <c r="P31" s="7" t="inlineStr">
        <is>
          <t>No</t>
        </is>
      </c>
      <c r="Q31" s="9" t="inlineStr">
        <is>
          <t>High</t>
        </is>
      </c>
      <c r="R31" s="7" t="inlineStr">
        <is>
          <t>EX-0006</t>
        </is>
      </c>
      <c r="S31" s="7" t="inlineStr">
        <is>
          <t>No</t>
        </is>
      </c>
      <c r="T31">
        <f>IFERROR(XLOOKUP(A31,'Source Ledger'!$B$5:$B$133,'Source Ledger'!$E$5:$E$133),"")</f>
        <v>1220</v>
      </c>
      <c r="U31" t="str">
        <f>IFERROR(XLOOKUP(A31,'Source Ledger'!$B$5:$B$133,'Source Ledger'!$H$5:$H$133),"")</f>
        <v>Active</v>
      </c>
      <c r="V31">
        <f>IFERROR(XLOOKUP(A31,'Source Ledger'!$B$5:$B$133,'Source Ledger'!$G$5:$G$133),"")</f>
        <v>672.21</v>
      </c>
      <c r="W31">
        <f>IF(OR(T31="",M31=""),"",T31-M31)</f>
        <v>0</v>
      </c>
      <c r="X31" t="str">
        <f>IF(N31="","No","Yes")</f>
        <v>Yes</v>
      </c>
    </row>
    <row r="32">
      <c r="A32" s="7" t="inlineStr">
        <is>
          <t>MD-00028</t>
        </is>
      </c>
      <c r="B32" s="7" t="inlineStr">
        <is>
          <t>MD-NE-050028</t>
        </is>
      </c>
      <c r="C32" s="7" t="inlineStr">
        <is>
          <t>Network Asset</t>
        </is>
      </c>
      <c r="D32" s="7" t="inlineStr">
        <is>
          <t>Cisco C9300</t>
        </is>
      </c>
      <c r="E32" s="7" t="inlineStr">
        <is>
          <t>E0028</t>
        </is>
      </c>
      <c r="F32" s="7" t="inlineStr">
        <is>
          <t>Chicago - Closed</t>
        </is>
      </c>
      <c r="G32" s="7" t="inlineStr"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Kept MD-00028 at In Use in New York; $6200 Cisco C9300. Employee E0028 (Active) matches the register holder. TR-00028 for MD-00028 - received May 02, 2026, approval APR-00028. Purchase order PO-2022-0005 and FAR row FA-000028 both cite MD-00028.</t>
        </is>
      </c>
      <c r="L32" s="7" t="inlineStr">
        <is>
          <t>2026-08-05</t>
        </is>
      </c>
      <c r="M32" s="7" t="n">
        <v>6200</v>
      </c>
      <c r="N32" s="7">
        <f>IFERROR(XLOOKUP(A32,'Source Ledger'!$B$5:$B$133,'Source Ledger'!$G$5:$G$133),"")</f>
        <v>914.09</v>
      </c>
      <c r="O32" s="7" t="str">
        <f>IFERROR(XLOOKUP(A32,'Source Ledger'!$B$5:$B$133,'Source Ledger'!$A$5:$A$133),"")</f>
        <v>FA-000028</v>
      </c>
      <c r="P32" s="7" t="inlineStr">
        <is>
          <t>Yes</t>
        </is>
      </c>
      <c r="Q32" s="9" t="inlineStr">
        <is>
          <t>High</t>
        </is>
      </c>
      <c r="R32" s="7" t="inlineStr">
        <is>
          <t>EX-0007</t>
        </is>
      </c>
      <c r="S32" s="7" t="inlineStr">
        <is>
          <t>No</t>
        </is>
      </c>
      <c r="T32">
        <f>IFERROR(XLOOKUP(A32,'Source Ledger'!$B$5:$B$133,'Source Ledger'!$E$5:$E$133),"")</f>
        <v>6200</v>
      </c>
      <c r="U32" t="str">
        <f>IFERROR(XLOOKUP(A32,'Source Ledger'!$B$5:$B$133,'Source Ledger'!$H$5:$H$133),"")</f>
        <v>Active</v>
      </c>
      <c r="V32">
        <f>IFERROR(XLOOKUP(A32,'Source Ledger'!$B$5:$B$133,'Source Ledger'!$G$5:$G$133),"")</f>
        <v>914.09</v>
      </c>
      <c r="W32">
        <f>IF(OR(T32="",M32=""),"",T32-M32)</f>
        <v>0</v>
      </c>
      <c r="X32" t="str">
        <f>IF(N32="","No","Yes")</f>
        <v>Yes</v>
      </c>
    </row>
    <row r="33">
      <c r="A33" s="7" t="inlineStr">
        <is>
          <t>MD-00029</t>
        </is>
      </c>
      <c r="B33" s="7" t="inlineStr">
        <is>
          <t>MD-LA-050029</t>
        </is>
      </c>
      <c r="C33" s="7" t="inlineStr">
        <is>
          <t>Laptop</t>
        </is>
      </c>
      <c r="D33" s="7" t="inlineStr">
        <is>
          <t>MacBook Pro 14</t>
        </is>
      </c>
      <c r="E33" s="7" t="inlineStr">
        <is>
          <t>E0029</t>
        </is>
      </c>
      <c r="F33" s="7" t="inlineStr">
        <is>
          <t>Denver - Closed</t>
        </is>
      </c>
      <c r="G33" s="7" t="inlineStr"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Asset row MD-00029: In Use, Seattle, $1895 - MacBook Pro 14. Employee E0029 (Active) matches the register holder. Movement TR-00029 posted Jun 05, 2026 and inbound 2026-06-11, approval APR-00029. PO-2022-0005 and FA-000029 agree on MD-00029.</t>
        </is>
      </c>
      <c r="L33" s="7" t="inlineStr">
        <is>
          <t>2026-08-05</t>
        </is>
      </c>
      <c r="M33" s="7" t="n">
        <v>1895</v>
      </c>
      <c r="N33" s="7">
        <f>IFERROR(XLOOKUP(A33,'Source Ledger'!$B$5:$B$133,'Source Ledger'!$G$5:$G$133),"")</f>
        <v>0</v>
      </c>
      <c r="O33" s="7" t="str">
        <f>IFERROR(XLOOKUP(A33,'Source Ledger'!$B$5:$B$133,'Source Ledger'!$A$5:$A$133),"")</f>
        <v>FA-000029</v>
      </c>
      <c r="P33" s="7" t="inlineStr">
        <is>
          <t>No</t>
        </is>
      </c>
      <c r="Q33" s="9" t="inlineStr">
        <is>
          <t>High</t>
        </is>
      </c>
      <c r="R33" s="7" t="inlineStr">
        <is>
          <t>EX-0008</t>
        </is>
      </c>
      <c r="S33" s="7" t="inlineStr">
        <is>
          <t>No</t>
        </is>
      </c>
      <c r="T33">
        <f>IFERROR(XLOOKUP(A33,'Source Ledger'!$B$5:$B$133,'Source Ledger'!$E$5:$E$133),"")</f>
        <v>1895</v>
      </c>
      <c r="U33" t="str">
        <f>IFERROR(XLOOKUP(A33,'Source Ledger'!$B$5:$B$133,'Source Ledger'!$H$5:$H$133),"")</f>
        <v>Active</v>
      </c>
      <c r="V33">
        <f>IFERROR(XLOOKUP(A33,'Source Ledger'!$B$5:$B$133,'Source Ledger'!$G$5:$G$133),"")</f>
        <v>0</v>
      </c>
      <c r="W33">
        <f>IF(OR(T33="",M33=""),"",T33-M33)</f>
        <v>0</v>
      </c>
      <c r="X33" t="str">
        <f>IF(N33="","No","Yes")</f>
        <v>Yes</v>
      </c>
    </row>
    <row r="34">
      <c r="A34" s="7" t="inlineStr">
        <is>
          <t>MD-00030</t>
        </is>
      </c>
      <c r="B34" s="7" t="inlineStr">
        <is>
          <t>MD-MO-050030</t>
        </is>
      </c>
      <c r="C34" s="7" t="inlineStr">
        <is>
          <t>Monitor</t>
        </is>
      </c>
      <c r="D34" s="7" t="inlineStr">
        <is>
          <t>Dell U2723QE</t>
        </is>
      </c>
      <c r="E34" s="7" t="inlineStr">
        <is>
          <t>E0030</t>
        </is>
      </c>
      <c r="F34" s="7" t="inlineStr">
        <is>
          <t>Chicago - Closed</t>
        </is>
      </c>
      <c r="G34" s="7" t="inlineStr"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Cost $610 on MD-00030; In Use at Atlanta. Employee E0030 (Active) matches the register holder. TR-00030 for MD-00030 - received 01/13/2026, approval APR-00030. Purchase order PO-2022-0005 and FAR row FA-000030 both cite MD-00030.</t>
        </is>
      </c>
      <c r="L34" s="7" t="inlineStr">
        <is>
          <t>2026-08-05</t>
        </is>
      </c>
      <c r="M34" s="7" t="n">
        <v>610</v>
      </c>
      <c r="N34" s="7">
        <f>IFERROR(XLOOKUP(A34,'Source Ledger'!$B$5:$B$133,'Source Ledger'!$G$5:$G$133),"")</f>
        <v>355.14</v>
      </c>
      <c r="O34" s="7" t="str">
        <f>IFERROR(XLOOKUP(A34,'Source Ledger'!$B$5:$B$133,'Source Ledger'!$A$5:$A$133),"")</f>
        <v>FA-000030</v>
      </c>
      <c r="P34" s="7" t="inlineStr">
        <is>
          <t>No</t>
        </is>
      </c>
      <c r="Q34" s="9" t="inlineStr">
        <is>
          <t>High</t>
        </is>
      </c>
      <c r="R34" s="7" t="inlineStr">
        <is>
          <t>EX-0009</t>
        </is>
      </c>
      <c r="S34" s="7" t="inlineStr">
        <is>
          <t>No</t>
        </is>
      </c>
      <c r="T34">
        <f>IFERROR(XLOOKUP(A34,'Source Ledger'!$B$5:$B$133,'Source Ledger'!$E$5:$E$133),"")</f>
        <v>610</v>
      </c>
      <c r="U34" t="str">
        <f>IFERROR(XLOOKUP(A34,'Source Ledger'!$B$5:$B$133,'Source Ledger'!$H$5:$H$133),"")</f>
        <v>Active</v>
      </c>
      <c r="V34">
        <f>IFERROR(XLOOKUP(A34,'Source Ledger'!$B$5:$B$133,'Source Ledger'!$G$5:$G$133),"")</f>
        <v>355.14</v>
      </c>
      <c r="W34">
        <f>IF(OR(T34="",M34=""),"",T34-M34)</f>
        <v>0</v>
      </c>
      <c r="X34" t="str">
        <f>IF(N34="","No","Yes")</f>
        <v>Yes</v>
      </c>
    </row>
    <row r="35">
      <c r="A35" s="7" t="inlineStr">
        <is>
          <t>MD-00031</t>
        </is>
      </c>
      <c r="B35" s="7" t="inlineStr">
        <is>
          <t>MD-MO-050031</t>
        </is>
      </c>
      <c r="C35" s="7" t="inlineStr">
        <is>
          <t>Mobile Device</t>
        </is>
      </c>
      <c r="D35" s="7" t="inlineStr">
        <is>
          <t>Samsung Galaxy S24</t>
        </is>
      </c>
      <c r="E35" s="7" t="inlineStr">
        <is>
          <t>E0031</t>
        </is>
      </c>
      <c r="F35" s="7" t="inlineStr">
        <is>
          <t>Denver - Closed</t>
        </is>
      </c>
      <c r="G35" s="7" t="inlineStr"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Chicago: MD-00031 is In Use; cost $1085. Employee E0031 (Active) matches the register holder. Movement TR-00031 posted 02/11/2026 and inbound Feb 11, 2026, approval APR-00031. PO-2023-0006 and FA-000031 agree on MD-00031.</t>
        </is>
      </c>
      <c r="L35" s="7" t="inlineStr">
        <is>
          <t>2026-08-05</t>
        </is>
      </c>
      <c r="M35" s="7" t="n">
        <v>1085</v>
      </c>
      <c r="N35" s="7">
        <f>IFERROR(XLOOKUP(A35,'Source Ledger'!$B$5:$B$133,'Source Ledger'!$G$5:$G$133),"")</f>
        <v>722.59</v>
      </c>
      <c r="O35" s="7" t="str">
        <f>IFERROR(XLOOKUP(A35,'Source Ledger'!$B$5:$B$133,'Source Ledger'!$A$5:$A$133),"")</f>
        <v>FA-000031</v>
      </c>
      <c r="P35" s="7" t="inlineStr">
        <is>
          <t>No</t>
        </is>
      </c>
      <c r="Q35" s="9" t="inlineStr">
        <is>
          <t>High</t>
        </is>
      </c>
      <c r="R35" s="7" t="inlineStr">
        <is>
          <t>EX-0010</t>
        </is>
      </c>
      <c r="S35" s="7" t="inlineStr">
        <is>
          <t>No</t>
        </is>
      </c>
      <c r="T35">
        <f>IFERROR(XLOOKUP(A35,'Source Ledger'!$B$5:$B$133,'Source Ledger'!$E$5:$E$133),"")</f>
        <v>1085</v>
      </c>
      <c r="U35" t="str">
        <f>IFERROR(XLOOKUP(A35,'Source Ledger'!$B$5:$B$133,'Source Ledger'!$H$5:$H$133),"")</f>
        <v>Active</v>
      </c>
      <c r="V35">
        <f>IFERROR(XLOOKUP(A35,'Source Ledger'!$B$5:$B$133,'Source Ledger'!$G$5:$G$133),"")</f>
        <v>722.59</v>
      </c>
      <c r="W35">
        <f>IF(OR(T35="",M35=""),"",T35-M35)</f>
        <v>0</v>
      </c>
      <c r="X35" t="str">
        <f>IF(N35="","No","Yes")</f>
        <v>Yes</v>
      </c>
    </row>
    <row r="36">
      <c r="A36" s="7" t="inlineStr">
        <is>
          <t>MD-00032</t>
        </is>
      </c>
      <c r="B36" s="7" t="inlineStr">
        <is>
          <t>MD-NE-050032</t>
        </is>
      </c>
      <c r="C36" s="7" t="inlineStr">
        <is>
          <t>Network Asset</t>
        </is>
      </c>
      <c r="D36" s="7" t="inlineStr">
        <is>
          <t>Cisco C9300</t>
        </is>
      </c>
      <c r="E36" s="7" t="inlineStr">
        <is>
          <t>E0032</t>
        </is>
      </c>
      <c r="F36" s="7" t="inlineStr">
        <is>
          <t>Chicago - Closed</t>
        </is>
      </c>
      <c r="G36" s="7" t="inlineStr"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MD-00032 stays In Use at Dallas (Cisco C9300, $6380). Employee E0032 (Active) matches the register holder. Log TR-00032: received 2026-03-22, approval APR-00032. Procurement PO-2023-0006 maps to ledger FA-000032.</t>
        </is>
      </c>
      <c r="L36" s="7" t="inlineStr">
        <is>
          <t>2026-08-05</t>
        </is>
      </c>
      <c r="M36" s="7" t="n">
        <v>6380</v>
      </c>
      <c r="N36" s="7">
        <f>IFERROR(XLOOKUP(A36,'Source Ledger'!$B$5:$B$133,'Source Ledger'!$G$5:$G$133),"")</f>
        <v>1384.3</v>
      </c>
      <c r="O36" s="7" t="str">
        <f>IFERROR(XLOOKUP(A36,'Source Ledger'!$B$5:$B$133,'Source Ledger'!$A$5:$A$133),"")</f>
        <v>FA-000032</v>
      </c>
      <c r="P36" s="7" t="inlineStr">
        <is>
          <t>Yes</t>
        </is>
      </c>
      <c r="Q36" s="9" t="inlineStr">
        <is>
          <t>High</t>
        </is>
      </c>
      <c r="R36" s="7" t="inlineStr">
        <is>
          <t>EX-0011</t>
        </is>
      </c>
      <c r="S36" s="7" t="inlineStr">
        <is>
          <t>No</t>
        </is>
      </c>
      <c r="T36">
        <f>IFERROR(XLOOKUP(A36,'Source Ledger'!$B$5:$B$133,'Source Ledger'!$E$5:$E$133),"")</f>
        <v>6380</v>
      </c>
      <c r="U36" t="str">
        <f>IFERROR(XLOOKUP(A36,'Source Ledger'!$B$5:$B$133,'Source Ledger'!$H$5:$H$133),"")</f>
        <v>Active</v>
      </c>
      <c r="V36">
        <f>IFERROR(XLOOKUP(A36,'Source Ledger'!$B$5:$B$133,'Source Ledger'!$G$5:$G$133),"")</f>
        <v>1384.3</v>
      </c>
      <c r="W36">
        <f>IF(OR(T36="",M36=""),"",T36-M36)</f>
        <v>0</v>
      </c>
      <c r="X36" t="str">
        <f>IF(N36="","No","Yes")</f>
        <v>Yes</v>
      </c>
    </row>
    <row r="37">
      <c r="A37" s="7" t="inlineStr">
        <is>
          <t>MD-00033</t>
        </is>
      </c>
      <c r="B37" s="7" t="inlineStr">
        <is>
          <t>MD-LA-050033</t>
        </is>
      </c>
      <c r="C37" s="7" t="inlineStr">
        <is>
          <t>Laptop</t>
        </is>
      </c>
      <c r="D37" s="7" t="inlineStr">
        <is>
          <t>Dell Latitude 7440</t>
        </is>
      </c>
      <c r="E37" s="7" t="inlineStr">
        <is>
          <t>E0033</t>
        </is>
      </c>
      <c r="F37" s="7" t="inlineStr">
        <is>
          <t>Denver - Closed</t>
        </is>
      </c>
      <c r="G37" s="7" t="inlineStr"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Working conclusion for MD-00033: In Use in Denver ($2075). Employee E0033 (Active) matches the register holder. Assignment TR-00033; receive column 04/22/2026, approval APR-00033. Purchase order PO-2023-0006 and FAR row FA-000033 both cite MD-00033.</t>
        </is>
      </c>
      <c r="L37" s="7" t="inlineStr">
        <is>
          <t>2026-08-05</t>
        </is>
      </c>
      <c r="M37" s="7" t="n">
        <v>2075</v>
      </c>
      <c r="N37" s="7">
        <f>IFERROR(XLOOKUP(A37,'Source Ledger'!$B$5:$B$133,'Source Ledger'!$G$5:$G$133),"")</f>
        <v>116.93</v>
      </c>
      <c r="O37" s="7" t="str">
        <f>IFERROR(XLOOKUP(A37,'Source Ledger'!$B$5:$B$133,'Source Ledger'!$A$5:$A$133),"")</f>
        <v>FA-000033</v>
      </c>
      <c r="P37" s="7" t="inlineStr">
        <is>
          <t>No</t>
        </is>
      </c>
      <c r="Q37" s="9" t="inlineStr">
        <is>
          <t>High</t>
        </is>
      </c>
      <c r="R37" s="7" t="inlineStr">
        <is>
          <t>EX-0012</t>
        </is>
      </c>
      <c r="S37" s="7" t="inlineStr">
        <is>
          <t>No</t>
        </is>
      </c>
      <c r="T37">
        <f>IFERROR(XLOOKUP(A37,'Source Ledger'!$B$5:$B$133,'Source Ledger'!$E$5:$E$133),"")</f>
        <v>2075</v>
      </c>
      <c r="U37" t="str">
        <f>IFERROR(XLOOKUP(A37,'Source Ledger'!$B$5:$B$133,'Source Ledger'!$H$5:$H$133),"")</f>
        <v>Active</v>
      </c>
      <c r="V37">
        <f>IFERROR(XLOOKUP(A37,'Source Ledger'!$B$5:$B$133,'Source Ledger'!$G$5:$G$133),"")</f>
        <v>116.93</v>
      </c>
      <c r="W37">
        <f>IF(OR(T37="",M37=""),"",T37-M37)</f>
        <v>0</v>
      </c>
      <c r="X37" t="str">
        <f>IF(N37="","No","Yes")</f>
        <v>Yes</v>
      </c>
    </row>
    <row r="38">
      <c r="A38" s="7" t="inlineStr">
        <is>
          <t>MD-00034</t>
        </is>
      </c>
      <c r="B38" s="7" t="inlineStr">
        <is>
          <t>MD-MO-050034</t>
        </is>
      </c>
      <c r="C38" s="7" t="inlineStr">
        <is>
          <t>Monitor</t>
        </is>
      </c>
      <c r="D38" s="7" t="inlineStr">
        <is>
          <t>Dell U2723QE</t>
        </is>
      </c>
      <c r="E38" s="7" t="inlineStr">
        <is>
          <t>E0034</t>
        </is>
      </c>
      <c r="F38" s="7" t="inlineStr">
        <is>
          <t>Chicago - Closed</t>
        </is>
      </c>
      <c r="G38" s="7" t="inlineStr"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Dell U2723QE on MD-00034 is In Use in New York office; basis $790. Employee E0034 (Active) matches the register holder. Transfer TR-00034 shows receipt May 22, 2026, approval APR-00034. PO-2023-0006 and FA-000034 agree on MD-00034.</t>
        </is>
      </c>
      <c r="L38" s="7" t="inlineStr">
        <is>
          <t>2026-08-05</t>
        </is>
      </c>
      <c r="M38" s="7" t="n">
        <v>790</v>
      </c>
      <c r="N38" s="7">
        <f>IFERROR(XLOOKUP(A38,'Source Ledger'!$B$5:$B$133,'Source Ledger'!$G$5:$G$133),"")</f>
        <v>514.88</v>
      </c>
      <c r="O38" s="7" t="str">
        <f>IFERROR(XLOOKUP(A38,'Source Ledger'!$B$5:$B$133,'Source Ledger'!$A$5:$A$133),"")</f>
        <v>FA-000034</v>
      </c>
      <c r="P38" s="7" t="inlineStr">
        <is>
          <t>No</t>
        </is>
      </c>
      <c r="Q38" s="9" t="inlineStr">
        <is>
          <t>High</t>
        </is>
      </c>
      <c r="R38" s="7" t="inlineStr">
        <is>
          <t>EX-0013, EX-0014</t>
        </is>
      </c>
      <c r="S38" s="7" t="inlineStr">
        <is>
          <t>No</t>
        </is>
      </c>
      <c r="T38">
        <f>IFERROR(XLOOKUP(A38,'Source Ledger'!$B$5:$B$133,'Source Ledger'!$E$5:$E$133),"")</f>
        <v>930</v>
      </c>
      <c r="U38" t="str">
        <f>IFERROR(XLOOKUP(A38,'Source Ledger'!$B$5:$B$133,'Source Ledger'!$H$5:$H$133),"")</f>
        <v>Active</v>
      </c>
      <c r="V38">
        <f>IFERROR(XLOOKUP(A38,'Source Ledger'!$B$5:$B$133,'Source Ledger'!$G$5:$G$133),"")</f>
        <v>514.88</v>
      </c>
      <c r="W38">
        <f>IF(OR(T38="",M38=""),"",T38-M38)</f>
        <v>140</v>
      </c>
      <c r="X38" t="str">
        <f>IF(N38="","No","Yes")</f>
        <v>Yes</v>
      </c>
    </row>
    <row r="39">
      <c r="A39" s="7" t="inlineStr">
        <is>
          <t>MD-00035</t>
        </is>
      </c>
      <c r="B39" s="7" t="inlineStr">
        <is>
          <t>MD-MO-050035</t>
        </is>
      </c>
      <c r="C39" s="7" t="inlineStr">
        <is>
          <t>Mobile Device</t>
        </is>
      </c>
      <c r="D39" s="7" t="inlineStr">
        <is>
          <t>Samsung Galaxy S24</t>
        </is>
      </c>
      <c r="E39" s="7" t="inlineStr">
        <is>
          <t>E0035</t>
        </is>
      </c>
      <c r="F39" s="7" t="inlineStr">
        <is>
          <t>Denver - Closed</t>
        </is>
      </c>
      <c r="G39" s="7" t="inlineStr"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MD-00035 shows In Use at Seattle (Samsung Galaxy S24, $950). Employee E0035 (Active) matches the register holder. Inbound stamp on TR-00035 is 2026-06-30, approval APR-00035. Procurement PO-2023-0006 maps to ledger FA-000035.</t>
        </is>
      </c>
      <c r="L39" s="7" t="inlineStr">
        <is>
          <t>2026-08-05</t>
        </is>
      </c>
      <c r="M39" s="7" t="n">
        <v>950</v>
      </c>
      <c r="N39" s="7">
        <f>IFERROR(XLOOKUP(A39,'Source Ledger'!$B$5:$B$133,'Source Ledger'!$G$5:$G$133),"")</f>
        <v>741.92</v>
      </c>
      <c r="O39" s="7" t="str">
        <f>IFERROR(XLOOKUP(A39,'Source Ledger'!$B$5:$B$133,'Source Ledger'!$A$5:$A$133),"")</f>
        <v>FA-000035</v>
      </c>
      <c r="P39" s="7" t="inlineStr">
        <is>
          <t>No</t>
        </is>
      </c>
      <c r="Q39" s="9" t="inlineStr">
        <is>
          <t>High</t>
        </is>
      </c>
      <c r="R39" s="7" t="inlineStr">
        <is>
          <t>EX-0015</t>
        </is>
      </c>
      <c r="S39" s="7" t="inlineStr">
        <is>
          <t>No</t>
        </is>
      </c>
      <c r="T39">
        <f>IFERROR(XLOOKUP(A39,'Source Ledger'!$B$5:$B$133,'Source Ledger'!$E$5:$E$133),"")</f>
        <v>950</v>
      </c>
      <c r="U39" t="str">
        <f>IFERROR(XLOOKUP(A39,'Source Ledger'!$B$5:$B$133,'Source Ledger'!$H$5:$H$133),"")</f>
        <v>Active</v>
      </c>
      <c r="V39">
        <f>IFERROR(XLOOKUP(A39,'Source Ledger'!$B$5:$B$133,'Source Ledger'!$G$5:$G$133),"")</f>
        <v>741.92</v>
      </c>
      <c r="W39">
        <f>IF(OR(T39="",M39=""),"",T39-M39)</f>
        <v>0</v>
      </c>
      <c r="X39" t="str">
        <f>IF(N39="","No","Yes")</f>
        <v>Yes</v>
      </c>
    </row>
    <row r="40">
      <c r="A40" s="7" t="inlineStr">
        <is>
          <t>MD-00036</t>
        </is>
      </c>
      <c r="B40" s="7" t="inlineStr">
        <is>
          <t>MD-NE-050036</t>
        </is>
      </c>
      <c r="C40" s="7" t="inlineStr">
        <is>
          <t>Network Asset</t>
        </is>
      </c>
      <c r="D40" s="7" t="inlineStr">
        <is>
          <t>Cisco C9300</t>
        </is>
      </c>
      <c r="E40" s="7" t="inlineStr">
        <is>
          <t>E0036</t>
        </is>
      </c>
      <c r="F40" s="7" t="inlineStr">
        <is>
          <t>Chicago - Closed</t>
        </is>
      </c>
      <c r="G40" s="7" t="inlineStr"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The cited records support In Use in Atlanta for MD-00036. Employee E0036 (Active) matches the register holder. Movement TR-00036 posted 2026-01-30 and inbound 02/01/2026, approval APR-00036. Purchase order PO-2023-0006 and FAR row FA-000036 both cite MD-00036.</t>
        </is>
      </c>
      <c r="L40" s="7" t="inlineStr">
        <is>
          <t>2026-08-05</t>
        </is>
      </c>
      <c r="M40" s="7" t="n">
        <v>6245</v>
      </c>
      <c r="N40" s="7">
        <f>IFERROR(XLOOKUP(A40,'Source Ledger'!$B$5:$B$133,'Source Ledger'!$G$5:$G$133),"")</f>
        <v>537.73</v>
      </c>
      <c r="O40" s="7" t="str">
        <f>IFERROR(XLOOKUP(A40,'Source Ledger'!$B$5:$B$133,'Source Ledger'!$A$5:$A$133),"")</f>
        <v>FA-000036</v>
      </c>
      <c r="P40" s="7" t="inlineStr">
        <is>
          <t>Yes</t>
        </is>
      </c>
      <c r="Q40" s="9" t="inlineStr">
        <is>
          <t>High</t>
        </is>
      </c>
      <c r="R40" s="7" t="inlineStr">
        <is>
          <t>EX-0016</t>
        </is>
      </c>
      <c r="S40" s="7" t="inlineStr">
        <is>
          <t>No</t>
        </is>
      </c>
      <c r="T40">
        <f>IFERROR(XLOOKUP(A40,'Source Ledger'!$B$5:$B$133,'Source Ledger'!$E$5:$E$133),"")</f>
        <v>6245</v>
      </c>
      <c r="U40" t="str">
        <f>IFERROR(XLOOKUP(A40,'Source Ledger'!$B$5:$B$133,'Source Ledger'!$H$5:$H$133),"")</f>
        <v>Active</v>
      </c>
      <c r="V40">
        <f>IFERROR(XLOOKUP(A40,'Source Ledger'!$B$5:$B$133,'Source Ledger'!$G$5:$G$133),"")</f>
        <v>537.73</v>
      </c>
      <c r="W40">
        <f>IF(OR(T40="",M40=""),"",T40-M40)</f>
        <v>0</v>
      </c>
      <c r="X40" t="str">
        <f>IF(N40="","No","Yes")</f>
        <v>Yes</v>
      </c>
    </row>
    <row r="41">
      <c r="A41" s="7" t="inlineStr">
        <is>
          <t>MD-00037</t>
        </is>
      </c>
      <c r="B41" s="7" t="inlineStr">
        <is>
          <t>MD-LA-050037</t>
        </is>
      </c>
      <c r="C41" s="7" t="inlineStr">
        <is>
          <t>Laptop</t>
        </is>
      </c>
      <c r="D41" s="7" t="inlineStr">
        <is>
          <t>Lenovo ThinkPad T14</t>
        </is>
      </c>
      <c r="E41" s="7" t="inlineStr">
        <is>
          <t>E0037</t>
        </is>
      </c>
      <c r="F41" s="7" t="inlineStr">
        <is>
          <t>Denver - Closed</t>
        </is>
      </c>
      <c r="G41" s="7" t="inlineStr"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MD-00037 remains In Use at Chicago (Lenovo ThinkPad T14, $1940). Employee E0037 (Active) matches the register holder. Log TR-00037: received Feb 02, 2026, approval APR-00037. PO-2024-0007 and FA-000037 agree on MD-00037.</t>
        </is>
      </c>
      <c r="L41" s="7" t="inlineStr">
        <is>
          <t>2026-08-05</t>
        </is>
      </c>
      <c r="M41" s="7" t="n">
        <v>1940</v>
      </c>
      <c r="N41" s="7">
        <f>IFERROR(XLOOKUP(A41,'Source Ledger'!$B$5:$B$133,'Source Ledger'!$G$5:$G$133),"")</f>
        <v>0</v>
      </c>
      <c r="O41" s="7" t="str">
        <f>IFERROR(XLOOKUP(A41,'Source Ledger'!$B$5:$B$133,'Source Ledger'!$A$5:$A$133),"")</f>
        <v>FA-000037</v>
      </c>
      <c r="P41" s="7" t="inlineStr">
        <is>
          <t>No</t>
        </is>
      </c>
      <c r="Q41" s="9" t="inlineStr">
        <is>
          <t>High</t>
        </is>
      </c>
      <c r="R41" s="7" t="inlineStr">
        <is>
          <t>EX-0017</t>
        </is>
      </c>
      <c r="S41" s="7" t="inlineStr">
        <is>
          <t>No</t>
        </is>
      </c>
      <c r="T41">
        <f>IFERROR(XLOOKUP(A41,'Source Ledger'!$B$5:$B$133,'Source Ledger'!$E$5:$E$133),"")</f>
        <v>1940</v>
      </c>
      <c r="U41" t="str">
        <f>IFERROR(XLOOKUP(A41,'Source Ledger'!$B$5:$B$133,'Source Ledger'!$H$5:$H$133),"")</f>
        <v>Active</v>
      </c>
      <c r="V41">
        <f>IFERROR(XLOOKUP(A41,'Source Ledger'!$B$5:$B$133,'Source Ledger'!$G$5:$G$133),"")</f>
        <v>0</v>
      </c>
      <c r="W41">
        <f>IF(OR(T41="",M41=""),"",T41-M41)</f>
        <v>0</v>
      </c>
      <c r="X41" t="str">
        <f>IF(N41="","No","Yes")</f>
        <v>Yes</v>
      </c>
    </row>
    <row r="42">
      <c r="A42" s="7" t="inlineStr">
        <is>
          <t>MD-00038</t>
        </is>
      </c>
      <c r="B42" s="7" t="inlineStr">
        <is>
          <t>MD-MO-050038</t>
        </is>
      </c>
      <c r="C42" s="7" t="inlineStr">
        <is>
          <t>Monitor</t>
        </is>
      </c>
      <c r="D42" s="7" t="inlineStr">
        <is>
          <t>Dell U2723QE</t>
        </is>
      </c>
      <c r="E42" s="7" t="inlineStr">
        <is>
          <t>E0038</t>
        </is>
      </c>
      <c r="F42" s="7" t="inlineStr">
        <is>
          <t>Chicago - Closed</t>
        </is>
      </c>
      <c r="G42" s="7" t="inlineStr"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MD-00038 reconciled In Use with Dallas as the working site. Employee E0038 (Active) matches the register holder. Assignment TR-00038; receive column 2026-03-11, approval APR-00038. Procurement PO-2024-0007 maps to ledger FA-000038.</t>
        </is>
      </c>
      <c r="L42" s="7" t="inlineStr">
        <is>
          <t>2026-08-05</t>
        </is>
      </c>
      <c r="M42" s="7" t="n">
        <v>655</v>
      </c>
      <c r="N42" s="7">
        <f>IFERROR(XLOOKUP(A42,'Source Ledger'!$B$5:$B$133,'Source Ledger'!$G$5:$G$133),"")</f>
        <v>340.46</v>
      </c>
      <c r="O42" s="7" t="str">
        <f>IFERROR(XLOOKUP(A42,'Source Ledger'!$B$5:$B$133,'Source Ledger'!$A$5:$A$133),"")</f>
        <v>FA-000038</v>
      </c>
      <c r="P42" s="7" t="inlineStr">
        <is>
          <t>No</t>
        </is>
      </c>
      <c r="Q42" s="9" t="inlineStr">
        <is>
          <t>High</t>
        </is>
      </c>
      <c r="R42" s="7" t="inlineStr">
        <is>
          <t>EX-0018</t>
        </is>
      </c>
      <c r="S42" s="7" t="inlineStr">
        <is>
          <t>No</t>
        </is>
      </c>
      <c r="T42">
        <f>IFERROR(XLOOKUP(A42,'Source Ledger'!$B$5:$B$133,'Source Ledger'!$E$5:$E$133),"")</f>
        <v>655</v>
      </c>
      <c r="U42" t="str">
        <f>IFERROR(XLOOKUP(A42,'Source Ledger'!$B$5:$B$133,'Source Ledger'!$H$5:$H$133),"")</f>
        <v>Active</v>
      </c>
      <c r="V42">
        <f>IFERROR(XLOOKUP(A42,'Source Ledger'!$B$5:$B$133,'Source Ledger'!$G$5:$G$133),"")</f>
        <v>340.46</v>
      </c>
      <c r="W42">
        <f>IF(OR(T42="",M42=""),"",T42-M42)</f>
        <v>0</v>
      </c>
      <c r="X42" t="str">
        <f>IF(N42="","No","Yes")</f>
        <v>Yes</v>
      </c>
    </row>
    <row r="43">
      <c r="A43" s="7" t="inlineStr">
        <is>
          <t>MD-00039</t>
        </is>
      </c>
      <c r="B43" s="7" t="inlineStr">
        <is>
          <t>MD-MO-050039</t>
        </is>
      </c>
      <c r="C43" s="7" t="inlineStr">
        <is>
          <t>Mobile Device</t>
        </is>
      </c>
      <c r="D43" s="7" t="inlineStr">
        <is>
          <t>Samsung Galaxy S24</t>
        </is>
      </c>
      <c r="E43" s="7" t="inlineStr">
        <is>
          <t>E0039</t>
        </is>
      </c>
      <c r="F43" s="7" t="inlineStr">
        <is>
          <t>Denver - Closed</t>
        </is>
      </c>
      <c r="G43" s="7" t="inlineStr"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Samsung Galaxy S24 on MD-00039 is In Use in floor Denver; basis $1130. Employee E0039 (Active) matches the register holder. Transfer TR-00039 shows receipt 04/14/2026, approval APR-00039. Purchase order PO-2024-0007 and FAR row FA-000039 both cite MD-00039.</t>
        </is>
      </c>
      <c r="L43" s="7" t="inlineStr">
        <is>
          <t>2026-08-05</t>
        </is>
      </c>
      <c r="M43" s="7" t="n">
        <v>1130</v>
      </c>
      <c r="N43" s="7">
        <f>IFERROR(XLOOKUP(A43,'Source Ledger'!$B$5:$B$133,'Source Ledger'!$G$5:$G$133),"")</f>
        <v>635</v>
      </c>
      <c r="O43" s="7" t="str">
        <f>IFERROR(XLOOKUP(A43,'Source Ledger'!$B$5:$B$133,'Source Ledger'!$A$5:$A$133),"")</f>
        <v>FA-000039</v>
      </c>
      <c r="P43" s="7" t="inlineStr">
        <is>
          <t>No</t>
        </is>
      </c>
      <c r="Q43" s="9" t="inlineStr">
        <is>
          <t>High</t>
        </is>
      </c>
      <c r="R43" s="7" t="inlineStr">
        <is>
          <t>EX-0019</t>
        </is>
      </c>
      <c r="S43" s="7" t="inlineStr">
        <is>
          <t>No</t>
        </is>
      </c>
      <c r="T43">
        <f>IFERROR(XLOOKUP(A43,'Source Ledger'!$B$5:$B$133,'Source Ledger'!$E$5:$E$133),"")</f>
        <v>1130</v>
      </c>
      <c r="U43" t="str">
        <f>IFERROR(XLOOKUP(A43,'Source Ledger'!$B$5:$B$133,'Source Ledger'!$H$5:$H$133),"")</f>
        <v>Active</v>
      </c>
      <c r="V43">
        <f>IFERROR(XLOOKUP(A43,'Source Ledger'!$B$5:$B$133,'Source Ledger'!$G$5:$G$133),"")</f>
        <v>635</v>
      </c>
      <c r="W43">
        <f>IF(OR(T43="",M43=""),"",T43-M43)</f>
        <v>0</v>
      </c>
      <c r="X43" t="str">
        <f>IF(N43="","No","Yes")</f>
        <v>Yes</v>
      </c>
    </row>
    <row r="44">
      <c r="A44" s="7" t="inlineStr">
        <is>
          <t>MD-00040</t>
        </is>
      </c>
      <c r="B44" s="7" t="inlineStr">
        <is>
          <t>MD-NE-050040</t>
        </is>
      </c>
      <c r="C44" s="7" t="inlineStr">
        <is>
          <t>Network Asset</t>
        </is>
      </c>
      <c r="D44" s="7" t="inlineStr">
        <is>
          <t>Cisco C9300</t>
        </is>
      </c>
      <c r="E44" s="7" t="inlineStr">
        <is>
          <t>E0040</t>
        </is>
      </c>
      <c r="F44" s="7" t="inlineStr">
        <is>
          <t>Chicago - Closed</t>
        </is>
      </c>
      <c r="G44" s="7" t="inlineStr"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MD-00040 shows In Use at New York (Cisco C9300, $6425). Employee E0040 (Active) matches the register holder. Assignment TR-00040; receive column May 13, 2026, approval APR-00040. Procurement PO-2024-0007 maps to ledger FA-000040.</t>
        </is>
      </c>
      <c r="L44" s="7" t="inlineStr">
        <is>
          <t>2026-08-05</t>
        </is>
      </c>
      <c r="M44" s="7" t="n">
        <v>6425</v>
      </c>
      <c r="N44" s="7">
        <f>IFERROR(XLOOKUP(A44,'Source Ledger'!$B$5:$B$133,'Source Ledger'!$G$5:$G$133),"")</f>
        <v>989.48</v>
      </c>
      <c r="O44" s="7" t="str">
        <f>IFERROR(XLOOKUP(A44,'Source Ledger'!$B$5:$B$133,'Source Ledger'!$A$5:$A$133),"")</f>
        <v>FA-000040</v>
      </c>
      <c r="P44" s="7" t="inlineStr">
        <is>
          <t>Yes</t>
        </is>
      </c>
      <c r="Q44" s="9" t="inlineStr">
        <is>
          <t>High</t>
        </is>
      </c>
      <c r="R44" s="7" t="inlineStr">
        <is>
          <t>EX-0020</t>
        </is>
      </c>
      <c r="S44" s="7" t="inlineStr">
        <is>
          <t>No</t>
        </is>
      </c>
      <c r="T44">
        <f>IFERROR(XLOOKUP(A44,'Source Ledger'!$B$5:$B$133,'Source Ledger'!$E$5:$E$133),"")</f>
        <v>6425</v>
      </c>
      <c r="U44" t="str">
        <f>IFERROR(XLOOKUP(A44,'Source Ledger'!$B$5:$B$133,'Source Ledger'!$H$5:$H$133),"")</f>
        <v>Active</v>
      </c>
      <c r="V44">
        <f>IFERROR(XLOOKUP(A44,'Source Ledger'!$B$5:$B$133,'Source Ledger'!$G$5:$G$133),"")</f>
        <v>989.48</v>
      </c>
      <c r="W44">
        <f>IF(OR(T44="",M44=""),"",T44-M44)</f>
        <v>0</v>
      </c>
      <c r="X44" t="str">
        <f>IF(N44="","No","Yes")</f>
        <v>Yes</v>
      </c>
    </row>
    <row r="45">
      <c r="A45" s="7" t="inlineStr">
        <is>
          <t>MD-00041</t>
        </is>
      </c>
      <c r="B45" s="7" t="inlineStr">
        <is>
          <t>MD-LA-050041</t>
        </is>
      </c>
      <c r="C45" s="7" t="inlineStr">
        <is>
          <t>Laptop</t>
        </is>
      </c>
      <c r="D45" s="7" t="inlineStr">
        <is>
          <t>MacBook Pro 14</t>
        </is>
      </c>
      <c r="E45" s="7" t="inlineStr">
        <is>
          <t>E0041</t>
        </is>
      </c>
      <c r="F45" s="7" t="inlineStr">
        <is>
          <t>Denver - Closed</t>
        </is>
      </c>
      <c r="G45" s="7" t="inlineStr"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After HR and transfer review, MD-00041 is In Use in Seattle. Employee E0041 (Active) matches the register holder. Transfer TR-00041 shows receipt 2026-06-20, approval APR-00041. Purchase order PO-2024-0007 and FAR row FA-000041 both cite MD-00041.</t>
        </is>
      </c>
      <c r="L45" s="7" t="inlineStr">
        <is>
          <t>2026-08-05</t>
        </is>
      </c>
      <c r="M45" s="7" t="n">
        <v>2120</v>
      </c>
      <c r="N45" s="7">
        <f>IFERROR(XLOOKUP(A45,'Source Ledger'!$B$5:$B$133,'Source Ledger'!$G$5:$G$133),"")</f>
        <v>0</v>
      </c>
      <c r="O45" s="7" t="str">
        <f>IFERROR(XLOOKUP(A45,'Source Ledger'!$B$5:$B$133,'Source Ledger'!$A$5:$A$133),"")</f>
        <v>FA-000041</v>
      </c>
      <c r="P45" s="7" t="inlineStr">
        <is>
          <t>No</t>
        </is>
      </c>
      <c r="Q45" s="9" t="inlineStr">
        <is>
          <t>High</t>
        </is>
      </c>
      <c r="R45" s="7" t="inlineStr">
        <is>
          <t>EX-0021</t>
        </is>
      </c>
      <c r="S45" s="7" t="inlineStr">
        <is>
          <t>No</t>
        </is>
      </c>
      <c r="T45">
        <f>IFERROR(XLOOKUP(A45,'Source Ledger'!$B$5:$B$133,'Source Ledger'!$E$5:$E$133),"")</f>
        <v>2120</v>
      </c>
      <c r="U45" t="str">
        <f>IFERROR(XLOOKUP(A45,'Source Ledger'!$B$5:$B$133,'Source Ledger'!$H$5:$H$133),"")</f>
        <v>Active</v>
      </c>
      <c r="V45">
        <f>IFERROR(XLOOKUP(A45,'Source Ledger'!$B$5:$B$133,'Source Ledger'!$G$5:$G$133),"")</f>
        <v>0</v>
      </c>
      <c r="W45">
        <f>IF(OR(T45="",M45=""),"",T45-M45)</f>
        <v>0</v>
      </c>
      <c r="X45" t="str">
        <f>IF(N45="","No","Yes")</f>
        <v>Yes</v>
      </c>
    </row>
    <row r="46">
      <c r="A46" s="7" t="inlineStr">
        <is>
          <t>MD-00042</t>
        </is>
      </c>
      <c r="B46" s="7" t="inlineStr">
        <is>
          <t>MD-MO-050042</t>
        </is>
      </c>
      <c r="C46" s="7" t="inlineStr">
        <is>
          <t>Monitor</t>
        </is>
      </c>
      <c r="D46" s="7" t="inlineStr">
        <is>
          <t>Dell U2723QE</t>
        </is>
      </c>
      <c r="E46" s="7" t="inlineStr">
        <is>
          <t>E0042</t>
        </is>
      </c>
      <c r="F46" s="7" t="inlineStr">
        <is>
          <t>Chicago - Closed</t>
        </is>
      </c>
      <c r="G46" s="7" t="inlineStr"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Inventory line MD-00042: In Use, Atlanta, $520 - Dell U2723QE. Employee E0042 (Active) matches the register holder. Inbound stamp on TR-00042 is 01/24/2026, approval APR-00042. PO-2024-0007 and FA-000042 agree on MD-00042.</t>
        </is>
      </c>
      <c r="L46" s="7" t="inlineStr">
        <is>
          <t>2026-08-05</t>
        </is>
      </c>
      <c r="M46" s="7" t="n">
        <v>520</v>
      </c>
      <c r="N46" s="7">
        <f>IFERROR(XLOOKUP(A46,'Source Ledger'!$B$5:$B$133,'Source Ledger'!$G$5:$G$133),"")</f>
        <v>306.16</v>
      </c>
      <c r="O46" s="7" t="str">
        <f>IFERROR(XLOOKUP(A46,'Source Ledger'!$B$5:$B$133,'Source Ledger'!$A$5:$A$133),"")</f>
        <v>FA-000042</v>
      </c>
      <c r="P46" s="7" t="inlineStr">
        <is>
          <t>No</t>
        </is>
      </c>
      <c r="Q46" s="9" t="inlineStr">
        <is>
          <t>High</t>
        </is>
      </c>
      <c r="R46" s="7" t="inlineStr">
        <is>
          <t>EX-0022</t>
        </is>
      </c>
      <c r="S46" s="7" t="inlineStr">
        <is>
          <t>No</t>
        </is>
      </c>
      <c r="T46">
        <f>IFERROR(XLOOKUP(A46,'Source Ledger'!$B$5:$B$133,'Source Ledger'!$E$5:$E$133),"")</f>
        <v>520</v>
      </c>
      <c r="U46" t="str">
        <f>IFERROR(XLOOKUP(A46,'Source Ledger'!$B$5:$B$133,'Source Ledger'!$H$5:$H$133),"")</f>
        <v>Active</v>
      </c>
      <c r="V46">
        <f>IFERROR(XLOOKUP(A46,'Source Ledger'!$B$5:$B$133,'Source Ledger'!$G$5:$G$133),"")</f>
        <v>306.16</v>
      </c>
      <c r="W46">
        <f>IF(OR(T46="",M46=""),"",T46-M46)</f>
        <v>0</v>
      </c>
      <c r="X46" t="str">
        <f>IF(N46="","No","Yes")</f>
        <v>Yes</v>
      </c>
    </row>
    <row r="47">
      <c r="A47" s="7" t="inlineStr">
        <is>
          <t>MD-00043</t>
        </is>
      </c>
      <c r="B47" s="7" t="inlineStr">
        <is>
          <t>MD-MO-050043</t>
        </is>
      </c>
      <c r="C47" s="7" t="inlineStr">
        <is>
          <t>Mobile Device</t>
        </is>
      </c>
      <c r="D47" s="7" t="inlineStr">
        <is>
          <t>Samsung Galaxy S24</t>
        </is>
      </c>
      <c r="E47" s="7" t="inlineStr">
        <is>
          <t>E0043</t>
        </is>
      </c>
      <c r="F47" s="7" t="inlineStr">
        <is>
          <t>Denver - Closed</t>
        </is>
      </c>
      <c r="G47" s="7" t="inlineStr"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Looked up MD-00043 across CSV/XLSX inputs - In Use, Chicago. Employee E0043 (Active) matches the register holder. equipment_transfer_log TR-00043, approval APR-00043; received Mar 01, 2026. Procurement PO-2025-0008 maps to ledger FA-000043.</t>
        </is>
      </c>
      <c r="L47" s="7" t="inlineStr">
        <is>
          <t>2026-08-05</t>
        </is>
      </c>
      <c r="M47" s="7" t="n">
        <v>995</v>
      </c>
      <c r="N47" s="7">
        <f>IFERROR(XLOOKUP(A47,'Source Ledger'!$B$5:$B$133,'Source Ledger'!$G$5:$G$133),"")</f>
        <v>673.55</v>
      </c>
      <c r="O47" s="7" t="str">
        <f>IFERROR(XLOOKUP(A47,'Source Ledger'!$B$5:$B$133,'Source Ledger'!$A$5:$A$133),"")</f>
        <v>FA-000043</v>
      </c>
      <c r="P47" s="7" t="inlineStr">
        <is>
          <t>No</t>
        </is>
      </c>
      <c r="Q47" s="9" t="inlineStr">
        <is>
          <t>High</t>
        </is>
      </c>
      <c r="R47" s="7" t="inlineStr">
        <is>
          <t>EX-0023</t>
        </is>
      </c>
      <c r="S47" s="7" t="inlineStr">
        <is>
          <t>No</t>
        </is>
      </c>
      <c r="T47">
        <f>IFERROR(XLOOKUP(A47,'Source Ledger'!$B$5:$B$133,'Source Ledger'!$E$5:$E$133),"")</f>
        <v>995</v>
      </c>
      <c r="U47" t="str">
        <f>IFERROR(XLOOKUP(A47,'Source Ledger'!$B$5:$B$133,'Source Ledger'!$H$5:$H$133),"")</f>
        <v>Active</v>
      </c>
      <c r="V47">
        <f>IFERROR(XLOOKUP(A47,'Source Ledger'!$B$5:$B$133,'Source Ledger'!$G$5:$G$133),"")</f>
        <v>673.55</v>
      </c>
      <c r="W47">
        <f>IF(OR(T47="",M47=""),"",T47-M47)</f>
        <v>0</v>
      </c>
      <c r="X47" t="str">
        <f>IF(N47="","No","Yes")</f>
        <v>Yes</v>
      </c>
    </row>
    <row r="48">
      <c r="A48" s="7" t="inlineStr">
        <is>
          <t>MD-00044</t>
        </is>
      </c>
      <c r="B48" s="7" t="inlineStr">
        <is>
          <t>MD-NE-050044</t>
        </is>
      </c>
      <c r="C48" s="7" t="inlineStr">
        <is>
          <t>Network Asset</t>
        </is>
      </c>
      <c r="D48" s="7" t="inlineStr">
        <is>
          <t>Cisco C9300</t>
        </is>
      </c>
      <c r="E48" s="7" t="inlineStr">
        <is>
          <t>E0044</t>
        </is>
      </c>
      <c r="F48" s="7" t="inlineStr">
        <is>
          <t>Chicago - Closed</t>
        </is>
      </c>
      <c r="G48" s="7" t="inlineStr"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Verified In Use for MD-00044 at Dallas; acquisition $6290. Employee E0044 (Active) matches the register holder. TR-00044 ties to MD-00044; dock date 2026-03-31, approval APR-00044. Purchase order PO-2025-0008 and FAR row FA-000044 both cite MD-00044.</t>
        </is>
      </c>
      <c r="L48" s="7" t="inlineStr">
        <is>
          <t>2026-08-05</t>
        </is>
      </c>
      <c r="M48" s="7" t="n">
        <v>6290</v>
      </c>
      <c r="N48" s="7">
        <f>IFERROR(XLOOKUP(A48,'Source Ledger'!$B$5:$B$133,'Source Ledger'!$G$5:$G$133),"")</f>
        <v>1406.1</v>
      </c>
      <c r="O48" s="7" t="str">
        <f>IFERROR(XLOOKUP(A48,'Source Ledger'!$B$5:$B$133,'Source Ledger'!$A$5:$A$133),"")</f>
        <v>FA-000044</v>
      </c>
      <c r="P48" s="7" t="inlineStr">
        <is>
          <t>Yes</t>
        </is>
      </c>
      <c r="Q48" s="9" t="inlineStr">
        <is>
          <t>High</t>
        </is>
      </c>
      <c r="R48" s="7" t="inlineStr">
        <is>
          <t>EX-0024</t>
        </is>
      </c>
      <c r="S48" s="7" t="inlineStr">
        <is>
          <t>No</t>
        </is>
      </c>
      <c r="T48">
        <f>IFERROR(XLOOKUP(A48,'Source Ledger'!$B$5:$B$133,'Source Ledger'!$E$5:$E$133),"")</f>
        <v>6290</v>
      </c>
      <c r="U48" t="str">
        <f>IFERROR(XLOOKUP(A48,'Source Ledger'!$B$5:$B$133,'Source Ledger'!$H$5:$H$133),"")</f>
        <v>Active</v>
      </c>
      <c r="V48">
        <f>IFERROR(XLOOKUP(A48,'Source Ledger'!$B$5:$B$133,'Source Ledger'!$G$5:$G$133),"")</f>
        <v>1406.1</v>
      </c>
      <c r="W48">
        <f>IF(OR(T48="",M48=""),"",T48-M48)</f>
        <v>0</v>
      </c>
      <c r="X48" t="str">
        <f>IF(N48="","No","Yes")</f>
        <v>Yes</v>
      </c>
    </row>
    <row r="49">
      <c r="A49" s="7" t="inlineStr">
        <is>
          <t>MD-00045</t>
        </is>
      </c>
      <c r="B49" s="7" t="inlineStr">
        <is>
          <t>MD-LA-050045</t>
        </is>
      </c>
      <c r="C49" s="7" t="inlineStr">
        <is>
          <t>Laptop</t>
        </is>
      </c>
      <c r="D49" s="7" t="inlineStr">
        <is>
          <t>Dell Latitude 7440</t>
        </is>
      </c>
      <c r="E49" s="7" t="inlineStr">
        <is>
          <t>E0045</t>
        </is>
      </c>
      <c r="F49" s="7" t="inlineStr">
        <is>
          <t>Denver - Closed</t>
        </is>
      </c>
      <c r="G49" s="7" t="inlineStr"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MD-00045 reflects In Use at Denver (Dell Latitude 7440, $1985). Employee E0045 (Active) matches the register holder. TR-00045 for MD-00045 - received 05/03/2026, approval APR-00045. PO-2025-0008 and FA-000045 agree on MD-00045.</t>
        </is>
      </c>
      <c r="L49" s="7" t="inlineStr">
        <is>
          <t>2026-08-05</t>
        </is>
      </c>
      <c r="M49" s="7" t="n">
        <v>1985</v>
      </c>
      <c r="N49" s="7">
        <f>IFERROR(XLOOKUP(A49,'Source Ledger'!$B$5:$B$133,'Source Ledger'!$G$5:$G$133),"")</f>
        <v>133.6</v>
      </c>
      <c r="O49" s="7" t="str">
        <f>IFERROR(XLOOKUP(A49,'Source Ledger'!$B$5:$B$133,'Source Ledger'!$A$5:$A$133),"")</f>
        <v>FA-000045</v>
      </c>
      <c r="P49" s="7" t="inlineStr">
        <is>
          <t>No</t>
        </is>
      </c>
      <c r="Q49" s="9" t="inlineStr">
        <is>
          <t>High</t>
        </is>
      </c>
      <c r="R49" s="7" t="inlineStr">
        <is>
          <t>EX-0025</t>
        </is>
      </c>
      <c r="S49" s="7" t="inlineStr">
        <is>
          <t>No</t>
        </is>
      </c>
      <c r="T49">
        <f>IFERROR(XLOOKUP(A49,'Source Ledger'!$B$5:$B$133,'Source Ledger'!$E$5:$E$133),"")</f>
        <v>1985</v>
      </c>
      <c r="U49" t="str">
        <f>IFERROR(XLOOKUP(A49,'Source Ledger'!$B$5:$B$133,'Source Ledger'!$H$5:$H$133),"")</f>
        <v>Active</v>
      </c>
      <c r="V49">
        <f>IFERROR(XLOOKUP(A49,'Source Ledger'!$B$5:$B$133,'Source Ledger'!$G$5:$G$133),"")</f>
        <v>133.6</v>
      </c>
      <c r="W49">
        <f>IF(OR(T49="",M49=""),"",T49-M49)</f>
        <v>0</v>
      </c>
      <c r="X49" t="str">
        <f>IF(N49="","No","Yes")</f>
        <v>Yes</v>
      </c>
    </row>
    <row r="50">
      <c r="A50" s="7" t="inlineStr">
        <is>
          <t>MD-00046</t>
        </is>
      </c>
      <c r="B50" s="7" t="inlineStr">
        <is>
          <t>MD-MO-050046</t>
        </is>
      </c>
      <c r="C50" s="7" t="inlineStr">
        <is>
          <t>Monitor</t>
        </is>
      </c>
      <c r="D50" s="7" t="inlineStr">
        <is>
          <t>Dell U2723QE</t>
        </is>
      </c>
      <c r="E50" s="7" t="inlineStr"/>
      <c r="F50" s="7" t="inlineStr">
        <is>
          <t>Chicago - Closed</t>
        </is>
      </c>
      <c r="G50" s="7" t="inlineStr"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Working conclusion for MD-00046: Available in New York ($700). Transfer TR-00046 shows receipt Jun 07, 2026, approval APR-00046. Procurement PO-2025-0008 maps to ledger FA-000046.</t>
        </is>
      </c>
      <c r="L50" s="7" t="inlineStr">
        <is>
          <t>2026-05-24</t>
        </is>
      </c>
      <c r="M50" s="7" t="n">
        <v>700</v>
      </c>
      <c r="N50" s="7">
        <f>IFERROR(XLOOKUP(A50,'Source Ledger'!$B$5:$B$133,'Source Ledger'!$G$5:$G$133),"")</f>
        <v>460.82</v>
      </c>
      <c r="O50" s="7" t="str">
        <f>IFERROR(XLOOKUP(A50,'Source Ledger'!$B$5:$B$133,'Source Ledger'!$A$5:$A$133),"")</f>
        <v>FA-000046</v>
      </c>
      <c r="P50" s="7" t="inlineStr">
        <is>
          <t>No</t>
        </is>
      </c>
      <c r="Q50" s="9" t="inlineStr">
        <is>
          <t>High</t>
        </is>
      </c>
      <c r="R50" s="7" t="inlineStr">
        <is>
          <t>EX-0026</t>
        </is>
      </c>
      <c r="S50" s="7" t="inlineStr">
        <is>
          <t>No</t>
        </is>
      </c>
      <c r="T50">
        <f>IFERROR(XLOOKUP(A50,'Source Ledger'!$B$5:$B$133,'Source Ledger'!$E$5:$E$133),"")</f>
        <v>700</v>
      </c>
      <c r="U50" t="str">
        <f>IFERROR(XLOOKUP(A50,'Source Ledger'!$B$5:$B$133,'Source Ledger'!$H$5:$H$133),"")</f>
        <v>Active</v>
      </c>
      <c r="V50">
        <f>IFERROR(XLOOKUP(A50,'Source Ledger'!$B$5:$B$133,'Source Ledger'!$G$5:$G$133),"")</f>
        <v>460.82</v>
      </c>
      <c r="W50">
        <f>IF(OR(T50="",M50=""),"",T50-M50)</f>
        <v>0</v>
      </c>
      <c r="X50" t="str">
        <f>IF(N50="","No","Yes")</f>
        <v>Yes</v>
      </c>
    </row>
    <row r="51">
      <c r="A51" s="7" t="inlineStr">
        <is>
          <t>MD-00047</t>
        </is>
      </c>
      <c r="B51" s="7" t="inlineStr">
        <is>
          <t>MD-MO-050047</t>
        </is>
      </c>
      <c r="C51" s="7" t="inlineStr">
        <is>
          <t>Mobile Device</t>
        </is>
      </c>
      <c r="D51" s="7" t="inlineStr">
        <is>
          <t>Samsung Galaxy S24</t>
        </is>
      </c>
      <c r="E51" s="7" t="inlineStr"/>
      <c r="F51" s="7" t="inlineStr">
        <is>
          <t>Denver - Closed</t>
        </is>
      </c>
      <c r="G51" s="7" t="inlineStr"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MD-00047 stays Available at Seattle (Samsung Galaxy S24, $1175). Inbound stamp on TR-00047 is 2026-07-10, approval APR-00047. Purchase order PO-2025-0008 and FAR row FA-000047 both cite MD-00047.</t>
        </is>
      </c>
      <c r="L51" s="7" t="inlineStr">
        <is>
          <t>2026-06-25</t>
        </is>
      </c>
      <c r="M51" s="7" t="n">
        <v>1175</v>
      </c>
      <c r="N51" s="7">
        <f>IFERROR(XLOOKUP(A51,'Source Ledger'!$B$5:$B$133,'Source Ledger'!$G$5:$G$133),"")</f>
        <v>930.51</v>
      </c>
      <c r="O51" s="7" t="str">
        <f>IFERROR(XLOOKUP(A51,'Source Ledger'!$B$5:$B$133,'Source Ledger'!$A$5:$A$133),"")</f>
        <v>FA-000047</v>
      </c>
      <c r="P51" s="7" t="inlineStr">
        <is>
          <t>No</t>
        </is>
      </c>
      <c r="Q51" s="9" t="inlineStr">
        <is>
          <t>High</t>
        </is>
      </c>
      <c r="R51" s="7" t="inlineStr">
        <is>
          <t>EX-0027</t>
        </is>
      </c>
      <c r="S51" s="7" t="inlineStr">
        <is>
          <t>No</t>
        </is>
      </c>
      <c r="T51">
        <f>IFERROR(XLOOKUP(A51,'Source Ledger'!$B$5:$B$133,'Source Ledger'!$E$5:$E$133),"")</f>
        <v>1175</v>
      </c>
      <c r="U51" t="str">
        <f>IFERROR(XLOOKUP(A51,'Source Ledger'!$B$5:$B$133,'Source Ledger'!$H$5:$H$133),"")</f>
        <v>Active</v>
      </c>
      <c r="V51">
        <f>IFERROR(XLOOKUP(A51,'Source Ledger'!$B$5:$B$133,'Source Ledger'!$G$5:$G$133),"")</f>
        <v>930.51</v>
      </c>
      <c r="W51">
        <f>IF(OR(T51="",M51=""),"",T51-M51)</f>
        <v>0</v>
      </c>
      <c r="X51" t="str">
        <f>IF(N51="","No","Yes")</f>
        <v>Yes</v>
      </c>
    </row>
    <row r="52">
      <c r="A52" s="7" t="inlineStr">
        <is>
          <t>MD-00048</t>
        </is>
      </c>
      <c r="B52" s="7" t="inlineStr">
        <is>
          <t>MD-NE-050048</t>
        </is>
      </c>
      <c r="C52" s="7" t="inlineStr">
        <is>
          <t>Network Asset</t>
        </is>
      </c>
      <c r="D52" s="7" t="inlineStr">
        <is>
          <t>Cisco C9300</t>
        </is>
      </c>
      <c r="E52" s="7" t="inlineStr"/>
      <c r="F52" s="7" t="inlineStr">
        <is>
          <t>Chicago - Closed</t>
        </is>
      </c>
      <c r="G52" s="7" t="inlineStr"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Atlanta: MD-00048 is Available; cost $6470. equipment_transfer_log TR-00048, approval APR-00048; received 01/24/2026. PO-2025-0008 and FA-000048 agree on MD-00048.</t>
        </is>
      </c>
      <c r="L52" s="7" t="inlineStr">
        <is>
          <t>2026-01-02</t>
        </is>
      </c>
      <c r="M52" s="7" t="n">
        <v>6470</v>
      </c>
      <c r="N52" s="7">
        <f>IFERROR(XLOOKUP(A52,'Source Ledger'!$B$5:$B$133,'Source Ledger'!$G$5:$G$133),"")</f>
        <v>514.59</v>
      </c>
      <c r="O52" s="7" t="str">
        <f>IFERROR(XLOOKUP(A52,'Source Ledger'!$B$5:$B$133,'Source Ledger'!$A$5:$A$133),"")</f>
        <v>FA-000048</v>
      </c>
      <c r="P52" s="7" t="inlineStr">
        <is>
          <t>Yes</t>
        </is>
      </c>
      <c r="Q52" s="9" t="inlineStr">
        <is>
          <t>High</t>
        </is>
      </c>
      <c r="R52" s="7" t="inlineStr">
        <is>
          <t>EX-0028</t>
        </is>
      </c>
      <c r="S52" s="7" t="inlineStr">
        <is>
          <t>No</t>
        </is>
      </c>
      <c r="T52">
        <f>IFERROR(XLOOKUP(A52,'Source Ledger'!$B$5:$B$133,'Source Ledger'!$E$5:$E$133),"")</f>
        <v>6470</v>
      </c>
      <c r="U52" t="str">
        <f>IFERROR(XLOOKUP(A52,'Source Ledger'!$B$5:$B$133,'Source Ledger'!$H$5:$H$133),"")</f>
        <v>Active</v>
      </c>
      <c r="V52">
        <f>IFERROR(XLOOKUP(A52,'Source Ledger'!$B$5:$B$133,'Source Ledger'!$G$5:$G$133),"")</f>
        <v>514.59</v>
      </c>
      <c r="W52">
        <f>IF(OR(T52="",M52=""),"",T52-M52)</f>
        <v>0</v>
      </c>
      <c r="X52" t="str">
        <f>IF(N52="","No","Yes")</f>
        <v>Yes</v>
      </c>
    </row>
    <row r="53">
      <c r="A53" s="7" t="inlineStr">
        <is>
          <t>MD-00049</t>
        </is>
      </c>
      <c r="B53" s="7" t="inlineStr">
        <is>
          <t>MD-LA-050049</t>
        </is>
      </c>
      <c r="C53" s="7" t="inlineStr">
        <is>
          <t>Laptop</t>
        </is>
      </c>
      <c r="D53" s="7" t="inlineStr">
        <is>
          <t>Lenovo ThinkPad T14</t>
        </is>
      </c>
      <c r="E53" s="7" t="inlineStr"/>
      <c r="F53" s="7" t="inlineStr">
        <is>
          <t>Denver - Closed</t>
        </is>
      </c>
      <c r="G53" s="7" t="inlineStr"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Cost $1850 on MD-00049; Available at Chicago. TR-00049 ties to MD-00049; dock date Jan 23, 2026, approval APR-00049. Purchase order PO-2022-0009 and FAR row FA-000049 both cite MD-00049.</t>
        </is>
      </c>
      <c r="L53" s="7" t="inlineStr">
        <is>
          <t>2026-02-03</t>
        </is>
      </c>
      <c r="M53" s="7" t="n">
        <v>1850</v>
      </c>
      <c r="N53" s="7">
        <f>IFERROR(XLOOKUP(A53,'Source Ledger'!$B$5:$B$133,'Source Ledger'!$G$5:$G$133),"")</f>
        <v>0</v>
      </c>
      <c r="O53" s="7" t="str">
        <f>IFERROR(XLOOKUP(A53,'Source Ledger'!$B$5:$B$133,'Source Ledger'!$A$5:$A$133),"")</f>
        <v>FA-000049</v>
      </c>
      <c r="P53" s="7" t="inlineStr">
        <is>
          <t>No</t>
        </is>
      </c>
      <c r="Q53" s="9" t="inlineStr">
        <is>
          <t>High</t>
        </is>
      </c>
      <c r="R53" s="7" t="inlineStr">
        <is>
          <t>EX-0029</t>
        </is>
      </c>
      <c r="S53" s="7" t="inlineStr">
        <is>
          <t>No</t>
        </is>
      </c>
      <c r="T53">
        <f>IFERROR(XLOOKUP(A53,'Source Ledger'!$B$5:$B$133,'Source Ledger'!$E$5:$E$133),"")</f>
        <v>1850</v>
      </c>
      <c r="U53" t="str">
        <f>IFERROR(XLOOKUP(A53,'Source Ledger'!$B$5:$B$133,'Source Ledger'!$H$5:$H$133),"")</f>
        <v>Active</v>
      </c>
      <c r="V53">
        <f>IFERROR(XLOOKUP(A53,'Source Ledger'!$B$5:$B$133,'Source Ledger'!$G$5:$G$133),"")</f>
        <v>0</v>
      </c>
      <c r="W53">
        <f>IF(OR(T53="",M53=""),"",T53-M53)</f>
        <v>0</v>
      </c>
      <c r="X53" t="str">
        <f>IF(N53="","No","Yes")</f>
        <v>Yes</v>
      </c>
    </row>
    <row r="54">
      <c r="A54" s="7" t="inlineStr">
        <is>
          <t>MD-00050</t>
        </is>
      </c>
      <c r="B54" s="7" t="inlineStr">
        <is>
          <t>MD-MO-050050</t>
        </is>
      </c>
      <c r="C54" s="7" t="inlineStr">
        <is>
          <t>Monitor</t>
        </is>
      </c>
      <c r="D54" s="7" t="inlineStr">
        <is>
          <t>Dell U2723QE</t>
        </is>
      </c>
      <c r="E54" s="7" t="inlineStr"/>
      <c r="F54" s="7" t="inlineStr">
        <is>
          <t>Chicago - Closed</t>
        </is>
      </c>
      <c r="G54" s="7" t="inlineStr"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Asset row MD-00050: Available, Dallas, $565 - Dell U2723QE. equipment_transfer_log TR-00050, approval APR-00050; received 2026-02-23. Procurement PO-2022-0009 maps to ledger FA-000050.</t>
        </is>
      </c>
      <c r="L54" s="7" t="inlineStr">
        <is>
          <t>2026-03-04</t>
        </is>
      </c>
      <c r="M54" s="7" t="n">
        <v>565</v>
      </c>
      <c r="N54" s="7">
        <f>IFERROR(XLOOKUP(A54,'Source Ledger'!$B$5:$B$133,'Source Ledger'!$G$5:$G$133),"")</f>
        <v>289.96</v>
      </c>
      <c r="O54" s="7" t="str">
        <f>IFERROR(XLOOKUP(A54,'Source Ledger'!$B$5:$B$133,'Source Ledger'!$A$5:$A$133),"")</f>
        <v>FA-000050</v>
      </c>
      <c r="P54" s="7" t="inlineStr">
        <is>
          <t>No</t>
        </is>
      </c>
      <c r="Q54" s="9" t="inlineStr">
        <is>
          <t>High</t>
        </is>
      </c>
      <c r="R54" s="7" t="inlineStr">
        <is>
          <t>EX-0030</t>
        </is>
      </c>
      <c r="S54" s="7" t="inlineStr">
        <is>
          <t>No</t>
        </is>
      </c>
      <c r="T54">
        <f>IFERROR(XLOOKUP(A54,'Source Ledger'!$B$5:$B$133,'Source Ledger'!$E$5:$E$133),"")</f>
        <v>565</v>
      </c>
      <c r="U54" t="str">
        <f>IFERROR(XLOOKUP(A54,'Source Ledger'!$B$5:$B$133,'Source Ledger'!$H$5:$H$133),"")</f>
        <v>Active</v>
      </c>
      <c r="V54">
        <f>IFERROR(XLOOKUP(A54,'Source Ledger'!$B$5:$B$133,'Source Ledger'!$G$5:$G$133),"")</f>
        <v>289.96</v>
      </c>
      <c r="W54">
        <f>IF(OR(T54="",M54=""),"",T54-M54)</f>
        <v>0</v>
      </c>
      <c r="X54" t="str">
        <f>IF(N54="","No","Yes")</f>
        <v>Yes</v>
      </c>
    </row>
    <row r="55">
      <c r="A55" s="7" t="inlineStr">
        <is>
          <t>MD-00051</t>
        </is>
      </c>
      <c r="B55" s="7" t="inlineStr">
        <is>
          <t>MD-MO-050051</t>
        </is>
      </c>
      <c r="C55" s="7" t="inlineStr">
        <is>
          <t>Mobile Device</t>
        </is>
      </c>
      <c r="D55" s="7" t="inlineStr">
        <is>
          <t>Samsung Galaxy S24</t>
        </is>
      </c>
      <c r="E55" s="7" t="inlineStr"/>
      <c r="F55" s="7" t="inlineStr">
        <is>
          <t>Denver - Closed</t>
        </is>
      </c>
      <c r="G55" s="7" t="inlineStr"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Kept MD-00051 at Available in Denver; $1040 Samsung Galaxy S24. TR-00051 ties to MD-00051; dock date 03/31/2026, approval APR-00051. Purchase order PO-2022-0009 and FAR row FA-000051 both cite MD-00051.</t>
        </is>
      </c>
      <c r="L55" s="7" t="inlineStr">
        <is>
          <t>2026-04-05</t>
        </is>
      </c>
      <c r="M55" s="7" t="n">
        <v>1040</v>
      </c>
      <c r="N55" s="7">
        <f>IFERROR(XLOOKUP(A55,'Source Ledger'!$B$5:$B$133,'Source Ledger'!$G$5:$G$133),"")</f>
        <v>573.03</v>
      </c>
      <c r="O55" s="7" t="str">
        <f>IFERROR(XLOOKUP(A55,'Source Ledger'!$B$5:$B$133,'Source Ledger'!$A$5:$A$133),"")</f>
        <v>FA-000051</v>
      </c>
      <c r="P55" s="7" t="inlineStr">
        <is>
          <t>No</t>
        </is>
      </c>
      <c r="Q55" s="9" t="inlineStr">
        <is>
          <t>High</t>
        </is>
      </c>
      <c r="R55" s="7" t="inlineStr">
        <is>
          <t>EX-0031, EX-0032</t>
        </is>
      </c>
      <c r="S55" s="7" t="inlineStr">
        <is>
          <t>No</t>
        </is>
      </c>
      <c r="T55">
        <f>IFERROR(XLOOKUP(A55,'Source Ledger'!$B$5:$B$133,'Source Ledger'!$E$5:$E$133),"")</f>
        <v>1250</v>
      </c>
      <c r="U55" t="str">
        <f>IFERROR(XLOOKUP(A55,'Source Ledger'!$B$5:$B$133,'Source Ledger'!$H$5:$H$133),"")</f>
        <v>Active</v>
      </c>
      <c r="V55">
        <f>IFERROR(XLOOKUP(A55,'Source Ledger'!$B$5:$B$133,'Source Ledger'!$G$5:$G$133),"")</f>
        <v>573.03</v>
      </c>
      <c r="W55">
        <f>IF(OR(T55="",M55=""),"",T55-M55)</f>
        <v>210</v>
      </c>
      <c r="X55" t="str">
        <f>IF(N55="","No","Yes")</f>
        <v>Yes</v>
      </c>
    </row>
    <row r="56">
      <c r="A56" s="7" t="inlineStr">
        <is>
          <t>MD-00052</t>
        </is>
      </c>
      <c r="B56" s="7" t="inlineStr">
        <is>
          <t>MD-NE-050052</t>
        </is>
      </c>
      <c r="C56" s="7" t="inlineStr">
        <is>
          <t>Network Asset</t>
        </is>
      </c>
      <c r="D56" s="7" t="inlineStr">
        <is>
          <t>Cisco C9300</t>
        </is>
      </c>
      <c r="E56" s="7" t="inlineStr"/>
      <c r="F56" s="7" t="inlineStr">
        <is>
          <t>Chicago - Closed</t>
        </is>
      </c>
      <c r="G56" s="7" t="inlineStr"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MD-00052 reads Available at New York (Cisco C9300, $6335). TR-00052 for MD-00052 - received May 02, 2026, approval APR-00052. PO-2022-0009 and FA-000052 agree on MD-00052.</t>
        </is>
      </c>
      <c r="L56" s="7" t="inlineStr">
        <is>
          <t>2026-05-06</t>
        </is>
      </c>
      <c r="M56" s="7" t="n">
        <v>6335</v>
      </c>
      <c r="N56" s="7">
        <f>IFERROR(XLOOKUP(A56,'Source Ledger'!$B$5:$B$133,'Source Ledger'!$G$5:$G$133),"")</f>
        <v>933.99</v>
      </c>
      <c r="O56" s="7" t="str">
        <f>IFERROR(XLOOKUP(A56,'Source Ledger'!$B$5:$B$133,'Source Ledger'!$A$5:$A$133),"")</f>
        <v>FA-000052</v>
      </c>
      <c r="P56" s="7" t="inlineStr">
        <is>
          <t>Yes</t>
        </is>
      </c>
      <c r="Q56" s="9" t="inlineStr">
        <is>
          <t>High</t>
        </is>
      </c>
      <c r="R56" s="7" t="inlineStr">
        <is>
          <t>EX-0033</t>
        </is>
      </c>
      <c r="S56" s="7" t="inlineStr">
        <is>
          <t>No</t>
        </is>
      </c>
      <c r="T56">
        <f>IFERROR(XLOOKUP(A56,'Source Ledger'!$B$5:$B$133,'Source Ledger'!$E$5:$E$133),"")</f>
        <v>6335</v>
      </c>
      <c r="U56" t="str">
        <f>IFERROR(XLOOKUP(A56,'Source Ledger'!$B$5:$B$133,'Source Ledger'!$H$5:$H$133),"")</f>
        <v>Active</v>
      </c>
      <c r="V56">
        <f>IFERROR(XLOOKUP(A56,'Source Ledger'!$B$5:$B$133,'Source Ledger'!$G$5:$G$133),"")</f>
        <v>933.99</v>
      </c>
      <c r="W56">
        <f>IF(OR(T56="",M56=""),"",T56-M56)</f>
        <v>0</v>
      </c>
      <c r="X56" t="str">
        <f>IF(N56="","No","Yes")</f>
        <v>Yes</v>
      </c>
    </row>
    <row r="57">
      <c r="A57" s="7" t="inlineStr">
        <is>
          <t>MD-00053</t>
        </is>
      </c>
      <c r="B57" s="7" t="inlineStr">
        <is>
          <t>MD-LA-050053</t>
        </is>
      </c>
      <c r="C57" s="7" t="inlineStr">
        <is>
          <t>Laptop</t>
        </is>
      </c>
      <c r="D57" s="7" t="inlineStr">
        <is>
          <t>MacBook Pro 14</t>
        </is>
      </c>
      <c r="E57" s="7" t="inlineStr"/>
      <c r="F57" s="7" t="inlineStr">
        <is>
          <t>Denver - Closed</t>
        </is>
      </c>
      <c r="G57" s="7" t="inlineStr"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Cross-file check left MD-00053 as Available (Seattle). Movement TR-00053 posted Jun 05, 2026 and inbound 2026-06-05, approval APR-00053. Procurement PO-2022-0009 maps to ledger FA-000053.</t>
        </is>
      </c>
      <c r="L57" s="7" t="inlineStr">
        <is>
          <t>2026-06-07</t>
        </is>
      </c>
      <c r="M57" s="7" t="n">
        <v>2030</v>
      </c>
      <c r="N57" s="7">
        <f>IFERROR(XLOOKUP(A57,'Source Ledger'!$B$5:$B$133,'Source Ledger'!$G$5:$G$133),"")</f>
        <v>0</v>
      </c>
      <c r="O57" s="7" t="str">
        <f>IFERROR(XLOOKUP(A57,'Source Ledger'!$B$5:$B$133,'Source Ledger'!$A$5:$A$133),"")</f>
        <v>FA-000053</v>
      </c>
      <c r="P57" s="7" t="inlineStr">
        <is>
          <t>No</t>
        </is>
      </c>
      <c r="Q57" s="9" t="inlineStr">
        <is>
          <t>High</t>
        </is>
      </c>
      <c r="R57" s="7" t="inlineStr">
        <is>
          <t>EX-0034</t>
        </is>
      </c>
      <c r="S57" s="7" t="inlineStr">
        <is>
          <t>No</t>
        </is>
      </c>
      <c r="T57">
        <f>IFERROR(XLOOKUP(A57,'Source Ledger'!$B$5:$B$133,'Source Ledger'!$E$5:$E$133),"")</f>
        <v>2030</v>
      </c>
      <c r="U57" t="str">
        <f>IFERROR(XLOOKUP(A57,'Source Ledger'!$B$5:$B$133,'Source Ledger'!$H$5:$H$133),"")</f>
        <v>Active</v>
      </c>
      <c r="V57">
        <f>IFERROR(XLOOKUP(A57,'Source Ledger'!$B$5:$B$133,'Source Ledger'!$G$5:$G$133),"")</f>
        <v>0</v>
      </c>
      <c r="W57">
        <f>IF(OR(T57="",M57=""),"",T57-M57)</f>
        <v>0</v>
      </c>
      <c r="X57" t="str">
        <f>IF(N57="","No","Yes")</f>
        <v>Yes</v>
      </c>
    </row>
    <row r="58">
      <c r="A58" s="7" t="inlineStr">
        <is>
          <t>MD-00054</t>
        </is>
      </c>
      <c r="B58" s="7" t="inlineStr">
        <is>
          <t>MD-MO-050054</t>
        </is>
      </c>
      <c r="C58" s="7" t="inlineStr">
        <is>
          <t>Monitor</t>
        </is>
      </c>
      <c r="D58" s="7" t="inlineStr">
        <is>
          <t>Dell U2723QE</t>
        </is>
      </c>
      <c r="E58" s="7" t="inlineStr"/>
      <c r="F58" s="7" t="inlineStr">
        <is>
          <t>Chicago - Closed</t>
        </is>
      </c>
      <c r="G58" s="7" t="inlineStr"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No stronger file contradicted Available for MD-00054 at Atlanta. Log TR-00054: received 01/16/2026, approval APR-00054. Purchase order PO-2022-0009 and FAR row FA-000054 both cite MD-00054.</t>
        </is>
      </c>
      <c r="L58" s="7" t="inlineStr">
        <is>
          <t>2026-01-08</t>
        </is>
      </c>
      <c r="M58" s="7" t="n">
        <v>745</v>
      </c>
      <c r="N58" s="7">
        <f>IFERROR(XLOOKUP(A58,'Source Ledger'!$B$5:$B$133,'Source Ledger'!$G$5:$G$133),"")</f>
        <v>433.74</v>
      </c>
      <c r="O58" s="7" t="str">
        <f>IFERROR(XLOOKUP(A58,'Source Ledger'!$B$5:$B$133,'Source Ledger'!$A$5:$A$133),"")</f>
        <v>FA-000054</v>
      </c>
      <c r="P58" s="7" t="inlineStr">
        <is>
          <t>No</t>
        </is>
      </c>
      <c r="Q58" s="9" t="inlineStr">
        <is>
          <t>High</t>
        </is>
      </c>
      <c r="R58" s="7" t="inlineStr">
        <is>
          <t>EX-0035</t>
        </is>
      </c>
      <c r="S58" s="7" t="inlineStr">
        <is>
          <t>No</t>
        </is>
      </c>
      <c r="T58">
        <f>IFERROR(XLOOKUP(A58,'Source Ledger'!$B$5:$B$133,'Source Ledger'!$E$5:$E$133),"")</f>
        <v>745</v>
      </c>
      <c r="U58" t="str">
        <f>IFERROR(XLOOKUP(A58,'Source Ledger'!$B$5:$B$133,'Source Ledger'!$H$5:$H$133),"")</f>
        <v>Active</v>
      </c>
      <c r="V58">
        <f>IFERROR(XLOOKUP(A58,'Source Ledger'!$B$5:$B$133,'Source Ledger'!$G$5:$G$133),"")</f>
        <v>433.74</v>
      </c>
      <c r="W58">
        <f>IF(OR(T58="",M58=""),"",T58-M58)</f>
        <v>0</v>
      </c>
      <c r="X58" t="str">
        <f>IF(N58="","No","Yes")</f>
        <v>Yes</v>
      </c>
    </row>
    <row r="59">
      <c r="A59" s="7" t="inlineStr">
        <is>
          <t>MD-00055</t>
        </is>
      </c>
      <c r="B59" s="7" t="inlineStr">
        <is>
          <t>MD-MO-050055</t>
        </is>
      </c>
      <c r="C59" s="7" t="inlineStr">
        <is>
          <t>Mobile Device</t>
        </is>
      </c>
      <c r="D59" s="7" t="inlineStr">
        <is>
          <t>Samsung Galaxy S24</t>
        </is>
      </c>
      <c r="E59" s="7" t="inlineStr"/>
      <c r="F59" s="7" t="inlineStr">
        <is>
          <t>Denver - Closed</t>
        </is>
      </c>
      <c r="G59" s="7" t="inlineStr"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MD-00055 sits Available at Chicago (Samsung Galaxy S24, $1220). Assignment TR-00055; receive column Feb 12, 2026, approval APR-00055. Cost path: PO-2023-0010 into FA-000055.</t>
        </is>
      </c>
      <c r="L59" s="7" t="inlineStr">
        <is>
          <t>2026-02-09</t>
        </is>
      </c>
      <c r="M59" s="7" t="n">
        <v>1220</v>
      </c>
      <c r="N59" s="7">
        <f>IFERROR(XLOOKUP(A59,'Source Ledger'!$B$5:$B$133,'Source Ledger'!$G$5:$G$133),"")</f>
        <v>812.5</v>
      </c>
      <c r="O59" s="7" t="str">
        <f>IFERROR(XLOOKUP(A59,'Source Ledger'!$B$5:$B$133,'Source Ledger'!$A$5:$A$133),"")</f>
        <v>FA-000055</v>
      </c>
      <c r="P59" s="7" t="inlineStr">
        <is>
          <t>No</t>
        </is>
      </c>
      <c r="Q59" s="9" t="inlineStr">
        <is>
          <t>High</t>
        </is>
      </c>
      <c r="R59" s="7" t="inlineStr">
        <is>
          <t>EX-0036</t>
        </is>
      </c>
      <c r="S59" s="7" t="inlineStr">
        <is>
          <t>No</t>
        </is>
      </c>
      <c r="T59">
        <f>IFERROR(XLOOKUP(A59,'Source Ledger'!$B$5:$B$133,'Source Ledger'!$E$5:$E$133),"")</f>
        <v>1220</v>
      </c>
      <c r="U59" t="str">
        <f>IFERROR(XLOOKUP(A59,'Source Ledger'!$B$5:$B$133,'Source Ledger'!$H$5:$H$133),"")</f>
        <v>Active</v>
      </c>
      <c r="V59">
        <f>IFERROR(XLOOKUP(A59,'Source Ledger'!$B$5:$B$133,'Source Ledger'!$G$5:$G$133),"")</f>
        <v>812.5</v>
      </c>
      <c r="W59">
        <f>IF(OR(T59="",M59=""),"",T59-M59)</f>
        <v>0</v>
      </c>
      <c r="X59" t="str">
        <f>IF(N59="","No","Yes")</f>
        <v>Yes</v>
      </c>
    </row>
    <row r="60">
      <c r="A60" s="7" t="inlineStr">
        <is>
          <t>MD-00056</t>
        </is>
      </c>
      <c r="B60" s="7" t="inlineStr">
        <is>
          <t>MD-NE-050056</t>
        </is>
      </c>
      <c r="C60" s="7" t="inlineStr">
        <is>
          <t>Network Asset</t>
        </is>
      </c>
      <c r="D60" s="7" t="inlineStr">
        <is>
          <t>Cisco C9300</t>
        </is>
      </c>
      <c r="E60" s="7" t="inlineStr"/>
      <c r="F60" s="7" t="inlineStr">
        <is>
          <t>Chicago - Closed</t>
        </is>
      </c>
      <c r="G60" s="7" t="inlineStr"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Available / Dallas on MD-00056 (Cisco C9300, $6200) per cited files. TR-00056 ties to MD-00056; dock date 2026-03-16, approval APR-00056. Ledger FA-000056 backs PO-2023-0010 for MD-00056.</t>
        </is>
      </c>
      <c r="L60" s="7" t="inlineStr">
        <is>
          <t>2026-03-10</t>
        </is>
      </c>
      <c r="M60" s="7" t="n">
        <v>6200</v>
      </c>
      <c r="N60" s="7">
        <f>IFERROR(XLOOKUP(A60,'Source Ledger'!$B$5:$B$133,'Source Ledger'!$G$5:$G$133),"")</f>
        <v>1345.24</v>
      </c>
      <c r="O60" s="7" t="str">
        <f>IFERROR(XLOOKUP(A60,'Source Ledger'!$B$5:$B$133,'Source Ledger'!$A$5:$A$133),"")</f>
        <v>FA-000056</v>
      </c>
      <c r="P60" s="7" t="inlineStr">
        <is>
          <t>Yes</t>
        </is>
      </c>
      <c r="Q60" s="9" t="inlineStr">
        <is>
          <t>High</t>
        </is>
      </c>
      <c r="R60" s="7" t="inlineStr">
        <is>
          <t>EX-0037</t>
        </is>
      </c>
      <c r="S60" s="7" t="inlineStr">
        <is>
          <t>No</t>
        </is>
      </c>
      <c r="T60">
        <f>IFERROR(XLOOKUP(A60,'Source Ledger'!$B$5:$B$133,'Source Ledger'!$E$5:$E$133),"")</f>
        <v>6200</v>
      </c>
      <c r="U60" t="str">
        <f>IFERROR(XLOOKUP(A60,'Source Ledger'!$B$5:$B$133,'Source Ledger'!$H$5:$H$133),"")</f>
        <v>Active</v>
      </c>
      <c r="V60">
        <f>IFERROR(XLOOKUP(A60,'Source Ledger'!$B$5:$B$133,'Source Ledger'!$G$5:$G$133),"")</f>
        <v>1345.24</v>
      </c>
      <c r="W60">
        <f>IF(OR(T60="",M60=""),"",T60-M60)</f>
        <v>0</v>
      </c>
      <c r="X60" t="str">
        <f>IF(N60="","No","Yes")</f>
        <v>Yes</v>
      </c>
    </row>
    <row r="61">
      <c r="A61" s="7" t="inlineStr">
        <is>
          <t>MD-00057</t>
        </is>
      </c>
      <c r="B61" s="7" t="inlineStr">
        <is>
          <t>MD-LA-050057</t>
        </is>
      </c>
      <c r="C61" s="7" t="inlineStr">
        <is>
          <t>Laptop</t>
        </is>
      </c>
      <c r="D61" s="7" t="inlineStr">
        <is>
          <t>Dell Latitude 7440</t>
        </is>
      </c>
      <c r="E61" s="7" t="inlineStr"/>
      <c r="F61" s="7" t="inlineStr">
        <is>
          <t>Denver - Closed</t>
        </is>
      </c>
      <c r="G61" s="7" t="inlineStr"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MD-00057 lists Available at Denver (Dell Latitude 7440, $1895). TR-00057 for MD-00057 - received 04/24/2026, approval APR-00057. PO-2023-0010 / FA-000057 support the cost basis.</t>
        </is>
      </c>
      <c r="L61" s="7" t="inlineStr">
        <is>
          <t>2026-04-11</t>
        </is>
      </c>
      <c r="M61" s="7" t="n">
        <v>1895</v>
      </c>
      <c r="N61" s="7">
        <f>IFERROR(XLOOKUP(A61,'Source Ledger'!$B$5:$B$133,'Source Ledger'!$G$5:$G$133),"")</f>
        <v>106.79</v>
      </c>
      <c r="O61" s="7" t="str">
        <f>IFERROR(XLOOKUP(A61,'Source Ledger'!$B$5:$B$133,'Source Ledger'!$A$5:$A$133),"")</f>
        <v>FA-000057</v>
      </c>
      <c r="P61" s="7" t="inlineStr">
        <is>
          <t>No</t>
        </is>
      </c>
      <c r="Q61" s="9" t="inlineStr">
        <is>
          <t>High</t>
        </is>
      </c>
      <c r="R61" s="7" t="inlineStr">
        <is>
          <t>EX-0038</t>
        </is>
      </c>
      <c r="S61" s="7" t="inlineStr">
        <is>
          <t>No</t>
        </is>
      </c>
      <c r="T61">
        <f>IFERROR(XLOOKUP(A61,'Source Ledger'!$B$5:$B$133,'Source Ledger'!$E$5:$E$133),"")</f>
        <v>1895</v>
      </c>
      <c r="U61" t="str">
        <f>IFERROR(XLOOKUP(A61,'Source Ledger'!$B$5:$B$133,'Source Ledger'!$H$5:$H$133),"")</f>
        <v>Active</v>
      </c>
      <c r="V61">
        <f>IFERROR(XLOOKUP(A61,'Source Ledger'!$B$5:$B$133,'Source Ledger'!$G$5:$G$133),"")</f>
        <v>106.79</v>
      </c>
      <c r="W61">
        <f>IF(OR(T61="",M61=""),"",T61-M61)</f>
        <v>0</v>
      </c>
      <c r="X61" t="str">
        <f>IF(N61="","No","Yes")</f>
        <v>Yes</v>
      </c>
    </row>
    <row r="62">
      <c r="A62" s="7" t="inlineStr">
        <is>
          <t>MD-00058</t>
        </is>
      </c>
      <c r="B62" s="7" t="inlineStr">
        <is>
          <t>MD-MO-050058</t>
        </is>
      </c>
      <c r="C62" s="7" t="inlineStr">
        <is>
          <t>Monitor</t>
        </is>
      </c>
      <c r="D62" s="7" t="inlineStr">
        <is>
          <t>Dell U2723QE</t>
        </is>
      </c>
      <c r="E62" s="7" t="inlineStr">
        <is>
          <t>E0071</t>
        </is>
      </c>
      <c r="F62" s="7" t="inlineStr">
        <is>
          <t>Chicago - Closed</t>
        </is>
      </c>
      <c r="G62" s="7" t="inlineStr"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Read MD-00058 against transfers before signing Pending Redeployment / New York. Movement TR-00058 posted 05/22/2026 and inbound May 23, 2026, approval field blank. Cost path: PO-2023-0010 into FA-000058. Also: offboarding ticket OFF-00058 referenced.</t>
        </is>
      </c>
      <c r="L62" s="7" t="inlineStr">
        <is>
          <t>2026-08-05</t>
        </is>
      </c>
      <c r="M62" s="7" t="n">
        <v>610</v>
      </c>
      <c r="N62" s="7">
        <f>IFERROR(XLOOKUP(A62,'Source Ledger'!$B$5:$B$133,'Source Ledger'!$G$5:$G$133),"")</f>
        <v>397.56</v>
      </c>
      <c r="O62" s="7" t="str">
        <f>IFERROR(XLOOKUP(A62,'Source Ledger'!$B$5:$B$133,'Source Ledger'!$A$5:$A$133),"")</f>
        <v>FA-000058</v>
      </c>
      <c r="P62" s="7" t="inlineStr">
        <is>
          <t>No</t>
        </is>
      </c>
      <c r="Q62" s="7" t="inlineStr">
        <is>
          <t>Medium</t>
        </is>
      </c>
      <c r="R62" s="7" t="inlineStr">
        <is>
          <t>EX-0039, EX-0040, EX-0041</t>
        </is>
      </c>
      <c r="S62" s="7" t="inlineStr">
        <is>
          <t>No</t>
        </is>
      </c>
      <c r="T62">
        <f>IFERROR(XLOOKUP(A62,'Source Ledger'!$B$5:$B$133,'Source Ledger'!$E$5:$E$133),"")</f>
        <v>610</v>
      </c>
      <c r="U62" t="str">
        <f>IFERROR(XLOOKUP(A62,'Source Ledger'!$B$5:$B$133,'Source Ledger'!$H$5:$H$133),"")</f>
        <v>Active</v>
      </c>
      <c r="V62">
        <f>IFERROR(XLOOKUP(A62,'Source Ledger'!$B$5:$B$133,'Source Ledger'!$G$5:$G$133),"")</f>
        <v>397.56</v>
      </c>
      <c r="W62">
        <f>IF(OR(T62="",M62=""),"",T62-M62)</f>
        <v>0</v>
      </c>
      <c r="X62" t="str">
        <f>IF(N62="","No","Yes")</f>
        <v>Yes</v>
      </c>
    </row>
    <row r="63">
      <c r="A63" s="7" t="inlineStr">
        <is>
          <t>MD-00059</t>
        </is>
      </c>
      <c r="B63" s="7" t="inlineStr">
        <is>
          <t>MD-MO-050059</t>
        </is>
      </c>
      <c r="C63" s="7" t="inlineStr">
        <is>
          <t>Mobile Device</t>
        </is>
      </c>
      <c r="D63" s="7" t="inlineStr">
        <is>
          <t>Samsung Galaxy S24</t>
        </is>
      </c>
      <c r="E63" s="7" t="inlineStr">
        <is>
          <t>E0072</t>
        </is>
      </c>
      <c r="F63" s="7" t="inlineStr">
        <is>
          <t>Denver - Closed</t>
        </is>
      </c>
      <c r="G63" s="7" t="inlineStr"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I read the movement and people files before calling MD-00059 Pending Redeployment. Log TR-00059: received 2026-06-26, approval field blank. Ledger FA-000059 backs PO-2023-0010 for MD-00059. Also: offboarding ticket OFF-00059 referenced.</t>
        </is>
      </c>
      <c r="L63" s="7" t="inlineStr">
        <is>
          <t>2026-08-05</t>
        </is>
      </c>
      <c r="M63" s="7" t="n">
        <v>1085</v>
      </c>
      <c r="N63" s="7">
        <f>IFERROR(XLOOKUP(A63,'Source Ledger'!$B$5:$B$133,'Source Ledger'!$G$5:$G$133),"")</f>
        <v>847.35</v>
      </c>
      <c r="O63" s="7" t="str">
        <f>IFERROR(XLOOKUP(A63,'Source Ledger'!$B$5:$B$133,'Source Ledger'!$A$5:$A$133),"")</f>
        <v>FA-000059</v>
      </c>
      <c r="P63" s="7" t="inlineStr">
        <is>
          <t>No</t>
        </is>
      </c>
      <c r="Q63" s="7" t="inlineStr">
        <is>
          <t>Medium</t>
        </is>
      </c>
      <c r="R63" s="7" t="inlineStr">
        <is>
          <t>EX-0042, EX-0043, EX-0044</t>
        </is>
      </c>
      <c r="S63" s="7" t="inlineStr">
        <is>
          <t>No</t>
        </is>
      </c>
      <c r="T63">
        <f>IFERROR(XLOOKUP(A63,'Source Ledger'!$B$5:$B$133,'Source Ledger'!$E$5:$E$133),"")</f>
        <v>1085</v>
      </c>
      <c r="U63" t="str">
        <f>IFERROR(XLOOKUP(A63,'Source Ledger'!$B$5:$B$133,'Source Ledger'!$H$5:$H$133),"")</f>
        <v>Active</v>
      </c>
      <c r="V63">
        <f>IFERROR(XLOOKUP(A63,'Source Ledger'!$B$5:$B$133,'Source Ledger'!$G$5:$G$133),"")</f>
        <v>847.35</v>
      </c>
      <c r="W63">
        <f>IF(OR(T63="",M63=""),"",T63-M63)</f>
        <v>0</v>
      </c>
      <c r="X63" t="str">
        <f>IF(N63="","No","Yes")</f>
        <v>Yes</v>
      </c>
    </row>
    <row r="64">
      <c r="A64" s="7" t="inlineStr">
        <is>
          <t>MD-00060</t>
        </is>
      </c>
      <c r="B64" s="7" t="inlineStr">
        <is>
          <t>MD-NE-050060</t>
        </is>
      </c>
      <c r="C64" s="7" t="inlineStr">
        <is>
          <t>Network Asset</t>
        </is>
      </c>
      <c r="D64" s="7" t="inlineStr">
        <is>
          <t>Cisco C9300</t>
        </is>
      </c>
      <c r="E64" s="7" t="inlineStr">
        <is>
          <t>E0073</t>
        </is>
      </c>
      <c r="F64" s="7" t="inlineStr">
        <is>
          <t>Chicago - Closed</t>
        </is>
      </c>
      <c r="G64" s="7" t="inlineStr"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The cited records support Pending Redeployment in Atlanta for MD-00060. Movement TR-00060 posted 2026-01-30 and inbound 02/02/2026, approval APR-00060. Cost path: PO-2023-0010 into FA-000060. Also: offboarding ticket OFF-00060 referenced.</t>
        </is>
      </c>
      <c r="L64" s="7" t="inlineStr">
        <is>
          <t>2026-08-05</t>
        </is>
      </c>
      <c r="M64" s="7" t="n">
        <v>6380</v>
      </c>
      <c r="N64" s="7">
        <f>IFERROR(XLOOKUP(A64,'Source Ledger'!$B$5:$B$133,'Source Ledger'!$G$5:$G$133),"")</f>
        <v>549.35</v>
      </c>
      <c r="O64" s="7" t="str">
        <f>IFERROR(XLOOKUP(A64,'Source Ledger'!$B$5:$B$133,'Source Ledger'!$A$5:$A$133),"")</f>
        <v>FA-000060</v>
      </c>
      <c r="P64" s="7" t="inlineStr">
        <is>
          <t>Yes</t>
        </is>
      </c>
      <c r="Q64" s="9" t="inlineStr">
        <is>
          <t>High</t>
        </is>
      </c>
      <c r="R64" s="7" t="inlineStr">
        <is>
          <t>EX-0045, EX-0046</t>
        </is>
      </c>
      <c r="S64" s="7" t="inlineStr">
        <is>
          <t>No</t>
        </is>
      </c>
      <c r="T64">
        <f>IFERROR(XLOOKUP(A64,'Source Ledger'!$B$5:$B$133,'Source Ledger'!$E$5:$E$133),"")</f>
        <v>6380</v>
      </c>
      <c r="U64" t="str">
        <f>IFERROR(XLOOKUP(A64,'Source Ledger'!$B$5:$B$133,'Source Ledger'!$H$5:$H$133),"")</f>
        <v>Active</v>
      </c>
      <c r="V64">
        <f>IFERROR(XLOOKUP(A64,'Source Ledger'!$B$5:$B$133,'Source Ledger'!$G$5:$G$133),"")</f>
        <v>549.35</v>
      </c>
      <c r="W64">
        <f>IF(OR(T64="",M64=""),"",T64-M64)</f>
        <v>0</v>
      </c>
      <c r="X64" t="str">
        <f>IF(N64="","No","Yes")</f>
        <v>Yes</v>
      </c>
    </row>
    <row r="65">
      <c r="A65" s="7" t="inlineStr">
        <is>
          <t>MD-00061</t>
        </is>
      </c>
      <c r="B65" s="7" t="inlineStr">
        <is>
          <t>MD-LA-050061</t>
        </is>
      </c>
      <c r="C65" s="7" t="inlineStr">
        <is>
          <t>Laptop</t>
        </is>
      </c>
      <c r="D65" s="7" t="inlineStr">
        <is>
          <t>Lenovo ThinkPad T14</t>
        </is>
      </c>
      <c r="E65" s="7" t="inlineStr">
        <is>
          <t>E0074</t>
        </is>
      </c>
      <c r="F65" s="7" t="inlineStr">
        <is>
          <t>Denver - Closed</t>
        </is>
      </c>
      <c r="G65" s="7" t="inlineStr"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Chicago holds MD-00061 (Lenovo ThinkPad T14) as Pending Redeployment. Log TR-00061: received Feb 03, 2026, approval APR-00061. Ledger FA-000061 backs PO-2024-0011 for MD-00061. Also: offboarding ticket OFF-00061 referenced.</t>
        </is>
      </c>
      <c r="L65" s="7" t="inlineStr">
        <is>
          <t>2026-08-05</t>
        </is>
      </c>
      <c r="M65" s="7" t="n">
        <v>2075</v>
      </c>
      <c r="N65" s="7">
        <f>IFERROR(XLOOKUP(A65,'Source Ledger'!$B$5:$B$133,'Source Ledger'!$G$5:$G$133),"")</f>
        <v>0</v>
      </c>
      <c r="O65" s="7" t="str">
        <f>IFERROR(XLOOKUP(A65,'Source Ledger'!$B$5:$B$133,'Source Ledger'!$A$5:$A$133),"")</f>
        <v>FA-000061</v>
      </c>
      <c r="P65" s="7" t="inlineStr">
        <is>
          <t>No</t>
        </is>
      </c>
      <c r="Q65" s="9" t="inlineStr">
        <is>
          <t>High</t>
        </is>
      </c>
      <c r="R65" s="7" t="inlineStr">
        <is>
          <t>EX-0047, EX-0048</t>
        </is>
      </c>
      <c r="S65" s="7" t="inlineStr">
        <is>
          <t>No</t>
        </is>
      </c>
      <c r="T65">
        <f>IFERROR(XLOOKUP(A65,'Source Ledger'!$B$5:$B$133,'Source Ledger'!$E$5:$E$133),"")</f>
        <v>2075</v>
      </c>
      <c r="U65" t="str">
        <f>IFERROR(XLOOKUP(A65,'Source Ledger'!$B$5:$B$133,'Source Ledger'!$H$5:$H$133),"")</f>
        <v>Active</v>
      </c>
      <c r="V65">
        <f>IFERROR(XLOOKUP(A65,'Source Ledger'!$B$5:$B$133,'Source Ledger'!$G$5:$G$133),"")</f>
        <v>0</v>
      </c>
      <c r="W65">
        <f>IF(OR(T65="",M65=""),"",T65-M65)</f>
        <v>0</v>
      </c>
      <c r="X65" t="str">
        <f>IF(N65="","No","Yes")</f>
        <v>Yes</v>
      </c>
    </row>
    <row r="66">
      <c r="A66" s="7" t="inlineStr">
        <is>
          <t>MD-00062</t>
        </is>
      </c>
      <c r="B66" s="7" t="inlineStr">
        <is>
          <t>MD-MO-050062</t>
        </is>
      </c>
      <c r="C66" s="7" t="inlineStr">
        <is>
          <t>Monitor</t>
        </is>
      </c>
      <c r="D66" s="7" t="inlineStr">
        <is>
          <t>Dell U2723QE</t>
        </is>
      </c>
      <c r="E66" s="7" t="inlineStr">
        <is>
          <t>E0075</t>
        </is>
      </c>
      <c r="F66" s="7" t="inlineStr">
        <is>
          <t>Chicago - Closed</t>
        </is>
      </c>
      <c r="G66" s="7" t="inlineStr"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MD-00062 (Dell U2723QE) closed Pending Redeployment / Dallas on $790. Assignment TR-00062; receive column 2026-03-07, approval APR-00062. PO-2024-0011 / FA-000062 support the cost basis. Also: offboarding ticket OFF-00062 referenced.</t>
        </is>
      </c>
      <c r="L66" s="7" t="inlineStr">
        <is>
          <t>2026-08-05</t>
        </is>
      </c>
      <c r="M66" s="7" t="n">
        <v>790</v>
      </c>
      <c r="N66" s="7">
        <f>IFERROR(XLOOKUP(A66,'Source Ledger'!$B$5:$B$133,'Source Ledger'!$G$5:$G$133),"")</f>
        <v>410.63</v>
      </c>
      <c r="O66" s="7" t="str">
        <f>IFERROR(XLOOKUP(A66,'Source Ledger'!$B$5:$B$133,'Source Ledger'!$A$5:$A$133),"")</f>
        <v>FA-000062</v>
      </c>
      <c r="P66" s="7" t="inlineStr">
        <is>
          <t>No</t>
        </is>
      </c>
      <c r="Q66" s="9" t="inlineStr">
        <is>
          <t>High</t>
        </is>
      </c>
      <c r="R66" s="7" t="inlineStr">
        <is>
          <t>EX-0049, EX-0050</t>
        </is>
      </c>
      <c r="S66" s="7" t="inlineStr">
        <is>
          <t>No</t>
        </is>
      </c>
      <c r="T66">
        <f>IFERROR(XLOOKUP(A66,'Source Ledger'!$B$5:$B$133,'Source Ledger'!$E$5:$E$133),"")</f>
        <v>790</v>
      </c>
      <c r="U66" t="str">
        <f>IFERROR(XLOOKUP(A66,'Source Ledger'!$B$5:$B$133,'Source Ledger'!$H$5:$H$133),"")</f>
        <v>Active</v>
      </c>
      <c r="V66">
        <f>IFERROR(XLOOKUP(A66,'Source Ledger'!$B$5:$B$133,'Source Ledger'!$G$5:$G$133),"")</f>
        <v>410.63</v>
      </c>
      <c r="W66">
        <f>IF(OR(T66="",M66=""),"",T66-M66)</f>
        <v>0</v>
      </c>
      <c r="X66" t="str">
        <f>IF(N66="","No","Yes")</f>
        <v>Yes</v>
      </c>
    </row>
    <row r="67">
      <c r="A67" s="7" t="inlineStr">
        <is>
          <t>MD-00063</t>
        </is>
      </c>
      <c r="B67" s="7" t="inlineStr">
        <is>
          <t>MD-MO-050063</t>
        </is>
      </c>
      <c r="C67" s="7" t="inlineStr">
        <is>
          <t>Mobile Device</t>
        </is>
      </c>
      <c r="D67" s="7" t="inlineStr">
        <is>
          <t>Samsung Galaxy S24</t>
        </is>
      </c>
      <c r="E67" s="7" t="inlineStr">
        <is>
          <t>E0076</t>
        </is>
      </c>
      <c r="F67" s="7" t="inlineStr">
        <is>
          <t>Denver - Closed</t>
        </is>
      </c>
      <c r="G67" s="7" t="inlineStr"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Assignment trail and HR both fit Pending Redeployment for MD-00063 in Denver. Transfer TR-00063 shows receipt 04/16/2026, approval APR-00063. Cost path: PO-2024-0011 into FA-000063. Also: offboarding ticket OFF-00063 referenced.</t>
        </is>
      </c>
      <c r="L67" s="7" t="inlineStr">
        <is>
          <t>2026-08-05</t>
        </is>
      </c>
      <c r="M67" s="7" t="n">
        <v>950</v>
      </c>
      <c r="N67" s="7">
        <f>IFERROR(XLOOKUP(A67,'Source Ledger'!$B$5:$B$133,'Source Ledger'!$G$5:$G$133),"")</f>
        <v>533.85</v>
      </c>
      <c r="O67" s="7" t="str">
        <f>IFERROR(XLOOKUP(A67,'Source Ledger'!$B$5:$B$133,'Source Ledger'!$A$5:$A$133),"")</f>
        <v>FA-000063</v>
      </c>
      <c r="P67" s="7" t="inlineStr">
        <is>
          <t>No</t>
        </is>
      </c>
      <c r="Q67" s="9" t="inlineStr">
        <is>
          <t>High</t>
        </is>
      </c>
      <c r="R67" s="7" t="inlineStr">
        <is>
          <t>EX-0051, EX-0052</t>
        </is>
      </c>
      <c r="S67" s="7" t="inlineStr">
        <is>
          <t>No</t>
        </is>
      </c>
      <c r="T67">
        <f>IFERROR(XLOOKUP(A67,'Source Ledger'!$B$5:$B$133,'Source Ledger'!$E$5:$E$133),"")</f>
        <v>950</v>
      </c>
      <c r="U67" t="str">
        <f>IFERROR(XLOOKUP(A67,'Source Ledger'!$B$5:$B$133,'Source Ledger'!$H$5:$H$133),"")</f>
        <v>Active</v>
      </c>
      <c r="V67">
        <f>IFERROR(XLOOKUP(A67,'Source Ledger'!$B$5:$B$133,'Source Ledger'!$G$5:$G$133),"")</f>
        <v>533.85</v>
      </c>
      <c r="W67">
        <f>IF(OR(T67="",M67=""),"",T67-M67)</f>
        <v>0</v>
      </c>
      <c r="X67" t="str">
        <f>IF(N67="","No","Yes")</f>
        <v>Yes</v>
      </c>
    </row>
    <row r="68">
      <c r="A68" s="7" t="inlineStr">
        <is>
          <t>MD-00064</t>
        </is>
      </c>
      <c r="B68" s="7" t="inlineStr">
        <is>
          <t>MD-NE-050064</t>
        </is>
      </c>
      <c r="C68" s="7" t="inlineStr">
        <is>
          <t>Network Asset</t>
        </is>
      </c>
      <c r="D68" s="7" t="inlineStr">
        <is>
          <t>Cisco C9300</t>
        </is>
      </c>
      <c r="E68" s="7" t="inlineStr">
        <is>
          <t>E0077</t>
        </is>
      </c>
      <c r="F68" s="7" t="inlineStr">
        <is>
          <t>Chicago - Closed</t>
        </is>
      </c>
      <c r="G68" s="7" t="inlineStr"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Cross-file check left MD-00064 as Pending Redeployment (New York). Inbound stamp on TR-00064 is May 14, 2026, approval field blank. Ledger FA-000064 backs PO-2024-0011 for MD-00064. Also: offboarding ticket OFF-00064 referenced.</t>
        </is>
      </c>
      <c r="L68" s="7" t="inlineStr">
        <is>
          <t>2026-08-05</t>
        </is>
      </c>
      <c r="M68" s="7" t="n">
        <v>6245</v>
      </c>
      <c r="N68" s="7">
        <f>IFERROR(XLOOKUP(A68,'Source Ledger'!$B$5:$B$133,'Source Ledger'!$G$5:$G$133),"")</f>
        <v>961.76</v>
      </c>
      <c r="O68" s="7" t="str">
        <f>IFERROR(XLOOKUP(A68,'Source Ledger'!$B$5:$B$133,'Source Ledger'!$A$5:$A$133),"")</f>
        <v>FA-000064</v>
      </c>
      <c r="P68" s="7" t="inlineStr">
        <is>
          <t>Yes</t>
        </is>
      </c>
      <c r="Q68" s="7" t="inlineStr">
        <is>
          <t>Medium</t>
        </is>
      </c>
      <c r="R68" s="7" t="inlineStr">
        <is>
          <t>EX-0053, EX-0054, EX-0055</t>
        </is>
      </c>
      <c r="S68" s="7" t="inlineStr">
        <is>
          <t>No</t>
        </is>
      </c>
      <c r="T68">
        <f>IFERROR(XLOOKUP(A68,'Source Ledger'!$B$5:$B$133,'Source Ledger'!$E$5:$E$133),"")</f>
        <v>6245</v>
      </c>
      <c r="U68" t="str">
        <f>IFERROR(XLOOKUP(A68,'Source Ledger'!$B$5:$B$133,'Source Ledger'!$H$5:$H$133),"")</f>
        <v>Active</v>
      </c>
      <c r="V68">
        <f>IFERROR(XLOOKUP(A68,'Source Ledger'!$B$5:$B$133,'Source Ledger'!$G$5:$G$133),"")</f>
        <v>961.76</v>
      </c>
      <c r="W68">
        <f>IF(OR(T68="",M68=""),"",T68-M68)</f>
        <v>0</v>
      </c>
      <c r="X68" t="str">
        <f>IF(N68="","No","Yes")</f>
        <v>Yes</v>
      </c>
    </row>
    <row r="69">
      <c r="A69" s="7" t="inlineStr">
        <is>
          <t>MD-00065</t>
        </is>
      </c>
      <c r="B69" s="7" t="inlineStr">
        <is>
          <t>MD-LA-050065</t>
        </is>
      </c>
      <c r="C69" s="7" t="inlineStr">
        <is>
          <t>Laptop</t>
        </is>
      </c>
      <c r="D69" s="7" t="inlineStr">
        <is>
          <t>MacBook Pro 14</t>
        </is>
      </c>
      <c r="E69" s="7" t="inlineStr">
        <is>
          <t>E0078</t>
        </is>
      </c>
      <c r="F69" s="7" t="inlineStr">
        <is>
          <t>Denver - Closed</t>
        </is>
      </c>
      <c r="G69" s="7" t="inlineStr"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MD-00065 still Pending Redeployment; Seattle is the verified site. equipment_transfer_log TR-00065, approval field blank; received 2026-06-23. PO-2024-0011 / FA-000065 support the cost basis. Also: offboarding ticket OFF-00065 referenced.</t>
        </is>
      </c>
      <c r="L69" s="7" t="inlineStr">
        <is>
          <t>2026-08-05</t>
        </is>
      </c>
      <c r="M69" s="7" t="n">
        <v>1940</v>
      </c>
      <c r="N69" s="7">
        <f>IFERROR(XLOOKUP(A69,'Source Ledger'!$B$5:$B$133,'Source Ledger'!$G$5:$G$133),"")</f>
        <v>0</v>
      </c>
      <c r="O69" s="7" t="str">
        <f>IFERROR(XLOOKUP(A69,'Source Ledger'!$B$5:$B$133,'Source Ledger'!$A$5:$A$133),"")</f>
        <v>FA-000065</v>
      </c>
      <c r="P69" s="7" t="inlineStr">
        <is>
          <t>No</t>
        </is>
      </c>
      <c r="Q69" s="7" t="inlineStr">
        <is>
          <t>Medium</t>
        </is>
      </c>
      <c r="R69" s="7" t="inlineStr">
        <is>
          <t>EX-0056, EX-0057, EX-0058</t>
        </is>
      </c>
      <c r="S69" s="7" t="inlineStr">
        <is>
          <t>No</t>
        </is>
      </c>
      <c r="T69">
        <f>IFERROR(XLOOKUP(A69,'Source Ledger'!$B$5:$B$133,'Source Ledger'!$E$5:$E$133),"")</f>
        <v>1940</v>
      </c>
      <c r="U69" t="str">
        <f>IFERROR(XLOOKUP(A69,'Source Ledger'!$B$5:$B$133,'Source Ledger'!$H$5:$H$133),"")</f>
        <v>Active</v>
      </c>
      <c r="V69">
        <f>IFERROR(XLOOKUP(A69,'Source Ledger'!$B$5:$B$133,'Source Ledger'!$G$5:$G$133),"")</f>
        <v>0</v>
      </c>
      <c r="W69">
        <f>IF(OR(T69="",M69=""),"",T69-M69)</f>
        <v>0</v>
      </c>
      <c r="X69" t="str">
        <f>IF(N69="","No","Yes")</f>
        <v>Yes</v>
      </c>
    </row>
    <row r="70">
      <c r="A70" s="7" t="inlineStr">
        <is>
          <t>MD-00066</t>
        </is>
      </c>
      <c r="B70" s="7" t="inlineStr">
        <is>
          <t>MD-MO-050066</t>
        </is>
      </c>
      <c r="C70" s="7" t="inlineStr">
        <is>
          <t>Monitor</t>
        </is>
      </c>
      <c r="D70" s="7" t="inlineStr">
        <is>
          <t>Dell U2723QE</t>
        </is>
      </c>
      <c r="E70" s="7" t="inlineStr">
        <is>
          <t>E0079</t>
        </is>
      </c>
      <c r="F70" s="7" t="inlineStr">
        <is>
          <t>Chicago - Closed</t>
        </is>
      </c>
      <c r="G70" s="7" t="inlineStr"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Dell U2723QE on MD-00066 is Pending Redeployment in Atlanta office; basis $655. Log TR-00066: received 01/25/2026, approval APR-00066. Cost path: PO-2024-0011 into FA-000066. Also: offboarding ticket OFF-00066 referenced.</t>
        </is>
      </c>
      <c r="L70" s="7" t="inlineStr">
        <is>
          <t>2026-08-05</t>
        </is>
      </c>
      <c r="M70" s="7" t="n">
        <v>655</v>
      </c>
      <c r="N70" s="7">
        <f>IFERROR(XLOOKUP(A70,'Source Ledger'!$B$5:$B$133,'Source Ledger'!$G$5:$G$133),"")</f>
        <v>385.65</v>
      </c>
      <c r="O70" s="7" t="str">
        <f>IFERROR(XLOOKUP(A70,'Source Ledger'!$B$5:$B$133,'Source Ledger'!$A$5:$A$133),"")</f>
        <v>FA-000066</v>
      </c>
      <c r="P70" s="7" t="inlineStr">
        <is>
          <t>No</t>
        </is>
      </c>
      <c r="Q70" s="9" t="inlineStr">
        <is>
          <t>High</t>
        </is>
      </c>
      <c r="R70" s="7" t="inlineStr">
        <is>
          <t>EX-0059, EX-0060</t>
        </is>
      </c>
      <c r="S70" s="7" t="inlineStr">
        <is>
          <t>No</t>
        </is>
      </c>
      <c r="T70">
        <f>IFERROR(XLOOKUP(A70,'Source Ledger'!$B$5:$B$133,'Source Ledger'!$E$5:$E$133),"")</f>
        <v>655</v>
      </c>
      <c r="U70" t="str">
        <f>IFERROR(XLOOKUP(A70,'Source Ledger'!$B$5:$B$133,'Source Ledger'!$H$5:$H$133),"")</f>
        <v>Active</v>
      </c>
      <c r="V70">
        <f>IFERROR(XLOOKUP(A70,'Source Ledger'!$B$5:$B$133,'Source Ledger'!$G$5:$G$133),"")</f>
        <v>385.65</v>
      </c>
      <c r="W70">
        <f>IF(OR(T70="",M70=""),"",T70-M70)</f>
        <v>0</v>
      </c>
      <c r="X70" t="str">
        <f>IF(N70="","No","Yes")</f>
        <v>Yes</v>
      </c>
    </row>
    <row r="71">
      <c r="A71" s="7" t="inlineStr">
        <is>
          <t>MD-00067</t>
        </is>
      </c>
      <c r="B71" s="7" t="inlineStr">
        <is>
          <t>MD-MO-050067</t>
        </is>
      </c>
      <c r="C71" s="7" t="inlineStr">
        <is>
          <t>Mobile Device</t>
        </is>
      </c>
      <c r="D71" s="7" t="inlineStr">
        <is>
          <t>Samsung Galaxy S24</t>
        </is>
      </c>
      <c r="E71" s="7" t="inlineStr">
        <is>
          <t>E0080</t>
        </is>
      </c>
      <c r="F71" s="7" t="inlineStr">
        <is>
          <t>Denver - Closed</t>
        </is>
      </c>
      <c r="G71" s="7" t="inlineStr"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Looked up MD-00067 across CSV/XLSX inputs - Pending Redeployment, Chicago. Assignment TR-00067; receive column Feb 23, 2026, approval APR-00067. Ledger FA-000067 backs PO-2025-0012 for MD-00067. Also: offboarding ticket OFF-00067 referenced.</t>
        </is>
      </c>
      <c r="L71" s="7" t="inlineStr">
        <is>
          <t>2026-08-05</t>
        </is>
      </c>
      <c r="M71" s="7" t="n">
        <v>1130</v>
      </c>
      <c r="N71" s="7">
        <f>IFERROR(XLOOKUP(A71,'Source Ledger'!$B$5:$B$133,'Source Ledger'!$G$5:$G$133),"")</f>
        <v>764.93</v>
      </c>
      <c r="O71" s="7" t="str">
        <f>IFERROR(XLOOKUP(A71,'Source Ledger'!$B$5:$B$133,'Source Ledger'!$A$5:$A$133),"")</f>
        <v>FA-000067</v>
      </c>
      <c r="P71" s="7" t="inlineStr">
        <is>
          <t>No</t>
        </is>
      </c>
      <c r="Q71" s="9" t="inlineStr">
        <is>
          <t>High</t>
        </is>
      </c>
      <c r="R71" s="7" t="inlineStr">
        <is>
          <t>EX-0061, EX-0062</t>
        </is>
      </c>
      <c r="S71" s="7" t="inlineStr">
        <is>
          <t>No</t>
        </is>
      </c>
      <c r="T71">
        <f>IFERROR(XLOOKUP(A71,'Source Ledger'!$B$5:$B$133,'Source Ledger'!$E$5:$E$133),"")</f>
        <v>1130</v>
      </c>
      <c r="U71" t="str">
        <f>IFERROR(XLOOKUP(A71,'Source Ledger'!$B$5:$B$133,'Source Ledger'!$H$5:$H$133),"")</f>
        <v>Active</v>
      </c>
      <c r="V71">
        <f>IFERROR(XLOOKUP(A71,'Source Ledger'!$B$5:$B$133,'Source Ledger'!$G$5:$G$133),"")</f>
        <v>764.93</v>
      </c>
      <c r="W71">
        <f>IF(OR(T71="",M71=""),"",T71-M71)</f>
        <v>0</v>
      </c>
      <c r="X71" t="str">
        <f>IF(N71="","No","Yes")</f>
        <v>Yes</v>
      </c>
    </row>
    <row r="72">
      <c r="A72" s="7" t="inlineStr">
        <is>
          <t>MD-00068</t>
        </is>
      </c>
      <c r="B72" s="7" t="inlineStr">
        <is>
          <t>MD-NE-050068</t>
        </is>
      </c>
      <c r="C72" s="7" t="inlineStr">
        <is>
          <t>Network Asset</t>
        </is>
      </c>
      <c r="D72" s="7" t="inlineStr">
        <is>
          <t>Cisco C9300</t>
        </is>
      </c>
      <c r="E72" s="7" t="inlineStr">
        <is>
          <t>E0081</t>
        </is>
      </c>
      <c r="F72" s="7" t="inlineStr">
        <is>
          <t>Chicago - Closed</t>
        </is>
      </c>
      <c r="G72" s="7" t="inlineStr"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MD-00068: Cisco C9300, $6425, status Return Overdue, site Remote - Former Employee. Employment file: E0081 remains Separated. Transfer TR-00068 shows receipt 2026-04-03, approval APR-00068. PO-2025-0012 / FA-000068 support the cost basis. Also: carrier label 1ZMD00000068 is not proof of receipt. Note - offboarding ticket OFF-00068 referenced. return still label-only per shipment file.</t>
        </is>
      </c>
      <c r="L72" s="7" t="inlineStr">
        <is>
          <t>2026-06-25</t>
        </is>
      </c>
      <c r="M72" s="7" t="n">
        <v>6425</v>
      </c>
      <c r="N72" s="7">
        <f>IFERROR(XLOOKUP(A72,'Source Ledger'!$B$5:$B$133,'Source Ledger'!$G$5:$G$133),"")</f>
        <v>1436.28</v>
      </c>
      <c r="O72" s="7" t="str">
        <f>IFERROR(XLOOKUP(A72,'Source Ledger'!$B$5:$B$133,'Source Ledger'!$A$5:$A$133),"")</f>
        <v>FA-000068</v>
      </c>
      <c r="P72" s="7" t="inlineStr">
        <is>
          <t>Yes</t>
        </is>
      </c>
      <c r="Q72" s="7" t="inlineStr">
        <is>
          <t>Low</t>
        </is>
      </c>
      <c r="R72" s="7" t="inlineStr">
        <is>
          <t>EX-0063, EX-0064, EX-0065</t>
        </is>
      </c>
      <c r="S72" s="7" t="inlineStr">
        <is>
          <t>Yes</t>
        </is>
      </c>
      <c r="T72">
        <f>IFERROR(XLOOKUP(A72,'Source Ledger'!$B$5:$B$133,'Source Ledger'!$E$5:$E$133),"")</f>
        <v>6480</v>
      </c>
      <c r="U72" t="str">
        <f>IFERROR(XLOOKUP(A72,'Source Ledger'!$B$5:$B$133,'Source Ledger'!$H$5:$H$133),"")</f>
        <v>Active</v>
      </c>
      <c r="V72">
        <f>IFERROR(XLOOKUP(A72,'Source Ledger'!$B$5:$B$133,'Source Ledger'!$G$5:$G$133),"")</f>
        <v>1436.28</v>
      </c>
      <c r="W72">
        <f>IF(OR(T72="",M72=""),"",T72-M72)</f>
        <v>55</v>
      </c>
      <c r="X72" t="str">
        <f>IF(N72="","No","Yes")</f>
        <v>Yes</v>
      </c>
    </row>
    <row r="73">
      <c r="A73" s="7" t="inlineStr">
        <is>
          <t>MD-00069</t>
        </is>
      </c>
      <c r="B73" s="7" t="inlineStr">
        <is>
          <t>MD-LA-050069</t>
        </is>
      </c>
      <c r="C73" s="7" t="inlineStr">
        <is>
          <t>Laptop</t>
        </is>
      </c>
      <c r="D73" s="7" t="inlineStr">
        <is>
          <t>Dell Latitude 7440</t>
        </is>
      </c>
      <c r="E73" s="7" t="inlineStr">
        <is>
          <t>E0082</t>
        </is>
      </c>
      <c r="F73" s="7" t="inlineStr">
        <is>
          <t>Denver - Closed</t>
        </is>
      </c>
      <c r="G73" s="7" t="inlineStr"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MD-00069 carries Return Overdue at Remote - Former Employee (Dell Latitude 7440, $2120). Employment file: E0082 remains Separated. Inbound stamp on TR-00069 is 05/04/2026, approval APR-00069. Cost path: PO-2025-0012 into FA-000069. Also: carrier label 1ZMD00000069 is not proof of receipt. Note - offboarding ticket OFF-00069 referenced. return still label-only per shipment file.</t>
        </is>
      </c>
      <c r="L73" s="7" t="inlineStr">
        <is>
          <t>2026-06-25</t>
        </is>
      </c>
      <c r="M73" s="7" t="n">
        <v>2120</v>
      </c>
      <c r="N73" s="7">
        <f>IFERROR(XLOOKUP(A73,'Source Ledger'!$B$5:$B$133,'Source Ledger'!$G$5:$G$133),"")</f>
        <v>142.69</v>
      </c>
      <c r="O73" s="7" t="str">
        <f>IFERROR(XLOOKUP(A73,'Source Ledger'!$B$5:$B$133,'Source Ledger'!$A$5:$A$133),"")</f>
        <v>FA-000069</v>
      </c>
      <c r="P73" s="7" t="inlineStr">
        <is>
          <t>No</t>
        </is>
      </c>
      <c r="Q73" s="7" t="inlineStr">
        <is>
          <t>Low</t>
        </is>
      </c>
      <c r="R73" s="7" t="inlineStr">
        <is>
          <t>EX-0066, EX-0067</t>
        </is>
      </c>
      <c r="S73" s="7" t="inlineStr">
        <is>
          <t>Yes</t>
        </is>
      </c>
      <c r="T73">
        <f>IFERROR(XLOOKUP(A73,'Source Ledger'!$B$5:$B$133,'Source Ledger'!$E$5:$E$133),"")</f>
        <v>2120</v>
      </c>
      <c r="U73" t="str">
        <f>IFERROR(XLOOKUP(A73,'Source Ledger'!$B$5:$B$133,'Source Ledger'!$H$5:$H$133),"")</f>
        <v>Active</v>
      </c>
      <c r="V73">
        <f>IFERROR(XLOOKUP(A73,'Source Ledger'!$B$5:$B$133,'Source Ledger'!$G$5:$G$133),"")</f>
        <v>142.69</v>
      </c>
      <c r="W73">
        <f>IF(OR(T73="",M73=""),"",T73-M73)</f>
        <v>0</v>
      </c>
      <c r="X73" t="str">
        <f>IF(N73="","No","Yes")</f>
        <v>Yes</v>
      </c>
    </row>
    <row r="74">
      <c r="A74" s="7" t="inlineStr">
        <is>
          <t>MD-00070</t>
        </is>
      </c>
      <c r="B74" s="7" t="inlineStr">
        <is>
          <t>MD-MO-050070</t>
        </is>
      </c>
      <c r="C74" s="7" t="inlineStr">
        <is>
          <t>Monitor</t>
        </is>
      </c>
      <c r="D74" s="7" t="inlineStr">
        <is>
          <t>Dell U2723QE</t>
        </is>
      </c>
      <c r="E74" s="7" t="inlineStr">
        <is>
          <t>E0083</t>
        </is>
      </c>
      <c r="F74" s="7" t="inlineStr">
        <is>
          <t>Chicago - Closed</t>
        </is>
      </c>
      <c r="G74" s="7" t="inlineStr"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MD-00070 stays Return Overdue at Remote - Former Employee (Dell U2723QE, $520). HR agrees Hugh Talbot (E0083) is still Separated. Transfer TR-00070 shows receipt Jun 03, 2026, approval APR-00070. PO-2025-0012 / FA-000070 support the cost basis. Also: carrier label 1ZMD00000070 is not proof of receipt. Note - offboarding ticket OFF-00070 referenced. return still label-only per shipment file.</t>
        </is>
      </c>
      <c r="L74" s="7" t="inlineStr">
        <is>
          <t>2026-06-25</t>
        </is>
      </c>
      <c r="M74" s="7" t="n">
        <v>520</v>
      </c>
      <c r="N74" s="7">
        <f>IFERROR(XLOOKUP(A74,'Source Ledger'!$B$5:$B$133,'Source Ledger'!$G$5:$G$133),"")</f>
        <v>342.32</v>
      </c>
      <c r="O74" s="7" t="str">
        <f>IFERROR(XLOOKUP(A74,'Source Ledger'!$B$5:$B$133,'Source Ledger'!$A$5:$A$133),"")</f>
        <v>FA-000070</v>
      </c>
      <c r="P74" s="7" t="inlineStr">
        <is>
          <t>No</t>
        </is>
      </c>
      <c r="Q74" s="7" t="inlineStr">
        <is>
          <t>Low</t>
        </is>
      </c>
      <c r="R74" s="7" t="inlineStr">
        <is>
          <t>EX-0068, EX-0069</t>
        </is>
      </c>
      <c r="S74" s="7" t="inlineStr">
        <is>
          <t>Yes</t>
        </is>
      </c>
      <c r="T74">
        <f>IFERROR(XLOOKUP(A74,'Source Ledger'!$B$5:$B$133,'Source Ledger'!$E$5:$E$133),"")</f>
        <v>520</v>
      </c>
      <c r="U74" t="str">
        <f>IFERROR(XLOOKUP(A74,'Source Ledger'!$B$5:$B$133,'Source Ledger'!$H$5:$H$133),"")</f>
        <v>Active</v>
      </c>
      <c r="V74">
        <f>IFERROR(XLOOKUP(A74,'Source Ledger'!$B$5:$B$133,'Source Ledger'!$G$5:$G$133),"")</f>
        <v>342.32</v>
      </c>
      <c r="W74">
        <f>IF(OR(T74="",M74=""),"",T74-M74)</f>
        <v>0</v>
      </c>
      <c r="X74" t="str">
        <f>IF(N74="","No","Yes")</f>
        <v>Yes</v>
      </c>
    </row>
    <row r="75">
      <c r="A75" s="7" t="inlineStr">
        <is>
          <t>MD-00071</t>
        </is>
      </c>
      <c r="B75" s="7" t="inlineStr">
        <is>
          <t>MD-MO-050071</t>
        </is>
      </c>
      <c r="C75" s="7" t="inlineStr">
        <is>
          <t>Mobile Device</t>
        </is>
      </c>
      <c r="D75" s="7" t="inlineStr">
        <is>
          <t>Samsung Galaxy S24</t>
        </is>
      </c>
      <c r="E75" s="7" t="inlineStr">
        <is>
          <t>E0084</t>
        </is>
      </c>
      <c r="F75" s="7" t="inlineStr">
        <is>
          <t>Denver - Closed</t>
        </is>
      </c>
      <c r="G75" s="7" t="inlineStr"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After HR and transfer review, MD-00071 is Return Overdue in Remote - Former Employee. HR agrees Mira Adelman (E0084) is still Separated. Inbound stamp on TR-00071 is 2026-07-12, approval APR-00071. Cost path: PO-2025-0012 into FA-000071. Also: carrier label 1ZMD00000071 is not proof of receipt. Note - offboarding ticket OFF-00071 referenced. return still label-only per shipment file.</t>
        </is>
      </c>
      <c r="L75" s="7" t="inlineStr">
        <is>
          <t>2026-06-25</t>
        </is>
      </c>
      <c r="M75" s="7" t="n">
        <v>995</v>
      </c>
      <c r="N75" s="7">
        <f>IFERROR(XLOOKUP(A75,'Source Ledger'!$B$5:$B$133,'Source Ledger'!$G$5:$G$133),"")</f>
        <v>787.96</v>
      </c>
      <c r="O75" s="7" t="str">
        <f>IFERROR(XLOOKUP(A75,'Source Ledger'!$B$5:$B$133,'Source Ledger'!$A$5:$A$133),"")</f>
        <v>FA-000071</v>
      </c>
      <c r="P75" s="7" t="inlineStr">
        <is>
          <t>No</t>
        </is>
      </c>
      <c r="Q75" s="7" t="inlineStr">
        <is>
          <t>Low</t>
        </is>
      </c>
      <c r="R75" s="7" t="inlineStr">
        <is>
          <t>EX-0070, EX-0071</t>
        </is>
      </c>
      <c r="S75" s="7" t="inlineStr">
        <is>
          <t>Yes</t>
        </is>
      </c>
      <c r="T75">
        <f>IFERROR(XLOOKUP(A75,'Source Ledger'!$B$5:$B$133,'Source Ledger'!$E$5:$E$133),"")</f>
        <v>995</v>
      </c>
      <c r="U75" t="str">
        <f>IFERROR(XLOOKUP(A75,'Source Ledger'!$B$5:$B$133,'Source Ledger'!$H$5:$H$133),"")</f>
        <v>Active</v>
      </c>
      <c r="V75">
        <f>IFERROR(XLOOKUP(A75,'Source Ledger'!$B$5:$B$133,'Source Ledger'!$G$5:$G$133),"")</f>
        <v>787.96</v>
      </c>
      <c r="W75">
        <f>IF(OR(T75="",M75=""),"",T75-M75)</f>
        <v>0</v>
      </c>
      <c r="X75" t="str">
        <f>IF(N75="","No","Yes")</f>
        <v>Yes</v>
      </c>
    </row>
    <row r="76">
      <c r="A76" s="7" t="inlineStr">
        <is>
          <t>MD-00072</t>
        </is>
      </c>
      <c r="B76" s="7" t="inlineStr">
        <is>
          <t>MD-NE-050072</t>
        </is>
      </c>
      <c r="C76" s="7" t="inlineStr">
        <is>
          <t>Network Asset</t>
        </is>
      </c>
      <c r="D76" s="7" t="inlineStr">
        <is>
          <t>Cisco C9300</t>
        </is>
      </c>
      <c r="E76" s="7" t="inlineStr">
        <is>
          <t>E0085</t>
        </is>
      </c>
      <c r="F76" s="7" t="inlineStr">
        <is>
          <t>Chicago - Closed</t>
        </is>
      </c>
      <c r="G76" s="7" t="inlineStr"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MD-00072 reflects Return Overdue at Remote - Former Employee (Cisco C9300, $6290). HR agrees Quincy Rhodes (E0085) is still Separated. equipment_transfer_log TR-00072, approval APR-00072; received 01/18/2026. Ledger FA-000072 backs PO-2025-0012 for MD-00072. Also: carrier label 1ZMD00000072 is not proof of receipt. Note - offboarding ticket OFF-00072 referenced. return still label-only per shipment file.</t>
        </is>
      </c>
      <c r="L76" s="7" t="inlineStr">
        <is>
          <t>2026-06-25</t>
        </is>
      </c>
      <c r="M76" s="7" t="n">
        <v>6290</v>
      </c>
      <c r="N76" s="7">
        <f>IFERROR(XLOOKUP(A76,'Source Ledger'!$B$5:$B$133,'Source Ledger'!$G$5:$G$133),"")</f>
        <v>500.27</v>
      </c>
      <c r="O76" s="7" t="str">
        <f>IFERROR(XLOOKUP(A76,'Source Ledger'!$B$5:$B$133,'Source Ledger'!$A$5:$A$133),"")</f>
        <v>FA-000072</v>
      </c>
      <c r="P76" s="7" t="inlineStr">
        <is>
          <t>Yes</t>
        </is>
      </c>
      <c r="Q76" s="7" t="inlineStr">
        <is>
          <t>Low</t>
        </is>
      </c>
      <c r="R76" s="7" t="inlineStr">
        <is>
          <t>EX-0072, EX-0073</t>
        </is>
      </c>
      <c r="S76" s="7" t="inlineStr">
        <is>
          <t>Yes</t>
        </is>
      </c>
      <c r="T76">
        <f>IFERROR(XLOOKUP(A76,'Source Ledger'!$B$5:$B$133,'Source Ledger'!$E$5:$E$133),"")</f>
        <v>6290</v>
      </c>
      <c r="U76" t="str">
        <f>IFERROR(XLOOKUP(A76,'Source Ledger'!$B$5:$B$133,'Source Ledger'!$H$5:$H$133),"")</f>
        <v>Active</v>
      </c>
      <c r="V76">
        <f>IFERROR(XLOOKUP(A76,'Source Ledger'!$B$5:$B$133,'Source Ledger'!$G$5:$G$133),"")</f>
        <v>500.27</v>
      </c>
      <c r="W76">
        <f>IF(OR(T76="",M76=""),"",T76-M76)</f>
        <v>0</v>
      </c>
      <c r="X76" t="str">
        <f>IF(N76="","No","Yes")</f>
        <v>Yes</v>
      </c>
    </row>
    <row r="77">
      <c r="A77" s="7" t="inlineStr">
        <is>
          <t>MD-00073</t>
        </is>
      </c>
      <c r="B77" s="7" t="inlineStr">
        <is>
          <t>MD-LA-050073</t>
        </is>
      </c>
      <c r="C77" s="7" t="inlineStr">
        <is>
          <t>Laptop</t>
        </is>
      </c>
      <c r="D77" s="7" t="inlineStr">
        <is>
          <t>Lenovo ThinkPad T14</t>
        </is>
      </c>
      <c r="E77" s="7" t="inlineStr">
        <is>
          <t>E0086</t>
        </is>
      </c>
      <c r="F77" s="7" t="inlineStr">
        <is>
          <t>Denver - Closed</t>
        </is>
      </c>
      <c r="G77" s="7" t="inlineStr"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Did not move MD-00073 off Return Overdue at Remote - Former Employee without a transaction. HR agrees Sloane Richter (E0086) is still Separated. TR-00073 ties to MD-00073; dock date Jan 24, 2026, approval APR-00073. Cost path: PO-2022-0013 into FA-000073. Also: carrier label 1ZMD00000073 is not proof of receipt. Note - offboarding ticket OFF-00073 referenced. return still label-only per shipment file.</t>
        </is>
      </c>
      <c r="L77" s="7" t="inlineStr">
        <is>
          <t>2026-06-25</t>
        </is>
      </c>
      <c r="M77" s="7" t="n">
        <v>1985</v>
      </c>
      <c r="N77" s="7">
        <f>IFERROR(XLOOKUP(A77,'Source Ledger'!$B$5:$B$133,'Source Ledger'!$G$5:$G$133),"")</f>
        <v>0</v>
      </c>
      <c r="O77" s="7" t="str">
        <f>IFERROR(XLOOKUP(A77,'Source Ledger'!$B$5:$B$133,'Source Ledger'!$A$5:$A$133),"")</f>
        <v>FA-000073</v>
      </c>
      <c r="P77" s="7" t="inlineStr">
        <is>
          <t>No</t>
        </is>
      </c>
      <c r="Q77" s="7" t="inlineStr">
        <is>
          <t>Low</t>
        </is>
      </c>
      <c r="R77" s="7" t="inlineStr">
        <is>
          <t>EX-0074, EX-0075</t>
        </is>
      </c>
      <c r="S77" s="7" t="inlineStr">
        <is>
          <t>Yes</t>
        </is>
      </c>
      <c r="T77">
        <f>IFERROR(XLOOKUP(A77,'Source Ledger'!$B$5:$B$133,'Source Ledger'!$E$5:$E$133),"")</f>
        <v>1985</v>
      </c>
      <c r="U77" t="str">
        <f>IFERROR(XLOOKUP(A77,'Source Ledger'!$B$5:$B$133,'Source Ledger'!$H$5:$H$133),"")</f>
        <v>Active</v>
      </c>
      <c r="V77">
        <f>IFERROR(XLOOKUP(A77,'Source Ledger'!$B$5:$B$133,'Source Ledger'!$G$5:$G$133),"")</f>
        <v>0</v>
      </c>
      <c r="W77">
        <f>IF(OR(T77="",M77=""),"",T77-M77)</f>
        <v>0</v>
      </c>
      <c r="X77" t="str">
        <f>IF(N77="","No","Yes")</f>
        <v>Yes</v>
      </c>
    </row>
    <row r="78">
      <c r="A78" s="7" t="inlineStr">
        <is>
          <t>MD-00074</t>
        </is>
      </c>
      <c r="B78" s="7" t="inlineStr">
        <is>
          <t>MD-MO-050074</t>
        </is>
      </c>
      <c r="C78" s="7" t="inlineStr">
        <is>
          <t>Monitor</t>
        </is>
      </c>
      <c r="D78" s="7" t="inlineStr">
        <is>
          <t>Dell U2723QE</t>
        </is>
      </c>
      <c r="E78" s="7" t="inlineStr">
        <is>
          <t>E0087</t>
        </is>
      </c>
      <c r="F78" s="7" t="inlineStr">
        <is>
          <t>Chicago - Closed</t>
        </is>
      </c>
      <c r="G78" s="7" t="inlineStr"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MD-00074 lists Return Overdue at Carrier Network / Unverified (Dell U2723QE, $700). HR agrees Nolan Vega (E0087) is still Separated. TR-00074 for MD-00074 - received 2026-02-24, approval APR-00074. Ledger FA-000074 backs PO-2022-0013 for MD-00074. Also: carrier label 1ZMD00000074 is not proof of receipt. Note - offboarding ticket OFF-00074 referenced. return still label-only per shipment file. shipment serial MISMATCH-0074 vs register MD-MO-050074.</t>
        </is>
      </c>
      <c r="L78" s="7" t="inlineStr">
        <is>
          <t>2026-06-25</t>
        </is>
      </c>
      <c r="M78" s="7" t="n">
        <v>700</v>
      </c>
      <c r="N78" s="7">
        <f>IFERROR(XLOOKUP(A78,'Source Ledger'!$B$5:$B$133,'Source Ledger'!$G$5:$G$133),"")</f>
        <v>359.25</v>
      </c>
      <c r="O78" s="7" t="str">
        <f>IFERROR(XLOOKUP(A78,'Source Ledger'!$B$5:$B$133,'Source Ledger'!$A$5:$A$133),"")</f>
        <v>FA-000074</v>
      </c>
      <c r="P78" s="7" t="inlineStr">
        <is>
          <t>No</t>
        </is>
      </c>
      <c r="Q78" s="7" t="inlineStr">
        <is>
          <t>Low</t>
        </is>
      </c>
      <c r="R78" s="7" t="inlineStr">
        <is>
          <t>EX-0076, EX-0077, EX-0078</t>
        </is>
      </c>
      <c r="S78" s="7" t="inlineStr">
        <is>
          <t>Yes</t>
        </is>
      </c>
      <c r="T78">
        <f>IFERROR(XLOOKUP(A78,'Source Ledger'!$B$5:$B$133,'Source Ledger'!$E$5:$E$133),"")</f>
        <v>700</v>
      </c>
      <c r="U78" t="str">
        <f>IFERROR(XLOOKUP(A78,'Source Ledger'!$B$5:$B$133,'Source Ledger'!$H$5:$H$133),"")</f>
        <v>Active</v>
      </c>
      <c r="V78">
        <f>IFERROR(XLOOKUP(A78,'Source Ledger'!$B$5:$B$133,'Source Ledger'!$G$5:$G$133),"")</f>
        <v>359.25</v>
      </c>
      <c r="W78">
        <f>IF(OR(T78="",M78=""),"",T78-M78)</f>
        <v>0</v>
      </c>
      <c r="X78" t="str">
        <f>IF(N78="","No","Yes")</f>
        <v>Yes</v>
      </c>
    </row>
    <row r="79">
      <c r="A79" s="7" t="inlineStr">
        <is>
          <t>MD-00075</t>
        </is>
      </c>
      <c r="B79" s="7" t="inlineStr">
        <is>
          <t>MD-MO-050075</t>
        </is>
      </c>
      <c r="C79" s="7" t="inlineStr">
        <is>
          <t>Mobile Device</t>
        </is>
      </c>
      <c r="D79" s="7" t="inlineStr">
        <is>
          <t>Samsung Galaxy S24</t>
        </is>
      </c>
      <c r="E79" s="7" t="inlineStr">
        <is>
          <t>E0088</t>
        </is>
      </c>
      <c r="F79" s="7" t="inlineStr">
        <is>
          <t>Denver - Closed</t>
        </is>
      </c>
      <c r="G79" s="7" t="inlineStr"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Remote - Former Employee: MD-00075 is Return Overdue; cost $1175. HR agrees Ivy Chenoweth (E0088) is still Separated. Movement TR-00075 posted 2026-03-31 and inbound 04/01/2026, approval APR-00075. PO-2022-0013 / FA-000075 support the cost basis. Also: carrier label 1ZMD00000075 is not proof of receipt. Note - offboarding ticket OFF-00075 referenced. return still label-only per shipment file.</t>
        </is>
      </c>
      <c r="L79" s="7" t="inlineStr">
        <is>
          <t>2026-06-25</t>
        </is>
      </c>
      <c r="M79" s="7" t="n">
        <v>1175</v>
      </c>
      <c r="N79" s="7">
        <f>IFERROR(XLOOKUP(A79,'Source Ledger'!$B$5:$B$133,'Source Ledger'!$G$5:$G$133),"")</f>
        <v>647.42</v>
      </c>
      <c r="O79" s="7" t="str">
        <f>IFERROR(XLOOKUP(A79,'Source Ledger'!$B$5:$B$133,'Source Ledger'!$A$5:$A$133),"")</f>
        <v>FA-000075</v>
      </c>
      <c r="P79" s="7" t="inlineStr">
        <is>
          <t>No</t>
        </is>
      </c>
      <c r="Q79" s="7" t="inlineStr">
        <is>
          <t>Low</t>
        </is>
      </c>
      <c r="R79" s="7" t="inlineStr">
        <is>
          <t>EX-0079, EX-0080</t>
        </is>
      </c>
      <c r="S79" s="7" t="inlineStr">
        <is>
          <t>Yes</t>
        </is>
      </c>
      <c r="T79">
        <f>IFERROR(XLOOKUP(A79,'Source Ledger'!$B$5:$B$133,'Source Ledger'!$E$5:$E$133),"")</f>
        <v>1175</v>
      </c>
      <c r="U79" t="str">
        <f>IFERROR(XLOOKUP(A79,'Source Ledger'!$B$5:$B$133,'Source Ledger'!$H$5:$H$133),"")</f>
        <v>Active</v>
      </c>
      <c r="V79">
        <f>IFERROR(XLOOKUP(A79,'Source Ledger'!$B$5:$B$133,'Source Ledger'!$G$5:$G$133),"")</f>
        <v>647.42</v>
      </c>
      <c r="W79">
        <f>IF(OR(T79="",M79=""),"",T79-M79)</f>
        <v>0</v>
      </c>
      <c r="X79" t="str">
        <f>IF(N79="","No","Yes")</f>
        <v>Yes</v>
      </c>
    </row>
    <row r="80">
      <c r="A80" s="7" t="inlineStr">
        <is>
          <t>MD-00076</t>
        </is>
      </c>
      <c r="B80" s="7" t="inlineStr">
        <is>
          <t>MD-NE-050076</t>
        </is>
      </c>
      <c r="C80" s="7" t="inlineStr">
        <is>
          <t>Network Asset</t>
        </is>
      </c>
      <c r="D80" s="7" t="inlineStr">
        <is>
          <t>Cisco C9300</t>
        </is>
      </c>
      <c r="E80" s="7" t="inlineStr">
        <is>
          <t>E0089</t>
        </is>
      </c>
      <c r="F80" s="7" t="inlineStr">
        <is>
          <t>Chicago - Closed</t>
        </is>
      </c>
      <c r="G80" s="7" t="inlineStr"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MD-00076 reads Return Overdue at Carrier Network / Unverified (Cisco C9300, $6470). HR agrees Percy Lambert (E0089) is still Separated. Inbound stamp on TR-00076 is May 03, 2026, approval APR-00076. Cost path: PO-2022-0013 into FA-000076. Also: carrier label 1ZMD00000076 is not proof of receipt. Note - offboarding ticket OFF-00076 referenced. return still label-only per shipment file. shipment serial MISMATCH-0076 vs register MD-NE-050076.</t>
        </is>
      </c>
      <c r="L80" s="7" t="inlineStr">
        <is>
          <t>2026-06-25</t>
        </is>
      </c>
      <c r="M80" s="7" t="n">
        <v>6470</v>
      </c>
      <c r="N80" s="7">
        <f>IFERROR(XLOOKUP(A80,'Source Ledger'!$B$5:$B$133,'Source Ledger'!$G$5:$G$133),"")</f>
        <v>953.89</v>
      </c>
      <c r="O80" s="7" t="str">
        <f>IFERROR(XLOOKUP(A80,'Source Ledger'!$B$5:$B$133,'Source Ledger'!$A$5:$A$133),"")</f>
        <v>FA-000076</v>
      </c>
      <c r="P80" s="7" t="inlineStr">
        <is>
          <t>Yes</t>
        </is>
      </c>
      <c r="Q80" s="7" t="inlineStr">
        <is>
          <t>Low</t>
        </is>
      </c>
      <c r="R80" s="7" t="inlineStr">
        <is>
          <t>EX-0081, EX-0082, EX-0083</t>
        </is>
      </c>
      <c r="S80" s="7" t="inlineStr">
        <is>
          <t>Yes</t>
        </is>
      </c>
      <c r="T80">
        <f>IFERROR(XLOOKUP(A80,'Source Ledger'!$B$5:$B$133,'Source Ledger'!$E$5:$E$133),"")</f>
        <v>6470</v>
      </c>
      <c r="U80" t="str">
        <f>IFERROR(XLOOKUP(A80,'Source Ledger'!$B$5:$B$133,'Source Ledger'!$H$5:$H$133),"")</f>
        <v>Active</v>
      </c>
      <c r="V80">
        <f>IFERROR(XLOOKUP(A80,'Source Ledger'!$B$5:$B$133,'Source Ledger'!$G$5:$G$133),"")</f>
        <v>953.89</v>
      </c>
      <c r="W80">
        <f>IF(OR(T80="",M80=""),"",T80-M80)</f>
        <v>0</v>
      </c>
      <c r="X80" t="str">
        <f>IF(N80="","No","Yes")</f>
        <v>Yes</v>
      </c>
    </row>
    <row r="81">
      <c r="A81" s="7" t="inlineStr">
        <is>
          <t>MD-00077</t>
        </is>
      </c>
      <c r="B81" s="7" t="inlineStr">
        <is>
          <t>MD-LA-050077</t>
        </is>
      </c>
      <c r="C81" s="7" t="inlineStr">
        <is>
          <t>Laptop</t>
        </is>
      </c>
      <c r="D81" s="7" t="inlineStr">
        <is>
          <t>MacBook Pro 14</t>
        </is>
      </c>
      <c r="E81" s="7" t="inlineStr">
        <is>
          <t>E0090</t>
        </is>
      </c>
      <c r="F81" s="7" t="inlineStr">
        <is>
          <t>Denver - Closed</t>
        </is>
      </c>
      <c r="G81" s="7" t="inlineStr"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The cited records support Return Overdue in Remote - Former Employee for MD-00077. Employment file: E0090 remains Separated. equipment_transfer_log TR-00077, approval APR-00077; received 2026-06-06. Ledger FA-000077 backs PO-2022-0013 for MD-00077. Also: carrier label 1ZMD00000077 is not proof of receipt. Note - offboarding ticket OFF-00077 referenced. return still label-only per shipment file.</t>
        </is>
      </c>
      <c r="L81" s="7" t="inlineStr">
        <is>
          <t>2026-06-25</t>
        </is>
      </c>
      <c r="M81" s="7" t="n">
        <v>1850</v>
      </c>
      <c r="N81" s="7">
        <f>IFERROR(XLOOKUP(A81,'Source Ledger'!$B$5:$B$133,'Source Ledger'!$G$5:$G$133),"")</f>
        <v>0</v>
      </c>
      <c r="O81" s="7" t="str">
        <f>IFERROR(XLOOKUP(A81,'Source Ledger'!$B$5:$B$133,'Source Ledger'!$A$5:$A$133),"")</f>
        <v>FA-000077</v>
      </c>
      <c r="P81" s="7" t="inlineStr">
        <is>
          <t>No</t>
        </is>
      </c>
      <c r="Q81" s="7" t="inlineStr">
        <is>
          <t>Low</t>
        </is>
      </c>
      <c r="R81" s="7" t="inlineStr">
        <is>
          <t>EX-0084, EX-0085</t>
        </is>
      </c>
      <c r="S81" s="7" t="inlineStr">
        <is>
          <t>Yes</t>
        </is>
      </c>
      <c r="T81">
        <f>IFERROR(XLOOKUP(A81,'Source Ledger'!$B$5:$B$133,'Source Ledger'!$E$5:$E$133),"")</f>
        <v>1850</v>
      </c>
      <c r="U81" t="str">
        <f>IFERROR(XLOOKUP(A81,'Source Ledger'!$B$5:$B$133,'Source Ledger'!$H$5:$H$133),"")</f>
        <v>Active</v>
      </c>
      <c r="V81">
        <f>IFERROR(XLOOKUP(A81,'Source Ledger'!$B$5:$B$133,'Source Ledger'!$G$5:$G$133),"")</f>
        <v>0</v>
      </c>
      <c r="W81">
        <f>IF(OR(T81="",M81=""),"",T81-M81)</f>
        <v>0</v>
      </c>
      <c r="X81" t="str">
        <f>IF(N81="","No","Yes")</f>
        <v>Yes</v>
      </c>
    </row>
    <row r="82">
      <c r="A82" s="7" t="inlineStr">
        <is>
          <t>MD-00078</t>
        </is>
      </c>
      <c r="B82" s="7" t="inlineStr">
        <is>
          <t>MD-MO-050078</t>
        </is>
      </c>
      <c r="C82" s="7" t="inlineStr">
        <is>
          <t>Monitor</t>
        </is>
      </c>
      <c r="D82" s="7" t="inlineStr">
        <is>
          <t>Dell U2723QE</t>
        </is>
      </c>
      <c r="E82" s="7" t="inlineStr">
        <is>
          <t>E0091</t>
        </is>
      </c>
      <c r="F82" s="7" t="inlineStr">
        <is>
          <t>Chicago - Closed</t>
        </is>
      </c>
      <c r="G82" s="7" t="inlineStr"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Remote - Former Employee holds MD-00078 (Dell U2723QE) as Return Overdue. Employment file: E0091 remains Separated. TR-00078 ties to MD-00078; dock date 01/10/2026, approval APR-00078. PO-2022-0013 / FA-000078 support the cost basis. Also: carrier label 1ZMD00000078 is not proof of receipt. Note - offboarding ticket OFF-00078 referenced. return still label-only per shipment file.</t>
        </is>
      </c>
      <c r="L82" s="7" t="inlineStr">
        <is>
          <t>2026-06-25</t>
        </is>
      </c>
      <c r="M82" s="7" t="n">
        <v>565</v>
      </c>
      <c r="N82" s="7">
        <f>IFERROR(XLOOKUP(A82,'Source Ledger'!$B$5:$B$133,'Source Ledger'!$G$5:$G$133),"")</f>
        <v>328.95</v>
      </c>
      <c r="O82" s="7" t="str">
        <f>IFERROR(XLOOKUP(A82,'Source Ledger'!$B$5:$B$133,'Source Ledger'!$A$5:$A$133),"")</f>
        <v>FA-000078</v>
      </c>
      <c r="P82" s="7" t="inlineStr">
        <is>
          <t>No</t>
        </is>
      </c>
      <c r="Q82" s="7" t="inlineStr">
        <is>
          <t>Low</t>
        </is>
      </c>
      <c r="R82" s="7" t="inlineStr">
        <is>
          <t>EX-0086, EX-0087</t>
        </is>
      </c>
      <c r="S82" s="7" t="inlineStr">
        <is>
          <t>Yes</t>
        </is>
      </c>
      <c r="T82">
        <f>IFERROR(XLOOKUP(A82,'Source Ledger'!$B$5:$B$133,'Source Ledger'!$E$5:$E$133),"")</f>
        <v>565</v>
      </c>
      <c r="U82" t="str">
        <f>IFERROR(XLOOKUP(A82,'Source Ledger'!$B$5:$B$133,'Source Ledger'!$H$5:$H$133),"")</f>
        <v>Active</v>
      </c>
      <c r="V82">
        <f>IFERROR(XLOOKUP(A82,'Source Ledger'!$B$5:$B$133,'Source Ledger'!$G$5:$G$133),"")</f>
        <v>328.95</v>
      </c>
      <c r="W82">
        <f>IF(OR(T82="",M82=""),"",T82-M82)</f>
        <v>0</v>
      </c>
      <c r="X82" t="str">
        <f>IF(N82="","No","Yes")</f>
        <v>Yes</v>
      </c>
    </row>
    <row r="83">
      <c r="A83" s="7" t="inlineStr">
        <is>
          <t>MD-00079</t>
        </is>
      </c>
      <c r="B83" s="7" t="inlineStr">
        <is>
          <t>MD-MO-050079</t>
        </is>
      </c>
      <c r="C83" s="7" t="inlineStr">
        <is>
          <t>Mobile Device</t>
        </is>
      </c>
      <c r="D83" s="7" t="inlineStr">
        <is>
          <t>Samsung Galaxy S24</t>
        </is>
      </c>
      <c r="E83" s="7" t="inlineStr">
        <is>
          <t>E0092</t>
        </is>
      </c>
      <c r="F83" s="7" t="inlineStr">
        <is>
          <t>Denver - Closed</t>
        </is>
      </c>
      <c r="G83" s="7" t="inlineStr"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MD-00079 (Samsung Galaxy S24) closed Return Overdue / Remote - Former Employee on $1040. Employment file: E0092 remains Separated. TR-00079 for MD-00079 - received Feb 13, 2026, approval APR-00079. Cost path: PO-2023-0014 into FA-000079. Also: carrier label 1ZMD00000079 is not proof of receipt. Note - offboarding ticket OFF-00079 referenced. return still label-only per shipment file.</t>
        </is>
      </c>
      <c r="L83" s="7" t="inlineStr">
        <is>
          <t>2026-06-25</t>
        </is>
      </c>
      <c r="M83" s="7" t="n">
        <v>1040</v>
      </c>
      <c r="N83" s="7">
        <f>IFERROR(XLOOKUP(A83,'Source Ledger'!$B$5:$B$133,'Source Ledger'!$G$5:$G$133),"")</f>
        <v>692.62</v>
      </c>
      <c r="O83" s="7" t="str">
        <f>IFERROR(XLOOKUP(A83,'Source Ledger'!$B$5:$B$133,'Source Ledger'!$A$5:$A$133),"")</f>
        <v>FA-000079</v>
      </c>
      <c r="P83" s="7" t="inlineStr">
        <is>
          <t>No</t>
        </is>
      </c>
      <c r="Q83" s="7" t="inlineStr">
        <is>
          <t>Low</t>
        </is>
      </c>
      <c r="R83" s="7" t="inlineStr">
        <is>
          <t>EX-0088, EX-0089</t>
        </is>
      </c>
      <c r="S83" s="7" t="inlineStr">
        <is>
          <t>Yes</t>
        </is>
      </c>
      <c r="T83">
        <f>IFERROR(XLOOKUP(A83,'Source Ledger'!$B$5:$B$133,'Source Ledger'!$E$5:$E$133),"")</f>
        <v>1040</v>
      </c>
      <c r="U83" t="str">
        <f>IFERROR(XLOOKUP(A83,'Source Ledger'!$B$5:$B$133,'Source Ledger'!$H$5:$H$133),"")</f>
        <v>Active</v>
      </c>
      <c r="V83">
        <f>IFERROR(XLOOKUP(A83,'Source Ledger'!$B$5:$B$133,'Source Ledger'!$G$5:$G$133),"")</f>
        <v>692.62</v>
      </c>
      <c r="W83">
        <f>IF(OR(T83="",M83=""),"",T83-M83)</f>
        <v>0</v>
      </c>
      <c r="X83" t="str">
        <f>IF(N83="","No","Yes")</f>
        <v>Yes</v>
      </c>
    </row>
    <row r="84">
      <c r="A84" s="7" t="inlineStr">
        <is>
          <t>MD-00080</t>
        </is>
      </c>
      <c r="B84" s="7" t="inlineStr">
        <is>
          <t>MD-NE-050080</t>
        </is>
      </c>
      <c r="C84" s="7" t="inlineStr">
        <is>
          <t>Network Asset</t>
        </is>
      </c>
      <c r="D84" s="7" t="inlineStr">
        <is>
          <t>Cisco C9300</t>
        </is>
      </c>
      <c r="E84" s="7" t="inlineStr">
        <is>
          <t>E0093</t>
        </is>
      </c>
      <c r="F84" s="7" t="inlineStr">
        <is>
          <t>Chicago - Closed</t>
        </is>
      </c>
      <c r="G84" s="7" t="inlineStr"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Atlanta Warehouse holds MD-00080 (Cisco C9300) as Available. TR-00080 ties to MD-00080; dock date 2026-03-17, approval APR-00080. PO-2023-0014 / FA-000080 support the cost basis. Also: carrier label 1ZMD00000080 is not proof of receipt. Note - offboarding ticket OFF-00080 referenced.</t>
        </is>
      </c>
      <c r="L84" s="7" t="inlineStr">
        <is>
          <t>2026-07-07</t>
        </is>
      </c>
      <c r="M84" s="7" t="n">
        <v>6335</v>
      </c>
      <c r="N84" s="7">
        <f>IFERROR(XLOOKUP(A84,'Source Ledger'!$B$5:$B$133,'Source Ledger'!$G$5:$G$133),"")</f>
        <v>1374.53</v>
      </c>
      <c r="O84" s="7" t="str">
        <f>IFERROR(XLOOKUP(A84,'Source Ledger'!$B$5:$B$133,'Source Ledger'!$A$5:$A$133),"")</f>
        <v>FA-000080</v>
      </c>
      <c r="P84" s="7" t="inlineStr">
        <is>
          <t>Yes</t>
        </is>
      </c>
      <c r="Q84" s="9" t="inlineStr">
        <is>
          <t>High</t>
        </is>
      </c>
      <c r="R84" s="7" t="inlineStr">
        <is>
          <t>EX-0090</t>
        </is>
      </c>
      <c r="S84" s="7" t="inlineStr">
        <is>
          <t>No</t>
        </is>
      </c>
      <c r="T84">
        <f>IFERROR(XLOOKUP(A84,'Source Ledger'!$B$5:$B$133,'Source Ledger'!$E$5:$E$133),"")</f>
        <v>6335</v>
      </c>
      <c r="U84" t="str">
        <f>IFERROR(XLOOKUP(A84,'Source Ledger'!$B$5:$B$133,'Source Ledger'!$H$5:$H$133),"")</f>
        <v>Active</v>
      </c>
      <c r="V84">
        <f>IFERROR(XLOOKUP(A84,'Source Ledger'!$B$5:$B$133,'Source Ledger'!$G$5:$G$133),"")</f>
        <v>1374.53</v>
      </c>
      <c r="W84">
        <f>IF(OR(T84="",M84=""),"",T84-M84)</f>
        <v>0</v>
      </c>
      <c r="X84" t="str">
        <f>IF(N84="","No","Yes")</f>
        <v>Yes</v>
      </c>
    </row>
    <row r="85">
      <c r="A85" s="7" t="inlineStr">
        <is>
          <t>MD-00081</t>
        </is>
      </c>
      <c r="B85" s="7" t="inlineStr">
        <is>
          <t>MD-LA-050081</t>
        </is>
      </c>
      <c r="C85" s="7" t="inlineStr">
        <is>
          <t>Laptop</t>
        </is>
      </c>
      <c r="D85" s="7" t="inlineStr">
        <is>
          <t>Dell Latitude 7440</t>
        </is>
      </c>
      <c r="E85" s="7" t="inlineStr">
        <is>
          <t>E0094</t>
        </is>
      </c>
      <c r="F85" s="7" t="inlineStr">
        <is>
          <t>Denver - Closed</t>
        </is>
      </c>
      <c r="G85" s="7" t="inlineStr"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Dell Latitude 7440 on MD-00081 is Available in floor Atlanta Warehouse; basis $2030. TR-00081 for MD-00081 - received 04/20/2026, approval APR-00081. Cost path: PO-2023-0014 into FA-000081. Also: carrier label 1ZMD00000081 is not proof of receipt. Note - offboarding ticket OFF-00081 referenced.</t>
        </is>
      </c>
      <c r="L85" s="7" t="inlineStr">
        <is>
          <t>2026-07-07</t>
        </is>
      </c>
      <c r="M85" s="7" t="n">
        <v>2030</v>
      </c>
      <c r="N85" s="7">
        <f>IFERROR(XLOOKUP(A85,'Source Ledger'!$B$5:$B$133,'Source Ledger'!$G$5:$G$133),"")</f>
        <v>114.4</v>
      </c>
      <c r="O85" s="7" t="str">
        <f>IFERROR(XLOOKUP(A85,'Source Ledger'!$B$5:$B$133,'Source Ledger'!$A$5:$A$133),"")</f>
        <v>FA-000081</v>
      </c>
      <c r="P85" s="7" t="inlineStr">
        <is>
          <t>No</t>
        </is>
      </c>
      <c r="Q85" s="9" t="inlineStr">
        <is>
          <t>High</t>
        </is>
      </c>
      <c r="R85" s="7" t="inlineStr">
        <is>
          <t>EX-0091</t>
        </is>
      </c>
      <c r="S85" s="7" t="inlineStr">
        <is>
          <t>No</t>
        </is>
      </c>
      <c r="T85">
        <f>IFERROR(XLOOKUP(A85,'Source Ledger'!$B$5:$B$133,'Source Ledger'!$E$5:$E$133),"")</f>
        <v>2030</v>
      </c>
      <c r="U85" t="str">
        <f>IFERROR(XLOOKUP(A85,'Source Ledger'!$B$5:$B$133,'Source Ledger'!$H$5:$H$133),"")</f>
        <v>Active</v>
      </c>
      <c r="V85">
        <f>IFERROR(XLOOKUP(A85,'Source Ledger'!$B$5:$B$133,'Source Ledger'!$G$5:$G$133),"")</f>
        <v>114.4</v>
      </c>
      <c r="W85">
        <f>IF(OR(T85="",M85=""),"",T85-M85)</f>
        <v>0</v>
      </c>
      <c r="X85" t="str">
        <f>IF(N85="","No","Yes")</f>
        <v>Yes</v>
      </c>
    </row>
    <row r="86">
      <c r="A86" s="7" t="inlineStr">
        <is>
          <t>MD-00082</t>
        </is>
      </c>
      <c r="B86" s="7" t="inlineStr">
        <is>
          <t>MD-MO-050082</t>
        </is>
      </c>
      <c r="C86" s="7" t="inlineStr">
        <is>
          <t>Monitor</t>
        </is>
      </c>
      <c r="D86" s="7" t="inlineStr">
        <is>
          <t>Dell U2723QE</t>
        </is>
      </c>
      <c r="E86" s="7" t="inlineStr">
        <is>
          <t>E0095</t>
        </is>
      </c>
      <c r="F86" s="7" t="inlineStr">
        <is>
          <t>Chicago - Closed</t>
        </is>
      </c>
      <c r="G86" s="7" t="inlineStr"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Field review: MD-00082 In Transit - Exception @ Carrier Network / Unverified. HR agrees Emmett Boyle (E0095) is still Separated. Movement TR-00082 posted 05/22/2026 and inbound May 24, 2026, approval APR-00082. Ledger FA-000082 backs PO-2023-0014 for MD-00082. Also: carrier label 1ZMD00000082 is not proof of receipt. Note - offboarding ticket OFF-00082 referenced. shipment serial MISMATCH-0082 vs register MD-MO-050082. receiving_exception_scan_1ZMD00000082.png treated as investigative lead only.</t>
        </is>
      </c>
      <c r="L86" s="7" t="inlineStr">
        <is>
          <t>2026-07-02</t>
        </is>
      </c>
      <c r="M86" s="7" t="n">
        <v>745</v>
      </c>
      <c r="N86" s="7">
        <f>IFERROR(XLOOKUP(A86,'Source Ledger'!$B$5:$B$133,'Source Ledger'!$G$5:$G$133),"")</f>
        <v>485.55</v>
      </c>
      <c r="O86" s="7" t="str">
        <f>IFERROR(XLOOKUP(A86,'Source Ledger'!$B$5:$B$133,'Source Ledger'!$A$5:$A$133),"")</f>
        <v>FA-000082</v>
      </c>
      <c r="P86" s="7" t="inlineStr">
        <is>
          <t>No</t>
        </is>
      </c>
      <c r="Q86" s="7" t="inlineStr">
        <is>
          <t>Low</t>
        </is>
      </c>
      <c r="R86" s="7" t="inlineStr">
        <is>
          <t>EX-0092, EX-0093</t>
        </is>
      </c>
      <c r="S86" s="7" t="inlineStr">
        <is>
          <t>Yes</t>
        </is>
      </c>
      <c r="T86">
        <f>IFERROR(XLOOKUP(A86,'Source Ledger'!$B$5:$B$133,'Source Ledger'!$E$5:$E$133),"")</f>
        <v>745</v>
      </c>
      <c r="U86" t="str">
        <f>IFERROR(XLOOKUP(A86,'Source Ledger'!$B$5:$B$133,'Source Ledger'!$H$5:$H$133),"")</f>
        <v>Active</v>
      </c>
      <c r="V86">
        <f>IFERROR(XLOOKUP(A86,'Source Ledger'!$B$5:$B$133,'Source Ledger'!$G$5:$G$133),"")</f>
        <v>485.55</v>
      </c>
      <c r="W86">
        <f>IF(OR(T86="",M86=""),"",T86-M86)</f>
        <v>0</v>
      </c>
      <c r="X86" t="str">
        <f>IF(N86="","No","Yes")</f>
        <v>Yes</v>
      </c>
    </row>
    <row r="87">
      <c r="A87" s="7" t="inlineStr">
        <is>
          <t>MD-00083</t>
        </is>
      </c>
      <c r="B87" s="7" t="inlineStr">
        <is>
          <t>MD-MO-050083</t>
        </is>
      </c>
      <c r="C87" s="7" t="inlineStr">
        <is>
          <t>Mobile Device</t>
        </is>
      </c>
      <c r="D87" s="7" t="inlineStr">
        <is>
          <t>Samsung Galaxy S24</t>
        </is>
      </c>
      <c r="E87" s="7" t="inlineStr">
        <is>
          <t>E0071</t>
        </is>
      </c>
      <c r="F87" s="7" t="inlineStr">
        <is>
          <t>Denver - Closed</t>
        </is>
      </c>
      <c r="G87" s="7" t="inlineStr"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MD-00083 remains Available at Atlanta Warehouse (Samsung Galaxy S24, $1220). Log TR-00083: received 2026-06-27, approval APR-00083. PO-2023-0014 / FA-000083 support the cost basis. Also: carrier label 1ZMD00000083 is not proof of receipt. Note - offboarding ticket OFF-00083 referenced.</t>
        </is>
      </c>
      <c r="L87" s="7" t="inlineStr">
        <is>
          <t>2026-07-07</t>
        </is>
      </c>
      <c r="M87" s="7" t="n">
        <v>1220</v>
      </c>
      <c r="N87" s="7">
        <f>IFERROR(XLOOKUP(A87,'Source Ledger'!$B$5:$B$133,'Source Ledger'!$G$5:$G$133),"")</f>
        <v>952.79</v>
      </c>
      <c r="O87" s="7" t="str">
        <f>IFERROR(XLOOKUP(A87,'Source Ledger'!$B$5:$B$133,'Source Ledger'!$A$5:$A$133),"")</f>
        <v>FA-000083</v>
      </c>
      <c r="P87" s="7" t="inlineStr">
        <is>
          <t>No</t>
        </is>
      </c>
      <c r="Q87" s="9" t="inlineStr">
        <is>
          <t>High</t>
        </is>
      </c>
      <c r="R87" s="7" t="inlineStr">
        <is>
          <t>EX-0094</t>
        </is>
      </c>
      <c r="S87" s="7" t="inlineStr">
        <is>
          <t>No</t>
        </is>
      </c>
      <c r="T87">
        <f>IFERROR(XLOOKUP(A87,'Source Ledger'!$B$5:$B$133,'Source Ledger'!$E$5:$E$133),"")</f>
        <v>1220</v>
      </c>
      <c r="U87" t="str">
        <f>IFERROR(XLOOKUP(A87,'Source Ledger'!$B$5:$B$133,'Source Ledger'!$H$5:$H$133),"")</f>
        <v>Active</v>
      </c>
      <c r="V87">
        <f>IFERROR(XLOOKUP(A87,'Source Ledger'!$B$5:$B$133,'Source Ledger'!$G$5:$G$133),"")</f>
        <v>952.79</v>
      </c>
      <c r="W87">
        <f>IF(OR(T87="",M87=""),"",T87-M87)</f>
        <v>0</v>
      </c>
      <c r="X87" t="str">
        <f>IF(N87="","No","Yes")</f>
        <v>Yes</v>
      </c>
    </row>
    <row r="88">
      <c r="A88" s="7" t="inlineStr">
        <is>
          <t>MD-00084</t>
        </is>
      </c>
      <c r="B88" s="7" t="inlineStr">
        <is>
          <t>MD-NE-050084</t>
        </is>
      </c>
      <c r="C88" s="7" t="inlineStr">
        <is>
          <t>Network Asset</t>
        </is>
      </c>
      <c r="D88" s="7" t="inlineStr">
        <is>
          <t>Cisco C9300</t>
        </is>
      </c>
      <c r="E88" s="7" t="inlineStr">
        <is>
          <t>E0072</t>
        </is>
      </c>
      <c r="F88" s="7" t="inlineStr">
        <is>
          <t>Chicago - Closed</t>
        </is>
      </c>
      <c r="G88" s="7" t="inlineStr"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Carrier Network / Unverified: MD-00084 is In Transit - Exception; cost $6200. Anita Bose has Separated status in the people extract. Assignment TR-00084; receive column 02/05/2026, approval APR-00084. Cost path: PO-2023-0014 into FA-000084. Also: carrier label 1ZMD00000084 is not proof of receipt. Note - offboarding ticket OFF-00084 referenced. shipment serial MISMATCH-0084 vs register MD-NE-050084.</t>
        </is>
      </c>
      <c r="L88" s="7" t="inlineStr">
        <is>
          <t>2026-07-02</t>
        </is>
      </c>
      <c r="M88" s="7" t="n">
        <v>6200</v>
      </c>
      <c r="N88" s="7">
        <f>IFERROR(XLOOKUP(A88,'Source Ledger'!$B$5:$B$133,'Source Ledger'!$G$5:$G$133),"")</f>
        <v>533.85</v>
      </c>
      <c r="O88" s="7" t="str">
        <f>IFERROR(XLOOKUP(A88,'Source Ledger'!$B$5:$B$133,'Source Ledger'!$A$5:$A$133),"")</f>
        <v>FA-000084</v>
      </c>
      <c r="P88" s="7" t="inlineStr">
        <is>
          <t>Yes</t>
        </is>
      </c>
      <c r="Q88" s="7" t="inlineStr">
        <is>
          <t>Low</t>
        </is>
      </c>
      <c r="R88" s="7" t="inlineStr">
        <is>
          <t>EX-0095, EX-0096</t>
        </is>
      </c>
      <c r="S88" s="7" t="inlineStr">
        <is>
          <t>Yes</t>
        </is>
      </c>
      <c r="T88">
        <f>IFERROR(XLOOKUP(A88,'Source Ledger'!$B$5:$B$133,'Source Ledger'!$E$5:$E$133),"")</f>
        <v>6200</v>
      </c>
      <c r="U88" t="str">
        <f>IFERROR(XLOOKUP(A88,'Source Ledger'!$B$5:$B$133,'Source Ledger'!$H$5:$H$133),"")</f>
        <v>Active</v>
      </c>
      <c r="V88">
        <f>IFERROR(XLOOKUP(A88,'Source Ledger'!$B$5:$B$133,'Source Ledger'!$G$5:$G$133),"")</f>
        <v>533.85</v>
      </c>
      <c r="W88">
        <f>IF(OR(T88="",M88=""),"",T88-M88)</f>
        <v>0</v>
      </c>
      <c r="X88" t="str">
        <f>IF(N88="","No","Yes")</f>
        <v>Yes</v>
      </c>
    </row>
    <row r="89">
      <c r="A89" s="7" t="inlineStr">
        <is>
          <t>MD-00085</t>
        </is>
      </c>
      <c r="B89" s="7" t="inlineStr">
        <is>
          <t>MD-LA-050085</t>
        </is>
      </c>
      <c r="C89" s="7" t="inlineStr">
        <is>
          <t>Laptop</t>
        </is>
      </c>
      <c r="D89" s="7" t="inlineStr">
        <is>
          <t>Lenovo ThinkPad T14</t>
        </is>
      </c>
      <c r="E89" s="7" t="inlineStr">
        <is>
          <t>E0073</t>
        </is>
      </c>
      <c r="F89" s="7" t="inlineStr">
        <is>
          <t>Denver - Closed</t>
        </is>
      </c>
      <c r="G89" s="7" t="inlineStr"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MD-00085 still Available; Atlanta Warehouse is the verified site. Transfer TR-00085 shows receipt Feb 03, 2026, approval APR-00085. Ledger FA-000085 backs PO-2024-0015 for MD-00085. Also: carrier label 1ZMD00000085 is not proof of receipt. Note - offboarding ticket OFF-00085 referenced.</t>
        </is>
      </c>
      <c r="L89" s="7" t="inlineStr">
        <is>
          <t>2026-07-07</t>
        </is>
      </c>
      <c r="M89" s="7" t="n">
        <v>1895</v>
      </c>
      <c r="N89" s="7">
        <f>IFERROR(XLOOKUP(A89,'Source Ledger'!$B$5:$B$133,'Source Ledger'!$G$5:$G$133),"")</f>
        <v>0</v>
      </c>
      <c r="O89" s="7" t="str">
        <f>IFERROR(XLOOKUP(A89,'Source Ledger'!$B$5:$B$133,'Source Ledger'!$A$5:$A$133),"")</f>
        <v>FA-000085</v>
      </c>
      <c r="P89" s="7" t="inlineStr">
        <is>
          <t>No</t>
        </is>
      </c>
      <c r="Q89" s="9" t="inlineStr">
        <is>
          <t>High</t>
        </is>
      </c>
      <c r="R89" s="7" t="inlineStr">
        <is>
          <t>EX-0097, EX-0098</t>
        </is>
      </c>
      <c r="S89" s="7" t="inlineStr">
        <is>
          <t>No</t>
        </is>
      </c>
      <c r="T89">
        <f>IFERROR(XLOOKUP(A89,'Source Ledger'!$B$5:$B$133,'Source Ledger'!$E$5:$E$133),"")</f>
        <v>2090</v>
      </c>
      <c r="U89" t="str">
        <f>IFERROR(XLOOKUP(A89,'Source Ledger'!$B$5:$B$133,'Source Ledger'!$H$5:$H$133),"")</f>
        <v>Active</v>
      </c>
      <c r="V89">
        <f>IFERROR(XLOOKUP(A89,'Source Ledger'!$B$5:$B$133,'Source Ledger'!$G$5:$G$133),"")</f>
        <v>0</v>
      </c>
      <c r="W89">
        <f>IF(OR(T89="",M89=""),"",T89-M89)</f>
        <v>195</v>
      </c>
      <c r="X89" t="str">
        <f>IF(N89="","No","Yes")</f>
        <v>Yes</v>
      </c>
    </row>
    <row r="90">
      <c r="A90" s="7" t="inlineStr">
        <is>
          <t>MD-00086</t>
        </is>
      </c>
      <c r="B90" s="7" t="inlineStr">
        <is>
          <t>MD-MO-050086</t>
        </is>
      </c>
      <c r="C90" s="7" t="inlineStr">
        <is>
          <t>Monitor</t>
        </is>
      </c>
      <c r="D90" s="7" t="inlineStr">
        <is>
          <t>Dell U2723QE</t>
        </is>
      </c>
      <c r="E90" s="7" t="inlineStr">
        <is>
          <t>E0074</t>
        </is>
      </c>
      <c r="F90" s="7" t="inlineStr">
        <is>
          <t>Chicago - Closed</t>
        </is>
      </c>
      <c r="G90" s="7" t="inlineStr"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Dell U2723QE on MD-00086 is Available in Atlanta Warehouse office; basis $610. TR-00086 for MD-00086 - received 2026-03-08, approval APR-00086. PO-2024-0015 / FA-000086 support the cost basis. Also: carrier label 1ZMD00000086 is not proof of receipt. Note - offboarding ticket OFF-00086 referenced.</t>
        </is>
      </c>
      <c r="L90" s="7" t="inlineStr">
        <is>
          <t>2026-07-07</t>
        </is>
      </c>
      <c r="M90" s="7" t="n">
        <v>610</v>
      </c>
      <c r="N90" s="7">
        <f>IFERROR(XLOOKUP(A90,'Source Ledger'!$B$5:$B$133,'Source Ledger'!$G$5:$G$133),"")</f>
        <v>317.07</v>
      </c>
      <c r="O90" s="7" t="str">
        <f>IFERROR(XLOOKUP(A90,'Source Ledger'!$B$5:$B$133,'Source Ledger'!$A$5:$A$133),"")</f>
        <v>FA-000086</v>
      </c>
      <c r="P90" s="7" t="inlineStr">
        <is>
          <t>No</t>
        </is>
      </c>
      <c r="Q90" s="9" t="inlineStr">
        <is>
          <t>High</t>
        </is>
      </c>
      <c r="R90" s="7" t="inlineStr">
        <is>
          <t>EX-0099</t>
        </is>
      </c>
      <c r="S90" s="7" t="inlineStr">
        <is>
          <t>No</t>
        </is>
      </c>
      <c r="T90">
        <f>IFERROR(XLOOKUP(A90,'Source Ledger'!$B$5:$B$133,'Source Ledger'!$E$5:$E$133),"")</f>
        <v>610</v>
      </c>
      <c r="U90" t="str">
        <f>IFERROR(XLOOKUP(A90,'Source Ledger'!$B$5:$B$133,'Source Ledger'!$H$5:$H$133),"")</f>
        <v>Active</v>
      </c>
      <c r="V90">
        <f>IFERROR(XLOOKUP(A90,'Source Ledger'!$B$5:$B$133,'Source Ledger'!$G$5:$G$133),"")</f>
        <v>317.07</v>
      </c>
      <c r="W90">
        <f>IF(OR(T90="",M90=""),"",T90-M90)</f>
        <v>0</v>
      </c>
      <c r="X90" t="str">
        <f>IF(N90="","No","Yes")</f>
        <v>Yes</v>
      </c>
    </row>
    <row r="91">
      <c r="A91" s="7" t="inlineStr">
        <is>
          <t>MD-00087</t>
        </is>
      </c>
      <c r="B91" s="7" t="inlineStr">
        <is>
          <t>MD-MO-050087</t>
        </is>
      </c>
      <c r="C91" s="7" t="inlineStr">
        <is>
          <t>Mobile Device</t>
        </is>
      </c>
      <c r="D91" s="7" t="inlineStr">
        <is>
          <t>Samsung Galaxy S24</t>
        </is>
      </c>
      <c r="E91" s="7" t="inlineStr">
        <is>
          <t>E0075</t>
        </is>
      </c>
      <c r="F91" s="7" t="inlineStr">
        <is>
          <t>Denver - Closed</t>
        </is>
      </c>
      <c r="G91" s="7" t="inlineStr"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Working conclusion for MD-00087: Available in Atlanta Warehouse ($1085). Movement TR-00087 posted 2026-04-12 and inbound 04/12/2026, approval APR-00087. Cost path: PO-2024-0015 into FA-000087. Also: carrier label 1ZMD00000087 is not proof of receipt. Note - offboarding ticket OFF-00087 referenced.</t>
        </is>
      </c>
      <c r="L91" s="7" t="inlineStr">
        <is>
          <t>2026-07-07</t>
        </is>
      </c>
      <c r="M91" s="7" t="n">
        <v>1085</v>
      </c>
      <c r="N91" s="7">
        <f>IFERROR(XLOOKUP(A91,'Source Ledger'!$B$5:$B$133,'Source Ledger'!$G$5:$G$133),"")</f>
        <v>609.71</v>
      </c>
      <c r="O91" s="7" t="str">
        <f>IFERROR(XLOOKUP(A91,'Source Ledger'!$B$5:$B$133,'Source Ledger'!$A$5:$A$133),"")</f>
        <v>FA-000087</v>
      </c>
      <c r="P91" s="7" t="inlineStr">
        <is>
          <t>No</t>
        </is>
      </c>
      <c r="Q91" s="9" t="inlineStr">
        <is>
          <t>High</t>
        </is>
      </c>
      <c r="R91" s="7" t="inlineStr">
        <is>
          <t>EX-0100</t>
        </is>
      </c>
      <c r="S91" s="7" t="inlineStr">
        <is>
          <t>No</t>
        </is>
      </c>
      <c r="T91">
        <f>IFERROR(XLOOKUP(A91,'Source Ledger'!$B$5:$B$133,'Source Ledger'!$E$5:$E$133),"")</f>
        <v>1085</v>
      </c>
      <c r="U91" t="str">
        <f>IFERROR(XLOOKUP(A91,'Source Ledger'!$B$5:$B$133,'Source Ledger'!$H$5:$H$133),"")</f>
        <v>Active</v>
      </c>
      <c r="V91">
        <f>IFERROR(XLOOKUP(A91,'Source Ledger'!$B$5:$B$133,'Source Ledger'!$G$5:$G$133),"")</f>
        <v>609.71</v>
      </c>
      <c r="W91">
        <f>IF(OR(T91="",M91=""),"",T91-M91)</f>
        <v>0</v>
      </c>
      <c r="X91" t="str">
        <f>IF(N91="","No","Yes")</f>
        <v>Yes</v>
      </c>
    </row>
    <row r="92">
      <c r="A92" s="7" t="inlineStr">
        <is>
          <t>MD-00088</t>
        </is>
      </c>
      <c r="B92" s="7" t="inlineStr">
        <is>
          <t>MD-NE-050088</t>
        </is>
      </c>
      <c r="C92" s="7" t="inlineStr">
        <is>
          <t>Network Asset</t>
        </is>
      </c>
      <c r="D92" s="7" t="inlineStr">
        <is>
          <t>Cisco C9300</t>
        </is>
      </c>
      <c r="E92" s="7" t="inlineStr">
        <is>
          <t>E0076</t>
        </is>
      </c>
      <c r="F92" s="7" t="inlineStr">
        <is>
          <t>Chicago - Closed</t>
        </is>
      </c>
      <c r="G92" s="7" t="inlineStr"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MD-00088 stays Available at Atlanta Warehouse (Cisco C9300, $6380). Log TR-00088: received May 14, 2026, approval APR-00088. Ledger FA-000088 backs PO-2024-0015 for MD-00088. Also: carrier label 1ZMD00000088 is not proof of receipt. Note - offboarding ticket OFF-00088 referenced. duplicate serial MD-NE-050088 flagged on the register.</t>
        </is>
      </c>
      <c r="L92" s="7" t="inlineStr">
        <is>
          <t>2026-07-07</t>
        </is>
      </c>
      <c r="M92" s="7" t="n">
        <v>6380</v>
      </c>
      <c r="N92" s="7">
        <f>IFERROR(XLOOKUP(A92,'Source Ledger'!$B$5:$B$133,'Source Ledger'!$G$5:$G$133),"")</f>
        <v>982.55</v>
      </c>
      <c r="O92" s="7" t="str">
        <f>IFERROR(XLOOKUP(A92,'Source Ledger'!$B$5:$B$133,'Source Ledger'!$A$5:$A$133),"")</f>
        <v>FA-000088</v>
      </c>
      <c r="P92" s="7" t="inlineStr">
        <is>
          <t>Yes</t>
        </is>
      </c>
      <c r="Q92" s="7" t="inlineStr">
        <is>
          <t>Medium</t>
        </is>
      </c>
      <c r="R92" s="7" t="inlineStr">
        <is>
          <t>EX-0101, EX-0102</t>
        </is>
      </c>
      <c r="S92" s="7" t="inlineStr">
        <is>
          <t>No</t>
        </is>
      </c>
      <c r="T92">
        <f>IFERROR(XLOOKUP(A92,'Source Ledger'!$B$5:$B$133,'Source Ledger'!$E$5:$E$133),"")</f>
        <v>6380</v>
      </c>
      <c r="U92" t="str">
        <f>IFERROR(XLOOKUP(A92,'Source Ledger'!$B$5:$B$133,'Source Ledger'!$H$5:$H$133),"")</f>
        <v>Active</v>
      </c>
      <c r="V92">
        <f>IFERROR(XLOOKUP(A92,'Source Ledger'!$B$5:$B$133,'Source Ledger'!$G$5:$G$133),"")</f>
        <v>982.55</v>
      </c>
      <c r="W92">
        <f>IF(OR(T92="",M92=""),"",T92-M92)</f>
        <v>0</v>
      </c>
      <c r="X92" t="str">
        <f>IF(N92="","No","Yes")</f>
        <v>Yes</v>
      </c>
    </row>
    <row r="93">
      <c r="A93" s="7" t="inlineStr">
        <is>
          <t>MD-00089</t>
        </is>
      </c>
      <c r="B93" s="7" t="inlineStr">
        <is>
          <t>MD-LA-050089</t>
        </is>
      </c>
      <c r="C93" s="7" t="inlineStr">
        <is>
          <t>Laptop</t>
        </is>
      </c>
      <c r="D93" s="7" t="inlineStr">
        <is>
          <t>MacBook Pro 14</t>
        </is>
      </c>
      <c r="E93" s="7" t="inlineStr">
        <is>
          <t>E0077</t>
        </is>
      </c>
      <c r="F93" s="7" t="inlineStr">
        <is>
          <t>Denver - Closed</t>
        </is>
      </c>
      <c r="G93" s="7" t="inlineStr"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Corrected row MD-00089: Missing, Unknown, $2075 - MacBook Pro 14. Jonah Freedman has Separated status in the people extract. Assignment TR-00089; receive column 2026-06-17, approval APR-00089. PO-2024-0015 / FA-000089 support the cost basis. Also: offboarding ticket OFF-00089 referenced. Note - last operational site on register was Denver - Closed.</t>
        </is>
      </c>
      <c r="L93" s="7" t="inlineStr">
        <is>
          <t>2026-06-18</t>
        </is>
      </c>
      <c r="M93" s="7" t="n">
        <v>2075</v>
      </c>
      <c r="N93" s="7">
        <f>IFERROR(XLOOKUP(A93,'Source Ledger'!$B$5:$B$133,'Source Ledger'!$G$5:$G$133),"")</f>
        <v>0</v>
      </c>
      <c r="O93" s="7" t="str">
        <f>IFERROR(XLOOKUP(A93,'Source Ledger'!$B$5:$B$133,'Source Ledger'!$A$5:$A$133),"")</f>
        <v>FA-000089</v>
      </c>
      <c r="P93" s="7" t="inlineStr">
        <is>
          <t>No</t>
        </is>
      </c>
      <c r="Q93" s="7" t="inlineStr">
        <is>
          <t>Low</t>
        </is>
      </c>
      <c r="R93" s="7" t="inlineStr">
        <is>
          <t>EX-0103, EX-0104</t>
        </is>
      </c>
      <c r="S93" s="7" t="inlineStr">
        <is>
          <t>Yes</t>
        </is>
      </c>
      <c r="T93">
        <f>IFERROR(XLOOKUP(A93,'Source Ledger'!$B$5:$B$133,'Source Ledger'!$E$5:$E$133),"")</f>
        <v>2075</v>
      </c>
      <c r="U93" t="str">
        <f>IFERROR(XLOOKUP(A93,'Source Ledger'!$B$5:$B$133,'Source Ledger'!$H$5:$H$133),"")</f>
        <v>Active</v>
      </c>
      <c r="V93">
        <f>IFERROR(XLOOKUP(A93,'Source Ledger'!$B$5:$B$133,'Source Ledger'!$G$5:$G$133),"")</f>
        <v>0</v>
      </c>
      <c r="W93">
        <f>IF(OR(T93="",M93=""),"",T93-M93)</f>
        <v>0</v>
      </c>
      <c r="X93" t="str">
        <f>IF(N93="","No","Yes")</f>
        <v>Yes</v>
      </c>
    </row>
    <row r="94">
      <c r="A94" s="7" t="inlineStr">
        <is>
          <t>MD-00090</t>
        </is>
      </c>
      <c r="B94" s="7" t="inlineStr">
        <is>
          <t>MD-MO-050090</t>
        </is>
      </c>
      <c r="C94" s="7" t="inlineStr">
        <is>
          <t>Monitor</t>
        </is>
      </c>
      <c r="D94" s="7" t="inlineStr">
        <is>
          <t>Dell U2723QE</t>
        </is>
      </c>
      <c r="E94" s="7" t="inlineStr">
        <is>
          <t>E0078</t>
        </is>
      </c>
      <c r="F94" s="7" t="inlineStr">
        <is>
          <t>Chicago - Closed</t>
        </is>
      </c>
      <c r="G94" s="7" t="inlineStr"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I read the movement and people files before calling MD-00090 Missing. People side - Regina Lowe (E0078), Separated. Log TR-00090: received 01/28/2026, approval APR-00090. Ledger FA-000090 backs PO-2024-0015 for MD-00090. Also: offboarding ticket OFF-00090 referenced. Note - last operational site on register was Chicago - Closed.</t>
        </is>
      </c>
      <c r="L94" s="7" t="inlineStr">
        <is>
          <t>2026-06-07</t>
        </is>
      </c>
      <c r="M94" s="7" t="n">
        <v>790</v>
      </c>
      <c r="N94" s="7">
        <f>IFERROR(XLOOKUP(A94,'Source Ledger'!$B$5:$B$133,'Source Ledger'!$G$5:$G$133),"")</f>
        <v>465.13</v>
      </c>
      <c r="O94" s="7" t="str">
        <f>IFERROR(XLOOKUP(A94,'Source Ledger'!$B$5:$B$133,'Source Ledger'!$A$5:$A$133),"")</f>
        <v>FA-000090</v>
      </c>
      <c r="P94" s="7" t="inlineStr">
        <is>
          <t>No</t>
        </is>
      </c>
      <c r="Q94" s="7" t="inlineStr">
        <is>
          <t>Low</t>
        </is>
      </c>
      <c r="R94" s="7" t="inlineStr">
        <is>
          <t>EX-0105, EX-0106</t>
        </is>
      </c>
      <c r="S94" s="7" t="inlineStr">
        <is>
          <t>Yes</t>
        </is>
      </c>
      <c r="T94">
        <f>IFERROR(XLOOKUP(A94,'Source Ledger'!$B$5:$B$133,'Source Ledger'!$E$5:$E$133),"")</f>
        <v>790</v>
      </c>
      <c r="U94" t="str">
        <f>IFERROR(XLOOKUP(A94,'Source Ledger'!$B$5:$B$133,'Source Ledger'!$H$5:$H$133),"")</f>
        <v>Active</v>
      </c>
      <c r="V94">
        <f>IFERROR(XLOOKUP(A94,'Source Ledger'!$B$5:$B$133,'Source Ledger'!$G$5:$G$133),"")</f>
        <v>465.13</v>
      </c>
      <c r="W94">
        <f>IF(OR(T94="",M94=""),"",T94-M94)</f>
        <v>0</v>
      </c>
      <c r="X94" t="str">
        <f>IF(N94="","No","Yes")</f>
        <v>Yes</v>
      </c>
    </row>
    <row r="95">
      <c r="A95" s="7" t="inlineStr">
        <is>
          <t>MD-00091</t>
        </is>
      </c>
      <c r="B95" s="7" t="inlineStr">
        <is>
          <t>MD-MO-050091</t>
        </is>
      </c>
      <c r="C95" s="7" t="inlineStr">
        <is>
          <t>Mobile Device</t>
        </is>
      </c>
      <c r="D95" s="7" t="inlineStr">
        <is>
          <t>Samsung Galaxy S24</t>
        </is>
      </c>
      <c r="E95" s="7" t="inlineStr">
        <is>
          <t>E0079</t>
        </is>
      </c>
      <c r="F95" s="7" t="inlineStr">
        <is>
          <t>Denver - Closed</t>
        </is>
      </c>
      <c r="G95" s="7" t="inlineStr"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Unknown: MD-00091 is Missing; cost $950. People side - Wes Carvalho (E0079), Separated. Assignment TR-00091; receive column Feb 24, 2026, approval APR-00091. PO-2025-0016 / FA-000091 support the cost basis. Also: offboarding ticket OFF-00091 referenced. Note - last operational site on register was Denver - Closed.</t>
        </is>
      </c>
      <c r="L95" s="7" t="inlineStr">
        <is>
          <t>2026-05-08</t>
        </is>
      </c>
      <c r="M95" s="7" t="n">
        <v>950</v>
      </c>
      <c r="N95" s="7">
        <f>IFERROR(XLOOKUP(A95,'Source Ledger'!$B$5:$B$133,'Source Ledger'!$G$5:$G$133),"")</f>
        <v>643.09</v>
      </c>
      <c r="O95" s="7" t="str">
        <f>IFERROR(XLOOKUP(A95,'Source Ledger'!$B$5:$B$133,'Source Ledger'!$A$5:$A$133),"")</f>
        <v>FA-000091</v>
      </c>
      <c r="P95" s="7" t="inlineStr">
        <is>
          <t>No</t>
        </is>
      </c>
      <c r="Q95" s="7" t="inlineStr">
        <is>
          <t>Low</t>
        </is>
      </c>
      <c r="R95" s="7" t="inlineStr">
        <is>
          <t>EX-0107, EX-0108</t>
        </is>
      </c>
      <c r="S95" s="7" t="inlineStr">
        <is>
          <t>Yes</t>
        </is>
      </c>
      <c r="T95">
        <f>IFERROR(XLOOKUP(A95,'Source Ledger'!$B$5:$B$133,'Source Ledger'!$E$5:$E$133),"")</f>
        <v>950</v>
      </c>
      <c r="U95" t="str">
        <f>IFERROR(XLOOKUP(A95,'Source Ledger'!$B$5:$B$133,'Source Ledger'!$H$5:$H$133),"")</f>
        <v>Active</v>
      </c>
      <c r="V95">
        <f>IFERROR(XLOOKUP(A95,'Source Ledger'!$B$5:$B$133,'Source Ledger'!$G$5:$G$133),"")</f>
        <v>643.09</v>
      </c>
      <c r="W95">
        <f>IF(OR(T95="",M95=""),"",T95-M95)</f>
        <v>0</v>
      </c>
      <c r="X95" t="str">
        <f>IF(N95="","No","Yes")</f>
        <v>Yes</v>
      </c>
    </row>
    <row r="96">
      <c r="A96" s="7" t="inlineStr">
        <is>
          <t>MD-00092</t>
        </is>
      </c>
      <c r="B96" s="7" t="inlineStr">
        <is>
          <t>MD-NE-050088</t>
        </is>
      </c>
      <c r="C96" s="7" t="inlineStr">
        <is>
          <t>Network Asset</t>
        </is>
      </c>
      <c r="D96" s="7" t="inlineStr">
        <is>
          <t>Cisco C9300</t>
        </is>
      </c>
      <c r="E96" s="7" t="inlineStr">
        <is>
          <t>E0080</t>
        </is>
      </c>
      <c r="F96" s="7" t="inlineStr">
        <is>
          <t>Chicago - Closed</t>
        </is>
      </c>
      <c r="G96" s="7" t="inlineStr"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After HR and transfer review, MD-00092 is Missing in Unknown. Tara Singh has Separated status in the people extract. Transfer TR-00092 shows receipt 2026-03-28, approval APR-00092. Cost path: PO-2025-0016 into FA-000092. Also: offboarding ticket OFF-00092 referenced. Note - last operational site on register was Chicago - Closed. duplicate serial MD-NE-050088 flagged on the register.</t>
        </is>
      </c>
      <c r="L96" s="7" t="inlineStr">
        <is>
          <t>2026-06-09</t>
        </is>
      </c>
      <c r="M96" s="7" t="n">
        <v>6245</v>
      </c>
      <c r="N96" s="7">
        <f>IFERROR(XLOOKUP(A96,'Source Ledger'!$B$5:$B$133,'Source Ledger'!$G$5:$G$133),"")</f>
        <v>1396.04</v>
      </c>
      <c r="O96" s="7" t="str">
        <f>IFERROR(XLOOKUP(A96,'Source Ledger'!$B$5:$B$133,'Source Ledger'!$A$5:$A$133),"")</f>
        <v>FA-000092</v>
      </c>
      <c r="P96" s="7" t="inlineStr">
        <is>
          <t>Yes</t>
        </is>
      </c>
      <c r="Q96" s="7" t="inlineStr">
        <is>
          <t>Low</t>
        </is>
      </c>
      <c r="R96" s="7" t="inlineStr">
        <is>
          <t>EX-0109, EX-0110, EX-0111</t>
        </is>
      </c>
      <c r="S96" s="7" t="inlineStr">
        <is>
          <t>Yes</t>
        </is>
      </c>
      <c r="T96">
        <f>IFERROR(XLOOKUP(A96,'Source Ledger'!$B$5:$B$133,'Source Ledger'!$E$5:$E$133),"")</f>
        <v>6245</v>
      </c>
      <c r="U96" t="str">
        <f>IFERROR(XLOOKUP(A96,'Source Ledger'!$B$5:$B$133,'Source Ledger'!$H$5:$H$133),"")</f>
        <v>Active</v>
      </c>
      <c r="V96">
        <f>IFERROR(XLOOKUP(A96,'Source Ledger'!$B$5:$B$133,'Source Ledger'!$G$5:$G$133),"")</f>
        <v>1396.04</v>
      </c>
      <c r="W96">
        <f>IF(OR(T96="",M96=""),"",T96-M96)</f>
        <v>0</v>
      </c>
      <c r="X96" t="str">
        <f>IF(N96="","No","Yes")</f>
        <v>Yes</v>
      </c>
    </row>
    <row r="97">
      <c r="A97" s="7" t="inlineStr">
        <is>
          <t>MD-00093</t>
        </is>
      </c>
      <c r="B97" s="7" t="inlineStr">
        <is>
          <t>MD-LA-050093</t>
        </is>
      </c>
      <c r="C97" s="7" t="inlineStr">
        <is>
          <t>Laptop</t>
        </is>
      </c>
      <c r="D97" s="7" t="inlineStr">
        <is>
          <t>Dell Latitude 7440</t>
        </is>
      </c>
      <c r="E97" s="7" t="inlineStr">
        <is>
          <t>E0081</t>
        </is>
      </c>
      <c r="F97" s="7" t="inlineStr">
        <is>
          <t>Denver - Closed</t>
        </is>
      </c>
      <c r="G97" s="7" t="inlineStr"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Field review: MD-00093 Missing @ Unknown. Elliott Park has Separated status in the people extract. Inbound stamp on TR-00093 is 05/06/2026, approval APR-00093. Ledger FA-000093 backs PO-2025-0016 for MD-00093. Also: offboarding ticket OFF-00093 referenced. Note - last operational site on register was Denver - Closed.</t>
        </is>
      </c>
      <c r="L97" s="7" t="inlineStr">
        <is>
          <t>2026-05-10</t>
        </is>
      </c>
      <c r="M97" s="7" t="n">
        <v>1940</v>
      </c>
      <c r="N97" s="7">
        <f>IFERROR(XLOOKUP(A97,'Source Ledger'!$B$5:$B$133,'Source Ledger'!$G$5:$G$133),"")</f>
        <v>130.57</v>
      </c>
      <c r="O97" s="7" t="str">
        <f>IFERROR(XLOOKUP(A97,'Source Ledger'!$B$5:$B$133,'Source Ledger'!$A$5:$A$133),"")</f>
        <v>FA-000093</v>
      </c>
      <c r="P97" s="7" t="inlineStr">
        <is>
          <t>No</t>
        </is>
      </c>
      <c r="Q97" s="7" t="inlineStr">
        <is>
          <t>Low</t>
        </is>
      </c>
      <c r="R97" s="7" t="inlineStr">
        <is>
          <t>EX-0112, EX-0113</t>
        </is>
      </c>
      <c r="S97" s="7" t="inlineStr">
        <is>
          <t>Yes</t>
        </is>
      </c>
      <c r="T97">
        <f>IFERROR(XLOOKUP(A97,'Source Ledger'!$B$5:$B$133,'Source Ledger'!$E$5:$E$133),"")</f>
        <v>1940</v>
      </c>
      <c r="U97" t="str">
        <f>IFERROR(XLOOKUP(A97,'Source Ledger'!$B$5:$B$133,'Source Ledger'!$H$5:$H$133),"")</f>
        <v>Active</v>
      </c>
      <c r="V97">
        <f>IFERROR(XLOOKUP(A97,'Source Ledger'!$B$5:$B$133,'Source Ledger'!$G$5:$G$133),"")</f>
        <v>130.57</v>
      </c>
      <c r="W97">
        <f>IF(OR(T97="",M97=""),"",T97-M97)</f>
        <v>0</v>
      </c>
      <c r="X97" t="str">
        <f>IF(N97="","No","Yes")</f>
        <v>Yes</v>
      </c>
    </row>
    <row r="98">
      <c r="A98" s="7" t="inlineStr">
        <is>
          <t>MD-00094</t>
        </is>
      </c>
      <c r="B98" s="7" t="inlineStr">
        <is>
          <t>MD-MO-050094</t>
        </is>
      </c>
      <c r="C98" s="7" t="inlineStr">
        <is>
          <t>Monitor</t>
        </is>
      </c>
      <c r="D98" s="7" t="inlineStr">
        <is>
          <t>Dell U2723QE</t>
        </is>
      </c>
      <c r="E98" s="7" t="inlineStr">
        <is>
          <t>E0082</t>
        </is>
      </c>
      <c r="F98" s="7" t="inlineStr">
        <is>
          <t>Chicago - Closed</t>
        </is>
      </c>
      <c r="G98" s="7" t="inlineStr"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Dell U2723QE MD-00094 tied to $655; location Unknown; status Missing. Carmen Diaz has Separated status in the people extract. equipment_transfer_log TR-00094, approval APR-00094; received Jun 04, 2026. PO-2025-0016 / FA-000094 support the cost basis. Also: offboarding ticket OFF-00094 referenced. Note - last operational site on register was Chicago - Closed.</t>
        </is>
      </c>
      <c r="L98" s="7" t="inlineStr">
        <is>
          <t>2026-06-11</t>
        </is>
      </c>
      <c r="M98" s="7" t="n">
        <v>655</v>
      </c>
      <c r="N98" s="7">
        <f>IFERROR(XLOOKUP(A98,'Source Ledger'!$B$5:$B$133,'Source Ledger'!$G$5:$G$133),"")</f>
        <v>431.2</v>
      </c>
      <c r="O98" s="7" t="str">
        <f>IFERROR(XLOOKUP(A98,'Source Ledger'!$B$5:$B$133,'Source Ledger'!$A$5:$A$133),"")</f>
        <v>FA-000094</v>
      </c>
      <c r="P98" s="7" t="inlineStr">
        <is>
          <t>No</t>
        </is>
      </c>
      <c r="Q98" s="7" t="inlineStr">
        <is>
          <t>Low</t>
        </is>
      </c>
      <c r="R98" s="7" t="inlineStr">
        <is>
          <t>EX-0114, EX-0115</t>
        </is>
      </c>
      <c r="S98" s="7" t="inlineStr">
        <is>
          <t>Yes</t>
        </is>
      </c>
      <c r="T98">
        <f>IFERROR(XLOOKUP(A98,'Source Ledger'!$B$5:$B$133,'Source Ledger'!$E$5:$E$133),"")</f>
        <v>655</v>
      </c>
      <c r="U98" t="str">
        <f>IFERROR(XLOOKUP(A98,'Source Ledger'!$B$5:$B$133,'Source Ledger'!$H$5:$H$133),"")</f>
        <v>Active</v>
      </c>
      <c r="V98">
        <f>IFERROR(XLOOKUP(A98,'Source Ledger'!$B$5:$B$133,'Source Ledger'!$G$5:$G$133),"")</f>
        <v>431.2</v>
      </c>
      <c r="W98">
        <f>IF(OR(T98="",M98=""),"",T98-M98)</f>
        <v>0</v>
      </c>
      <c r="X98" t="str">
        <f>IF(N98="","No","Yes")</f>
        <v>Yes</v>
      </c>
    </row>
    <row r="99">
      <c r="A99" s="7" t="inlineStr">
        <is>
          <t>MD-00095</t>
        </is>
      </c>
      <c r="B99" s="7" t="inlineStr">
        <is>
          <t>MD-MO-050095</t>
        </is>
      </c>
      <c r="C99" s="7" t="inlineStr">
        <is>
          <t>Mobile Device</t>
        </is>
      </c>
      <c r="D99" s="7" t="inlineStr">
        <is>
          <t>Samsung Galaxy S24</t>
        </is>
      </c>
      <c r="E99" s="7" t="inlineStr">
        <is>
          <t>E0083</t>
        </is>
      </c>
      <c r="F99" s="7" t="inlineStr">
        <is>
          <t>Denver - Closed</t>
        </is>
      </c>
      <c r="G99" s="7" t="inlineStr"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Cost $1130 on MD-00095; Missing at Unknown. Hugh Talbot has Separated status in the people extract. TR-00095 ties to MD-00095; dock date 2026-07-08, approval APR-00095. Cost path: PO-2025-0016 into FA-000095. Also: offboarding ticket OFF-00095 referenced. Note - last operational site on register was Denver - Closed.</t>
        </is>
      </c>
      <c r="L99" s="7" t="inlineStr">
        <is>
          <t>2026-06-24</t>
        </is>
      </c>
      <c r="M99" s="7" t="n">
        <v>1130</v>
      </c>
      <c r="N99" s="7">
        <f>IFERROR(XLOOKUP(A99,'Source Ledger'!$B$5:$B$133,'Source Ledger'!$G$5:$G$133),"")</f>
        <v>894.87</v>
      </c>
      <c r="O99" s="7" t="str">
        <f>IFERROR(XLOOKUP(A99,'Source Ledger'!$B$5:$B$133,'Source Ledger'!$A$5:$A$133),"")</f>
        <v>FA-000095</v>
      </c>
      <c r="P99" s="7" t="inlineStr">
        <is>
          <t>No</t>
        </is>
      </c>
      <c r="Q99" s="7" t="inlineStr">
        <is>
          <t>Low</t>
        </is>
      </c>
      <c r="R99" s="7" t="inlineStr">
        <is>
          <t>EX-0116, EX-0117</t>
        </is>
      </c>
      <c r="S99" s="7" t="inlineStr">
        <is>
          <t>Yes</t>
        </is>
      </c>
      <c r="T99">
        <f>IFERROR(XLOOKUP(A99,'Source Ledger'!$B$5:$B$133,'Source Ledger'!$E$5:$E$133),"")</f>
        <v>1130</v>
      </c>
      <c r="U99" t="str">
        <f>IFERROR(XLOOKUP(A99,'Source Ledger'!$B$5:$B$133,'Source Ledger'!$H$5:$H$133),"")</f>
        <v>Active</v>
      </c>
      <c r="V99">
        <f>IFERROR(XLOOKUP(A99,'Source Ledger'!$B$5:$B$133,'Source Ledger'!$G$5:$G$133),"")</f>
        <v>894.87</v>
      </c>
      <c r="W99">
        <f>IF(OR(T99="",M99=""),"",T99-M99)</f>
        <v>0</v>
      </c>
      <c r="X99" t="str">
        <f>IF(N99="","No","Yes")</f>
        <v>Yes</v>
      </c>
    </row>
    <row r="100">
      <c r="A100" s="7" t="inlineStr">
        <is>
          <t>MD-00096</t>
        </is>
      </c>
      <c r="B100" s="7" t="inlineStr">
        <is>
          <t>MD-NE-050096</t>
        </is>
      </c>
      <c r="C100" s="7" t="inlineStr">
        <is>
          <t>Network Asset</t>
        </is>
      </c>
      <c r="D100" s="7" t="inlineStr">
        <is>
          <t>Cisco C9300</t>
        </is>
      </c>
      <c r="E100" s="7" t="inlineStr">
        <is>
          <t>E0084</t>
        </is>
      </c>
      <c r="F100" s="7" t="inlineStr">
        <is>
          <t>Chicago - Closed</t>
        </is>
      </c>
      <c r="G100" s="7" t="inlineStr"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MD-00096 stays Missing at Unknown (Cisco C9300, $6425). Mira Adelman has Separated status in the people extract. Log TR-00096: received 01/19/2026, approval APR-00096. Ledger FA-000096 backs PO-2025-0016 for MD-00096. Also: offboarding ticket OFF-00096 referenced. Note - last operational site on register was Chicago - Closed.</t>
        </is>
      </c>
      <c r="L100" s="7" t="inlineStr">
        <is>
          <t>2026-06-13</t>
        </is>
      </c>
      <c r="M100" s="7" t="n">
        <v>6425</v>
      </c>
      <c r="N100" s="7">
        <f>IFERROR(XLOOKUP(A100,'Source Ledger'!$B$5:$B$133,'Source Ledger'!$G$5:$G$133),"")</f>
        <v>511.01</v>
      </c>
      <c r="O100" s="7" t="str">
        <f>IFERROR(XLOOKUP(A100,'Source Ledger'!$B$5:$B$133,'Source Ledger'!$A$5:$A$133),"")</f>
        <v>FA-000096</v>
      </c>
      <c r="P100" s="7" t="inlineStr">
        <is>
          <t>Yes</t>
        </is>
      </c>
      <c r="Q100" s="7" t="inlineStr">
        <is>
          <t>Low</t>
        </is>
      </c>
      <c r="R100" s="7" t="inlineStr">
        <is>
          <t>EX-0118, EX-0119</t>
        </is>
      </c>
      <c r="S100" s="7" t="inlineStr">
        <is>
          <t>Yes</t>
        </is>
      </c>
      <c r="T100">
        <f>IFERROR(XLOOKUP(A100,'Source Ledger'!$B$5:$B$133,'Source Ledger'!$E$5:$E$133),"")</f>
        <v>6425</v>
      </c>
      <c r="U100" t="str">
        <f>IFERROR(XLOOKUP(A100,'Source Ledger'!$B$5:$B$133,'Source Ledger'!$H$5:$H$133),"")</f>
        <v>Active</v>
      </c>
      <c r="V100">
        <f>IFERROR(XLOOKUP(A100,'Source Ledger'!$B$5:$B$133,'Source Ledger'!$G$5:$G$133),"")</f>
        <v>511.01</v>
      </c>
      <c r="W100">
        <f>IF(OR(T100="",M100=""),"",T100-M100)</f>
        <v>0</v>
      </c>
      <c r="X100" t="str">
        <f>IF(N100="","No","Yes")</f>
        <v>Yes</v>
      </c>
    </row>
    <row r="101">
      <c r="A101" s="7" t="inlineStr">
        <is>
          <t>MD-00097</t>
        </is>
      </c>
      <c r="B101" s="7" t="inlineStr">
        <is>
          <t>MD-LA-050097</t>
        </is>
      </c>
      <c r="C101" s="7" t="inlineStr">
        <is>
          <t>Laptop</t>
        </is>
      </c>
      <c r="D101" s="7" t="inlineStr">
        <is>
          <t>Lenovo ThinkPad T14</t>
        </is>
      </c>
      <c r="E101" s="7" t="inlineStr">
        <is>
          <t>E0085</t>
        </is>
      </c>
      <c r="F101" s="7" t="inlineStr">
        <is>
          <t>Denver - Closed</t>
        </is>
      </c>
      <c r="G101" s="7" t="inlineStr"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MD-00097 stays Missing at Unknown (Lenovo ThinkPad T14, $2120). Quincy Rhodes has Separated status in the people extract. TR-00097 ties to MD-00097; dock date Jan 27, 2026, approval APR-00097. Cost path: PO-2022-0017 into FA-000097. Also: offboarding ticket OFF-00097 referenced. Note - last operational site on register was Denver - Closed.</t>
        </is>
      </c>
      <c r="L101" s="7" t="inlineStr">
        <is>
          <t>2026-05-14</t>
        </is>
      </c>
      <c r="M101" s="7" t="n">
        <v>2120</v>
      </c>
      <c r="N101" s="7">
        <f>IFERROR(XLOOKUP(A101,'Source Ledger'!$B$5:$B$133,'Source Ledger'!$G$5:$G$133),"")</f>
        <v>0</v>
      </c>
      <c r="O101" s="7" t="str">
        <f>IFERROR(XLOOKUP(A101,'Source Ledger'!$B$5:$B$133,'Source Ledger'!$A$5:$A$133),"")</f>
        <v>FA-000097</v>
      </c>
      <c r="P101" s="7" t="inlineStr">
        <is>
          <t>No</t>
        </is>
      </c>
      <c r="Q101" s="7" t="inlineStr">
        <is>
          <t>Low</t>
        </is>
      </c>
      <c r="R101" s="7" t="inlineStr">
        <is>
          <t>EX-0120, EX-0121</t>
        </is>
      </c>
      <c r="S101" s="7" t="inlineStr">
        <is>
          <t>Yes</t>
        </is>
      </c>
      <c r="T101">
        <f>IFERROR(XLOOKUP(A101,'Source Ledger'!$B$5:$B$133,'Source Ledger'!$E$5:$E$133),"")</f>
        <v>2120</v>
      </c>
      <c r="U101" t="str">
        <f>IFERROR(XLOOKUP(A101,'Source Ledger'!$B$5:$B$133,'Source Ledger'!$H$5:$H$133),"")</f>
        <v>Active</v>
      </c>
      <c r="V101">
        <f>IFERROR(XLOOKUP(A101,'Source Ledger'!$B$5:$B$133,'Source Ledger'!$G$5:$G$133),"")</f>
        <v>0</v>
      </c>
      <c r="W101">
        <f>IF(OR(T101="",M101=""),"",T101-M101)</f>
        <v>0</v>
      </c>
      <c r="X101" t="str">
        <f>IF(N101="","No","Yes")</f>
        <v>Yes</v>
      </c>
    </row>
    <row r="102">
      <c r="A102" s="7" t="inlineStr">
        <is>
          <t>MD-00098</t>
        </is>
      </c>
      <c r="B102" s="7" t="inlineStr">
        <is>
          <t>MD-MO-050098</t>
        </is>
      </c>
      <c r="C102" s="7" t="inlineStr">
        <is>
          <t>Monitor</t>
        </is>
      </c>
      <c r="D102" s="7" t="inlineStr">
        <is>
          <t>Dell U2723QE</t>
        </is>
      </c>
      <c r="E102" s="7" t="inlineStr">
        <is>
          <t>E0086</t>
        </is>
      </c>
      <c r="F102" s="7" t="inlineStr">
        <is>
          <t>Chicago - Closed</t>
        </is>
      </c>
      <c r="G102" s="7" t="inlineStr"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MD-00098 stays Missing at Unknown (Dell U2723QE, $520). Sloane Richter has Separated status in the people extract. Transfer TR-00098 shows receipt 2026-02-24, approval APR-00098. Ledger FA-000098 backs PO-2022-0017 for MD-00098. Also: offboarding ticket OFF-00098 referenced. Note - last operational site on register was Chicago - Closed.</t>
        </is>
      </c>
      <c r="L102" s="7" t="inlineStr">
        <is>
          <t>2026-06-15</t>
        </is>
      </c>
      <c r="M102" s="7" t="n">
        <v>520</v>
      </c>
      <c r="N102" s="7">
        <f>IFERROR(XLOOKUP(A102,'Source Ledger'!$B$5:$B$133,'Source Ledger'!$G$5:$G$133),"")</f>
        <v>266.87</v>
      </c>
      <c r="O102" s="7" t="str">
        <f>IFERROR(XLOOKUP(A102,'Source Ledger'!$B$5:$B$133,'Source Ledger'!$A$5:$A$133),"")</f>
        <v>FA-000098</v>
      </c>
      <c r="P102" s="7" t="inlineStr">
        <is>
          <t>No</t>
        </is>
      </c>
      <c r="Q102" s="7" t="inlineStr">
        <is>
          <t>Low</t>
        </is>
      </c>
      <c r="R102" s="7" t="inlineStr">
        <is>
          <t>EX-0122, EX-0123</t>
        </is>
      </c>
      <c r="S102" s="7" t="inlineStr">
        <is>
          <t>Yes</t>
        </is>
      </c>
      <c r="T102">
        <f>IFERROR(XLOOKUP(A102,'Source Ledger'!$B$5:$B$133,'Source Ledger'!$E$5:$E$133),"")</f>
        <v>520</v>
      </c>
      <c r="U102" t="str">
        <f>IFERROR(XLOOKUP(A102,'Source Ledger'!$B$5:$B$133,'Source Ledger'!$H$5:$H$133),"")</f>
        <v>Active</v>
      </c>
      <c r="V102">
        <f>IFERROR(XLOOKUP(A102,'Source Ledger'!$B$5:$B$133,'Source Ledger'!$G$5:$G$133),"")</f>
        <v>266.87</v>
      </c>
      <c r="W102">
        <f>IF(OR(T102="",M102=""),"",T102-M102)</f>
        <v>0</v>
      </c>
      <c r="X102" t="str">
        <f>IF(N102="","No","Yes")</f>
        <v>Yes</v>
      </c>
    </row>
    <row r="103">
      <c r="A103" s="7" t="inlineStr">
        <is>
          <t>MD-00099</t>
        </is>
      </c>
      <c r="B103" s="7" t="inlineStr">
        <is>
          <t>MD-MO-050099</t>
        </is>
      </c>
      <c r="C103" s="7" t="inlineStr">
        <is>
          <t>Mobile Device</t>
        </is>
      </c>
      <c r="D103" s="7" t="inlineStr">
        <is>
          <t>Samsung Galaxy S24</t>
        </is>
      </c>
      <c r="E103" s="7" t="inlineStr">
        <is>
          <t>E0087</t>
        </is>
      </c>
      <c r="F103" s="7" t="inlineStr">
        <is>
          <t>Denver - Closed</t>
        </is>
      </c>
      <c r="G103" s="7" t="inlineStr"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MD-00099 stays Missing at Unknown (Samsung Galaxy S24, $995). Nolan Vega has Separated status in the people extract. Movement TR-00099 posted 2026-03-31 and inbound 04/02/2026, approval APR-00099. PO-2022-0017 / FA-000099 support the cost basis. Also: offboarding ticket OFF-00099 referenced. Note - last operational site on register was Denver - Closed.</t>
        </is>
      </c>
      <c r="L103" s="7" t="inlineStr">
        <is>
          <t>2026-05-16</t>
        </is>
      </c>
      <c r="M103" s="7" t="n">
        <v>995</v>
      </c>
      <c r="N103" s="7">
        <f>IFERROR(XLOOKUP(A103,'Source Ledger'!$B$5:$B$133,'Source Ledger'!$G$5:$G$133),"")</f>
        <v>548.24</v>
      </c>
      <c r="O103" s="7" t="str">
        <f>IFERROR(XLOOKUP(A103,'Source Ledger'!$B$5:$B$133,'Source Ledger'!$A$5:$A$133),"")</f>
        <v>FA-000099</v>
      </c>
      <c r="P103" s="7" t="inlineStr">
        <is>
          <t>No</t>
        </is>
      </c>
      <c r="Q103" s="7" t="inlineStr">
        <is>
          <t>Low</t>
        </is>
      </c>
      <c r="R103" s="7" t="inlineStr">
        <is>
          <t>EX-0124, EX-0125</t>
        </is>
      </c>
      <c r="S103" s="7" t="inlineStr">
        <is>
          <t>Yes</t>
        </is>
      </c>
      <c r="T103">
        <f>IFERROR(XLOOKUP(A103,'Source Ledger'!$B$5:$B$133,'Source Ledger'!$E$5:$E$133),"")</f>
        <v>995</v>
      </c>
      <c r="U103" t="str">
        <f>IFERROR(XLOOKUP(A103,'Source Ledger'!$B$5:$B$133,'Source Ledger'!$H$5:$H$133),"")</f>
        <v>Active</v>
      </c>
      <c r="V103">
        <f>IFERROR(XLOOKUP(A103,'Source Ledger'!$B$5:$B$133,'Source Ledger'!$G$5:$G$133),"")</f>
        <v>548.24</v>
      </c>
      <c r="W103">
        <f>IF(OR(T103="",M103=""),"",T103-M103)</f>
        <v>0</v>
      </c>
      <c r="X103" t="str">
        <f>IF(N103="","No","Yes")</f>
        <v>Yes</v>
      </c>
    </row>
    <row r="104">
      <c r="A104" s="7" t="inlineStr">
        <is>
          <t>MD-00100</t>
        </is>
      </c>
      <c r="B104" s="7" t="inlineStr">
        <is>
          <t>MD-NE-050100</t>
        </is>
      </c>
      <c r="C104" s="7" t="inlineStr">
        <is>
          <t>Network Asset</t>
        </is>
      </c>
      <c r="D104" s="7" t="inlineStr">
        <is>
          <t>Cisco C9300</t>
        </is>
      </c>
      <c r="E104" s="7" t="inlineStr">
        <is>
          <t>E0088</t>
        </is>
      </c>
      <c r="F104" s="7" t="inlineStr">
        <is>
          <t>Chicago - Closed</t>
        </is>
      </c>
      <c r="G104" s="7" t="inlineStr"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Field review: MD-00100 Missing @ Unknown. Ivy Chenoweth has Separated status in the people extract. equipment_transfer_log TR-00100, approval APR-00100; received May 05, 2026. Cost path: PO-2022-0017 into FA-000100. Also: offboarding ticket OFF-00100 referenced. Note - last operational site on register was Chicago - Closed.</t>
        </is>
      </c>
      <c r="L104" s="7" t="inlineStr">
        <is>
          <t>2026-06-17</t>
        </is>
      </c>
      <c r="M104" s="7" t="n">
        <v>6290</v>
      </c>
      <c r="N104" s="7">
        <f>IFERROR(XLOOKUP(A104,'Source Ledger'!$B$5:$B$133,'Source Ledger'!$G$5:$G$133),"")</f>
        <v>927.36</v>
      </c>
      <c r="O104" s="7" t="str">
        <f>IFERROR(XLOOKUP(A104,'Source Ledger'!$B$5:$B$133,'Source Ledger'!$A$5:$A$133),"")</f>
        <v>FA-000100</v>
      </c>
      <c r="P104" s="7" t="inlineStr">
        <is>
          <t>Yes</t>
        </is>
      </c>
      <c r="Q104" s="7" t="inlineStr">
        <is>
          <t>Low</t>
        </is>
      </c>
      <c r="R104" s="7" t="inlineStr">
        <is>
          <t>EX-0126, EX-0127</t>
        </is>
      </c>
      <c r="S104" s="7" t="inlineStr">
        <is>
          <t>Yes</t>
        </is>
      </c>
      <c r="T104">
        <f>IFERROR(XLOOKUP(A104,'Source Ledger'!$B$5:$B$133,'Source Ledger'!$E$5:$E$133),"")</f>
        <v>6290</v>
      </c>
      <c r="U104" t="str">
        <f>IFERROR(XLOOKUP(A104,'Source Ledger'!$B$5:$B$133,'Source Ledger'!$H$5:$H$133),"")</f>
        <v>Active</v>
      </c>
      <c r="V104">
        <f>IFERROR(XLOOKUP(A104,'Source Ledger'!$B$5:$B$133,'Source Ledger'!$G$5:$G$133),"")</f>
        <v>927.36</v>
      </c>
      <c r="W104">
        <f>IF(OR(T104="",M104=""),"",T104-M104)</f>
        <v>0</v>
      </c>
      <c r="X104" t="str">
        <f>IF(N104="","No","Yes")</f>
        <v>Yes</v>
      </c>
    </row>
    <row r="105">
      <c r="A105" s="7" t="inlineStr">
        <is>
          <t>MD-00101</t>
        </is>
      </c>
      <c r="B105" s="7" t="inlineStr">
        <is>
          <t>MD-LA-050101</t>
        </is>
      </c>
      <c r="C105" s="7" t="inlineStr">
        <is>
          <t>Laptop</t>
        </is>
      </c>
      <c r="D105" s="7" t="inlineStr">
        <is>
          <t>MacBook Pro 14</t>
        </is>
      </c>
      <c r="E105" s="7" t="inlineStr">
        <is>
          <t>E0089</t>
        </is>
      </c>
      <c r="F105" s="7" t="inlineStr">
        <is>
          <t>Denver - Closed</t>
        </is>
      </c>
      <c r="G105" s="7" t="inlineStr"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MD-00101 stays Retired/Pending Disposal at Seattle (MacBook Pro 14, $1985). Assignment TR-00101; receive column 2026-06-07, approval APR-00101. Ledger FA-000101 backs PO-2022-0017 for MD-00101. Also: offboarding ticket RET-00101 referenced.</t>
        </is>
      </c>
      <c r="L105" s="7" t="inlineStr">
        <is>
          <t>2026-06-07</t>
        </is>
      </c>
      <c r="M105" s="7" t="n">
        <v>1985</v>
      </c>
      <c r="N105" s="7">
        <f>IFERROR(XLOOKUP(A105,'Source Ledger'!$B$5:$B$133,'Source Ledger'!$G$5:$G$133),"")</f>
        <v>0</v>
      </c>
      <c r="O105" s="7" t="str">
        <f>IFERROR(XLOOKUP(A105,'Source Ledger'!$B$5:$B$133,'Source Ledger'!$A$5:$A$133),"")</f>
        <v>FA-000101</v>
      </c>
      <c r="P105" s="7" t="inlineStr">
        <is>
          <t>No</t>
        </is>
      </c>
      <c r="Q105" s="7" t="inlineStr">
        <is>
          <t>Medium</t>
        </is>
      </c>
      <c r="R105" s="7" t="inlineStr">
        <is>
          <t>EX-0128, EX-0129</t>
        </is>
      </c>
      <c r="S105" s="7" t="inlineStr">
        <is>
          <t>Yes</t>
        </is>
      </c>
      <c r="T105">
        <f>IFERROR(XLOOKUP(A105,'Source Ledger'!$B$5:$B$133,'Source Ledger'!$E$5:$E$133),"")</f>
        <v>1985</v>
      </c>
      <c r="U105" t="str">
        <f>IFERROR(XLOOKUP(A105,'Source Ledger'!$B$5:$B$133,'Source Ledger'!$H$5:$H$133),"")</f>
        <v>Active</v>
      </c>
      <c r="V105">
        <f>IFERROR(XLOOKUP(A105,'Source Ledger'!$B$5:$B$133,'Source Ledger'!$G$5:$G$133),"")</f>
        <v>0</v>
      </c>
      <c r="W105">
        <f>IF(OR(T105="",M105=""),"",T105-M105)</f>
        <v>0</v>
      </c>
      <c r="X105" t="str">
        <f>IF(N105="","No","Yes")</f>
        <v>Yes</v>
      </c>
    </row>
    <row r="106">
      <c r="A106" s="7" t="inlineStr">
        <is>
          <t>MD-00102</t>
        </is>
      </c>
      <c r="B106" s="7" t="inlineStr">
        <is>
          <t>MD-MO-050102</t>
        </is>
      </c>
      <c r="C106" s="7" t="inlineStr">
        <is>
          <t>Monitor</t>
        </is>
      </c>
      <c r="D106" s="7" t="inlineStr">
        <is>
          <t>Dell U2723QE</t>
        </is>
      </c>
      <c r="E106" s="7" t="inlineStr">
        <is>
          <t>E0090</t>
        </is>
      </c>
      <c r="F106" s="7" t="inlineStr">
        <is>
          <t>Chicago - Closed</t>
        </is>
      </c>
      <c r="G106" s="7" t="inlineStr"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MD-00102 stays Retired/Pending Disposal at Atlanta (Dell U2723QE, $700). TR-00102 for MD-00102 - received 01/11/2026, approval APR-00102. PO-2022-0017 / FA-000102 support the cost basis. Also: offboarding ticket RET-00102 referenced.</t>
        </is>
      </c>
      <c r="L106" s="7" t="inlineStr">
        <is>
          <t>2026-05-31</t>
        </is>
      </c>
      <c r="M106" s="7" t="n">
        <v>700</v>
      </c>
      <c r="N106" s="7">
        <f>IFERROR(XLOOKUP(A106,'Source Ledger'!$B$5:$B$133,'Source Ledger'!$G$5:$G$133),"")</f>
        <v>407.54</v>
      </c>
      <c r="O106" s="7" t="str">
        <f>IFERROR(XLOOKUP(A106,'Source Ledger'!$B$5:$B$133,'Source Ledger'!$A$5:$A$133),"")</f>
        <v>FA-000102</v>
      </c>
      <c r="P106" s="7" t="inlineStr">
        <is>
          <t>No</t>
        </is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is>
          <t>Yes</t>
        </is>
      </c>
      <c r="T106">
        <f>IFERROR(XLOOKUP(A106,'Source Ledger'!$B$5:$B$133,'Source Ledger'!$E$5:$E$133),"")</f>
        <v>820</v>
      </c>
      <c r="U106" t="str">
        <f>IFERROR(XLOOKUP(A106,'Source Ledger'!$B$5:$B$133,'Source Ledger'!$H$5:$H$133),"")</f>
        <v>Active</v>
      </c>
      <c r="V106">
        <f>IFERROR(XLOOKUP(A106,'Source Ledger'!$B$5:$B$133,'Source Ledger'!$G$5:$G$133),"")</f>
        <v>407.54</v>
      </c>
      <c r="W106">
        <f>IF(OR(T106="",M106=""),"",T106-M106)</f>
        <v>120</v>
      </c>
      <c r="X106" t="str">
        <f>IF(N106="","No","Yes")</f>
        <v>Yes</v>
      </c>
    </row>
    <row r="107">
      <c r="A107" s="7" t="inlineStr">
        <is>
          <t>MD-00103</t>
        </is>
      </c>
      <c r="B107" s="7" t="inlineStr">
        <is>
          <t>MD-MO-050103</t>
        </is>
      </c>
      <c r="C107" s="7" t="inlineStr">
        <is>
          <t>Mobile Device</t>
        </is>
      </c>
      <c r="D107" s="7" t="inlineStr">
        <is>
          <t>Samsung Galaxy S24</t>
        </is>
      </c>
      <c r="E107" s="7" t="inlineStr">
        <is>
          <t>E0091</t>
        </is>
      </c>
      <c r="F107" s="7" t="inlineStr">
        <is>
          <t>Denver - Closed</t>
        </is>
      </c>
      <c r="G107" s="7" t="inlineStr"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MD-00103 stays Retired/Pending Disposal at Chicago (Samsung Galaxy S24, $1175). Inbound stamp on TR-00103 is Feb 14, 2026, approval APR-00103. Cost path: PO-2023-0018 into FA-000103. Also: offboarding ticket RET-00103 referenced.</t>
        </is>
      </c>
      <c r="L107" s="7" t="inlineStr">
        <is>
          <t>2026-05-31</t>
        </is>
      </c>
      <c r="M107" s="7" t="n">
        <v>1175</v>
      </c>
      <c r="N107" s="7">
        <f>IFERROR(XLOOKUP(A107,'Source Ledger'!$B$5:$B$133,'Source Ledger'!$G$5:$G$133),"")</f>
        <v>782.53</v>
      </c>
      <c r="O107" s="7" t="str">
        <f>IFERROR(XLOOKUP(A107,'Source Ledger'!$B$5:$B$133,'Source Ledger'!$A$5:$A$133),"")</f>
        <v>FA-000103</v>
      </c>
      <c r="P107" s="7" t="inlineStr">
        <is>
          <t>No</t>
        </is>
      </c>
      <c r="Q107" s="7" t="inlineStr">
        <is>
          <t>Medium</t>
        </is>
      </c>
      <c r="R107" s="7" t="inlineStr">
        <is>
          <t>EX-0133, EX-0134</t>
        </is>
      </c>
      <c r="S107" s="7" t="inlineStr">
        <is>
          <t>Yes</t>
        </is>
      </c>
      <c r="T107">
        <f>IFERROR(XLOOKUP(A107,'Source Ledger'!$B$5:$B$133,'Source Ledger'!$E$5:$E$133),"")</f>
        <v>1175</v>
      </c>
      <c r="U107" t="str">
        <f>IFERROR(XLOOKUP(A107,'Source Ledger'!$B$5:$B$133,'Source Ledger'!$H$5:$H$133),"")</f>
        <v>Active</v>
      </c>
      <c r="V107">
        <f>IFERROR(XLOOKUP(A107,'Source Ledger'!$B$5:$B$133,'Source Ledger'!$G$5:$G$133),"")</f>
        <v>782.53</v>
      </c>
      <c r="W107">
        <f>IF(OR(T107="",M107=""),"",T107-M107)</f>
        <v>0</v>
      </c>
      <c r="X107" t="str">
        <f>IF(N107="","No","Yes")</f>
        <v>Yes</v>
      </c>
    </row>
    <row r="108">
      <c r="A108" s="7" t="inlineStr">
        <is>
          <t>MD-00104</t>
        </is>
      </c>
      <c r="B108" s="7" t="inlineStr">
        <is>
          <t>MD-NE-050104</t>
        </is>
      </c>
      <c r="C108" s="7" t="inlineStr">
        <is>
          <t>Network Asset</t>
        </is>
      </c>
      <c r="D108" s="7" t="inlineStr">
        <is>
          <t>Cisco C9300</t>
        </is>
      </c>
      <c r="E108" s="7" t="inlineStr">
        <is>
          <t>E0092</t>
        </is>
      </c>
      <c r="F108" s="7" t="inlineStr">
        <is>
          <t>Chicago - Closed</t>
        </is>
      </c>
      <c r="G108" s="7" t="inlineStr"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MD-00104 stays Retired/Pending Disposal at Dallas (Cisco C9300, $6470). Log TR-00104: received 2026-03-18, approval APR-00104. Ledger FA-000104 backs PO-2023-0018 for MD-00104. Also: offboarding ticket RET-00104 referenced.</t>
        </is>
      </c>
      <c r="L108" s="7" t="inlineStr">
        <is>
          <t>2026-05-31</t>
        </is>
      </c>
      <c r="M108" s="7" t="n">
        <v>6470</v>
      </c>
      <c r="N108" s="7">
        <f>IFERROR(XLOOKUP(A108,'Source Ledger'!$B$5:$B$133,'Source Ledger'!$G$5:$G$133),"")</f>
        <v>1403.83</v>
      </c>
      <c r="O108" s="7" t="str">
        <f>IFERROR(XLOOKUP(A108,'Source Ledger'!$B$5:$B$133,'Source Ledger'!$A$5:$A$133),"")</f>
        <v>FA-000104</v>
      </c>
      <c r="P108" s="7" t="inlineStr">
        <is>
          <t>Yes</t>
        </is>
      </c>
      <c r="Q108" s="7" t="inlineStr">
        <is>
          <t>Medium</t>
        </is>
      </c>
      <c r="R108" s="7" t="inlineStr">
        <is>
          <t>EX-0135, EX-0136</t>
        </is>
      </c>
      <c r="S108" s="7" t="inlineStr">
        <is>
          <t>Yes</t>
        </is>
      </c>
      <c r="T108">
        <f>IFERROR(XLOOKUP(A108,'Source Ledger'!$B$5:$B$133,'Source Ledger'!$E$5:$E$133),"")</f>
        <v>6470</v>
      </c>
      <c r="U108" t="str">
        <f>IFERROR(XLOOKUP(A108,'Source Ledger'!$B$5:$B$133,'Source Ledger'!$H$5:$H$133),"")</f>
        <v>Active</v>
      </c>
      <c r="V108">
        <f>IFERROR(XLOOKUP(A108,'Source Ledger'!$B$5:$B$133,'Source Ledger'!$G$5:$G$133),"")</f>
        <v>1403.83</v>
      </c>
      <c r="W108">
        <f>IF(OR(T108="",M108=""),"",T108-M108)</f>
        <v>0</v>
      </c>
      <c r="X108" t="str">
        <f>IF(N108="","No","Yes")</f>
        <v>Yes</v>
      </c>
    </row>
    <row r="109">
      <c r="A109" s="7" t="inlineStr">
        <is>
          <t>MD-00105</t>
        </is>
      </c>
      <c r="B109" s="7" t="inlineStr">
        <is>
          <t>MD-LA-050105</t>
        </is>
      </c>
      <c r="C109" s="7" t="inlineStr">
        <is>
          <t>Laptop</t>
        </is>
      </c>
      <c r="D109" s="7" t="inlineStr">
        <is>
          <t>Dell Latitude 7440</t>
        </is>
      </c>
      <c r="E109" s="7" t="inlineStr">
        <is>
          <t>E0093</t>
        </is>
      </c>
      <c r="F109" s="7" t="inlineStr">
        <is>
          <t>Denver - Closed</t>
        </is>
      </c>
      <c r="G109" s="7" t="inlineStr"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MD-00105 stays Retired/Pending Disposal at Denver (Dell Latitude 7440, $1850). TR-00105 ties to MD-00105; dock date 04/21/2026, approval APR-00105. PO-2023-0018 / FA-000105 support the cost basis. Also: offboarding ticket RET-00105 referenced.</t>
        </is>
      </c>
      <c r="L109" s="7" t="inlineStr">
        <is>
          <t>2026-05-31</t>
        </is>
      </c>
      <c r="M109" s="7" t="n">
        <v>1850</v>
      </c>
      <c r="N109" s="7">
        <f>IFERROR(XLOOKUP(A109,'Source Ledger'!$B$5:$B$133,'Source Ledger'!$G$5:$G$133),"")</f>
        <v>104.26</v>
      </c>
      <c r="O109" s="7" t="str">
        <f>IFERROR(XLOOKUP(A109,'Source Ledger'!$B$5:$B$133,'Source Ledger'!$A$5:$A$133),"")</f>
        <v>FA-000105</v>
      </c>
      <c r="P109" s="7" t="inlineStr">
        <is>
          <t>No</t>
        </is>
      </c>
      <c r="Q109" s="7" t="inlineStr">
        <is>
          <t>Medium</t>
        </is>
      </c>
      <c r="R109" s="7" t="inlineStr">
        <is>
          <t>EX-0137, EX-0138</t>
        </is>
      </c>
      <c r="S109" s="7" t="inlineStr">
        <is>
          <t>Yes</t>
        </is>
      </c>
      <c r="T109">
        <f>IFERROR(XLOOKUP(A109,'Source Ledger'!$B$5:$B$133,'Source Ledger'!$E$5:$E$133),"")</f>
        <v>1850</v>
      </c>
      <c r="U109" t="str">
        <f>IFERROR(XLOOKUP(A109,'Source Ledger'!$B$5:$B$133,'Source Ledger'!$H$5:$H$133),"")</f>
        <v>Active</v>
      </c>
      <c r="V109">
        <f>IFERROR(XLOOKUP(A109,'Source Ledger'!$B$5:$B$133,'Source Ledger'!$G$5:$G$133),"")</f>
        <v>104.26</v>
      </c>
      <c r="W109">
        <f>IF(OR(T109="",M109=""),"",T109-M109)</f>
        <v>0</v>
      </c>
      <c r="X109" t="str">
        <f>IF(N109="","No","Yes")</f>
        <v>Yes</v>
      </c>
    </row>
    <row r="110">
      <c r="A110" s="7" t="inlineStr">
        <is>
          <t>MD-00106</t>
        </is>
      </c>
      <c r="B110" s="7" t="inlineStr">
        <is>
          <t>MD-MO-050106</t>
        </is>
      </c>
      <c r="C110" s="7" t="inlineStr">
        <is>
          <t>Monitor</t>
        </is>
      </c>
      <c r="D110" s="7" t="inlineStr">
        <is>
          <t>Dell U2723QE</t>
        </is>
      </c>
      <c r="E110" s="7" t="inlineStr">
        <is>
          <t>E0094</t>
        </is>
      </c>
      <c r="F110" s="7" t="inlineStr">
        <is>
          <t>Chicago - Closed</t>
        </is>
      </c>
      <c r="G110" s="7" t="inlineStr"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MD-00106 reads Retired/Pending Disposal at New York (Dell U2723QE, $565). TR-00106 ties to MD-00106; dock date May 25, 2026, approval APR-00106. Cost path: PO-2023-0018 into FA-000106. Also: offboarding ticket RET-00106 referenced.</t>
        </is>
      </c>
      <c r="L110" s="7" t="inlineStr">
        <is>
          <t>2026-05-31</t>
        </is>
      </c>
      <c r="M110" s="7" t="n">
        <v>565</v>
      </c>
      <c r="N110" s="7">
        <f>IFERROR(XLOOKUP(A110,'Source Ledger'!$B$5:$B$133,'Source Ledger'!$G$5:$G$133),"")</f>
        <v>368.24</v>
      </c>
      <c r="O110" s="7" t="str">
        <f>IFERROR(XLOOKUP(A110,'Source Ledger'!$B$5:$B$133,'Source Ledger'!$A$5:$A$133),"")</f>
        <v>FA-000106</v>
      </c>
      <c r="P110" s="7" t="inlineStr">
        <is>
          <t>No</t>
        </is>
      </c>
      <c r="Q110" s="7" t="inlineStr">
        <is>
          <t>Medium</t>
        </is>
      </c>
      <c r="R110" s="7" t="inlineStr">
        <is>
          <t>EX-0139, EX-0140</t>
        </is>
      </c>
      <c r="S110" s="7" t="inlineStr">
        <is>
          <t>Yes</t>
        </is>
      </c>
      <c r="T110">
        <f>IFERROR(XLOOKUP(A110,'Source Ledger'!$B$5:$B$133,'Source Ledger'!$E$5:$E$133),"")</f>
        <v>565</v>
      </c>
      <c r="U110" t="str">
        <f>IFERROR(XLOOKUP(A110,'Source Ledger'!$B$5:$B$133,'Source Ledger'!$H$5:$H$133),"")</f>
        <v>Active</v>
      </c>
      <c r="V110">
        <f>IFERROR(XLOOKUP(A110,'Source Ledger'!$B$5:$B$133,'Source Ledger'!$G$5:$G$133),"")</f>
        <v>368.24</v>
      </c>
      <c r="W110">
        <f>IF(OR(T110="",M110=""),"",T110-M110)</f>
        <v>0</v>
      </c>
      <c r="X110" t="str">
        <f>IF(N110="","No","Yes")</f>
        <v>Yes</v>
      </c>
    </row>
    <row r="111">
      <c r="A111" s="7" t="inlineStr">
        <is>
          <t>MD-00107</t>
        </is>
      </c>
      <c r="B111" s="7" t="inlineStr">
        <is>
          <t>MD-MO-050107</t>
        </is>
      </c>
      <c r="C111" s="7" t="inlineStr">
        <is>
          <t>Mobile Device</t>
        </is>
      </c>
      <c r="D111" s="7" t="inlineStr">
        <is>
          <t>Samsung Galaxy S24</t>
        </is>
      </c>
      <c r="E111" s="7" t="inlineStr">
        <is>
          <t>E0095</t>
        </is>
      </c>
      <c r="F111" s="7" t="inlineStr">
        <is>
          <t>Denver - Closed</t>
        </is>
      </c>
      <c r="G111" s="7" t="inlineStr"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MD-00107 reads Retired/Pending Disposal at Seattle (Samsung Galaxy S24, $1040). Transfer TR-00107 shows receipt 2026-06-27, approval APR-00107. Ledger FA-000107 backs PO-2023-0018 for MD-00107. Also: offboarding ticket RET-00107 referenced.</t>
        </is>
      </c>
      <c r="L111" s="7" t="inlineStr">
        <is>
          <t>2026-06-13</t>
        </is>
      </c>
      <c r="M111" s="7" t="n">
        <v>1040</v>
      </c>
      <c r="N111" s="7">
        <f>IFERROR(XLOOKUP(A111,'Source Ledger'!$B$5:$B$133,'Source Ledger'!$G$5:$G$133),"")</f>
        <v>812.21</v>
      </c>
      <c r="O111" s="7" t="str">
        <f>IFERROR(XLOOKUP(A111,'Source Ledger'!$B$5:$B$133,'Source Ledger'!$A$5:$A$133),"")</f>
        <v>FA-000107</v>
      </c>
      <c r="P111" s="7" t="inlineStr">
        <is>
          <t>No</t>
        </is>
      </c>
      <c r="Q111" s="7" t="inlineStr">
        <is>
          <t>Medium</t>
        </is>
      </c>
      <c r="R111" s="7" t="inlineStr">
        <is>
          <t>EX-0141, EX-0142</t>
        </is>
      </c>
      <c r="S111" s="7" t="inlineStr">
        <is>
          <t>Yes</t>
        </is>
      </c>
      <c r="T111">
        <f>IFERROR(XLOOKUP(A111,'Source Ledger'!$B$5:$B$133,'Source Ledger'!$E$5:$E$133),"")</f>
        <v>1040</v>
      </c>
      <c r="U111" t="str">
        <f>IFERROR(XLOOKUP(A111,'Source Ledger'!$B$5:$B$133,'Source Ledger'!$H$5:$H$133),"")</f>
        <v>Active</v>
      </c>
      <c r="V111">
        <f>IFERROR(XLOOKUP(A111,'Source Ledger'!$B$5:$B$133,'Source Ledger'!$G$5:$G$133),"")</f>
        <v>812.21</v>
      </c>
      <c r="W111">
        <f>IF(OR(T111="",M111=""),"",T111-M111)</f>
        <v>0</v>
      </c>
      <c r="X111" t="str">
        <f>IF(N111="","No","Yes")</f>
        <v>Yes</v>
      </c>
    </row>
    <row r="112">
      <c r="A112" s="7" t="inlineStr">
        <is>
          <t>MD-00108</t>
        </is>
      </c>
      <c r="B112" s="7" t="inlineStr">
        <is>
          <t>MD-NE-050108</t>
        </is>
      </c>
      <c r="C112" s="7" t="inlineStr">
        <is>
          <t>Network Asset</t>
        </is>
      </c>
      <c r="D112" s="7" t="inlineStr">
        <is>
          <t>Cisco C9300</t>
        </is>
      </c>
      <c r="E112" s="7" t="inlineStr">
        <is>
          <t>E0071</t>
        </is>
      </c>
      <c r="F112" s="7" t="inlineStr">
        <is>
          <t>Chicago - Closed</t>
        </is>
      </c>
      <c r="G112" s="7" t="inlineStr"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MD-00108 reads Retired/Pending Disposal at Atlanta (Cisco C9300, $6335). Movement TR-00108 posted 2026-01-30 and inbound 01/30/2026, approval APR-00108. PO-2023-0018 / FA-000108 support the cost basis. Also: offboarding ticket RET-00108 referenced.</t>
        </is>
      </c>
      <c r="L112" s="7" t="inlineStr">
        <is>
          <t>2026-05-31</t>
        </is>
      </c>
      <c r="M112" s="7" t="n">
        <v>6335</v>
      </c>
      <c r="N112" s="7">
        <f>IFERROR(XLOOKUP(A112,'Source Ledger'!$B$5:$B$133,'Source Ledger'!$G$5:$G$133),"")</f>
        <v>545.48</v>
      </c>
      <c r="O112" s="7" t="str">
        <f>IFERROR(XLOOKUP(A112,'Source Ledger'!$B$5:$B$133,'Source Ledger'!$A$5:$A$133),"")</f>
        <v>FA-000108</v>
      </c>
      <c r="P112" s="7" t="inlineStr">
        <is>
          <t>Yes</t>
        </is>
      </c>
      <c r="Q112" s="7" t="inlineStr">
        <is>
          <t>Medium</t>
        </is>
      </c>
      <c r="R112" s="7" t="inlineStr">
        <is>
          <t>EX-0143, EX-0144</t>
        </is>
      </c>
      <c r="S112" s="7" t="inlineStr">
        <is>
          <t>Yes</t>
        </is>
      </c>
      <c r="T112">
        <f>IFERROR(XLOOKUP(A112,'Source Ledger'!$B$5:$B$133,'Source Ledger'!$E$5:$E$133),"")</f>
        <v>6335</v>
      </c>
      <c r="U112" t="str">
        <f>IFERROR(XLOOKUP(A112,'Source Ledger'!$B$5:$B$133,'Source Ledger'!$H$5:$H$133),"")</f>
        <v>Active</v>
      </c>
      <c r="V112">
        <f>IFERROR(XLOOKUP(A112,'Source Ledger'!$B$5:$B$133,'Source Ledger'!$G$5:$G$133),"")</f>
        <v>545.48</v>
      </c>
      <c r="W112">
        <f>IF(OR(T112="",M112=""),"",T112-M112)</f>
        <v>0</v>
      </c>
      <c r="X112" t="str">
        <f>IF(N112="","No","Yes")</f>
        <v>Yes</v>
      </c>
    </row>
    <row r="113">
      <c r="A113" s="7" t="inlineStr">
        <is>
          <t>MD-00109</t>
        </is>
      </c>
      <c r="B113" s="7" t="inlineStr">
        <is>
          <t>MD-LA-050109</t>
        </is>
      </c>
      <c r="C113" s="7" t="inlineStr">
        <is>
          <t>Laptop</t>
        </is>
      </c>
      <c r="D113" s="7" t="inlineStr">
        <is>
          <t>Lenovo ThinkPad T14</t>
        </is>
      </c>
      <c r="E113" s="7" t="inlineStr">
        <is>
          <t>E0072</t>
        </is>
      </c>
      <c r="F113" s="7" t="inlineStr">
        <is>
          <t>Denver - Closed</t>
        </is>
      </c>
      <c r="G113" s="7" t="inlineStr"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MD-00109 reads Retired/Pending Disposal at Chicago (Lenovo ThinkPad T14, $2030). equipment_transfer_log TR-00109, approval APR-00109; received Feb 04, 2026. Cost path: PO-2024-0019 into FA-000109. Also: offboarding ticket RET-00109 referenced.</t>
        </is>
      </c>
      <c r="L113" s="7" t="inlineStr">
        <is>
          <t>2026-05-31</t>
        </is>
      </c>
      <c r="M113" s="7" t="n">
        <v>2030</v>
      </c>
      <c r="N113" s="7">
        <f>IFERROR(XLOOKUP(A113,'Source Ledger'!$B$5:$B$133,'Source Ledger'!$G$5:$G$133),"")</f>
        <v>0</v>
      </c>
      <c r="O113" s="7" t="str">
        <f>IFERROR(XLOOKUP(A113,'Source Ledger'!$B$5:$B$133,'Source Ledger'!$A$5:$A$133),"")</f>
        <v>FA-000109</v>
      </c>
      <c r="P113" s="7" t="inlineStr">
        <is>
          <t>No</t>
        </is>
      </c>
      <c r="Q113" s="7" t="inlineStr">
        <is>
          <t>Medium</t>
        </is>
      </c>
      <c r="R113" s="7" t="inlineStr">
        <is>
          <t>EX-0145, EX-0146</t>
        </is>
      </c>
      <c r="S113" s="7" t="inlineStr">
        <is>
          <t>Yes</t>
        </is>
      </c>
      <c r="T113">
        <f>IFERROR(XLOOKUP(A113,'Source Ledger'!$B$5:$B$133,'Source Ledger'!$E$5:$E$133),"")</f>
        <v>2030</v>
      </c>
      <c r="U113" t="str">
        <f>IFERROR(XLOOKUP(A113,'Source Ledger'!$B$5:$B$133,'Source Ledger'!$H$5:$H$133),"")</f>
        <v>Active</v>
      </c>
      <c r="V113">
        <f>IFERROR(XLOOKUP(A113,'Source Ledger'!$B$5:$B$133,'Source Ledger'!$G$5:$G$133),"")</f>
        <v>0</v>
      </c>
      <c r="W113">
        <f>IF(OR(T113="",M113=""),"",T113-M113)</f>
        <v>0</v>
      </c>
      <c r="X113" t="str">
        <f>IF(N113="","No","Yes")</f>
        <v>Yes</v>
      </c>
    </row>
    <row r="114">
      <c r="A114" s="7" t="inlineStr">
        <is>
          <t>MD-00110</t>
        </is>
      </c>
      <c r="B114" s="7" t="inlineStr">
        <is>
          <t>MD-MO-050110</t>
        </is>
      </c>
      <c r="C114" s="7" t="inlineStr">
        <is>
          <t>Monitor</t>
        </is>
      </c>
      <c r="D114" s="7" t="inlineStr">
        <is>
          <t>Dell U2723QE</t>
        </is>
      </c>
      <c r="E114" s="7" t="inlineStr">
        <is>
          <t>E0073</t>
        </is>
      </c>
      <c r="F114" s="7" t="inlineStr">
        <is>
          <t>Chicago - Closed</t>
        </is>
      </c>
      <c r="G114" s="7" t="inlineStr"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MD-00110 stays Retired/Pending Disposal at Dallas (Dell U2723QE, $745). Inbound stamp on TR-00110 is 2026-03-08, approval APR-00110. PO-2024-0019 / FA-000110 support the cost basis. Also: offboarding ticket RET-00110 referenced.</t>
        </is>
      </c>
      <c r="L114" s="7" t="inlineStr">
        <is>
          <t>2026-05-31</t>
        </is>
      </c>
      <c r="M114" s="7" t="n">
        <v>745</v>
      </c>
      <c r="N114" s="7">
        <f>IFERROR(XLOOKUP(A114,'Source Ledger'!$B$5:$B$133,'Source Ledger'!$G$5:$G$133),"")</f>
        <v>387.24</v>
      </c>
      <c r="O114" s="7" t="str">
        <f>IFERROR(XLOOKUP(A114,'Source Ledger'!$B$5:$B$133,'Source Ledger'!$A$5:$A$133),"")</f>
        <v>FA-000110</v>
      </c>
      <c r="P114" s="7" t="inlineStr">
        <is>
          <t>No</t>
        </is>
      </c>
      <c r="Q114" s="7" t="inlineStr">
        <is>
          <t>Medium</t>
        </is>
      </c>
      <c r="R114" s="7" t="inlineStr">
        <is>
          <t>EX-0147, EX-0148</t>
        </is>
      </c>
      <c r="S114" s="7" t="inlineStr">
        <is>
          <t>Yes</t>
        </is>
      </c>
      <c r="T114">
        <f>IFERROR(XLOOKUP(A114,'Source Ledger'!$B$5:$B$133,'Source Ledger'!$E$5:$E$133),"")</f>
        <v>745</v>
      </c>
      <c r="U114" t="str">
        <f>IFERROR(XLOOKUP(A114,'Source Ledger'!$B$5:$B$133,'Source Ledger'!$H$5:$H$133),"")</f>
        <v>Active</v>
      </c>
      <c r="V114">
        <f>IFERROR(XLOOKUP(A114,'Source Ledger'!$B$5:$B$133,'Source Ledger'!$G$5:$G$133),"")</f>
        <v>387.24</v>
      </c>
      <c r="W114">
        <f>IF(OR(T114="",M114=""),"",T114-M114)</f>
        <v>0</v>
      </c>
      <c r="X114" t="str">
        <f>IF(N114="","No","Yes")</f>
        <v>Yes</v>
      </c>
    </row>
    <row r="115">
      <c r="A115" s="7" t="inlineStr">
        <is>
          <t>MD-00111</t>
        </is>
      </c>
      <c r="B115" s="7" t="inlineStr">
        <is>
          <t>MD-MO-050111</t>
        </is>
      </c>
      <c r="C115" s="7" t="inlineStr">
        <is>
          <t>Mobile Device</t>
        </is>
      </c>
      <c r="D115" s="7" t="inlineStr">
        <is>
          <t>Samsung Galaxy S24</t>
        </is>
      </c>
      <c r="E115" s="7" t="inlineStr">
        <is>
          <t>E0074</t>
        </is>
      </c>
      <c r="F115" s="7" t="inlineStr">
        <is>
          <t>Denver - Closed</t>
        </is>
      </c>
      <c r="G115" s="7" t="inlineStr"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Corrected register carries MD-00111 as Disposed in Disposed. Log TR-00111: received 04/13/2026, approval APR-00111. Cost path: PO-2024-0019 into FA-000111. Also: offboarding ticket RET-00111 referenced.</t>
        </is>
      </c>
      <c r="L115" s="7" t="inlineStr">
        <is>
          <t>2026-07-20</t>
        </is>
      </c>
      <c r="M115" s="7" t="n">
        <v>1220</v>
      </c>
      <c r="N115" s="7">
        <f>IFERROR(XLOOKUP(A115,'Source Ledger'!$B$5:$B$133,'Source Ledger'!$G$5:$G$133),"")</f>
        <v>0</v>
      </c>
      <c r="O115" s="7" t="str">
        <f>IFERROR(XLOOKUP(A115,'Source Ledger'!$B$5:$B$133,'Source Ledger'!$A$5:$A$133),"")</f>
        <v>FA-000111</v>
      </c>
      <c r="P115" s="7" t="inlineStr">
        <is>
          <t>No</t>
        </is>
      </c>
      <c r="Q115" s="9" t="inlineStr">
        <is>
          <t>High</t>
        </is>
      </c>
      <c r="R115" s="7" t="inlineStr"/>
      <c r="S115" s="7" t="inlineStr">
        <is>
          <t>No</t>
        </is>
      </c>
      <c r="T115">
        <f>IFERROR(XLOOKUP(A115,'Source Ledger'!$B$5:$B$133,'Source Ledger'!$E$5:$E$133),"")</f>
        <v>1220</v>
      </c>
      <c r="U115" t="str">
        <f>IFERROR(XLOOKUP(A115,'Source Ledger'!$B$5:$B$133,'Source Ledger'!$H$5:$H$133),"")</f>
        <v>Disposed</v>
      </c>
      <c r="V115">
        <f>IFERROR(XLOOKUP(A115,'Source Ledger'!$B$5:$B$133,'Source Ledger'!$G$5:$G$133),"")</f>
        <v>0</v>
      </c>
      <c r="W115">
        <f>IF(OR(T115="",M115=""),"",T115-M115)</f>
        <v>0</v>
      </c>
      <c r="X115" t="str">
        <f>IF(N115="","No","Yes")</f>
        <v>Yes</v>
      </c>
    </row>
    <row r="116">
      <c r="A116" s="7" t="inlineStr">
        <is>
          <t>MD-00112</t>
        </is>
      </c>
      <c r="B116" s="7" t="inlineStr">
        <is>
          <t>MD-NE-050112</t>
        </is>
      </c>
      <c r="C116" s="7" t="inlineStr">
        <is>
          <t>Network Asset</t>
        </is>
      </c>
      <c r="D116" s="7" t="inlineStr">
        <is>
          <t>Cisco C9300</t>
        </is>
      </c>
      <c r="E116" s="7" t="inlineStr">
        <is>
          <t>E0075</t>
        </is>
      </c>
      <c r="F116" s="7" t="inlineStr">
        <is>
          <t>Chicago - Closed</t>
        </is>
      </c>
      <c r="G116" s="7" t="inlineStr"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Corrected register carries MD-00112 as Disposed in Disposed. TR-00112 ties to MD-00112; dock date May 15, 2026, approval APR-00112. Ledger FA-000112 backs PO-2024-0019 for MD-00112. Also: offboarding ticket RET-00112 referenced.</t>
        </is>
      </c>
      <c r="L116" s="7" t="inlineStr">
        <is>
          <t>2026-07-20</t>
        </is>
      </c>
      <c r="M116" s="7" t="n">
        <v>6200</v>
      </c>
      <c r="N116" s="7">
        <f>IFERROR(XLOOKUP(A116,'Source Ledger'!$B$5:$B$133,'Source Ledger'!$G$5:$G$133),"")</f>
        <v>0</v>
      </c>
      <c r="O116" s="7" t="str">
        <f>IFERROR(XLOOKUP(A116,'Source Ledger'!$B$5:$B$133,'Source Ledger'!$A$5:$A$133),"")</f>
        <v>FA-000112</v>
      </c>
      <c r="P116" s="7" t="inlineStr">
        <is>
          <t>Yes</t>
        </is>
      </c>
      <c r="Q116" s="9" t="inlineStr">
        <is>
          <t>High</t>
        </is>
      </c>
      <c r="R116" s="7" t="inlineStr"/>
      <c r="S116" s="7" t="inlineStr">
        <is>
          <t>No</t>
        </is>
      </c>
      <c r="T116">
        <f>IFERROR(XLOOKUP(A116,'Source Ledger'!$B$5:$B$133,'Source Ledger'!$E$5:$E$133),"")</f>
        <v>6200</v>
      </c>
      <c r="U116" t="str">
        <f>IFERROR(XLOOKUP(A116,'Source Ledger'!$B$5:$B$133,'Source Ledger'!$H$5:$H$133),"")</f>
        <v>Disposed</v>
      </c>
      <c r="V116">
        <f>IFERROR(XLOOKUP(A116,'Source Ledger'!$B$5:$B$133,'Source Ledger'!$G$5:$G$133),"")</f>
        <v>0</v>
      </c>
      <c r="W116">
        <f>IF(OR(T116="",M116=""),"",T116-M116)</f>
        <v>0</v>
      </c>
      <c r="X116" t="str">
        <f>IF(N116="","No","Yes")</f>
        <v>Yes</v>
      </c>
    </row>
    <row r="117">
      <c r="A117" s="7" t="inlineStr">
        <is>
          <t>MD-00113</t>
        </is>
      </c>
      <c r="B117" s="7" t="inlineStr">
        <is>
          <t>MD-LA-050113</t>
        </is>
      </c>
      <c r="C117" s="7" t="inlineStr">
        <is>
          <t>Laptop</t>
        </is>
      </c>
      <c r="D117" s="7" t="inlineStr">
        <is>
          <t>MacBook Pro 14</t>
        </is>
      </c>
      <c r="E117" s="7" t="inlineStr">
        <is>
          <t>E0076</t>
        </is>
      </c>
      <c r="F117" s="7" t="inlineStr">
        <is>
          <t>Denver - Closed</t>
        </is>
      </c>
      <c r="G117" s="7" t="inlineStr"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Corrected register carries MD-00113 as Disposed in Disposed. Transfer TR-00113 shows receipt 2026-06-18, approval APR-00113. PO-2024-0019 / FA-000113 support the cost basis. Also: offboarding ticket RET-00113 referenced.</t>
        </is>
      </c>
      <c r="L117" s="7" t="inlineStr">
        <is>
          <t>2026-07-20</t>
        </is>
      </c>
      <c r="M117" s="7" t="n">
        <v>1895</v>
      </c>
      <c r="N117" s="7">
        <f>IFERROR(XLOOKUP(A117,'Source Ledger'!$B$5:$B$133,'Source Ledger'!$G$5:$G$133),"")</f>
        <v>0</v>
      </c>
      <c r="O117" s="7" t="str">
        <f>IFERROR(XLOOKUP(A117,'Source Ledger'!$B$5:$B$133,'Source Ledger'!$A$5:$A$133),"")</f>
        <v>FA-000113</v>
      </c>
      <c r="P117" s="7" t="inlineStr">
        <is>
          <t>No</t>
        </is>
      </c>
      <c r="Q117" s="9" t="inlineStr">
        <is>
          <t>High</t>
        </is>
      </c>
      <c r="R117" s="7" t="inlineStr"/>
      <c r="S117" s="7" t="inlineStr">
        <is>
          <t>No</t>
        </is>
      </c>
      <c r="T117">
        <f>IFERROR(XLOOKUP(A117,'Source Ledger'!$B$5:$B$133,'Source Ledger'!$E$5:$E$133),"")</f>
        <v>1895</v>
      </c>
      <c r="U117" t="str">
        <f>IFERROR(XLOOKUP(A117,'Source Ledger'!$B$5:$B$133,'Source Ledger'!$H$5:$H$133),"")</f>
        <v>Disposed</v>
      </c>
      <c r="V117">
        <f>IFERROR(XLOOKUP(A117,'Source Ledger'!$B$5:$B$133,'Source Ledger'!$G$5:$G$133),"")</f>
        <v>0</v>
      </c>
      <c r="W117">
        <f>IF(OR(T117="",M117=""),"",T117-M117)</f>
        <v>0</v>
      </c>
      <c r="X117" t="str">
        <f>IF(N117="","No","Yes")</f>
        <v>Yes</v>
      </c>
    </row>
    <row r="118">
      <c r="A118" s="7" t="inlineStr">
        <is>
          <t>MD-00114</t>
        </is>
      </c>
      <c r="B118" s="7" t="inlineStr">
        <is>
          <t>MD-MO-050114</t>
        </is>
      </c>
      <c r="C118" s="7" t="inlineStr">
        <is>
          <t>Monitor</t>
        </is>
      </c>
      <c r="D118" s="7" t="inlineStr">
        <is>
          <t>Dell U2723QE</t>
        </is>
      </c>
      <c r="E118" s="7" t="inlineStr">
        <is>
          <t>E0077</t>
        </is>
      </c>
      <c r="F118" s="7" t="inlineStr">
        <is>
          <t>Chicago - Closed</t>
        </is>
      </c>
      <c r="G118" s="7" t="inlineStr"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MD-00114 stays Retired/Pending Disposal at Disposed (certificate missing) (Dell U2723QE, $610). Movement TR-00114 posted 2026-01-22 and inbound 01/22/2026, approval APR-00114. Cost path: PO-2024-0019 into FA-000114. Also: offboarding ticket RET-00114 referenced. Note - no verified disposal certificate located.</t>
        </is>
      </c>
      <c r="L118" s="7" t="inlineStr">
        <is>
          <t>2026-01-20</t>
        </is>
      </c>
      <c r="M118" s="7" t="n">
        <v>610</v>
      </c>
      <c r="N118" s="7">
        <f>IFERROR(XLOOKUP(A118,'Source Ledger'!$B$5:$B$133,'Source Ledger'!$G$5:$G$133),"")</f>
        <v>0</v>
      </c>
      <c r="O118" s="7" t="str">
        <f>IFERROR(XLOOKUP(A118,'Source Ledger'!$B$5:$B$133,'Source Ledger'!$A$5:$A$133),"")</f>
        <v>FA-000114</v>
      </c>
      <c r="P118" s="7" t="inlineStr">
        <is>
          <t>No</t>
        </is>
      </c>
      <c r="Q118" s="7" t="inlineStr">
        <is>
          <t>Low</t>
        </is>
      </c>
      <c r="R118" s="7" t="inlineStr">
        <is>
          <t>EX-0149, EX-0150</t>
        </is>
      </c>
      <c r="S118" s="7" t="inlineStr">
        <is>
          <t>Yes</t>
        </is>
      </c>
      <c r="T118">
        <f>IFERROR(XLOOKUP(A118,'Source Ledger'!$B$5:$B$133,'Source Ledger'!$E$5:$E$133),"")</f>
        <v>610</v>
      </c>
      <c r="U118" t="str">
        <f>IFERROR(XLOOKUP(A118,'Source Ledger'!$B$5:$B$133,'Source Ledger'!$H$5:$H$133),"")</f>
        <v>Disposed</v>
      </c>
      <c r="V118">
        <f>IFERROR(XLOOKUP(A118,'Source Ledger'!$B$5:$B$133,'Source Ledger'!$G$5:$G$133),"")</f>
        <v>0</v>
      </c>
      <c r="W118">
        <f>IF(OR(T118="",M118=""),"",T118-M118)</f>
        <v>0</v>
      </c>
      <c r="X118" t="str">
        <f>IF(N118="","No","Yes")</f>
        <v>Yes</v>
      </c>
    </row>
    <row r="119">
      <c r="A119" s="7" t="inlineStr">
        <is>
          <t>MD-00115</t>
        </is>
      </c>
      <c r="B119" s="7" t="inlineStr">
        <is>
          <t>MD-MO-050115</t>
        </is>
      </c>
      <c r="C119" s="7" t="inlineStr">
        <is>
          <t>Mobile Device</t>
        </is>
      </c>
      <c r="D119" s="7" t="inlineStr">
        <is>
          <t>Samsung Galaxy S24</t>
        </is>
      </c>
      <c r="E119" s="7" t="inlineStr">
        <is>
          <t>E0078</t>
        </is>
      </c>
      <c r="F119" s="7" t="inlineStr">
        <is>
          <t>Denver - Closed</t>
        </is>
      </c>
      <c r="G119" s="7" t="inlineStr"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Corrected register carries MD-00115 as Disposed in Disposed. equipment_transfer_log TR-00115, approval APR-00115; received Feb 25, 2026. PO-2025-0020 and FA-000115 agree on MD-00115. Also: offboarding ticket RET-00115 referenced.</t>
        </is>
      </c>
      <c r="L119" s="7" t="inlineStr">
        <is>
          <t>2026-07-20</t>
        </is>
      </c>
      <c r="M119" s="7" t="n">
        <v>1085</v>
      </c>
      <c r="N119" s="7">
        <f>IFERROR(XLOOKUP(A119,'Source Ledger'!$B$5:$B$133,'Source Ledger'!$G$5:$G$133),"")</f>
        <v>0</v>
      </c>
      <c r="O119" s="7" t="str">
        <f>IFERROR(XLOOKUP(A119,'Source Ledger'!$B$5:$B$133,'Source Ledger'!$A$5:$A$133),"")</f>
        <v>FA-000115</v>
      </c>
      <c r="P119" s="7" t="inlineStr">
        <is>
          <t>No</t>
        </is>
      </c>
      <c r="Q119" s="9" t="inlineStr">
        <is>
          <t>High</t>
        </is>
      </c>
      <c r="R119" s="7" t="inlineStr"/>
      <c r="S119" s="7" t="inlineStr">
        <is>
          <t>No</t>
        </is>
      </c>
      <c r="T119">
        <f>IFERROR(XLOOKUP(A119,'Source Ledger'!$B$5:$B$133,'Source Ledger'!$E$5:$E$133),"")</f>
        <v>1085</v>
      </c>
      <c r="U119" t="str">
        <f>IFERROR(XLOOKUP(A119,'Source Ledger'!$B$5:$B$133,'Source Ledger'!$H$5:$H$133),"")</f>
        <v>Disposed</v>
      </c>
      <c r="V119">
        <f>IFERROR(XLOOKUP(A119,'Source Ledger'!$B$5:$B$133,'Source Ledger'!$G$5:$G$133),"")</f>
        <v>0</v>
      </c>
      <c r="W119">
        <f>IF(OR(T119="",M119=""),"",T119-M119)</f>
        <v>0</v>
      </c>
      <c r="X119" t="str">
        <f>IF(N119="","No","Yes")</f>
        <v>Yes</v>
      </c>
    </row>
    <row r="120">
      <c r="A120" s="7" t="inlineStr">
        <is>
          <t>MD-00116</t>
        </is>
      </c>
      <c r="B120" s="7" t="inlineStr">
        <is>
          <t>MD-NE-050116</t>
        </is>
      </c>
      <c r="C120" s="7" t="inlineStr">
        <is>
          <t>Network Asset</t>
        </is>
      </c>
      <c r="D120" s="7" t="inlineStr">
        <is>
          <t>Cisco C9300</t>
        </is>
      </c>
      <c r="E120" s="7" t="inlineStr">
        <is>
          <t>E0079</t>
        </is>
      </c>
      <c r="F120" s="7" t="inlineStr">
        <is>
          <t>Chicago - Closed</t>
        </is>
      </c>
      <c r="G120" s="7" t="inlineStr"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Looked up MD-00116 across CSV/XLSX inputs - Disposed, Disposed. equipment_transfer_log TR-00116, approval APR-00116; received 2026-03-29. Procurement PO-2025-0020 maps to ledger FA-000116. Also: offboarding ticket RET-00116 referenced.</t>
        </is>
      </c>
      <c r="L120" s="7" t="inlineStr">
        <is>
          <t>2026-07-20</t>
        </is>
      </c>
      <c r="M120" s="7" t="n">
        <v>6380</v>
      </c>
      <c r="N120" s="7">
        <f>IFERROR(XLOOKUP(A120,'Source Ledger'!$B$5:$B$133,'Source Ledger'!$G$5:$G$133),"")</f>
        <v>0</v>
      </c>
      <c r="O120" s="7" t="str">
        <f>IFERROR(XLOOKUP(A120,'Source Ledger'!$B$5:$B$133,'Source Ledger'!$A$5:$A$133),"")</f>
        <v>FA-000116</v>
      </c>
      <c r="P120" s="7" t="inlineStr">
        <is>
          <t>Yes</t>
        </is>
      </c>
      <c r="Q120" s="9" t="inlineStr">
        <is>
          <t>High</t>
        </is>
      </c>
      <c r="R120" s="7" t="inlineStr"/>
      <c r="S120" s="7" t="inlineStr">
        <is>
          <t>No</t>
        </is>
      </c>
      <c r="T120">
        <f>IFERROR(XLOOKUP(A120,'Source Ledger'!$B$5:$B$133,'Source Ledger'!$E$5:$E$133),"")</f>
        <v>6380</v>
      </c>
      <c r="U120" t="str">
        <f>IFERROR(XLOOKUP(A120,'Source Ledger'!$B$5:$B$133,'Source Ledger'!$H$5:$H$133),"")</f>
        <v>Disposed</v>
      </c>
      <c r="V120">
        <f>IFERROR(XLOOKUP(A120,'Source Ledger'!$B$5:$B$133,'Source Ledger'!$G$5:$G$133),"")</f>
        <v>0</v>
      </c>
      <c r="W120">
        <f>IF(OR(T120="",M120=""),"",T120-M120)</f>
        <v>0</v>
      </c>
      <c r="X120" t="str">
        <f>IF(N120="","No","Yes")</f>
        <v>Yes</v>
      </c>
    </row>
    <row r="121">
      <c r="A121" s="7" t="inlineStr">
        <is>
          <t>MD-00117</t>
        </is>
      </c>
      <c r="B121" s="7" t="inlineStr">
        <is>
          <t>MD-LA-050117</t>
        </is>
      </c>
      <c r="C121" s="7" t="inlineStr">
        <is>
          <t>Laptop</t>
        </is>
      </c>
      <c r="D121" s="7" t="inlineStr">
        <is>
          <t>Dell Latitude 7440</t>
        </is>
      </c>
      <c r="E121" s="7" t="inlineStr">
        <is>
          <t>E0080</t>
        </is>
      </c>
      <c r="F121" s="7" t="inlineStr">
        <is>
          <t>Denver - Closed</t>
        </is>
      </c>
      <c r="G121" s="7" t="inlineStr"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Looked up MD-00117 across CSV/XLSX inputs - Disposed, Disposed. Assignment TR-00117; receive column 05/02/2026, approval APR-00117. Purchase order PO-2025-0020 and FAR row FA-000117 both cite MD-00117. Also: offboarding ticket RET-00117 referenced.</t>
        </is>
      </c>
      <c r="L121" s="7" t="inlineStr">
        <is>
          <t>2026-07-20</t>
        </is>
      </c>
      <c r="M121" s="7" t="n">
        <v>2075</v>
      </c>
      <c r="N121" s="7">
        <f>IFERROR(XLOOKUP(A121,'Source Ledger'!$B$5:$B$133,'Source Ledger'!$G$5:$G$133),"")</f>
        <v>0</v>
      </c>
      <c r="O121" s="7" t="str">
        <f>IFERROR(XLOOKUP(A121,'Source Ledger'!$B$5:$B$133,'Source Ledger'!$A$5:$A$133),"")</f>
        <v>FA-000117</v>
      </c>
      <c r="P121" s="7" t="inlineStr">
        <is>
          <t>No</t>
        </is>
      </c>
      <c r="Q121" s="9" t="inlineStr">
        <is>
          <t>High</t>
        </is>
      </c>
      <c r="R121" s="7" t="inlineStr"/>
      <c r="S121" s="7" t="inlineStr">
        <is>
          <t>No</t>
        </is>
      </c>
      <c r="T121">
        <f>IFERROR(XLOOKUP(A121,'Source Ledger'!$B$5:$B$133,'Source Ledger'!$E$5:$E$133),"")</f>
        <v>2075</v>
      </c>
      <c r="U121" t="str">
        <f>IFERROR(XLOOKUP(A121,'Source Ledger'!$B$5:$B$133,'Source Ledger'!$H$5:$H$133),"")</f>
        <v>Disposed</v>
      </c>
      <c r="V121">
        <f>IFERROR(XLOOKUP(A121,'Source Ledger'!$B$5:$B$133,'Source Ledger'!$G$5:$G$133),"")</f>
        <v>0</v>
      </c>
      <c r="W121">
        <f>IF(OR(T121="",M121=""),"",T121-M121)</f>
        <v>0</v>
      </c>
      <c r="X121" t="str">
        <f>IF(N121="","No","Yes")</f>
        <v>Yes</v>
      </c>
    </row>
    <row r="122">
      <c r="A122" s="7" t="inlineStr">
        <is>
          <t>MD-00118</t>
        </is>
      </c>
      <c r="B122" s="7" t="inlineStr">
        <is>
          <t>MD-MO-050118</t>
        </is>
      </c>
      <c r="C122" s="7" t="inlineStr">
        <is>
          <t>Monitor</t>
        </is>
      </c>
      <c r="D122" s="7" t="inlineStr">
        <is>
          <t>Dell U2723QE</t>
        </is>
      </c>
      <c r="E122" s="7" t="inlineStr">
        <is>
          <t>E0081</t>
        </is>
      </c>
      <c r="F122" s="7" t="inlineStr">
        <is>
          <t>Chicago - Closed</t>
        </is>
      </c>
      <c r="G122" s="7" t="inlineStr"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MD-00118 reads Retired/Pending Disposal at Disposed (certificate missing) (Dell U2723QE, $790). TR-00118 for MD-00118 - received Jun 04, 2026, approval APR-00118. PO-2025-0020 and FA-000118 agree on MD-00118. Also: offboarding ticket RET-00118 referenced. Note - no verified disposal certificate located.</t>
        </is>
      </c>
      <c r="L122" s="7" t="inlineStr">
        <is>
          <t>2026-05-24</t>
        </is>
      </c>
      <c r="M122" s="7" t="n">
        <v>790</v>
      </c>
      <c r="N122" s="7">
        <f>IFERROR(XLOOKUP(A122,'Source Ledger'!$B$5:$B$133,'Source Ledger'!$G$5:$G$133),"")</f>
        <v>0</v>
      </c>
      <c r="O122" s="7" t="str">
        <f>IFERROR(XLOOKUP(A122,'Source Ledger'!$B$5:$B$133,'Source Ledger'!$A$5:$A$133),"")</f>
        <v>FA-000118</v>
      </c>
      <c r="P122" s="7" t="inlineStr">
        <is>
          <t>No</t>
        </is>
      </c>
      <c r="Q122" s="7" t="inlineStr">
        <is>
          <t>Low</t>
        </is>
      </c>
      <c r="R122" s="7" t="inlineStr">
        <is>
          <t>EX-0151, EX-0152</t>
        </is>
      </c>
      <c r="S122" s="7" t="inlineStr">
        <is>
          <t>Yes</t>
        </is>
      </c>
      <c r="T122">
        <f>IFERROR(XLOOKUP(A122,'Source Ledger'!$B$5:$B$133,'Source Ledger'!$E$5:$E$133),"")</f>
        <v>790</v>
      </c>
      <c r="U122" t="str">
        <f>IFERROR(XLOOKUP(A122,'Source Ledger'!$B$5:$B$133,'Source Ledger'!$H$5:$H$133),"")</f>
        <v>Disposed</v>
      </c>
      <c r="V122">
        <f>IFERROR(XLOOKUP(A122,'Source Ledger'!$B$5:$B$133,'Source Ledger'!$G$5:$G$133),"")</f>
        <v>0</v>
      </c>
      <c r="W122">
        <f>IF(OR(T122="",M122=""),"",T122-M122)</f>
        <v>0</v>
      </c>
      <c r="X122" t="str">
        <f>IF(N122="","No","Yes")</f>
        <v>Yes</v>
      </c>
    </row>
    <row r="123">
      <c r="A123" s="7" t="inlineStr">
        <is>
          <t>MD-00119</t>
        </is>
      </c>
      <c r="B123" s="7" t="inlineStr">
        <is>
          <t>MD-MO-050119</t>
        </is>
      </c>
      <c r="C123" s="7" t="inlineStr">
        <is>
          <t>Mobile Device</t>
        </is>
      </c>
      <c r="D123" s="7" t="inlineStr">
        <is>
          <t>Samsung Galaxy S24</t>
        </is>
      </c>
      <c r="E123" s="7" t="inlineStr">
        <is>
          <t>E0082</t>
        </is>
      </c>
      <c r="F123" s="7" t="inlineStr">
        <is>
          <t>Denver - Closed</t>
        </is>
      </c>
      <c r="G123" s="7" t="inlineStr"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Looked up MD-00119 across CSV/XLSX inputs - Disposed, Disposed. Inbound stamp on TR-00119 is 2026-07-09, approval APR-00119. Procurement PO-2025-0020 maps to ledger FA-000119. Also: offboarding ticket RET-00119 referenced.</t>
        </is>
      </c>
      <c r="L123" s="7" t="inlineStr">
        <is>
          <t>2026-07-20</t>
        </is>
      </c>
      <c r="M123" s="7" t="n">
        <v>950</v>
      </c>
      <c r="N123" s="7">
        <f>IFERROR(XLOOKUP(A123,'Source Ledger'!$B$5:$B$133,'Source Ledger'!$G$5:$G$133),"")</f>
        <v>0</v>
      </c>
      <c r="O123" s="7" t="str">
        <f>IFERROR(XLOOKUP(A123,'Source Ledger'!$B$5:$B$133,'Source Ledger'!$A$5:$A$133),"")</f>
        <v>FA-000119</v>
      </c>
      <c r="P123" s="7" t="inlineStr">
        <is>
          <t>No</t>
        </is>
      </c>
      <c r="Q123" s="9" t="inlineStr">
        <is>
          <t>High</t>
        </is>
      </c>
      <c r="R123" s="7" t="inlineStr">
        <is>
          <t>EX-0153</t>
        </is>
      </c>
      <c r="S123" s="7" t="inlineStr">
        <is>
          <t>No</t>
        </is>
      </c>
      <c r="T123">
        <f>IFERROR(XLOOKUP(A123,'Source Ledger'!$B$5:$B$133,'Source Ledger'!$E$5:$E$133),"")</f>
        <v>1115</v>
      </c>
      <c r="U123" t="str">
        <f>IFERROR(XLOOKUP(A123,'Source Ledger'!$B$5:$B$133,'Source Ledger'!$H$5:$H$133),"")</f>
        <v>Disposed</v>
      </c>
      <c r="V123">
        <f>IFERROR(XLOOKUP(A123,'Source Ledger'!$B$5:$B$133,'Source Ledger'!$G$5:$G$133),"")</f>
        <v>0</v>
      </c>
      <c r="W123">
        <f>IF(OR(T123="",M123=""),"",T123-M123)</f>
        <v>165</v>
      </c>
      <c r="X123" t="str">
        <f>IF(N123="","No","Yes")</f>
        <v>Yes</v>
      </c>
    </row>
    <row r="124">
      <c r="A124" s="7" t="inlineStr">
        <is>
          <t>MD-00120</t>
        </is>
      </c>
      <c r="B124" s="7" t="inlineStr">
        <is>
          <t>MD-NE-050120</t>
        </is>
      </c>
      <c r="C124" s="7" t="inlineStr">
        <is>
          <t>Network Asset</t>
        </is>
      </c>
      <c r="D124" s="7" t="inlineStr">
        <is>
          <t>Cisco C9300</t>
        </is>
      </c>
      <c r="E124" s="7" t="inlineStr">
        <is>
          <t>E0083</t>
        </is>
      </c>
      <c r="F124" s="7" t="inlineStr">
        <is>
          <t>Chicago - Closed</t>
        </is>
      </c>
      <c r="G124" s="7" t="inlineStr"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Corrected register carries MD-00120 as Disposed in Disposed. Transfer TR-00120 shows receipt 01/20/2026, approval APR-00120. PO-2025-0020 and FA-000120 agree on MD-00120. Also: offboarding ticket RET-00120 referenced.</t>
        </is>
      </c>
      <c r="L124" s="7" t="inlineStr">
        <is>
          <t>2026-07-20</t>
        </is>
      </c>
      <c r="M124" s="7" t="n">
        <v>6245</v>
      </c>
      <c r="N124" s="7">
        <f>IFERROR(XLOOKUP(A124,'Source Ledger'!$B$5:$B$133,'Source Ledger'!$G$5:$G$133),"")</f>
        <v>0</v>
      </c>
      <c r="O124" s="7" t="str">
        <f>IFERROR(XLOOKUP(A124,'Source Ledger'!$B$5:$B$133,'Source Ledger'!$A$5:$A$133),"")</f>
        <v>FA-000120</v>
      </c>
      <c r="P124" s="7" t="inlineStr">
        <is>
          <t>Yes</t>
        </is>
      </c>
      <c r="Q124" s="9" t="inlineStr">
        <is>
          <t>High</t>
        </is>
      </c>
      <c r="R124" s="7" t="inlineStr"/>
      <c r="S124" s="7" t="inlineStr">
        <is>
          <t>No</t>
        </is>
      </c>
      <c r="T124">
        <f>IFERROR(XLOOKUP(A124,'Source Ledger'!$B$5:$B$133,'Source Ledger'!$E$5:$E$133),"")</f>
        <v>6245</v>
      </c>
      <c r="U124" t="str">
        <f>IFERROR(XLOOKUP(A124,'Source Ledger'!$B$5:$B$133,'Source Ledger'!$H$5:$H$133),"")</f>
        <v>Disposed</v>
      </c>
      <c r="V124">
        <f>IFERROR(XLOOKUP(A124,'Source Ledger'!$B$5:$B$133,'Source Ledger'!$G$5:$G$133),"")</f>
        <v>0</v>
      </c>
      <c r="W124">
        <f>IF(OR(T124="",M124=""),"",T124-M124)</f>
        <v>0</v>
      </c>
      <c r="X124" t="str">
        <f>IF(N124="","No","Yes")</f>
        <v>Yes</v>
      </c>
    </row>
    <row r="125">
      <c r="A125" s="7" t="inlineStr">
        <is>
          <t>MD-00121</t>
        </is>
      </c>
      <c r="B125" s="7" t="inlineStr">
        <is>
          <t>MD-LA-050121</t>
        </is>
      </c>
      <c r="C125" s="7" t="inlineStr">
        <is>
          <t>Laptop</t>
        </is>
      </c>
      <c r="D125" s="7" t="inlineStr">
        <is>
          <t>Lenovo ThinkPad T14</t>
        </is>
      </c>
      <c r="E125" s="7" t="inlineStr"/>
      <c r="F125" s="7" t="inlineStr">
        <is>
          <t>Denver - Closed</t>
        </is>
      </c>
      <c r="G125" s="7" t="inlineStr"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MD-00121 reads Available at Chicago (Lenovo ThinkPad T14, $1940). Movement TR-00121 posted 01/21/2026 and inbound Jan 21, 2026, approval APR-00121. Purchase order PO-2022-0021 and FAR row FA-000121 both cite MD-00121.</t>
        </is>
      </c>
      <c r="L125" s="7" t="inlineStr">
        <is>
          <t>2026-02-03</t>
        </is>
      </c>
      <c r="M125" s="7" t="n">
        <v>1940</v>
      </c>
      <c r="N125" s="7">
        <f>IFERROR(XLOOKUP(A125,'Source Ledger'!$B$5:$B$133,'Source Ledger'!$G$5:$G$133),"")</f>
        <v>0</v>
      </c>
      <c r="O125" s="7" t="str">
        <f>IFERROR(XLOOKUP(A125,'Source Ledger'!$B$5:$B$133,'Source Ledger'!$A$5:$A$133),"")</f>
        <v>FA-000121</v>
      </c>
      <c r="P125" s="7" t="inlineStr">
        <is>
          <t>No</t>
        </is>
      </c>
      <c r="Q125" s="9" t="inlineStr">
        <is>
          <t>High</t>
        </is>
      </c>
      <c r="R125" s="7" t="inlineStr">
        <is>
          <t>EX-0154</t>
        </is>
      </c>
      <c r="S125" s="7" t="inlineStr">
        <is>
          <t>No</t>
        </is>
      </c>
      <c r="T125">
        <f>IFERROR(XLOOKUP(A125,'Source Ledger'!$B$5:$B$133,'Source Ledger'!$E$5:$E$133),"")</f>
        <v>1940</v>
      </c>
      <c r="U125" t="str">
        <f>IFERROR(XLOOKUP(A125,'Source Ledger'!$B$5:$B$133,'Source Ledger'!$H$5:$H$133),"")</f>
        <v>Active</v>
      </c>
      <c r="V125">
        <f>IFERROR(XLOOKUP(A125,'Source Ledger'!$B$5:$B$133,'Source Ledger'!$G$5:$G$133),"")</f>
        <v>0</v>
      </c>
      <c r="W125">
        <f>IF(OR(T125="",M125=""),"",T125-M125)</f>
        <v>0</v>
      </c>
      <c r="X125" t="str">
        <f>IF(N125="","No","Yes")</f>
        <v>Yes</v>
      </c>
    </row>
    <row r="126">
      <c r="A126" s="7" t="inlineStr">
        <is>
          <t>MD-00122</t>
        </is>
      </c>
      <c r="B126" s="7" t="inlineStr">
        <is>
          <t>MD-MO-050122</t>
        </is>
      </c>
      <c r="C126" s="7" t="inlineStr">
        <is>
          <t>Monitor</t>
        </is>
      </c>
      <c r="D126" s="7" t="inlineStr">
        <is>
          <t>Dell U2723QE</t>
        </is>
      </c>
      <c r="E126" s="7" t="inlineStr"/>
      <c r="F126" s="7" t="inlineStr">
        <is>
          <t>Chicago - Closed</t>
        </is>
      </c>
      <c r="G126" s="7" t="inlineStr"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MD-00122 reads Available at Dallas (Dell U2723QE, $655). equipment_transfer_log TR-00122, approval APR-00122; received 2026-02-25. PO-2022-0021 and FA-000122 agree on MD-00122.</t>
        </is>
      </c>
      <c r="L126" s="7" t="inlineStr">
        <is>
          <t>2026-03-04</t>
        </is>
      </c>
      <c r="M126" s="7" t="n">
        <v>655</v>
      </c>
      <c r="N126" s="7">
        <f>IFERROR(XLOOKUP(A126,'Source Ledger'!$B$5:$B$133,'Source Ledger'!$G$5:$G$133),"")</f>
        <v>336.15</v>
      </c>
      <c r="O126" s="7" t="str">
        <f>IFERROR(XLOOKUP(A126,'Source Ledger'!$B$5:$B$133,'Source Ledger'!$A$5:$A$133),"")</f>
        <v>FA-000122</v>
      </c>
      <c r="P126" s="7" t="inlineStr">
        <is>
          <t>No</t>
        </is>
      </c>
      <c r="Q126" s="9" t="inlineStr">
        <is>
          <t>High</t>
        </is>
      </c>
      <c r="R126" s="7" t="inlineStr">
        <is>
          <t>EX-0155</t>
        </is>
      </c>
      <c r="S126" s="7" t="inlineStr">
        <is>
          <t>No</t>
        </is>
      </c>
      <c r="T126">
        <f>IFERROR(XLOOKUP(A126,'Source Ledger'!$B$5:$B$133,'Source Ledger'!$E$5:$E$133),"")</f>
        <v>655</v>
      </c>
      <c r="U126" t="str">
        <f>IFERROR(XLOOKUP(A126,'Source Ledger'!$B$5:$B$133,'Source Ledger'!$H$5:$H$133),"")</f>
        <v>Active</v>
      </c>
      <c r="V126">
        <f>IFERROR(XLOOKUP(A126,'Source Ledger'!$B$5:$B$133,'Source Ledger'!$G$5:$G$133),"")</f>
        <v>336.15</v>
      </c>
      <c r="W126">
        <f>IF(OR(T126="",M126=""),"",T126-M126)</f>
        <v>0</v>
      </c>
      <c r="X126" t="str">
        <f>IF(N126="","No","Yes")</f>
        <v>Yes</v>
      </c>
    </row>
    <row r="127">
      <c r="A127" s="7" t="inlineStr">
        <is>
          <t>MD-00123</t>
        </is>
      </c>
      <c r="B127" s="7" t="inlineStr">
        <is>
          <t>MD-MO-050123</t>
        </is>
      </c>
      <c r="C127" s="7" t="inlineStr">
        <is>
          <t>Mobile Device</t>
        </is>
      </c>
      <c r="D127" s="7" t="inlineStr">
        <is>
          <t>Samsung Galaxy S24</t>
        </is>
      </c>
      <c r="E127" s="7" t="inlineStr"/>
      <c r="F127" s="7" t="inlineStr">
        <is>
          <t>Denver - Closed</t>
        </is>
      </c>
      <c r="G127" s="7" t="inlineStr"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MD-00123 reads Available at Denver (Samsung Galaxy S24, $1130). Assignment TR-00123; receive column 04/03/2026, approval APR-00123. Procurement PO-2022-0021 maps to ledger FA-000123.</t>
        </is>
      </c>
      <c r="L127" s="7" t="inlineStr">
        <is>
          <t>2026-04-05</t>
        </is>
      </c>
      <c r="M127" s="7" t="n">
        <v>1130</v>
      </c>
      <c r="N127" s="7">
        <f>IFERROR(XLOOKUP(A127,'Source Ledger'!$B$5:$B$133,'Source Ledger'!$G$5:$G$133),"")</f>
        <v>622.62</v>
      </c>
      <c r="O127" s="7" t="str">
        <f>IFERROR(XLOOKUP(A127,'Source Ledger'!$B$5:$B$133,'Source Ledger'!$A$5:$A$133),"")</f>
        <v>FA-000123</v>
      </c>
      <c r="P127" s="7" t="inlineStr">
        <is>
          <t>No</t>
        </is>
      </c>
      <c r="Q127" s="9" t="inlineStr">
        <is>
          <t>High</t>
        </is>
      </c>
      <c r="R127" s="7" t="inlineStr">
        <is>
          <t>EX-0156</t>
        </is>
      </c>
      <c r="S127" s="7" t="inlineStr">
        <is>
          <t>No</t>
        </is>
      </c>
      <c r="T127">
        <f>IFERROR(XLOOKUP(A127,'Source Ledger'!$B$5:$B$133,'Source Ledger'!$E$5:$E$133),"")</f>
        <v>1130</v>
      </c>
      <c r="U127" t="str">
        <f>IFERROR(XLOOKUP(A127,'Source Ledger'!$B$5:$B$133,'Source Ledger'!$H$5:$H$133),"")</f>
        <v>Active</v>
      </c>
      <c r="V127">
        <f>IFERROR(XLOOKUP(A127,'Source Ledger'!$B$5:$B$133,'Source Ledger'!$G$5:$G$133),"")</f>
        <v>622.62</v>
      </c>
      <c r="W127">
        <f>IF(OR(T127="",M127=""),"",T127-M127)</f>
        <v>0</v>
      </c>
      <c r="X127" t="str">
        <f>IF(N127="","No","Yes")</f>
        <v>Yes</v>
      </c>
    </row>
    <row r="128">
      <c r="A128" s="7" t="inlineStr">
        <is>
          <t>MD-00124</t>
        </is>
      </c>
      <c r="B128" s="7" t="inlineStr">
        <is>
          <t>MD-NE-050124</t>
        </is>
      </c>
      <c r="C128" s="7" t="inlineStr">
        <is>
          <t>Network Asset</t>
        </is>
      </c>
      <c r="D128" s="7" t="inlineStr">
        <is>
          <t>Cisco C9300</t>
        </is>
      </c>
      <c r="E128" s="7" t="inlineStr"/>
      <c r="F128" s="7" t="inlineStr">
        <is>
          <t>Chicago - Closed</t>
        </is>
      </c>
      <c r="G128" s="7" t="inlineStr"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MD-00124 reads Available at New York (Cisco C9300, $6425). TR-00124 for MD-00124 - received May 01, 2026, approval APR-00124. Purchase order PO-2022-0021 and FAR row FA-000124 both cite MD-00124.</t>
        </is>
      </c>
      <c r="L128" s="7" t="inlineStr">
        <is>
          <t>2026-05-06</t>
        </is>
      </c>
      <c r="M128" s="7" t="n">
        <v>6425</v>
      </c>
      <c r="N128" s="7">
        <f>IFERROR(XLOOKUP(A128,'Source Ledger'!$B$5:$B$133,'Source Ledger'!$G$5:$G$133),"")</f>
        <v>947.26</v>
      </c>
      <c r="O128" s="7" t="str">
        <f>IFERROR(XLOOKUP(A128,'Source Ledger'!$B$5:$B$133,'Source Ledger'!$A$5:$A$133),"")</f>
        <v>FA-000124</v>
      </c>
      <c r="P128" s="7" t="inlineStr">
        <is>
          <t>Yes</t>
        </is>
      </c>
      <c r="Q128" s="9" t="inlineStr">
        <is>
          <t>High</t>
        </is>
      </c>
      <c r="R128" s="7" t="inlineStr">
        <is>
          <t>EX-0157</t>
        </is>
      </c>
      <c r="S128" s="7" t="inlineStr">
        <is>
          <t>No</t>
        </is>
      </c>
      <c r="T128">
        <f>IFERROR(XLOOKUP(A128,'Source Ledger'!$B$5:$B$133,'Source Ledger'!$E$5:$E$133),"")</f>
        <v>6425</v>
      </c>
      <c r="U128" t="str">
        <f>IFERROR(XLOOKUP(A128,'Source Ledger'!$B$5:$B$133,'Source Ledger'!$H$5:$H$133),"")</f>
        <v>Active</v>
      </c>
      <c r="V128">
        <f>IFERROR(XLOOKUP(A128,'Source Ledger'!$B$5:$B$133,'Source Ledger'!$G$5:$G$133),"")</f>
        <v>947.26</v>
      </c>
      <c r="W128">
        <f>IF(OR(T128="",M128=""),"",T128-M128)</f>
        <v>0</v>
      </c>
      <c r="X128" t="str">
        <f>IF(N128="","No","Yes")</f>
        <v>Yes</v>
      </c>
    </row>
    <row r="129">
      <c r="A129" s="7" t="inlineStr">
        <is>
          <t>MD-00125</t>
        </is>
      </c>
      <c r="B129" s="7" t="inlineStr">
        <is>
          <t>MD-LA-050125</t>
        </is>
      </c>
      <c r="C129" s="7" t="inlineStr">
        <is>
          <t>Laptop</t>
        </is>
      </c>
      <c r="D129" s="7" t="inlineStr">
        <is>
          <t>MacBook Pro 14</t>
        </is>
      </c>
      <c r="E129" s="7" t="inlineStr"/>
      <c r="F129" s="7" t="inlineStr">
        <is>
          <t>Denver - Closed</t>
        </is>
      </c>
      <c r="G129" s="7" t="inlineStr"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MD-00125 reads Available at Seattle (MacBook Pro 14, $2120). Inbound stamp on TR-00125 is 2026-06-08, approval APR-00125. PO-2022-0021 and FA-000125 agree on MD-00125.</t>
        </is>
      </c>
      <c r="L129" s="7" t="inlineStr">
        <is>
          <t>2026-06-07</t>
        </is>
      </c>
      <c r="M129" s="7" t="n">
        <v>2120</v>
      </c>
      <c r="N129" s="7">
        <f>IFERROR(XLOOKUP(A129,'Source Ledger'!$B$5:$B$133,'Source Ledger'!$G$5:$G$133),"")</f>
        <v>0</v>
      </c>
      <c r="O129" s="7" t="str">
        <f>IFERROR(XLOOKUP(A129,'Source Ledger'!$B$5:$B$133,'Source Ledger'!$A$5:$A$133),"")</f>
        <v>FA-000125</v>
      </c>
      <c r="P129" s="7" t="inlineStr">
        <is>
          <t>No</t>
        </is>
      </c>
      <c r="Q129" s="9" t="inlineStr">
        <is>
          <t>High</t>
        </is>
      </c>
      <c r="R129" s="7" t="inlineStr">
        <is>
          <t>EX-0158</t>
        </is>
      </c>
      <c r="S129" s="7" t="inlineStr">
        <is>
          <t>No</t>
        </is>
      </c>
      <c r="T129">
        <f>IFERROR(XLOOKUP(A129,'Source Ledger'!$B$5:$B$133,'Source Ledger'!$E$5:$E$133),"")</f>
        <v>2120</v>
      </c>
      <c r="U129" t="str">
        <f>IFERROR(XLOOKUP(A129,'Source Ledger'!$B$5:$B$133,'Source Ledger'!$H$5:$H$133),"")</f>
        <v>Active</v>
      </c>
      <c r="V129">
        <f>IFERROR(XLOOKUP(A129,'Source Ledger'!$B$5:$B$133,'Source Ledger'!$G$5:$G$133),"")</f>
        <v>0</v>
      </c>
      <c r="W129">
        <f>IF(OR(T129="",M129=""),"",T129-M129)</f>
        <v>0</v>
      </c>
      <c r="X129" t="str">
        <f>IF(N129="","No","Yes")</f>
        <v>Yes</v>
      </c>
    </row>
    <row r="130">
      <c r="A130" s="7" t="inlineStr">
        <is>
          <t>MD-00126</t>
        </is>
      </c>
      <c r="B130" s="7" t="inlineStr">
        <is>
          <t>MD-MO-050126</t>
        </is>
      </c>
      <c r="C130" s="7" t="inlineStr">
        <is>
          <t>Monitor</t>
        </is>
      </c>
      <c r="D130" s="7" t="inlineStr">
        <is>
          <t>Dell U2723QE</t>
        </is>
      </c>
      <c r="E130" s="7" t="inlineStr"/>
      <c r="F130" s="7" t="inlineStr">
        <is>
          <t>Chicago - Closed</t>
        </is>
      </c>
      <c r="G130" s="7" t="inlineStr"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MD-00126 stays Available at Atlanta (Dell U2723QE, $520). Inbound stamp on TR-00126 is 01/12/2026, approval APR-00126. Procurement PO-2022-0021 maps to ledger FA-000126.</t>
        </is>
      </c>
      <c r="L130" s="7" t="inlineStr">
        <is>
          <t>2026-01-08</t>
        </is>
      </c>
      <c r="M130" s="7" t="n">
        <v>520</v>
      </c>
      <c r="N130" s="7">
        <f>IFERROR(XLOOKUP(A130,'Source Ledger'!$B$5:$B$133,'Source Ledger'!$G$5:$G$133),"")</f>
        <v>302.75</v>
      </c>
      <c r="O130" s="7" t="str">
        <f>IFERROR(XLOOKUP(A130,'Source Ledger'!$B$5:$B$133,'Source Ledger'!$A$5:$A$133),"")</f>
        <v>FA-000126</v>
      </c>
      <c r="P130" s="7" t="inlineStr">
        <is>
          <t>No</t>
        </is>
      </c>
      <c r="Q130" s="9" t="inlineStr">
        <is>
          <t>High</t>
        </is>
      </c>
      <c r="R130" s="7" t="inlineStr">
        <is>
          <t>EX-0159</t>
        </is>
      </c>
      <c r="S130" s="7" t="inlineStr">
        <is>
          <t>No</t>
        </is>
      </c>
      <c r="T130">
        <f>IFERROR(XLOOKUP(A130,'Source Ledger'!$B$5:$B$133,'Source Ledger'!$E$5:$E$133),"")</f>
        <v>520</v>
      </c>
      <c r="U130" t="str">
        <f>IFERROR(XLOOKUP(A130,'Source Ledger'!$B$5:$B$133,'Source Ledger'!$H$5:$H$133),"")</f>
        <v>Active</v>
      </c>
      <c r="V130">
        <f>IFERROR(XLOOKUP(A130,'Source Ledger'!$B$5:$B$133,'Source Ledger'!$G$5:$G$133),"")</f>
        <v>302.75</v>
      </c>
      <c r="W130">
        <f>IF(OR(T130="",M130=""),"",T130-M130)</f>
        <v>0</v>
      </c>
      <c r="X130" t="str">
        <f>IF(N130="","No","Yes")</f>
        <v>Yes</v>
      </c>
    </row>
    <row r="131">
      <c r="A131" s="7" t="inlineStr">
        <is>
          <t>MD-00127</t>
        </is>
      </c>
      <c r="B131" s="7" t="inlineStr">
        <is>
          <t>MD-MO-050127</t>
        </is>
      </c>
      <c r="C131" s="7" t="inlineStr">
        <is>
          <t>Mobile Device</t>
        </is>
      </c>
      <c r="D131" s="7" t="inlineStr">
        <is>
          <t>Samsung Galaxy S24</t>
        </is>
      </c>
      <c r="E131" s="7" t="inlineStr">
        <is>
          <t>E0061</t>
        </is>
      </c>
      <c r="F131" s="7" t="inlineStr">
        <is>
          <t>Denver</t>
        </is>
      </c>
      <c r="G131" s="7" t="inlineStr"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Corrected row MD-00127: In Use, Denver, $995 - Samsung Galaxy S24. Checked E0061: Transferred. Log TR-00127: received Feb 17, 2026, approval field blank. Purchase order PO-2023-0022 and FAR row FA-000127 both cite MD-00127.</t>
        </is>
      </c>
      <c r="L131" s="7" t="inlineStr">
        <is>
          <t>2026-08-05</t>
        </is>
      </c>
      <c r="M131" s="7" t="n">
        <v>995</v>
      </c>
      <c r="N131" s="7">
        <f>IFERROR(XLOOKUP(A131,'Source Ledger'!$B$5:$B$133,'Source Ledger'!$G$5:$G$133),"")</f>
        <v>662.65</v>
      </c>
      <c r="O131" s="7" t="str">
        <f>IFERROR(XLOOKUP(A131,'Source Ledger'!$B$5:$B$133,'Source Ledger'!$A$5:$A$133),"")</f>
        <v>FA-000127</v>
      </c>
      <c r="P131" s="7" t="inlineStr">
        <is>
          <t>No</t>
        </is>
      </c>
      <c r="Q131" s="7" t="inlineStr">
        <is>
          <t>Medium</t>
        </is>
      </c>
      <c r="R131" s="7" t="inlineStr">
        <is>
          <t>EX-0160</t>
        </is>
      </c>
      <c r="S131" s="7" t="inlineStr">
        <is>
          <t>No</t>
        </is>
      </c>
      <c r="T131">
        <f>IFERROR(XLOOKUP(A131,'Source Ledger'!$B$5:$B$133,'Source Ledger'!$E$5:$E$133),"")</f>
        <v>995</v>
      </c>
      <c r="U131" t="str">
        <f>IFERROR(XLOOKUP(A131,'Source Ledger'!$B$5:$B$133,'Source Ledger'!$H$5:$H$133),"")</f>
        <v>Active</v>
      </c>
      <c r="V131">
        <f>IFERROR(XLOOKUP(A131,'Source Ledger'!$B$5:$B$133,'Source Ledger'!$G$5:$G$133),"")</f>
        <v>662.65</v>
      </c>
      <c r="W131">
        <f>IF(OR(T131="",M131=""),"",T131-M131)</f>
        <v>0</v>
      </c>
      <c r="X131" t="str">
        <f>IF(N131="","No","Yes")</f>
        <v>Yes</v>
      </c>
    </row>
    <row r="132">
      <c r="A132" s="7" t="inlineStr">
        <is>
          <t>MD-00128</t>
        </is>
      </c>
      <c r="B132" s="7" t="inlineStr">
        <is>
          <t>MD-NE-050128</t>
        </is>
      </c>
      <c r="C132" s="7" t="inlineStr">
        <is>
          <t>Network Asset</t>
        </is>
      </c>
      <c r="D132" s="7" t="inlineStr">
        <is>
          <t>Cisco C9300</t>
        </is>
      </c>
      <c r="E132" s="7" t="inlineStr">
        <is>
          <t>E0062</t>
        </is>
      </c>
      <c r="F132" s="7" t="inlineStr">
        <is>
          <t>New York</t>
        </is>
      </c>
      <c r="G132" s="7" t="inlineStr"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Corrected row MD-00128: In Use, New York, $6290 - Cisco C9300. Checked E0062: Transferred. TR-00128 ties to MD-00128; dock date 2026-03-19, approval APR-00128. PO-2023-0022 and FA-000128 agree on MD-00128.</t>
        </is>
      </c>
      <c r="L132" s="7" t="inlineStr">
        <is>
          <t>2026-08-05</t>
        </is>
      </c>
      <c r="M132" s="7" t="n">
        <v>6290</v>
      </c>
      <c r="N132" s="7">
        <f>IFERROR(XLOOKUP(A132,'Source Ledger'!$B$5:$B$133,'Source Ledger'!$G$5:$G$133),"")</f>
        <v>1364.77</v>
      </c>
      <c r="O132" s="7" t="str">
        <f>IFERROR(XLOOKUP(A132,'Source Ledger'!$B$5:$B$133,'Source Ledger'!$A$5:$A$133),"")</f>
        <v>FA-000128</v>
      </c>
      <c r="P132" s="7" t="inlineStr">
        <is>
          <t>Yes</t>
        </is>
      </c>
      <c r="Q132" s="9" t="inlineStr">
        <is>
          <t>High</t>
        </is>
      </c>
      <c r="R132" s="7" t="inlineStr"/>
      <c r="S132" s="7" t="inlineStr">
        <is>
          <t>No</t>
        </is>
      </c>
      <c r="T132">
        <f>IFERROR(XLOOKUP(A132,'Source Ledger'!$B$5:$B$133,'Source Ledger'!$E$5:$E$133),"")</f>
        <v>6290</v>
      </c>
      <c r="U132" t="str">
        <f>IFERROR(XLOOKUP(A132,'Source Ledger'!$B$5:$B$133,'Source Ledger'!$H$5:$H$133),"")</f>
        <v>Active</v>
      </c>
      <c r="V132">
        <f>IFERROR(XLOOKUP(A132,'Source Ledger'!$B$5:$B$133,'Source Ledger'!$G$5:$G$133),"")</f>
        <v>1364.77</v>
      </c>
      <c r="W132">
        <f>IF(OR(T132="",M132=""),"",T132-M132)</f>
        <v>0</v>
      </c>
      <c r="X132" t="str">
        <f>IF(N132="","No","Yes")</f>
        <v>Yes</v>
      </c>
    </row>
    <row r="133">
      <c r="A133" s="7" t="inlineStr">
        <is>
          <t>MD-00129</t>
        </is>
      </c>
      <c r="B133" s="7" t="inlineStr">
        <is>
          <t>MD-LA-050129</t>
        </is>
      </c>
      <c r="C133" s="7" t="inlineStr">
        <is>
          <t>Laptop</t>
        </is>
      </c>
      <c r="D133" s="7" t="inlineStr">
        <is>
          <t>Dell Latitude 7440</t>
        </is>
      </c>
      <c r="E133" s="7" t="inlineStr">
        <is>
          <t>E0063</t>
        </is>
      </c>
      <c r="F133" s="7" t="inlineStr">
        <is>
          <t>Seattle</t>
        </is>
      </c>
      <c r="G133" s="7" t="inlineStr"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Corrected row MD-00129: In Use, Seattle, $1985 - Dell Latitude 7440. Checked E0063: Transferred. Transfer TR-00129 shows receipt 04/21/2026, approval APR-00129. Procurement PO-2023-0022 maps to ledger FA-000129.</t>
        </is>
      </c>
      <c r="L133" s="7" t="inlineStr">
        <is>
          <t>2026-08-05</t>
        </is>
      </c>
      <c r="M133" s="7" t="n">
        <v>1985</v>
      </c>
      <c r="N133" s="7">
        <f>IFERROR(XLOOKUP(A133,'Source Ledger'!$B$5:$B$133,'Source Ledger'!$G$5:$G$133),"")</f>
        <v>111.86</v>
      </c>
      <c r="O133" s="7" t="str">
        <f>IFERROR(XLOOKUP(A133,'Source Ledger'!$B$5:$B$133,'Source Ledger'!$A$5:$A$133),"")</f>
        <v>FA-000129</v>
      </c>
      <c r="P133" s="7" t="inlineStr">
        <is>
          <t>No</t>
        </is>
      </c>
      <c r="Q133" s="9" t="inlineStr">
        <is>
          <t>High</t>
        </is>
      </c>
      <c r="R133" s="7" t="inlineStr"/>
      <c r="S133" s="7" t="inlineStr">
        <is>
          <t>No</t>
        </is>
      </c>
      <c r="T133">
        <f>IFERROR(XLOOKUP(A133,'Source Ledger'!$B$5:$B$133,'Source Ledger'!$E$5:$E$133),"")</f>
        <v>1985</v>
      </c>
      <c r="U133" t="str">
        <f>IFERROR(XLOOKUP(A133,'Source Ledger'!$B$5:$B$133,'Source Ledger'!$H$5:$H$133),"")</f>
        <v>Active</v>
      </c>
      <c r="V133">
        <f>IFERROR(XLOOKUP(A133,'Source Ledger'!$B$5:$B$133,'Source Ledger'!$G$5:$G$133),"")</f>
        <v>111.86</v>
      </c>
      <c r="W133">
        <f>IF(OR(T133="",M133=""),"",T133-M133)</f>
        <v>0</v>
      </c>
      <c r="X133" t="str">
        <f>IF(N133="","No","Yes")</f>
        <v>Yes</v>
      </c>
    </row>
    <row r="134">
      <c r="A134" s="7" t="inlineStr">
        <is>
          <t>MD-00130</t>
        </is>
      </c>
      <c r="B134" s="7" t="inlineStr">
        <is>
          <t>MD-MO-050130</t>
        </is>
      </c>
      <c r="C134" s="7" t="inlineStr">
        <is>
          <t>Monitor</t>
        </is>
      </c>
      <c r="D134" s="7" t="inlineStr">
        <is>
          <t>Dell U2723QE</t>
        </is>
      </c>
      <c r="E134" s="7" t="inlineStr">
        <is>
          <t>E0064</t>
        </is>
      </c>
      <c r="F134" s="7" t="inlineStr">
        <is>
          <t>Atlanta</t>
        </is>
      </c>
      <c r="G134" s="7" t="inlineStr"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Dell U2723QE on MD-00130 is In Use in Atlanta site; basis $700. Naomi Berger has Transferred status in the people extract. Assignment TR-00130; receive column May 28, 2026, approval APR-00130. Below-threshold line MD-00130: no FA row expected (PO-2023-0023). Also: $700 below $2,500 - missing FA expected.</t>
        </is>
      </c>
      <c r="L134" s="7" t="inlineStr">
        <is>
          <t>2026-08-05</t>
        </is>
      </c>
      <c r="M134" s="7" t="n">
        <v>700</v>
      </c>
      <c r="N134" s="7" t="str">
        <f>IFERROR(XLOOKUP(A134,'Source Ledger'!$B$5:$B$133,'Source Ledger'!$G$5:$G$133),"")</f>
        <v/>
      </c>
      <c r="O134" s="7" t="str">
        <f>IFERROR(XLOOKUP(A134,'Source Ledger'!$B$5:$B$133,'Source Ledger'!$A$5:$A$133),"")</f>
        <v/>
      </c>
      <c r="P134" s="7" t="inlineStr"/>
      <c r="Q134" s="9" t="inlineStr">
        <is>
          <t>High</t>
        </is>
      </c>
      <c r="R134" s="7" t="inlineStr">
        <is>
          <t>EX-0161</t>
        </is>
      </c>
      <c r="S134" s="7" t="inlineStr">
        <is>
          <t>No</t>
        </is>
      </c>
      <c r="T134" t="str">
        <f>IFERROR(XLOOKUP(A134,'Source Ledger'!$B$5:$B$133,'Source Ledger'!$E$5:$E$133),"")</f>
        <v/>
      </c>
      <c r="U134" t="str">
        <f>IFERROR(XLOOKUP(A134,'Source Ledger'!$B$5:$B$133,'Source Ledger'!$H$5:$H$133),"")</f>
        <v/>
      </c>
      <c r="V134" t="str">
        <f>IFERROR(XLOOKUP(A134,'Source Ledger'!$B$5:$B$133,'Source Ledger'!$G$5:$G$133),"")</f>
        <v/>
      </c>
      <c r="W134" t="str">
        <f>IF(OR(T134="",M134=""),"",T134-M134)</f>
        <v/>
      </c>
      <c r="X134" t="str">
        <f>IF(N134="","No","Yes")</f>
        <v>No</v>
      </c>
    </row>
    <row r="135">
      <c r="A135" s="7" t="inlineStr">
        <is>
          <t>MD-00131</t>
        </is>
      </c>
      <c r="B135" s="7" t="inlineStr">
        <is>
          <t>MD-MO-050131</t>
        </is>
      </c>
      <c r="C135" s="7" t="inlineStr">
        <is>
          <t>Mobile Device</t>
        </is>
      </c>
      <c r="D135" s="7" t="inlineStr">
        <is>
          <t>Samsung Galaxy S24</t>
        </is>
      </c>
      <c r="E135" s="7" t="inlineStr">
        <is>
          <t>E0065</t>
        </is>
      </c>
      <c r="F135" s="7" t="inlineStr">
        <is>
          <t>Chicago</t>
        </is>
      </c>
      <c r="G135" s="7" t="inlineStr"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Samsung Galaxy S24 on MD-00131 is In Use in Chicago site; basis $1175. Felix Moreno has Transferred status in the people extract. TR-00131 for MD-00131 - received 2026-06-28, approval APR-00131. PO PO-2023-0023 on file; under $2,500 so missing FA for MD-00131 is expected. Also: $1175 below $2,500 - missing FA expected.</t>
        </is>
      </c>
      <c r="L135" s="7" t="inlineStr">
        <is>
          <t>2026-08-05</t>
        </is>
      </c>
      <c r="M135" s="7" t="n">
        <v>1175</v>
      </c>
      <c r="N135" s="7" t="str">
        <f>IFERROR(XLOOKUP(A135,'Source Ledger'!$B$5:$B$133,'Source Ledger'!$G$5:$G$133),"")</f>
        <v/>
      </c>
      <c r="O135" s="7" t="str">
        <f>IFERROR(XLOOKUP(A135,'Source Ledger'!$B$5:$B$133,'Source Ledger'!$A$5:$A$133),"")</f>
        <v/>
      </c>
      <c r="P135" s="7" t="inlineStr"/>
      <c r="Q135" s="9" t="inlineStr">
        <is>
          <t>High</t>
        </is>
      </c>
      <c r="R135" s="7" t="inlineStr">
        <is>
          <t>EX-0162</t>
        </is>
      </c>
      <c r="S135" s="7" t="inlineStr">
        <is>
          <t>No</t>
        </is>
      </c>
      <c r="T135" t="str">
        <f>IFERROR(XLOOKUP(A135,'Source Ledger'!$B$5:$B$133,'Source Ledger'!$E$5:$E$133),"")</f>
        <v/>
      </c>
      <c r="U135" t="str">
        <f>IFERROR(XLOOKUP(A135,'Source Ledger'!$B$5:$B$133,'Source Ledger'!$H$5:$H$133),"")</f>
        <v/>
      </c>
      <c r="V135" t="str">
        <f>IFERROR(XLOOKUP(A135,'Source Ledger'!$B$5:$B$133,'Source Ledger'!$G$5:$G$133),"")</f>
        <v/>
      </c>
      <c r="W135" t="str">
        <f>IF(OR(T135="",M135=""),"",T135-M135)</f>
        <v/>
      </c>
      <c r="X135" t="str">
        <f>IF(N135="","No","Yes")</f>
        <v>No</v>
      </c>
    </row>
    <row r="136">
      <c r="A136" s="7" t="inlineStr">
        <is>
          <t>MD-00132</t>
        </is>
      </c>
      <c r="B136" s="7" t="inlineStr">
        <is>
          <t>MD-NE-050132</t>
        </is>
      </c>
      <c r="C136" s="7" t="inlineStr">
        <is>
          <t>Network Asset</t>
        </is>
      </c>
      <c r="D136" s="7" t="inlineStr">
        <is>
          <t>Cisco C9300</t>
        </is>
      </c>
      <c r="E136" s="7" t="inlineStr">
        <is>
          <t>E0066</t>
        </is>
      </c>
      <c r="F136" s="7" t="inlineStr">
        <is>
          <t>Dallas</t>
        </is>
      </c>
      <c r="G136" s="7" t="inlineStr"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Cisco C9300 on MD-00132 is In Use in Dallas site; basis $6470. Sharon Quinlan has Transferred status in the people extract. Inbound stamp on TR-00132 is 01/31/2026, approval APR-00132. PO PO-2023-0022; capital-qualifying MD-00132 has no FAR row (Critical gap). Also: RN-0132 under-threshold claim rejected; $6,470 exceeds capitalization gate with no FA row.</t>
        </is>
      </c>
      <c r="L136" s="7" t="inlineStr">
        <is>
          <t>2026-08-05</t>
        </is>
      </c>
      <c r="M136" s="7" t="n">
        <v>6470</v>
      </c>
      <c r="N136" s="7" t="str">
        <f>IFERROR(XLOOKUP(A136,'Source Ledger'!$B$5:$B$133,'Source Ledger'!$G$5:$G$133),"")</f>
        <v/>
      </c>
      <c r="O136" s="7" t="str">
        <f>IFERROR(XLOOKUP(A136,'Source Ledger'!$B$5:$B$133,'Source Ledger'!$A$5:$A$133),"")</f>
        <v/>
      </c>
      <c r="P136" s="7" t="inlineStr"/>
      <c r="Q136" s="9" t="inlineStr">
        <is>
          <t>High</t>
        </is>
      </c>
      <c r="R136" s="7" t="inlineStr">
        <is>
          <t>EX-0163</t>
        </is>
      </c>
      <c r="S136" s="7" t="inlineStr">
        <is>
          <t>No</t>
        </is>
      </c>
      <c r="T136" t="str">
        <f>IFERROR(XLOOKUP(A136,'Source Ledger'!$B$5:$B$133,'Source Ledger'!$E$5:$E$133),"")</f>
        <v/>
      </c>
      <c r="U136" t="str">
        <f>IFERROR(XLOOKUP(A136,'Source Ledger'!$B$5:$B$133,'Source Ledger'!$H$5:$H$133),"")</f>
        <v/>
      </c>
      <c r="V136" t="str">
        <f>IFERROR(XLOOKUP(A136,'Source Ledger'!$B$5:$B$133,'Source Ledger'!$G$5:$G$133),"")</f>
        <v/>
      </c>
      <c r="W136" t="str">
        <f>IF(OR(T136="",M136=""),"",T136-M136)</f>
        <v/>
      </c>
      <c r="X136" t="str">
        <f>IF(N136="","No","Yes")</f>
        <v>No</v>
      </c>
    </row>
  </sheetData>
  <mergeCells count="2">
    <mergeCell ref="A2:S2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PO:PO-2024-0003; RegisterCost:1985.0; LedgerCost:2070.0</t>
        </is>
      </c>
      <c r="G5" s="7">
        <f>IF(B5="Inventory-to-Ledger Difference",IF(IFERROR(XLOOKUP(D5,'Source Ledger'!$B$5:$B$133,'Source Ledger'!$H$5:$H$133),"")="Disposed",IFERROR(XLOOKUP(D5,'Source Ledger'!$B$5:$B$133,'Source Ledger'!$G$5:$G$133),0),IF(IFERROR(XLOOKUP(D5,'Source Ledger'!$B$5:$B$133,'Source Ledger'!$E$5:$E$133),"")="",IFERROR(XLOOKUP(D5,'Corrected Register'!$A$5:$A$136,'Corrected Register'!$M$5:$M$136),0),ABS(IFERROR(XLOOKUP(D5,'Source Ledger'!$B$5:$B$133,'Source Ledger'!$E$5:$E$133),0)-IFERROR(XLOOKUP(D5,'Corrected Register'!$A$5:$A$136,'Corrected Register'!$M$5:$M$136),0)))),IFERROR(XLOOKUP(D5,'Corrected Register'!$A$5:$A$136,'Corrected Register'!$N$5:$N$136),0))</f>
        <v>85</v>
      </c>
      <c r="H5" s="7" t="inlineStr">
        <is>
          <t>Finance Controller owns cost-basis cleanup on MD-00017.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Pulled PO-2024-0003 and FA-000017; numbers diverge for MD-00017.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>
        <f>IF(B6="Inventory-to-Ledger Difference",IF(IFERROR(XLOOKUP(D6,'Source Ledger'!$B$5:$B$133,'Source Ledger'!$H$5:$H$133),"")="Disposed",IFERROR(XLOOKUP(D6,'Source Ledger'!$B$5:$B$133,'Source Ledger'!$G$5:$G$133),0),IF(IFERROR(XLOOKUP(D6,'Source Ledger'!$B$5:$B$133,'Source Ledger'!$E$5:$E$133),"")="",IFERROR(XLOOKUP(D6,'Corrected Register'!$A$5:$A$136,'Corrected Register'!$M$5:$M$136),0),ABS(IFERROR(XLOOKUP(D6,'Source Ledger'!$B$5:$B$133,'Source Ledger'!$E$5:$E$133),0)-IFERROR(XLOOKUP(D6,'Corrected Register'!$A$5:$A$136,'Corrected Register'!$M$5:$M$136),0)))),IFERROR(XLOOKUP(D6,'Corrected Register'!$A$5:$A$136,'Corrected Register'!$N$5:$N$136),0))</f>
        <v>124.52</v>
      </c>
      <c r="H6" s="7" t="inlineStr">
        <is>
          <t>Two assets share MD-LA-050021 (MD-00021,MD-00025). Bench-validate and issue a new serial.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appears on more than one tag (MD-00021,MD-00025).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Difference",IF(IFERROR(XLOOKUP(D7,'Source Ledger'!$B$5:$B$133,'Source Ledger'!$H$5:$H$133),"")="Disposed",IFERROR(XLOOKUP(D7,'Source Ledger'!$B$5:$B$133,'Source Ledger'!$G$5:$G$133),0),IF(IFERROR(XLOOKUP(D7,'Source Ledger'!$B$5:$B$133,'Source Ledger'!$E$5:$E$133),"")="",IFERROR(XLOOKUP(D7,'Corrected Register'!$A$5:$A$136,'Corrected Register'!$M$5:$M$136),0),ABS(IFERROR(XLOOKUP(D7,'Source Ledger'!$B$5:$B$133,'Source Ledger'!$E$5:$E$133),0)-IFERROR(XLOOKUP(D7,'Corrected Register'!$A$5:$A$136,'Corrected Register'!$M$5:$M$136),0)))),IFERROR(XLOOKUP(D7,'Corrected Register'!$A$5:$A$136,'Corrected Register'!$N$5:$N$136),0))</f>
        <v>0</v>
      </c>
      <c r="H7" s="7" t="inlineStr">
        <is>
          <t>MD-00025 location field lagged after consolidation; update from Denver - Closed to Chicago (EX-0003).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Closed floor Denver - Closed remains on MD-00025 despite transfer evidence (EX-0003, TR-00025).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>
        <f>IF(B8="Inventory-to-Ledger Difference",IF(IFERROR(XLOOKUP(D8,'Source Ledger'!$B$5:$B$133,'Source Ledger'!$H$5:$H$133),"")="Disposed",IFERROR(XLOOKUP(D8,'Source Ledger'!$B$5:$B$133,'Source Ledger'!$G$5:$G$133),0),IF(IFERROR(XLOOKUP(D8,'Source Ledger'!$B$5:$B$133,'Source Ledger'!$E$5:$E$133),"")="",IFERROR(XLOOKUP(D8,'Corrected Register'!$A$5:$A$136,'Corrected Register'!$M$5:$M$136),0),ABS(IFERROR(XLOOKUP(D8,'Source Ledger'!$B$5:$B$133,'Source Ledger'!$E$5:$E$133),0)-IFERROR(XLOOKUP(D8,'Corrected Register'!$A$5:$A$136,'Corrected Register'!$M$5:$M$136),0)))),IFERROR(XLOOKUP(D8,'Corrected Register'!$A$5:$A$136,'Corrected Register'!$N$5:$N$136),0))</f>
        <v>0</v>
      </c>
      <c r="H8" s="7" t="inlineStr">
        <is>
          <t>Retag required - MD-LA-050021 collision involving MD-00025.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appears on more than one tag (MD-00021,MD-00025) [EX-0004].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Difference",IF(IFERROR(XLOOKUP(D9,'Source Ledger'!$B$5:$B$133,'Source Ledger'!$H$5:$H$133),"")="Disposed",IFERROR(XLOOKUP(D9,'Source Ledger'!$B$5:$B$133,'Source Ledger'!$G$5:$G$133),0),IF(IFERROR(XLOOKUP(D9,'Source Ledger'!$B$5:$B$133,'Source Ledger'!$E$5:$E$133),"")="",IFERROR(XLOOKUP(D9,'Corrected Register'!$A$5:$A$136,'Corrected Register'!$M$5:$M$136),0),ABS(IFERROR(XLOOKUP(D9,'Source Ledger'!$B$5:$B$133,'Source Ledger'!$E$5:$E$133),0)-IFERROR(XLOOKUP(D9,'Corrected Register'!$A$5:$A$136,'Corrected Register'!$M$5:$M$136),0)))),IFERROR(XLOOKUP(D9,'Corrected Register'!$A$5:$A$136,'Corrected Register'!$N$5:$N$136),0))</f>
        <v>382.34</v>
      </c>
      <c r="H9" s="7" t="inlineStr">
        <is>
          <t>MD-00026 location field lagged after consolidation; update from Chicago - Closed to Dallas (EX-0005).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Walked register vs HR/transfer: MD-00026 still says Chicago - Closed (EX-0005).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Difference",IF(IFERROR(XLOOKUP(D10,'Source Ledger'!$B$5:$B$133,'Source Ledger'!$H$5:$H$133),"")="Disposed",IFERROR(XLOOKUP(D10,'Source Ledger'!$B$5:$B$133,'Source Ledger'!$G$5:$G$133),0),IF(IFERROR(XLOOKUP(D10,'Source Ledger'!$B$5:$B$133,'Source Ledger'!$E$5:$E$133),"")="",IFERROR(XLOOKUP(D10,'Corrected Register'!$A$5:$A$136,'Corrected Register'!$M$5:$M$136),0),ABS(IFERROR(XLOOKUP(D10,'Source Ledger'!$B$5:$B$133,'Source Ledger'!$E$5:$E$133),0)-IFERROR(XLOOKUP(D10,'Corrected Register'!$A$5:$A$136,'Corrected Register'!$M$5:$M$136),0)))),IFERROR(XLOOKUP(D10,'Corrected Register'!$A$5:$A$136,'Corrected Register'!$N$5:$N$136),0))</f>
        <v>672.21</v>
      </c>
      <c r="H10" s="7" t="inlineStr">
        <is>
          <t>Denver - Closed is no longer occupied. Park MD-00027 at Denver on the register (EX-0006).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Register still codes MD-00027 to Denver - Closed; TR-00027 points to Denver (EX-0006).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Difference",IF(IFERROR(XLOOKUP(D11,'Source Ledger'!$B$5:$B$133,'Source Ledger'!$H$5:$H$133),"")="Disposed",IFERROR(XLOOKUP(D11,'Source Ledger'!$B$5:$B$133,'Source Ledger'!$G$5:$G$133),0),IF(IFERROR(XLOOKUP(D11,'Source Ledger'!$B$5:$B$133,'Source Ledger'!$E$5:$E$133),"")="",IFERROR(XLOOKUP(D11,'Corrected Register'!$A$5:$A$136,'Corrected Register'!$M$5:$M$136),0),ABS(IFERROR(XLOOKUP(D11,'Source Ledger'!$B$5:$B$133,'Source Ledger'!$E$5:$E$133),0)-IFERROR(XLOOKUP(D11,'Corrected Register'!$A$5:$A$136,'Corrected Register'!$M$5:$M$136),0)))),IFERROR(XLOOKUP(D11,'Corrected Register'!$A$5:$A$136,'Corrected Register'!$N$5:$N$136),0))</f>
        <v>914.09</v>
      </c>
      <c r="H11" s="7" t="inlineStr">
        <is>
          <t>MD-00028 cannot remain on shuttered floor Chicago - Closed. Set location to New York (EX-0007).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Location on MD-00028 is consolidation debt (Chicago - Closed, EX-0007).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Difference",IF(IFERROR(XLOOKUP(D12,'Source Ledger'!$B$5:$B$133,'Source Ledger'!$H$5:$H$133),"")="Disposed",IFERROR(XLOOKUP(D12,'Source Ledger'!$B$5:$B$133,'Source Ledger'!$G$5:$G$133),0),IF(IFERROR(XLOOKUP(D12,'Source Ledger'!$B$5:$B$133,'Source Ledger'!$E$5:$E$133),"")="",IFERROR(XLOOKUP(D12,'Corrected Register'!$A$5:$A$136,'Corrected Register'!$M$5:$M$136),0),ABS(IFERROR(XLOOKUP(D12,'Source Ledger'!$B$5:$B$133,'Source Ledger'!$E$5:$E$133),0)-IFERROR(XLOOKUP(D12,'Corrected Register'!$A$5:$A$136,'Corrected Register'!$M$5:$M$136),0)))),IFERROR(XLOOKUP(D12,'Corrected Register'!$A$5:$A$136,'Corrected Register'!$N$5:$N$136),0))</f>
        <v>0</v>
      </c>
      <c r="H12" s="7" t="inlineStr">
        <is>
          <t>Closed floor Denver - Closed stays on MD-00029; rewrite required (EX-0008).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Consolidation left MD-00029 @ Denver - Closed; ops now use Seattle (EX-0008).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Difference",IF(IFERROR(XLOOKUP(D13,'Source Ledger'!$B$5:$B$133,'Source Ledger'!$H$5:$H$133),"")="Disposed",IFERROR(XLOOKUP(D13,'Source Ledger'!$B$5:$B$133,'Source Ledger'!$G$5:$G$133),0),IF(IFERROR(XLOOKUP(D13,'Source Ledger'!$B$5:$B$133,'Source Ledger'!$E$5:$E$133),"")="",IFERROR(XLOOKUP(D13,'Corrected Register'!$A$5:$A$136,'Corrected Register'!$M$5:$M$136),0),ABS(IFERROR(XLOOKUP(D13,'Source Ledger'!$B$5:$B$133,'Source Ledger'!$E$5:$E$133),0)-IFERROR(XLOOKUP(D13,'Corrected Register'!$A$5:$A$136,'Corrected Register'!$M$5:$M$136),0)))),IFERROR(XLOOKUP(D13,'Corrected Register'!$A$5:$A$136,'Corrected Register'!$N$5:$N$136),0))</f>
        <v>355.14</v>
      </c>
      <c r="H13" s="7" t="inlineStr">
        <is>
          <t>Register still lists MD-00030 at Chicago - Closed. Replace with Atlanta (EX-0009).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TR-00030 destination is not the shuttered office listed for MD-00030 (EX-0009).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Difference",IF(IFERROR(XLOOKUP(D14,'Source Ledger'!$B$5:$B$133,'Source Ledger'!$H$5:$H$133),"")="Disposed",IFERROR(XLOOKUP(D14,'Source Ledger'!$B$5:$B$133,'Source Ledger'!$G$5:$G$133),0),IF(IFERROR(XLOOKUP(D14,'Source Ledger'!$B$5:$B$133,'Source Ledger'!$E$5:$E$133),"")="",IFERROR(XLOOKUP(D14,'Corrected Register'!$A$5:$A$136,'Corrected Register'!$M$5:$M$136),0),ABS(IFERROR(XLOOKUP(D14,'Source Ledger'!$B$5:$B$133,'Source Ledger'!$E$5:$E$133),0)-IFERROR(XLOOKUP(D14,'Corrected Register'!$A$5:$A$136,'Corrected Register'!$M$5:$M$136),0)))),IFERROR(XLOOKUP(D14,'Corrected Register'!$A$5:$A$136,'Corrected Register'!$N$5:$N$136),0))</f>
        <v>722.59</v>
      </c>
      <c r="H14" s="7" t="inlineStr">
        <is>
          <t>Fix MD-00031: register site Denver - Closed conflicts with current ops at Chicago (EX-0010).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Did not treat closed building Denver - Closed as live location for MD-00031 (EX-0010).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Difference",IF(IFERROR(XLOOKUP(D15,'Source Ledger'!$B$5:$B$133,'Source Ledger'!$H$5:$H$133),"")="Disposed",IFERROR(XLOOKUP(D15,'Source Ledger'!$B$5:$B$133,'Source Ledger'!$G$5:$G$133),0),IF(IFERROR(XLOOKUP(D15,'Source Ledger'!$B$5:$B$133,'Source Ledger'!$E$5:$E$133),"")="",IFERROR(XLOOKUP(D15,'Corrected Register'!$A$5:$A$136,'Corrected Register'!$M$5:$M$136),0),ABS(IFERROR(XLOOKUP(D15,'Source Ledger'!$B$5:$B$133,'Source Ledger'!$E$5:$E$133),0)-IFERROR(XLOOKUP(D15,'Corrected Register'!$A$5:$A$136,'Corrected Register'!$M$5:$M$136),0)))),IFERROR(XLOOKUP(D15,'Corrected Register'!$A$5:$A$136,'Corrected Register'!$N$5:$N$136),0))</f>
        <v>1384.3</v>
      </c>
      <c r="H15" s="7" t="inlineStr">
        <is>
          <t>Chicago - Closed is no longer occupied. Park MD-00032 at Dallas on the register (EX-0011).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Finding EX-0011: MD-00032 location stale at Chicago - Closed; prefer Dallas.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Difference",IF(IFERROR(XLOOKUP(D16,'Source Ledger'!$B$5:$B$133,'Source Ledger'!$H$5:$H$133),"")="Disposed",IFERROR(XLOOKUP(D16,'Source Ledger'!$B$5:$B$133,'Source Ledger'!$G$5:$G$133),0),IF(IFERROR(XLOOKUP(D16,'Source Ledger'!$B$5:$B$133,'Source Ledger'!$E$5:$E$133),"")="",IFERROR(XLOOKUP(D16,'Corrected Register'!$A$5:$A$136,'Corrected Register'!$M$5:$M$136),0),ABS(IFERROR(XLOOKUP(D16,'Source Ledger'!$B$5:$B$133,'Source Ledger'!$E$5:$E$133),0)-IFERROR(XLOOKUP(D16,'Corrected Register'!$A$5:$A$136,'Corrected Register'!$M$5:$M$136),0)))),IFERROR(XLOOKUP(D16,'Corrected Register'!$A$5:$A$136,'Corrected Register'!$N$5:$N$136),0))</f>
        <v>116.93</v>
      </c>
      <c r="H16" s="7" t="inlineStr">
        <is>
          <t>Closed floor Denver - Closed stays on MD-00033; rewrite required (EX-0012).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Register still codes MD-00033 to Denver - Closed; TR-00033 points to Denver (EX-0012).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Difference",IF(IFERROR(XLOOKUP(D17,'Source Ledger'!$B$5:$B$133,'Source Ledger'!$H$5:$H$133),"")="Disposed",IFERROR(XLOOKUP(D17,'Source Ledger'!$B$5:$B$133,'Source Ledger'!$G$5:$G$133),0),IF(IFERROR(XLOOKUP(D17,'Source Ledger'!$B$5:$B$133,'Source Ledger'!$E$5:$E$133),"")="",IFERROR(XLOOKUP(D17,'Corrected Register'!$A$5:$A$136,'Corrected Register'!$M$5:$M$136),0),ABS(IFERROR(XLOOKUP(D17,'Source Ledger'!$B$5:$B$133,'Source Ledger'!$E$5:$E$133),0)-IFERROR(XLOOKUP(D17,'Corrected Register'!$A$5:$A$136,'Corrected Register'!$M$5:$M$136),0)))),IFERROR(XLOOKUP(D17,'Corrected Register'!$A$5:$A$136,'Corrected Register'!$N$5:$N$136),0))</f>
        <v>514.88</v>
      </c>
      <c r="H17" s="7" t="inlineStr">
        <is>
          <t>Do not leave MD-00034 assigned to unused floor Chicago - Closed (EX-0013).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Register still codes MD-00034 to Chicago - Closed; TR-00034 points to New York (EX-0013).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PO:PO-2023-0006; RegisterCost:790.0; LedgerCost:930.0</t>
        </is>
      </c>
      <c r="G18" s="7">
        <f>IF(B18="Inventory-to-Ledger Difference",IF(IFERROR(XLOOKUP(D18,'Source Ledger'!$B$5:$B$133,'Source Ledger'!$H$5:$H$133),"")="Disposed",IFERROR(XLOOKUP(D18,'Source Ledger'!$B$5:$B$133,'Source Ledger'!$G$5:$G$133),0),IF(IFERROR(XLOOKUP(D18,'Source Ledger'!$B$5:$B$133,'Source Ledger'!$E$5:$E$133),"")="",IFERROR(XLOOKUP(D18,'Corrected Register'!$A$5:$A$136,'Corrected Register'!$M$5:$M$136),0),ABS(IFERROR(XLOOKUP(D18,'Source Ledger'!$B$5:$B$133,'Source Ledger'!$E$5:$E$133),0)-IFERROR(XLOOKUP(D18,'Corrected Register'!$A$5:$A$136,'Corrected Register'!$M$5:$M$136),0)))),IFERROR(XLOOKUP(D18,'Corrected Register'!$A$5:$A$136,'Corrected Register'!$N$5:$N$136),0))</f>
        <v>140</v>
      </c>
      <c r="H18" s="7" t="inlineStr">
        <is>
          <t>Align cost on MD-00034: register 790.0 vs ledger 930.0 (FA-000034).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Pulled PO-2023-0006 and FA-000034; numbers diverge for MD-00034.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Difference",IF(IFERROR(XLOOKUP(D19,'Source Ledger'!$B$5:$B$133,'Source Ledger'!$H$5:$H$133),"")="Disposed",IFERROR(XLOOKUP(D19,'Source Ledger'!$B$5:$B$133,'Source Ledger'!$G$5:$G$133),0),IF(IFERROR(XLOOKUP(D19,'Source Ledger'!$B$5:$B$133,'Source Ledger'!$E$5:$E$133),"")="",IFERROR(XLOOKUP(D19,'Corrected Register'!$A$5:$A$136,'Corrected Register'!$M$5:$M$136),0),ABS(IFERROR(XLOOKUP(D19,'Source Ledger'!$B$5:$B$133,'Source Ledger'!$E$5:$E$133),0)-IFERROR(XLOOKUP(D19,'Corrected Register'!$A$5:$A$136,'Corrected Register'!$M$5:$M$136),0)))),IFERROR(XLOOKUP(D19,'Corrected Register'!$A$5:$A$136,'Corrected Register'!$N$5:$N$136),0))</f>
        <v>741.92</v>
      </c>
      <c r="H19" s="7" t="inlineStr">
        <is>
          <t>HR-aligned site for MD-00035 is Seattle; register still says Denver - Closed (EX-0015).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Location on MD-00035 is consolidation debt (Denver - Closed, EX-0015).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Difference",IF(IFERROR(XLOOKUP(D20,'Source Ledger'!$B$5:$B$133,'Source Ledger'!$H$5:$H$133),"")="Disposed",IFERROR(XLOOKUP(D20,'Source Ledger'!$B$5:$B$133,'Source Ledger'!$G$5:$G$133),0),IF(IFERROR(XLOOKUP(D20,'Source Ledger'!$B$5:$B$133,'Source Ledger'!$E$5:$E$133),"")="",IFERROR(XLOOKUP(D20,'Corrected Register'!$A$5:$A$136,'Corrected Register'!$M$5:$M$136),0),ABS(IFERROR(XLOOKUP(D20,'Source Ledger'!$B$5:$B$133,'Source Ledger'!$E$5:$E$133),0)-IFERROR(XLOOKUP(D20,'Corrected Register'!$A$5:$A$136,'Corrected Register'!$M$5:$M$136),0)))),IFERROR(XLOOKUP(D20,'Corrected Register'!$A$5:$A$136,'Corrected Register'!$N$5:$N$136),0))</f>
        <v>537.73</v>
      </c>
      <c r="H20" s="7" t="inlineStr">
        <is>
          <t>Update register location for MD-00036 before the next cert packet (EX-0016).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HR/transfer support Atlanta; register kept Chicago - Closed for MD-00036 (EX-0016).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Difference",IF(IFERROR(XLOOKUP(D21,'Source Ledger'!$B$5:$B$133,'Source Ledger'!$H$5:$H$133),"")="Disposed",IFERROR(XLOOKUP(D21,'Source Ledger'!$B$5:$B$133,'Source Ledger'!$G$5:$G$133),0),IF(IFERROR(XLOOKUP(D21,'Source Ledger'!$B$5:$B$133,'Source Ledger'!$E$5:$E$133),"")="",IFERROR(XLOOKUP(D21,'Corrected Register'!$A$5:$A$136,'Corrected Register'!$M$5:$M$136),0),ABS(IFERROR(XLOOKUP(D21,'Source Ledger'!$B$5:$B$133,'Source Ledger'!$E$5:$E$133),0)-IFERROR(XLOOKUP(D21,'Corrected Register'!$A$5:$A$136,'Corrected Register'!$M$5:$M$136),0)))),IFERROR(XLOOKUP(D21,'Corrected Register'!$A$5:$A$136,'Corrected Register'!$N$5:$N$136),0))</f>
        <v>0</v>
      </c>
      <c r="H21" s="7" t="inlineStr">
        <is>
          <t>IT Asset Specialist: recode MD-00037 off Denver - Closed; Chicago is the live office per TR-00037 (EX-0017).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Site code on MD-00037 did not survive consolidation (Denver - Closed, EX-0017).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Difference",IF(IFERROR(XLOOKUP(D22,'Source Ledger'!$B$5:$B$133,'Source Ledger'!$H$5:$H$133),"")="Disposed",IFERROR(XLOOKUP(D22,'Source Ledger'!$B$5:$B$133,'Source Ledger'!$G$5:$G$133),0),IF(IFERROR(XLOOKUP(D22,'Source Ledger'!$B$5:$B$133,'Source Ledger'!$E$5:$E$133),"")="",IFERROR(XLOOKUP(D22,'Corrected Register'!$A$5:$A$136,'Corrected Register'!$M$5:$M$136),0),ABS(IFERROR(XLOOKUP(D22,'Source Ledger'!$B$5:$B$133,'Source Ledger'!$E$5:$E$133),0)-IFERROR(XLOOKUP(D22,'Corrected Register'!$A$5:$A$136,'Corrected Register'!$M$5:$M$136),0)))),IFERROR(XLOOKUP(D22,'Corrected Register'!$A$5:$A$136,'Corrected Register'!$N$5:$N$136),0))</f>
        <v>340.46</v>
      </c>
      <c r="H22" s="7" t="inlineStr">
        <is>
          <t>HR-aligned site for MD-00038 is Dallas; register still says Chicago - Closed (EX-0018).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Finding EX-0018: MD-00038 location stale at Chicago - Closed; prefer Dallas.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Difference",IF(IFERROR(XLOOKUP(D23,'Source Ledger'!$B$5:$B$133,'Source Ledger'!$H$5:$H$133),"")="Disposed",IFERROR(XLOOKUP(D23,'Source Ledger'!$B$5:$B$133,'Source Ledger'!$G$5:$G$133),0),IF(IFERROR(XLOOKUP(D23,'Source Ledger'!$B$5:$B$133,'Source Ledger'!$E$5:$E$133),"")="",IFERROR(XLOOKUP(D23,'Corrected Register'!$A$5:$A$136,'Corrected Register'!$M$5:$M$136),0),ABS(IFERROR(XLOOKUP(D23,'Source Ledger'!$B$5:$B$133,'Source Ledger'!$E$5:$E$133),0)-IFERROR(XLOOKUP(D23,'Corrected Register'!$A$5:$A$136,'Corrected Register'!$M$5:$M$136),0)))),IFERROR(XLOOKUP(D23,'Corrected Register'!$A$5:$A$136,'Corrected Register'!$N$5:$N$136),0))</f>
        <v>635</v>
      </c>
      <c r="H23" s="7" t="inlineStr">
        <is>
          <t>Remove closed-site coding on MD-00039 (Denver - Closed → Denver, EX-0019).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Denver is the operating site; MD-00039 still lists Denver - Closed (EX-0019).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Difference",IF(IFERROR(XLOOKUP(D24,'Source Ledger'!$B$5:$B$133,'Source Ledger'!$H$5:$H$133),"")="Disposed",IFERROR(XLOOKUP(D24,'Source Ledger'!$B$5:$B$133,'Source Ledger'!$G$5:$G$133),0),IF(IFERROR(XLOOKUP(D24,'Source Ledger'!$B$5:$B$133,'Source Ledger'!$E$5:$E$133),"")="",IFERROR(XLOOKUP(D24,'Corrected Register'!$A$5:$A$136,'Corrected Register'!$M$5:$M$136),0),ABS(IFERROR(XLOOKUP(D24,'Source Ledger'!$B$5:$B$133,'Source Ledger'!$E$5:$E$133),0)-IFERROR(XLOOKUP(D24,'Corrected Register'!$A$5:$A$136,'Corrected Register'!$M$5:$M$136),0)))),IFERROR(XLOOKUP(D24,'Corrected Register'!$A$5:$A$136,'Corrected Register'!$N$5:$N$136),0))</f>
        <v>989.48</v>
      </c>
      <c r="H24" s="7" t="inlineStr">
        <is>
          <t>IT Asset Specialist to retire Chicago - Closed on MD-00040 and apply New York (EX-0020).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Location evidence for MD-00040: closed floor Chicago - Closed vs live New York (EX-0020).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Difference",IF(IFERROR(XLOOKUP(D25,'Source Ledger'!$B$5:$B$133,'Source Ledger'!$H$5:$H$133),"")="Disposed",IFERROR(XLOOKUP(D25,'Source Ledger'!$B$5:$B$133,'Source Ledger'!$G$5:$G$133),0),IF(IFERROR(XLOOKUP(D25,'Source Ledger'!$B$5:$B$133,'Source Ledger'!$E$5:$E$133),"")="",IFERROR(XLOOKUP(D25,'Corrected Register'!$A$5:$A$136,'Corrected Register'!$M$5:$M$136),0),ABS(IFERROR(XLOOKUP(D25,'Source Ledger'!$B$5:$B$133,'Source Ledger'!$E$5:$E$133),0)-IFERROR(XLOOKUP(D25,'Corrected Register'!$A$5:$A$136,'Corrected Register'!$M$5:$M$136),0)))),IFERROR(XLOOKUP(D25,'Corrected Register'!$A$5:$A$136,'Corrected Register'!$N$5:$N$136),0))</f>
        <v>0</v>
      </c>
      <c r="H25" s="7" t="inlineStr">
        <is>
          <t>Update register location for MD-00041 before the next cert packet (EX-0021).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Register location Denver - Closed conflicts with current footprint for MD-00041 (EX-0021).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Difference",IF(IFERROR(XLOOKUP(D26,'Source Ledger'!$B$5:$B$133,'Source Ledger'!$H$5:$H$133),"")="Disposed",IFERROR(XLOOKUP(D26,'Source Ledger'!$B$5:$B$133,'Source Ledger'!$G$5:$G$133),0),IF(IFERROR(XLOOKUP(D26,'Source Ledger'!$B$5:$B$133,'Source Ledger'!$E$5:$E$133),"")="",IFERROR(XLOOKUP(D26,'Corrected Register'!$A$5:$A$136,'Corrected Register'!$M$5:$M$136),0),ABS(IFERROR(XLOOKUP(D26,'Source Ledger'!$B$5:$B$133,'Source Ledger'!$E$5:$E$133),0)-IFERROR(XLOOKUP(D26,'Corrected Register'!$A$5:$A$136,'Corrected Register'!$M$5:$M$136),0)))),IFERROR(XLOOKUP(D26,'Corrected Register'!$A$5:$A$136,'Corrected Register'!$N$5:$N$136),0))</f>
        <v>306.16</v>
      </c>
      <c r="H26" s="7" t="inlineStr">
        <is>
          <t>Remove closed-site coding on MD-00042 (Chicago - Closed → Atlanta, EX-0022).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Closed floor Chicago - Closed remains on MD-00042 despite transfer evidence (EX-0022, TR-00042).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Difference",IF(IFERROR(XLOOKUP(D27,'Source Ledger'!$B$5:$B$133,'Source Ledger'!$H$5:$H$133),"")="Disposed",IFERROR(XLOOKUP(D27,'Source Ledger'!$B$5:$B$133,'Source Ledger'!$G$5:$G$133),0),IF(IFERROR(XLOOKUP(D27,'Source Ledger'!$B$5:$B$133,'Source Ledger'!$E$5:$E$133),"")="",IFERROR(XLOOKUP(D27,'Corrected Register'!$A$5:$A$136,'Corrected Register'!$M$5:$M$136),0),ABS(IFERROR(XLOOKUP(D27,'Source Ledger'!$B$5:$B$133,'Source Ledger'!$E$5:$E$133),0)-IFERROR(XLOOKUP(D27,'Corrected Register'!$A$5:$A$136,'Corrected Register'!$M$5:$M$136),0)))),IFERROR(XLOOKUP(D27,'Corrected Register'!$A$5:$A$136,'Corrected Register'!$N$5:$N$136),0))</f>
        <v>673.55</v>
      </c>
      <c r="H27" s="7" t="inlineStr">
        <is>
          <t>IT Asset Specialist owns the location rewrite for MD-00043 at Denver - Closed (EX-0023).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Location on MD-00043 is consolidation debt (Denver - Closed, EX-0023).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Difference",IF(IFERROR(XLOOKUP(D28,'Source Ledger'!$B$5:$B$133,'Source Ledger'!$H$5:$H$133),"")="Disposed",IFERROR(XLOOKUP(D28,'Source Ledger'!$B$5:$B$133,'Source Ledger'!$G$5:$G$133),0),IF(IFERROR(XLOOKUP(D28,'Source Ledger'!$B$5:$B$133,'Source Ledger'!$E$5:$E$133),"")="",IFERROR(XLOOKUP(D28,'Corrected Register'!$A$5:$A$136,'Corrected Register'!$M$5:$M$136),0),ABS(IFERROR(XLOOKUP(D28,'Source Ledger'!$B$5:$B$133,'Source Ledger'!$E$5:$E$133),0)-IFERROR(XLOOKUP(D28,'Corrected Register'!$A$5:$A$136,'Corrected Register'!$M$5:$M$136),0)))),IFERROR(XLOOKUP(D28,'Corrected Register'!$A$5:$A$136,'Corrected Register'!$N$5:$N$136),0))</f>
        <v>1406.1</v>
      </c>
      <c r="H28" s="7" t="inlineStr">
        <is>
          <t>MD-00044 / Chicago - Closed is a consolidation leftover - move to Dallas (EX-0024).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Walked register vs HR/transfer: MD-00044 still says Chicago - Closed (EX-0024).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Difference",IF(IFERROR(XLOOKUP(D29,'Source Ledger'!$B$5:$B$133,'Source Ledger'!$H$5:$H$133),"")="Disposed",IFERROR(XLOOKUP(D29,'Source Ledger'!$B$5:$B$133,'Source Ledger'!$G$5:$G$133),0),IF(IFERROR(XLOOKUP(D29,'Source Ledger'!$B$5:$B$133,'Source Ledger'!$E$5:$E$133),"")="",IFERROR(XLOOKUP(D29,'Corrected Register'!$A$5:$A$136,'Corrected Register'!$M$5:$M$136),0),ABS(IFERROR(XLOOKUP(D29,'Source Ledger'!$B$5:$B$133,'Source Ledger'!$E$5:$E$133),0)-IFERROR(XLOOKUP(D29,'Corrected Register'!$A$5:$A$136,'Corrected Register'!$M$5:$M$136),0)))),IFERROR(XLOOKUP(D29,'Corrected Register'!$A$5:$A$136,'Corrected Register'!$N$5:$N$136),0))</f>
        <v>133.6</v>
      </c>
      <c r="H29" s="7" t="inlineStr">
        <is>
          <t>IT Asset Specialist: recode MD-00045 off Denver - Closed; Denver is the live office per TR-00045 (EX-0025).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Register location Denver - Closed conflicts with current footprint for MD-00045 (EX-0025).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Difference",IF(IFERROR(XLOOKUP(D30,'Source Ledger'!$B$5:$B$133,'Source Ledger'!$H$5:$H$133),"")="Disposed",IFERROR(XLOOKUP(D30,'Source Ledger'!$B$5:$B$133,'Source Ledger'!$G$5:$G$133),0),IF(IFERROR(XLOOKUP(D30,'Source Ledger'!$B$5:$B$133,'Source Ledger'!$E$5:$E$133),"")="",IFERROR(XLOOKUP(D30,'Corrected Register'!$A$5:$A$136,'Corrected Register'!$M$5:$M$136),0),ABS(IFERROR(XLOOKUP(D30,'Source Ledger'!$B$5:$B$133,'Source Ledger'!$E$5:$E$133),0)-IFERROR(XLOOKUP(D30,'Corrected Register'!$A$5:$A$136,'Corrected Register'!$M$5:$M$136),0)))),IFERROR(XLOOKUP(D30,'Corrected Register'!$A$5:$A$136,'Corrected Register'!$N$5:$N$136),0))</f>
        <v>460.82</v>
      </c>
      <c r="H30" s="7" t="inlineStr">
        <is>
          <t>Fix MD-00046: register site Chicago - Closed conflicts with current ops at New York (EX-0026).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Chicago - Closed is shuttered. Did not leave MD-00046 there on paper - New York is live (EX-0026).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Difference",IF(IFERROR(XLOOKUP(D31,'Source Ledger'!$B$5:$B$133,'Source Ledger'!$H$5:$H$133),"")="Disposed",IFERROR(XLOOKUP(D31,'Source Ledger'!$B$5:$B$133,'Source Ledger'!$G$5:$G$133),0),IF(IFERROR(XLOOKUP(D31,'Source Ledger'!$B$5:$B$133,'Source Ledger'!$E$5:$E$133),"")="",IFERROR(XLOOKUP(D31,'Corrected Register'!$A$5:$A$136,'Corrected Register'!$M$5:$M$136),0),ABS(IFERROR(XLOOKUP(D31,'Source Ledger'!$B$5:$B$133,'Source Ledger'!$E$5:$E$133),0)-IFERROR(XLOOKUP(D31,'Corrected Register'!$A$5:$A$136,'Corrected Register'!$M$5:$M$136),0)))),IFERROR(XLOOKUP(D31,'Corrected Register'!$A$5:$A$136,'Corrected Register'!$N$5:$N$136),0))</f>
        <v>930.51</v>
      </c>
      <c r="H31" s="7" t="inlineStr">
        <is>
          <t>IT Asset Specialist: recode MD-00047 off Denver - Closed; Seattle is the live office per TR-00047 (EX-0027).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Physical sites changed; MD-00047 register did not (Denver - Closed, EX-0027).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Difference",IF(IFERROR(XLOOKUP(D32,'Source Ledger'!$B$5:$B$133,'Source Ledger'!$H$5:$H$133),"")="Disposed",IFERROR(XLOOKUP(D32,'Source Ledger'!$B$5:$B$133,'Source Ledger'!$G$5:$G$133),0),IF(IFERROR(XLOOKUP(D32,'Source Ledger'!$B$5:$B$133,'Source Ledger'!$E$5:$E$133),"")="",IFERROR(XLOOKUP(D32,'Corrected Register'!$A$5:$A$136,'Corrected Register'!$M$5:$M$136),0),ABS(IFERROR(XLOOKUP(D32,'Source Ledger'!$B$5:$B$133,'Source Ledger'!$E$5:$E$133),0)-IFERROR(XLOOKUP(D32,'Corrected Register'!$A$5:$A$136,'Corrected Register'!$M$5:$M$136),0)))),IFERROR(XLOOKUP(D32,'Corrected Register'!$A$5:$A$136,'Corrected Register'!$N$5:$N$136),0))</f>
        <v>514.59</v>
      </c>
      <c r="H32" s="7" t="inlineStr">
        <is>
          <t>Closed floor Chicago - Closed stays on MD-00048; rewrite required (EX-0028).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Unused-office coding on MD-00048 is unsupported by movement files (EX-0028).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Difference",IF(IFERROR(XLOOKUP(D33,'Source Ledger'!$B$5:$B$133,'Source Ledger'!$H$5:$H$133),"")="Disposed",IFERROR(XLOOKUP(D33,'Source Ledger'!$B$5:$B$133,'Source Ledger'!$G$5:$G$133),0),IF(IFERROR(XLOOKUP(D33,'Source Ledger'!$B$5:$B$133,'Source Ledger'!$E$5:$E$133),"")="",IFERROR(XLOOKUP(D33,'Corrected Register'!$A$5:$A$136,'Corrected Register'!$M$5:$M$136),0),ABS(IFERROR(XLOOKUP(D33,'Source Ledger'!$B$5:$B$133,'Source Ledger'!$E$5:$E$133),0)-IFERROR(XLOOKUP(D33,'Corrected Register'!$A$5:$A$136,'Corrected Register'!$M$5:$M$136),0)))),IFERROR(XLOOKUP(D33,'Corrected Register'!$A$5:$A$136,'Corrected Register'!$N$5:$N$136),0))</f>
        <v>0</v>
      </c>
      <c r="H33" s="7" t="inlineStr">
        <is>
          <t>MD-00049 cannot remain on shuttered floor Denver - Closed. Set location to Chicago (EX-0029).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Physical sites changed; MD-00049 register did not (Denver - Closed, EX-0029).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Difference",IF(IFERROR(XLOOKUP(D34,'Source Ledger'!$B$5:$B$133,'Source Ledger'!$H$5:$H$133),"")="Disposed",IFERROR(XLOOKUP(D34,'Source Ledger'!$B$5:$B$133,'Source Ledger'!$G$5:$G$133),0),IF(IFERROR(XLOOKUP(D34,'Source Ledger'!$B$5:$B$133,'Source Ledger'!$E$5:$E$133),"")="",IFERROR(XLOOKUP(D34,'Corrected Register'!$A$5:$A$136,'Corrected Register'!$M$5:$M$136),0),ABS(IFERROR(XLOOKUP(D34,'Source Ledger'!$B$5:$B$133,'Source Ledger'!$E$5:$E$133),0)-IFERROR(XLOOKUP(D34,'Corrected Register'!$A$5:$A$136,'Corrected Register'!$M$5:$M$136),0)))),IFERROR(XLOOKUP(D34,'Corrected Register'!$A$5:$A$136,'Corrected Register'!$N$5:$N$136),0))</f>
        <v>289.96</v>
      </c>
      <c r="H34" s="7" t="inlineStr">
        <is>
          <t>Fix MD-00050: register site Chicago - Closed conflicts with current ops at Dallas (EX-0030).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Site code on MD-00050 did not survive consolidation (Chicago - Closed, EX-0030).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Difference",IF(IFERROR(XLOOKUP(D35,'Source Ledger'!$B$5:$B$133,'Source Ledger'!$H$5:$H$133),"")="Disposed",IFERROR(XLOOKUP(D35,'Source Ledger'!$B$5:$B$133,'Source Ledger'!$G$5:$G$133),0),IF(IFERROR(XLOOKUP(D35,'Source Ledger'!$B$5:$B$133,'Source Ledger'!$E$5:$E$133),"")="",IFERROR(XLOOKUP(D35,'Corrected Register'!$A$5:$A$136,'Corrected Register'!$M$5:$M$136),0),ABS(IFERROR(XLOOKUP(D35,'Source Ledger'!$B$5:$B$133,'Source Ledger'!$E$5:$E$133),0)-IFERROR(XLOOKUP(D35,'Corrected Register'!$A$5:$A$136,'Corrected Register'!$M$5:$M$136),0)))),IFERROR(XLOOKUP(D35,'Corrected Register'!$A$5:$A$136,'Corrected Register'!$N$5:$N$136),0))</f>
        <v>573.03</v>
      </c>
      <c r="H35" s="7" t="inlineStr">
        <is>
          <t>Operating site for MD-00051 is Denver; TR-00051 confirms, not Denver - Closed (EX-0031).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Closed-site leftover on extract for MD-00051 (Denver - Closed). TR-00051. EX-0031.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PO:PO-2022-0009; RegisterCost:1040.0; LedgerCost:1250.0</t>
        </is>
      </c>
      <c r="G36" s="7">
        <f>IF(B36="Inventory-to-Ledger Difference",IF(IFERROR(XLOOKUP(D36,'Source Ledger'!$B$5:$B$133,'Source Ledger'!$H$5:$H$133),"")="Disposed",IFERROR(XLOOKUP(D36,'Source Ledger'!$B$5:$B$133,'Source Ledger'!$G$5:$G$133),0),IF(IFERROR(XLOOKUP(D36,'Source Ledger'!$B$5:$B$133,'Source Ledger'!$E$5:$E$133),"")="",IFERROR(XLOOKUP(D36,'Corrected Register'!$A$5:$A$136,'Corrected Register'!$M$5:$M$136),0),ABS(IFERROR(XLOOKUP(D36,'Source Ledger'!$B$5:$B$133,'Source Ledger'!$E$5:$E$133),0)-IFERROR(XLOOKUP(D36,'Corrected Register'!$A$5:$A$136,'Corrected Register'!$M$5:$M$136),0)))),IFERROR(XLOOKUP(D36,'Corrected Register'!$A$5:$A$136,'Corrected Register'!$N$5:$N$136),0))</f>
        <v>210</v>
      </c>
      <c r="H36" s="7" t="inlineStr">
        <is>
          <t>Reconcile PO-2022-0009 / FA-000051 / register cost for MD-00051.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Cost spread on MD-00051: ITAM $1040.0, FAR 1250.0 (FA-000051).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Difference",IF(IFERROR(XLOOKUP(D37,'Source Ledger'!$B$5:$B$133,'Source Ledger'!$H$5:$H$133),"")="Disposed",IFERROR(XLOOKUP(D37,'Source Ledger'!$B$5:$B$133,'Source Ledger'!$G$5:$G$133),0),IF(IFERROR(XLOOKUP(D37,'Source Ledger'!$B$5:$B$133,'Source Ledger'!$E$5:$E$133),"")="",IFERROR(XLOOKUP(D37,'Corrected Register'!$A$5:$A$136,'Corrected Register'!$M$5:$M$136),0),ABS(IFERROR(XLOOKUP(D37,'Source Ledger'!$B$5:$B$133,'Source Ledger'!$E$5:$E$133),0)-IFERROR(XLOOKUP(D37,'Corrected Register'!$A$5:$A$136,'Corrected Register'!$M$5:$M$136),0)))),IFERROR(XLOOKUP(D37,'Corrected Register'!$A$5:$A$136,'Corrected Register'!$N$5:$N$136),0))</f>
        <v>933.99</v>
      </c>
      <c r="H37" s="7" t="inlineStr">
        <is>
          <t>IT Asset Specialist: recode MD-00052 off Chicago - Closed; New York is the live office per TR-00052 (EX-0033).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Chicago - Closed is shuttered. Did not leave MD-00052 there on paper - New York is live (EX-0033).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Difference",IF(IFERROR(XLOOKUP(D38,'Source Ledger'!$B$5:$B$133,'Source Ledger'!$H$5:$H$133),"")="Disposed",IFERROR(XLOOKUP(D38,'Source Ledger'!$B$5:$B$133,'Source Ledger'!$G$5:$G$133),0),IF(IFERROR(XLOOKUP(D38,'Source Ledger'!$B$5:$B$133,'Source Ledger'!$E$5:$E$133),"")="",IFERROR(XLOOKUP(D38,'Corrected Register'!$A$5:$A$136,'Corrected Register'!$M$5:$M$136),0),ABS(IFERROR(XLOOKUP(D38,'Source Ledger'!$B$5:$B$133,'Source Ledger'!$E$5:$E$133),0)-IFERROR(XLOOKUP(D38,'Corrected Register'!$A$5:$A$136,'Corrected Register'!$M$5:$M$136),0)))),IFERROR(XLOOKUP(D38,'Corrected Register'!$A$5:$A$136,'Corrected Register'!$N$5:$N$136),0))</f>
        <v>0</v>
      </c>
      <c r="H38" s="7" t="inlineStr">
        <is>
          <t>HR-aligned site for MD-00053 is Seattle; register still says Denver - Closed (EX-0034).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Location on MD-00053 is consolidation debt (Denver - Closed, EX-0034).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Difference",IF(IFERROR(XLOOKUP(D39,'Source Ledger'!$B$5:$B$133,'Source Ledger'!$H$5:$H$133),"")="Disposed",IFERROR(XLOOKUP(D39,'Source Ledger'!$B$5:$B$133,'Source Ledger'!$G$5:$G$133),0),IF(IFERROR(XLOOKUP(D39,'Source Ledger'!$B$5:$B$133,'Source Ledger'!$E$5:$E$133),"")="",IFERROR(XLOOKUP(D39,'Corrected Register'!$A$5:$A$136,'Corrected Register'!$M$5:$M$136),0),ABS(IFERROR(XLOOKUP(D39,'Source Ledger'!$B$5:$B$133,'Source Ledger'!$E$5:$E$133),0)-IFERROR(XLOOKUP(D39,'Corrected Register'!$A$5:$A$136,'Corrected Register'!$M$5:$M$136),0)))),IFERROR(XLOOKUP(D39,'Corrected Register'!$A$5:$A$136,'Corrected Register'!$N$5:$N$136),0))</f>
        <v>433.74</v>
      </c>
      <c r="H39" s="7" t="inlineStr">
        <is>
          <t>IT Asset Specialist to retire Chicago - Closed on MD-00054 and apply Atlanta (EX-0035).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TR-00054 destination is not the shuttered office listed for MD-00054 (EX-0035).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Difference",IF(IFERROR(XLOOKUP(D40,'Source Ledger'!$B$5:$B$133,'Source Ledger'!$H$5:$H$133),"")="Disposed",IFERROR(XLOOKUP(D40,'Source Ledger'!$B$5:$B$133,'Source Ledger'!$G$5:$G$133),0),IF(IFERROR(XLOOKUP(D40,'Source Ledger'!$B$5:$B$133,'Source Ledger'!$E$5:$E$133),"")="",IFERROR(XLOOKUP(D40,'Corrected Register'!$A$5:$A$136,'Corrected Register'!$M$5:$M$136),0),ABS(IFERROR(XLOOKUP(D40,'Source Ledger'!$B$5:$B$133,'Source Ledger'!$E$5:$E$133),0)-IFERROR(XLOOKUP(D40,'Corrected Register'!$A$5:$A$136,'Corrected Register'!$M$5:$M$136),0)))),IFERROR(XLOOKUP(D40,'Corrected Register'!$A$5:$A$136,'Corrected Register'!$N$5:$N$136),0))</f>
        <v>812.5</v>
      </c>
      <c r="H40" s="7" t="inlineStr">
        <is>
          <t>Register still lists MD-00055 at Denver - Closed. Replace with Chicago (EX-0036).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Location on MD-00055 is consolidation debt (Denver - Closed, EX-0036).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Difference",IF(IFERROR(XLOOKUP(D41,'Source Ledger'!$B$5:$B$133,'Source Ledger'!$H$5:$H$133),"")="Disposed",IFERROR(XLOOKUP(D41,'Source Ledger'!$B$5:$B$133,'Source Ledger'!$G$5:$G$133),0),IF(IFERROR(XLOOKUP(D41,'Source Ledger'!$B$5:$B$133,'Source Ledger'!$E$5:$E$133),"")="",IFERROR(XLOOKUP(D41,'Corrected Register'!$A$5:$A$136,'Corrected Register'!$M$5:$M$136),0),ABS(IFERROR(XLOOKUP(D41,'Source Ledger'!$B$5:$B$133,'Source Ledger'!$E$5:$E$133),0)-IFERROR(XLOOKUP(D41,'Corrected Register'!$A$5:$A$136,'Corrected Register'!$M$5:$M$136),0)))),IFERROR(XLOOKUP(D41,'Corrected Register'!$A$5:$A$136,'Corrected Register'!$N$5:$N$136),0))</f>
        <v>1345.24</v>
      </c>
      <c r="H41" s="7" t="inlineStr">
        <is>
          <t>IT Asset Specialist: recode MD-00056 off Chicago - Closed; Dallas is the live office per TR-00056 (EX-0037).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TR-00056 destination is not the shuttered office listed for MD-00056 (EX-0037).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Difference",IF(IFERROR(XLOOKUP(D42,'Source Ledger'!$B$5:$B$133,'Source Ledger'!$H$5:$H$133),"")="Disposed",IFERROR(XLOOKUP(D42,'Source Ledger'!$B$5:$B$133,'Source Ledger'!$G$5:$G$133),0),IF(IFERROR(XLOOKUP(D42,'Source Ledger'!$B$5:$B$133,'Source Ledger'!$E$5:$E$133),"")="",IFERROR(XLOOKUP(D42,'Corrected Register'!$A$5:$A$136,'Corrected Register'!$M$5:$M$136),0),ABS(IFERROR(XLOOKUP(D42,'Source Ledger'!$B$5:$B$133,'Source Ledger'!$E$5:$E$133),0)-IFERROR(XLOOKUP(D42,'Corrected Register'!$A$5:$A$136,'Corrected Register'!$M$5:$M$136),0)))),IFERROR(XLOOKUP(D42,'Corrected Register'!$A$5:$A$136,'Corrected Register'!$N$5:$N$136),0))</f>
        <v>106.79</v>
      </c>
      <c r="H42" s="7" t="inlineStr">
        <is>
          <t>Fix MD-00057: register site Denver - Closed conflicts with current ops at Denver (EX-0038).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Location on MD-00057 is consolidation debt (Denver - Closed, EX-0038).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Difference",IF(IFERROR(XLOOKUP(D43,'Source Ledger'!$B$5:$B$133,'Source Ledger'!$H$5:$H$133),"")="Disposed",IFERROR(XLOOKUP(D43,'Source Ledger'!$B$5:$B$133,'Source Ledger'!$G$5:$G$133),0),IF(IFERROR(XLOOKUP(D43,'Source Ledger'!$B$5:$B$133,'Source Ledger'!$E$5:$E$133),"")="",IFERROR(XLOOKUP(D43,'Corrected Register'!$A$5:$A$136,'Corrected Register'!$M$5:$M$136),0),ABS(IFERROR(XLOOKUP(D43,'Source Ledger'!$B$5:$B$133,'Source Ledger'!$E$5:$E$133),0)-IFERROR(XLOOKUP(D43,'Corrected Register'!$A$5:$A$136,'Corrected Register'!$M$5:$M$136),0)))),IFERROR(XLOOKUP(D43,'Corrected Register'!$A$5:$A$136,'Corrected Register'!$N$5:$N$136),0))</f>
        <v>397.56</v>
      </c>
      <c r="H43" s="7" t="inlineStr">
        <is>
          <t>Separated ID E0071 must leave MD-00058 before status changes.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People extract vs register: MD-00058 retained leaver E0071. OFF-00058.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Difference",IF(IFERROR(XLOOKUP(D44,'Source Ledger'!$B$5:$B$133,'Source Ledger'!$H$5:$H$133),"")="Disposed",IFERROR(XLOOKUP(D44,'Source Ledger'!$B$5:$B$133,'Source Ledger'!$G$5:$G$133),0),IF(IFERROR(XLOOKUP(D44,'Source Ledger'!$B$5:$B$133,'Source Ledger'!$E$5:$E$133),"")="",IFERROR(XLOOKUP(D44,'Corrected Register'!$A$5:$A$136,'Corrected Register'!$M$5:$M$136),0),ABS(IFERROR(XLOOKUP(D44,'Source Ledger'!$B$5:$B$133,'Source Ledger'!$E$5:$E$133),0)-IFERROR(XLOOKUP(D44,'Corrected Register'!$A$5:$A$136,'Corrected Register'!$M$5:$M$136),0)))),IFERROR(XLOOKUP(D44,'Corrected Register'!$A$5:$A$136,'Corrected Register'!$N$5:$N$136),0))</f>
        <v>397.56</v>
      </c>
      <c r="H44" s="7" t="inlineStr">
        <is>
          <t>Do not leave MD-00058 assigned to unused floor Chicago - Closed (EX-0040).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Unused-office coding on MD-00058 is unsupported by movement files (EX-0040).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Difference",IF(IFERROR(XLOOKUP(D45,'Source Ledger'!$B$5:$B$133,'Source Ledger'!$H$5:$H$133),"")="Disposed",IFERROR(XLOOKUP(D45,'Source Ledger'!$B$5:$B$133,'Source Ledger'!$G$5:$G$133),0),IF(IFERROR(XLOOKUP(D45,'Source Ledger'!$B$5:$B$133,'Source Ledger'!$E$5:$E$133),"")="",IFERROR(XLOOKUP(D45,'Corrected Register'!$A$5:$A$136,'Corrected Register'!$M$5:$M$136),0),ABS(IFERROR(XLOOKUP(D45,'Source Ledger'!$B$5:$B$133,'Source Ledger'!$E$5:$E$133),0)-IFERROR(XLOOKUP(D45,'Corrected Register'!$A$5:$A$136,'Corrected Register'!$M$5:$M$136),0)))),IFERROR(XLOOKUP(D45,'Corrected Register'!$A$5:$A$136,'Corrected Register'!$N$5:$N$136),0))</f>
        <v>397.56</v>
      </c>
      <c r="H45" s="7" t="inlineStr">
        <is>
          <t>§4 gap on TR-00058 for MD-00058; get APR or reverse.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Transfer log TR-00058: move recorded, APR missing.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Difference",IF(IFERROR(XLOOKUP(D46,'Source Ledger'!$B$5:$B$133,'Source Ledger'!$H$5:$H$133),"")="Disposed",IFERROR(XLOOKUP(D46,'Source Ledger'!$B$5:$B$133,'Source Ledger'!$G$5:$G$133),0),IF(IFERROR(XLOOKUP(D46,'Source Ledger'!$B$5:$B$133,'Source Ledger'!$E$5:$E$133),"")="",IFERROR(XLOOKUP(D46,'Corrected Register'!$A$5:$A$136,'Corrected Register'!$M$5:$M$136),0),ABS(IFERROR(XLOOKUP(D46,'Source Ledger'!$B$5:$B$133,'Source Ledger'!$E$5:$E$133),0)-IFERROR(XLOOKUP(D46,'Corrected Register'!$A$5:$A$136,'Corrected Register'!$M$5:$M$136),0)))),IFERROR(XLOOKUP(D46,'Corrected Register'!$A$5:$A$136,'Corrected Register'!$N$5:$N$136),0))</f>
        <v>847.35</v>
      </c>
      <c r="H46" s="7" t="inlineStr">
        <is>
          <t>Close people assignment on MD-00059; ticket OFF-00059.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People extract vs register: MD-00059 retained leaver E0072. OFF-00059.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Difference",IF(IFERROR(XLOOKUP(D47,'Source Ledger'!$B$5:$B$133,'Source Ledger'!$H$5:$H$133),"")="Disposed",IFERROR(XLOOKUP(D47,'Source Ledger'!$B$5:$B$133,'Source Ledger'!$G$5:$G$133),0),IF(IFERROR(XLOOKUP(D47,'Source Ledger'!$B$5:$B$133,'Source Ledger'!$E$5:$E$133),"")="",IFERROR(XLOOKUP(D47,'Corrected Register'!$A$5:$A$136,'Corrected Register'!$M$5:$M$136),0),ABS(IFERROR(XLOOKUP(D47,'Source Ledger'!$B$5:$B$133,'Source Ledger'!$E$5:$E$133),0)-IFERROR(XLOOKUP(D47,'Corrected Register'!$A$5:$A$136,'Corrected Register'!$M$5:$M$136),0)))),IFERROR(XLOOKUP(D47,'Corrected Register'!$A$5:$A$136,'Corrected Register'!$N$5:$N$136),0))</f>
        <v>847.35</v>
      </c>
      <c r="H47" s="7" t="inlineStr">
        <is>
          <t>Walkthrough finding EX-0043: MD-00059 still shows Denver - Closed. Correct to Seattle.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Seattle is the operating site; MD-00059 still lists Denver - Closed (EX-0043).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Difference",IF(IFERROR(XLOOKUP(D48,'Source Ledger'!$B$5:$B$133,'Source Ledger'!$H$5:$H$133),"")="Disposed",IFERROR(XLOOKUP(D48,'Source Ledger'!$B$5:$B$133,'Source Ledger'!$G$5:$G$133),0),IF(IFERROR(XLOOKUP(D48,'Source Ledger'!$B$5:$B$133,'Source Ledger'!$E$5:$E$133),"")="",IFERROR(XLOOKUP(D48,'Corrected Register'!$A$5:$A$136,'Corrected Register'!$M$5:$M$136),0),ABS(IFERROR(XLOOKUP(D48,'Source Ledger'!$B$5:$B$133,'Source Ledger'!$E$5:$E$133),0)-IFERROR(XLOOKUP(D48,'Corrected Register'!$A$5:$A$136,'Corrected Register'!$M$5:$M$136),0)))),IFERROR(XLOOKUP(D48,'Corrected Register'!$A$5:$A$136,'Corrected Register'!$N$5:$N$136),0))</f>
        <v>847.35</v>
      </c>
      <c r="H48" s="7" t="inlineStr">
        <is>
          <t>Approval missing on TR-00059. Retro sign-off or return MD-00059.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§4 evidence gap - TR-00059 lacks approval for MD-00059.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Difference",IF(IFERROR(XLOOKUP(D49,'Source Ledger'!$B$5:$B$133,'Source Ledger'!$H$5:$H$133),"")="Disposed",IFERROR(XLOOKUP(D49,'Source Ledger'!$B$5:$B$133,'Source Ledger'!$G$5:$G$133),0),IF(IFERROR(XLOOKUP(D49,'Source Ledger'!$B$5:$B$133,'Source Ledger'!$E$5:$E$133),"")="",IFERROR(XLOOKUP(D49,'Corrected Register'!$A$5:$A$136,'Corrected Register'!$M$5:$M$136),0),ABS(IFERROR(XLOOKUP(D49,'Source Ledger'!$B$5:$B$133,'Source Ledger'!$E$5:$E$133),0)-IFERROR(XLOOKUP(D49,'Corrected Register'!$A$5:$A$136,'Corrected Register'!$M$5:$M$136),0)))),IFERROR(XLOOKUP(D49,'Corrected Register'!$A$5:$A$136,'Corrected Register'!$N$5:$N$136),0))</f>
        <v>549.35</v>
      </c>
      <c r="H49" s="7" t="inlineStr">
        <is>
          <t>Assignment on MD-00060 survived HR term for E0073. Correct it.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Register owner on MD-00060 is stale relative to HR for E0073 (EX-0045).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Difference",IF(IFERROR(XLOOKUP(D50,'Source Ledger'!$B$5:$B$133,'Source Ledger'!$H$5:$H$133),"")="Disposed",IFERROR(XLOOKUP(D50,'Source Ledger'!$B$5:$B$133,'Source Ledger'!$G$5:$G$133),0),IF(IFERROR(XLOOKUP(D50,'Source Ledger'!$B$5:$B$133,'Source Ledger'!$E$5:$E$133),"")="",IFERROR(XLOOKUP(D50,'Corrected Register'!$A$5:$A$136,'Corrected Register'!$M$5:$M$136),0),ABS(IFERROR(XLOOKUP(D50,'Source Ledger'!$B$5:$B$133,'Source Ledger'!$E$5:$E$133),0)-IFERROR(XLOOKUP(D50,'Corrected Register'!$A$5:$A$136,'Corrected Register'!$M$5:$M$136),0)))),IFERROR(XLOOKUP(D50,'Corrected Register'!$A$5:$A$136,'Corrected Register'!$N$5:$N$136),0))</f>
        <v>549.35</v>
      </c>
      <c r="H50" s="7" t="inlineStr">
        <is>
          <t>Do not leave MD-00060 assigned to unused floor Chicago - Closed (EX-0046).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Location evidence for MD-00060: closed floor Chicago - Closed vs live Atlanta (EX-0046).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Difference",IF(IFERROR(XLOOKUP(D51,'Source Ledger'!$B$5:$B$133,'Source Ledger'!$H$5:$H$133),"")="Disposed",IFERROR(XLOOKUP(D51,'Source Ledger'!$B$5:$B$133,'Source Ledger'!$G$5:$G$133),0),IF(IFERROR(XLOOKUP(D51,'Source Ledger'!$B$5:$B$133,'Source Ledger'!$E$5:$E$133),"")="",IFERROR(XLOOKUP(D51,'Corrected Register'!$A$5:$A$136,'Corrected Register'!$M$5:$M$136),0),ABS(IFERROR(XLOOKUP(D51,'Source Ledger'!$B$5:$B$133,'Source Ledger'!$E$5:$E$133),0)-IFERROR(XLOOKUP(D51,'Corrected Register'!$A$5:$A$136,'Corrected Register'!$M$5:$M$136),0)))),IFERROR(XLOOKUP(D51,'Corrected Register'!$A$5:$A$136,'Corrected Register'!$N$5:$N$136),0))</f>
        <v>0</v>
      </c>
      <c r="H51" s="7" t="inlineStr">
        <is>
          <t>HR Operations Lead: remove E0074 from MD-00061 and park the kit.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Custodian mismatch MD-00061↔E0074 documented under EX-0047.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Difference",IF(IFERROR(XLOOKUP(D52,'Source Ledger'!$B$5:$B$133,'Source Ledger'!$H$5:$H$133),"")="Disposed",IFERROR(XLOOKUP(D52,'Source Ledger'!$B$5:$B$133,'Source Ledger'!$G$5:$G$133),0),IF(IFERROR(XLOOKUP(D52,'Source Ledger'!$B$5:$B$133,'Source Ledger'!$E$5:$E$133),"")="",IFERROR(XLOOKUP(D52,'Corrected Register'!$A$5:$A$136,'Corrected Register'!$M$5:$M$136),0),ABS(IFERROR(XLOOKUP(D52,'Source Ledger'!$B$5:$B$133,'Source Ledger'!$E$5:$E$133),0)-IFERROR(XLOOKUP(D52,'Corrected Register'!$A$5:$A$136,'Corrected Register'!$M$5:$M$136),0)))),IFERROR(XLOOKUP(D52,'Corrected Register'!$A$5:$A$136,'Corrected Register'!$N$5:$N$136),0))</f>
        <v>0</v>
      </c>
      <c r="H52" s="7" t="inlineStr">
        <is>
          <t>Fix MD-00061: register site Denver - Closed conflicts with current ops at Chicago (EX-0048).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Finding EX-0048: MD-00061 location stale at Denver - Closed; prefer Chicago.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Difference",IF(IFERROR(XLOOKUP(D53,'Source Ledger'!$B$5:$B$133,'Source Ledger'!$H$5:$H$133),"")="Disposed",IFERROR(XLOOKUP(D53,'Source Ledger'!$B$5:$B$133,'Source Ledger'!$G$5:$G$133),0),IF(IFERROR(XLOOKUP(D53,'Source Ledger'!$B$5:$B$133,'Source Ledger'!$E$5:$E$133),"")="",IFERROR(XLOOKUP(D53,'Corrected Register'!$A$5:$A$136,'Corrected Register'!$M$5:$M$136),0),ABS(IFERROR(XLOOKUP(D53,'Source Ledger'!$B$5:$B$133,'Source Ledger'!$E$5:$E$133),0)-IFERROR(XLOOKUP(D53,'Corrected Register'!$A$5:$A$136,'Corrected Register'!$M$5:$M$136),0)))),IFERROR(XLOOKUP(D53,'Corrected Register'!$A$5:$A$136,'Corrected Register'!$N$5:$N$136),0))</f>
        <v>410.63</v>
      </c>
      <c r="H53" s="7" t="inlineStr">
        <is>
          <t>Recover or write-off later; first take E0075 off MD-00062.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MD-00062 should have moved off E0075 when HR flipped status (EX-0049).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Difference",IF(IFERROR(XLOOKUP(D54,'Source Ledger'!$B$5:$B$133,'Source Ledger'!$H$5:$H$133),"")="Disposed",IFERROR(XLOOKUP(D54,'Source Ledger'!$B$5:$B$133,'Source Ledger'!$G$5:$G$133),0),IF(IFERROR(XLOOKUP(D54,'Source Ledger'!$B$5:$B$133,'Source Ledger'!$E$5:$E$133),"")="",IFERROR(XLOOKUP(D54,'Corrected Register'!$A$5:$A$136,'Corrected Register'!$M$5:$M$136),0),ABS(IFERROR(XLOOKUP(D54,'Source Ledger'!$B$5:$B$133,'Source Ledger'!$E$5:$E$133),0)-IFERROR(XLOOKUP(D54,'Corrected Register'!$A$5:$A$136,'Corrected Register'!$M$5:$M$136),0)))),IFERROR(XLOOKUP(D54,'Corrected Register'!$A$5:$A$136,'Corrected Register'!$N$5:$N$136),0))</f>
        <v>410.63</v>
      </c>
      <c r="H54" s="7" t="inlineStr">
        <is>
          <t>MD-00062 / Chicago - Closed is a consolidation leftover - move to Dallas (EX-0050).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Walked register vs HR/transfer: MD-00062 still says Chicago - Closed (EX-0050).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Difference",IF(IFERROR(XLOOKUP(D55,'Source Ledger'!$B$5:$B$133,'Source Ledger'!$H$5:$H$133),"")="Disposed",IFERROR(XLOOKUP(D55,'Source Ledger'!$B$5:$B$133,'Source Ledger'!$G$5:$G$133),0),IF(IFERROR(XLOOKUP(D55,'Source Ledger'!$B$5:$B$133,'Source Ledger'!$E$5:$E$133),"")="",IFERROR(XLOOKUP(D55,'Corrected Register'!$A$5:$A$136,'Corrected Register'!$M$5:$M$136),0),ABS(IFERROR(XLOOKUP(D55,'Source Ledger'!$B$5:$B$133,'Source Ledger'!$E$5:$E$133),0)-IFERROR(XLOOKUP(D55,'Corrected Register'!$A$5:$A$136,'Corrected Register'!$M$5:$M$136),0)))),IFERROR(XLOOKUP(D55,'Corrected Register'!$A$5:$A$136,'Corrected Register'!$N$5:$N$136),0))</f>
        <v>533.85</v>
      </c>
      <c r="H55" s="7" t="inlineStr">
        <is>
          <t>Assignment on MD-00063 survived HR term for E0076. Correct it.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MD-00063 should have moved off E0076 when HR flipped status (EX-0051).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Difference",IF(IFERROR(XLOOKUP(D56,'Source Ledger'!$B$5:$B$133,'Source Ledger'!$H$5:$H$133),"")="Disposed",IFERROR(XLOOKUP(D56,'Source Ledger'!$B$5:$B$133,'Source Ledger'!$G$5:$G$133),0),IF(IFERROR(XLOOKUP(D56,'Source Ledger'!$B$5:$B$133,'Source Ledger'!$E$5:$E$133),"")="",IFERROR(XLOOKUP(D56,'Corrected Register'!$A$5:$A$136,'Corrected Register'!$M$5:$M$136),0),ABS(IFERROR(XLOOKUP(D56,'Source Ledger'!$B$5:$B$133,'Source Ledger'!$E$5:$E$133),0)-IFERROR(XLOOKUP(D56,'Corrected Register'!$A$5:$A$136,'Corrected Register'!$M$5:$M$136),0)))),IFERROR(XLOOKUP(D56,'Corrected Register'!$A$5:$A$136,'Corrected Register'!$N$5:$N$136),0))</f>
        <v>533.85</v>
      </c>
      <c r="H56" s="7" t="inlineStr">
        <is>
          <t>Location on MD-00063 must reflect Denver after the site close (EX-0052).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Inventory row for MD-00063 lagged after site close (Denver - Closed, EX-0052).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Difference",IF(IFERROR(XLOOKUP(D57,'Source Ledger'!$B$5:$B$133,'Source Ledger'!$H$5:$H$133),"")="Disposed",IFERROR(XLOOKUP(D57,'Source Ledger'!$B$5:$B$133,'Source Ledger'!$G$5:$G$133),0),IF(IFERROR(XLOOKUP(D57,'Source Ledger'!$B$5:$B$133,'Source Ledger'!$E$5:$E$133),"")="",IFERROR(XLOOKUP(D57,'Corrected Register'!$A$5:$A$136,'Corrected Register'!$M$5:$M$136),0),ABS(IFERROR(XLOOKUP(D57,'Source Ledger'!$B$5:$B$133,'Source Ledger'!$E$5:$E$133),0)-IFERROR(XLOOKUP(D57,'Corrected Register'!$A$5:$A$136,'Corrected Register'!$M$5:$M$136),0)))),IFERROR(XLOOKUP(D57,'Corrected Register'!$A$5:$A$136,'Corrected Register'!$N$5:$N$136),0))</f>
        <v>961.76</v>
      </c>
      <c r="H57" s="7" t="inlineStr">
        <is>
          <t>HR shows E0077 gone - remove as custodian on MD-00064 (OFF-00064).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Offboarding closed for E0077; asset row did not follow for MD-00064 (EX-0053).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Difference",IF(IFERROR(XLOOKUP(D58,'Source Ledger'!$B$5:$B$133,'Source Ledger'!$H$5:$H$133),"")="Disposed",IFERROR(XLOOKUP(D58,'Source Ledger'!$B$5:$B$133,'Source Ledger'!$G$5:$G$133),0),IF(IFERROR(XLOOKUP(D58,'Source Ledger'!$B$5:$B$133,'Source Ledger'!$E$5:$E$133),"")="",IFERROR(XLOOKUP(D58,'Corrected Register'!$A$5:$A$136,'Corrected Register'!$M$5:$M$136),0),ABS(IFERROR(XLOOKUP(D58,'Source Ledger'!$B$5:$B$133,'Source Ledger'!$E$5:$E$133),0)-IFERROR(XLOOKUP(D58,'Corrected Register'!$A$5:$A$136,'Corrected Register'!$M$5:$M$136),0)))),IFERROR(XLOOKUP(D58,'Corrected Register'!$A$5:$A$136,'Corrected Register'!$N$5:$N$136),0))</f>
        <v>961.76</v>
      </c>
      <c r="H58" s="7" t="inlineStr">
        <is>
          <t>Chicago - Closed is no longer occupied. Park MD-00064 at New York on the register (EX-0054).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Register still codes MD-00064 to Chicago - Closed; TR-00064 points to New York (EX-0054).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Difference",IF(IFERROR(XLOOKUP(D59,'Source Ledger'!$B$5:$B$133,'Source Ledger'!$H$5:$H$133),"")="Disposed",IFERROR(XLOOKUP(D59,'Source Ledger'!$B$5:$B$133,'Source Ledger'!$G$5:$G$133),0),IF(IFERROR(XLOOKUP(D59,'Source Ledger'!$B$5:$B$133,'Source Ledger'!$E$5:$E$133),"")="",IFERROR(XLOOKUP(D59,'Corrected Register'!$A$5:$A$136,'Corrected Register'!$M$5:$M$136),0),ABS(IFERROR(XLOOKUP(D59,'Source Ledger'!$B$5:$B$133,'Source Ledger'!$E$5:$E$133),0)-IFERROR(XLOOKUP(D59,'Corrected Register'!$A$5:$A$136,'Corrected Register'!$M$5:$M$136),0)))),IFERROR(XLOOKUP(D59,'Corrected Register'!$A$5:$A$136,'Corrected Register'!$N$5:$N$136),0))</f>
        <v>961.76</v>
      </c>
      <c r="H59" s="7" t="inlineStr">
        <is>
          <t>Either approve TR-00064 after the fact or put MD-00064 back.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TR-00064 shows blank approval_id for MD-00064.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Difference",IF(IFERROR(XLOOKUP(D60,'Source Ledger'!$B$5:$B$133,'Source Ledger'!$H$5:$H$133),"")="Disposed",IFERROR(XLOOKUP(D60,'Source Ledger'!$B$5:$B$133,'Source Ledger'!$G$5:$G$133),0),IF(IFERROR(XLOOKUP(D60,'Source Ledger'!$B$5:$B$133,'Source Ledger'!$E$5:$E$133),"")="",IFERROR(XLOOKUP(D60,'Corrected Register'!$A$5:$A$136,'Corrected Register'!$M$5:$M$136),0),ABS(IFERROR(XLOOKUP(D60,'Source Ledger'!$B$5:$B$133,'Source Ledger'!$E$5:$E$133),0)-IFERROR(XLOOKUP(D60,'Corrected Register'!$A$5:$A$136,'Corrected Register'!$M$5:$M$136),0)))),IFERROR(XLOOKUP(D60,'Corrected Register'!$A$5:$A$136,'Corrected Register'!$N$5:$N$136),0))</f>
        <v>0</v>
      </c>
      <c r="H60" s="7" t="inlineStr">
        <is>
          <t>People side closed via OFF-00065; asset row still lists E0078. Fix custodian.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MD-00065 custodian equals terminated ID E0078 - EX-0056.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Difference",IF(IFERROR(XLOOKUP(D61,'Source Ledger'!$B$5:$B$133,'Source Ledger'!$H$5:$H$133),"")="Disposed",IFERROR(XLOOKUP(D61,'Source Ledger'!$B$5:$B$133,'Source Ledger'!$G$5:$G$133),0),IF(IFERROR(XLOOKUP(D61,'Source Ledger'!$B$5:$B$133,'Source Ledger'!$E$5:$E$133),"")="",IFERROR(XLOOKUP(D61,'Corrected Register'!$A$5:$A$136,'Corrected Register'!$M$5:$M$136),0),ABS(IFERROR(XLOOKUP(D61,'Source Ledger'!$B$5:$B$133,'Source Ledger'!$E$5:$E$133),0)-IFERROR(XLOOKUP(D61,'Corrected Register'!$A$5:$A$136,'Corrected Register'!$M$5:$M$136),0)))),IFERROR(XLOOKUP(D61,'Corrected Register'!$A$5:$A$136,'Corrected Register'!$N$5:$N$136),0))</f>
        <v>0</v>
      </c>
      <c r="H61" s="7" t="inlineStr">
        <is>
          <t>MD-00065 cannot remain on shuttered floor Denver - Closed. Set location to Seattle (EX-0057).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Location on MD-00065 is consolidation debt (Denver - Closed, EX-0057).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Difference",IF(IFERROR(XLOOKUP(D62,'Source Ledger'!$B$5:$B$133,'Source Ledger'!$H$5:$H$133),"")="Disposed",IFERROR(XLOOKUP(D62,'Source Ledger'!$B$5:$B$133,'Source Ledger'!$G$5:$G$133),0),IF(IFERROR(XLOOKUP(D62,'Source Ledger'!$B$5:$B$133,'Source Ledger'!$E$5:$E$133),"")="",IFERROR(XLOOKUP(D62,'Corrected Register'!$A$5:$A$136,'Corrected Register'!$M$5:$M$136),0),ABS(IFERROR(XLOOKUP(D62,'Source Ledger'!$B$5:$B$133,'Source Ledger'!$E$5:$E$133),0)-IFERROR(XLOOKUP(D62,'Corrected Register'!$A$5:$A$136,'Corrected Register'!$M$5:$M$136),0)))),IFERROR(XLOOKUP(D62,'Corrected Register'!$A$5:$A$136,'Corrected Register'!$N$5:$N$136),0))</f>
        <v>0</v>
      </c>
      <c r="H62" s="7" t="inlineStr">
        <is>
          <t>Either approve TR-00065 after the fact or put MD-00065 back.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Transfer log TR-00065: move recorded, APR missing.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Difference",IF(IFERROR(XLOOKUP(D63,'Source Ledger'!$B$5:$B$133,'Source Ledger'!$H$5:$H$133),"")="Disposed",IFERROR(XLOOKUP(D63,'Source Ledger'!$B$5:$B$133,'Source Ledger'!$G$5:$G$133),0),IF(IFERROR(XLOOKUP(D63,'Source Ledger'!$B$5:$B$133,'Source Ledger'!$E$5:$E$133),"")="",IFERROR(XLOOKUP(D63,'Corrected Register'!$A$5:$A$136,'Corrected Register'!$M$5:$M$136),0),ABS(IFERROR(XLOOKUP(D63,'Source Ledger'!$B$5:$B$133,'Source Ledger'!$E$5:$E$133),0)-IFERROR(XLOOKUP(D63,'Corrected Register'!$A$5:$A$136,'Corrected Register'!$M$5:$M$136),0)))),IFERROR(XLOOKUP(D63,'Corrected Register'!$A$5:$A$136,'Corrected Register'!$N$5:$N$136),0))</f>
        <v>385.65</v>
      </c>
      <c r="H63" s="7" t="inlineStr">
        <is>
          <t>HR Operations Lead: remove E0079 from MD-00066 and park the kit.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E0079 is separated in hr_employee_status; MD-00066 still points to them (EX-0059).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Difference",IF(IFERROR(XLOOKUP(D64,'Source Ledger'!$B$5:$B$133,'Source Ledger'!$H$5:$H$133),"")="Disposed",IFERROR(XLOOKUP(D64,'Source Ledger'!$B$5:$B$133,'Source Ledger'!$G$5:$G$133),0),IF(IFERROR(XLOOKUP(D64,'Source Ledger'!$B$5:$B$133,'Source Ledger'!$E$5:$E$133),"")="",IFERROR(XLOOKUP(D64,'Corrected Register'!$A$5:$A$136,'Corrected Register'!$M$5:$M$136),0),ABS(IFERROR(XLOOKUP(D64,'Source Ledger'!$B$5:$B$133,'Source Ledger'!$E$5:$E$133),0)-IFERROR(XLOOKUP(D64,'Corrected Register'!$A$5:$A$136,'Corrected Register'!$M$5:$M$136),0)))),IFERROR(XLOOKUP(D64,'Corrected Register'!$A$5:$A$136,'Corrected Register'!$N$5:$N$136),0))</f>
        <v>385.65</v>
      </c>
      <c r="H64" s="7" t="inlineStr">
        <is>
          <t>Remove closed-site coding on MD-00066 (Chicago - Closed → Atlanta, EX-0060).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Atlanta is the operating site; MD-00066 still lists Chicago - Closed (EX-0060).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Difference",IF(IFERROR(XLOOKUP(D65,'Source Ledger'!$B$5:$B$133,'Source Ledger'!$H$5:$H$133),"")="Disposed",IFERROR(XLOOKUP(D65,'Source Ledger'!$B$5:$B$133,'Source Ledger'!$G$5:$G$133),0),IF(IFERROR(XLOOKUP(D65,'Source Ledger'!$B$5:$B$133,'Source Ledger'!$E$5:$E$133),"")="",IFERROR(XLOOKUP(D65,'Corrected Register'!$A$5:$A$136,'Corrected Register'!$M$5:$M$136),0),ABS(IFERROR(XLOOKUP(D65,'Source Ledger'!$B$5:$B$133,'Source Ledger'!$E$5:$E$133),0)-IFERROR(XLOOKUP(D65,'Corrected Register'!$A$5:$A$136,'Corrected Register'!$M$5:$M$136),0)))),IFERROR(XLOOKUP(D65,'Corrected Register'!$A$5:$A$136,'Corrected Register'!$N$5:$N$136),0))</f>
        <v>764.93</v>
      </c>
      <c r="H65" s="7" t="inlineStr">
        <is>
          <t>Term cleanup - MD-00067 should not remain with E0080.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Evidence for EX-0061: register kept E0080 on MD-00067 post-separation.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Difference",IF(IFERROR(XLOOKUP(D66,'Source Ledger'!$B$5:$B$133,'Source Ledger'!$H$5:$H$133),"")="Disposed",IFERROR(XLOOKUP(D66,'Source Ledger'!$B$5:$B$133,'Source Ledger'!$G$5:$G$133),0),IF(IFERROR(XLOOKUP(D66,'Source Ledger'!$B$5:$B$133,'Source Ledger'!$E$5:$E$133),"")="",IFERROR(XLOOKUP(D66,'Corrected Register'!$A$5:$A$136,'Corrected Register'!$M$5:$M$136),0),ABS(IFERROR(XLOOKUP(D66,'Source Ledger'!$B$5:$B$133,'Source Ledger'!$E$5:$E$133),0)-IFERROR(XLOOKUP(D66,'Corrected Register'!$A$5:$A$136,'Corrected Register'!$M$5:$M$136),0)))),IFERROR(XLOOKUP(D66,'Corrected Register'!$A$5:$A$136,'Corrected Register'!$N$5:$N$136),0))</f>
        <v>764.93</v>
      </c>
      <c r="H66" s="7" t="inlineStr">
        <is>
          <t>IT Asset Specialist: recode MD-00067 off Denver - Closed; Chicago is the live office per TR-00067 (EX-0062).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Consolidation left MD-00067 @ Denver - Closed; ops now use Chicago (EX-0062).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Difference",IF(IFERROR(XLOOKUP(D67,'Source Ledger'!$B$5:$B$133,'Source Ledger'!$H$5:$H$133),"")="Disposed",IFERROR(XLOOKUP(D67,'Source Ledger'!$B$5:$B$133,'Source Ledger'!$G$5:$G$133),0),IF(IFERROR(XLOOKUP(D67,'Source Ledger'!$B$5:$B$133,'Source Ledger'!$E$5:$E$133),"")="",IFERROR(XLOOKUP(D67,'Corrected Register'!$A$5:$A$136,'Corrected Register'!$M$5:$M$136),0),ABS(IFERROR(XLOOKUP(D67,'Source Ledger'!$B$5:$B$133,'Source Ledger'!$E$5:$E$133),0)-IFERROR(XLOOKUP(D67,'Corrected Register'!$A$5:$A$136,'Corrected Register'!$M$5:$M$136),0)))),IFERROR(XLOOKUP(D67,'Corrected Register'!$A$5:$A$136,'Corrected Register'!$N$5:$N$136),0))</f>
        <v>1436.28</v>
      </c>
      <c r="H67" s="7" t="inlineStr">
        <is>
          <t>Chase MD-00068: carrier file empty despite 1ZMD00000068.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Label 1ZMD00000068 printed; no SCAN-86 for MD-00068.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Difference",IF(IFERROR(XLOOKUP(D68,'Source Ledger'!$B$5:$B$133,'Source Ledger'!$H$5:$H$133),"")="Disposed",IFERROR(XLOOKUP(D68,'Source Ledger'!$B$5:$B$133,'Source Ledger'!$G$5:$G$133),0),IF(IFERROR(XLOOKUP(D68,'Source Ledger'!$B$5:$B$133,'Source Ledger'!$E$5:$E$133),"")="",IFERROR(XLOOKUP(D68,'Corrected Register'!$A$5:$A$136,'Corrected Register'!$M$5:$M$136),0),ABS(IFERROR(XLOOKUP(D68,'Source Ledger'!$B$5:$B$133,'Source Ledger'!$E$5:$E$133),0)-IFERROR(XLOOKUP(D68,'Corrected Register'!$A$5:$A$136,'Corrected Register'!$M$5:$M$136),0)))),IFERROR(XLOOKUP(D68,'Corrected Register'!$A$5:$A$136,'Corrected Register'!$N$5:$N$136),0))</f>
        <v>1436.28</v>
      </c>
      <c r="H68" s="7" t="inlineStr">
        <is>
          <t>OFF-00068 closed people; MD-00068 still shows the leaver.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HR status for E0081 and register assignment on MD-00068 disagree (EX-0064).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PO:PO-2025-0012; RegisterCost:6425.0; LedgerCost:6480.0</t>
        </is>
      </c>
      <c r="G69" s="7">
        <f>IF(B69="Inventory-to-Ledger Difference",IF(IFERROR(XLOOKUP(D69,'Source Ledger'!$B$5:$B$133,'Source Ledger'!$H$5:$H$133),"")="Disposed",IFERROR(XLOOKUP(D69,'Source Ledger'!$B$5:$B$133,'Source Ledger'!$G$5:$G$133),0),IF(IFERROR(XLOOKUP(D69,'Source Ledger'!$B$5:$B$133,'Source Ledger'!$E$5:$E$133),"")="",IFERROR(XLOOKUP(D69,'Corrected Register'!$A$5:$A$136,'Corrected Register'!$M$5:$M$136),0),ABS(IFERROR(XLOOKUP(D69,'Source Ledger'!$B$5:$B$133,'Source Ledger'!$E$5:$E$133),0)-IFERROR(XLOOKUP(D69,'Corrected Register'!$A$5:$A$136,'Corrected Register'!$M$5:$M$136),0)))),IFERROR(XLOOKUP(D69,'Corrected Register'!$A$5:$A$136,'Corrected Register'!$N$5:$N$136),0))</f>
        <v>55</v>
      </c>
      <c r="H69" s="7" t="inlineStr">
        <is>
          <t>Close the $6425.0/6480.0 gap on MD-00068 before cert.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Register cost $6425.0 vs ledger 6480.0 on FA-000068 for MD-00068.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Difference",IF(IFERROR(XLOOKUP(D70,'Source Ledger'!$B$5:$B$133,'Source Ledger'!$H$5:$H$133),"")="Disposed",IFERROR(XLOOKUP(D70,'Source Ledger'!$B$5:$B$133,'Source Ledger'!$G$5:$G$133),0),IF(IFERROR(XLOOKUP(D70,'Source Ledger'!$B$5:$B$133,'Source Ledger'!$E$5:$E$133),"")="",IFERROR(XLOOKUP(D70,'Corrected Register'!$A$5:$A$136,'Corrected Register'!$M$5:$M$136),0),ABS(IFERROR(XLOOKUP(D70,'Source Ledger'!$B$5:$B$133,'Source Ledger'!$E$5:$E$133),0)-IFERROR(XLOOKUP(D70,'Corrected Register'!$A$5:$A$136,'Corrected Register'!$M$5:$M$136),0)))),IFERROR(XLOOKUP(D70,'Corrected Register'!$A$5:$A$136,'Corrected Register'!$N$5:$N$136),0))</f>
        <v>142.69</v>
      </c>
      <c r="H70" s="7" t="inlineStr">
        <is>
          <t>Outstanding kit MD-00069 / 1ZMD00000069 - escalate beyond label print.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Overdue evidence is absence of inbound events on 1ZMD00000069.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Difference",IF(IFERROR(XLOOKUP(D71,'Source Ledger'!$B$5:$B$133,'Source Ledger'!$H$5:$H$133),"")="Disposed",IFERROR(XLOOKUP(D71,'Source Ledger'!$B$5:$B$133,'Source Ledger'!$G$5:$G$133),0),IF(IFERROR(XLOOKUP(D71,'Source Ledger'!$B$5:$B$133,'Source Ledger'!$E$5:$E$133),"")="",IFERROR(XLOOKUP(D71,'Corrected Register'!$A$5:$A$136,'Corrected Register'!$M$5:$M$136),0),ABS(IFERROR(XLOOKUP(D71,'Source Ledger'!$B$5:$B$133,'Source Ledger'!$E$5:$E$133),0)-IFERROR(XLOOKUP(D71,'Corrected Register'!$A$5:$A$136,'Corrected Register'!$M$5:$M$136),0)))),IFERROR(XLOOKUP(D71,'Corrected Register'!$A$5:$A$136,'Corrected Register'!$N$5:$N$136),0))</f>
        <v>142.69</v>
      </c>
      <c r="H71" s="7" t="inlineStr">
        <is>
          <t>Stock or Regional IT must replace E0082 on MD-00069.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HR status for E0082 and register assignment on MD-00069 disagree (EX-0067).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Difference",IF(IFERROR(XLOOKUP(D72,'Source Ledger'!$B$5:$B$133,'Source Ledger'!$H$5:$H$133),"")="Disposed",IFERROR(XLOOKUP(D72,'Source Ledger'!$B$5:$B$133,'Source Ledger'!$G$5:$G$133),0),IF(IFERROR(XLOOKUP(D72,'Source Ledger'!$B$5:$B$133,'Source Ledger'!$E$5:$E$133),"")="",IFERROR(XLOOKUP(D72,'Corrected Register'!$A$5:$A$136,'Corrected Register'!$M$5:$M$136),0),ABS(IFERROR(XLOOKUP(D72,'Source Ledger'!$B$5:$B$133,'Source Ledger'!$E$5:$E$133),0)-IFERROR(XLOOKUP(D72,'Corrected Register'!$A$5:$A$136,'Corrected Register'!$M$5:$M$136),0)))),IFERROR(XLOOKUP(D72,'Corrected Register'!$A$5:$A$136,'Corrected Register'!$N$5:$N$136),0))</f>
        <v>342.32</v>
      </c>
      <c r="H72" s="7" t="inlineStr">
        <is>
          <t>Do not mark Available; MD-00070 never docked after 1ZMD00000070.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Carrier never accepted 1ZMD00000070; MD-00070 still outstanding.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Difference",IF(IFERROR(XLOOKUP(D73,'Source Ledger'!$B$5:$B$133,'Source Ledger'!$H$5:$H$133),"")="Disposed",IFERROR(XLOOKUP(D73,'Source Ledger'!$B$5:$B$133,'Source Ledger'!$G$5:$G$133),0),IF(IFERROR(XLOOKUP(D73,'Source Ledger'!$B$5:$B$133,'Source Ledger'!$E$5:$E$133),"")="",IFERROR(XLOOKUP(D73,'Corrected Register'!$A$5:$A$136,'Corrected Register'!$M$5:$M$136),0),ABS(IFERROR(XLOOKUP(D73,'Source Ledger'!$B$5:$B$133,'Source Ledger'!$E$5:$E$133),0)-IFERROR(XLOOKUP(D73,'Corrected Register'!$A$5:$A$136,'Corrected Register'!$M$5:$M$136),0)))),IFERROR(XLOOKUP(D73,'Corrected Register'!$A$5:$A$136,'Corrected Register'!$N$5:$N$136),0))</f>
        <v>342.32</v>
      </c>
      <c r="H73" s="7" t="inlineStr">
        <is>
          <t>Do not leave MD-00070 assigned to E0083 on the extract.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MD-00070 should have moved off E0083 when HR flipped status (EX-0069).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Difference",IF(IFERROR(XLOOKUP(D74,'Source Ledger'!$B$5:$B$133,'Source Ledger'!$H$5:$H$133),"")="Disposed",IFERROR(XLOOKUP(D74,'Source Ledger'!$B$5:$B$133,'Source Ledger'!$G$5:$G$133),0),IF(IFERROR(XLOOKUP(D74,'Source Ledger'!$B$5:$B$133,'Source Ledger'!$E$5:$E$133),"")="",IFERROR(XLOOKUP(D74,'Corrected Register'!$A$5:$A$136,'Corrected Register'!$M$5:$M$136),0),ABS(IFERROR(XLOOKUP(D74,'Source Ledger'!$B$5:$B$133,'Source Ledger'!$E$5:$E$133),0)-IFERROR(XLOOKUP(D74,'Corrected Register'!$A$5:$A$136,'Corrected Register'!$M$5:$M$136),0)))),IFERROR(XLOOKUP(D74,'Corrected Register'!$A$5:$A$136,'Corrected Register'!$N$5:$N$136),0))</f>
        <v>787.96</v>
      </c>
      <c r="H74" s="7" t="inlineStr">
        <is>
          <t>Recovery required on MD-00071; prepaid label 1ZMD00000071 is paperwork only.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Carrier never accepted 1ZMD00000071; MD-00071 still outstanding.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Difference",IF(IFERROR(XLOOKUP(D75,'Source Ledger'!$B$5:$B$133,'Source Ledger'!$H$5:$H$133),"")="Disposed",IFERROR(XLOOKUP(D75,'Source Ledger'!$B$5:$B$133,'Source Ledger'!$G$5:$G$133),0),IF(IFERROR(XLOOKUP(D75,'Source Ledger'!$B$5:$B$133,'Source Ledger'!$E$5:$E$133),"")="",IFERROR(XLOOKUP(D75,'Corrected Register'!$A$5:$A$136,'Corrected Register'!$M$5:$M$136),0),ABS(IFERROR(XLOOKUP(D75,'Source Ledger'!$B$5:$B$133,'Source Ledger'!$E$5:$E$133),0)-IFERROR(XLOOKUP(D75,'Corrected Register'!$A$5:$A$136,'Corrected Register'!$M$5:$M$136),0)))),IFERROR(XLOOKUP(D75,'Corrected Register'!$A$5:$A$136,'Corrected Register'!$N$5:$N$136),0))</f>
        <v>787.96</v>
      </c>
      <c r="H75" s="7" t="inlineStr">
        <is>
          <t>HR already termed E0084. Update MD-00071 assignment.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HR lists E0084 as separated; register still assigns MD-00071 (EX-0071).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Difference",IF(IFERROR(XLOOKUP(D76,'Source Ledger'!$B$5:$B$133,'Source Ledger'!$H$5:$H$133),"")="Disposed",IFERROR(XLOOKUP(D76,'Source Ledger'!$B$5:$B$133,'Source Ledger'!$G$5:$G$133),0),IF(IFERROR(XLOOKUP(D76,'Source Ledger'!$B$5:$B$133,'Source Ledger'!$E$5:$E$133),"")="",IFERROR(XLOOKUP(D76,'Corrected Register'!$A$5:$A$136,'Corrected Register'!$M$5:$M$136),0),ABS(IFERROR(XLOOKUP(D76,'Source Ledger'!$B$5:$B$133,'Source Ledger'!$E$5:$E$133),0)-IFERROR(XLOOKUP(D76,'Corrected Register'!$A$5:$A$136,'Corrected Register'!$M$5:$M$136),0)))),IFERROR(XLOOKUP(D76,'Corrected Register'!$A$5:$A$136,'Corrected Register'!$N$5:$N$136),0))</f>
        <v>500.27</v>
      </c>
      <c r="H76" s="7" t="inlineStr">
        <is>
          <t>Label-only status on 1ZMD00000072 blocks cert for MD-00072.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OFF-00072: return window closed with empty inbound for MD-00072.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Difference",IF(IFERROR(XLOOKUP(D77,'Source Ledger'!$B$5:$B$133,'Source Ledger'!$H$5:$H$133),"")="Disposed",IFERROR(XLOOKUP(D77,'Source Ledger'!$B$5:$B$133,'Source Ledger'!$G$5:$G$133),0),IF(IFERROR(XLOOKUP(D77,'Source Ledger'!$B$5:$B$133,'Source Ledger'!$E$5:$E$133),"")="",IFERROR(XLOOKUP(D77,'Corrected Register'!$A$5:$A$136,'Corrected Register'!$M$5:$M$136),0),ABS(IFERROR(XLOOKUP(D77,'Source Ledger'!$B$5:$B$133,'Source Ledger'!$E$5:$E$133),0)-IFERROR(XLOOKUP(D77,'Corrected Register'!$A$5:$A$136,'Corrected Register'!$M$5:$M$136),0)))),IFERROR(XLOOKUP(D77,'Corrected Register'!$A$5:$A$136,'Corrected Register'!$N$5:$N$136),0))</f>
        <v>500.27</v>
      </c>
      <c r="H77" s="7" t="inlineStr">
        <is>
          <t>Recover or write-off later; first take E0085 off MD-00072.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Custodian mismatch MD-00072↔E0085 documented under EX-0073.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Difference",IF(IFERROR(XLOOKUP(D78,'Source Ledger'!$B$5:$B$133,'Source Ledger'!$H$5:$H$133),"")="Disposed",IFERROR(XLOOKUP(D78,'Source Ledger'!$B$5:$B$133,'Source Ledger'!$G$5:$G$133),0),IF(IFERROR(XLOOKUP(D78,'Source Ledger'!$B$5:$B$133,'Source Ledger'!$E$5:$E$133),"")="",IFERROR(XLOOKUP(D78,'Corrected Register'!$A$5:$A$136,'Corrected Register'!$M$5:$M$136),0),ABS(IFERROR(XLOOKUP(D78,'Source Ledger'!$B$5:$B$133,'Source Ledger'!$E$5:$E$133),0)-IFERROR(XLOOKUP(D78,'Corrected Register'!$A$5:$A$136,'Corrected Register'!$M$5:$M$136),0)))),IFERROR(XLOOKUP(D78,'Corrected Register'!$A$5:$A$136,'Corrected Register'!$N$5:$N$136),0))</f>
        <v>0</v>
      </c>
      <c r="H78" s="7" t="inlineStr">
        <is>
          <t>Keep pressure on the former user until dock scan - 1ZMD00000073.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Label 1ZMD00000073 printed; no SCAN-86 for MD-00073.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Difference",IF(IFERROR(XLOOKUP(D79,'Source Ledger'!$B$5:$B$133,'Source Ledger'!$H$5:$H$133),"")="Disposed",IFERROR(XLOOKUP(D79,'Source Ledger'!$B$5:$B$133,'Source Ledger'!$G$5:$G$133),0),IF(IFERROR(XLOOKUP(D79,'Source Ledger'!$B$5:$B$133,'Source Ledger'!$E$5:$E$133),"")="",IFERROR(XLOOKUP(D79,'Corrected Register'!$A$5:$A$136,'Corrected Register'!$M$5:$M$136),0),ABS(IFERROR(XLOOKUP(D79,'Source Ledger'!$B$5:$B$133,'Source Ledger'!$E$5:$E$133),0)-IFERROR(XLOOKUP(D79,'Corrected Register'!$A$5:$A$136,'Corrected Register'!$M$5:$M$136),0)))),IFERROR(XLOOKUP(D79,'Corrected Register'!$A$5:$A$136,'Corrected Register'!$N$5:$N$136),0))</f>
        <v>0</v>
      </c>
      <c r="H79" s="7" t="inlineStr">
        <is>
          <t>HR Operations Lead: remove E0086 from MD-00073 and park the kit.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People file cleared E0086; ITAM row for MD-00073 did not (EX-0075).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Difference",IF(IFERROR(XLOOKUP(D80,'Source Ledger'!$B$5:$B$133,'Source Ledger'!$H$5:$H$133),"")="Disposed",IFERROR(XLOOKUP(D80,'Source Ledger'!$B$5:$B$133,'Source Ledger'!$G$5:$G$133),0),IF(IFERROR(XLOOKUP(D80,'Source Ledger'!$B$5:$B$133,'Source Ledger'!$E$5:$E$133),"")="",IFERROR(XLOOKUP(D80,'Corrected Register'!$A$5:$A$136,'Corrected Register'!$M$5:$M$136),0),ABS(IFERROR(XLOOKUP(D80,'Source Ledger'!$B$5:$B$133,'Source Ledger'!$E$5:$E$133),0)-IFERROR(XLOOKUP(D80,'Corrected Register'!$A$5:$A$136,'Corrected Register'!$M$5:$M$136),0)))),IFERROR(XLOOKUP(D80,'Corrected Register'!$A$5:$A$136,'Corrected Register'!$N$5:$N$136),0))</f>
        <v>359.25</v>
      </c>
      <c r="H80" s="7" t="inlineStr">
        <is>
          <t>Hold MD-00074. Shipment serial MISMATCH-0074 ≠ register MD-MO-050074 on 1ZMD00000074.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Shipment serial MISMATCH-0074 on 1ZMD00000074 vs register MD-MO-050074. Not cleared.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Difference",IF(IFERROR(XLOOKUP(D81,'Source Ledger'!$B$5:$B$133,'Source Ledger'!$H$5:$H$133),"")="Disposed",IFERROR(XLOOKUP(D81,'Source Ledger'!$B$5:$B$133,'Source Ledger'!$G$5:$G$133),0),IF(IFERROR(XLOOKUP(D81,'Source Ledger'!$B$5:$B$133,'Source Ledger'!$E$5:$E$133),"")="",IFERROR(XLOOKUP(D81,'Corrected Register'!$A$5:$A$136,'Corrected Register'!$M$5:$M$136),0),ABS(IFERROR(XLOOKUP(D81,'Source Ledger'!$B$5:$B$133,'Source Ledger'!$E$5:$E$133),0)-IFERROR(XLOOKUP(D81,'Corrected Register'!$A$5:$A$136,'Corrected Register'!$M$5:$M$136),0)))),IFERROR(XLOOKUP(D81,'Corrected Register'!$A$5:$A$136,'Corrected Register'!$N$5:$N$136),0))</f>
        <v>359.25</v>
      </c>
      <c r="H81" s="7" t="inlineStr">
        <is>
          <t>People side closed via OFF-00074; asset row still lists E0087. Fix custodian.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MD-00074 custodian equals terminated ID E0087 - EX-0077.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Difference",IF(IFERROR(XLOOKUP(D82,'Source Ledger'!$B$5:$B$133,'Source Ledger'!$H$5:$H$133),"")="Disposed",IFERROR(XLOOKUP(D82,'Source Ledger'!$B$5:$B$133,'Source Ledger'!$G$5:$G$133),0),IF(IFERROR(XLOOKUP(D82,'Source Ledger'!$B$5:$B$133,'Source Ledger'!$E$5:$E$133),"")="",IFERROR(XLOOKUP(D82,'Corrected Register'!$A$5:$A$136,'Corrected Register'!$M$5:$M$136),0),ABS(IFERROR(XLOOKUP(D82,'Source Ledger'!$B$5:$B$133,'Source Ledger'!$E$5:$E$133),0)-IFERROR(XLOOKUP(D82,'Corrected Register'!$A$5:$A$136,'Corrected Register'!$M$5:$M$136),0)))),IFERROR(XLOOKUP(D82,'Corrected Register'!$A$5:$A$136,'Corrected Register'!$N$5:$N$136),0))</f>
        <v>359.25</v>
      </c>
      <c r="H82" s="7" t="inlineStr">
        <is>
          <t>Escalate recovery on MD-00074; 1ZMD00000074 is Label Created only.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Return paperwork exists (1ZMD00000074); physical return does not.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Difference",IF(IFERROR(XLOOKUP(D83,'Source Ledger'!$B$5:$B$133,'Source Ledger'!$H$5:$H$133),"")="Disposed",IFERROR(XLOOKUP(D83,'Source Ledger'!$B$5:$B$133,'Source Ledger'!$G$5:$G$133),0),IF(IFERROR(XLOOKUP(D83,'Source Ledger'!$B$5:$B$133,'Source Ledger'!$E$5:$E$133),"")="",IFERROR(XLOOKUP(D83,'Corrected Register'!$A$5:$A$136,'Corrected Register'!$M$5:$M$136),0),ABS(IFERROR(XLOOKUP(D83,'Source Ledger'!$B$5:$B$133,'Source Ledger'!$E$5:$E$133),0)-IFERROR(XLOOKUP(D83,'Corrected Register'!$A$5:$A$136,'Corrected Register'!$M$5:$M$136),0)))),IFERROR(XLOOKUP(D83,'Corrected Register'!$A$5:$A$136,'Corrected Register'!$N$5:$N$136),0))</f>
        <v>647.42</v>
      </c>
      <c r="H83" s="7" t="inlineStr">
        <is>
          <t>MD-00075 past due 2026-07-15; label is not receipt (OFF-00075).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Ship file for MD-00075: label only. OFF-00075 overdue 2026-07-15.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Difference",IF(IFERROR(XLOOKUP(D84,'Source Ledger'!$B$5:$B$133,'Source Ledger'!$H$5:$H$133),"")="Disposed",IFERROR(XLOOKUP(D84,'Source Ledger'!$B$5:$B$133,'Source Ledger'!$G$5:$G$133),0),IF(IFERROR(XLOOKUP(D84,'Source Ledger'!$B$5:$B$133,'Source Ledger'!$E$5:$E$133),"")="",IFERROR(XLOOKUP(D84,'Corrected Register'!$A$5:$A$136,'Corrected Register'!$M$5:$M$136),0),ABS(IFERROR(XLOOKUP(D84,'Source Ledger'!$B$5:$B$133,'Source Ledger'!$E$5:$E$133),0)-IFERROR(XLOOKUP(D84,'Corrected Register'!$A$5:$A$136,'Corrected Register'!$M$5:$M$136),0)))),IFERROR(XLOOKUP(D84,'Corrected Register'!$A$5:$A$136,'Corrected Register'!$N$5:$N$136),0))</f>
        <v>647.42</v>
      </c>
      <c r="H84" s="7" t="inlineStr">
        <is>
          <t>Stock or Regional IT must replace E0088 on MD-00075.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Custodian mismatch MD-00075↔E0088 documented under EX-0080.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Difference",IF(IFERROR(XLOOKUP(D85,'Source Ledger'!$B$5:$B$133,'Source Ledger'!$H$5:$H$133),"")="Disposed",IFERROR(XLOOKUP(D85,'Source Ledger'!$B$5:$B$133,'Source Ledger'!$G$5:$G$133),0),IF(IFERROR(XLOOKUP(D85,'Source Ledger'!$B$5:$B$133,'Source Ledger'!$E$5:$E$133),"")="",IFERROR(XLOOKUP(D85,'Corrected Register'!$A$5:$A$136,'Corrected Register'!$M$5:$M$136),0),ABS(IFERROR(XLOOKUP(D85,'Source Ledger'!$B$5:$B$133,'Source Ledger'!$E$5:$E$133),0)-IFERROR(XLOOKUP(D85,'Corrected Register'!$A$5:$A$136,'Corrected Register'!$M$5:$M$136),0)))),IFERROR(XLOOKUP(D85,'Corrected Register'!$A$5:$A$136,'Corrected Register'!$N$5:$N$136),0))</f>
        <v>953.89</v>
      </c>
      <c r="H85" s="7" t="inlineStr">
        <is>
          <t>Carrier exception 1ZMD00000076; MD-00076 stays held.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Shipment serial MISMATCH-0076 on 1ZMD00000076 vs register MD-NE-050076. Not cleared.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Difference",IF(IFERROR(XLOOKUP(D86,'Source Ledger'!$B$5:$B$133,'Source Ledger'!$H$5:$H$133),"")="Disposed",IFERROR(XLOOKUP(D86,'Source Ledger'!$B$5:$B$133,'Source Ledger'!$G$5:$G$133),0),IF(IFERROR(XLOOKUP(D86,'Source Ledger'!$B$5:$B$133,'Source Ledger'!$E$5:$E$133),"")="",IFERROR(XLOOKUP(D86,'Corrected Register'!$A$5:$A$136,'Corrected Register'!$M$5:$M$136),0),ABS(IFERROR(XLOOKUP(D86,'Source Ledger'!$B$5:$B$133,'Source Ledger'!$E$5:$E$133),0)-IFERROR(XLOOKUP(D86,'Corrected Register'!$A$5:$A$136,'Corrected Register'!$M$5:$M$136),0)))),IFERROR(XLOOKUP(D86,'Corrected Register'!$A$5:$A$136,'Corrected Register'!$N$5:$N$136),0))</f>
        <v>953.89</v>
      </c>
      <c r="H86" s="7" t="inlineStr">
        <is>
          <t>Term cleanup - MD-00076 should not remain with E0089.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Evidence for EX-0082: register kept E0089 on MD-00076 post-separation.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Difference",IF(IFERROR(XLOOKUP(D87,'Source Ledger'!$B$5:$B$133,'Source Ledger'!$H$5:$H$133),"")="Disposed",IFERROR(XLOOKUP(D87,'Source Ledger'!$B$5:$B$133,'Source Ledger'!$G$5:$G$133),0),IF(IFERROR(XLOOKUP(D87,'Source Ledger'!$B$5:$B$133,'Source Ledger'!$E$5:$E$133),"")="",IFERROR(XLOOKUP(D87,'Corrected Register'!$A$5:$A$136,'Corrected Register'!$M$5:$M$136),0),ABS(IFERROR(XLOOKUP(D87,'Source Ledger'!$B$5:$B$133,'Source Ledger'!$E$5:$E$133),0)-IFERROR(XLOOKUP(D87,'Corrected Register'!$A$5:$A$136,'Corrected Register'!$M$5:$M$136),0)))),IFERROR(XLOOKUP(D87,'Corrected Register'!$A$5:$A$136,'Corrected Register'!$N$5:$N$136),0))</f>
        <v>953.89</v>
      </c>
      <c r="H87" s="7" t="inlineStr">
        <is>
          <t>IT Asset Specialist: treat MD-00076 as not returned until inbound scan.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1ZMD00000076 remains Label Created. No acceptance, delivery, or dock scan.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Difference",IF(IFERROR(XLOOKUP(D88,'Source Ledger'!$B$5:$B$133,'Source Ledger'!$H$5:$H$133),"")="Disposed",IFERROR(XLOOKUP(D88,'Source Ledger'!$B$5:$B$133,'Source Ledger'!$G$5:$G$133),0),IF(IFERROR(XLOOKUP(D88,'Source Ledger'!$B$5:$B$133,'Source Ledger'!$E$5:$E$133),"")="",IFERROR(XLOOKUP(D88,'Corrected Register'!$A$5:$A$136,'Corrected Register'!$M$5:$M$136),0),ABS(IFERROR(XLOOKUP(D88,'Source Ledger'!$B$5:$B$133,'Source Ledger'!$E$5:$E$133),0)-IFERROR(XLOOKUP(D88,'Corrected Register'!$A$5:$A$136,'Corrected Register'!$M$5:$M$136),0)))),IFERROR(XLOOKUP(D88,'Corrected Register'!$A$5:$A$136,'Corrected Register'!$N$5:$N$136),0))</f>
        <v>0</v>
      </c>
      <c r="H88" s="7" t="inlineStr">
        <is>
          <t>Outstanding kit MD-00077 / 1ZMD00000077 - escalate beyond label print.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Label 1ZMD00000077 printed; no SCAN-86 for MD-00077.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Difference",IF(IFERROR(XLOOKUP(D89,'Source Ledger'!$B$5:$B$133,'Source Ledger'!$H$5:$H$133),"")="Disposed",IFERROR(XLOOKUP(D89,'Source Ledger'!$B$5:$B$133,'Source Ledger'!$G$5:$G$133),0),IF(IFERROR(XLOOKUP(D89,'Source Ledger'!$B$5:$B$133,'Source Ledger'!$E$5:$E$133),"")="",IFERROR(XLOOKUP(D89,'Corrected Register'!$A$5:$A$136,'Corrected Register'!$M$5:$M$136),0),ABS(IFERROR(XLOOKUP(D89,'Source Ledger'!$B$5:$B$133,'Source Ledger'!$E$5:$E$133),0)-IFERROR(XLOOKUP(D89,'Corrected Register'!$A$5:$A$136,'Corrected Register'!$M$5:$M$136),0)))),IFERROR(XLOOKUP(D89,'Corrected Register'!$A$5:$A$136,'Corrected Register'!$N$5:$N$136),0))</f>
        <v>0</v>
      </c>
      <c r="H89" s="7" t="inlineStr">
        <is>
          <t>HR Operations Lead: remove E0090 from MD-00077 and park the kit.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MD-00077 custodian equals terminated ID E0090 - EX-0085.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Difference",IF(IFERROR(XLOOKUP(D90,'Source Ledger'!$B$5:$B$133,'Source Ledger'!$H$5:$H$133),"")="Disposed",IFERROR(XLOOKUP(D90,'Source Ledger'!$B$5:$B$133,'Source Ledger'!$G$5:$G$133),0),IF(IFERROR(XLOOKUP(D90,'Source Ledger'!$B$5:$B$133,'Source Ledger'!$E$5:$E$133),"")="",IFERROR(XLOOKUP(D90,'Corrected Register'!$A$5:$A$136,'Corrected Register'!$M$5:$M$136),0),ABS(IFERROR(XLOOKUP(D90,'Source Ledger'!$B$5:$B$133,'Source Ledger'!$E$5:$E$133),0)-IFERROR(XLOOKUP(D90,'Corrected Register'!$A$5:$A$136,'Corrected Register'!$M$5:$M$136),0)))),IFERROR(XLOOKUP(D90,'Corrected Register'!$A$5:$A$136,'Corrected Register'!$N$5:$N$136),0))</f>
        <v>328.95</v>
      </c>
      <c r="H90" s="7" t="inlineStr">
        <is>
          <t>Escalate recovery on MD-00078; 1ZMD00000078 is Label Created only.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1ZMD00000078 remains Label Created. No acceptance, delivery, or dock scan.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Difference",IF(IFERROR(XLOOKUP(D91,'Source Ledger'!$B$5:$B$133,'Source Ledger'!$H$5:$H$133),"")="Disposed",IFERROR(XLOOKUP(D91,'Source Ledger'!$B$5:$B$133,'Source Ledger'!$G$5:$G$133),0),IF(IFERROR(XLOOKUP(D91,'Source Ledger'!$B$5:$B$133,'Source Ledger'!$E$5:$E$133),"")="",IFERROR(XLOOKUP(D91,'Corrected Register'!$A$5:$A$136,'Corrected Register'!$M$5:$M$136),0),ABS(IFERROR(XLOOKUP(D91,'Source Ledger'!$B$5:$B$133,'Source Ledger'!$E$5:$E$133),0)-IFERROR(XLOOKUP(D91,'Corrected Register'!$A$5:$A$136,'Corrected Register'!$M$5:$M$136),0)))),IFERROR(XLOOKUP(D91,'Corrected Register'!$A$5:$A$136,'Corrected Register'!$N$5:$N$136),0))</f>
        <v>328.95</v>
      </c>
      <c r="H91" s="7" t="inlineStr">
        <is>
          <t>OFF-00078 closed people; MD-00078 still shows the leaver.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Finding EX-0087 on MD-00078: former employee E0091 still listed as owner.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Difference",IF(IFERROR(XLOOKUP(D92,'Source Ledger'!$B$5:$B$133,'Source Ledger'!$H$5:$H$133),"")="Disposed",IFERROR(XLOOKUP(D92,'Source Ledger'!$B$5:$B$133,'Source Ledger'!$G$5:$G$133),0),IF(IFERROR(XLOOKUP(D92,'Source Ledger'!$B$5:$B$133,'Source Ledger'!$E$5:$E$133),"")="",IFERROR(XLOOKUP(D92,'Corrected Register'!$A$5:$A$136,'Corrected Register'!$M$5:$M$136),0),ABS(IFERROR(XLOOKUP(D92,'Source Ledger'!$B$5:$B$133,'Source Ledger'!$E$5:$E$133),0)-IFERROR(XLOOKUP(D92,'Corrected Register'!$A$5:$A$136,'Corrected Register'!$M$5:$M$136),0)))),IFERROR(XLOOKUP(D92,'Corrected Register'!$A$5:$A$136,'Corrected Register'!$N$5:$N$136),0))</f>
        <v>692.62</v>
      </c>
      <c r="H92" s="7" t="inlineStr">
        <is>
          <t>Do not close MD-00079 as returned. 2026-07-15 passed with no SCAN-86.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1ZMD00000079 remains Label Created. No acceptance, delivery, or dock scan.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Difference",IF(IFERROR(XLOOKUP(D93,'Source Ledger'!$B$5:$B$133,'Source Ledger'!$H$5:$H$133),"")="Disposed",IFERROR(XLOOKUP(D93,'Source Ledger'!$B$5:$B$133,'Source Ledger'!$G$5:$G$133),0),IF(IFERROR(XLOOKUP(D93,'Source Ledger'!$B$5:$B$133,'Source Ledger'!$E$5:$E$133),"")="",IFERROR(XLOOKUP(D93,'Corrected Register'!$A$5:$A$136,'Corrected Register'!$M$5:$M$136),0),ABS(IFERROR(XLOOKUP(D93,'Source Ledger'!$B$5:$B$133,'Source Ledger'!$E$5:$E$133),0)-IFERROR(XLOOKUP(D93,'Corrected Register'!$A$5:$A$136,'Corrected Register'!$M$5:$M$136),0)))),IFERROR(XLOOKUP(D93,'Corrected Register'!$A$5:$A$136,'Corrected Register'!$N$5:$N$136),0))</f>
        <v>692.62</v>
      </c>
      <c r="H93" s="7" t="inlineStr">
        <is>
          <t>MD-00079 still names a leaver (E0092). Close the assignment.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Term record for E0092 exists; MD-00079 assignment record did not update (EX-0089).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Difference",IF(IFERROR(XLOOKUP(D94,'Source Ledger'!$B$5:$B$133,'Source Ledger'!$H$5:$H$133),"")="Disposed",IFERROR(XLOOKUP(D94,'Source Ledger'!$B$5:$B$133,'Source Ledger'!$G$5:$G$133),0),IF(IFERROR(XLOOKUP(D94,'Source Ledger'!$B$5:$B$133,'Source Ledger'!$E$5:$E$133),"")="",IFERROR(XLOOKUP(D94,'Corrected Register'!$A$5:$A$136,'Corrected Register'!$M$5:$M$136),0),ABS(IFERROR(XLOOKUP(D94,'Source Ledger'!$B$5:$B$133,'Source Ledger'!$E$5:$E$133),0)-IFERROR(XLOOKUP(D94,'Corrected Register'!$A$5:$A$136,'Corrected Register'!$M$5:$M$136),0)))),IFERROR(XLOOKUP(D94,'Corrected Register'!$A$5:$A$136,'Corrected Register'!$N$5:$N$136),0))</f>
        <v>1374.53</v>
      </c>
      <c r="H94" s="7" t="inlineStr">
        <is>
          <t>Term cleanup - MD-00080 should not remain with E0093.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EX-0090 cites MD-00080 assigned to terminated E0093 despite OFF-00080.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Difference",IF(IFERROR(XLOOKUP(D95,'Source Ledger'!$B$5:$B$133,'Source Ledger'!$H$5:$H$133),"")="Disposed",IFERROR(XLOOKUP(D95,'Source Ledger'!$B$5:$B$133,'Source Ledger'!$G$5:$G$133),0),IF(IFERROR(XLOOKUP(D95,'Source Ledger'!$B$5:$B$133,'Source Ledger'!$E$5:$E$133),"")="",IFERROR(XLOOKUP(D95,'Corrected Register'!$A$5:$A$136,'Corrected Register'!$M$5:$M$136),0),ABS(IFERROR(XLOOKUP(D95,'Source Ledger'!$B$5:$B$133,'Source Ledger'!$E$5:$E$133),0)-IFERROR(XLOOKUP(D95,'Corrected Register'!$A$5:$A$136,'Corrected Register'!$M$5:$M$136),0)))),IFERROR(XLOOKUP(D95,'Corrected Register'!$A$5:$A$136,'Corrected Register'!$N$5:$N$136),0))</f>
        <v>114.4</v>
      </c>
      <c r="H95" s="7" t="inlineStr">
        <is>
          <t>MD-00081 needs a stock/regional holder, not E0094.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People file cleared E0094; ITAM row for MD-00081 did not (EX-0091).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Difference",IF(IFERROR(XLOOKUP(D96,'Source Ledger'!$B$5:$B$133,'Source Ledger'!$H$5:$H$133),"")="Disposed",IFERROR(XLOOKUP(D96,'Source Ledger'!$B$5:$B$133,'Source Ledger'!$G$5:$G$133),0),IF(IFERROR(XLOOKUP(D96,'Source Ledger'!$B$5:$B$133,'Source Ledger'!$E$5:$E$133),"")="",IFERROR(XLOOKUP(D96,'Corrected Register'!$A$5:$A$136,'Corrected Register'!$M$5:$M$136),0),ABS(IFERROR(XLOOKUP(D96,'Source Ledger'!$B$5:$B$133,'Source Ledger'!$E$5:$E$133),0)-IFERROR(XLOOKUP(D96,'Corrected Register'!$A$5:$A$136,'Corrected Register'!$M$5:$M$136),0)))),IFERROR(XLOOKUP(D96,'Corrected Register'!$A$5:$A$136,'Corrected Register'!$N$5:$N$136),0))</f>
        <v>485.55</v>
      </c>
      <c r="H96" s="7" t="inlineStr">
        <is>
          <t>MD-00082 stays exception. Dock photo is a HOLD lead, not a receipt. MISMATCH-0082 vs MD-MO-050082 on 1ZMD00000082.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MISMATCH-0082 vs MD-MO-050082. Used the photo as breadcrumb only.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Difference",IF(IFERROR(XLOOKUP(D97,'Source Ledger'!$B$5:$B$133,'Source Ledger'!$H$5:$H$133),"")="Disposed",IFERROR(XLOOKUP(D97,'Source Ledger'!$B$5:$B$133,'Source Ledger'!$G$5:$G$133),0),IF(IFERROR(XLOOKUP(D97,'Source Ledger'!$B$5:$B$133,'Source Ledger'!$E$5:$E$133),"")="",IFERROR(XLOOKUP(D97,'Corrected Register'!$A$5:$A$136,'Corrected Register'!$M$5:$M$136),0),ABS(IFERROR(XLOOKUP(D97,'Source Ledger'!$B$5:$B$133,'Source Ledger'!$E$5:$E$133),0)-IFERROR(XLOOKUP(D97,'Corrected Register'!$A$5:$A$136,'Corrected Register'!$M$5:$M$136),0)))),IFERROR(XLOOKUP(D97,'Corrected Register'!$A$5:$A$136,'Corrected Register'!$N$5:$N$136),0))</f>
        <v>485.55</v>
      </c>
      <c r="H97" s="7" t="inlineStr">
        <is>
          <t>MD-00082 needs a stock/regional holder, not E0095.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Compared HR row E0095 to register row MD-00082 - assignment stale (EX-0093).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Difference",IF(IFERROR(XLOOKUP(D98,'Source Ledger'!$B$5:$B$133,'Source Ledger'!$H$5:$H$133),"")="Disposed",IFERROR(XLOOKUP(D98,'Source Ledger'!$B$5:$B$133,'Source Ledger'!$G$5:$G$133),0),IF(IFERROR(XLOOKUP(D98,'Source Ledger'!$B$5:$B$133,'Source Ledger'!$E$5:$E$133),"")="",IFERROR(XLOOKUP(D98,'Corrected Register'!$A$5:$A$136,'Corrected Register'!$M$5:$M$136),0),ABS(IFERROR(XLOOKUP(D98,'Source Ledger'!$B$5:$B$133,'Source Ledger'!$E$5:$E$133),0)-IFERROR(XLOOKUP(D98,'Corrected Register'!$A$5:$A$136,'Corrected Register'!$M$5:$M$136),0)))),IFERROR(XLOOKUP(D98,'Corrected Register'!$A$5:$A$136,'Corrected Register'!$N$5:$N$136),0))</f>
        <v>952.79</v>
      </c>
      <c r="H98" s="7" t="inlineStr">
        <is>
          <t>Move MD-00083 to Regional IT holding after E0071 exit.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Offboarding closed for E0071; asset row did not follow for MD-00083 (EX-0094).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Difference",IF(IFERROR(XLOOKUP(D99,'Source Ledger'!$B$5:$B$133,'Source Ledger'!$H$5:$H$133),"")="Disposed",IFERROR(XLOOKUP(D99,'Source Ledger'!$B$5:$B$133,'Source Ledger'!$G$5:$G$133),0),IF(IFERROR(XLOOKUP(D99,'Source Ledger'!$B$5:$B$133,'Source Ledger'!$E$5:$E$133),"")="",IFERROR(XLOOKUP(D99,'Corrected Register'!$A$5:$A$136,'Corrected Register'!$M$5:$M$136),0),ABS(IFERROR(XLOOKUP(D99,'Source Ledger'!$B$5:$B$133,'Source Ledger'!$E$5:$E$133),0)-IFERROR(XLOOKUP(D99,'Corrected Register'!$A$5:$A$136,'Corrected Register'!$M$5:$M$136),0)))),IFERROR(XLOOKUP(D99,'Corrected Register'!$A$5:$A$136,'Corrected Register'!$N$5:$N$136),0))</f>
        <v>533.85</v>
      </c>
      <c r="H99" s="7" t="inlineStr">
        <is>
          <t>Work carrier/receiving on 1ZMD00000084: MISMATCH-0084 vs MD-NE-050084.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Inbound 1ZMD00000084 does not match register serial MD-NE-050084.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Difference",IF(IFERROR(XLOOKUP(D100,'Source Ledger'!$B$5:$B$133,'Source Ledger'!$H$5:$H$133),"")="Disposed",IFERROR(XLOOKUP(D100,'Source Ledger'!$B$5:$B$133,'Source Ledger'!$G$5:$G$133),0),IF(IFERROR(XLOOKUP(D100,'Source Ledger'!$B$5:$B$133,'Source Ledger'!$E$5:$E$133),"")="",IFERROR(XLOOKUP(D100,'Corrected Register'!$A$5:$A$136,'Corrected Register'!$M$5:$M$136),0),ABS(IFERROR(XLOOKUP(D100,'Source Ledger'!$B$5:$B$133,'Source Ledger'!$E$5:$E$133),0)-IFERROR(XLOOKUP(D100,'Corrected Register'!$A$5:$A$136,'Corrected Register'!$M$5:$M$136),0)))),IFERROR(XLOOKUP(D100,'Corrected Register'!$A$5:$A$136,'Corrected Register'!$N$5:$N$136),0))</f>
        <v>533.85</v>
      </c>
      <c r="H100" s="7" t="inlineStr">
        <is>
          <t>MD-00084 still names a leaver (E0072). Close the assignment.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EX-0096 cites MD-00084 assigned to terminated E0072 despite OFF-00084.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Difference",IF(IFERROR(XLOOKUP(D101,'Source Ledger'!$B$5:$B$133,'Source Ledger'!$H$5:$H$133),"")="Disposed",IFERROR(XLOOKUP(D101,'Source Ledger'!$B$5:$B$133,'Source Ledger'!$G$5:$G$133),0),IF(IFERROR(XLOOKUP(D101,'Source Ledger'!$B$5:$B$133,'Source Ledger'!$E$5:$E$133),"")="",IFERROR(XLOOKUP(D101,'Corrected Register'!$A$5:$A$136,'Corrected Register'!$M$5:$M$136),0),ABS(IFERROR(XLOOKUP(D101,'Source Ledger'!$B$5:$B$133,'Source Ledger'!$E$5:$E$133),0)-IFERROR(XLOOKUP(D101,'Corrected Register'!$A$5:$A$136,'Corrected Register'!$M$5:$M$136),0)))),IFERROR(XLOOKUP(D101,'Corrected Register'!$A$5:$A$136,'Corrected Register'!$N$5:$N$136),0))</f>
        <v>0</v>
      </c>
      <c r="H101" s="7" t="inlineStr">
        <is>
          <t>People side closed via OFF-00085; asset row still lists E0073. Fix custodian.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People extract vs register: MD-00085 retained leaver E0073. OFF-00085.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PO:PO-2024-0015; RegisterCost:1895.0; LedgerCost:2090.0</t>
        </is>
      </c>
      <c r="G102" s="7">
        <f>IF(B102="Inventory-to-Ledger Difference",IF(IFERROR(XLOOKUP(D102,'Source Ledger'!$B$5:$B$133,'Source Ledger'!$H$5:$H$133),"")="Disposed",IFERROR(XLOOKUP(D102,'Source Ledger'!$B$5:$B$133,'Source Ledger'!$G$5:$G$133),0),IF(IFERROR(XLOOKUP(D102,'Source Ledger'!$B$5:$B$133,'Source Ledger'!$E$5:$E$133),"")="",IFERROR(XLOOKUP(D102,'Corrected Register'!$A$5:$A$136,'Corrected Register'!$M$5:$M$136),0),ABS(IFERROR(XLOOKUP(D102,'Source Ledger'!$B$5:$B$133,'Source Ledger'!$E$5:$E$133),0)-IFERROR(XLOOKUP(D102,'Corrected Register'!$A$5:$A$136,'Corrected Register'!$M$5:$M$136),0)))),IFERROR(XLOOKUP(D102,'Corrected Register'!$A$5:$A$136,'Corrected Register'!$N$5:$N$136),0))</f>
        <v>195</v>
      </c>
      <c r="H102" s="7" t="inlineStr">
        <is>
          <t>Align cost on MD-00085: register 1895.0 vs ledger 2090.0 (FA-000085).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Basis mismatch documented for MD-00085 (1895.0 vs 2090.0).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Difference",IF(IFERROR(XLOOKUP(D103,'Source Ledger'!$B$5:$B$133,'Source Ledger'!$H$5:$H$133),"")="Disposed",IFERROR(XLOOKUP(D103,'Source Ledger'!$B$5:$B$133,'Source Ledger'!$G$5:$G$133),0),IF(IFERROR(XLOOKUP(D103,'Source Ledger'!$B$5:$B$133,'Source Ledger'!$E$5:$E$133),"")="",IFERROR(XLOOKUP(D103,'Corrected Register'!$A$5:$A$136,'Corrected Register'!$M$5:$M$136),0),ABS(IFERROR(XLOOKUP(D103,'Source Ledger'!$B$5:$B$133,'Source Ledger'!$E$5:$E$133),0)-IFERROR(XLOOKUP(D103,'Corrected Register'!$A$5:$A$136,'Corrected Register'!$M$5:$M$136),0)))),IFERROR(XLOOKUP(D103,'Corrected Register'!$A$5:$A$136,'Corrected Register'!$N$5:$N$136),0))</f>
        <v>317.07</v>
      </c>
      <c r="H103" s="7" t="inlineStr">
        <is>
          <t>HR shows E0074 gone - remove as custodian on MD-00086 (OFF-00086).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Compared HR row E0074 to register row MD-00086 - assignment stale (EX-0099).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Difference",IF(IFERROR(XLOOKUP(D104,'Source Ledger'!$B$5:$B$133,'Source Ledger'!$H$5:$H$133),"")="Disposed",IFERROR(XLOOKUP(D104,'Source Ledger'!$B$5:$B$133,'Source Ledger'!$G$5:$G$133),0),IF(IFERROR(XLOOKUP(D104,'Source Ledger'!$B$5:$B$133,'Source Ledger'!$E$5:$E$133),"")="",IFERROR(XLOOKUP(D104,'Corrected Register'!$A$5:$A$136,'Corrected Register'!$M$5:$M$136),0),ABS(IFERROR(XLOOKUP(D104,'Source Ledger'!$B$5:$B$133,'Source Ledger'!$E$5:$E$133),0)-IFERROR(XLOOKUP(D104,'Corrected Register'!$A$5:$A$136,'Corrected Register'!$M$5:$M$136),0)))),IFERROR(XLOOKUP(D104,'Corrected Register'!$A$5:$A$136,'Corrected Register'!$N$5:$N$136),0))</f>
        <v>609.71</v>
      </c>
      <c r="H104" s="7" t="inlineStr">
        <is>
          <t>Assignment on MD-00087 survived HR term for E0075. Correct it.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Register owner on MD-00087 is stale relative to HR for E0075 (EX-0100).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Difference",IF(IFERROR(XLOOKUP(D105,'Source Ledger'!$B$5:$B$133,'Source Ledger'!$H$5:$H$133),"")="Disposed",IFERROR(XLOOKUP(D105,'Source Ledger'!$B$5:$B$133,'Source Ledger'!$G$5:$G$133),0),IF(IFERROR(XLOOKUP(D105,'Source Ledger'!$B$5:$B$133,'Source Ledger'!$E$5:$E$133),"")="",IFERROR(XLOOKUP(D105,'Corrected Register'!$A$5:$A$136,'Corrected Register'!$M$5:$M$136),0),ABS(IFERROR(XLOOKUP(D105,'Source Ledger'!$B$5:$B$133,'Source Ledger'!$E$5:$E$133),0)-IFERROR(XLOOKUP(D105,'Corrected Register'!$A$5:$A$136,'Corrected Register'!$M$5:$M$136),0)))),IFERROR(XLOOKUP(D105,'Corrected Register'!$A$5:$A$136,'Corrected Register'!$N$5:$N$136),0))</f>
        <v>982.55</v>
      </c>
      <c r="H105" s="7" t="inlineStr">
        <is>
          <t>People side closed via OFF-00088; asset row still lists E0076. Fix custodian.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Compared HR row E0076 to register row MD-00088 - assignment stale (EX-0101).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>
        <f>IF(B106="Inventory-to-Ledger Difference",IF(IFERROR(XLOOKUP(D106,'Source Ledger'!$B$5:$B$133,'Source Ledger'!$H$5:$H$133),"")="Disposed",IFERROR(XLOOKUP(D106,'Source Ledger'!$B$5:$B$133,'Source Ledger'!$G$5:$G$133),0),IF(IFERROR(XLOOKUP(D106,'Source Ledger'!$B$5:$B$133,'Source Ledger'!$E$5:$E$133),"")="",IFERROR(XLOOKUP(D106,'Corrected Register'!$A$5:$A$136,'Corrected Register'!$M$5:$M$136),0),ABS(IFERROR(XLOOKUP(D106,'Source Ledger'!$B$5:$B$133,'Source Ledger'!$E$5:$E$133),0)-IFERROR(XLOOKUP(D106,'Corrected Register'!$A$5:$A$136,'Corrected Register'!$M$5:$M$136),0)))),IFERROR(XLOOKUP(D106,'Corrected Register'!$A$5:$A$136,'Corrected Register'!$N$5:$N$136),0))</f>
        <v>982.55</v>
      </c>
      <c r="H106" s="7" t="inlineStr">
        <is>
          <t>Duplicate MD-NE-050088 - MD-00088 and MD-00088,MD-00092. Neither is clean until retag.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appears on more than one tag (MD-00088,MD-00092).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Difference",IF(IFERROR(XLOOKUP(D107,'Source Ledger'!$B$5:$B$133,'Source Ledger'!$H$5:$H$133),"")="Disposed",IFERROR(XLOOKUP(D107,'Source Ledger'!$B$5:$B$133,'Source Ledger'!$G$5:$G$133),0),IF(IFERROR(XLOOKUP(D107,'Source Ledger'!$B$5:$B$133,'Source Ledger'!$E$5:$E$133),"")="",IFERROR(XLOOKUP(D107,'Corrected Register'!$A$5:$A$136,'Corrected Register'!$M$5:$M$136),0),ABS(IFERROR(XLOOKUP(D107,'Source Ledger'!$B$5:$B$133,'Source Ledger'!$E$5:$E$133),0)-IFERROR(XLOOKUP(D107,'Corrected Register'!$A$5:$A$136,'Corrected Register'!$M$5:$M$136),0)))),IFERROR(XLOOKUP(D107,'Corrected Register'!$A$5:$A$136,'Corrected Register'!$N$5:$N$136),0))</f>
        <v>0</v>
      </c>
      <c r="H107" s="7" t="inlineStr">
        <is>
          <t>No scan/cert/count for MD-00089. Missing, not In Use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Could not place MD-00089 from available transactions (EX-0103).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Difference",IF(IFERROR(XLOOKUP(D108,'Source Ledger'!$B$5:$B$133,'Source Ledger'!$H$5:$H$133),"")="Disposed",IFERROR(XLOOKUP(D108,'Source Ledger'!$B$5:$B$133,'Source Ledger'!$G$5:$G$133),0),IF(IFERROR(XLOOKUP(D108,'Source Ledger'!$B$5:$B$133,'Source Ledger'!$E$5:$E$133),"")="",IFERROR(XLOOKUP(D108,'Corrected Register'!$A$5:$A$136,'Corrected Register'!$M$5:$M$136),0),ABS(IFERROR(XLOOKUP(D108,'Source Ledger'!$B$5:$B$133,'Source Ledger'!$E$5:$E$133),0)-IFERROR(XLOOKUP(D108,'Corrected Register'!$A$5:$A$136,'Corrected Register'!$M$5:$M$136),0)))),IFERROR(XLOOKUP(D108,'Corrected Register'!$A$5:$A$136,'Corrected Register'!$N$5:$N$136),0))</f>
        <v>0</v>
      </c>
      <c r="H108" s="7" t="inlineStr">
        <is>
          <t>Custodian field on MD-00089 still equals E0077; that is the fix.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Register owner on MD-00089 is stale relative to HR for E0077 (EX-0104).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Difference",IF(IFERROR(XLOOKUP(D109,'Source Ledger'!$B$5:$B$133,'Source Ledger'!$H$5:$H$133),"")="Disposed",IFERROR(XLOOKUP(D109,'Source Ledger'!$B$5:$B$133,'Source Ledger'!$G$5:$G$133),0),IF(IFERROR(XLOOKUP(D109,'Source Ledger'!$B$5:$B$133,'Source Ledger'!$E$5:$E$133),"")="",IFERROR(XLOOKUP(D109,'Corrected Register'!$A$5:$A$136,'Corrected Register'!$M$5:$M$136),0),ABS(IFERROR(XLOOKUP(D109,'Source Ledger'!$B$5:$B$133,'Source Ledger'!$E$5:$E$133),0)-IFERROR(XLOOKUP(D109,'Corrected Register'!$A$5:$A$136,'Corrected Register'!$M$5:$M$136),0)))),IFERROR(XLOOKUP(D109,'Corrected Register'!$A$5:$A$136,'Corrected Register'!$N$5:$N$136),0))</f>
        <v>465.13</v>
      </c>
      <c r="H109" s="7" t="inlineStr">
        <is>
          <t>Security review + locate. MD-00090 remains Missing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Files do not locate MD-00090; Missing remains appropriate (EX-0105).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Difference",IF(IFERROR(XLOOKUP(D110,'Source Ledger'!$B$5:$B$133,'Source Ledger'!$H$5:$H$133),"")="Disposed",IFERROR(XLOOKUP(D110,'Source Ledger'!$B$5:$B$133,'Source Ledger'!$G$5:$G$133),0),IF(IFERROR(XLOOKUP(D110,'Source Ledger'!$B$5:$B$133,'Source Ledger'!$E$5:$E$133),"")="",IFERROR(XLOOKUP(D110,'Corrected Register'!$A$5:$A$136,'Corrected Register'!$M$5:$M$136),0),ABS(IFERROR(XLOOKUP(D110,'Source Ledger'!$B$5:$B$133,'Source Ledger'!$E$5:$E$133),0)-IFERROR(XLOOKUP(D110,'Corrected Register'!$A$5:$A$136,'Corrected Register'!$M$5:$M$136),0)))),IFERROR(XLOOKUP(D110,'Corrected Register'!$A$5:$A$136,'Corrected Register'!$N$5:$N$136),0))</f>
        <v>465.13</v>
      </c>
      <c r="H110" s="7" t="inlineStr">
        <is>
          <t>Recover or write-off later; first take E0078 off MD-00090.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HR lists E0078 as separated; register still assigns MD-00090 (EX-0106).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Difference",IF(IFERROR(XLOOKUP(D111,'Source Ledger'!$B$5:$B$133,'Source Ledger'!$H$5:$H$133),"")="Disposed",IFERROR(XLOOKUP(D111,'Source Ledger'!$B$5:$B$133,'Source Ledger'!$G$5:$G$133),0),IF(IFERROR(XLOOKUP(D111,'Source Ledger'!$B$5:$B$133,'Source Ledger'!$E$5:$E$133),"")="",IFERROR(XLOOKUP(D111,'Corrected Register'!$A$5:$A$136,'Corrected Register'!$M$5:$M$136),0),ABS(IFERROR(XLOOKUP(D111,'Source Ledger'!$B$5:$B$133,'Source Ledger'!$E$5:$E$133),0)-IFERROR(XLOOKUP(D111,'Corrected Register'!$A$5:$A$136,'Corrected Register'!$M$5:$M$136),0)))),IFERROR(XLOOKUP(D111,'Corrected Register'!$A$5:$A$136,'Corrected Register'!$N$5:$N$136),0))</f>
        <v>643.09</v>
      </c>
      <c r="H111" s="7" t="inlineStr">
        <is>
          <t>Write-off only with approval; until then MD-00091 is Missing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MD-00091 not found in inbound or stock after Denver - Closed (EX-0107).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Difference",IF(IFERROR(XLOOKUP(D112,'Source Ledger'!$B$5:$B$133,'Source Ledger'!$H$5:$H$133),"")="Disposed",IFERROR(XLOOKUP(D112,'Source Ledger'!$B$5:$B$133,'Source Ledger'!$G$5:$G$133),0),IF(IFERROR(XLOOKUP(D112,'Source Ledger'!$B$5:$B$133,'Source Ledger'!$E$5:$E$133),"")="",IFERROR(XLOOKUP(D112,'Corrected Register'!$A$5:$A$136,'Corrected Register'!$M$5:$M$136),0),ABS(IFERROR(XLOOKUP(D112,'Source Ledger'!$B$5:$B$133,'Source Ledger'!$E$5:$E$133),0)-IFERROR(XLOOKUP(D112,'Corrected Register'!$A$5:$A$136,'Corrected Register'!$M$5:$M$136),0)))),IFERROR(XLOOKUP(D112,'Corrected Register'!$A$5:$A$136,'Corrected Register'!$N$5:$N$136),0))</f>
        <v>643.09</v>
      </c>
      <c r="H112" s="7" t="inlineStr">
        <is>
          <t>Unassign E0079 from MD-00091; hold under Regional IT / IT Stock.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Leaver E0079 remains on MD-00091 in the inventory extract (EX-0108).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Difference",IF(IFERROR(XLOOKUP(D113,'Source Ledger'!$B$5:$B$133,'Source Ledger'!$H$5:$H$133),"")="Disposed",IFERROR(XLOOKUP(D113,'Source Ledger'!$B$5:$B$133,'Source Ledger'!$G$5:$G$133),0),IF(IFERROR(XLOOKUP(D113,'Source Ledger'!$B$5:$B$133,'Source Ledger'!$E$5:$E$133),"")="",IFERROR(XLOOKUP(D113,'Corrected Register'!$A$5:$A$136,'Corrected Register'!$M$5:$M$136),0),ABS(IFERROR(XLOOKUP(D113,'Source Ledger'!$B$5:$B$133,'Source Ledger'!$E$5:$E$133),0)-IFERROR(XLOOKUP(D113,'Corrected Register'!$A$5:$A$136,'Corrected Register'!$M$5:$M$136),0)))),IFERROR(XLOOKUP(D113,'Corrected Register'!$A$5:$A$136,'Corrected Register'!$N$5:$N$136),0))</f>
        <v>1396.04</v>
      </c>
      <c r="H113" s="7" t="inlineStr">
        <is>
          <t>No scan/cert/count for MD-00092. Missing, not In Use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MD-00092 not found in inbound or stock after Chicago - Closed (EX-0109).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Difference",IF(IFERROR(XLOOKUP(D114,'Source Ledger'!$B$5:$B$133,'Source Ledger'!$H$5:$H$133),"")="Disposed",IFERROR(XLOOKUP(D114,'Source Ledger'!$B$5:$B$133,'Source Ledger'!$G$5:$G$133),0),IF(IFERROR(XLOOKUP(D114,'Source Ledger'!$B$5:$B$133,'Source Ledger'!$E$5:$E$133),"")="",IFERROR(XLOOKUP(D114,'Corrected Register'!$A$5:$A$136,'Corrected Register'!$M$5:$M$136),0),ABS(IFERROR(XLOOKUP(D114,'Source Ledger'!$B$5:$B$133,'Source Ledger'!$E$5:$E$133),0)-IFERROR(XLOOKUP(D114,'Corrected Register'!$A$5:$A$136,'Corrected Register'!$M$5:$M$136),0)))),IFERROR(XLOOKUP(D114,'Corrected Register'!$A$5:$A$136,'Corrected Register'!$N$5:$N$136),0))</f>
        <v>1396.04</v>
      </c>
      <c r="H114" s="7" t="inlineStr">
        <is>
          <t>Stock or Regional IT must replace E0080 on MD-00092.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Custodian mismatch MD-00092↔E0080 documented under EX-0110.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>
        <f>IF(B115="Inventory-to-Ledger Difference",IF(IFERROR(XLOOKUP(D115,'Source Ledger'!$B$5:$B$133,'Source Ledger'!$H$5:$H$133),"")="Disposed",IFERROR(XLOOKUP(D115,'Source Ledger'!$B$5:$B$133,'Source Ledger'!$G$5:$G$133),0),IF(IFERROR(XLOOKUP(D115,'Source Ledger'!$B$5:$B$133,'Source Ledger'!$E$5:$E$133),"")="",IFERROR(XLOOKUP(D115,'Corrected Register'!$A$5:$A$136,'Corrected Register'!$M$5:$M$136),0),ABS(IFERROR(XLOOKUP(D115,'Source Ledger'!$B$5:$B$133,'Source Ledger'!$E$5:$E$133),0)-IFERROR(XLOOKUP(D115,'Corrected Register'!$A$5:$A$136,'Corrected Register'!$M$5:$M$136),0)))),IFERROR(XLOOKUP(D115,'Corrected Register'!$A$5:$A$136,'Corrected Register'!$N$5:$N$136),0))</f>
        <v>1396.04</v>
      </c>
      <c r="H115" s="7" t="inlineStr">
        <is>
          <t>Two assets share MD-NE-050088 (MD-00088,MD-00092). Bench-validate and issue a new serial.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Two assets share MD-NE-050088; MD-00092 is one of them.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Difference",IF(IFERROR(XLOOKUP(D116,'Source Ledger'!$B$5:$B$133,'Source Ledger'!$H$5:$H$133),"")="Disposed",IFERROR(XLOOKUP(D116,'Source Ledger'!$B$5:$B$133,'Source Ledger'!$G$5:$G$133),0),IF(IFERROR(XLOOKUP(D116,'Source Ledger'!$B$5:$B$133,'Source Ledger'!$E$5:$E$133),"")="",IFERROR(XLOOKUP(D116,'Corrected Register'!$A$5:$A$136,'Corrected Register'!$M$5:$M$136),0),ABS(IFERROR(XLOOKUP(D116,'Source Ledger'!$B$5:$B$133,'Source Ledger'!$E$5:$E$133),0)-IFERROR(XLOOKUP(D116,'Corrected Register'!$A$5:$A$136,'Corrected Register'!$M$5:$M$136),0)))),IFERROR(XLOOKUP(D116,'Corrected Register'!$A$5:$A$136,'Corrected Register'!$N$5:$N$136),0))</f>
        <v>130.57</v>
      </c>
      <c r="H116" s="7" t="inlineStr">
        <is>
          <t>Security review + locate. MD-00093 remains Missing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MD-00093 not found in inbound or stock after Denver - Closed (EX-0112).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Difference",IF(IFERROR(XLOOKUP(D117,'Source Ledger'!$B$5:$B$133,'Source Ledger'!$H$5:$H$133),"")="Disposed",IFERROR(XLOOKUP(D117,'Source Ledger'!$B$5:$B$133,'Source Ledger'!$G$5:$G$133),0),IF(IFERROR(XLOOKUP(D117,'Source Ledger'!$B$5:$B$133,'Source Ledger'!$E$5:$E$133),"")="",IFERROR(XLOOKUP(D117,'Corrected Register'!$A$5:$A$136,'Corrected Register'!$M$5:$M$136),0),ABS(IFERROR(XLOOKUP(D117,'Source Ledger'!$B$5:$B$133,'Source Ledger'!$E$5:$E$133),0)-IFERROR(XLOOKUP(D117,'Corrected Register'!$A$5:$A$136,'Corrected Register'!$M$5:$M$136),0)))),IFERROR(XLOOKUP(D117,'Corrected Register'!$A$5:$A$136,'Corrected Register'!$N$5:$N$136),0))</f>
        <v>130.57</v>
      </c>
      <c r="H117" s="7" t="inlineStr">
        <is>
          <t>Stock or Regional IT must replace E0081 on MD-00093.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HR lists E0081 as separated; register still assigns MD-00093 (EX-0113).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Difference",IF(IFERROR(XLOOKUP(D118,'Source Ledger'!$B$5:$B$133,'Source Ledger'!$H$5:$H$133),"")="Disposed",IFERROR(XLOOKUP(D118,'Source Ledger'!$B$5:$B$133,'Source Ledger'!$G$5:$G$133),0),IF(IFERROR(XLOOKUP(D118,'Source Ledger'!$B$5:$B$133,'Source Ledger'!$E$5:$E$133),"")="",IFERROR(XLOOKUP(D118,'Corrected Register'!$A$5:$A$136,'Corrected Register'!$M$5:$M$136),0),ABS(IFERROR(XLOOKUP(D118,'Source Ledger'!$B$5:$B$133,'Source Ledger'!$E$5:$E$133),0)-IFERROR(XLOOKUP(D118,'Corrected Register'!$A$5:$A$136,'Corrected Register'!$M$5:$M$136),0)))),IFERROR(XLOOKUP(D118,'Corrected Register'!$A$5:$A$136,'Corrected Register'!$N$5:$N$136),0))</f>
        <v>431.2</v>
      </c>
      <c r="H118" s="7" t="inlineStr">
        <is>
          <t>Write-off only with approval; until then MD-00094 is Missing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Nothing physical confirms MD-00094 at Unknown (EX-0114).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Difference",IF(IFERROR(XLOOKUP(D119,'Source Ledger'!$B$5:$B$133,'Source Ledger'!$H$5:$H$133),"")="Disposed",IFERROR(XLOOKUP(D119,'Source Ledger'!$B$5:$B$133,'Source Ledger'!$G$5:$G$133),0),IF(IFERROR(XLOOKUP(D119,'Source Ledger'!$B$5:$B$133,'Source Ledger'!$E$5:$E$133),"")="",IFERROR(XLOOKUP(D119,'Corrected Register'!$A$5:$A$136,'Corrected Register'!$M$5:$M$136),0),ABS(IFERROR(XLOOKUP(D119,'Source Ledger'!$B$5:$B$133,'Source Ledger'!$E$5:$E$133),0)-IFERROR(XLOOKUP(D119,'Corrected Register'!$A$5:$A$136,'Corrected Register'!$M$5:$M$136),0)))),IFERROR(XLOOKUP(D119,'Corrected Register'!$A$5:$A$136,'Corrected Register'!$N$5:$N$136),0))</f>
        <v>431.2</v>
      </c>
      <c r="H119" s="7" t="inlineStr">
        <is>
          <t>Term cleanup - MD-00094 should not remain with E0082.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MD-00094 custodian equals terminated ID E0082 - EX-0115.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Difference",IF(IFERROR(XLOOKUP(D120,'Source Ledger'!$B$5:$B$133,'Source Ledger'!$H$5:$H$133),"")="Disposed",IFERROR(XLOOKUP(D120,'Source Ledger'!$B$5:$B$133,'Source Ledger'!$G$5:$G$133),0),IF(IFERROR(XLOOKUP(D120,'Source Ledger'!$B$5:$B$133,'Source Ledger'!$E$5:$E$133),"")="",IFERROR(XLOOKUP(D120,'Corrected Register'!$A$5:$A$136,'Corrected Register'!$M$5:$M$136),0),ABS(IFERROR(XLOOKUP(D120,'Source Ledger'!$B$5:$B$133,'Source Ledger'!$E$5:$E$133),0)-IFERROR(XLOOKUP(D120,'Corrected Register'!$A$5:$A$136,'Corrected Register'!$M$5:$M$136),0)))),IFERROR(XLOOKUP(D120,'Corrected Register'!$A$5:$A$136,'Corrected Register'!$N$5:$N$136),0))</f>
        <v>894.87</v>
      </c>
      <c r="H120" s="7" t="inlineStr">
        <is>
          <t>MD-00095 dropped after Denver - Closed. Investigate; do not tidy status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Files do not locate MD-00095; Missing remains appropriate (EX-0116).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Difference",IF(IFERROR(XLOOKUP(D121,'Source Ledger'!$B$5:$B$133,'Source Ledger'!$H$5:$H$133),"")="Disposed",IFERROR(XLOOKUP(D121,'Source Ledger'!$B$5:$B$133,'Source Ledger'!$G$5:$G$133),0),IF(IFERROR(XLOOKUP(D121,'Source Ledger'!$B$5:$B$133,'Source Ledger'!$E$5:$E$133),"")="",IFERROR(XLOOKUP(D121,'Corrected Register'!$A$5:$A$136,'Corrected Register'!$M$5:$M$136),0),ABS(IFERROR(XLOOKUP(D121,'Source Ledger'!$B$5:$B$133,'Source Ledger'!$E$5:$E$133),0)-IFERROR(XLOOKUP(D121,'Corrected Register'!$A$5:$A$136,'Corrected Register'!$M$5:$M$136),0)))),IFERROR(XLOOKUP(D121,'Corrected Register'!$A$5:$A$136,'Corrected Register'!$N$5:$N$136),0))</f>
        <v>894.87</v>
      </c>
      <c r="H121" s="7" t="inlineStr">
        <is>
          <t>Close people assignment on MD-00095; ticket OFF-00095.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Custodian mismatch MD-00095↔E0083 documented under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Difference",IF(IFERROR(XLOOKUP(D122,'Source Ledger'!$B$5:$B$133,'Source Ledger'!$H$5:$H$133),"")="Disposed",IFERROR(XLOOKUP(D122,'Source Ledger'!$B$5:$B$133,'Source Ledger'!$G$5:$G$133),0),IF(IFERROR(XLOOKUP(D122,'Source Ledger'!$B$5:$B$133,'Source Ledger'!$E$5:$E$133),"")="",IFERROR(XLOOKUP(D122,'Corrected Register'!$A$5:$A$136,'Corrected Register'!$M$5:$M$136),0),ABS(IFERROR(XLOOKUP(D122,'Source Ledger'!$B$5:$B$133,'Source Ledger'!$E$5:$E$133),0)-IFERROR(XLOOKUP(D122,'Corrected Register'!$A$5:$A$136,'Corrected Register'!$M$5:$M$136),0)))),IFERROR(XLOOKUP(D122,'Corrected Register'!$A$5:$A$136,'Corrected Register'!$N$5:$N$136),0))</f>
        <v>511.01</v>
      </c>
      <c r="H122" s="7" t="inlineStr">
        <is>
          <t>Start loss process for MD-00096; not in Unknown and not in receiving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Search trail cold for MD-00096 (OFF-00096). Last register site Chicago - Closed (EX-0118).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Difference",IF(IFERROR(XLOOKUP(D123,'Source Ledger'!$B$5:$B$133,'Source Ledger'!$H$5:$H$133),"")="Disposed",IFERROR(XLOOKUP(D123,'Source Ledger'!$B$5:$B$133,'Source Ledger'!$G$5:$G$133),0),IF(IFERROR(XLOOKUP(D123,'Source Ledger'!$B$5:$B$133,'Source Ledger'!$E$5:$E$133),"")="",IFERROR(XLOOKUP(D123,'Corrected Register'!$A$5:$A$136,'Corrected Register'!$M$5:$M$136),0),ABS(IFERROR(XLOOKUP(D123,'Source Ledger'!$B$5:$B$133,'Source Ledger'!$E$5:$E$133),0)-IFERROR(XLOOKUP(D123,'Corrected Register'!$A$5:$A$136,'Corrected Register'!$M$5:$M$136),0)))),IFERROR(XLOOKUP(D123,'Corrected Register'!$A$5:$A$136,'Corrected Register'!$N$5:$N$136),0))</f>
        <v>511.01</v>
      </c>
      <c r="H123" s="7" t="inlineStr">
        <is>
          <t>HR Operations Lead: remove E0084 from MD-00096 and park the kit.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Offboarding closed for E0084; asset row did not follow for MD-00096 (EX-0119).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Difference",IF(IFERROR(XLOOKUP(D124,'Source Ledger'!$B$5:$B$133,'Source Ledger'!$H$5:$H$133),"")="Disposed",IFERROR(XLOOKUP(D124,'Source Ledger'!$B$5:$B$133,'Source Ledger'!$G$5:$G$133),0),IF(IFERROR(XLOOKUP(D124,'Source Ledger'!$B$5:$B$133,'Source Ledger'!$E$5:$E$133),"")="",IFERROR(XLOOKUP(D124,'Corrected Register'!$A$5:$A$136,'Corrected Register'!$M$5:$M$136),0),ABS(IFERROR(XLOOKUP(D124,'Source Ledger'!$B$5:$B$133,'Source Ledger'!$E$5:$E$133),0)-IFERROR(XLOOKUP(D124,'Corrected Register'!$A$5:$A$136,'Corrected Register'!$M$5:$M$136),0)))),IFERROR(XLOOKUP(D124,'Corrected Register'!$A$5:$A$136,'Corrected Register'!$N$5:$N$136),0))</f>
        <v>0</v>
      </c>
      <c r="H124" s="7" t="inlineStr">
        <is>
          <t>Loss investigation on MD-00097; keep Missing until found or write-off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Search trail cold for MD-00097 (OFF-00097). Last register site Denver - Closed (EX-0120).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Difference",IF(IFERROR(XLOOKUP(D125,'Source Ledger'!$B$5:$B$133,'Source Ledger'!$H$5:$H$133),"")="Disposed",IFERROR(XLOOKUP(D125,'Source Ledger'!$B$5:$B$133,'Source Ledger'!$G$5:$G$133),0),IF(IFERROR(XLOOKUP(D125,'Source Ledger'!$B$5:$B$133,'Source Ledger'!$E$5:$E$133),"")="",IFERROR(XLOOKUP(D125,'Corrected Register'!$A$5:$A$136,'Corrected Register'!$M$5:$M$136),0),ABS(IFERROR(XLOOKUP(D125,'Source Ledger'!$B$5:$B$133,'Source Ledger'!$E$5:$E$133),0)-IFERROR(XLOOKUP(D125,'Corrected Register'!$A$5:$A$136,'Corrected Register'!$M$5:$M$136),0)))),IFERROR(XLOOKUP(D125,'Corrected Register'!$A$5:$A$136,'Corrected Register'!$N$5:$N$136),0))</f>
        <v>0</v>
      </c>
      <c r="H125" s="7" t="inlineStr">
        <is>
          <t>Do not leave MD-00097 assigned to E0085 on the extract.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Offboarding closed for E0085; asset row did not follow for MD-00097 (EX-0121).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Difference",IF(IFERROR(XLOOKUP(D126,'Source Ledger'!$B$5:$B$133,'Source Ledger'!$H$5:$H$133),"")="Disposed",IFERROR(XLOOKUP(D126,'Source Ledger'!$B$5:$B$133,'Source Ledger'!$G$5:$G$133),0),IF(IFERROR(XLOOKUP(D126,'Source Ledger'!$B$5:$B$133,'Source Ledger'!$E$5:$E$133),"")="",IFERROR(XLOOKUP(D126,'Corrected Register'!$A$5:$A$136,'Corrected Register'!$M$5:$M$136),0),ABS(IFERROR(XLOOKUP(D126,'Source Ledger'!$B$5:$B$133,'Source Ledger'!$E$5:$E$133),0)-IFERROR(XLOOKUP(D126,'Corrected Register'!$A$5:$A$136,'Corrected Register'!$M$5:$M$136),0)))),IFERROR(XLOOKUP(D126,'Corrected Register'!$A$5:$A$136,'Corrected Register'!$N$5:$N$136),0))</f>
        <v>266.87</v>
      </c>
      <c r="H126" s="7" t="inlineStr">
        <is>
          <t>Write-off only with approval; until then MD-00098 is Missing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Could not place MD-00098 from available transactions (EX-0122).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Difference",IF(IFERROR(XLOOKUP(D127,'Source Ledger'!$B$5:$B$133,'Source Ledger'!$H$5:$H$133),"")="Disposed",IFERROR(XLOOKUP(D127,'Source Ledger'!$B$5:$B$133,'Source Ledger'!$G$5:$G$133),0),IF(IFERROR(XLOOKUP(D127,'Source Ledger'!$B$5:$B$133,'Source Ledger'!$E$5:$E$133),"")="",IFERROR(XLOOKUP(D127,'Corrected Register'!$A$5:$A$136,'Corrected Register'!$M$5:$M$136),0),ABS(IFERROR(XLOOKUP(D127,'Source Ledger'!$B$5:$B$133,'Source Ledger'!$E$5:$E$133),0)-IFERROR(XLOOKUP(D127,'Corrected Register'!$A$5:$A$136,'Corrected Register'!$M$5:$M$136),0)))),IFERROR(XLOOKUP(D127,'Corrected Register'!$A$5:$A$136,'Corrected Register'!$N$5:$N$136),0))</f>
        <v>266.87</v>
      </c>
      <c r="H127" s="7" t="inlineStr">
        <is>
          <t>Move MD-00098 to Regional IT holding after E0086 exit.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Register owner on MD-00098 is stale relative to HR for E0086 (EX-0123).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Difference",IF(IFERROR(XLOOKUP(D128,'Source Ledger'!$B$5:$B$133,'Source Ledger'!$H$5:$H$133),"")="Disposed",IFERROR(XLOOKUP(D128,'Source Ledger'!$B$5:$B$133,'Source Ledger'!$G$5:$G$133),0),IF(IFERROR(XLOOKUP(D128,'Source Ledger'!$B$5:$B$133,'Source Ledger'!$E$5:$E$133),"")="",IFERROR(XLOOKUP(D128,'Corrected Register'!$A$5:$A$136,'Corrected Register'!$M$5:$M$136),0),ABS(IFERROR(XLOOKUP(D128,'Source Ledger'!$B$5:$B$133,'Source Ledger'!$E$5:$E$133),0)-IFERROR(XLOOKUP(D128,'Corrected Register'!$A$5:$A$136,'Corrected Register'!$M$5:$M$136),0)))),IFERROR(XLOOKUP(D128,'Corrected Register'!$A$5:$A$136,'Corrected Register'!$N$5:$N$136),0))</f>
        <v>548.24</v>
      </c>
      <c r="H128" s="7" t="inlineStr">
        <is>
          <t>Cannot locate MD-00099 (OFF-00099). Missing until count or approved write-off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Search trail cold for MD-00099 (OFF-00099). Last register site Denver - Closed (EX-0124).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Difference",IF(IFERROR(XLOOKUP(D129,'Source Ledger'!$B$5:$B$133,'Source Ledger'!$H$5:$H$133),"")="Disposed",IFERROR(XLOOKUP(D129,'Source Ledger'!$B$5:$B$133,'Source Ledger'!$G$5:$G$133),0),IF(IFERROR(XLOOKUP(D129,'Source Ledger'!$B$5:$B$133,'Source Ledger'!$E$5:$E$133),"")="",IFERROR(XLOOKUP(D129,'Corrected Register'!$A$5:$A$136,'Corrected Register'!$M$5:$M$136),0),ABS(IFERROR(XLOOKUP(D129,'Source Ledger'!$B$5:$B$133,'Source Ledger'!$E$5:$E$133),0)-IFERROR(XLOOKUP(D129,'Corrected Register'!$A$5:$A$136,'Corrected Register'!$M$5:$M$136),0)))),IFERROR(XLOOKUP(D129,'Corrected Register'!$A$5:$A$136,'Corrected Register'!$N$5:$N$136),0))</f>
        <v>548.24</v>
      </c>
      <c r="H129" s="7" t="inlineStr">
        <is>
          <t>Assignment on MD-00099 survived HR term for E0087. Correct it.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Offboarding closed for E0087; asset row did not follow for MD-00099 (EX-0125).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Difference",IF(IFERROR(XLOOKUP(D130,'Source Ledger'!$B$5:$B$133,'Source Ledger'!$H$5:$H$133),"")="Disposed",IFERROR(XLOOKUP(D130,'Source Ledger'!$B$5:$B$133,'Source Ledger'!$G$5:$G$133),0),IF(IFERROR(XLOOKUP(D130,'Source Ledger'!$B$5:$B$133,'Source Ledger'!$E$5:$E$133),"")="",IFERROR(XLOOKUP(D130,'Corrected Register'!$A$5:$A$136,'Corrected Register'!$M$5:$M$136),0),ABS(IFERROR(XLOOKUP(D130,'Source Ledger'!$B$5:$B$133,'Source Ledger'!$E$5:$E$133),0)-IFERROR(XLOOKUP(D130,'Corrected Register'!$A$5:$A$136,'Corrected Register'!$M$5:$M$136),0)))),IFERROR(XLOOKUP(D130,'Corrected Register'!$A$5:$A$136,'Corrected Register'!$N$5:$N$136),0))</f>
        <v>927.36</v>
      </c>
      <c r="H130" s="7" t="inlineStr">
        <is>
          <t>IT Operations Manager: keep MD-00100 Missing on the register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No receiving scan, disposal cert, or count places MD-00100. Last site Chicago - Closed (EX-0126).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Difference",IF(IFERROR(XLOOKUP(D131,'Source Ledger'!$B$5:$B$133,'Source Ledger'!$H$5:$H$133),"")="Disposed",IFERROR(XLOOKUP(D131,'Source Ledger'!$B$5:$B$133,'Source Ledger'!$G$5:$G$133),0),IF(IFERROR(XLOOKUP(D131,'Source Ledger'!$B$5:$B$133,'Source Ledger'!$E$5:$E$133),"")="",IFERROR(XLOOKUP(D131,'Corrected Register'!$A$5:$A$136,'Corrected Register'!$M$5:$M$136),0),ABS(IFERROR(XLOOKUP(D131,'Source Ledger'!$B$5:$B$133,'Source Ledger'!$E$5:$E$133),0)-IFERROR(XLOOKUP(D131,'Corrected Register'!$A$5:$A$136,'Corrected Register'!$M$5:$M$136),0)))),IFERROR(XLOOKUP(D131,'Corrected Register'!$A$5:$A$136,'Corrected Register'!$N$5:$N$136),0))</f>
        <v>927.36</v>
      </c>
      <c r="H131" s="7" t="inlineStr">
        <is>
          <t>MD-00100 needs a stock/regional holder, not E0088.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HR status for E0088 and register assignment on MD-00100 disagree (EX-0127).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Difference",IF(IFERROR(XLOOKUP(D132,'Source Ledger'!$B$5:$B$133,'Source Ledger'!$H$5:$H$133),"")="Disposed",IFERROR(XLOOKUP(D132,'Source Ledger'!$B$5:$B$133,'Source Ledger'!$G$5:$G$133),0),IF(IFERROR(XLOOKUP(D132,'Source Ledger'!$B$5:$B$133,'Source Ledger'!$E$5:$E$133),"")="",IFERROR(XLOOKUP(D132,'Corrected Register'!$A$5:$A$136,'Corrected Register'!$M$5:$M$136),0),ABS(IFERROR(XLOOKUP(D132,'Source Ledger'!$B$5:$B$133,'Source Ledger'!$E$5:$E$133),0)-IFERROR(XLOOKUP(D132,'Corrected Register'!$A$5:$A$136,'Corrected Register'!$M$5:$M$136),0)))),IFERROR(XLOOKUP(D132,'Corrected Register'!$A$5:$A$136,'Corrected Register'!$N$5:$N$136),0))</f>
        <v>0</v>
      </c>
      <c r="H132" s="7" t="inlineStr">
        <is>
          <t>Retirement parked for MD-00101 pending DC evidence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TR-00101 to recycler without DC for MD-00101 (EX-0128).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Difference",IF(IFERROR(XLOOKUP(D133,'Source Ledger'!$B$5:$B$133,'Source Ledger'!$H$5:$H$133),"")="Disposed",IFERROR(XLOOKUP(D133,'Source Ledger'!$B$5:$B$133,'Source Ledger'!$G$5:$G$133),0),IF(IFERROR(XLOOKUP(D133,'Source Ledger'!$B$5:$B$133,'Source Ledger'!$E$5:$E$133),"")="",IFERROR(XLOOKUP(D133,'Corrected Register'!$A$5:$A$136,'Corrected Register'!$M$5:$M$136),0),ABS(IFERROR(XLOOKUP(D133,'Source Ledger'!$B$5:$B$133,'Source Ledger'!$E$5:$E$133),0)-IFERROR(XLOOKUP(D133,'Corrected Register'!$A$5:$A$136,'Corrected Register'!$M$5:$M$136),0)))),IFERROR(XLOOKUP(D133,'Corrected Register'!$A$5:$A$136,'Corrected Register'!$N$5:$N$136),0))</f>
        <v>0</v>
      </c>
      <c r="H133" s="7" t="inlineStr">
        <is>
          <t>MD-00101 cannot remain on shuttered floor Denver - Closed. Set location to Seattle (EX-0129).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Register still codes MD-00101 to Denver - Closed; TR-00101 points to Seattle (EX-0129).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Difference",IF(IFERROR(XLOOKUP(D134,'Source Ledger'!$B$5:$B$133,'Source Ledger'!$H$5:$H$133),"")="Disposed",IFERROR(XLOOKUP(D134,'Source Ledger'!$B$5:$B$133,'Source Ledger'!$G$5:$G$133),0),IF(IFERROR(XLOOKUP(D134,'Source Ledger'!$B$5:$B$133,'Source Ledger'!$E$5:$E$133),"")="",IFERROR(XLOOKUP(D134,'Corrected Register'!$A$5:$A$136,'Corrected Register'!$M$5:$M$136),0),ABS(IFERROR(XLOOKUP(D134,'Source Ledger'!$B$5:$B$133,'Source Ledger'!$E$5:$E$133),0)-IFERROR(XLOOKUP(D134,'Corrected Register'!$A$5:$A$136,'Corrected Register'!$M$5:$M$136),0)))),IFERROR(XLOOKUP(D134,'Corrected Register'!$A$5:$A$136,'Corrected Register'!$N$5:$N$136),0))</f>
        <v>407.54</v>
      </c>
      <c r="H134" s="7" t="inlineStr">
        <is>
          <t>Do not call MD-00102 disposed - certificate missing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No DC row ties to MD-MO-050102 for MD-00102 (EX-0130).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PO:PO-2022-0017; RegisterCost:700.0; LedgerCost:820.0</t>
        </is>
      </c>
      <c r="G135" s="7">
        <f>IF(B135="Inventory-to-Ledger Difference",IF(IFERROR(XLOOKUP(D135,'Source Ledger'!$B$5:$B$133,'Source Ledger'!$H$5:$H$133),"")="Disposed",IFERROR(XLOOKUP(D135,'Source Ledger'!$B$5:$B$133,'Source Ledger'!$G$5:$G$133),0),IF(IFERROR(XLOOKUP(D135,'Source Ledger'!$B$5:$B$133,'Source Ledger'!$E$5:$E$133),"")="",IFERROR(XLOOKUP(D135,'Corrected Register'!$A$5:$A$136,'Corrected Register'!$M$5:$M$136),0),ABS(IFERROR(XLOOKUP(D135,'Source Ledger'!$B$5:$B$133,'Source Ledger'!$E$5:$E$133),0)-IFERROR(XLOOKUP(D135,'Corrected Register'!$A$5:$A$136,'Corrected Register'!$M$5:$M$136),0)))),IFERROR(XLOOKUP(D135,'Corrected Register'!$A$5:$A$136,'Corrected Register'!$N$5:$N$136),0))</f>
        <v>120</v>
      </c>
      <c r="H135" s="7" t="inlineStr">
        <is>
          <t>MD-00102 off vs FA-000102 (700.0 vs 820.0). Confirm which figure is correct.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Cost spread on MD-00102: ITAM $700.0, FAR 820.0 (FA-000102).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Difference",IF(IFERROR(XLOOKUP(D136,'Source Ledger'!$B$5:$B$133,'Source Ledger'!$H$5:$H$133),"")="Disposed",IFERROR(XLOOKUP(D136,'Source Ledger'!$B$5:$B$133,'Source Ledger'!$G$5:$G$133),0),IF(IFERROR(XLOOKUP(D136,'Source Ledger'!$B$5:$B$133,'Source Ledger'!$E$5:$E$133),"")="",IFERROR(XLOOKUP(D136,'Corrected Register'!$A$5:$A$136,'Corrected Register'!$M$5:$M$136),0),ABS(IFERROR(XLOOKUP(D136,'Source Ledger'!$B$5:$B$133,'Source Ledger'!$E$5:$E$133),0)-IFERROR(XLOOKUP(D136,'Corrected Register'!$A$5:$A$136,'Corrected Register'!$M$5:$M$136),0)))),IFERROR(XLOOKUP(D136,'Corrected Register'!$A$5:$A$136,'Corrected Register'!$N$5:$N$136),0))</f>
        <v>407.54</v>
      </c>
      <c r="H136" s="7" t="inlineStr">
        <is>
          <t>Update register location for MD-00102 before the next cert packet (EX-0132).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MD-00102 remains on unused floor Chicago - Closed in the inventory file (EX-0132).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Difference",IF(IFERROR(XLOOKUP(D137,'Source Ledger'!$B$5:$B$133,'Source Ledger'!$H$5:$H$133),"")="Disposed",IFERROR(XLOOKUP(D137,'Source Ledger'!$B$5:$B$133,'Source Ledger'!$G$5:$G$133),0),IF(IFERROR(XLOOKUP(D137,'Source Ledger'!$B$5:$B$133,'Source Ledger'!$E$5:$E$133),"")="",IFERROR(XLOOKUP(D137,'Corrected Register'!$A$5:$A$136,'Corrected Register'!$M$5:$M$136),0),ABS(IFERROR(XLOOKUP(D137,'Source Ledger'!$B$5:$B$133,'Source Ledger'!$E$5:$E$133),0)-IFERROR(XLOOKUP(D137,'Corrected Register'!$A$5:$A$136,'Corrected Register'!$M$5:$M$136),0)))),IFERROR(XLOOKUP(D137,'Corrected Register'!$A$5:$A$136,'Corrected Register'!$N$5:$N$136),0))</f>
        <v>782.53</v>
      </c>
      <c r="H137" s="7" t="inlineStr">
        <is>
          <t>Obtain cert or restock MD-00103. Ticket RET-00103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Retirement/disposal path for MD-00103 has no matching certificate (EX-0133).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Difference",IF(IFERROR(XLOOKUP(D138,'Source Ledger'!$B$5:$B$133,'Source Ledger'!$H$5:$H$133),"")="Disposed",IFERROR(XLOOKUP(D138,'Source Ledger'!$B$5:$B$133,'Source Ledger'!$G$5:$G$133),0),IF(IFERROR(XLOOKUP(D138,'Source Ledger'!$B$5:$B$133,'Source Ledger'!$E$5:$E$133),"")="",IFERROR(XLOOKUP(D138,'Corrected Register'!$A$5:$A$136,'Corrected Register'!$M$5:$M$136),0),ABS(IFERROR(XLOOKUP(D138,'Source Ledger'!$B$5:$B$133,'Source Ledger'!$E$5:$E$133),0)-IFERROR(XLOOKUP(D138,'Corrected Register'!$A$5:$A$136,'Corrected Register'!$M$5:$M$136),0)))),IFERROR(XLOOKUP(D138,'Corrected Register'!$A$5:$A$136,'Corrected Register'!$N$5:$N$136),0))</f>
        <v>782.53</v>
      </c>
      <c r="H138" s="7" t="inlineStr">
        <is>
          <t>HR-aligned site for MD-00103 is Chicago; register still says Denver - Closed (EX-0134).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Walked register vs HR/transfer: MD-00103 still says Denver - Closed (EX-0134).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Difference",IF(IFERROR(XLOOKUP(D139,'Source Ledger'!$B$5:$B$133,'Source Ledger'!$H$5:$H$133),"")="Disposed",IFERROR(XLOOKUP(D139,'Source Ledger'!$B$5:$B$133,'Source Ledger'!$G$5:$G$133),0),IF(IFERROR(XLOOKUP(D139,'Source Ledger'!$B$5:$B$133,'Source Ledger'!$E$5:$E$133),"")="",IFERROR(XLOOKUP(D139,'Corrected Register'!$A$5:$A$136,'Corrected Register'!$M$5:$M$136),0),ABS(IFERROR(XLOOKUP(D139,'Source Ledger'!$B$5:$B$133,'Source Ledger'!$E$5:$E$133),0)-IFERROR(XLOOKUP(D139,'Corrected Register'!$A$5:$A$136,'Corrected Register'!$M$5:$M$136),0)))),IFERROR(XLOOKUP(D139,'Corrected Register'!$A$5:$A$136,'Corrected Register'!$N$5:$N$136),0))</f>
        <v>1403.83</v>
      </c>
      <c r="H139" s="7" t="inlineStr">
        <is>
          <t>Obtain cert or restock MD-00104. Ticket RET-00104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TR-00104 to recycler without DC for MD-00104 (EX-0135).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Difference",IF(IFERROR(XLOOKUP(D140,'Source Ledger'!$B$5:$B$133,'Source Ledger'!$H$5:$H$133),"")="Disposed",IFERROR(XLOOKUP(D140,'Source Ledger'!$B$5:$B$133,'Source Ledger'!$G$5:$G$133),0),IF(IFERROR(XLOOKUP(D140,'Source Ledger'!$B$5:$B$133,'Source Ledger'!$E$5:$E$133),"")="",IFERROR(XLOOKUP(D140,'Corrected Register'!$A$5:$A$136,'Corrected Register'!$M$5:$M$136),0),ABS(IFERROR(XLOOKUP(D140,'Source Ledger'!$B$5:$B$133,'Source Ledger'!$E$5:$E$133),0)-IFERROR(XLOOKUP(D140,'Corrected Register'!$A$5:$A$136,'Corrected Register'!$M$5:$M$136),0)))),IFERROR(XLOOKUP(D140,'Corrected Register'!$A$5:$A$136,'Corrected Register'!$N$5:$N$136),0))</f>
        <v>1403.83</v>
      </c>
      <c r="H140" s="7" t="inlineStr">
        <is>
          <t>IT Asset Specialist owns the location rewrite for MD-00104 at Chicago - Closed (EX-0136).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Unused-office coding on MD-00104 is unsupported by movement files (EX-0136).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Difference",IF(IFERROR(XLOOKUP(D141,'Source Ledger'!$B$5:$B$133,'Source Ledger'!$H$5:$H$133),"")="Disposed",IFERROR(XLOOKUP(D141,'Source Ledger'!$B$5:$B$133,'Source Ledger'!$G$5:$G$133),0),IF(IFERROR(XLOOKUP(D141,'Source Ledger'!$B$5:$B$133,'Source Ledger'!$E$5:$E$133),"")="",IFERROR(XLOOKUP(D141,'Corrected Register'!$A$5:$A$136,'Corrected Register'!$M$5:$M$136),0),ABS(IFERROR(XLOOKUP(D141,'Source Ledger'!$B$5:$B$133,'Source Ledger'!$E$5:$E$133),0)-IFERROR(XLOOKUP(D141,'Corrected Register'!$A$5:$A$136,'Corrected Register'!$M$5:$M$136),0)))),IFERROR(XLOOKUP(D141,'Corrected Register'!$A$5:$A$136,'Corrected Register'!$N$5:$N$136),0))</f>
        <v>104.26</v>
      </c>
      <c r="H141" s="7" t="inlineStr">
        <is>
          <t>Match a vendor cert to MD-LA-050105 or unwind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No DC row ties to MD-LA-050105 for MD-00105 (EX-0137).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Difference",IF(IFERROR(XLOOKUP(D142,'Source Ledger'!$B$5:$B$133,'Source Ledger'!$H$5:$H$133),"")="Disposed",IFERROR(XLOOKUP(D142,'Source Ledger'!$B$5:$B$133,'Source Ledger'!$G$5:$G$133),0),IF(IFERROR(XLOOKUP(D142,'Source Ledger'!$B$5:$B$133,'Source Ledger'!$E$5:$E$133),"")="",IFERROR(XLOOKUP(D142,'Corrected Register'!$A$5:$A$136,'Corrected Register'!$M$5:$M$136),0),ABS(IFERROR(XLOOKUP(D142,'Source Ledger'!$B$5:$B$133,'Source Ledger'!$E$5:$E$133),0)-IFERROR(XLOOKUP(D142,'Corrected Register'!$A$5:$A$136,'Corrected Register'!$M$5:$M$136),0)))),IFERROR(XLOOKUP(D142,'Corrected Register'!$A$5:$A$136,'Corrected Register'!$N$5:$N$136),0))</f>
        <v>104.26</v>
      </c>
      <c r="H142" s="7" t="inlineStr">
        <is>
          <t>MD-00105 / Denver - Closed is a consolidation leftover - move to Denver (EX-0138).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Register location Denver - Closed conflicts with current footprint for MD-00105 (EX-0138).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Difference",IF(IFERROR(XLOOKUP(D143,'Source Ledger'!$B$5:$B$133,'Source Ledger'!$H$5:$H$133),"")="Disposed",IFERROR(XLOOKUP(D143,'Source Ledger'!$B$5:$B$133,'Source Ledger'!$G$5:$G$133),0),IF(IFERROR(XLOOKUP(D143,'Source Ledger'!$B$5:$B$133,'Source Ledger'!$E$5:$E$133),"")="",IFERROR(XLOOKUP(D143,'Corrected Register'!$A$5:$A$136,'Corrected Register'!$M$5:$M$136),0),ABS(IFERROR(XLOOKUP(D143,'Source Ledger'!$B$5:$B$133,'Source Ledger'!$E$5:$E$133),0)-IFERROR(XLOOKUP(D143,'Corrected Register'!$A$5:$A$136,'Corrected Register'!$M$5:$M$136),0)))),IFERROR(XLOOKUP(D143,'Corrected Register'!$A$5:$A$136,'Corrected Register'!$N$5:$N$136),0))</f>
        <v>368.24</v>
      </c>
      <c r="H143" s="7" t="inlineStr">
        <is>
          <t>Hold retirement on MD-00106. Need disposal certificate or restock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Cert field empty on MD-00106; retirement not closed (EX-0139).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Difference",IF(IFERROR(XLOOKUP(D144,'Source Ledger'!$B$5:$B$133,'Source Ledger'!$H$5:$H$133),"")="Disposed",IFERROR(XLOOKUP(D144,'Source Ledger'!$B$5:$B$133,'Source Ledger'!$G$5:$G$133),0),IF(IFERROR(XLOOKUP(D144,'Source Ledger'!$B$5:$B$133,'Source Ledger'!$E$5:$E$133),"")="",IFERROR(XLOOKUP(D144,'Corrected Register'!$A$5:$A$136,'Corrected Register'!$M$5:$M$136),0),ABS(IFERROR(XLOOKUP(D144,'Source Ledger'!$B$5:$B$133,'Source Ledger'!$E$5:$E$133),0)-IFERROR(XLOOKUP(D144,'Corrected Register'!$A$5:$A$136,'Corrected Register'!$M$5:$M$136),0)))),IFERROR(XLOOKUP(D144,'Corrected Register'!$A$5:$A$136,'Corrected Register'!$N$5:$N$136),0))</f>
        <v>368.24</v>
      </c>
      <c r="H144" s="7" t="inlineStr">
        <is>
          <t>HR-aligned site for MD-00106 is New York; register still says Chicago - Closed (EX-0140).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Location evidence for MD-00106: closed floor Chicago - Closed vs live New York (EX-0140).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Difference",IF(IFERROR(XLOOKUP(D145,'Source Ledger'!$B$5:$B$133,'Source Ledger'!$H$5:$H$133),"")="Disposed",IFERROR(XLOOKUP(D145,'Source Ledger'!$B$5:$B$133,'Source Ledger'!$G$5:$G$133),0),IF(IFERROR(XLOOKUP(D145,'Source Ledger'!$B$5:$B$133,'Source Ledger'!$E$5:$E$133),"")="",IFERROR(XLOOKUP(D145,'Corrected Register'!$A$5:$A$136,'Corrected Register'!$M$5:$M$136),0),ABS(IFERROR(XLOOKUP(D145,'Source Ledger'!$B$5:$B$133,'Source Ledger'!$E$5:$E$133),0)-IFERROR(XLOOKUP(D145,'Corrected Register'!$A$5:$A$136,'Corrected Register'!$M$5:$M$136),0)))),IFERROR(XLOOKUP(D145,'Corrected Register'!$A$5:$A$136,'Corrected Register'!$N$5:$N$136),0))</f>
        <v>812.21</v>
      </c>
      <c r="H145" s="7" t="inlineStr">
        <is>
          <t>RET-00107 has no matching cert; MD-00107 stays pending-disposal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Retirement/disposal path for MD-00107 has no matching certificate (EX-0141).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Difference",IF(IFERROR(XLOOKUP(D146,'Source Ledger'!$B$5:$B$133,'Source Ledger'!$H$5:$H$133),"")="Disposed",IFERROR(XLOOKUP(D146,'Source Ledger'!$B$5:$B$133,'Source Ledger'!$G$5:$G$133),0),IF(IFERROR(XLOOKUP(D146,'Source Ledger'!$B$5:$B$133,'Source Ledger'!$E$5:$E$133),"")="",IFERROR(XLOOKUP(D146,'Corrected Register'!$A$5:$A$136,'Corrected Register'!$M$5:$M$136),0),ABS(IFERROR(XLOOKUP(D146,'Source Ledger'!$B$5:$B$133,'Source Ledger'!$E$5:$E$133),0)-IFERROR(XLOOKUP(D146,'Corrected Register'!$A$5:$A$136,'Corrected Register'!$M$5:$M$136),0)))),IFERROR(XLOOKUP(D146,'Corrected Register'!$A$5:$A$136,'Corrected Register'!$N$5:$N$136),0))</f>
        <v>812.21</v>
      </c>
      <c r="H146" s="7" t="inlineStr">
        <is>
          <t>IT Asset Specialist owns the location rewrite for MD-00107 at Denver - Closed (EX-0142).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Register location Denver - Closed conflicts with current footprint for MD-00107 (EX-0142).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Difference",IF(IFERROR(XLOOKUP(D147,'Source Ledger'!$B$5:$B$133,'Source Ledger'!$H$5:$H$133),"")="Disposed",IFERROR(XLOOKUP(D147,'Source Ledger'!$B$5:$B$133,'Source Ledger'!$G$5:$G$133),0),IF(IFERROR(XLOOKUP(D147,'Source Ledger'!$B$5:$B$133,'Source Ledger'!$E$5:$E$133),"")="",IFERROR(XLOOKUP(D147,'Corrected Register'!$A$5:$A$136,'Corrected Register'!$M$5:$M$136),0),ABS(IFERROR(XLOOKUP(D147,'Source Ledger'!$B$5:$B$133,'Source Ledger'!$E$5:$E$133),0)-IFERROR(XLOOKUP(D147,'Corrected Register'!$A$5:$A$136,'Corrected Register'!$M$5:$M$136),0)))),IFERROR(XLOOKUP(D147,'Corrected Register'!$A$5:$A$136,'Corrected Register'!$N$5:$N$136),0))</f>
        <v>545.48</v>
      </c>
      <c r="H147" s="7" t="inlineStr">
        <is>
          <t>Hold retirement on MD-00108. Need disposal certificate or restock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No DC row ties to MD-NE-050108 for MD-00108 (EX-0143).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Difference",IF(IFERROR(XLOOKUP(D148,'Source Ledger'!$B$5:$B$133,'Source Ledger'!$H$5:$H$133),"")="Disposed",IFERROR(XLOOKUP(D148,'Source Ledger'!$B$5:$B$133,'Source Ledger'!$G$5:$G$133),0),IF(IFERROR(XLOOKUP(D148,'Source Ledger'!$B$5:$B$133,'Source Ledger'!$E$5:$E$133),"")="",IFERROR(XLOOKUP(D148,'Corrected Register'!$A$5:$A$136,'Corrected Register'!$M$5:$M$136),0),ABS(IFERROR(XLOOKUP(D148,'Source Ledger'!$B$5:$B$133,'Source Ledger'!$E$5:$E$133),0)-IFERROR(XLOOKUP(D148,'Corrected Register'!$A$5:$A$136,'Corrected Register'!$M$5:$M$136),0)))),IFERROR(XLOOKUP(D148,'Corrected Register'!$A$5:$A$136,'Corrected Register'!$N$5:$N$136),0))</f>
        <v>545.48</v>
      </c>
      <c r="H148" s="7" t="inlineStr">
        <is>
          <t>MD-00108 location field lagged after consolidation; update from Chicago - Closed to Atlanta (EX-0144).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Physical sites changed; MD-00108 register did not (Chicago - Closed, EX-0144).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Difference",IF(IFERROR(XLOOKUP(D149,'Source Ledger'!$B$5:$B$133,'Source Ledger'!$H$5:$H$133),"")="Disposed",IFERROR(XLOOKUP(D149,'Source Ledger'!$B$5:$B$133,'Source Ledger'!$G$5:$G$133),0),IF(IFERROR(XLOOKUP(D149,'Source Ledger'!$B$5:$B$133,'Source Ledger'!$E$5:$E$133),"")="",IFERROR(XLOOKUP(D149,'Corrected Register'!$A$5:$A$136,'Corrected Register'!$M$5:$M$136),0),ABS(IFERROR(XLOOKUP(D149,'Source Ledger'!$B$5:$B$133,'Source Ledger'!$E$5:$E$133),0)-IFERROR(XLOOKUP(D149,'Corrected Register'!$A$5:$A$136,'Corrected Register'!$M$5:$M$136),0)))),IFERROR(XLOOKUP(D149,'Corrected Register'!$A$5:$A$136,'Corrected Register'!$N$5:$N$136),0))</f>
        <v>0</v>
      </c>
      <c r="H149" s="7" t="inlineStr">
        <is>
          <t>ITAM hold - MD-00109 not gone until cert lists the tag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Retirement/disposal path for MD-00109 has no matching certificate (EX-0145).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Difference",IF(IFERROR(XLOOKUP(D150,'Source Ledger'!$B$5:$B$133,'Source Ledger'!$H$5:$H$133),"")="Disposed",IFERROR(XLOOKUP(D150,'Source Ledger'!$B$5:$B$133,'Source Ledger'!$G$5:$G$133),0),IF(IFERROR(XLOOKUP(D150,'Source Ledger'!$B$5:$B$133,'Source Ledger'!$E$5:$E$133),"")="",IFERROR(XLOOKUP(D150,'Corrected Register'!$A$5:$A$136,'Corrected Register'!$M$5:$M$136),0),ABS(IFERROR(XLOOKUP(D150,'Source Ledger'!$B$5:$B$133,'Source Ledger'!$E$5:$E$133),0)-IFERROR(XLOOKUP(D150,'Corrected Register'!$A$5:$A$136,'Corrected Register'!$M$5:$M$136),0)))),IFERROR(XLOOKUP(D150,'Corrected Register'!$A$5:$A$136,'Corrected Register'!$N$5:$N$136),0))</f>
        <v>0</v>
      </c>
      <c r="H150" s="7" t="inlineStr">
        <is>
          <t>Denver - Closed is no longer occupied. Park MD-00109 at Chicago on the register (EX-0146).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Location evidence for MD-00109: closed floor Denver - Closed vs live Chicago (EX-0146).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Difference",IF(IFERROR(XLOOKUP(D151,'Source Ledger'!$B$5:$B$133,'Source Ledger'!$H$5:$H$133),"")="Disposed",IFERROR(XLOOKUP(D151,'Source Ledger'!$B$5:$B$133,'Source Ledger'!$G$5:$G$133),0),IF(IFERROR(XLOOKUP(D151,'Source Ledger'!$B$5:$B$133,'Source Ledger'!$E$5:$E$133),"")="",IFERROR(XLOOKUP(D151,'Corrected Register'!$A$5:$A$136,'Corrected Register'!$M$5:$M$136),0),ABS(IFERROR(XLOOKUP(D151,'Source Ledger'!$B$5:$B$133,'Source Ledger'!$E$5:$E$133),0)-IFERROR(XLOOKUP(D151,'Corrected Register'!$A$5:$A$136,'Corrected Register'!$M$5:$M$136),0)))),IFERROR(XLOOKUP(D151,'Corrected Register'!$A$5:$A$136,'Corrected Register'!$N$5:$N$136),0))</f>
        <v>387.24</v>
      </c>
      <c r="H151" s="7" t="inlineStr">
        <is>
          <t>Hold retirement on MD-00110. Need disposal certificate or restock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Cert field empty on MD-00110; retirement not closed (EX-0147).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Difference",IF(IFERROR(XLOOKUP(D152,'Source Ledger'!$B$5:$B$133,'Source Ledger'!$H$5:$H$133),"")="Disposed",IFERROR(XLOOKUP(D152,'Source Ledger'!$B$5:$B$133,'Source Ledger'!$G$5:$G$133),0),IF(IFERROR(XLOOKUP(D152,'Source Ledger'!$B$5:$B$133,'Source Ledger'!$E$5:$E$133),"")="",IFERROR(XLOOKUP(D152,'Corrected Register'!$A$5:$A$136,'Corrected Register'!$M$5:$M$136),0),ABS(IFERROR(XLOOKUP(D152,'Source Ledger'!$B$5:$B$133,'Source Ledger'!$E$5:$E$133),0)-IFERROR(XLOOKUP(D152,'Corrected Register'!$A$5:$A$136,'Corrected Register'!$M$5:$M$136),0)))),IFERROR(XLOOKUP(D152,'Corrected Register'!$A$5:$A$136,'Corrected Register'!$N$5:$N$136),0))</f>
        <v>387.24</v>
      </c>
      <c r="H152" s="7" t="inlineStr">
        <is>
          <t>Location on MD-00110 must reflect Dallas after the site close (EX-0148).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Chicago - Closed is shuttered. Did not leave MD-00110 there on paper - Dallas is live (EX-0148).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Difference",IF(IFERROR(XLOOKUP(D153,'Source Ledger'!$B$5:$B$133,'Source Ledger'!$H$5:$H$133),"")="Disposed",IFERROR(XLOOKUP(D153,'Source Ledger'!$B$5:$B$133,'Source Ledger'!$G$5:$G$133),0),IF(IFERROR(XLOOKUP(D153,'Source Ledger'!$B$5:$B$133,'Source Ledger'!$E$5:$E$133),"")="",IFERROR(XLOOKUP(D153,'Corrected Register'!$A$5:$A$136,'Corrected Register'!$M$5:$M$136),0),ABS(IFERROR(XLOOKUP(D153,'Source Ledger'!$B$5:$B$133,'Source Ledger'!$E$5:$E$133),0)-IFERROR(XLOOKUP(D153,'Corrected Register'!$A$5:$A$136,'Corrected Register'!$M$5:$M$136),0)))),IFERROR(XLOOKUP(D153,'Corrected Register'!$A$5:$A$136,'Corrected Register'!$N$5:$N$136),0))</f>
        <v>0</v>
      </c>
      <c r="H153" s="7" t="inlineStr">
        <is>
          <t>MD-00114: pending disposal with no DC row. Block close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No DC row ties to MD-MO-050114 for MD-00114 (EX-0149).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Difference",IF(IFERROR(XLOOKUP(D154,'Source Ledger'!$B$5:$B$133,'Source Ledger'!$H$5:$H$133),"")="Disposed",IFERROR(XLOOKUP(D154,'Source Ledger'!$B$5:$B$133,'Source Ledger'!$G$5:$G$133),0),IF(IFERROR(XLOOKUP(D154,'Source Ledger'!$B$5:$B$133,'Source Ledger'!$E$5:$E$133),"")="",IFERROR(XLOOKUP(D154,'Corrected Register'!$A$5:$A$136,'Corrected Register'!$M$5:$M$136),0),ABS(IFERROR(XLOOKUP(D154,'Source Ledger'!$B$5:$B$133,'Source Ledger'!$E$5:$E$133),0)-IFERROR(XLOOKUP(D154,'Corrected Register'!$A$5:$A$136,'Corrected Register'!$M$5:$M$136),0)))),IFERROR(XLOOKUP(D154,'Corrected Register'!$A$5:$A$136,'Corrected Register'!$N$5:$N$136),0))</f>
        <v>0</v>
      </c>
      <c r="H154" s="7" t="inlineStr">
        <is>
          <t>Remove closed-site coding on MD-00114 (Chicago - Closed → Disposed (certificate missing), EX-0150).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Register location Chicago - Closed conflicts with current footprint for MD-00114 (EX-0150).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Difference",IF(IFERROR(XLOOKUP(D155,'Source Ledger'!$B$5:$B$133,'Source Ledger'!$H$5:$H$133),"")="Disposed",IFERROR(XLOOKUP(D155,'Source Ledger'!$B$5:$B$133,'Source Ledger'!$G$5:$G$133),0),IF(IFERROR(XLOOKUP(D155,'Source Ledger'!$B$5:$B$133,'Source Ledger'!$E$5:$E$133),"")="",IFERROR(XLOOKUP(D155,'Corrected Register'!$A$5:$A$136,'Corrected Register'!$M$5:$M$136),0),ABS(IFERROR(XLOOKUP(D155,'Source Ledger'!$B$5:$B$133,'Source Ledger'!$E$5:$E$133),0)-IFERROR(XLOOKUP(D155,'Corrected Register'!$A$5:$A$136,'Corrected Register'!$M$5:$M$136),0)))),IFERROR(XLOOKUP(D155,'Corrected Register'!$A$5:$A$136,'Corrected Register'!$N$5:$N$136),0))</f>
        <v>0</v>
      </c>
      <c r="H155" s="7" t="inlineStr">
        <is>
          <t>Paperwork gap on MD-00118: cert or reverse the retire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Cert field empty on MD-00118; retirement not closed (EX-0151).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Difference",IF(IFERROR(XLOOKUP(D156,'Source Ledger'!$B$5:$B$133,'Source Ledger'!$H$5:$H$133),"")="Disposed",IFERROR(XLOOKUP(D156,'Source Ledger'!$B$5:$B$133,'Source Ledger'!$G$5:$G$133),0),IF(IFERROR(XLOOKUP(D156,'Source Ledger'!$B$5:$B$133,'Source Ledger'!$E$5:$E$133),"")="",IFERROR(XLOOKUP(D156,'Corrected Register'!$A$5:$A$136,'Corrected Register'!$M$5:$M$136),0),ABS(IFERROR(XLOOKUP(D156,'Source Ledger'!$B$5:$B$133,'Source Ledger'!$E$5:$E$133),0)-IFERROR(XLOOKUP(D156,'Corrected Register'!$A$5:$A$136,'Corrected Register'!$M$5:$M$136),0)))),IFERROR(XLOOKUP(D156,'Corrected Register'!$A$5:$A$136,'Corrected Register'!$N$5:$N$136),0))</f>
        <v>0</v>
      </c>
      <c r="H156" s="7" t="inlineStr">
        <is>
          <t>Do not leave MD-00118 assigned to unused floor Chicago - Closed (EX-0152).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Did not treat closed building Chicago - Closed as live location for MD-00118 (EX-0152).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PO:PO-2025-0020; RegisterCost:950.0; LedgerCost:1115.0</t>
        </is>
      </c>
      <c r="G157" s="7">
        <f>IF(B157="Inventory-to-Ledger Difference",IF(IFERROR(XLOOKUP(D157,'Source Ledger'!$B$5:$B$133,'Source Ledger'!$H$5:$H$133),"")="Disposed",IFERROR(XLOOKUP(D157,'Source Ledger'!$B$5:$B$133,'Source Ledger'!$G$5:$G$133),0),IF(IFERROR(XLOOKUP(D157,'Source Ledger'!$B$5:$B$133,'Source Ledger'!$E$5:$E$133),"")="",IFERROR(XLOOKUP(D157,'Corrected Register'!$A$5:$A$136,'Corrected Register'!$M$5:$M$136),0),ABS(IFERROR(XLOOKUP(D157,'Source Ledger'!$B$5:$B$133,'Source Ledger'!$E$5:$E$133),0)-IFERROR(XLOOKUP(D157,'Corrected Register'!$A$5:$A$136,'Corrected Register'!$M$5:$M$136),0)))),IFERROR(XLOOKUP(D157,'Corrected Register'!$A$5:$A$136,'Corrected Register'!$N$5:$N$136),0))</f>
        <v>0</v>
      </c>
      <c r="H157" s="7" t="inlineStr">
        <is>
          <t>Finance: align FA-000119 acquisition cost to the register/PO or document the $165 basis difference. No live NBV remains on this disposed unit.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MD-00119 is verified Disposed under DC-00119 with FAR net book value $0. Register acquisition $950 vs ledger $1,115 is a historical cost-basis mismatch, not current book exposure.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Difference",IF(IFERROR(XLOOKUP(D158,'Source Ledger'!$B$5:$B$133,'Source Ledger'!$H$5:$H$133),"")="Disposed",IFERROR(XLOOKUP(D158,'Source Ledger'!$B$5:$B$133,'Source Ledger'!$G$5:$G$133),0),IF(IFERROR(XLOOKUP(D158,'Source Ledger'!$B$5:$B$133,'Source Ledger'!$E$5:$E$133),"")="",IFERROR(XLOOKUP(D158,'Corrected Register'!$A$5:$A$136,'Corrected Register'!$M$5:$M$136),0),ABS(IFERROR(XLOOKUP(D158,'Source Ledger'!$B$5:$B$133,'Source Ledger'!$E$5:$E$133),0)-IFERROR(XLOOKUP(D158,'Corrected Register'!$A$5:$A$136,'Corrected Register'!$M$5:$M$136),0)))),IFERROR(XLOOKUP(D158,'Corrected Register'!$A$5:$A$136,'Corrected Register'!$N$5:$N$136),0))</f>
        <v>0</v>
      </c>
      <c r="H158" s="7" t="inlineStr">
        <is>
          <t>Clear the leftover closed-office assignment on MD-00121 (EX-0154).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Closed floor Denver - Closed remains on MD-00121 despite transfer evidence (EX-0154, TR-00121).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Difference",IF(IFERROR(XLOOKUP(D159,'Source Ledger'!$B$5:$B$133,'Source Ledger'!$H$5:$H$133),"")="Disposed",IFERROR(XLOOKUP(D159,'Source Ledger'!$B$5:$B$133,'Source Ledger'!$G$5:$G$133),0),IF(IFERROR(XLOOKUP(D159,'Source Ledger'!$B$5:$B$133,'Source Ledger'!$E$5:$E$133),"")="",IFERROR(XLOOKUP(D159,'Corrected Register'!$A$5:$A$136,'Corrected Register'!$M$5:$M$136),0),ABS(IFERROR(XLOOKUP(D159,'Source Ledger'!$B$5:$B$133,'Source Ledger'!$E$5:$E$133),0)-IFERROR(XLOOKUP(D159,'Corrected Register'!$A$5:$A$136,'Corrected Register'!$M$5:$M$136),0)))),IFERROR(XLOOKUP(D159,'Corrected Register'!$A$5:$A$136,'Corrected Register'!$N$5:$N$136),0))</f>
        <v>336.15</v>
      </c>
      <c r="H159" s="7" t="inlineStr">
        <is>
          <t>IT Asset Specialist: recode MD-00122 off Chicago - Closed; Dallas is the live office per TR-00122 (EX-0155).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Walked register vs HR/transfer: MD-00122 still says Chicago - Closed (EX-0155).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Difference",IF(IFERROR(XLOOKUP(D160,'Source Ledger'!$B$5:$B$133,'Source Ledger'!$H$5:$H$133),"")="Disposed",IFERROR(XLOOKUP(D160,'Source Ledger'!$B$5:$B$133,'Source Ledger'!$G$5:$G$133),0),IF(IFERROR(XLOOKUP(D160,'Source Ledger'!$B$5:$B$133,'Source Ledger'!$E$5:$E$133),"")="",IFERROR(XLOOKUP(D160,'Corrected Register'!$A$5:$A$136,'Corrected Register'!$M$5:$M$136),0),ABS(IFERROR(XLOOKUP(D160,'Source Ledger'!$B$5:$B$133,'Source Ledger'!$E$5:$E$133),0)-IFERROR(XLOOKUP(D160,'Corrected Register'!$A$5:$A$136,'Corrected Register'!$M$5:$M$136),0)))),IFERROR(XLOOKUP(D160,'Corrected Register'!$A$5:$A$136,'Corrected Register'!$N$5:$N$136),0))</f>
        <v>622.62</v>
      </c>
      <c r="H160" s="7" t="inlineStr">
        <is>
          <t>Update register location for MD-00123 before the next cert packet (EX-0156).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Register still codes MD-00123 to Denver - Closed; TR-00123 points to Denver (EX-0156).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Difference",IF(IFERROR(XLOOKUP(D161,'Source Ledger'!$B$5:$B$133,'Source Ledger'!$H$5:$H$133),"")="Disposed",IFERROR(XLOOKUP(D161,'Source Ledger'!$B$5:$B$133,'Source Ledger'!$G$5:$G$133),0),IF(IFERROR(XLOOKUP(D161,'Source Ledger'!$B$5:$B$133,'Source Ledger'!$E$5:$E$133),"")="",IFERROR(XLOOKUP(D161,'Corrected Register'!$A$5:$A$136,'Corrected Register'!$M$5:$M$136),0),ABS(IFERROR(XLOOKUP(D161,'Source Ledger'!$B$5:$B$133,'Source Ledger'!$E$5:$E$133),0)-IFERROR(XLOOKUP(D161,'Corrected Register'!$A$5:$A$136,'Corrected Register'!$M$5:$M$136),0)))),IFERROR(XLOOKUP(D161,'Corrected Register'!$A$5:$A$136,'Corrected Register'!$N$5:$N$136),0))</f>
        <v>947.26</v>
      </c>
      <c r="H161" s="7" t="inlineStr">
        <is>
          <t>Remove closed-site coding on MD-00124 (Chicago - Closed → New York, EX-0157).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Extract shows MD-00124 at Chicago - Closed - that building is locked (EX-0157).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Difference",IF(IFERROR(XLOOKUP(D162,'Source Ledger'!$B$5:$B$133,'Source Ledger'!$H$5:$H$133),"")="Disposed",IFERROR(XLOOKUP(D162,'Source Ledger'!$B$5:$B$133,'Source Ledger'!$G$5:$G$133),0),IF(IFERROR(XLOOKUP(D162,'Source Ledger'!$B$5:$B$133,'Source Ledger'!$E$5:$E$133),"")="",IFERROR(XLOOKUP(D162,'Corrected Register'!$A$5:$A$136,'Corrected Register'!$M$5:$M$136),0),ABS(IFERROR(XLOOKUP(D162,'Source Ledger'!$B$5:$B$133,'Source Ledger'!$E$5:$E$133),0)-IFERROR(XLOOKUP(D162,'Corrected Register'!$A$5:$A$136,'Corrected Register'!$M$5:$M$136),0)))),IFERROR(XLOOKUP(D162,'Corrected Register'!$A$5:$A$136,'Corrected Register'!$N$5:$N$136),0))</f>
        <v>0</v>
      </c>
      <c r="H162" s="7" t="inlineStr">
        <is>
          <t>Seattle is supported by HR/transfer for MD-00125; Denver - Closed is obsolete (EX-0158).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Physical sites changed; MD-00125 register did not (Denver - Closed, EX-0158).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Difference",IF(IFERROR(XLOOKUP(D163,'Source Ledger'!$B$5:$B$133,'Source Ledger'!$H$5:$H$133),"")="Disposed",IFERROR(XLOOKUP(D163,'Source Ledger'!$B$5:$B$133,'Source Ledger'!$G$5:$G$133),0),IF(IFERROR(XLOOKUP(D163,'Source Ledger'!$B$5:$B$133,'Source Ledger'!$E$5:$E$133),"")="",IFERROR(XLOOKUP(D163,'Corrected Register'!$A$5:$A$136,'Corrected Register'!$M$5:$M$136),0),ABS(IFERROR(XLOOKUP(D163,'Source Ledger'!$B$5:$B$133,'Source Ledger'!$E$5:$E$133),0)-IFERROR(XLOOKUP(D163,'Corrected Register'!$A$5:$A$136,'Corrected Register'!$M$5:$M$136),0)))),IFERROR(XLOOKUP(D163,'Corrected Register'!$A$5:$A$136,'Corrected Register'!$N$5:$N$136),0))</f>
        <v>302.75</v>
      </c>
      <c r="H163" s="7" t="inlineStr">
        <is>
          <t>Atlanta is supported by HR/transfer for MD-00126; Chicago - Closed is obsolete (EX-0159).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Consolidation left MD-00126 @ Chicago - Closed; ops now use Atlanta (EX-0159).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Difference",IF(IFERROR(XLOOKUP(D164,'Source Ledger'!$B$5:$B$133,'Source Ledger'!$H$5:$H$133),"")="Disposed",IFERROR(XLOOKUP(D164,'Source Ledger'!$B$5:$B$133,'Source Ledger'!$G$5:$G$133),0),IF(IFERROR(XLOOKUP(D164,'Source Ledger'!$B$5:$B$133,'Source Ledger'!$E$5:$E$133),"")="",IFERROR(XLOOKUP(D164,'Corrected Register'!$A$5:$A$136,'Corrected Register'!$M$5:$M$136),0),ABS(IFERROR(XLOOKUP(D164,'Source Ledger'!$B$5:$B$133,'Source Ledger'!$E$5:$E$133),0)-IFERROR(XLOOKUP(D164,'Corrected Register'!$A$5:$A$136,'Corrected Register'!$M$5:$M$136),0)))),IFERROR(XLOOKUP(D164,'Corrected Register'!$A$5:$A$136,'Corrected Register'!$N$5:$N$136),0))</f>
        <v>662.65</v>
      </c>
      <c r="H164" s="7" t="inlineStr">
        <is>
          <t>Either approve TR-00127 after the fact or put MD-00127 back.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Unapproved transfer TR-00127 on MD-00127 from equipment_transfer_log.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PO:PO-2023-0023; RegisterCost:700; Policy:ITAM-001 §7 per-asset threshold $2500; PO capitalization_approved=No; under-threshold lines; Ledger absence expected</t>
        </is>
      </c>
      <c r="G165" s="7">
        <f>IF(B165="Inventory-to-Ledger Difference",IF(IFERROR(XLOOKUP(D165,'Source Ledger'!$B$5:$B$133,'Source Ledger'!$H$5:$H$133),"")="Disposed",IFERROR(XLOOKUP(D165,'Source Ledger'!$B$5:$B$133,'Source Ledger'!$G$5:$G$133),0),IF(IFERROR(XLOOKUP(D165,'Source Ledger'!$B$5:$B$133,'Source Ledger'!$E$5:$E$133),"")="",IFERROR(XLOOKUP(D165,'Corrected Register'!$A$5:$A$136,'Corrected Register'!$M$5:$M$136),0),ABS(IFERROR(XLOOKUP(D165,'Source Ledger'!$B$5:$B$133,'Source Ledger'!$E$5:$E$133),0)-IFERROR(XLOOKUP(D165,'Corrected Register'!$A$5:$A$136,'Corrected Register'!$M$5:$M$136),0)))),IFERROR(XLOOKUP(D165,'Corrected Register'!$A$5:$A$136,'Corrected Register'!$N$5:$N$136),0))</f>
        <v>0</v>
      </c>
      <c r="H165" s="7" t="inlineStr">
        <is>
          <t>$700 on MD-00130. Below threshold. Informational only.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$700 on MD-00130 - under §7 gate. Ledger absence expected.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PO:PO-2023-0023; RegisterCost:1175; Policy:ITAM-001 §7 per-asset threshold $2500; PO capitalization_approved=No; under-threshold lines; Ledger absence expected</t>
        </is>
      </c>
      <c r="G166" s="7">
        <f>IF(B166="Inventory-to-Ledger Difference",IF(IFERROR(XLOOKUP(D166,'Source Ledger'!$B$5:$B$133,'Source Ledger'!$H$5:$H$133),"")="Disposed",IFERROR(XLOOKUP(D166,'Source Ledger'!$B$5:$B$133,'Source Ledger'!$G$5:$G$133),0),IF(IFERROR(XLOOKUP(D166,'Source Ledger'!$B$5:$B$133,'Source Ledger'!$E$5:$E$133),"")="",IFERROR(XLOOKUP(D166,'Corrected Register'!$A$5:$A$136,'Corrected Register'!$M$5:$M$136),0),ABS(IFERROR(XLOOKUP(D166,'Source Ledger'!$B$5:$B$133,'Source Ledger'!$E$5:$E$133),0)-IFERROR(XLOOKUP(D166,'Corrected Register'!$A$5:$A$136,'Corrected Register'!$M$5:$M$136),0)))),IFERROR(XLOOKUP(D166,'Corrected Register'!$A$5:$A$136,'Corrected Register'!$N$5:$N$136),0))</f>
        <v>0</v>
      </c>
      <c r="H166" s="7" t="inlineStr">
        <is>
          <t>$1175 on MD-00131. Below threshold. Informational only.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Under-threshold check for MD-00131: $1175 &lt; $2,500.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Difference",IF(IFERROR(XLOOKUP(D167,'Source Ledger'!$B$5:$B$133,'Source Ledger'!$H$5:$H$133),"")="Disposed",IFERROR(XLOOKUP(D167,'Source Ledger'!$B$5:$B$133,'Source Ledger'!$G$5:$G$133),0),IF(IFERROR(XLOOKUP(D167,'Source Ledger'!$B$5:$B$133,'Source Ledger'!$E$5:$E$133),"")="",IFERROR(XLOOKUP(D167,'Corrected Register'!$A$5:$A$136,'Corrected Register'!$M$5:$M$136),0),ABS(IFERROR(XLOOKUP(D167,'Source Ledger'!$B$5:$B$133,'Source Ledger'!$E$5:$E$133),0)-IFERROR(XLOOKUP(D167,'Corrected Register'!$A$5:$A$136,'Corrected Register'!$M$5:$M$136),0)))),IFERROR(XLOOKUP(D167,'Corrected Register'!$A$5:$A$136,'Corrected Register'!$N$5:$N$136),0))</f>
        <v>6470</v>
      </c>
      <c r="H167" s="7" t="inlineStr">
        <is>
          <t>Finance: FA line for MD-00132 or signed write-off. Regional note non-authoritative.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FAR extract has no MD-00132. Cost $6470.0 exceeds $2,500. RN-0132 is a claim, not a posting.</t>
        </is>
      </c>
      <c r="M167" s="12" t="inlineStr">
        <is>
          <t>Blocks certification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PO:PO-2024-0003</t>
        </is>
      </c>
      <c r="H5" s="7" t="inlineStr">
        <is>
          <t>Confirmed Fact</t>
        </is>
      </c>
      <c r="I5" s="7" t="inlineStr">
        <is>
          <t>Acquired MD-00017 (MacBook Pro 14) for $1985 via PO-2024-0003.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ITAM_control_matrix.png; IT_asset_management_policy.pdf</t>
        </is>
      </c>
      <c r="H6" s="7" t="inlineStr">
        <is>
          <t>Confirmed Fact</t>
        </is>
      </c>
      <c r="I6" s="7" t="inlineStr">
        <is>
          <t>For MD-00017, financial evidence is the PO file plus the FAR extract. Status In Use is a separate call.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Transfer:TR-00017; Approval:APR-00017</t>
        </is>
      </c>
      <c r="H7" s="7" t="inlineStr">
        <is>
          <t>Confirmed Fact</t>
        </is>
      </c>
      <c r="I7" s="7" t="inlineStr">
        <is>
          <t>TR-00017 2026-06-17; inbound Jun 19, 2026.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PO:PO-2024-0003; Ledger:FA-000017; PolicyFigure:ITAM_control_matrix.png</t>
        </is>
      </c>
      <c r="H8" s="7" t="inlineStr">
        <is>
          <t>Confirmed Fact</t>
        </is>
      </c>
      <c r="I8" s="7" t="inlineStr">
        <is>
          <t>MacBook Pro 14 MD-00017 stays assigned in Seattle. Acquisition-cost mismatch remains open.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PO:PO-2025-0004</t>
        </is>
      </c>
      <c r="H9" s="7" t="inlineStr">
        <is>
          <t>Confirmed Fact</t>
        </is>
      </c>
      <c r="I9" s="7" t="inlineStr">
        <is>
          <t>Procurement PO-2025-0004 lists Dell Latitude 7440 / $1850.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Dock file shows May 03, 2026 for TR-00021 (MD-00021).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Assignment control wants a unique serial with the tag. MD-00021 shares a serial, so identity is only partly reliable.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PO:PO-2025-0004; Ledger:FA-000021; PolicyFigure:ITAM_control_matrix.png</t>
        </is>
      </c>
      <c r="H12" s="7" t="inlineStr">
        <is>
          <t>Confirmed Fact</t>
        </is>
      </c>
      <c r="I12" s="7" t="inlineStr">
        <is>
          <t>Do not treat MD-00021's serial as unique. In Use at Denver is otherwise supported by the transfer receipt.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Procurement PO-2022-0005 lists Lenovo ThinkPad T14 / $2030.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Log row TR-00025. Receive date 01/22/2026.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Could not tie MD-00025 to a verified RN entry in the notes.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IT Asset Specialist owns duplicate-serial cleanup on MD-00025. The matrix does not allow two tags on one serial.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Assignment of MD-00025 can stand as In Use; the duplicate serial finding still needs a physical check.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PO:PO-2023-0006</t>
        </is>
      </c>
      <c r="H18" s="7" t="inlineStr">
        <is>
          <t>Confirmed Fact</t>
        </is>
      </c>
      <c r="I18" s="7" t="inlineStr">
        <is>
          <t>Warehouse receipt tied to PO-2023-0006. Dell U2723QE.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MD-00034 inbound May 22, 2026 on TR-00034 / APR-00034.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 file reviewed for MD-00034; no clearance language accepted.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For MD-00034, financial evidence is the PO file plus the FAR extract. Status In Use is a separate call.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PO:PO-2023-0006; Ledger:FA-000034; PolicyFigure:ITAM_control_matrix.png</t>
        </is>
      </c>
      <c r="H22" s="7" t="inlineStr">
        <is>
          <t>Confirmed Fact</t>
        </is>
      </c>
      <c r="I22" s="7" t="inlineStr">
        <is>
          <t>Operational status In Use for MD-00034. Ledger vs register cost still differs.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PO:PO-2022-0009</t>
        </is>
      </c>
      <c r="H23" s="7" t="inlineStr">
        <is>
          <t>Confirmed Fact</t>
        </is>
      </c>
      <c r="I23" s="7" t="inlineStr">
        <is>
          <t>Capital buy MD-00051: Samsung Galaxy S24, $1040, PO-2022-0009.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Dock file shows 2026-03-31 for TR-00051 (MD-00051).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Could not tie MD-00051 to a verified RN entry in the notes.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The matrix does not pick a winner between ITAM and FAR. It requires MD-00051 to be reconcilable.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PO:PO-2022-0009; Ledger:FA-000051; PolicyFigure:ITAM_control_matrix.png</t>
        </is>
      </c>
      <c r="H27" s="7" t="inlineStr">
        <is>
          <t>Confirmed Fact</t>
        </is>
      </c>
      <c r="I27" s="7" t="inlineStr">
        <is>
          <t>Available call on MD-00051 rests on a receiving scan, not a label.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PO:PO-2023-0010</t>
        </is>
      </c>
      <c r="H28" s="7" t="inlineStr">
        <is>
          <t>Confirmed Fact</t>
        </is>
      </c>
      <c r="I28" s="7" t="inlineStr">
        <is>
          <t>PO line PO-2023-0010 - Dell U2723QE.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Dock file shows 05/23/2026 for TR-00058 (MD-00058).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Opened OFF-00058. Status Closed.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 claim (Asset appears to have been moved to Regional IT stock. The transfer record contains no app) does not beat a scan for MD-00058.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IT Operations Manager owns transfer failures. MD-00058 is in that class.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PO:PO-2023-0010; Ledger:FA-000058; PolicyFigure:ITAM_control_matrix.png</t>
        </is>
      </c>
      <c r="H34" s="7" t="inlineStr">
        <is>
          <t>Confirmed Fact</t>
        </is>
      </c>
      <c r="I34" s="7" t="inlineStr">
        <is>
          <t>New York regional pool holds MD-00058 at $610. Pending Redeployment, confidence Medium.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PO:PO-2023-0010</t>
        </is>
      </c>
      <c r="H35" s="7" t="inlineStr">
        <is>
          <t>Confirmed Fact</t>
        </is>
      </c>
      <c r="I35" s="7" t="inlineStr">
        <is>
          <t>PO-2023-0010 documents $1085 for Samsung Galaxy S24.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TR-00059 - got it 2026-06-26 at Seattle.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Opened OFF-00059. Status Closed.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Looked for MD-00059 in regional_IT_notes.docx; still need CSV/XLSX proof.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IT Operations Manager owns transfer failures. MD-00059 is in that class.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PO:PO-2023-0010; Ledger:FA-000059; PolicyFigure:ITAM_control_matrix.png</t>
        </is>
      </c>
      <c r="H41" s="7" t="inlineStr">
        <is>
          <t>Confirmed Fact</t>
        </is>
      </c>
      <c r="I41" s="7" t="inlineStr">
        <is>
          <t>OFF-00059 is why MD-00059 left the person. Verified site is Seattle; status Pending Redeployment.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PO:PO-2023-0010</t>
        </is>
      </c>
      <c r="H42" s="7" t="inlineStr">
        <is>
          <t>Confirmed Fact</t>
        </is>
      </c>
      <c r="I42" s="7" t="inlineStr">
        <is>
          <t>MD-00060 origin: PO-2023-0010, $6380.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Movement TR-00060 completed inbound Feb 02, 2026.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OFF-00060 Closed. Return required=Yes, due 07/15/2026.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Word dump checked for MD-00060; no authoritative note found.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Assignment control for MD-00060 uses HR/transfer location, not the closed-site field on the raw register.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PO:PO-2023-0010; Ledger:FA-000060; PolicyFigure:ITAM_control_matrix.png</t>
        </is>
      </c>
      <c r="H48" s="7" t="inlineStr">
        <is>
          <t>Confirmed Fact</t>
        </is>
      </c>
      <c r="I48" s="7" t="inlineStr">
        <is>
          <t>OFF-00060 is why MD-00060 left the person. Verified site is Atlanta; status Pending Redeployment.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PO:PO-2024-0011</t>
        </is>
      </c>
      <c r="H49" s="7" t="inlineStr">
        <is>
          <t>Confirmed Fact</t>
        </is>
      </c>
      <c r="I49" s="7" t="inlineStr">
        <is>
          <t>PO-2024-0011 documents $2075 for Lenovo ThinkPad T14.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Assignment posted Feb 02, 2026. Docked 02/03/2026 (TR-00061).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Offboarding OFF-00061: Yes. Due 2026-07-15.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-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 write-up for MD-00061 is non-authoritative per ITAM-001.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Unverified custody would apply if MD-00061 had stayed on the unused floor. It did not.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PO:PO-2024-0011; Ledger:FA-000061; PolicyFigure:ITAM_control_matrix.png</t>
        </is>
      </c>
      <c r="H55" s="7" t="inlineStr">
        <is>
          <t>Confirmed Fact</t>
        </is>
      </c>
      <c r="I55" s="7" t="inlineStr">
        <is>
          <t>MD-00061 is recovered kit in Chicago ($2,075). Remaining work is register coding.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PO:PO-2024-0011</t>
        </is>
      </c>
      <c r="H56" s="7" t="inlineStr">
        <is>
          <t>Confirmed Fact</t>
        </is>
      </c>
      <c r="I56" s="7" t="inlineStr">
        <is>
          <t>Warehouse receipt tied to PO-2024-0011. Dell U2723QE.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Dock file shows 2026-03-07 for TR-00062 (MD-00062).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Offboarding OFF-00062: Yes. Due Jul 15, 2026.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No matching RN row for MD-00062; generic technician chatter in the Word file only.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MD-00062 failed the location half of assignment until recoded off the closed office.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PO:PO-2024-0011; Ledger:FA-000062; PolicyFigure:ITAM_control_matrix.png</t>
        </is>
      </c>
      <c r="H62" s="7" t="inlineStr">
        <is>
          <t>Confirmed Fact</t>
        </is>
      </c>
      <c r="I62" s="7" t="inlineStr">
        <is>
          <t>MD-00062 finished HR offboarding via OFF-00062 and sits in Dallas. Do not put it back In Use until issued again.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PO:PO-2024-0011</t>
        </is>
      </c>
      <c r="H63" s="7" t="inlineStr">
        <is>
          <t>Confirmed Fact</t>
        </is>
      </c>
      <c r="I63" s="7" t="inlineStr">
        <is>
          <t>Bought the Samsung Galaxy S24 ($950) on PO-2024-0011.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TR-00063 - got it Apr 16, 2026 at Denver.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OFF-00063 sits Closed. Hardware return was required. 07/15/2026.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Investigative color on MD-00063 in regional_IT_notes.docx - weight zero.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Unverified custody would apply if MD-00063 had stayed on the unused floor. It did not.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PO:PO-2024-0011; Ledger:FA-000063; PolicyFigure:ITAM_control_matrix.png</t>
        </is>
      </c>
      <c r="H69" s="7" t="inlineStr">
        <is>
          <t>Confirmed Fact</t>
        </is>
      </c>
      <c r="I69" s="7" t="inlineStr">
        <is>
          <t>Denver regional pool holds MD-00063 at $950. Pending Redeployment, confidence High.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PO:PO-2024-0011</t>
        </is>
      </c>
      <c r="H70" s="7" t="inlineStr">
        <is>
          <t>Confirmed Fact</t>
        </is>
      </c>
      <c r="I70" s="7" t="inlineStr">
        <is>
          <t>Procurement PO-2024-0011 lists Cisco C9300 / $6245.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From warehouse to Regional IT. TR-00064, received 05/14/2026.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People ticket OFF-00064. Doesn't by itself dock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Technician comment volume in the doc does not clear MD-00064.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Do not treat a received-date stamp as an approval for MD-00064. The matrix lists both.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PO:PO-2024-0011; Ledger:FA-000064; PolicyFigure:ITAM_control_matrix.png</t>
        </is>
      </c>
      <c r="H76" s="7" t="inlineStr">
        <is>
          <t>Confirmed Fact</t>
        </is>
      </c>
      <c r="I76" s="7" t="inlineStr">
        <is>
          <t>Post-RIF staging: MD-00064 / Cisco C9300 at New York. Custodian is Regional IT, not the register's old name. OFF-00064 has no approval ID on the transfer line.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PO:PO-2024-0011</t>
        </is>
      </c>
      <c r="H77" s="7" t="inlineStr">
        <is>
          <t>Confirmed Fact</t>
        </is>
      </c>
      <c r="I77" s="7" t="inlineStr">
        <is>
          <t>$1940 MacBook Pro 14. PO-2024-0011.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Moved to Regional IT in Seattle on TR-00065. Received 2026-06-23.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People ticket OFF-00065. Doesn't by itself dock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Notes packet includes MD-00065 only as background, not evidence.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MD-00065 moved, but Appendix A still wants an approver ID. Blank approval is an unapproved transfer.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PO:PO-2024-0011; Ledger:FA-000065; PolicyFigure:ITAM_control_matrix.png</t>
        </is>
      </c>
      <c r="H83" s="7" t="inlineStr">
        <is>
          <t>Confirmed Fact</t>
        </is>
      </c>
      <c r="I83" s="7" t="inlineStr">
        <is>
          <t>Post-RIF staging: MD-00065 / MacBook Pro 14 at Seattle. Custodian is Regional IT, not the register's old name. OFF-00065 has no approval ID on the transfer line.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PO:PO-2024-0011</t>
        </is>
      </c>
      <c r="H84" s="7" t="inlineStr">
        <is>
          <t>Confirmed Fact</t>
        </is>
      </c>
      <c r="I84" s="7" t="inlineStr">
        <is>
          <t>Ordered Dell U2723QE (MD-00066) on PO-2024-0011; $655.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MD-00066 inbound Jan 25, 2026 on TR-00066 / APR-00066.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OFF-00066 - Closed. Due 07/15/2026.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MD-00066: Word-file mention only - treated as lead.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Assignment control for MD-00066 uses HR/transfer location, not the closed-site field on the raw register.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PO:PO-2024-0011; Ledger:FA-000066; PolicyFigure:ITAM_control_matrix.png</t>
        </is>
      </c>
      <c r="H90" s="7" t="inlineStr">
        <is>
          <t>Confirmed Fact</t>
        </is>
      </c>
      <c r="I90" s="7" t="inlineStr">
        <is>
          <t>MD-00066 is recovered kit in Atlanta ($655). Remaining work is register coding.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PO:PO-2025-0012</t>
        </is>
      </c>
      <c r="H91" s="7" t="inlineStr">
        <is>
          <t>Confirmed Fact</t>
        </is>
      </c>
      <c r="I91" s="7" t="inlineStr">
        <is>
          <t>$1130 Samsung Galaxy S24. PO-2025-0012.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Log row TR-00067. Receive date 02/23/2026.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 on MD-00067. Return required Yes.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Technician notes scanned for MD-00067; nothing usable without a transaction.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Unverified custody would apply if MD-00067 had stayed on the unused floor. It did not.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PO:PO-2025-0012; Ledger:FA-000067; PolicyFigure:ITAM_control_matrix.png</t>
        </is>
      </c>
      <c r="H97" s="7" t="inlineStr">
        <is>
          <t>Confirmed Fact</t>
        </is>
      </c>
      <c r="I97" s="7" t="inlineStr">
        <is>
          <t>MD-00067 (Samsung Galaxy S24, $1,130) is with Regional IT in Chicago, not with the separated holder. Last movement is on OFF-00067.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PO:PO-2025-0012</t>
        </is>
      </c>
      <c r="H98" s="7" t="inlineStr">
        <is>
          <t>Confirmed Fact</t>
        </is>
      </c>
      <c r="I98" s="7" t="inlineStr">
        <is>
          <t>First touch MD-00068 - PO-2025-0012, $6425.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Assignment posted 03/28/2026. Docked 2026-04-03 (TR-00068).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Offboarding OFF-00068: Yes. Due Jul 15, 2026.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Prepaid label 1ZMD00000068 exists. Carrier never accepted it.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Looked for MD-00068 in regional_IT_notes.docx; still need CSV/XLSX proof.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For MD-00068, the matrix return row is the standard: three shipping events, serial match. Status Return Overdue follows from that gap.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PO:PO-2025-0012; Ledger:FA-000068; PolicyFigure:ITAM_control_matrix.png</t>
        </is>
      </c>
      <c r="H105" s="7" t="inlineStr">
        <is>
          <t>Unresolved Assumption</t>
        </is>
      </c>
      <c r="I105" s="7" t="inlineStr">
        <is>
          <t>E0081 still has MD-00068 on paper. 1ZMD00000068 never progressed past label creation, so it is not in Atlanta receiving.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PO:PO-2025-0012</t>
        </is>
      </c>
      <c r="H106" s="7" t="inlineStr">
        <is>
          <t>Confirmed Fact</t>
        </is>
      </c>
      <c r="I106" s="7" t="inlineStr">
        <is>
          <t>Procurement PO-2025-0012 lists Dell Latitude 7440 / $2120.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Remote - Former Employee: TR-00069 received 05/04/2026.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OFF-00069 - Past Due. Due 2026-07-15.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Ship record 1ZMD00000069 hasn't left Label Created.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Looked for MD-00069 in regional_IT_notes.docx; still need CSV/XLSX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Policy figure consulted for MD-00069 on returns. Informal notes in the Word dump do not close the shipment.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PO:PO-2025-0012; Ledger:FA-000069; PolicyFigure:ITAM_control_matrix.png</t>
        </is>
      </c>
      <c r="H113" s="7" t="inlineStr">
        <is>
          <t>Unresolved Assumption</t>
        </is>
      </c>
      <c r="I113" s="7" t="inlineStr">
        <is>
          <t>E0082 is Separated and 1ZMD00000069 is still Label Created. MD-00069 has no carrier acceptance, delivery, or matching receiving scan.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PO:PO-2025-0012</t>
        </is>
      </c>
      <c r="H114" s="7" t="inlineStr">
        <is>
          <t>Confirmed Fact</t>
        </is>
      </c>
      <c r="I114" s="7" t="inlineStr">
        <is>
          <t>First touch MD-00070 - PO-2025-0012, $520.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Dock file shows Jun 03, 2026 for TR-00070 (MD-00070).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People ticket OFF-00070. Doesn't by itself dock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Printed 1ZMD00000070. Box not in the inbound file.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Word dump checked for MD-00070; no authoritative note found.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Appendix A owner for return failures is the IT Asset Specialist; MD-00070 is still short of that evidence set at Remote - Former Employee.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PO:PO-2025-0012; Ledger:FA-000070; PolicyFigure:ITAM_control_matrix.png</t>
        </is>
      </c>
      <c r="H121" s="7" t="inlineStr">
        <is>
          <t>Unresolved Assumption</t>
        </is>
      </c>
      <c r="I121" s="7" t="inlineStr">
        <is>
          <t>Do not certify MD-00070 as recovered. 1ZMD00000070 lacks the three-part return evidence.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PO:PO-2025-0012</t>
        </is>
      </c>
      <c r="H122" s="7" t="inlineStr">
        <is>
          <t>Confirmed Fact</t>
        </is>
      </c>
      <c r="I122" s="7" t="inlineStr">
        <is>
          <t>Bought the Samsung Galaxy S24 ($995) on PO-2025-0012.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Log row TR-00071. Receive date 2026-07-12.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MD-00071 tied to OFF-00071 (Past Due). SLA Jul 15, 2026.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-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Return paperwork only. 1ZMD00000071.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Word dump checked for MD-00071; no authoritative note found.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Return on Appendix A needs carrier acceptance, delivery, and a matching receiving scan. MD-00071 (Return Overdue) is judged against that bar, not against a label or a dock photo.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PO:PO-2025-0012; Ledger:FA-000071; PolicyFigure:ITAM_control_matrix.png</t>
        </is>
      </c>
      <c r="H129" s="7" t="inlineStr">
        <is>
          <t>Unresolved Assumption</t>
        </is>
      </c>
      <c r="I129" s="7" t="inlineStr">
        <is>
          <t>Offboarding for MD-00071 stopped at the label. Keep Return Overdue; confidence Low.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PO:PO-2025-0012</t>
        </is>
      </c>
      <c r="H130" s="7" t="inlineStr">
        <is>
          <t>Confirmed Fact</t>
        </is>
      </c>
      <c r="I130" s="7" t="inlineStr">
        <is>
          <t>Purchasing file PO-2025-0012 matches MD-00072 at $6290.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Assignment posted Jan 18, 2026. Docked 01/18/2026 (TR-00072).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People ticket OFF-00072. Doesn't by itself dock MD-00072.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Printed 1ZMD00000072. Box not in the inbound file.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Word dump checked for MD-00072; no authoritative note found.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ITAM-001 return control is the test for MD-00072. A PNG at the dock does not substitute for a scan that matches tag and serial.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PO:PO-2025-0012; Ledger:FA-000072; PolicyFigure:ITAM_control_matrix.png</t>
        </is>
      </c>
      <c r="H137" s="7" t="inlineStr">
        <is>
          <t>Unresolved Assumption</t>
        </is>
      </c>
      <c r="I137" s="7" t="inlineStr">
        <is>
          <t>Cisco C9300 MD-00072 stays on the former employee until a scan matches the register serial.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PO:PO-2022-0013</t>
        </is>
      </c>
      <c r="H138" s="7" t="inlineStr">
        <is>
          <t>Confirmed Fact</t>
        </is>
      </c>
      <c r="I138" s="7" t="inlineStr">
        <is>
          <t>$1985 Lenovo ThinkPad T14. PO-2022-0013.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MD-00073 inbound Jan 24, 2026 on TR-00073 /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MD-00073 tied to OFF-00073 (Past Due). SLA 07/15/2026.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Return paperwork only. 1ZMD00000073.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Word dump checked for MD-00073; no authoritative note found.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For MD-00073, the matrix return row is the standard: three shipping events, serial match. Status Return Overdue follows from that gap.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PO:PO-2022-0013; Ledger:FA-000073; PolicyFigure:ITAM_control_matrix.png</t>
        </is>
      </c>
      <c r="H145" s="7" t="inlineStr">
        <is>
          <t>Unresolved Assumption</t>
        </is>
      </c>
      <c r="I145" s="7" t="inlineStr">
        <is>
          <t>E0086 still has MD-00073 on paper. 1ZMD00000073 never progressed past label creation, so it is not in Atlanta receiving.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PO:PO-2022-0013</t>
        </is>
      </c>
      <c r="H146" s="7" t="inlineStr">
        <is>
          <t>Confirmed Fact</t>
        </is>
      </c>
      <c r="I146" s="7" t="inlineStr">
        <is>
          <t>MD-00074 origin: PO-2022-0013,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Movement TR-00074 completed inbound 2026-02-24.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OFF-00074 sits Past Due. Hardware return was required. Jul 15, 2026.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Printed 1ZMD00000074. Box not in the inbound file.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1ZMD00000074: serial on the shipment is not MD-MO-050074. Custody not cleared.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Technician notes scanned for MD-00074; nothing usable without a transaction.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Policy figure consulted for MD-00074 on returns. Informal notes in the Word dump do not close the shipment.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PO:PO-2022-0013; Ledger:FA-000074; PolicyFigure:ITAM_control_matrix.png</t>
        </is>
      </c>
      <c r="H154" s="7" t="inlineStr">
        <is>
          <t>Unresolved Assumption</t>
        </is>
      </c>
      <c r="I154" s="7" t="inlineStr">
        <is>
          <t>Do not park MD-00074 in Available. 1ZMD00000074 failed the serial match at the dock.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PO:PO-2022-0013</t>
        </is>
      </c>
      <c r="H155" s="7" t="inlineStr">
        <is>
          <t>Confirmed Fact</t>
        </is>
      </c>
      <c r="I155" s="7" t="inlineStr">
        <is>
          <t>Acquired MD-00075 (Samsung Galaxy S24) for $1175 via PO-2022-0013.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Assignment posted 03/31/2026. Docked 2026-04-01 (TR-00075).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MD-00075 tied to OFF-00075 (Past Due). SLA Jul 15, 2026.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Return paperwork only. 1ZMD00000075.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Technician notes scanned for MD-00075; nothing usable without a transaction.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MD-00075: return evidence is acceptance + delivery + receiving scan. Anything less stays overdue or in exception.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PO:PO-2022-0013; Ledger:FA-000075; PolicyFigure:ITAM_control_matrix.png</t>
        </is>
      </c>
      <c r="H162" s="7" t="inlineStr">
        <is>
          <t>Unresolved Assumption</t>
        </is>
      </c>
      <c r="I162" s="7" t="inlineStr">
        <is>
          <t>Ten-day return window is already blown for MD-00075. Proof of custody is still E0088, not IT stock.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PO:PO-2022-0013</t>
        </is>
      </c>
      <c r="H163" s="7" t="inlineStr">
        <is>
          <t>Confirmed Fact</t>
        </is>
      </c>
      <c r="I163" s="7" t="inlineStr">
        <is>
          <t>PO line PO-2022-0013 - Cisco C9300.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Dock file shows 05/03/2026 for TR-00076 (MD-00076).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People ticket OFF-00076. Doesn't by itself dock MD-00076.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Printed 1ZMD00000076. Box not in the inbound file.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1ZMD00000076: serial on the shipment is not MD-NE-050076. Custody not cleared.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Technician notes scanned for MD-00076; nothing usable without a transaction.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Appendix A owner for return failures is the IT Asset Specialist; MD-00076 is still short of that evidence set at Carrier Network / Unverified.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PO:PO-2022-0013; Ledger:FA-000076; PolicyFigure:ITAM_control_matrix.png</t>
        </is>
      </c>
      <c r="H171" s="7" t="inlineStr">
        <is>
          <t>Unresolved Assumption</t>
        </is>
      </c>
      <c r="I171" s="7" t="inlineStr">
        <is>
          <t>Return control fails for MD-00076 because acceptance/delivery without a matching scan is incomplete. Tracking 1ZMD00000076.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PO:PO-2022-0013</t>
        </is>
      </c>
      <c r="H172" s="7" t="inlineStr">
        <is>
          <t>Confirmed Fact</t>
        </is>
      </c>
      <c r="I172" s="7" t="inlineStr">
        <is>
          <t>Procurement PO-2022-0013 lists MacBook Pro 14 / $1850.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TR-00077 - got it 06/06/2026 at Remote - Former Employee.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OFF-00077 Past Due. Return required=Yes, due 2026-07-15.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1ZMD00000077 is Label Created. Serial on the label MD-LA-050077. Not proof of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Technician notes scanned for MD-00077; nothing usable without a transaction.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Return on Appendix A needs carrier acceptance, delivery, and a matching receiving scan. MD-00077 (Return Overdue) is judged against that bar, not against a label or a dock photo.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PO:PO-2022-0013; Ledger:FA-000077; PolicyFigure:ITAM_control_matrix.png</t>
        </is>
      </c>
      <c r="H179" s="7" t="inlineStr">
        <is>
          <t>Unresolved Assumption</t>
        </is>
      </c>
      <c r="I179" s="7" t="inlineStr">
        <is>
          <t>Do not certify MD-00077 as recovered. 1ZMD00000077 lacks the three-part return evidence.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PO:PO-2022-0013</t>
        </is>
      </c>
      <c r="H180" s="7" t="inlineStr">
        <is>
          <t>Confirmed Fact</t>
        </is>
      </c>
      <c r="I180" s="7" t="inlineStr">
        <is>
          <t>PO-2022-0013: Dell U2723QE at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Remote - Former Employee: TR-00078 received Jan 10, 2026.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OFF-00078 - Past Due. Due 07/15/2026.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-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§5: label ≠ returned. 1ZMD00000078 / MD-MO-050078.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Technician notes scanned for MD-00078; nothing usable without a transaction.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ITAM-001 return control is the test for MD-00078. A PNG at the dock does not substitute for a scan that matches tag and serial.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PO:PO-2022-0013; Ledger:FA-000078; PolicyFigure:ITAM_control_matrix.png</t>
        </is>
      </c>
      <c r="H187" s="7" t="inlineStr">
        <is>
          <t>Unresolved Assumption</t>
        </is>
      </c>
      <c r="I187" s="7" t="inlineStr">
        <is>
          <t>Offboarding for MD-00078 stopped at the label. Keep Return Overdue; confidence Low.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PO:PO-2023-0014</t>
        </is>
      </c>
      <c r="H188" s="7" t="inlineStr">
        <is>
          <t>Confirmed Fact</t>
        </is>
      </c>
      <c r="I188" s="7" t="inlineStr">
        <is>
          <t>Bought the Samsung Galaxy S24 ($1040) on PO-2023-0014.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Dock file shows 2026-02-13 for TR-00079 (MD-00079).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OFF-00079 Past Due. Return required=Yes, due Jul 15, 2026.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1ZMD00000079 is Label Created. Serial on the label MD-MO-050079. Not proof of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Technician notes scanned for MD-00079; nothing usable without a transaction.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For MD-00079, the matrix return row is the standard: three shipping events, serial match. Status Return Overdue follows from that gap.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PO:PO-2023-0014; Ledger:FA-000079; PolicyFigure:ITAM_control_matrix.png</t>
        </is>
      </c>
      <c r="H195" s="7" t="inlineStr">
        <is>
          <t>Unresolved Assumption</t>
        </is>
      </c>
      <c r="I195" s="7" t="inlineStr">
        <is>
          <t>Samsung Galaxy S24 MD-00079 stays on the former employee until a scan matches the register serial.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PO:PO-2023-0014</t>
        </is>
      </c>
      <c r="H196" s="7" t="inlineStr">
        <is>
          <t>Confirmed Fact</t>
        </is>
      </c>
      <c r="I196" s="7" t="inlineStr">
        <is>
          <t>Receiving against PO-2023-0014. Cisco C9300, $6335.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Movement TR-00080 completed inbound 03/17/2026.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Opened OFF-00080. Status Shipment Open.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Label-only on MD-00080. 1ZMD00000080.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UPS/carrier take recorded for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Carrier delivery event, 1ZMD00000080.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Dock scan on 1ZMD00000080.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Investigative color on MD-00080 in regional_IT_notes.docx - weight zero.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Assignment control wants employee ID, tag, serial, and acknowledgement. MD-00080 is held to that at Atlanta Warehouse.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PO:PO-2023-0014; Ledger:FA-000080; PolicyFigure:ITAM_control_matrix.png</t>
        </is>
      </c>
      <c r="H206" s="7" t="inlineStr">
        <is>
          <t>Confirmed Fact</t>
        </is>
      </c>
      <c r="I206" s="7" t="inlineStr">
        <is>
          <t>MD-00080 is on the shelf at Atlanta Warehouse. Open exceptions, if any, are coding issues rather than missing kit.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PO:PO-2023-0014</t>
        </is>
      </c>
      <c r="H207" s="7" t="inlineStr">
        <is>
          <t>Confirmed Fact</t>
        </is>
      </c>
      <c r="I207" s="7" t="inlineStr">
        <is>
          <t>Purchasing file PO-2023-0014 matches MD-00081 at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Carrier Network: TR-00081 received Apr 20, 2026.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OFF-00081 Shipment Open. Return required=Yes, due 07/15/2026.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Prepaid label 1ZMD00000081 exists. Carrier never accepted it.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Acceptance event on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1ZMD00000081 delivered per carrier.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Inbound scan completed (1ZMD00000081).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Regional write-up for MD-00081 is non-authoritative per ITAM-001.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Appendix A assignment owner is the IT Asset Specialist. MD-00081's custodian/location were taken from HR and transfer files.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PO:PO-2023-0014; Ledger:FA-000081; PolicyFigure:ITAM_control_matrix.png</t>
        </is>
      </c>
      <c r="H217" s="7" t="inlineStr">
        <is>
          <t>Confirmed Fact</t>
        </is>
      </c>
      <c r="I217" s="7" t="inlineStr">
        <is>
          <t>Warehouse hold of MD-00081 (Dell Latitude 7440) is verified. Not assigned to a person.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PO:PO-2023-0014</t>
        </is>
      </c>
      <c r="H218" s="7" t="inlineStr">
        <is>
          <t>Confirmed Fact</t>
        </is>
      </c>
      <c r="I218" s="7" t="inlineStr">
        <is>
          <t>Acquired MD-00082 (Dell U2723QE) for $745 via PO-2023-0014.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Assignment posted 05/22/2026. Docked 2026-05-24 (TR-00082).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OFF-00082 Shipment Open. Return required=Yes, due Jul 15, 2026.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1ZMD00000082 is Label Created. Serial on the label MD-MO-050082. Not proof of return.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Acceptance posted for 1ZMD00000082; not the same as dock receipt.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1ZMD00000082: serial on the shipment is not MD-MO-050082. Custody not cleared.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MISMATCH. Lead only - not a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Regional claim (Return package was delivered according to the technician, but the shipment serial does not) does not beat a scan for MD-00082.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MD-00082: return evidence is acceptance + delivery + receiving scan. Anything less stays overdue or in exception.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PO:PO-2023-0014; Ledger:FA-000082; PolicyFigure:ITAM_control_matrix.png</t>
        </is>
      </c>
      <c r="H228" s="7" t="inlineStr">
        <is>
          <t>Unresolved Assumption</t>
        </is>
      </c>
      <c r="I228" s="7" t="inlineStr">
        <is>
          <t>Hold certification on MD-00082; the carton identity does not match the register.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PO:PO-2023-0014</t>
        </is>
      </c>
      <c r="H229" s="7" t="inlineStr">
        <is>
          <t>Confirmed Fact</t>
        </is>
      </c>
      <c r="I229" s="7" t="inlineStr">
        <is>
          <t>Warehouse receipt tied to PO-2023-0014. Samsung Galaxy S24.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Assignment posted Jun 26, 2026. Docked 06/27/2026 (TR-00083).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MD-00083 tied to OFF-00083 (Shipment Open). SLA 2026-07-15.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Return paperwork only. 1ZMD00000083.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1ZMD00000083 picked up (acceptance on file).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Parcel 1ZMD00000083 shows delivered; SCAN-86 still required for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Receiving stamp on 1ZMD00000083 for MD-00083.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Technician comment volume in the doc does not clear MD-00083.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Employee ID + tag + serial is the assignment pack for MD-00083. That is what the matrix requires.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PO:PO-2023-0014; Ledger:FA-000083; PolicyFigure:ITAM_control_matrix.png</t>
        </is>
      </c>
      <c r="H239" s="7" t="inlineStr">
        <is>
          <t>Confirmed Fact</t>
        </is>
      </c>
      <c r="I239" s="7" t="inlineStr">
        <is>
          <t>Atlanta Warehouse has MD-00083 in stock. Confidence High.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PO:PO-2023-0014</t>
        </is>
      </c>
      <c r="H240" s="7" t="inlineStr">
        <is>
          <t>Confirmed Fact</t>
        </is>
      </c>
      <c r="I240" s="7" t="inlineStr">
        <is>
          <t>Bought the Cisco C9300 ($6200) on PO-2023-0014.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Transfer TR-00084 / APR-00084. Received Feb 05, 2026.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Opened OFF-00084. Status Shipment Open.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I didn't close MD-00084 on the 1Z print. 1ZMD00000084.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Carrier accepted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Mismatch inbound. MD-00084 stays exception. 1ZMD00000084.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Word file read; MD-00084 waits on transactional evidence.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Return on Appendix A needs carrier acceptance, delivery, and a matching receiving scan. MD-00084 (In Transit - Exception) is judged against that bar, not against a label or a dock photo.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PO:PO-2023-0014; Ledger:FA-000084; PolicyFigure:ITAM_control_matrix.png</t>
        </is>
      </c>
      <c r="H249" s="7" t="inlineStr">
        <is>
          <t>Unresolved Assumption</t>
        </is>
      </c>
      <c r="I249" s="7" t="inlineStr">
        <is>
          <t>MD-00084 (Cisco C9300) never posted a clean receiving event. Status stays In Transit - Exception.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PO:PO-2024-0015</t>
        </is>
      </c>
      <c r="H250" s="7" t="inlineStr">
        <is>
          <t>Confirmed Fact</t>
        </is>
      </c>
      <c r="I250" s="7" t="inlineStr">
        <is>
          <t>Lenovo ThinkPad T14 came in on PO-2024-0015 ($1895).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TR-00085 Feb 02, 2026; inbound 02/03/2026.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OFF-00085 - Shipment Open. Due 2026-07-15.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§5: label ≠ returned. 1ZMD00000085 / MD-LA-050085.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1ZMD00000085 picked up (acceptance on file).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1ZMD00000085 delivered per carrier.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stamp on 1ZMD00000085 for MD-00085.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Word dump checked for MD-00085; no authoritative note found.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For MD-00085, financial evidence is the PO file plus the FAR extract. Status Available is a separate call.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PO:PO-2024-0015; Ledger:FA-000085; PolicyFigure:ITAM_control_matrix.png</t>
        </is>
      </c>
      <c r="H260" s="7" t="inlineStr">
        <is>
          <t>Confirmed Fact</t>
        </is>
      </c>
      <c r="I260" s="7" t="inlineStr">
        <is>
          <t>Return completed for MD-00085; verified status Available, custodian IT Stock.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PO:PO-2024-0015</t>
        </is>
      </c>
      <c r="H261" s="7" t="inlineStr">
        <is>
          <t>Confirmed Fact</t>
        </is>
      </c>
      <c r="I261" s="7" t="inlineStr">
        <is>
          <t>PO-2024-0015 documents $610 for Dell U2723QE.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Dock file shows Mar 08, 2026 for TR-00086 (MD-00086).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People ticket OFF-00086. Doesn't by itself dock MD-00086.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-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Printed 1ZMD00000086. Box not in the inbound file.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Carrier accepted 1ZMD00000086.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Delivery posted on 1ZMD00000086.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SCAN-86 equivalent on file for 1ZMD00000086.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Regional file reviewed for MD-00086; no clearance language accepted.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Assignment control wants employee ID, tag, serial, and acknowledgement. MD-00086 is held to that at Atlanta Warehouse.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PO:PO-2024-0015; Ledger:FA-000086; PolicyFigure:ITAM_control_matrix.png</t>
        </is>
      </c>
      <c r="H271" s="7" t="inlineStr">
        <is>
          <t>Confirmed Fact</t>
        </is>
      </c>
      <c r="I271" s="7" t="inlineStr">
        <is>
          <t>MD-00086 scanned back to IT stock at Atlanta Warehouse. Available is supported by the receiving event on the chain.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PO:PO-2024-0015</t>
        </is>
      </c>
      <c r="H272" s="7" t="inlineStr">
        <is>
          <t>Confirmed Fact</t>
        </is>
      </c>
      <c r="I272" s="7" t="inlineStr">
        <is>
          <t>Purchasing file PO-2024-0015 matches MD-00087 at $1085.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MD-00087 inbound 2026-04-12 on TR-00087 / APR-00087.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OFF-00087 sits Shipment Open. Hardware return was required. Jul 15, 2026.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Label-only on MD-00087. 1ZMD00000087.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UPS/carrier take recorded for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Parcel 1ZMD00000087 shows delivered; SCAN-86 still required for MD-00087.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Dock scan on 1ZMD00000087.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Could not tie MD-00087 to a verified RN entry in the notes.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Appendix A assignment owner is the IT Asset Specialist. MD-00087's custodian/location were taken from HR and transfer files.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PO:PO-2024-0015; Ledger:FA-000087; PolicyFigure:ITAM_control_matrix.png</t>
        </is>
      </c>
      <c r="H282" s="7" t="inlineStr">
        <is>
          <t>Confirmed Fact</t>
        </is>
      </c>
      <c r="I282" s="7" t="inlineStr">
        <is>
          <t>MD-00087 is on the shelf at Atlanta Warehouse. Open exceptions, if any, are coding issues rather than missing kit.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PO:PO-2024-0015</t>
        </is>
      </c>
      <c r="H283" s="7" t="inlineStr">
        <is>
          <t>Confirmed Fact</t>
        </is>
      </c>
      <c r="I283" s="7" t="inlineStr">
        <is>
          <t>Acquired MD-00088 (Cisco C9300) for $6380 via PO-2024-0015.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Recorded May 13, 2026, received 05/14/2026. TR-00088.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Offboarding OFF-00088: Yes. Due 2026-07-15.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Prepaid label 1ZMD00000088 exists. Carrier never accepted it.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Acceptance event on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Delivered - 1ZMD00000088. Still need a receiving scan to finish returns.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Receiving stamp on 1ZMD00000088 for MD-00088.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Looked for MD-00088 in regional_IT_notes.docx; still need CSV/XLSX proof.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Appendix A assignment evidence is employee ID + tag + serial + acknowledgement. MD-00088 fails the serial uniqueness part.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PO:PO-2024-0015; Ledger:FA-000088; PolicyFigure:ITAM_control_matrix.png</t>
        </is>
      </c>
      <c r="H293" s="7" t="inlineStr">
        <is>
          <t>Confirmed Fact</t>
        </is>
      </c>
      <c r="I293" s="7" t="inlineStr">
        <is>
          <t>Warehouse hold of MD-00088 (Cisco C9300) is verified. Not assigned to a person.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PO:PO-2024-0015</t>
        </is>
      </c>
      <c r="H294" s="7" t="inlineStr">
        <is>
          <t>Confirmed Fact</t>
        </is>
      </c>
      <c r="I294" s="7" t="inlineStr">
        <is>
          <t>Warehouse receipt tied to PO-2024-0015. MacBook Pro 14.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TR-00089 - got it Jun 17, 2026 at Unknown.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OFF-00089 Unresolved. Return required=Yes, due 07/15/2026.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regional_IT_notes.docx mentions During the Denver exit walkthrough, someone mentioned a locked cage on floor 3 might still - lead only for MD-00089.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Appendix A assignment owner is the IT Asset Specialist. MD-00089 cannot be acknowledged, so it is not In Use or Available.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I won't invent a floor for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PO:PO-2024-0015; Ledger:FA-000089; PolicyFigure:ITAM_control_matrix.png</t>
        </is>
      </c>
      <c r="H301" s="7" t="inlineStr">
        <is>
          <t>Unresolved Assumption</t>
        </is>
      </c>
      <c r="I301" s="7" t="inlineStr">
        <is>
          <t>Inventory still listed MD-00089, but HR, transfers, and shipping do not show a live custodian for MD-LA-050089. Leave Missing.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PO:PO-2024-0015</t>
        </is>
      </c>
      <c r="H302" s="7" t="inlineStr">
        <is>
          <t>Confirmed Fact</t>
        </is>
      </c>
      <c r="I302" s="7" t="inlineStr">
        <is>
          <t>PO line PO-2024-0015 - Dell U2723QE.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Transfer TR-00090 / APR-00090. Received 2026-01-28.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OFF-00090 sits Unresolved. Hardware return was required. Jul 15, 2026.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Technician wrote about MD-00090 in regional_IT_notes.docx; treated as unverified.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Closed floors and former employees are not a substitute for finding MD-00090. Assignment evidence is absent.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I won't invent a floor for MD-00090.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PO:PO-2024-0015; Ledger:FA-000090; PolicyFigure:ITAM_control_matrix.png</t>
        </is>
      </c>
      <c r="H309" s="7" t="inlineStr">
        <is>
          <t>Unresolved Assumption</t>
        </is>
      </c>
      <c r="I309" s="7" t="inlineStr">
        <is>
          <t>Floor walk and file review both stop short of MD-00090 ($790 Dell U2723QE). Treat as Cannot Locate until that serial is recovered.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PO:PO-2025-0016</t>
        </is>
      </c>
      <c r="H310" s="7" t="inlineStr">
        <is>
          <t>Confirmed Fact</t>
        </is>
      </c>
      <c r="I310" s="7" t="inlineStr">
        <is>
          <t>Purchasing file PO-2025-0016 matches MD-00091 at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MD-00091 inbound 02/24/2026 on TR-00091 / APR-00091.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Opened OFF-00091. Status Unresolved.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Technician wrote about MD-00091 in regional_IT_notes.docx; treated as unverified.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MD-00091 fails assignment identity. Do not recode it to stock to make the count look better.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I won't invent a floor for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PO:PO-2025-0016; Ledger:FA-000091; PolicyFigure:ITAM_control_matrix.png</t>
        </is>
      </c>
      <c r="H317" s="7" t="inlineStr">
        <is>
          <t>Unresolved Assumption</t>
        </is>
      </c>
      <c r="I317" s="7" t="inlineStr">
        <is>
          <t>Loss investigation remains open on MD-00091 (MD-MO-050091, $950), last known Unknown. Do not recode to stock to hide the gap.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PO:PO-2025-0016</t>
        </is>
      </c>
      <c r="H318" s="7" t="inlineStr">
        <is>
          <t>Confirmed Fact</t>
        </is>
      </c>
      <c r="I318" s="7" t="inlineStr">
        <is>
          <t>Procurement PO-2025-0016 lists Cisco C9300 / $6245.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From warehouse to Unverified. TR-00092, received Mar 28, 2026.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OFF-00092 sits Unresolved. Hardware return was required. 07/15/2026.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Technician wrote about MD-00092 in regional_IT_notes.docx; treated as unverified.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Assignment control wants employee ID, tag, serial, and acknowledgement. MD-00092 has none that can be verified, so it stays Missing.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I won't invent a floor for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PO:PO-2025-0016; Ledger:FA-000092; PolicyFigure:ITAM_control_matrix.png</t>
        </is>
      </c>
      <c r="H325" s="7" t="inlineStr">
        <is>
          <t>Unresolved Assumption</t>
        </is>
      </c>
      <c r="I325" s="7" t="inlineStr">
        <is>
          <t>E0080 is not a verified holder of MD-00092. Serial MD-NE-050088 is not in receiving or ITAD files. Confidence Low.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PO:PO-2025-0016</t>
        </is>
      </c>
      <c r="H326" s="7" t="inlineStr">
        <is>
          <t>Confirmed Fact</t>
        </is>
      </c>
      <c r="I326" s="7" t="inlineStr">
        <is>
          <t>PO-2025-0016: Dell Latitude 7440 at $1940.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Moved to Unverified in Unknown on TR-00093. Received 2026-05-06.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Service desk OFF-00093 on MD-00093. Return required Yes.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Technician wrote about MD-00093 in regional_IT_notes.docx; treated as unverified.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Unverified custody is the failure class for MD-00093. No living holder and no scan.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I won't invent a floor for MD-00093.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PO:PO-2025-0016; Ledger:FA-000093; PolicyFigure:ITAM_control_matrix.png</t>
        </is>
      </c>
      <c r="H333" s="7" t="inlineStr">
        <is>
          <t>Unresolved Assumption</t>
        </is>
      </c>
      <c r="I333" s="7" t="inlineStr">
        <is>
          <t>MD-00093 (Dell Latitude 7440, serial MD-LA-050093) cannot be placed from the transfer log, offboarding tickets, or return shipments; verified status is Missing at Unknown.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PO:PO-2025-0016</t>
        </is>
      </c>
      <c r="H334" s="7" t="inlineStr">
        <is>
          <t>Confirmed Fact</t>
        </is>
      </c>
      <c r="I334" s="7" t="inlineStr">
        <is>
          <t>Dell U2723QE came in on PO-2025-0016 ($655).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Recorded Jun 03, 2026, received 06/04/2026. TR-00094.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Offboarding OFF-00094: Yes. Due 2026-07-15.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Word-file breadcrumb on MD-00094: "IT float pool chat referenced this asset as 'still at closed site.' Chat is not an approva" - not authoritative.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Appendix A assignment owner is the IT Asset Specialist. MD-00094 cannot be acknowledged, so it is not In Use or Available.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I won't invent a floor for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PO:PO-2025-0016; Ledger:FA-000094; PolicyFigure:ITAM_control_matrix.png</t>
        </is>
      </c>
      <c r="H341" s="7" t="inlineStr">
        <is>
          <t>Unresolved Assumption</t>
        </is>
      </c>
      <c r="I341" s="7" t="inlineStr">
        <is>
          <t>Inventory still listed MD-00094, but HR, transfers, and shipping do not show a live custodian for MD-MO-050094. Leave Missing.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PO:PO-2025-0016</t>
        </is>
      </c>
      <c r="H342" s="7" t="inlineStr">
        <is>
          <t>Confirmed Fact</t>
        </is>
      </c>
      <c r="I342" s="7" t="inlineStr">
        <is>
          <t>Procurement PO-2025-0016 lists Samsung Galaxy S24 /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From warehouse to Unverified. TR-00095, received Jul 08, 2026.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Service desk OFF-00095 on MD-00095. Return required Yes.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Word-file breadcrumb on MD-00095: "Vendor teardown crew said they saw a similar model on a pallet marked scrap hold. Asset ta" - not authoritative.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For MD-00095, the matrix assignment row is why Missing stays Missing when no acknowledgement exists.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Unresolved. MD-00095 isn't in inbound or the cert file.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PO:PO-2025-0016; Ledger:FA-000095; PolicyFigure:ITAM_control_matrix.png</t>
        </is>
      </c>
      <c r="H349" s="7" t="inlineStr">
        <is>
          <t>Unresolved Assumption</t>
        </is>
      </c>
      <c r="I349" s="7" t="inlineStr">
        <is>
          <t>No receiving scan or disposal certificate turned up for MD-00095 / MD-MO-050095. Last known site Unknown does not support an In Use or Available call.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PO:PO-2025-0016</t>
        </is>
      </c>
      <c r="H350" s="7" t="inlineStr">
        <is>
          <t>Confirmed Fact</t>
        </is>
      </c>
      <c r="I350" s="7" t="inlineStr">
        <is>
          <t>PO-2025-0016: Cisco C9300 at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Moved to Unverified in Unknown on TR-00096. Received 2026-01-19.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Offboarding OFF-00096: Yes. Due Jul 15, 2026.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-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Word-file breadcrumb on MD-00096: "Helpdesk comment claims the user dropped it with building security before last day. Securi" - not authoritative.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Closed floors and former employees are not a substitute for finding MD-00096. Assignment evidence is absent.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Unresolved. MD-00096 isn't in inbound or the cert file.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PO:PO-2025-0016; Ledger:FA-000096; PolicyFigure:ITAM_control_matrix.png</t>
        </is>
      </c>
      <c r="H357" s="7" t="inlineStr">
        <is>
          <t>Unresolved Assumption</t>
        </is>
      </c>
      <c r="I357" s="7" t="inlineStr">
        <is>
          <t>MD-00096 stays off the certifiable population. Nothing in the return file or FAR extract locates MD-NE-050096.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PO:PO-2022-0017</t>
        </is>
      </c>
      <c r="H358" s="7" t="inlineStr">
        <is>
          <t>Confirmed Fact</t>
        </is>
      </c>
      <c r="I358" s="7" t="inlineStr">
        <is>
          <t>Ordered Lenovo ThinkPad T14 (MD-00097) on PO-2022-0017; $2120.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TR-00097 - got it 01/27/2026 at Unknown.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Service desk OFF-00097 on MD-00097. Return required Yes.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Word-file breadcrumb on MD-00097: "Regional spare inventory spreadsheet (offline) listed a placeholder row for this tag with " - not authoritative.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MD-00097 fails assignment identity. Do not recode it to stock to make the count look better.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Unresolved. MD-00097 isn't in inbound or the cert file.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PO:PO-2022-0017; Ledger:FA-000097; PolicyFigure:ITAM_control_matrix.png</t>
        </is>
      </c>
      <c r="H365" s="7" t="inlineStr">
        <is>
          <t>Unresolved Assumption</t>
        </is>
      </c>
      <c r="I365" s="7" t="inlineStr">
        <is>
          <t>Floor walk and file review both stop short of MD-00097 ($2,120 Lenovo ThinkPad T14). Treat as Cannot Locate until that serial is recovered.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PO:PO-2022-0017</t>
        </is>
      </c>
      <c r="H366" s="7" t="inlineStr">
        <is>
          <t>Confirmed Fact</t>
        </is>
      </c>
      <c r="I366" s="7" t="inlineStr">
        <is>
          <t>Receiving against PO-2022-0017. Dell U2723QE, $520.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Unknown: TR-00098 received Feb 24, 2026.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OFF-00098 Unresolved. Return required=Yes, due 07/15/2026.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Word-file breadcrumb on MD-00098: "Move captain's email guessed the device rode with furniture to storage. Furniture BOL does" - not authoritative.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Assignment control wants employee ID, tag, serial, and acknowledgement. MD-00098 has none that can be verified, so it stays Missing.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Unresolved. MD-00098 isn't in inbound or the cert file.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PO:PO-2022-0017; Ledger:FA-000098; PolicyFigure:ITAM_control_matrix.png</t>
        </is>
      </c>
      <c r="H373" s="7" t="inlineStr">
        <is>
          <t>Unresolved Assumption</t>
        </is>
      </c>
      <c r="I373" s="7" t="inlineStr">
        <is>
          <t>Loss investigation remains open on MD-00098 (MD-MO-050098, $520), last known Unknown. Do not recode to stock to hide the gap.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PO:PO-2022-0017</t>
        </is>
      </c>
      <c r="H374" s="7" t="inlineStr">
        <is>
          <t>Confirmed Fact</t>
        </is>
      </c>
      <c r="I374" s="7" t="inlineStr">
        <is>
          <t>Warehouse receipt tied to PO-2022-0017. Samsung Galaxy S24.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TR-00099 03/31/2026; inbound 2026-04-02.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OFF-00099 - Unresolved. Due Jul 15, 2026.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regional_IT_notes.docx mentions An intern's handwritten punch list includes this tag under 'find later.' No follow-up work - lead only for MD-00099.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Unverified custody is the failure class for MD-00099. No living holder and no scan.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Unresolved. MD-00099 isn't in inbound or the cert file.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PO:PO-2022-0017; Ledger:FA-000099; PolicyFigure:ITAM_control_matrix.png</t>
        </is>
      </c>
      <c r="H381" s="7" t="inlineStr">
        <is>
          <t>Unresolved Assumption</t>
        </is>
      </c>
      <c r="I381" s="7" t="inlineStr">
        <is>
          <t>E0087 is not a verified holder of MD-00099. Serial MD-MO-050099 is not in receiving or ITAD files. Confidence Low.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PO:PO-2022-0017</t>
        </is>
      </c>
      <c r="H382" s="7" t="inlineStr">
        <is>
          <t>Confirmed Fact</t>
        </is>
      </c>
      <c r="I382" s="7" t="inlineStr">
        <is>
          <t>Capital buy MD-00100: Cisco C9300, $6290, PO-2022-0017.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TR-00100 - got it 05/05/2026 at Unknown.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OFF-00100 - Unresolved. Due 2026-07-15.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Technician wrote about MD-00100 in regional_IT_notes.docx; treated as unverified.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Appendix A assignment owner is the IT Asset Specialist. MD-00100 cannot be acknowledged, so it is not In Use or Available.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I won't invent a floor for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PO:PO-2022-0017; Ledger:FA-000100; PolicyFigure:ITAM_control_matrix.png</t>
        </is>
      </c>
      <c r="H389" s="7" t="inlineStr">
        <is>
          <t>Unresolved Assumption</t>
        </is>
      </c>
      <c r="I389" s="7" t="inlineStr">
        <is>
          <t>Loss investigation remains open on MD-00100 (MD-NE-050100, $6,290), last known Unknown. Do not recode to stock to hide the gap.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PO:PO-2022-0017</t>
        </is>
      </c>
      <c r="H390" s="7" t="inlineStr">
        <is>
          <t>Confirmed Fact</t>
        </is>
      </c>
      <c r="I390" s="7" t="inlineStr">
        <is>
          <t>Acquired MD-00101 (MacBook Pro 14) for $1985 via PO-2022-0017.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Seattle: TR-00101 received Jun 07, 2026.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RET-00101 sits Pending Disposal. Hardware return not required per ticket.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Word dump checked for MD-00101; no authoritative note found.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MD-00101 is read against the disposal row of ITAM_control_matrix.png. Missing certificate keeps it out of Disposed.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PO:PO-2022-0017; Ledger:FA-000101; PolicyFigure:ITAM_control_matrix.png</t>
        </is>
      </c>
      <c r="H396" s="7" t="inlineStr">
        <is>
          <t>Confirmed Fact</t>
        </is>
      </c>
      <c r="I396" s="7" t="inlineStr">
        <is>
          <t>Pending-disposal pile in Seattle includes MD-00101 ($1,985). Certificate gap blocks a Disposed status.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PO:PO-2022-0017</t>
        </is>
      </c>
      <c r="H397" s="7" t="inlineStr">
        <is>
          <t>Confirmed Fact</t>
        </is>
      </c>
      <c r="I397" s="7" t="inlineStr">
        <is>
          <t>Receiving against PO-2022-0017. Dell U2723QE,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MD-00102 inbound 01/11/2026 on TR-00102 / APR-00102.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RET-00102 - Pending Disposal. Due n/a.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-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Looked for MD-00102 in regional_IT_notes.docx; still need CSV/XLSX proof.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Appendix A disposal failure class is missing disposal evidence. That is the bucket MD-00102 is in.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PO:PO-2022-0017; Ledger:FA-000102; PolicyFigure:ITAM_control_matrix.png</t>
        </is>
      </c>
      <c r="H403" s="7" t="inlineStr">
        <is>
          <t>Confirmed Fact</t>
        </is>
      </c>
      <c r="I403" s="7" t="inlineStr">
        <is>
          <t>ITAD paperwork is incomplete for MD-00102 / MD-MO-050102 in Atlanta. Status remains Retired/Pending Disposal, confidence Medium.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PO:PO-2023-0018</t>
        </is>
      </c>
      <c r="H404" s="7" t="inlineStr">
        <is>
          <t>Confirmed Fact</t>
        </is>
      </c>
      <c r="I404" s="7" t="inlineStr">
        <is>
          <t>Acquired MD-00103 (Samsung Galaxy S24) for $1175 via PO-2023-0018.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Chicago: TR-00103 received 2026-02-14.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RET-00103 sits Pending Disposal. Hardware return not required per ticket.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Technician prose on MD-00103 stays out of the custody conclusion.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MD-00103 is read against the disposal row of ITAM_control_matrix.png. Missing certificate keeps it out of Disposed.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PO:PO-2023-0018; Ledger:FA-000103; PolicyFigure:ITAM_control_matrix.png</t>
        </is>
      </c>
      <c r="H410" s="7" t="inlineStr">
        <is>
          <t>Confirmed Fact</t>
        </is>
      </c>
      <c r="I410" s="7" t="inlineStr">
        <is>
          <t>ITAD paperwork is incomplete for MD-00103 / MD-MO-050103 in Chicago. Status remains Retired/Pending Disposal, confidence Medium.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PO:PO-2023-0018</t>
        </is>
      </c>
      <c r="H411" s="7" t="inlineStr">
        <is>
          <t>Confirmed Fact</t>
        </is>
      </c>
      <c r="I411" s="7" t="inlineStr">
        <is>
          <t>$6470 Cisco C9300. PO-2023-0018.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Dock file shows Mar 18, 2026 for TR-00104 (MD-00104).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 on MD-00104. Return required No.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Could not tie MD-00104 to a verified RN entry in the notes.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MD-00104 is read against the disposal row of ITAM_control_matrix.png. Missing certificate keeps it out of Disposed.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PO:PO-2023-0018; Ledger:FA-000104; PolicyFigure:ITAM_control_matrix.png</t>
        </is>
      </c>
      <c r="H417" s="7" t="inlineStr">
        <is>
          <t>Confirmed Fact</t>
        </is>
      </c>
      <c r="I417" s="7" t="inlineStr">
        <is>
          <t>Pending-disposal pile in Dallas includes MD-00104 ($6,470). Certificate gap blocks a Disposed status.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PO:PO-2023-0018</t>
        </is>
      </c>
      <c r="H418" s="7" t="inlineStr">
        <is>
          <t>Confirmed Fact</t>
        </is>
      </c>
      <c r="I418" s="7" t="inlineStr">
        <is>
          <t>Purchasing file PO-2023-0018 matches MD-00105 at $1850.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From warehouse to Regional IT. TR-00105, received 04/21/2026.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RET-00105 Pending Disposal. Return required=No.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Investigative color on MD-00105 in regional_IT_notes.docx - weight zero.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Appendix A disposal failure class is missing disposal evidence. That is the bucket MD-00105 is in.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PO:PO-2023-0018; Ledger:FA-000105; PolicyFigure:ITAM_control_matrix.png</t>
        </is>
      </c>
      <c r="H424" s="7" t="inlineStr">
        <is>
          <t>Confirmed Fact</t>
        </is>
      </c>
      <c r="I424" s="7" t="inlineStr">
        <is>
          <t>MD-00105 (Dell Latitude 7440, $1,850) is coded toward disposal but asset_disposal_records.csv has no matching certificate. RET-00105 is not a DC ID.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PO:PO-2023-0018</t>
        </is>
      </c>
      <c r="H425" s="7" t="inlineStr">
        <is>
          <t>Confirmed Fact</t>
        </is>
      </c>
      <c r="I425" s="7" t="inlineStr">
        <is>
          <t>Procurement PO-2023-0018 lists Dell U2723QE / $565.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TR-00106 05/22/2026; inbound 2026-05-25.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RET-00106 sits Pending Disposal. Hardware return not required per ticket.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Notes packet includes MD-00106 only as background, not evidence.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Appendix A disposal failure class is missing disposal evidence. That is the bucket MD-00106 is in.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PO:PO-2023-0018; Ledger:FA-000106; PolicyFigure:ITAM_control_matrix.png</t>
        </is>
      </c>
      <c r="H431" s="7" t="inlineStr">
        <is>
          <t>Confirmed Fact</t>
        </is>
      </c>
      <c r="I431" s="7" t="inlineStr">
        <is>
          <t>ITAD paperwork is incomplete for MD-00106 / MD-MO-050106 in New York. Status remains Retired/Pending Disposal, confidence Medium.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PO:PO-2023-0018</t>
        </is>
      </c>
      <c r="H432" s="7" t="inlineStr">
        <is>
          <t>Confirmed Fact</t>
        </is>
      </c>
      <c r="I432" s="7" t="inlineStr">
        <is>
          <t>Acquired MD-00107 (Samsung Galaxy S24) for $1040 via PO-2023-0018.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Log row TR-00107. Receive date Jun 27, 2026.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Service desk RET-00107 on MD-00107. Return required No.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 file reviewed for MD-00107; no clearance language accepted.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MD-00107 is read against the disposal row of ITAM_control_matrix.png. Missing certificate keeps it out of Disposed.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PO:PO-2023-0018; Ledger:FA-000107; PolicyFigure:ITAM_control_matrix.png</t>
        </is>
      </c>
      <c r="H438" s="7" t="inlineStr">
        <is>
          <t>Confirmed Fact</t>
        </is>
      </c>
      <c r="I438" s="7" t="inlineStr">
        <is>
          <t>Seattle is not a verified recycler receipt for MD-00107 without a certificate ID. RET-00107 is still open-ended.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PO:PO-2023-0018</t>
        </is>
      </c>
      <c r="H439" s="7" t="inlineStr">
        <is>
          <t>Confirmed Fact</t>
        </is>
      </c>
      <c r="I439" s="7" t="inlineStr">
        <is>
          <t>Receiving against PO-2023-0018. Cisco C9300, $6335.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Transfer TR-00108 / APR-00108. Received 01/30/2026.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RET-00108 Pending Disposal. Return required=No.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I did not cite regional_IT_notes.docx as proof for MD-00108.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Appendix A disposal failure class is missing disposal evidence. That is the bucket MD-00108 is in.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PO:PO-2023-0018; Ledger:FA-000108; PolicyFigure:ITAM_control_matrix.png</t>
        </is>
      </c>
      <c r="H445" s="7" t="inlineStr">
        <is>
          <t>Confirmed Fact</t>
        </is>
      </c>
      <c r="I445" s="7" t="inlineStr">
        <is>
          <t>MD-00108 (Cisco C9300, $6,335) is coded toward disposal but asset_disposal_records.csv has no matching certificate. RET-00108 is not a DC ID.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PO:PO-2024-0019</t>
        </is>
      </c>
      <c r="H446" s="7" t="inlineStr">
        <is>
          <t>Confirmed Fact</t>
        </is>
      </c>
      <c r="I446" s="7" t="inlineStr">
        <is>
          <t>$2030 Lenovo ThinkPad T14. PO-2024-0019.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TR-00109 - got it 2026-02-04 at Chicago.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RET-00109 sits Pending Disposal. Hardware return not required per ticket.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Technician notes scanned for MD-00109; nothing usable without a transaction.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MD-00109 is read against the disposal row of ITAM_control_matrix.png. Missing certificate keeps it out of Disposed.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PO:PO-2024-0019; Ledger:FA-000109; PolicyFigure:ITAM_control_matrix.png</t>
        </is>
      </c>
      <c r="H452" s="7" t="inlineStr">
        <is>
          <t>Confirmed Fact</t>
        </is>
      </c>
      <c r="I452" s="7" t="inlineStr">
        <is>
          <t>MD-00109 (Lenovo ThinkPad T14, $2,030) is coded toward disposal but asset_disposal_records.csv has no matching certificate. RET-00109 is not a DC ID.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PO:PO-2024-0019</t>
        </is>
      </c>
      <c r="H453" s="7" t="inlineStr">
        <is>
          <t>Confirmed Fact</t>
        </is>
      </c>
      <c r="I453" s="7" t="inlineStr">
        <is>
          <t>$745 Dell U2723QE. PO-2024-0019.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Transfer TR-00110 / APR-00110. Received Mar 08, 2026.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RET-00110 Pending Disposal. Return required=No.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Looked for MD-00110 in regional_IT_notes.docx; still need CSV/XLSX proof.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NIST-aligned sanitization plus a DC ID are required before MD-00110 can leave the pending-disposal bucket.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PO:PO-2024-0019; Ledger:FA-000110; PolicyFigure:ITAM_control_matrix.png</t>
        </is>
      </c>
      <c r="H459" s="7" t="inlineStr">
        <is>
          <t>Confirmed Fact</t>
        </is>
      </c>
      <c r="I459" s="7" t="inlineStr">
        <is>
          <t>ITAD paperwork is incomplete for MD-00110 / MD-MO-050110 in Dallas. Status remains Retired/Pending Disposal, confidence Medium.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PO:PO-2024-0019</t>
        </is>
      </c>
      <c r="H460" s="7" t="inlineStr">
        <is>
          <t>Confirmed Fact</t>
        </is>
      </c>
      <c r="I460" s="7" t="inlineStr">
        <is>
          <t>Procurement PO-2024-0019 lists Dell U2723QE /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Movement TR-00114 completed inbound 01/22/2026.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RET-00114 - Closed. Due n/a.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MD-00114 pending-disposal with an empty cert field.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Breadcrumb for MD-00114 in regional_IT_notes.docx; corroboration missing.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NIST-aligned sanitization plus a DC ID are required before MD-00114 can leave the pending-disposal bucket.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PO:PO-2024-0019; Ledger:FA-000114; PolicyFigure:ITAM_control_matrix.png</t>
        </is>
      </c>
      <c r="H467" s="7" t="inlineStr">
        <is>
          <t>Unresolved Assumption</t>
        </is>
      </c>
      <c r="I467" s="7" t="inlineStr">
        <is>
          <t>MD-00114 cannot be certified as destroyed. RET-00114 exists; the certificate file does not.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PO:PO-2025-0020</t>
        </is>
      </c>
      <c r="H468" s="7" t="inlineStr">
        <is>
          <t>Confirmed Fact</t>
        </is>
      </c>
      <c r="I468" s="7" t="inlineStr">
        <is>
          <t>Procurement PO-2025-0020 lists Dell U2723QE / $790.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MD-00118 inbound Jun 04, 2026 on TR-00118 / APR-00118.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Offboarding RET-00118: No.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No DC for MD-00118. Transfer TR-00118 isn't enough.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I kept MD-00118 off the note until logs backed it.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Disposal control for MD-00118 wants retirement approval, sanitization, and a certificate that matches tag/serial. Technician notes do not satisfy it.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PO:PO-2025-0020; Ledger:FA-000118; PolicyFigure:ITAM_control_matrix.png</t>
        </is>
      </c>
      <c r="H475" s="7" t="inlineStr">
        <is>
          <t>Unresolved Assumption</t>
        </is>
      </c>
      <c r="I475" s="7" t="inlineStr">
        <is>
          <t>MD-00118 (Dell U2723QE, $790) is coded toward disposal but asset_disposal_records.csv has no matching certificate. RET-00118 is not a DC ID.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PO:PO-2025-0020</t>
        </is>
      </c>
      <c r="H476" s="7" t="inlineStr">
        <is>
          <t>Confirmed Fact</t>
        </is>
      </c>
      <c r="I476" s="7" t="inlineStr">
        <is>
          <t>PO-2025-0020: Samsung Galaxy S24 at $950.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Movement TR-00119 completed inbound 2026-07-09.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RET-00119 - Closed. Due n/a.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Certificate DC-00119 matches MD-00119.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For MD-00119, notes are breadcrumb-only.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Finance Controller owns the $165 basis cleanup on MD-00119. It does not change NBV.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PO:PO-2025-0020; Ledger:FA-000119; PolicyFigure:ITAM_control_matrix.png</t>
        </is>
      </c>
      <c r="H483" s="7" t="inlineStr">
        <is>
          <t>Confirmed Fact</t>
        </is>
      </c>
      <c r="I483" s="7" t="inlineStr">
        <is>
          <t>Recycler paperwork DC-00119 is on file for MD-00119. Lifecycle is closed operationally.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PO:PO-2023-0022</t>
        </is>
      </c>
      <c r="H484" s="7" t="inlineStr">
        <is>
          <t>Confirmed Fact</t>
        </is>
      </c>
      <c r="I484" s="7" t="inlineStr">
        <is>
          <t>MD-00127 origin: PO-2023-0022, $995.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ITAM_control_matrix.png; IT_asset_management_policy.pdf</t>
        </is>
      </c>
      <c r="H485" s="7" t="inlineStr">
        <is>
          <t>Confirmed Fact</t>
        </is>
      </c>
      <c r="I485" s="7" t="inlineStr">
        <is>
          <t>Assignment after MD-00127's move can be In Use; transfer control can still fail. Those are different rows on the matrix.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Transfer:TR-00127; Approval:missing</t>
        </is>
      </c>
      <c r="H486" s="7" t="inlineStr">
        <is>
          <t>Confirmed Fact</t>
        </is>
      </c>
      <c r="I486" s="7" t="inlineStr">
        <is>
          <t>Log row TR-00127. Receive date 2026-02-17.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PO:PO-2023-0022; Ledger:FA-000127; PolicyFigure:ITAM_control_matrix.png</t>
        </is>
      </c>
      <c r="H487" s="7" t="inlineStr">
        <is>
          <t>Confirmed Fact</t>
        </is>
      </c>
      <c r="I487" s="7" t="inlineStr">
        <is>
          <t>In Use at Denver for MD-00127 stands. Transfer control failed on TR-00127.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PO:PO-2023-0023</t>
        </is>
      </c>
      <c r="H488" s="7" t="inlineStr">
        <is>
          <t>Confirmed Fact</t>
        </is>
      </c>
      <c r="I488" s="7" t="inlineStr">
        <is>
          <t>Warehouse receipt tied to PO-2023-0023. Dell U2723QE.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ITAM_control_matrix.png; IT_asset_management_policy.pdf</t>
        </is>
      </c>
      <c r="H489" s="7" t="inlineStr">
        <is>
          <t>Confirmed Fact</t>
        </is>
      </c>
      <c r="I489" s="7" t="inlineStr">
        <is>
          <t>Financial control uses the $2,500 line and the PO capitalization flag. MD-00130 is below that line, so a silent FAR is expected.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Transfer:TR-00130; Approval:APR-00130</t>
        </is>
      </c>
      <c r="H490" s="7" t="inlineStr">
        <is>
          <t>Confirmed Fact</t>
        </is>
      </c>
      <c r="I490" s="7" t="inlineStr">
        <is>
          <t>TR-00130 - got it May 28, 2026 at Atlanta.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PO:PO-2023-0023; PolicyFigure:ITAM_control_matrix.png</t>
        </is>
      </c>
      <c r="H491" s="7" t="inlineStr">
        <is>
          <t>Confirmed Fact</t>
        </is>
      </c>
      <c r="I491" s="7" t="inlineStr">
        <is>
          <t>E0064 holds MD-00130. Financial control does not require an FA number at $700.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PO:PO-2023-0023</t>
        </is>
      </c>
      <c r="H492" s="7" t="inlineStr">
        <is>
          <t>Confirmed Fact</t>
        </is>
      </c>
      <c r="I492" s="7" t="inlineStr">
        <is>
          <t>MD-00131 origin: PO-2023-0023,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MD-00131 inbound Jun 28, 2026 on TR-00131 / APR-00131.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Financial control uses the $2,500 line and the PO capitalization flag. MD-00131 is below that line, so a silent FAR is expected.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PO:PO-2023-0023; PolicyFigure:ITAM_control_matrix.png</t>
        </is>
      </c>
      <c r="H495" s="7" t="inlineStr">
        <is>
          <t>Confirmed Fact</t>
        </is>
      </c>
      <c r="I495" s="7" t="inlineStr">
        <is>
          <t>E0065 holds MD-00131. Financial control does not require an FA number at $1,175.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Ordered Cisco C9300 (MD-00132) on PO-2023-0022; $6470.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Moved to E0066 in Dallas on TR-00132. Received 01/31/2026.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Financial control requires a FAR row for capital-qualifying MD-00132. PO-2023-0022 is capitalization_approved; RN-0132 does not post an expense.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MD-00132 is In Use in Dallas at $6,470, which is capital-qualifying. PO-2023-0022 is capitalization_approved; the FAR extract has no row. RN-0132 does not override that.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said MD-00132 was expensed under threshold. Rejected: acquisition cost $6,470 is ≥ $2,500, and the FAR still has no row.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capital-qualifying, no FA row. Blocks certification until capitalization or an approved write-off. MD-00130/MD-00131 are a different (under-threshold) story.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>
        <f>SUM('Corrected Register'!$M$5:$M$136)</f>
        <v>332115</v>
      </c>
    </row>
    <row r="6">
      <c r="A6" s="4" t="inlineStr">
        <is>
          <t>Fixed-asset ledger - sum of acquisition cost (129 assets)</t>
        </is>
      </c>
      <c r="B6" s="5">
        <f>SUM('Source Ledger'!$E$5:$E$133)</f>
        <v>324740</v>
      </c>
    </row>
    <row r="7">
      <c r="A7" s="4" t="inlineStr">
        <is>
          <t>Acquisition cost difference (register − ledger)</t>
        </is>
      </c>
      <c r="B7" s="5">
        <f>B5-B6</f>
        <v>7375</v>
      </c>
    </row>
    <row r="8">
      <c r="A8" s="4" t="inlineStr">
        <is>
          <t>Corrected register - remaining book value (ledger NBV where present; blank if missing)</t>
        </is>
      </c>
      <c r="B8" s="5">
        <f>SUM('Corrected Register'!$N$5:$N$136)</f>
        <v>61561.6</v>
      </c>
    </row>
    <row r="9">
      <c r="A9" s="4" t="inlineStr">
        <is>
          <t>Ledger - net book value, Active status only</t>
        </is>
      </c>
      <c r="B9" s="5">
        <f>SUMIF('Source Ledger'!$H$5:$H$133,"Active",'Source Ledger'!$G$5:$G$133)</f>
        <v>61561.6</v>
      </c>
    </row>
    <row r="10">
      <c r="A10" s="4" t="inlineStr">
        <is>
          <t>Ledger - net book value, all statuses including Disposed</t>
        </is>
      </c>
      <c r="B10" s="5">
        <f>SUM('Source Ledger'!$G$5:$G$133)</f>
        <v>61561.6</v>
      </c>
    </row>
    <row r="11">
      <c r="A11" s="4" t="inlineStr">
        <is>
          <t>Assets with matching acquisition cost (register vs ledger)</t>
        </is>
      </c>
      <c r="B11" s="5">
        <f>COUNTA('Corrected Register'!$A$5:$A$136)-B12-B13</f>
        <v>124</v>
      </c>
    </row>
    <row r="12">
      <c r="A12" s="4" t="inlineStr">
        <is>
          <t>Assets with acquisition cost mismatch</t>
        </is>
      </c>
      <c r="B12" s="5">
        <f>COUNTIF(B24:B35,"Acquisition cost mismatch")</f>
        <v>7</v>
      </c>
    </row>
    <row r="13">
      <c r="A13" s="4" t="inlineStr">
        <is>
          <t>Assets on inventory missing from ledger</t>
        </is>
      </c>
      <c r="B13" s="5">
        <f>COUNTIF(B24:B35,"*missing from ledger*")</f>
        <v>1</v>
      </c>
    </row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but have no fixed-asset ledger row. Combined register acquisition cost = $8345. MD-00130 ($700) and MD-00131 ($1175) are under the $2,500 capitalization threshold so FA absence is expected; MD-00132 ($6470) is capital-qualifying and remains a Critical gap (RN-0132 rejected).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§9 these are High remediation items, not sole Critical blockers.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n"/>
    </row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>
        <f>IFERROR(XLOOKUP(A24,'Corrected Register'!$A$5:$A$136,'Corrected Register'!$M$5:$M$136),"")</f>
        <v>1985</v>
      </c>
      <c r="D24" s="7">
        <f>IFERROR(XLOOKUP(A24,'Source Ledger'!$B$5:$B$133,'Source Ledger'!$E$5:$E$133),"")</f>
        <v>2070</v>
      </c>
      <c r="E24" s="7">
        <f>IF(OR(C24="",D24=""),"",D24-C24)</f>
        <v>85</v>
      </c>
      <c r="F24" s="7">
        <f>IFERROR(XLOOKUP(A24,'Corrected Register'!$A$5:$A$136,'Corrected Register'!$N$5:$N$136),"")</f>
        <v>0</v>
      </c>
      <c r="G24" s="7">
        <f>IFERROR(XLOOKUP(A24,'Source Ledger'!$B$5:$B$133,'Source Ledger'!$G$5:$G$133),"")</f>
        <v>0</v>
      </c>
      <c r="H24" s="7" t="inlineStr">
        <is>
          <t>Ledger FA-000017 cost exceeds register by $85. Validate against PO-2024-0003.</t>
        </is>
      </c>
    </row>
    <row r="25">
      <c r="A25" s="7" t="inlineStr">
        <is>
          <t>MD-00034</t>
        </is>
      </c>
      <c r="B25" s="7" t="inlineStr">
        <is>
          <t>Acquisition cost mismatch</t>
        </is>
      </c>
      <c r="C25" s="7">
        <f>IFERROR(XLOOKUP(A25,'Corrected Register'!$A$5:$A$136,'Corrected Register'!$M$5:$M$136),"")</f>
        <v>790</v>
      </c>
      <c r="D25" s="7">
        <f>IFERROR(XLOOKUP(A25,'Source Ledger'!$B$5:$B$133,'Source Ledger'!$E$5:$E$133),"")</f>
        <v>930</v>
      </c>
      <c r="E25" s="7">
        <f>IF(OR(C25="",D25=""),"",D25-C25)</f>
        <v>140</v>
      </c>
      <c r="F25" s="7">
        <f>IFERROR(XLOOKUP(A25,'Corrected Register'!$A$5:$A$136,'Corrected Register'!$N$5:$N$136),"")</f>
        <v>514.88</v>
      </c>
      <c r="G25" s="7">
        <f>IFERROR(XLOOKUP(A25,'Source Ledger'!$B$5:$B$133,'Source Ledger'!$G$5:$G$133),"")</f>
        <v>514.88</v>
      </c>
      <c r="H25" s="7" t="inlineStr">
        <is>
          <t>Ledger FA-000034 cost exceeds register by $140. Validate against PO-2023-0006.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>
        <f>IFERROR(XLOOKUP(A26,'Corrected Register'!$A$5:$A$136,'Corrected Register'!$M$5:$M$136),"")</f>
        <v>1040</v>
      </c>
      <c r="D26" s="7">
        <f>IFERROR(XLOOKUP(A26,'Source Ledger'!$B$5:$B$133,'Source Ledger'!$E$5:$E$133),"")</f>
        <v>1250</v>
      </c>
      <c r="E26" s="7">
        <f>IF(OR(C26="",D26=""),"",D26-C26)</f>
        <v>210</v>
      </c>
      <c r="F26" s="7">
        <f>IFERROR(XLOOKUP(A26,'Corrected Register'!$A$5:$A$136,'Corrected Register'!$N$5:$N$136),"")</f>
        <v>573.03</v>
      </c>
      <c r="G26" s="7">
        <f>IFERROR(XLOOKUP(A26,'Source Ledger'!$B$5:$B$133,'Source Ledger'!$G$5:$G$133),"")</f>
        <v>573.03</v>
      </c>
      <c r="H26" s="7" t="inlineStr">
        <is>
          <t>Ledger FA-000051 cost exceeds register by $210. Validate against PO-2022-0009.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>
        <f>IFERROR(XLOOKUP(A27,'Corrected Register'!$A$5:$A$136,'Corrected Register'!$M$5:$M$136),"")</f>
        <v>6425</v>
      </c>
      <c r="D27" s="7">
        <f>IFERROR(XLOOKUP(A27,'Source Ledger'!$B$5:$B$133,'Source Ledger'!$E$5:$E$133),"")</f>
        <v>6480</v>
      </c>
      <c r="E27" s="7">
        <f>IF(OR(C27="",D27=""),"",D27-C27)</f>
        <v>55</v>
      </c>
      <c r="F27" s="7">
        <f>IFERROR(XLOOKUP(A27,'Corrected Register'!$A$5:$A$136,'Corrected Register'!$N$5:$N$136),"")</f>
        <v>1436.28</v>
      </c>
      <c r="G27" s="7">
        <f>IFERROR(XLOOKUP(A27,'Source Ledger'!$B$5:$B$133,'Source Ledger'!$G$5:$G$133),"")</f>
        <v>1436.28</v>
      </c>
      <c r="H27" s="7" t="inlineStr">
        <is>
          <t>Ledger FA-000068 cost exceeds register by $55. Validate against PO-2025-0012.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>
        <f>IFERROR(XLOOKUP(A28,'Corrected Register'!$A$5:$A$136,'Corrected Register'!$M$5:$M$136),"")</f>
        <v>1895</v>
      </c>
      <c r="D28" s="7">
        <f>IFERROR(XLOOKUP(A28,'Source Ledger'!$B$5:$B$133,'Source Ledger'!$E$5:$E$133),"")</f>
        <v>2090</v>
      </c>
      <c r="E28" s="7">
        <f>IF(OR(C28="",D28=""),"",D28-C28)</f>
        <v>195</v>
      </c>
      <c r="F28" s="7">
        <f>IFERROR(XLOOKUP(A28,'Corrected Register'!$A$5:$A$136,'Corrected Register'!$N$5:$N$136),"")</f>
        <v>0</v>
      </c>
      <c r="G28" s="7">
        <f>IFERROR(XLOOKUP(A28,'Source Ledger'!$B$5:$B$133,'Source Ledger'!$G$5:$G$133),"")</f>
        <v>0</v>
      </c>
      <c r="H28" s="7" t="inlineStr">
        <is>
          <t>Ledger FA-000085 cost exceeds register by $195. Validate against PO-2024-0015.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>
        <f>IFERROR(XLOOKUP(A29,'Corrected Register'!$A$5:$A$136,'Corrected Register'!$M$5:$M$136),"")</f>
        <v>700</v>
      </c>
      <c r="D29" s="7">
        <f>IFERROR(XLOOKUP(A29,'Source Ledger'!$B$5:$B$133,'Source Ledger'!$E$5:$E$133),"")</f>
        <v>820</v>
      </c>
      <c r="E29" s="7">
        <f>IF(OR(C29="",D29=""),"",D29-C29)</f>
        <v>120</v>
      </c>
      <c r="F29" s="7">
        <f>IFERROR(XLOOKUP(A29,'Corrected Register'!$A$5:$A$136,'Corrected Register'!$N$5:$N$136),"")</f>
        <v>407.54</v>
      </c>
      <c r="G29" s="7">
        <f>IFERROR(XLOOKUP(A29,'Source Ledger'!$B$5:$B$133,'Source Ledger'!$G$5:$G$133),"")</f>
        <v>407.54</v>
      </c>
      <c r="H29" s="7" t="inlineStr">
        <is>
          <t>Ledger FA-000102 cost exceeds register by $120. Validate against PO-2022-0017.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>
        <f>IFERROR(XLOOKUP(A30,'Corrected Register'!$A$5:$A$136,'Corrected Register'!$M$5:$M$136),"")</f>
        <v>610</v>
      </c>
      <c r="D30" s="7">
        <f>IFERROR(XLOOKUP(A30,'Source Ledger'!$B$5:$B$133,'Source Ledger'!$E$5:$E$133),"")</f>
        <v>610</v>
      </c>
      <c r="E30" s="7">
        <f>IF(OR(C30="",D30=""),"",D30-C30)</f>
        <v>0</v>
      </c>
      <c r="F30" s="7">
        <f>IFERROR(XLOOKUP(A30,'Corrected Register'!$A$5:$A$136,'Corrected Register'!$N$5:$N$136),"")</f>
        <v>0</v>
      </c>
      <c r="G30" s="7">
        <f>IFERROR(XLOOKUP(A30,'Source Ledger'!$B$5:$B$133,'Source Ledger'!$G$5:$G$133),"")</f>
        <v>0</v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>
        <f>IFERROR(XLOOKUP(A31,'Corrected Register'!$A$5:$A$136,'Corrected Register'!$M$5:$M$136),"")</f>
        <v>790</v>
      </c>
      <c r="D31" s="7">
        <f>IFERROR(XLOOKUP(A31,'Source Ledger'!$B$5:$B$133,'Source Ledger'!$E$5:$E$133),"")</f>
        <v>790</v>
      </c>
      <c r="E31" s="7">
        <f>IF(OR(C31="",D31=""),"",D31-C31)</f>
        <v>0</v>
      </c>
      <c r="F31" s="7">
        <f>IFERROR(XLOOKUP(A31,'Corrected Register'!$A$5:$A$136,'Corrected Register'!$N$5:$N$136),"")</f>
        <v>0</v>
      </c>
      <c r="G31" s="7">
        <f>IFERROR(XLOOKUP(A31,'Source Ledger'!$B$5:$B$133,'Source Ledger'!$G$5:$G$133),"")</f>
        <v>0</v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>
        <f>IFERROR(XLOOKUP(A32,'Corrected Register'!$A$5:$A$136,'Corrected Register'!$M$5:$M$136),"")</f>
        <v>950</v>
      </c>
      <c r="D32" s="7">
        <f>IFERROR(XLOOKUP(A32,'Source Ledger'!$B$5:$B$133,'Source Ledger'!$E$5:$E$133),"")</f>
        <v>1115</v>
      </c>
      <c r="E32" s="7">
        <f>IF(OR(C32="",D32=""),"",D32-C32)</f>
        <v>165</v>
      </c>
      <c r="F32" s="7">
        <f>IFERROR(XLOOKUP(A32,'Corrected Register'!$A$5:$A$136,'Corrected Register'!$N$5:$N$136),"")</f>
        <v>0</v>
      </c>
      <c r="G32" s="7">
        <f>IFERROR(XLOOKUP(A32,'Source Ledger'!$B$5:$B$133,'Source Ledger'!$G$5:$G$133),"")</f>
        <v>0</v>
      </c>
      <c r="H32" s="7" t="inlineStr">
        <is>
          <t>Ledger FA-000119 cost exceeds register by $165. Validate against PO-2025-0020.</t>
        </is>
      </c>
    </row>
    <row r="33">
      <c r="A33" s="7" t="inlineStr">
        <is>
          <t>MD-00130</t>
        </is>
      </c>
      <c r="B33" s="7" t="inlineStr">
        <is>
          <t>Below capitalization threshold - ledger absence expected</t>
        </is>
      </c>
      <c r="C33" s="7">
        <f>IFERROR(XLOOKUP(A33,'Corrected Register'!$A$5:$A$136,'Corrected Register'!$M$5:$M$136),"")</f>
        <v>700</v>
      </c>
      <c r="D33" s="7" t="str">
        <f>IFERROR(XLOOKUP(A33,'Source Ledger'!$B$5:$B$133,'Source Ledger'!$E$5:$E$133),"")</f>
        <v/>
      </c>
      <c r="E33" s="7" t="str">
        <f>IF(OR(C33="",D33=""),"",D33-C33)</f>
        <v/>
      </c>
      <c r="F33" s="7" t="str">
        <f>IFERROR(XLOOKUP(A33,'Corrected Register'!$A$5:$A$136,'Corrected Register'!$N$5:$N$136),"")</f>
        <v/>
      </c>
      <c r="G33" s="7" t="str">
        <f>IFERROR(XLOOKUP(A33,'Source Ledger'!$B$5:$B$133,'Source Ledger'!$G$5:$G$133),"")</f>
        <v/>
      </c>
      <c r="H33" s="7" t="inlineStr">
        <is>
          <t>Register cost below $2,500. PO-2023-0022 capitalization_approved does not create an FA expectation. Informational only under ITAM-001 §7.</t>
        </is>
      </c>
    </row>
    <row r="34">
      <c r="A34" s="7" t="inlineStr">
        <is>
          <t>MD-00131</t>
        </is>
      </c>
      <c r="B34" s="7" t="inlineStr">
        <is>
          <t>Below capitalization threshold - ledger absence expected</t>
        </is>
      </c>
      <c r="C34" s="7">
        <f>IFERROR(XLOOKUP(A34,'Corrected Register'!$A$5:$A$136,'Corrected Register'!$M$5:$M$136),"")</f>
        <v>1175</v>
      </c>
      <c r="D34" s="7" t="str">
        <f>IFERROR(XLOOKUP(A34,'Source Ledger'!$B$5:$B$133,'Source Ledger'!$E$5:$E$133),"")</f>
        <v/>
      </c>
      <c r="E34" s="7" t="str">
        <f>IF(OR(C34="",D34=""),"",D34-C34)</f>
        <v/>
      </c>
      <c r="F34" s="7" t="str">
        <f>IFERROR(XLOOKUP(A34,'Corrected Register'!$A$5:$A$136,'Corrected Register'!$N$5:$N$136),"")</f>
        <v/>
      </c>
      <c r="G34" s="7" t="str">
        <f>IFERROR(XLOOKUP(A34,'Source Ledger'!$B$5:$B$133,'Source Ledger'!$G$5:$G$133),"")</f>
        <v/>
      </c>
      <c r="H34" s="7" t="inlineStr">
        <is>
          <t>Register cost below $2,500. PO-2023-0022 capitalization_approved does not create an FA expectation. Informational only under ITAM-001 §7.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>
        <f>IFERROR(XLOOKUP(A35,'Corrected Register'!$A$5:$A$136,'Corrected Register'!$M$5:$M$136),"")</f>
        <v>6470</v>
      </c>
      <c r="D35" s="7" t="str">
        <f>IFERROR(XLOOKUP(A35,'Source Ledger'!$B$5:$B$133,'Source Ledger'!$E$5:$E$133),"")</f>
        <v/>
      </c>
      <c r="E35" s="7" t="str">
        <f>IF(OR(C35="",D35=""),"",D35-C35)</f>
        <v/>
      </c>
      <c r="F35" s="7" t="str">
        <f>IFERROR(XLOOKUP(A35,'Corrected Register'!$A$5:$A$136,'Corrected Register'!$N$5:$N$136),"")</f>
        <v/>
      </c>
      <c r="G35" s="7" t="str">
        <f>IFERROR(XLOOKUP(A35,'Source Ledger'!$B$5:$B$133,'Source Ledger'!$G$5:$G$133),"")</f>
        <v/>
      </c>
      <c r="H35" s="7" t="inlineStr">
        <is>
          <t>No FA record for $6,470 network asset. Critical under ITAM-001 §7. Reject RN-0132 under-threshold claim.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26" t="inlineStr">
        <is>
          <t>IT Operations Manager</t>
        </is>
      </c>
      <c r="B23" s="15" t="inlineStr"/>
      <c r="C23" s="15" t="inlineStr"/>
      <c r="D23" s="15" t="inlineStr"/>
      <c r="E23" s="15" t="inlineStr"/>
    </row>
    <row r="24">
      <c r="A24" s="26" t="inlineStr">
        <is>
          <t>Finance Controller</t>
        </is>
      </c>
      <c r="B24" s="15" t="inlineStr"/>
      <c r="C24" s="15" t="inlineStr"/>
      <c r="D24" s="15" t="inlineStr"/>
      <c r="E24" s="15" t="inlineStr"/>
    </row>
    <row r="25">
      <c r="A25" s="26" t="inlineStr">
        <is>
          <t>HR Operations Lead</t>
        </is>
      </c>
      <c r="B25" s="15" t="inlineStr"/>
      <c r="C25" s="15" t="inlineStr"/>
      <c r="D25" s="15" t="inlineStr"/>
      <c r="E25" s="15" t="inlineStr"/>
    </row>
    <row r="26">
      <c r="A26" s="26" t="inlineStr">
        <is>
          <t>Internal Auditor</t>
        </is>
      </c>
      <c r="B26" s="15" t="inlineStr"/>
      <c r="C26" s="15" t="inlineStr"/>
      <c r="D26" s="15" t="inlineStr"/>
      <c r="E26" s="15" t="inlineStr"/>
    </row>
    <row r="27">
      <c r="A27" s="15" t="n"/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2"/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v3.2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Yanou IT Asset Specialist</dc:creator>
  <dcterms:created xmlns:dcterms="http://purl.org/dc/terms/" xmlns:xsi="http://www.w3.org/2001/XMLSchema-instance" xsi:type="dcterms:W3CDTF">2026-08-09T22:46:44Z</dcterms:created>
  <dcterms:modified xmlns:dcterms="http://purl.org/dc/terms/" xmlns:xsi="http://www.w3.org/2001/XMLSchema-instance" xsi:type="dcterms:W3CDTF">2026-08-23T02:33:16Z</dcterms:modified>
</cp:coreProperties>
</file>