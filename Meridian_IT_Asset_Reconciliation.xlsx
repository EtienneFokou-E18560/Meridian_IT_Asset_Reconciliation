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Dashboard" sheetId="2" state="visible" r:id="rId2"/>
    <sheet name="Corrected Register" sheetId="3" state="visible" r:id="rId3"/>
    <sheet name="Exception Register" sheetId="4" state="visible" r:id="rId4"/>
    <sheet name="Custody Chain" sheetId="5" state="visible" r:id="rId5"/>
    <sheet name="Ledger Reconciliation" sheetId="6" state="visible" r:id="rId6"/>
    <sheet name="Certification" sheetId="7" state="visible" r:id="rId7"/>
    <sheet name="Evidence Index" sheetId="8" state="visible" r:id="rId8"/>
    <sheet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Register'!A5:A136)</f>
        <v>132</v>
      </c>
    </row>
    <row r="6">
      <c r="A6" s="4" t="inlineStr">
        <is>
          <t>Corrected register acquisition cost</t>
        </is>
      </c>
      <c r="B6" s="5">
        <f>SUM('Corrected Register'!M5:M136)</f>
        <v>332115</v>
      </c>
    </row>
    <row r="7">
      <c r="A7" s="4" t="inlineStr">
        <is>
          <t>Remaining book value (ledger NBV where present)</t>
        </is>
      </c>
      <c r="B7" s="5">
        <f>SUM('Corrected Register'!N5:N136)</f>
        <v>61526.6</v>
      </c>
    </row>
    <row r="8">
      <c r="A8" s="4" t="inlineStr">
        <is>
          <t>Open exceptions</t>
        </is>
      </c>
      <c r="B8" s="5">
        <f>COUNTA('Exception Register'!A5:A167)</f>
        <v>164</v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Register'!J5:J136,A19)</f>
        <v>25</v>
      </c>
      <c r="C19" s="7">
        <f>SUMIF('Corrected Register'!J5:J136,A19,'Corrected Register'!N5:N136)</f>
        <v>12961</v>
      </c>
      <c r="E19" s="7" t="inlineStr">
        <is>
          <t>Laptop</t>
        </is>
      </c>
      <c r="F19" s="7">
        <f>COUNTIF('Corrected Register'!C5:C136,E19)</f>
        <v/>
      </c>
      <c r="G19" s="7">
        <f>SUMIF('Corrected Register'!C5:C136,E19,'Corrected Register'!N5:N136)</f>
        <v/>
      </c>
    </row>
    <row r="20">
      <c r="A20" s="7" t="inlineStr">
        <is>
          <t>Disposed</t>
        </is>
      </c>
      <c r="B20" s="7">
        <f>COUNTIF('Corrected Register'!J5:J136,A20)</f>
        <v>8</v>
      </c>
      <c r="C20" s="7">
        <f>SUMIF('Corrected Register'!J5:J136,A20,'Corrected Register'!N5:N136)</f>
        <v>0</v>
      </c>
      <c r="E20" s="7" t="inlineStr">
        <is>
          <t>Mobile Device</t>
        </is>
      </c>
      <c r="F20" s="7">
        <f>COUNTIF('Corrected Register'!C5:C136,E20)</f>
        <v/>
      </c>
      <c r="G20" s="7">
        <f>SUMIF('Corrected Register'!C5:C136,E20,'Corrected Register'!N5:N136)</f>
        <v/>
      </c>
    </row>
    <row r="21">
      <c r="A21" s="8" t="inlineStr">
        <is>
          <t>In Transit - Exception</t>
        </is>
      </c>
      <c r="B21" s="7">
        <f>COUNTIF('Corrected Register'!J5:J136,A21)</f>
        <v>2</v>
      </c>
      <c r="C21" s="7">
        <f>SUMIF('Corrected Register'!J5:J136,A21,'Corrected Register'!N5:N136)</f>
        <v>1019.4</v>
      </c>
      <c r="E21" s="7" t="inlineStr">
        <is>
          <t>Monitor</t>
        </is>
      </c>
      <c r="F21" s="7">
        <f>COUNTIF('Corrected Register'!C5:C136,E21)</f>
        <v/>
      </c>
      <c r="G21" s="7">
        <f>SUMIF('Corrected Register'!C5:C136,E21,'Corrected Register'!N5:N136)</f>
        <v/>
      </c>
    </row>
    <row r="22">
      <c r="A22" s="7" t="inlineStr">
        <is>
          <t>In Use</t>
        </is>
      </c>
      <c r="B22" s="7">
        <f>COUNTIF('Corrected Register'!J5:J136,A22)</f>
        <v>51</v>
      </c>
      <c r="C22" s="7">
        <f>SUMIF('Corrected Register'!J5:J136,A22,'Corrected Register'!N5:N136)</f>
        <v>25477.76</v>
      </c>
      <c r="E22" s="7" t="inlineStr">
        <is>
          <t>Network Asset</t>
        </is>
      </c>
      <c r="F22" s="7">
        <f>COUNTIF('Corrected Register'!C5:C136,E22)</f>
        <v/>
      </c>
      <c r="G22" s="7">
        <f>SUMIF('Corrected Register'!C5:C136,E22,'Corrected Register'!N5:N136)</f>
        <v/>
      </c>
    </row>
    <row r="23">
      <c r="A23" s="8" t="inlineStr">
        <is>
          <t>Missing</t>
        </is>
      </c>
      <c r="B23" s="7">
        <f>COUNTIF('Corrected Register'!J5:J136,A23)</f>
        <v>12</v>
      </c>
      <c r="C23" s="7">
        <f>SUMIF('Corrected Register'!J5:J136,A23,'Corrected Register'!N5:N136)</f>
        <v>6214.38</v>
      </c>
    </row>
    <row r="24">
      <c r="A24" s="7" t="inlineStr">
        <is>
          <t>Pending Redeployment</t>
        </is>
      </c>
      <c r="B24" s="7">
        <f>COUNTIF('Corrected Register'!J5:J136,A24)</f>
        <v>10</v>
      </c>
      <c r="C24" s="7">
        <f>SUMIF('Corrected Register'!J5:J136,A24,'Corrected Register'!N5:N136)</f>
        <v>4851.08</v>
      </c>
    </row>
    <row r="25">
      <c r="A25" s="7" t="inlineStr">
        <is>
          <t>Retired/Pending Disposal</t>
        </is>
      </c>
      <c r="B25" s="7">
        <f>COUNTIF('Corrected Register'!J5:J136,A25)</f>
        <v>12</v>
      </c>
      <c r="C25" s="7">
        <f>SUMIF('Corrected Register'!J5:J136,A25,'Corrected Register'!N5:N136)</f>
        <v>4811.33</v>
      </c>
    </row>
    <row r="26">
      <c r="A26" s="8" t="inlineStr">
        <is>
          <t>Return Overdue</t>
        </is>
      </c>
      <c r="B26" s="7">
        <f>COUNTIF('Corrected Register'!J5:J136,A26)</f>
        <v>12</v>
      </c>
      <c r="C26" s="7">
        <f>SUMIF('Corrected Register'!J5:J136,A26,'Corrected Register'!N5:N136)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Register'!I5:I136,A32)</f>
        <v>16</v>
      </c>
      <c r="C32" s="7">
        <f>SUMIF('Corrected Register'!I5:I136,A32,'Corrected Register'!N5:N136)</f>
        <v>5184.18</v>
      </c>
      <c r="E32" s="7" t="inlineStr">
        <is>
          <t>Cannot Locate</t>
        </is>
      </c>
      <c r="F32" s="7">
        <f>COUNTIF('Exception Register'!B5:B167,E32)</f>
        <v/>
      </c>
      <c r="G32" s="7">
        <f>SUMIF('Exception Register'!B5:B167,E32,'Exception Register'!G5:G167)</f>
        <v/>
      </c>
    </row>
    <row r="33">
      <c r="A33" s="7" t="inlineStr">
        <is>
          <t>Atlanta</t>
        </is>
      </c>
      <c r="B33" s="7">
        <f>COUNTIF('Corrected Register'!I5:I136,A33)</f>
        <v>15</v>
      </c>
      <c r="C33" s="7">
        <f>SUMIF('Corrected Register'!I5:I136,A33,'Corrected Register'!N5:N136)</f>
        <v>6267.29</v>
      </c>
      <c r="E33" s="7" t="inlineStr">
        <is>
          <t>Closed Location Assignment</t>
        </is>
      </c>
      <c r="F33" s="7">
        <f>COUNTIF('Exception Register'!B5:B167,E33)</f>
        <v/>
      </c>
      <c r="G33" s="7">
        <f>SUMIF('Exception Register'!B5:B167,E33,'Exception Register'!G5:G167)</f>
        <v/>
      </c>
    </row>
    <row r="34">
      <c r="A34" s="7" t="inlineStr">
        <is>
          <t>Dallas</t>
        </is>
      </c>
      <c r="B34" s="7">
        <f>COUNTIF('Corrected Register'!I5:I136,A34)</f>
        <v>15</v>
      </c>
      <c r="C34" s="7">
        <f>SUMIF('Corrected Register'!I5:I136,A34,'Corrected Register'!N5:N136)</f>
        <v>11070.95</v>
      </c>
      <c r="E34" s="7" t="inlineStr">
        <is>
          <t>Duplicate Serial Number</t>
        </is>
      </c>
      <c r="F34" s="7">
        <f>COUNTIF('Exception Register'!B5:B167,E34)</f>
        <v/>
      </c>
      <c r="G34" s="7">
        <f>SUMIF('Exception Register'!B5:B167,E34,'Exception Register'!G5:G167)</f>
        <v/>
      </c>
    </row>
    <row r="35">
      <c r="A35" s="7" t="inlineStr">
        <is>
          <t>Seattle</t>
        </is>
      </c>
      <c r="B35" s="7">
        <f>COUNTIF('Corrected Register'!I5:I136,A35)</f>
        <v>15</v>
      </c>
      <c r="C35" s="7">
        <f>SUMIF('Corrected Register'!I5:I136,A35,'Corrected Register'!N5:N136)</f>
        <v>5149.95</v>
      </c>
      <c r="E35" s="7" t="inlineStr">
        <is>
          <t>Former Employee Assignment</t>
        </is>
      </c>
      <c r="F35" s="7">
        <f>COUNTIF('Exception Register'!B5:B167,E35)</f>
        <v/>
      </c>
      <c r="G35" s="7">
        <f>SUMIF('Exception Register'!B5:B167,E35,'Exception Register'!G5:G167)</f>
        <v/>
      </c>
    </row>
    <row r="36">
      <c r="A36" s="7" t="inlineStr">
        <is>
          <t>Denver</t>
        </is>
      </c>
      <c r="B36" s="7">
        <f>COUNTIF('Corrected Register'!I5:I136,A36)</f>
        <v>14</v>
      </c>
      <c r="C36" s="7">
        <f>SUMIF('Corrected Register'!I5:I136,A36,'Corrected Register'!N5:N136)</f>
        <v>5551.75</v>
      </c>
      <c r="E36" s="7" t="inlineStr">
        <is>
          <t>Inventory-to-Ledger Difference</t>
        </is>
      </c>
      <c r="F36" s="7">
        <f>COUNTIF('Exception Register'!B5:B167,E36)</f>
        <v/>
      </c>
      <c r="G36" s="7">
        <f>SUMIF('Exception Register'!B5:B167,E36,'Exception Register'!G5:G167)</f>
        <v/>
      </c>
    </row>
    <row r="37">
      <c r="A37" s="7" t="inlineStr">
        <is>
          <t>New York</t>
        </is>
      </c>
      <c r="B37" s="7">
        <f>COUNTIF('Corrected Register'!I5:I136,A37)</f>
        <v>14</v>
      </c>
      <c r="C37" s="7">
        <f>SUMIF('Corrected Register'!I5:I136,A37,'Corrected Register'!N5:N136)</f>
        <v>10526</v>
      </c>
      <c r="E37" s="7" t="inlineStr">
        <is>
          <t>Missing Disposal Evidence</t>
        </is>
      </c>
      <c r="F37" s="7">
        <f>COUNTIF('Exception Register'!B5:B167,E37)</f>
        <v/>
      </c>
      <c r="G37" s="7">
        <f>SUMIF('Exception Register'!B5:B167,E37,'Exception Register'!G5:G167)</f>
        <v/>
      </c>
    </row>
    <row r="38">
      <c r="A38" s="7" t="inlineStr">
        <is>
          <t>Unknown</t>
        </is>
      </c>
      <c r="B38" s="7">
        <f>COUNTIF('Corrected Register'!I5:I136,A38)</f>
        <v>12</v>
      </c>
      <c r="C38" s="7">
        <f>SUMIF('Corrected Register'!I5:I136,A38,'Corrected Register'!N5:N136)</f>
        <v>6214.38</v>
      </c>
      <c r="E38" s="7" t="inlineStr">
        <is>
          <t>Overdue Return</t>
        </is>
      </c>
      <c r="F38" s="7">
        <f>COUNTIF('Exception Register'!B5:B167,E38)</f>
        <v/>
      </c>
      <c r="G38" s="7">
        <f>SUMIF('Exception Register'!B5:B167,E38,'Exception Register'!G5:G167)</f>
        <v/>
      </c>
    </row>
    <row r="39">
      <c r="A39" s="7" t="inlineStr">
        <is>
          <t>Remote - Former Employee</t>
        </is>
      </c>
      <c r="B39" s="7">
        <f>COUNTIF('Corrected Register'!I5:I136,A39)</f>
        <v>10</v>
      </c>
      <c r="C39" s="7">
        <f>SUMIF('Corrected Register'!I5:I136,A39,'Corrected Register'!N5:N136)</f>
        <v>4878.51</v>
      </c>
      <c r="E39" s="7" t="inlineStr">
        <is>
          <t>Shipment Mismatch</t>
        </is>
      </c>
      <c r="F39" s="7">
        <f>COUNTIF('Exception Register'!B5:B167,E39)</f>
        <v/>
      </c>
      <c r="G39" s="7">
        <f>SUMIF('Exception Register'!B5:B167,E39,'Exception Register'!G5:G167)</f>
        <v/>
      </c>
    </row>
    <row r="40">
      <c r="A40" s="7" t="inlineStr">
        <is>
          <t>Disposed</t>
        </is>
      </c>
      <c r="B40" s="7">
        <f>COUNTIF('Corrected Register'!I5:I136,A40)</f>
        <v>8</v>
      </c>
      <c r="C40" s="7">
        <f>SUMIF('Corrected Register'!I5:I136,A40,'Corrected Register'!N5:N136)</f>
        <v>0</v>
      </c>
      <c r="E40" s="7" t="inlineStr">
        <is>
          <t>Unapproved Transfer</t>
        </is>
      </c>
      <c r="F40" s="7">
        <f>COUNTIF('Exception Register'!B5:B167,E40)</f>
        <v/>
      </c>
      <c r="G40" s="7">
        <f>SUMIF('Exception Register'!B5:B167,E40,'Exception Register'!G5:G167)</f>
        <v/>
      </c>
    </row>
    <row r="41">
      <c r="A41" s="7" t="inlineStr">
        <is>
          <t>Atlanta Warehouse</t>
        </is>
      </c>
      <c r="B41" s="7">
        <f>COUNTIF('Corrected Register'!I5:I136,A41)</f>
        <v>7</v>
      </c>
      <c r="C41" s="7">
        <f>SUMIF('Corrected Register'!I5:I136,A41,'Corrected Register'!N5:N136)</f>
        <v>4351.05</v>
      </c>
      <c r="E41" t="inlineStr">
        <is>
          <t>Below Capitalization Threshold</t>
        </is>
      </c>
      <c r="F41">
        <f>COUNTIF('Exception Register'!B5:B167,E41)</f>
        <v/>
      </c>
      <c r="G41">
        <f>SUMIF('Exception Register'!B5:B167,E41,'Exception Register'!G5:G167)</f>
        <v/>
      </c>
    </row>
    <row r="42">
      <c r="A42" s="7" t="inlineStr">
        <is>
          <t>Carrier Network / Unverified</t>
        </is>
      </c>
      <c r="B42" s="7" t="n">
        <v>4</v>
      </c>
      <c r="C42" s="7" t="n">
        <v>2332.54</v>
      </c>
    </row>
    <row r="43">
      <c r="A43" s="7" t="inlineStr">
        <is>
          <t>Disposed (certificate missing)</t>
        </is>
      </c>
      <c r="B43" s="7" t="n">
        <v>2</v>
      </c>
      <c r="C43" s="7" t="n"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Monitor</t>
        </is>
      </c>
      <c r="D5" s="7" t="inlineStr">
        <is>
          <t>Lenovo ThinkPad T14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Files reviewed for MD-00001: Lenovo ThinkPad T14, basis $1895, operating site Chicago, status In Use. Source Ledger FA-000001; net book value $0. equipment_transfer_log TR-00001 posted Jan 21, 2026; inbound 2026-01-21 approval APR-00001. hr_employee_status lists Priya Shah (E0001) as Active. hardware_purchase_orders.csv ties MD-00001 to PO-2022-0001.</t>
        </is>
      </c>
      <c r="L5" s="7" t="inlineStr">
        <is>
          <t>2026-08-05</t>
        </is>
      </c>
      <c r="M5" s="7" t="n">
        <v>1895</v>
      </c>
      <c r="N5" s="7" t="n">
        <v>0</v>
      </c>
      <c r="O5" s="7" t="inlineStr">
        <is>
          <t>FA-000001</t>
        </is>
      </c>
      <c r="P5" s="7" t="inlineStr">
        <is>
          <t>No</t>
        </is>
      </c>
      <c r="Q5" s="9" t="inlineStr">
        <is>
          <t>High</t>
        </is>
      </c>
      <c r="R5" s="7" t="inlineStr"/>
      <c r="S5" s="7" t="inlineStr">
        <is>
          <t>No</t>
        </is>
      </c>
      <c r="T5" t="n">
        <v>1895</v>
      </c>
      <c r="U5" t="inlineStr">
        <is>
          <t>Active</t>
        </is>
      </c>
      <c r="V5" t="n">
        <v>0</v>
      </c>
      <c r="W5" t="n">
        <v>0</v>
      </c>
      <c r="X5" t="inlineStr">
        <is>
          <t>Yes</t>
        </is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Monitor</t>
        </is>
      </c>
      <c r="D6" s="7" t="inlineStr">
        <is>
          <t>Dell U2723QE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Cross-checked MD-00002 (MD-MO-050002, Dell U2723QE) against HR, transfers, and ledger extracts. Source Ledger FA-000002; net book value $313.06. equipment_transfer_log TR-00002 posted Feb 23, 2026; inbound 2026-02-25 approval APR-00002. hr_employee_status lists Marcus Ellison (E0002) as Active. capital PO PO-2022-0001 supports the cost basis.</t>
        </is>
      </c>
      <c r="L6" s="7" t="inlineStr">
        <is>
          <t>2026-08-05</t>
        </is>
      </c>
      <c r="M6" s="7" t="n">
        <v>610</v>
      </c>
      <c r="N6" s="7" t="n">
        <v>313.06</v>
      </c>
      <c r="O6" s="7" t="inlineStr">
        <is>
          <t>FA-000002</t>
        </is>
      </c>
      <c r="P6" s="7" t="inlineStr">
        <is>
          <t>No</t>
        </is>
      </c>
      <c r="Q6" s="9" t="inlineStr">
        <is>
          <t>High</t>
        </is>
      </c>
      <c r="R6" s="7" t="inlineStr"/>
      <c r="S6" s="7" t="inlineStr">
        <is>
          <t>No</t>
        </is>
      </c>
      <c r="T6" t="n">
        <v>610</v>
      </c>
      <c r="U6" t="inlineStr">
        <is>
          <t>Active</t>
        </is>
      </c>
      <c r="V6" t="n">
        <v>313.06</v>
      </c>
      <c r="W6" t="n">
        <v>0</v>
      </c>
      <c r="X6" t="inlineStr">
        <is>
          <t>Yes</t>
        </is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Mobile Device</t>
        </is>
      </c>
      <c r="D7" s="7" t="inlineStr">
        <is>
          <t>Samsung Galaxy S24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Cross-checked MD-00003 (MD-MO-050003, Samsung Galaxy S24) against HR, transfers, and ledger extracts. Source Ledger FA-000003; net book value $597.83. equipment_transfer_log TR-00003 posted Mar 31, 2026; inbound 2026-04-03 approval APR-00003. hr_employee_status lists Elena Kovacs (E0003) as Active. hardware_purchase_orders.csv ties MD-00003 to PO-2022-0001.</t>
        </is>
      </c>
      <c r="L7" s="7" t="inlineStr">
        <is>
          <t>2026-08-05</t>
        </is>
      </c>
      <c r="M7" s="7" t="n">
        <v>1085</v>
      </c>
      <c r="N7" s="7" t="n">
        <v>597.83</v>
      </c>
      <c r="O7" s="7" t="inlineStr">
        <is>
          <t>FA-000003</t>
        </is>
      </c>
      <c r="P7" s="7" t="inlineStr">
        <is>
          <t>No</t>
        </is>
      </c>
      <c r="Q7" s="9" t="inlineStr">
        <is>
          <t>High</t>
        </is>
      </c>
      <c r="R7" s="7" t="inlineStr"/>
      <c r="S7" s="7" t="inlineStr">
        <is>
          <t>No</t>
        </is>
      </c>
      <c r="T7" t="n">
        <v>1085</v>
      </c>
      <c r="U7" t="inlineStr">
        <is>
          <t>Active</t>
        </is>
      </c>
      <c r="V7" t="n">
        <v>597.83</v>
      </c>
      <c r="W7" t="n">
        <v>0</v>
      </c>
      <c r="X7" t="inlineStr">
        <is>
          <t>Yes</t>
        </is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Network Asset</t>
        </is>
      </c>
      <c r="D8" s="7" t="inlineStr">
        <is>
          <t>Cisco C9300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Cross-checked MD-00004 (MD-NE-050004, Cisco C9300) against HR, transfers, and ledger extracts. Source Ledger FA-000004; net book value $940.62. equipment_transfer_log TR-00004 posted May 01, 2026; inbound 2026-05-01 approval APR-00004. hr_employee_status lists James Whitaker (E0004) as Active. capital PO PO-2022-0001 supports the cost basis.</t>
        </is>
      </c>
      <c r="L8" s="7" t="inlineStr">
        <is>
          <t>2026-08-05</t>
        </is>
      </c>
      <c r="M8" s="7" t="n">
        <v>6380</v>
      </c>
      <c r="N8" s="7" t="n">
        <v>940.62</v>
      </c>
      <c r="O8" s="7" t="inlineStr">
        <is>
          <t>FA-000004</t>
        </is>
      </c>
      <c r="P8" s="7" t="inlineStr">
        <is>
          <t>Yes</t>
        </is>
      </c>
      <c r="Q8" s="9" t="inlineStr">
        <is>
          <t>High</t>
        </is>
      </c>
      <c r="R8" s="7" t="inlineStr"/>
      <c r="S8" s="7" t="inlineStr">
        <is>
          <t>No</t>
        </is>
      </c>
      <c r="T8" t="n">
        <v>6380</v>
      </c>
      <c r="U8" t="inlineStr">
        <is>
          <t>Active</t>
        </is>
      </c>
      <c r="V8" t="n">
        <v>940.62</v>
      </c>
      <c r="W8" t="n">
        <v>0</v>
      </c>
      <c r="X8" t="inlineStr">
        <is>
          <t>Yes</t>
        </is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Reconciliation packet cites MD-00005 with acquisition $2075 and custody In Use at Seattle. Source Ledger FA-000005; net book value $0. hardware_purchase_orders.csv ties MD-00005 to PO-2022-0001. equipment_transfer_log TR-00005 posted Jun 05, 2026; inbound 2026-06-08 approval APR-00005. hr_employee_status lists Aisha Rahman (E0005) as Active.</t>
        </is>
      </c>
      <c r="L9" s="7" t="inlineStr">
        <is>
          <t>2026-08-05</t>
        </is>
      </c>
      <c r="M9" s="7" t="n">
        <v>2075</v>
      </c>
      <c r="N9" s="7" t="n">
        <v>0</v>
      </c>
      <c r="O9" s="7" t="inlineStr">
        <is>
          <t>FA-000005</t>
        </is>
      </c>
      <c r="P9" s="7" t="inlineStr">
        <is>
          <t>No</t>
        </is>
      </c>
      <c r="Q9" s="9" t="inlineStr">
        <is>
          <t>High</t>
        </is>
      </c>
      <c r="R9" s="7" t="inlineStr"/>
      <c r="S9" s="7" t="inlineStr">
        <is>
          <t>No</t>
        </is>
      </c>
      <c r="T9" t="n">
        <v>2075</v>
      </c>
      <c r="U9" t="inlineStr">
        <is>
          <t>Active</t>
        </is>
      </c>
      <c r="V9" t="n">
        <v>0</v>
      </c>
      <c r="W9" t="n">
        <v>0</v>
      </c>
      <c r="X9" t="inlineStr">
        <is>
          <t>Yes</t>
        </is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Monitor</t>
        </is>
      </c>
      <c r="D10" s="7" t="inlineStr">
        <is>
          <t>Dell U2723QE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Cross-checked MD-00006 (MD-MO-050006, Dell U2723QE) against HR, transfers, and ledger extracts. Source Ledger FA-000006; net book value $459.94. equipment_transfer_log TR-00006 posted Jan 10, 2026; inbound 2026-01-12 approval APR-00006. hr_employee_status lists Colin Bergstrom (E0006) as Active. acquisition recorded on PO-2022-0001.</t>
        </is>
      </c>
      <c r="L10" s="7" t="inlineStr">
        <is>
          <t>2026-08-05</t>
        </is>
      </c>
      <c r="M10" s="7" t="n">
        <v>790</v>
      </c>
      <c r="N10" s="7" t="n">
        <v>459.94</v>
      </c>
      <c r="O10" s="7" t="inlineStr">
        <is>
          <t>FA-000006</t>
        </is>
      </c>
      <c r="P10" s="7" t="inlineStr">
        <is>
          <t>No</t>
        </is>
      </c>
      <c r="Q10" s="9" t="inlineStr">
        <is>
          <t>High</t>
        </is>
      </c>
      <c r="R10" s="7" t="inlineStr"/>
      <c r="S10" s="7" t="inlineStr">
        <is>
          <t>No</t>
        </is>
      </c>
      <c r="T10" t="n">
        <v>790</v>
      </c>
      <c r="U10" t="inlineStr">
        <is>
          <t>Active</t>
        </is>
      </c>
      <c r="V10" t="n">
        <v>459.94</v>
      </c>
      <c r="W10" t="n">
        <v>0</v>
      </c>
      <c r="X10" t="inlineStr">
        <is>
          <t>Yes</t>
        </is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Mobile Device</t>
        </is>
      </c>
      <c r="D11" s="7" t="inlineStr">
        <is>
          <t>Samsung Galaxy S24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Cross-checked MD-00007 (MD-MO-050007, Samsung Galaxy S24) against HR, transfers, and ledger extracts. Source Ledger FA-000007; net book value $632.68. equipment_transfer_log TR-00007 posted Feb 11, 2026; inbound 2026-02-17 approval APR-00007. hr_employee_status lists Sofia Alvarez (E0007) as Active. PO-2023-0002 is the cited purchase order.</t>
        </is>
      </c>
      <c r="L11" s="7" t="inlineStr">
        <is>
          <t>2026-08-05</t>
        </is>
      </c>
      <c r="M11" s="7" t="n">
        <v>950</v>
      </c>
      <c r="N11" s="7" t="n">
        <v>632.68</v>
      </c>
      <c r="O11" s="7" t="inlineStr">
        <is>
          <t>FA-000007</t>
        </is>
      </c>
      <c r="P11" s="7" t="inlineStr">
        <is>
          <t>No</t>
        </is>
      </c>
      <c r="Q11" s="9" t="inlineStr">
        <is>
          <t>High</t>
        </is>
      </c>
      <c r="R11" s="7" t="inlineStr"/>
      <c r="S11" s="7" t="inlineStr">
        <is>
          <t>No</t>
        </is>
      </c>
      <c r="T11" t="n">
        <v>950</v>
      </c>
      <c r="U11" t="inlineStr">
        <is>
          <t>Active</t>
        </is>
      </c>
      <c r="V11" t="n">
        <v>632.68</v>
      </c>
      <c r="W11" t="n">
        <v>0</v>
      </c>
      <c r="X11" t="inlineStr">
        <is>
          <t>Yes</t>
        </is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Network Asset</t>
        </is>
      </c>
      <c r="D12" s="7" t="inlineStr">
        <is>
          <t>Cisco C9300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Cross-checked MD-00008 (MD-NE-050008, Cisco C9300) against HR, transfers, and ledger extracts. Source Ledger FA-000008; net book value $1355.01. equipment_transfer_log TR-00008 posted Mar 16, 2026; inbound 2026-03-19 approval APR-00008. hr_employee_status lists Derek Nguyen (E0008) as Active. acquisition recorded on PO-2023-0002.</t>
        </is>
      </c>
      <c r="L12" s="7" t="inlineStr">
        <is>
          <t>2026-08-05</t>
        </is>
      </c>
      <c r="M12" s="7" t="n">
        <v>6245</v>
      </c>
      <c r="N12" s="7" t="n">
        <v>1355.01</v>
      </c>
      <c r="O12" s="7" t="inlineStr">
        <is>
          <t>FA-000008</t>
        </is>
      </c>
      <c r="P12" s="7" t="inlineStr">
        <is>
          <t>Yes</t>
        </is>
      </c>
      <c r="Q12" s="9" t="inlineStr">
        <is>
          <t>High</t>
        </is>
      </c>
      <c r="R12" s="7" t="inlineStr"/>
      <c r="S12" s="7" t="inlineStr">
        <is>
          <t>No</t>
        </is>
      </c>
      <c r="T12" t="n">
        <v>6245</v>
      </c>
      <c r="U12" t="inlineStr">
        <is>
          <t>Active</t>
        </is>
      </c>
      <c r="V12" t="n">
        <v>1355.01</v>
      </c>
      <c r="W12" t="n">
        <v>0</v>
      </c>
      <c r="X12" t="inlineStr">
        <is>
          <t>Yes</t>
        </is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Laptop</t>
        </is>
      </c>
      <c r="D13" s="7" t="inlineStr">
        <is>
          <t>Dell Latitude 7440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Working conclusion for MD-00009 (MD-LA-050009): In Use at Denver; cost $1940. equipment_transfer_log TR-00009 posted Apr 20, 2026; inbound 2026-04-21 approval APR-00009. hr_employee_status lists Hannah Cole (E0009) as Active. purchasing file shows PO-2023-0002 for this unit. Source Ledger FA-000009; net book value $109.33.</t>
        </is>
      </c>
      <c r="L13" s="7" t="inlineStr">
        <is>
          <t>2026-08-05</t>
        </is>
      </c>
      <c r="M13" s="7" t="n">
        <v>1940</v>
      </c>
      <c r="N13" s="7" t="n">
        <v>109.33</v>
      </c>
      <c r="O13" s="7" t="inlineStr">
        <is>
          <t>FA-000009</t>
        </is>
      </c>
      <c r="P13" s="7" t="inlineStr">
        <is>
          <t>No</t>
        </is>
      </c>
      <c r="Q13" s="9" t="inlineStr">
        <is>
          <t>High</t>
        </is>
      </c>
      <c r="R13" s="7" t="inlineStr"/>
      <c r="S13" s="7" t="inlineStr">
        <is>
          <t>No</t>
        </is>
      </c>
      <c r="T13" t="n">
        <v>1940</v>
      </c>
      <c r="U13" t="inlineStr">
        <is>
          <t>Active</t>
        </is>
      </c>
      <c r="V13" t="n">
        <v>109.33</v>
      </c>
      <c r="W13" t="n">
        <v>0</v>
      </c>
      <c r="X13" t="inlineStr">
        <is>
          <t>Yes</t>
        </is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Working conclusion for MD-00010 (MD-MO-050010): In Use at New York; cost $655. equipment_transfer_log TR-00010 posted May 22, 2026; inbound 2026-05-28 approval APR-00010. Source Ledger FA-000010; net book value $426.89. buy path for MD-00010 references PO-2023-0002. hr_employee_status lists Owen Patel (E0010) as Active.</t>
        </is>
      </c>
      <c r="L14" s="7" t="inlineStr">
        <is>
          <t>2026-08-05</t>
        </is>
      </c>
      <c r="M14" s="7" t="n">
        <v>655</v>
      </c>
      <c r="N14" s="7" t="n">
        <v>426.89</v>
      </c>
      <c r="O14" s="7" t="inlineStr">
        <is>
          <t>FA-000010</t>
        </is>
      </c>
      <c r="P14" s="7" t="inlineStr">
        <is>
          <t>No</t>
        </is>
      </c>
      <c r="Q14" s="9" t="inlineStr">
        <is>
          <t>High</t>
        </is>
      </c>
      <c r="R14" s="7" t="inlineStr"/>
      <c r="S14" s="7" t="inlineStr">
        <is>
          <t>No</t>
        </is>
      </c>
      <c r="T14" t="n">
        <v>655</v>
      </c>
      <c r="U14" t="inlineStr">
        <is>
          <t>Active</t>
        </is>
      </c>
      <c r="V14" t="n">
        <v>426.89</v>
      </c>
      <c r="W14" t="n">
        <v>0</v>
      </c>
      <c r="X14" t="inlineStr">
        <is>
          <t>Yes</t>
        </is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Mobile Device</t>
        </is>
      </c>
      <c r="D15" s="7" t="inlineStr">
        <is>
          <t>Samsung Galaxy S24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Working conclusion for MD-00011 (MD-MO-050011): In Use at Seattle; cost $1130. equipment_transfer_log TR-00011 posted Jun 26, 2026; inbound 2026-06-28 approval APR-00011. Source Ledger FA-000011; net book value $882.5. hardware_purchase_orders.csv ties MD-00011 to PO-2023-0002. hr_employee_status lists Maya Fontaine (E0011) as Active.</t>
        </is>
      </c>
      <c r="L15" s="7" t="inlineStr">
        <is>
          <t>2026-08-05</t>
        </is>
      </c>
      <c r="M15" s="7" t="n">
        <v>1130</v>
      </c>
      <c r="N15" s="7" t="n">
        <v>882.5</v>
      </c>
      <c r="O15" s="7" t="inlineStr">
        <is>
          <t>FA-000011</t>
        </is>
      </c>
      <c r="P15" s="7" t="inlineStr">
        <is>
          <t>No</t>
        </is>
      </c>
      <c r="Q15" s="9" t="inlineStr">
        <is>
          <t>High</t>
        </is>
      </c>
      <c r="R15" s="7" t="inlineStr"/>
      <c r="S15" s="7" t="inlineStr">
        <is>
          <t>No</t>
        </is>
      </c>
      <c r="T15" t="n">
        <v>1130</v>
      </c>
      <c r="U15" t="inlineStr">
        <is>
          <t>Active</t>
        </is>
      </c>
      <c r="V15" t="n">
        <v>882.5</v>
      </c>
      <c r="W15" t="n">
        <v>0</v>
      </c>
      <c r="X15" t="inlineStr">
        <is>
          <t>Yes</t>
        </is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Network Asset</t>
        </is>
      </c>
      <c r="D16" s="7" t="inlineStr">
        <is>
          <t>Cisco C9300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Working conclusion for MD-00012 (MD-NE-050012): In Use at Atlanta; cost $6425. equipment_transfer_log TR-00012 posted Jan 30, 2026; inbound 2026-01-31 approval APR-00012. Source Ledger FA-000012; net book value $553.23. PO PO-2023-0002 documents the buy for MD-00012. hr_employee_status lists Ryan Okonkwo (E0012) as Active.</t>
        </is>
      </c>
      <c r="L16" s="7" t="inlineStr">
        <is>
          <t>2026-08-05</t>
        </is>
      </c>
      <c r="M16" s="7" t="n">
        <v>6425</v>
      </c>
      <c r="N16" s="7" t="n">
        <v>553.23</v>
      </c>
      <c r="O16" s="7" t="inlineStr">
        <is>
          <t>FA-000012</t>
        </is>
      </c>
      <c r="P16" s="7" t="inlineStr">
        <is>
          <t>Yes</t>
        </is>
      </c>
      <c r="Q16" s="9" t="inlineStr">
        <is>
          <t>High</t>
        </is>
      </c>
      <c r="R16" s="7" t="inlineStr"/>
      <c r="S16" s="7" t="inlineStr">
        <is>
          <t>No</t>
        </is>
      </c>
      <c r="T16" t="n">
        <v>6425</v>
      </c>
      <c r="U16" t="inlineStr">
        <is>
          <t>Active</t>
        </is>
      </c>
      <c r="V16" t="n">
        <v>553.23</v>
      </c>
      <c r="W16" t="n">
        <v>0</v>
      </c>
      <c r="X16" t="inlineStr">
        <is>
          <t>Yes</t>
        </is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Laptop</t>
        </is>
      </c>
      <c r="D17" s="7" t="inlineStr">
        <is>
          <t>Lenovo ThinkPad T14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conclusion for MD-00013 (MD-LA-050013): In Use at Chicago; cost $2120. equipment_transfer_log TR-00013 posted Feb 02, 2026; inbound 2026-02-06 approval APR-00013. Source Ledger FA-000013; net book value $0. hardware_purchase_orders.csv ties MD-00013 to PO-2024-0003. hr_employee_status lists Lauren Briggs (E0013) as Active.</t>
        </is>
      </c>
      <c r="L17" s="7" t="inlineStr">
        <is>
          <t>2026-08-05</t>
        </is>
      </c>
      <c r="M17" s="7" t="n">
        <v>2120</v>
      </c>
      <c r="N17" s="7" t="n">
        <v>0</v>
      </c>
      <c r="O17" s="7" t="inlineStr">
        <is>
          <t>FA-000013</t>
        </is>
      </c>
      <c r="P17" s="7" t="inlineStr">
        <is>
          <t>No</t>
        </is>
      </c>
      <c r="Q17" s="9" t="inlineStr">
        <is>
          <t>High</t>
        </is>
      </c>
      <c r="R17" s="7" t="inlineStr"/>
      <c r="S17" s="7" t="inlineStr">
        <is>
          <t>No</t>
        </is>
      </c>
      <c r="T17" t="n">
        <v>2120</v>
      </c>
      <c r="U17" t="inlineStr">
        <is>
          <t>Active</t>
        </is>
      </c>
      <c r="V17" t="n">
        <v>0</v>
      </c>
      <c r="W17" t="n">
        <v>0</v>
      </c>
      <c r="X17" t="inlineStr">
        <is>
          <t>Yes</t>
        </is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U2723QE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Asset MD-00014 — Dell U2723QE — reconciled to In Use in Dallas on $520 acquisition. hr_employee_status lists Nathan Kim (E0014) as Active. Source Ledger FA-000014; net book value $270.29. PO PO-2024-0003 documents the buy for MD-00014. equipment_transfer_log TR-00014 posted Mar 07, 2026; inbound 2026-03-09 approval APR-00014.</t>
        </is>
      </c>
      <c r="L18" s="7" t="inlineStr">
        <is>
          <t>2026-08-05</t>
        </is>
      </c>
      <c r="M18" s="7" t="n">
        <v>520</v>
      </c>
      <c r="N18" s="7" t="n">
        <v>270.29</v>
      </c>
      <c r="O18" s="7" t="inlineStr">
        <is>
          <t>FA-000014</t>
        </is>
      </c>
      <c r="P18" s="7" t="inlineStr">
        <is>
          <t>No</t>
        </is>
      </c>
      <c r="Q18" s="9" t="inlineStr">
        <is>
          <t>High</t>
        </is>
      </c>
      <c r="R18" s="7" t="inlineStr"/>
      <c r="S18" s="7" t="inlineStr">
        <is>
          <t>No</t>
        </is>
      </c>
      <c r="T18" t="n">
        <v>520</v>
      </c>
      <c r="U18" t="inlineStr">
        <is>
          <t>Active</t>
        </is>
      </c>
      <c r="V18" t="n">
        <v>270.29</v>
      </c>
      <c r="W18" t="n">
        <v>0</v>
      </c>
      <c r="X18" t="inlineStr">
        <is>
          <t>Yes</t>
        </is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Mobile Device</t>
        </is>
      </c>
      <c r="D19" s="7" t="inlineStr">
        <is>
          <t>Samsung Galaxy S24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Asset MD-00015 — Samsung Galaxy S24 — reconciled to In Use in Denver on $995 acquisition. hr_employee_status lists Camila Ortiz (E0015) as Active. Source Ledger FA-000015; net book value $559.13. capital PO PO-2024-0003 supports the cost basis. equipment_transfer_log TR-00015 posted Apr 12, 2026; inbound 2026-04-13 approval APR-00015.</t>
        </is>
      </c>
      <c r="L19" s="7" t="inlineStr">
        <is>
          <t>2026-08-05</t>
        </is>
      </c>
      <c r="M19" s="7" t="n">
        <v>995</v>
      </c>
      <c r="N19" s="7" t="n">
        <v>559.13</v>
      </c>
      <c r="O19" s="7" t="inlineStr">
        <is>
          <t>FA-000015</t>
        </is>
      </c>
      <c r="P19" s="7" t="inlineStr">
        <is>
          <t>No</t>
        </is>
      </c>
      <c r="Q19" s="9" t="inlineStr">
        <is>
          <t>High</t>
        </is>
      </c>
      <c r="R19" s="7" t="inlineStr"/>
      <c r="S19" s="7" t="inlineStr">
        <is>
          <t>No</t>
        </is>
      </c>
      <c r="T19" t="n">
        <v>995</v>
      </c>
      <c r="U19" t="inlineStr">
        <is>
          <t>Active</t>
        </is>
      </c>
      <c r="V19" t="n">
        <v>559.13</v>
      </c>
      <c r="W19" t="n">
        <v>0</v>
      </c>
      <c r="X19" t="inlineStr">
        <is>
          <t>Yes</t>
        </is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Network Asset</t>
        </is>
      </c>
      <c r="D20" s="7" t="inlineStr">
        <is>
          <t>Cisco C9300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Asset MD-00016 — Cisco C9300 — reconciled to In Use in New York on $6290 acquisition. hr_employee_status lists Patrick Gallagher (E0016) as Active. Source Ledger FA-000016; net book value $968.69. PO-2024-0003 is the cited purchase order. equipment_transfer_log TR-00016 posted May 13, 2026; inbound 2026-05-17 approval APR-00016.</t>
        </is>
      </c>
      <c r="L20" s="7" t="inlineStr">
        <is>
          <t>2026-08-05</t>
        </is>
      </c>
      <c r="M20" s="7" t="n">
        <v>6290</v>
      </c>
      <c r="N20" s="7" t="n">
        <v>968.69</v>
      </c>
      <c r="O20" s="7" t="inlineStr">
        <is>
          <t>FA-000016</t>
        </is>
      </c>
      <c r="P20" s="7" t="inlineStr">
        <is>
          <t>Yes</t>
        </is>
      </c>
      <c r="Q20" s="9" t="inlineStr">
        <is>
          <t>High</t>
        </is>
      </c>
      <c r="R20" s="7" t="inlineStr"/>
      <c r="S20" s="7" t="inlineStr">
        <is>
          <t>No</t>
        </is>
      </c>
      <c r="T20" t="n">
        <v>6290</v>
      </c>
      <c r="U20" t="inlineStr">
        <is>
          <t>Active</t>
        </is>
      </c>
      <c r="V20" t="n">
        <v>968.69</v>
      </c>
      <c r="W20" t="n">
        <v>0</v>
      </c>
      <c r="X20" t="inlineStr">
        <is>
          <t>Yes</t>
        </is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Laptop</t>
        </is>
      </c>
      <c r="D21" s="7" t="inlineStr">
        <is>
          <t>MacBook Pro 14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Asset MD-00017 — MacBook Pro 14 — reconciled to In Use in Seattle on $1985 acquisition. hr_employee_status lists Irene Cho (E0017) as Active. Source Ledger FA-000017; net book value $0. acquisition recorded on PO-2024-0003. equipment_transfer_log TR-00017 posted Jun 17, 2026; inbound 2026-06-19 approval APR-00017.</t>
        </is>
      </c>
      <c r="L21" s="7" t="inlineStr">
        <is>
          <t>2026-08-05</t>
        </is>
      </c>
      <c r="M21" s="7" t="n">
        <v>1985</v>
      </c>
      <c r="N21" s="7" t="n">
        <v>0</v>
      </c>
      <c r="O21" s="7" t="inlineStr">
        <is>
          <t>FA-000017</t>
        </is>
      </c>
      <c r="P21" s="7" t="inlineStr"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is>
          <t>No</t>
        </is>
      </c>
      <c r="T21" t="n">
        <v>2070</v>
      </c>
      <c r="U21" t="inlineStr">
        <is>
          <t>Active</t>
        </is>
      </c>
      <c r="V21" t="n">
        <v>0</v>
      </c>
      <c r="W21" t="n">
        <v>85</v>
      </c>
      <c r="X21" t="inlineStr">
        <is>
          <t>Yes</t>
        </is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Dell U2723QE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Asset MD-00018 — Dell U2723QE — reconciled to In Use in Atlanta on $700 acquisition. hr_employee_status lists Theo Barnett (E0018) as Active. Source Ledger FA-000018; net book value $412.14. purchasing file shows PO-2024-0003 for this unit. equipment_transfer_log TR-00018 posted Jan 22, 2026; inbound 2026-01-23 approval APR-00018.</t>
        </is>
      </c>
      <c r="L22" s="7" t="inlineStr">
        <is>
          <t>2026-08-05</t>
        </is>
      </c>
      <c r="M22" s="7" t="n">
        <v>700</v>
      </c>
      <c r="N22" s="7" t="n">
        <v>412.14</v>
      </c>
      <c r="O22" s="7" t="inlineStr">
        <is>
          <t>FA-000018</t>
        </is>
      </c>
      <c r="P22" s="7" t="inlineStr">
        <is>
          <t>No</t>
        </is>
      </c>
      <c r="Q22" s="9" t="inlineStr">
        <is>
          <t>High</t>
        </is>
      </c>
      <c r="R22" s="7" t="inlineStr"/>
      <c r="S22" s="7" t="inlineStr">
        <is>
          <t>No</t>
        </is>
      </c>
      <c r="T22" t="n">
        <v>700</v>
      </c>
      <c r="U22" t="inlineStr">
        <is>
          <t>Active</t>
        </is>
      </c>
      <c r="V22" t="n">
        <v>412.14</v>
      </c>
      <c r="W22" t="n">
        <v>0</v>
      </c>
      <c r="X22" t="inlineStr">
        <is>
          <t>Yes</t>
        </is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Mobile Device</t>
        </is>
      </c>
      <c r="D23" s="7" t="inlineStr">
        <is>
          <t>Samsung Galaxy S24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Asset MD-00019 — Samsung Galaxy S24 — reconciled to In Use in Chicago on $1175 acquisition. hr_employee_status lists Jasmine Reed (E0019) as Active. Source Ledger FA-000019; net book value $795.4. acquisition recorded on PO-2025-0004. equipment_transfer_log TR-00019 posted Feb 23, 2026; inbound 2026-02-26 approval APR-00019.</t>
        </is>
      </c>
      <c r="L23" s="7" t="inlineStr">
        <is>
          <t>2026-08-05</t>
        </is>
      </c>
      <c r="M23" s="7" t="n">
        <v>1175</v>
      </c>
      <c r="N23" s="7" t="n">
        <v>795.4</v>
      </c>
      <c r="O23" s="7" t="inlineStr">
        <is>
          <t>FA-000019</t>
        </is>
      </c>
      <c r="P23" s="7" t="inlineStr">
        <is>
          <t>No</t>
        </is>
      </c>
      <c r="Q23" s="9" t="inlineStr">
        <is>
          <t>High</t>
        </is>
      </c>
      <c r="R23" s="7" t="inlineStr"/>
      <c r="S23" s="7" t="inlineStr">
        <is>
          <t>No</t>
        </is>
      </c>
      <c r="T23" t="n">
        <v>1175</v>
      </c>
      <c r="U23" t="inlineStr">
        <is>
          <t>Active</t>
        </is>
      </c>
      <c r="V23" t="n">
        <v>795.4</v>
      </c>
      <c r="W23" t="n">
        <v>0</v>
      </c>
      <c r="X23" t="inlineStr">
        <is>
          <t>Yes</t>
        </is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Network Asset</t>
        </is>
      </c>
      <c r="D24" s="7" t="inlineStr">
        <is>
          <t>Cisco C9300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Asset MD-00020 — Cisco C9300 — reconciled to In Use in Dallas on $6470 acquisition. hr_employee_status lists Luis Navarro (E0020) as Active. equipment_transfer_log TR-00020 posted Mar 28, 2026; inbound 2026-03-30 approval APR-00020. Source Ledger FA-000020; net book value $1446.34. capital PO PO-2025-0004 supports the cost basis.</t>
        </is>
      </c>
      <c r="L24" s="7" t="inlineStr">
        <is>
          <t>2026-08-05</t>
        </is>
      </c>
      <c r="M24" s="7" t="n">
        <v>6470</v>
      </c>
      <c r="N24" s="7" t="n">
        <v>1446.34</v>
      </c>
      <c r="O24" s="7" t="inlineStr">
        <is>
          <t>FA-000020</t>
        </is>
      </c>
      <c r="P24" s="7" t="inlineStr">
        <is>
          <t>Yes</t>
        </is>
      </c>
      <c r="Q24" s="9" t="inlineStr">
        <is>
          <t>High</t>
        </is>
      </c>
      <c r="R24" s="7" t="inlineStr"/>
      <c r="S24" s="7" t="inlineStr">
        <is>
          <t>No</t>
        </is>
      </c>
      <c r="T24" t="n">
        <v>6470</v>
      </c>
      <c r="U24" t="inlineStr">
        <is>
          <t>Active</t>
        </is>
      </c>
      <c r="V24" t="n">
        <v>1446.34</v>
      </c>
      <c r="W24" t="n">
        <v>0</v>
      </c>
      <c r="X24" t="inlineStr">
        <is>
          <t>Yes</t>
        </is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Laptop</t>
        </is>
      </c>
      <c r="D25" s="7" t="inlineStr">
        <is>
          <t>Dell Latitude 7440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Asset MD-00021 — Dell Latitude 7440 — reconciled to In Use in Denver on $1850 acquisition. duplicate serial MD-LA-050021 flagged on the register. equipment_transfer_log TR-00021 posted May 02, 2026; inbound 2026-05-03 approval APR-00021. Source Ledger FA-000021; net book value $124.52. buy path for MD-00021 references PO-2025-0004. hr_employee_status lists Grace Lindholm (E0021) as Active.</t>
        </is>
      </c>
      <c r="L25" s="7" t="inlineStr">
        <is>
          <t>2026-08-05</t>
        </is>
      </c>
      <c r="M25" s="7" t="n">
        <v>1850</v>
      </c>
      <c r="N25" s="7" t="n">
        <v>124.52</v>
      </c>
      <c r="O25" s="7" t="inlineStr">
        <is>
          <t>FA-000021</t>
        </is>
      </c>
      <c r="P25" s="7" t="inlineStr"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is>
          <t>No</t>
        </is>
      </c>
      <c r="T25" t="n">
        <v>1850</v>
      </c>
      <c r="U25" t="inlineStr">
        <is>
          <t>Active</t>
        </is>
      </c>
      <c r="V25" t="n">
        <v>124.52</v>
      </c>
      <c r="W25" t="n">
        <v>0</v>
      </c>
      <c r="X25" t="inlineStr">
        <is>
          <t>Yes</t>
        </is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Dell U2723QE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Working conclusion for MD-00022 (MD-MO-050022): In Use at New York; cost $565. hardware_purchase_orders.csv ties MD-00022 to PO-2025-0004. hr_employee_status lists Andre Baptiste (E0022) as Active. equipment_transfer_log TR-00022 posted Jun 03, 2026; inbound 2026-06-05 approval APR-00022. Source Ledger FA-000022; net book value $371.95.</t>
        </is>
      </c>
      <c r="L26" s="7" t="inlineStr">
        <is>
          <t>2026-08-05</t>
        </is>
      </c>
      <c r="M26" s="7" t="n">
        <v>565</v>
      </c>
      <c r="N26" s="7" t="n">
        <v>371.95</v>
      </c>
      <c r="O26" s="7" t="inlineStr">
        <is>
          <t>FA-000022</t>
        </is>
      </c>
      <c r="P26" s="7" t="inlineStr">
        <is>
          <t>No</t>
        </is>
      </c>
      <c r="Q26" s="9" t="inlineStr">
        <is>
          <t>High</t>
        </is>
      </c>
      <c r="R26" s="7" t="inlineStr"/>
      <c r="S26" s="7" t="inlineStr">
        <is>
          <t>No</t>
        </is>
      </c>
      <c r="T26" t="n">
        <v>565</v>
      </c>
      <c r="U26" t="inlineStr">
        <is>
          <t>Active</t>
        </is>
      </c>
      <c r="V26" t="n">
        <v>371.95</v>
      </c>
      <c r="W26" t="n">
        <v>0</v>
      </c>
      <c r="X26" t="inlineStr">
        <is>
          <t>Yes</t>
        </is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Mobile Device</t>
        </is>
      </c>
      <c r="D27" s="7" t="inlineStr">
        <is>
          <t>Samsung Galaxy S24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Working conclusion for MD-00023 (MD-MO-050023): In Use at Seattle; cost $1040. PO PO-2025-0004 documents the buy for MD-00023. hr_employee_status lists Nina Kowalski (E0023) as Active. equipment_transfer_log TR-00023 posted Jul 08, 2026; inbound 2026-07-09 approval APR-00023. Source Ledger FA-000023; net book value $823.6.</t>
        </is>
      </c>
      <c r="L27" s="7" t="inlineStr">
        <is>
          <t>2026-08-05</t>
        </is>
      </c>
      <c r="M27" s="7" t="n">
        <v>1040</v>
      </c>
      <c r="N27" s="7" t="n">
        <v>823.6</v>
      </c>
      <c r="O27" s="7" t="inlineStr">
        <is>
          <t>FA-000023</t>
        </is>
      </c>
      <c r="P27" s="7" t="inlineStr">
        <is>
          <t>No</t>
        </is>
      </c>
      <c r="Q27" s="9" t="inlineStr">
        <is>
          <t>High</t>
        </is>
      </c>
      <c r="R27" s="7" t="inlineStr"/>
      <c r="S27" s="7" t="inlineStr">
        <is>
          <t>No</t>
        </is>
      </c>
      <c r="T27" t="n">
        <v>1040</v>
      </c>
      <c r="U27" t="inlineStr">
        <is>
          <t>Active</t>
        </is>
      </c>
      <c r="V27" t="n">
        <v>823.6</v>
      </c>
      <c r="W27" t="n">
        <v>0</v>
      </c>
      <c r="X27" t="inlineStr">
        <is>
          <t>Yes</t>
        </is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Network Asset</t>
        </is>
      </c>
      <c r="D28" s="7" t="inlineStr">
        <is>
          <t>Cisco C9300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conclusion for MD-00024 (MD-NE-050024): In Use at Atlanta; cost $6335. capital PO PO-2025-0004 supports the cost basis. hr_employee_status lists Chris Daley (E0024) as Active. equipment_transfer_log TR-00024 posted Jan 18, 2026; inbound 2026-01-21 approval APR-00024. Source Ledger FA-000024; net book value $503.85.</t>
        </is>
      </c>
      <c r="L28" s="7" t="inlineStr">
        <is>
          <t>2026-08-05</t>
        </is>
      </c>
      <c r="M28" s="7" t="n">
        <v>6335</v>
      </c>
      <c r="N28" s="7" t="n">
        <v>503.85</v>
      </c>
      <c r="O28" s="7" t="inlineStr">
        <is>
          <t>FA-000024</t>
        </is>
      </c>
      <c r="P28" s="7" t="inlineStr">
        <is>
          <t>Yes</t>
        </is>
      </c>
      <c r="Q28" s="9" t="inlineStr">
        <is>
          <t>High</t>
        </is>
      </c>
      <c r="R28" s="7" t="inlineStr"/>
      <c r="S28" s="7" t="inlineStr">
        <is>
          <t>No</t>
        </is>
      </c>
      <c r="T28" t="n">
        <v>6335</v>
      </c>
      <c r="U28" t="inlineStr">
        <is>
          <t>Active</t>
        </is>
      </c>
      <c r="V28" t="n">
        <v>503.85</v>
      </c>
      <c r="W28" t="n">
        <v>0</v>
      </c>
      <c r="X28" t="inlineStr">
        <is>
          <t>Yes</t>
        </is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Laptop</t>
        </is>
      </c>
      <c r="D29" s="7" t="inlineStr">
        <is>
          <t>Lenovo ThinkPad T14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Working conclusion for MD-00025 (MD-LA-050021): In Use at Chicago; cost $2030. buy path for MD-00025 references PO-2022-0005. hr_employee_status lists Fatima Hussein (E0025) as Active. duplicate serial MD-LA-050021 flagged on the register. Source Ledger FA-000025; net book value $0. equipment_transfer_log TR-00025 posted Jan 21, 2026; inbound 2026-01-22 approval APR-00025.</t>
        </is>
      </c>
      <c r="L29" s="7" t="inlineStr">
        <is>
          <t>2026-08-05</t>
        </is>
      </c>
      <c r="M29" s="7" t="n">
        <v>2030</v>
      </c>
      <c r="N29" s="7" t="n">
        <v>0</v>
      </c>
      <c r="O29" s="7" t="inlineStr">
        <is>
          <t>FA-000025</t>
        </is>
      </c>
      <c r="P29" s="7" t="inlineStr"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No</t>
        </is>
      </c>
      <c r="T29" t="n">
        <v>2030</v>
      </c>
      <c r="U29" t="inlineStr">
        <is>
          <t>Active</t>
        </is>
      </c>
      <c r="V29" t="n">
        <v>0</v>
      </c>
      <c r="W29" t="n">
        <v>0</v>
      </c>
      <c r="X29" t="inlineStr">
        <is>
          <t>Yes</t>
        </is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Dell U2723QE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Working conclusion for MD-00026 (MD-MO-050026): In Use at Dallas; cost $745. acquisition recorded on PO-2022-0005. hr_employee_status lists Brendan Walsh (E0026) as Active. equipment_transfer_log TR-00026 posted Feb 23, 2026; inbound 2026-02-27 approval APR-00026. Source Ledger FA-000026; net book value $382.34.</t>
        </is>
      </c>
      <c r="L30" s="7" t="inlineStr">
        <is>
          <t>2026-08-05</t>
        </is>
      </c>
      <c r="M30" s="7" t="n">
        <v>745</v>
      </c>
      <c r="N30" s="7" t="n">
        <v>382.34</v>
      </c>
      <c r="O30" s="7" t="inlineStr">
        <is>
          <t>FA-000026</t>
        </is>
      </c>
      <c r="P30" s="7" t="inlineStr"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is>
          <t>No</t>
        </is>
      </c>
      <c r="T30" t="n">
        <v>745</v>
      </c>
      <c r="U30" t="inlineStr">
        <is>
          <t>Active</t>
        </is>
      </c>
      <c r="V30" t="n">
        <v>382.34</v>
      </c>
      <c r="W30" t="n">
        <v>0</v>
      </c>
      <c r="X30" t="inlineStr">
        <is>
          <t>Yes</t>
        </is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Mobile Device</t>
        </is>
      </c>
      <c r="D31" s="7" t="inlineStr">
        <is>
          <t>Samsung Galaxy S24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Asset MD-00027 — Samsung Galaxy S24 — reconciled to In Use in Denver on $1220 acquisition. hr_employee_status lists Yuki Tanaka (E0027) as Active. equipment_transfer_log TR-00027 posted Mar 31, 2026; inbound 2026-04-06 approval APR-00027. Source Ledger FA-000027; net book value $672.21. purchasing file shows PO-2022-0005 for this unit.</t>
        </is>
      </c>
      <c r="L31" s="7" t="inlineStr">
        <is>
          <t>2026-08-05</t>
        </is>
      </c>
      <c r="M31" s="7" t="n">
        <v>1220</v>
      </c>
      <c r="N31" s="7" t="n">
        <v>672.21</v>
      </c>
      <c r="O31" s="7" t="inlineStr">
        <is>
          <t>FA-000027</t>
        </is>
      </c>
      <c r="P31" s="7" t="inlineStr"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is>
          <t>No</t>
        </is>
      </c>
      <c r="T31" t="n">
        <v>1220</v>
      </c>
      <c r="U31" t="inlineStr">
        <is>
          <t>Active</t>
        </is>
      </c>
      <c r="V31" t="n">
        <v>672.21</v>
      </c>
      <c r="W31" t="n">
        <v>0</v>
      </c>
      <c r="X31" t="inlineStr">
        <is>
          <t>Yes</t>
        </is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Network Asset</t>
        </is>
      </c>
      <c r="D32" s="7" t="inlineStr">
        <is>
          <t>Cisco C9300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Asset MD-00028 — Cisco C9300 — reconciled to In Use in New York on $6200 acquisition. hr_employee_status lists Megan Copeland (E0028) as Active. equipment_transfer_log TR-00028 posted May 01, 2026; inbound 2026-05-02 approval APR-00028. Source Ledger FA-000028; net book value $914.09. order PO-2022-0005 appears in the purchasing extract.</t>
        </is>
      </c>
      <c r="L32" s="7" t="inlineStr">
        <is>
          <t>2026-08-05</t>
        </is>
      </c>
      <c r="M32" s="7" t="n">
        <v>6200</v>
      </c>
      <c r="N32" s="7" t="n">
        <v>914.09</v>
      </c>
      <c r="O32" s="7" t="inlineStr">
        <is>
          <t>FA-000028</t>
        </is>
      </c>
      <c r="P32" s="7" t="inlineStr"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is>
          <t>No</t>
        </is>
      </c>
      <c r="T32" t="n">
        <v>6200</v>
      </c>
      <c r="U32" t="inlineStr">
        <is>
          <t>Active</t>
        </is>
      </c>
      <c r="V32" t="n">
        <v>914.09</v>
      </c>
      <c r="W32" t="n">
        <v>0</v>
      </c>
      <c r="X32" t="inlineStr">
        <is>
          <t>Yes</t>
        </is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Laptop</t>
        </is>
      </c>
      <c r="D33" s="7" t="inlineStr">
        <is>
          <t>MacBook Pro 14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MD-00029 — MacBook Pro 14 — reconciled to In Use in Seattle on $1895 acquisition. hr_employee_status lists Omar Haddad (E0029) as Active. equipment_transfer_log TR-00029 posted Jun 05, 2026; inbound 2026-06-11 approval APR-00029. Source Ledger FA-000029; net book value $0. PO-2022-0005 is the cited purchase order.</t>
        </is>
      </c>
      <c r="L33" s="7" t="inlineStr">
        <is>
          <t>2026-08-05</t>
        </is>
      </c>
      <c r="M33" s="7" t="n">
        <v>1895</v>
      </c>
      <c r="N33" s="7" t="n">
        <v>0</v>
      </c>
      <c r="O33" s="7" t="inlineStr">
        <is>
          <t>FA-000029</t>
        </is>
      </c>
      <c r="P33" s="7" t="inlineStr"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is>
          <t>No</t>
        </is>
      </c>
      <c r="T33" t="n">
        <v>1895</v>
      </c>
      <c r="U33" t="inlineStr">
        <is>
          <t>Active</t>
        </is>
      </c>
      <c r="V33" t="n">
        <v>0</v>
      </c>
      <c r="W33" t="n">
        <v>0</v>
      </c>
      <c r="X33" t="inlineStr">
        <is>
          <t>Yes</t>
        </is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Dell U2723QE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Files reviewed for MD-00030: Dell U2723QE, basis $610, operating site Atlanta, status In Use. equipment_transfer_log TR-00030 posted Jan 10, 2026; inbound 2026-01-13 approval APR-00030. PO PO-2022-0005 documents the buy for MD-00030. Source Ledger FA-000030; net book value $355.14. hr_employee_status lists Stephanie Ruiz (E0030) as Active.</t>
        </is>
      </c>
      <c r="L34" s="7" t="inlineStr">
        <is>
          <t>2026-08-05</t>
        </is>
      </c>
      <c r="M34" s="7" t="n">
        <v>610</v>
      </c>
      <c r="N34" s="7" t="n">
        <v>355.14</v>
      </c>
      <c r="O34" s="7" t="inlineStr">
        <is>
          <t>FA-000030</t>
        </is>
      </c>
      <c r="P34" s="7" t="inlineStr"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is>
          <t>No</t>
        </is>
      </c>
      <c r="T34" t="n">
        <v>610</v>
      </c>
      <c r="U34" t="inlineStr">
        <is>
          <t>Active</t>
        </is>
      </c>
      <c r="V34" t="n">
        <v>355.14</v>
      </c>
      <c r="W34" t="n">
        <v>0</v>
      </c>
      <c r="X34" t="inlineStr">
        <is>
          <t>Yes</t>
        </is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Mobile Device</t>
        </is>
      </c>
      <c r="D35" s="7" t="inlineStr">
        <is>
          <t>Samsung Galaxy S24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Files reviewed for MD-00031: Samsung Galaxy S24, basis $1085, operating site Chicago, status In Use. equipment_transfer_log TR-00031 posted Feb 11, 2026; inbound 2026-02-11 approval APR-00031. hardware_purchase_orders.csv ties MD-00031 to PO-2023-0006. Source Ledger FA-000031; net book value $722.59. hr_employee_status lists Keith Moreau (E0031) as Active.</t>
        </is>
      </c>
      <c r="L35" s="7" t="inlineStr">
        <is>
          <t>2026-08-05</t>
        </is>
      </c>
      <c r="M35" s="7" t="n">
        <v>1085</v>
      </c>
      <c r="N35" s="7" t="n">
        <v>722.59</v>
      </c>
      <c r="O35" s="7" t="inlineStr">
        <is>
          <t>FA-000031</t>
        </is>
      </c>
      <c r="P35" s="7" t="inlineStr"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is>
          <t>No</t>
        </is>
      </c>
      <c r="T35" t="n">
        <v>1085</v>
      </c>
      <c r="U35" t="inlineStr">
        <is>
          <t>Active</t>
        </is>
      </c>
      <c r="V35" t="n">
        <v>722.59</v>
      </c>
      <c r="W35" t="n">
        <v>0</v>
      </c>
      <c r="X35" t="inlineStr">
        <is>
          <t>Yes</t>
        </is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Network Asset</t>
        </is>
      </c>
      <c r="D36" s="7" t="inlineStr">
        <is>
          <t>Cisco C9300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Asset MD-00032 — Cisco C9300 — reconciled to In Use in Dallas on $6380 acquisition. Source Ledger FA-000032; net book value $1384.3. PO PO-2023-0006 documents the buy for MD-00032. hr_employee_status lists Diana Voss (E0032) as Active. equipment_transfer_log TR-00032 posted Mar 16, 2026; inbound 2026-03-22 approval APR-00032.</t>
        </is>
      </c>
      <c r="L36" s="7" t="inlineStr">
        <is>
          <t>2026-08-05</t>
        </is>
      </c>
      <c r="M36" s="7" t="n">
        <v>6380</v>
      </c>
      <c r="N36" s="7" t="n">
        <v>1384.3</v>
      </c>
      <c r="O36" s="7" t="inlineStr">
        <is>
          <t>FA-000032</t>
        </is>
      </c>
      <c r="P36" s="7" t="inlineStr"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is>
          <t>No</t>
        </is>
      </c>
      <c r="T36" t="n">
        <v>6380</v>
      </c>
      <c r="U36" t="inlineStr">
        <is>
          <t>Active</t>
        </is>
      </c>
      <c r="V36" t="n">
        <v>1384.3</v>
      </c>
      <c r="W36" t="n">
        <v>0</v>
      </c>
      <c r="X36" t="inlineStr">
        <is>
          <t>Yes</t>
        </is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Laptop</t>
        </is>
      </c>
      <c r="D37" s="7" t="inlineStr">
        <is>
          <t>Dell Latitude 7440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Asset MD-00033 — Dell Latitude 7440 — reconciled to In Use in Denver on $2075 acquisition. Source Ledger FA-000033; net book value $116.93. capital PO PO-2023-0006 supports the cost basis. hr_employee_status lists Jordan Blake (E0033) as Active. equipment_transfer_log TR-00033 posted Apr 20, 2026; inbound 2026-04-22 approval APR-00033.</t>
        </is>
      </c>
      <c r="L37" s="7" t="inlineStr">
        <is>
          <t>2026-08-05</t>
        </is>
      </c>
      <c r="M37" s="7" t="n">
        <v>2075</v>
      </c>
      <c r="N37" s="7" t="n">
        <v>116.93</v>
      </c>
      <c r="O37" s="7" t="inlineStr">
        <is>
          <t>FA-000033</t>
        </is>
      </c>
      <c r="P37" s="7" t="inlineStr"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is>
          <t>No</t>
        </is>
      </c>
      <c r="T37" t="n">
        <v>2075</v>
      </c>
      <c r="U37" t="inlineStr">
        <is>
          <t>Active</t>
        </is>
      </c>
      <c r="V37" t="n">
        <v>116.93</v>
      </c>
      <c r="W37" t="n">
        <v>0</v>
      </c>
      <c r="X37" t="inlineStr">
        <is>
          <t>Yes</t>
        </is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Dell U2723QE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Working conclusion for MD-00034 (MD-MO-050034): In Use at New York; cost $790. equipment_transfer_log TR-00034 posted May 22, 2026; inbound 2026-05-22 approval APR-00034. buy path for MD-00034 references PO-2023-0006. Source Ledger FA-000034; net book value $=XLOOKUP(A38,'Source Ledger'!B5:B133,'Source Ledger'!E5:E133)-XLOOKUP(A38,'Source Ledger'!B5:B133,'Source Ledger'!F5:F133). hr_employee_status lists Amelia Grant (E0034) as Active.</t>
        </is>
      </c>
      <c r="L38" s="7" t="inlineStr">
        <is>
          <t>2026-08-05</t>
        </is>
      </c>
      <c r="M38" s="7" t="n">
        <v>790</v>
      </c>
      <c r="N38" s="7">
        <f>XLOOKUP(A38,'Source Ledger'!B5:B133,'Source Ledger'!E5:E133)-XLOOKUP(A38,'Source Ledger'!B5:B133,'Source Ledger'!F5:F133)</f>
        <v>479.88</v>
      </c>
      <c r="O38" s="7" t="inlineStr">
        <is>
          <t>FA-000034</t>
        </is>
      </c>
      <c r="P38" s="7" t="inlineStr"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No</t>
        </is>
      </c>
      <c r="T38" t="n">
        <v>930</v>
      </c>
      <c r="U38" t="inlineStr">
        <is>
          <t>Active</t>
        </is>
      </c>
      <c r="V38">
        <f>XLOOKUP(A38,'Source Ledger'!B5:B133,'Source Ledger'!G5:G133)</f>
        <v>479.88</v>
      </c>
      <c r="W38">
        <f>T38-M38</f>
        <v/>
      </c>
      <c r="X38" t="inlineStr">
        <is>
          <t>Yes</t>
        </is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Mobile Device</t>
        </is>
      </c>
      <c r="D39" s="7" t="inlineStr">
        <is>
          <t>Samsung Galaxy S24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Asset MD-00035 — Samsung Galaxy S24 — reconciled to In Use in Seattle on $950 acquisition. hr_employee_status lists Rafael Mendes (E0035) as Active. Source Ledger FA-000035; net book value $741.92. equipment_transfer_log TR-00035 posted Jun 26, 2026; inbound 2026-06-30 approval APR-00035. hardware_purchase_orders.csv ties MD-00035 to PO-2023-0006.</t>
        </is>
      </c>
      <c r="L39" s="7" t="inlineStr">
        <is>
          <t>2026-08-05</t>
        </is>
      </c>
      <c r="M39" s="7" t="n">
        <v>950</v>
      </c>
      <c r="N39" s="7" t="n">
        <v>741.92</v>
      </c>
      <c r="O39" s="7" t="inlineStr">
        <is>
          <t>FA-000035</t>
        </is>
      </c>
      <c r="P39" s="7" t="inlineStr"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is>
          <t>No</t>
        </is>
      </c>
      <c r="T39" t="n">
        <v>950</v>
      </c>
      <c r="U39" t="inlineStr">
        <is>
          <t>Active</t>
        </is>
      </c>
      <c r="V39" t="n">
        <v>741.92</v>
      </c>
      <c r="W39" t="n">
        <v>0</v>
      </c>
      <c r="X39" t="inlineStr">
        <is>
          <t>Yes</t>
        </is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Network Asset</t>
        </is>
      </c>
      <c r="D40" s="7" t="inlineStr">
        <is>
          <t>Cisco C9300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Asset MD-00036 — Cisco C9300 — reconciled to In Use in Atlanta on $6245 acquisition. hr_employee_status lists Kate Sorenson (E0036) as Active. Source Ledger FA-000036; net book value $537.73. equipment_transfer_log TR-00036 posted Jan 30, 2026; inbound 2026-02-01 approval APR-00036. purchasing file shows PO-2023-0006 for this unit.</t>
        </is>
      </c>
      <c r="L40" s="7" t="inlineStr">
        <is>
          <t>2026-08-05</t>
        </is>
      </c>
      <c r="M40" s="7" t="n">
        <v>6245</v>
      </c>
      <c r="N40" s="7" t="n">
        <v>537.73</v>
      </c>
      <c r="O40" s="7" t="inlineStr">
        <is>
          <t>FA-000036</t>
        </is>
      </c>
      <c r="P40" s="7" t="inlineStr"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is>
          <t>No</t>
        </is>
      </c>
      <c r="T40" t="n">
        <v>6245</v>
      </c>
      <c r="U40" t="inlineStr">
        <is>
          <t>Active</t>
        </is>
      </c>
      <c r="V40" t="n">
        <v>537.73</v>
      </c>
      <c r="W40" t="n">
        <v>0</v>
      </c>
      <c r="X40" t="inlineStr">
        <is>
          <t>Yes</t>
        </is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Laptop</t>
        </is>
      </c>
      <c r="D41" s="7" t="inlineStr">
        <is>
          <t>Lenovo ThinkPad T14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Working conclusion for MD-00037 (MD-LA-050037): In Use at Chicago; cost $1940. equipment_transfer_log TR-00037 posted Feb 02, 2026; inbound 2026-02-02 approval APR-00037. acquisition recorded on PO-2024-0007. Source Ledger FA-000037; net book value $0. hr_employee_status lists Victor Lang (E0037) as Active.</t>
        </is>
      </c>
      <c r="L41" s="7" t="inlineStr">
        <is>
          <t>2026-08-05</t>
        </is>
      </c>
      <c r="M41" s="7" t="n">
        <v>1940</v>
      </c>
      <c r="N41" s="7" t="n">
        <v>0</v>
      </c>
      <c r="O41" s="7" t="inlineStr">
        <is>
          <t>FA-000037</t>
        </is>
      </c>
      <c r="P41" s="7" t="inlineStr"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is>
          <t>No</t>
        </is>
      </c>
      <c r="T41" t="n">
        <v>1940</v>
      </c>
      <c r="U41" t="inlineStr">
        <is>
          <t>Active</t>
        </is>
      </c>
      <c r="V41" t="n">
        <v>0</v>
      </c>
      <c r="W41" t="n">
        <v>0</v>
      </c>
      <c r="X41" t="inlineStr">
        <is>
          <t>Yes</t>
        </is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Monitor</t>
        </is>
      </c>
      <c r="D42" s="7" t="inlineStr">
        <is>
          <t>Dell U2723QE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Working conclusion for MD-00038 (MD-MO-050038): In Use at Dallas; cost $655. equipment_transfer_log TR-00038 posted Mar 07, 2026; inbound 2026-03-11 approval APR-00038. purchasing file shows PO-2024-0007 for this unit. Source Ledger FA-000038; net book value $340.46. hr_employee_status lists Noelle Harper (E0038) as Active.</t>
        </is>
      </c>
      <c r="L42" s="7" t="inlineStr">
        <is>
          <t>2026-08-05</t>
        </is>
      </c>
      <c r="M42" s="7" t="n">
        <v>655</v>
      </c>
      <c r="N42" s="7" t="n">
        <v>340.46</v>
      </c>
      <c r="O42" s="7" t="inlineStr">
        <is>
          <t>FA-000038</t>
        </is>
      </c>
      <c r="P42" s="7" t="inlineStr"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is>
          <t>No</t>
        </is>
      </c>
      <c r="T42" t="n">
        <v>655</v>
      </c>
      <c r="U42" t="inlineStr">
        <is>
          <t>Active</t>
        </is>
      </c>
      <c r="V42" t="n">
        <v>340.46</v>
      </c>
      <c r="W42" t="n">
        <v>0</v>
      </c>
      <c r="X42" t="inlineStr">
        <is>
          <t>Yes</t>
        </is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Samsung Galaxy S24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Asset MD-00039 — Samsung Galaxy S24 — reconciled to In Use in Denver on $1130 acquisition. Source Ledger FA-000039; net book value $635. order PO-2024-0007 appears in the purchasing extract. hr_employee_status lists Samir Kapoor (E0039) as Active. equipment_transfer_log TR-00039 posted Apr 12, 2026; inbound 2026-04-14 approval APR-00039.</t>
        </is>
      </c>
      <c r="L43" s="7" t="inlineStr">
        <is>
          <t>2026-08-05</t>
        </is>
      </c>
      <c r="M43" s="7" t="n">
        <v>1130</v>
      </c>
      <c r="N43" s="7" t="n">
        <v>635</v>
      </c>
      <c r="O43" s="7" t="inlineStr">
        <is>
          <t>FA-000039</t>
        </is>
      </c>
      <c r="P43" s="7" t="inlineStr"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is>
          <t>No</t>
        </is>
      </c>
      <c r="T43" t="n">
        <v>1130</v>
      </c>
      <c r="U43" t="inlineStr">
        <is>
          <t>Active</t>
        </is>
      </c>
      <c r="V43" t="n">
        <v>635</v>
      </c>
      <c r="W43" t="n">
        <v>0</v>
      </c>
      <c r="X43" t="inlineStr">
        <is>
          <t>Yes</t>
        </is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Network Asset</t>
        </is>
      </c>
      <c r="D44" s="7" t="inlineStr">
        <is>
          <t>Cisco C9300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Asset MD-00040 — Cisco C9300 — reconciled to In Use in New York on $6425 acquisition. hr_employee_status lists Holly Jensen (E0040) as Active. hardware_purchase_orders.csv ties MD-00040 to PO-2024-0007. Source Ledger FA-000040; net book value $989.48. equipment_transfer_log TR-00040 posted May 13, 2026; inbound 2026-05-13 approval APR-00040.</t>
        </is>
      </c>
      <c r="L44" s="7" t="inlineStr">
        <is>
          <t>2026-08-05</t>
        </is>
      </c>
      <c r="M44" s="7" t="n">
        <v>6425</v>
      </c>
      <c r="N44" s="7" t="n">
        <v>989.48</v>
      </c>
      <c r="O44" s="7" t="inlineStr">
        <is>
          <t>FA-000040</t>
        </is>
      </c>
      <c r="P44" s="7" t="inlineStr"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is>
          <t>No</t>
        </is>
      </c>
      <c r="T44" t="n">
        <v>6425</v>
      </c>
      <c r="U44" t="inlineStr">
        <is>
          <t>Active</t>
        </is>
      </c>
      <c r="V44" t="n">
        <v>989.48</v>
      </c>
      <c r="W44" t="n">
        <v>0</v>
      </c>
      <c r="X44" t="inlineStr">
        <is>
          <t>Yes</t>
        </is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Laptop</t>
        </is>
      </c>
      <c r="D45" s="7" t="inlineStr">
        <is>
          <t>MacBook Pro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Asset MD-00041 — MacBook Pro 14 — reconciled to In Use in Seattle on $2120 acquisition. hr_employee_status lists Eric Vann (E0041) as Active. PO PO-2024-0007 documents the buy for MD-00041. Source Ledger FA-000041; net book value $0. equipment_transfer_log TR-00041 posted Jun 17, 2026; inbound 2026-06-20 approval APR-00041.</t>
        </is>
      </c>
      <c r="L45" s="7" t="inlineStr">
        <is>
          <t>2026-08-05</t>
        </is>
      </c>
      <c r="M45" s="7" t="n">
        <v>2120</v>
      </c>
      <c r="N45" s="7" t="n">
        <v>0</v>
      </c>
      <c r="O45" s="7" t="inlineStr">
        <is>
          <t>FA-000041</t>
        </is>
      </c>
      <c r="P45" s="7" t="inlineStr"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is>
          <t>No</t>
        </is>
      </c>
      <c r="T45" t="n">
        <v>2120</v>
      </c>
      <c r="U45" t="inlineStr">
        <is>
          <t>Active</t>
        </is>
      </c>
      <c r="V45" t="n">
        <v>0</v>
      </c>
      <c r="W45" t="n">
        <v>0</v>
      </c>
      <c r="X45" t="inlineStr">
        <is>
          <t>Yes</t>
        </is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Monitor</t>
        </is>
      </c>
      <c r="D46" s="7" t="inlineStr">
        <is>
          <t>Dell U2723QE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Working conclusion for MD-00042 (MD-MO-050042): In Use at Atlanta; cost $520. equipment_transfer_log TR-00042 posted Jan 22, 2026; inbound 2026-01-24 approval APR-00042. capital PO PO-2024-0007 supports the cost basis. hr_employee_status lists Claudia Rossi (E0042) as Active. Source Ledger FA-000042; net book value $306.16.</t>
        </is>
      </c>
      <c r="L46" s="7" t="inlineStr">
        <is>
          <t>2026-08-05</t>
        </is>
      </c>
      <c r="M46" s="7" t="n">
        <v>520</v>
      </c>
      <c r="N46" s="7" t="n">
        <v>306.16</v>
      </c>
      <c r="O46" s="7" t="inlineStr">
        <is>
          <t>FA-000042</t>
        </is>
      </c>
      <c r="P46" s="7" t="inlineStr"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is>
          <t>No</t>
        </is>
      </c>
      <c r="T46" t="n">
        <v>520</v>
      </c>
      <c r="U46" t="inlineStr">
        <is>
          <t>Active</t>
        </is>
      </c>
      <c r="V46" t="n">
        <v>306.16</v>
      </c>
      <c r="W46" t="n">
        <v>0</v>
      </c>
      <c r="X46" t="inlineStr">
        <is>
          <t>Yes</t>
        </is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Samsung Galaxy S24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Working conclusion for MD-00043 (MD-MO-050043): In Use at Chicago; cost $995. equipment_transfer_log TR-00043 posted Feb 23, 2026; inbound 2026-03-01 approval APR-00043. PO PO-2025-0008 documents the buy for MD-00043. hr_employee_status lists Tyler Brooks (E0043) as Active. Source Ledger FA-000043; net book value $673.55.</t>
        </is>
      </c>
      <c r="L47" s="7" t="inlineStr">
        <is>
          <t>2026-08-05</t>
        </is>
      </c>
      <c r="M47" s="7" t="n">
        <v>995</v>
      </c>
      <c r="N47" s="7" t="n">
        <v>673.55</v>
      </c>
      <c r="O47" s="7" t="inlineStr">
        <is>
          <t>FA-000043</t>
        </is>
      </c>
      <c r="P47" s="7" t="inlineStr"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is>
          <t>No</t>
        </is>
      </c>
      <c r="T47" t="n">
        <v>995</v>
      </c>
      <c r="U47" t="inlineStr">
        <is>
          <t>Active</t>
        </is>
      </c>
      <c r="V47" t="n">
        <v>673.55</v>
      </c>
      <c r="W47" t="n">
        <v>0</v>
      </c>
      <c r="X47" t="inlineStr">
        <is>
          <t>Yes</t>
        </is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Network Asset</t>
        </is>
      </c>
      <c r="D48" s="7" t="inlineStr">
        <is>
          <t>Cisco C9300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conclusion for MD-00044 (MD-NE-050044): In Use at Dallas; cost $6290. equipment_transfer_log TR-00044 posted Mar 28, 2026; inbound 2026-03-31 approval APR-00044. capital PO PO-2025-0008 supports the cost basis. hr_employee_status lists Leah Okada (E0044) as Active. Source Ledger FA-000044; net book value $1406.1.</t>
        </is>
      </c>
      <c r="L48" s="7" t="inlineStr">
        <is>
          <t>2026-08-05</t>
        </is>
      </c>
      <c r="M48" s="7" t="n">
        <v>6290</v>
      </c>
      <c r="N48" s="7" t="n">
        <v>1406.1</v>
      </c>
      <c r="O48" s="7" t="inlineStr">
        <is>
          <t>FA-000044</t>
        </is>
      </c>
      <c r="P48" s="7" t="inlineStr"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is>
          <t>No</t>
        </is>
      </c>
      <c r="T48" t="n">
        <v>6290</v>
      </c>
      <c r="U48" t="inlineStr">
        <is>
          <t>Active</t>
        </is>
      </c>
      <c r="V48" t="n">
        <v>1406.1</v>
      </c>
      <c r="W48" t="n">
        <v>0</v>
      </c>
      <c r="X48" t="inlineStr">
        <is>
          <t>Yes</t>
        </is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Laptop</t>
        </is>
      </c>
      <c r="D49" s="7" t="inlineStr">
        <is>
          <t>Dell Latitude 7440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Asset MD-00045 — Dell Latitude 7440 — reconciled to In Use in Denver on $1985 acquisition. hr_employee_status lists Darnell Price (E0045) as Active. buy path for MD-00045 references PO-2025-0008. Source Ledger FA-000045; net book value $133.6. equipment_transfer_log TR-00045 posted May 02, 2026; inbound 2026-05-03 approval APR-00045.</t>
        </is>
      </c>
      <c r="L49" s="7" t="inlineStr">
        <is>
          <t>2026-08-05</t>
        </is>
      </c>
      <c r="M49" s="7" t="n">
        <v>1985</v>
      </c>
      <c r="N49" s="7" t="n">
        <v>133.6</v>
      </c>
      <c r="O49" s="7" t="inlineStr">
        <is>
          <t>FA-000045</t>
        </is>
      </c>
      <c r="P49" s="7" t="inlineStr"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is>
          <t>No</t>
        </is>
      </c>
      <c r="T49" t="n">
        <v>1985</v>
      </c>
      <c r="U49" t="inlineStr">
        <is>
          <t>Active</t>
        </is>
      </c>
      <c r="V49" t="n">
        <v>133.6</v>
      </c>
      <c r="W49" t="n">
        <v>0</v>
      </c>
      <c r="X49" t="inlineStr">
        <is>
          <t>Yes</t>
        </is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Monitor</t>
        </is>
      </c>
      <c r="D50" s="7" t="inlineStr">
        <is>
          <t>Dell U2723QE</t>
        </is>
      </c>
      <c r="E50" s="7" t="inlineStr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Asset MD-00046 — Dell U2723QE — reconciled to Available in New York on $700 acquisition. equipment_transfer_log TR-00046 posted Jun 03, 2026; inbound 2026-06-07 approval APR-00046. Source Ledger FA-000046; net book value $460.82. acquisition recorded on PO-2025-0008.</t>
        </is>
      </c>
      <c r="L50" s="7" t="inlineStr">
        <is>
          <t>2026-05-24</t>
        </is>
      </c>
      <c r="M50" s="7" t="n">
        <v>700</v>
      </c>
      <c r="N50" s="7" t="n">
        <v>460.82</v>
      </c>
      <c r="O50" s="7" t="inlineStr">
        <is>
          <t>FA-000046</t>
        </is>
      </c>
      <c r="P50" s="7" t="inlineStr"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is>
          <t>No</t>
        </is>
      </c>
      <c r="T50" t="n">
        <v>700</v>
      </c>
      <c r="U50" t="inlineStr">
        <is>
          <t>Active</t>
        </is>
      </c>
      <c r="V50" t="n">
        <v>460.82</v>
      </c>
      <c r="W50" t="n">
        <v>0</v>
      </c>
      <c r="X50" t="inlineStr">
        <is>
          <t>Yes</t>
        </is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inlineStr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Cross-checked MD-00047 (MD-MO-050047, Samsung Galaxy S24) against HR, transfers, and ledger extracts. equipment_transfer_log TR-00047 posted Jul 08, 2026; inbound 2026-07-10 approval APR-00047. Source Ledger FA-000047; net book value $930.51. purchasing file shows PO-2025-0008 for this unit.</t>
        </is>
      </c>
      <c r="L51" s="7" t="inlineStr">
        <is>
          <t>2026-06-25</t>
        </is>
      </c>
      <c r="M51" s="7" t="n">
        <v>1175</v>
      </c>
      <c r="N51" s="7" t="n">
        <v>930.51</v>
      </c>
      <c r="O51" s="7" t="inlineStr">
        <is>
          <t>FA-000047</t>
        </is>
      </c>
      <c r="P51" s="7" t="inlineStr"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is>
          <t>No</t>
        </is>
      </c>
      <c r="T51" t="n">
        <v>1175</v>
      </c>
      <c r="U51" t="inlineStr">
        <is>
          <t>Active</t>
        </is>
      </c>
      <c r="V51" t="n">
        <v>930.51</v>
      </c>
      <c r="W51" t="n">
        <v>0</v>
      </c>
      <c r="X51" t="inlineStr">
        <is>
          <t>Yes</t>
        </is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Network Asset</t>
        </is>
      </c>
      <c r="D52" s="7" t="inlineStr">
        <is>
          <t>Cisco C9300</t>
        </is>
      </c>
      <c r="E52" s="7" t="inlineStr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(MD-NE-050048, Cisco C9300) against HR, transfers, and ledger extracts. equipment_transfer_log TR-00048 posted Jan 18, 2026; inbound 2026-01-24 approval APR-00048. Source Ledger FA-000048; net book value $514.59. order PO-2025-0008 appears in the purchasing extract.</t>
        </is>
      </c>
      <c r="L52" s="7" t="inlineStr">
        <is>
          <t>2026-01-02</t>
        </is>
      </c>
      <c r="M52" s="7" t="n">
        <v>6470</v>
      </c>
      <c r="N52" s="7" t="n">
        <v>514.59</v>
      </c>
      <c r="O52" s="7" t="inlineStr">
        <is>
          <t>FA-000048</t>
        </is>
      </c>
      <c r="P52" s="7" t="inlineStr"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is>
          <t>No</t>
        </is>
      </c>
      <c r="T52" t="n">
        <v>6470</v>
      </c>
      <c r="U52" t="inlineStr">
        <is>
          <t>Active</t>
        </is>
      </c>
      <c r="V52" t="n">
        <v>514.59</v>
      </c>
      <c r="W52" t="n">
        <v>0</v>
      </c>
      <c r="X52" t="inlineStr">
        <is>
          <t>Yes</t>
        </is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Laptop</t>
        </is>
      </c>
      <c r="D53" s="7" t="inlineStr">
        <is>
          <t>Lenovo ThinkPad T14</t>
        </is>
      </c>
      <c r="E53" s="7" t="inlineStr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(MD-LA-050049, Lenovo ThinkPad T14) against HR, transfers, and ledger extracts. equipment_transfer_log TR-00049 posted Jan 21, 2026; inbound 2026-01-23 approval APR-00049. Source Ledger FA-000049; net book value $0. PO-2022-0009 is the cited purchase order.</t>
        </is>
      </c>
      <c r="L53" s="7" t="inlineStr">
        <is>
          <t>2026-02-03</t>
        </is>
      </c>
      <c r="M53" s="7" t="n">
        <v>1850</v>
      </c>
      <c r="N53" s="7" t="n">
        <v>0</v>
      </c>
      <c r="O53" s="7" t="inlineStr">
        <is>
          <t>FA-000049</t>
        </is>
      </c>
      <c r="P53" s="7" t="inlineStr"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is>
          <t>No</t>
        </is>
      </c>
      <c r="T53" t="n">
        <v>1850</v>
      </c>
      <c r="U53" t="inlineStr">
        <is>
          <t>Active</t>
        </is>
      </c>
      <c r="V53" t="n">
        <v>0</v>
      </c>
      <c r="W53" t="n">
        <v>0</v>
      </c>
      <c r="X53" t="inlineStr">
        <is>
          <t>Yes</t>
        </is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Monitor</t>
        </is>
      </c>
      <c r="D54" s="7" t="inlineStr">
        <is>
          <t>Dell U2723QE</t>
        </is>
      </c>
      <c r="E54" s="7" t="inlineStr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Working conclusion for MD-00050 (MD-MO-050050): Available at Dallas; cost $565. Source Ledger FA-000050; net book value $289.96. equipment_transfer_log TR-00050 posted Feb 23, 2026; inbound 2026-02-23 approval APR-00050. PO PO-2022-0009 documents the buy for MD-00050.</t>
        </is>
      </c>
      <c r="L54" s="7" t="inlineStr">
        <is>
          <t>2026-03-04</t>
        </is>
      </c>
      <c r="M54" s="7" t="n">
        <v>565</v>
      </c>
      <c r="N54" s="7" t="n">
        <v>289.96</v>
      </c>
      <c r="O54" s="7" t="inlineStr">
        <is>
          <t>FA-000050</t>
        </is>
      </c>
      <c r="P54" s="7" t="inlineStr"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is>
          <t>No</t>
        </is>
      </c>
      <c r="T54" t="n">
        <v>565</v>
      </c>
      <c r="U54" t="inlineStr">
        <is>
          <t>Active</t>
        </is>
      </c>
      <c r="V54" t="n">
        <v>289.96</v>
      </c>
      <c r="W54" t="n">
        <v>0</v>
      </c>
      <c r="X54" t="inlineStr">
        <is>
          <t>Yes</t>
        </is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inlineStr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Asset MD-00051 — Samsung Galaxy S24 — reconciled to Available in Denver on $1040 acquisition. capital PO PO-2022-0009 supports the cost basis. Source Ledger FA-000051; net book value $573.03. equipment_transfer_log TR-00051 posted Mar 31, 2026; inbound 2026-03-31 approval APR-00051.</t>
        </is>
      </c>
      <c r="L55" s="7" t="inlineStr">
        <is>
          <t>2026-04-05</t>
        </is>
      </c>
      <c r="M55" s="7" t="n">
        <v>1040</v>
      </c>
      <c r="N55" s="7" t="n">
        <v>573.03</v>
      </c>
      <c r="O55" s="7" t="inlineStr">
        <is>
          <t>FA-000051</t>
        </is>
      </c>
      <c r="P55" s="7" t="inlineStr"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No</t>
        </is>
      </c>
      <c r="T55" t="n">
        <v>1250</v>
      </c>
      <c r="U55" t="inlineStr">
        <is>
          <t>Active</t>
        </is>
      </c>
      <c r="V55" t="n">
        <v>573.03</v>
      </c>
      <c r="W55" t="n">
        <v>210</v>
      </c>
      <c r="X55" t="inlineStr">
        <is>
          <t>Yes</t>
        </is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Network Asset</t>
        </is>
      </c>
      <c r="D56" s="7" t="inlineStr">
        <is>
          <t>Cisco C9300</t>
        </is>
      </c>
      <c r="E56" s="7" t="inlineStr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Working conclusion for MD-00052 (MD-NE-050052): Available at New York; cost $6335. buy path for MD-00052 references PO-2022-0009. equipment_transfer_log TR-00052 posted May 01, 2026; inbound 2026-05-02 approval APR-00052. Source Ledger FA-000052; net book value $933.99.</t>
        </is>
      </c>
      <c r="L56" s="7" t="inlineStr">
        <is>
          <t>2026-05-06</t>
        </is>
      </c>
      <c r="M56" s="7" t="n">
        <v>6335</v>
      </c>
      <c r="N56" s="7" t="n">
        <v>933.99</v>
      </c>
      <c r="O56" s="7" t="inlineStr">
        <is>
          <t>FA-000052</t>
        </is>
      </c>
      <c r="P56" s="7" t="inlineStr"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is>
          <t>No</t>
        </is>
      </c>
      <c r="T56" t="n">
        <v>6335</v>
      </c>
      <c r="U56" t="inlineStr">
        <is>
          <t>Active</t>
        </is>
      </c>
      <c r="V56" t="n">
        <v>933.99</v>
      </c>
      <c r="W56" t="n">
        <v>0</v>
      </c>
      <c r="X56" t="inlineStr">
        <is>
          <t>Yes</t>
        </is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Laptop</t>
        </is>
      </c>
      <c r="D57" s="7" t="inlineStr">
        <is>
          <t>MacBook Pro 14</t>
        </is>
      </c>
      <c r="E57" s="7" t="inlineStr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Working conclusion for MD-00053 (MD-LA-050053): Available at Seattle; cost $2030. hardware_purchase_orders.csv ties MD-00053 to PO-2022-0009. equipment_transfer_log TR-00053 posted Jun 05, 2026; inbound 2026-06-05 approval APR-00053. Source Ledger FA-000053; net book value $0.</t>
        </is>
      </c>
      <c r="L57" s="7" t="inlineStr">
        <is>
          <t>2026-06-07</t>
        </is>
      </c>
      <c r="M57" s="7" t="n">
        <v>2030</v>
      </c>
      <c r="N57" s="7" t="n">
        <v>0</v>
      </c>
      <c r="O57" s="7" t="inlineStr">
        <is>
          <t>FA-000053</t>
        </is>
      </c>
      <c r="P57" s="7" t="inlineStr"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is>
          <t>No</t>
        </is>
      </c>
      <c r="T57" t="n">
        <v>2030</v>
      </c>
      <c r="U57" t="inlineStr">
        <is>
          <t>Active</t>
        </is>
      </c>
      <c r="V57" t="n">
        <v>0</v>
      </c>
      <c r="W57" t="n">
        <v>0</v>
      </c>
      <c r="X57" t="inlineStr">
        <is>
          <t>Yes</t>
        </is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Monitor</t>
        </is>
      </c>
      <c r="D58" s="7" t="inlineStr">
        <is>
          <t>Dell U2723QE</t>
        </is>
      </c>
      <c r="E58" s="7" t="inlineStr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Asset MD-00054 — Dell U2723QE — reconciled to Available in Atlanta on $745 acquisition. PO PO-2022-0009 documents the buy for MD-00054. Source Ledger FA-000054; net book value $433.74. equipment_transfer_log TR-00054 posted Jan 10, 2026; inbound 2026-01-16 approval APR-00054.</t>
        </is>
      </c>
      <c r="L58" s="7" t="inlineStr">
        <is>
          <t>2026-01-08</t>
        </is>
      </c>
      <c r="M58" s="7" t="n">
        <v>745</v>
      </c>
      <c r="N58" s="7" t="n">
        <v>433.74</v>
      </c>
      <c r="O58" s="7" t="inlineStr">
        <is>
          <t>FA-000054</t>
        </is>
      </c>
      <c r="P58" s="7" t="inlineStr"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is>
          <t>No</t>
        </is>
      </c>
      <c r="T58" t="n">
        <v>745</v>
      </c>
      <c r="U58" t="inlineStr">
        <is>
          <t>Active</t>
        </is>
      </c>
      <c r="V58" t="n">
        <v>433.74</v>
      </c>
      <c r="W58" t="n">
        <v>0</v>
      </c>
      <c r="X58" t="inlineStr">
        <is>
          <t>Yes</t>
        </is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Samsung Galaxy S24</t>
        </is>
      </c>
      <c r="E59" s="7" t="inlineStr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Asset MD-00055 — Samsung Galaxy S24 — reconciled to Available in Chicago on $1220 acquisition. acquisition recorded on PO-2023-0010. Source Ledger FA-000055; net book value $812.5. equipment_transfer_log TR-00055 posted Feb 11, 2026; inbound 2026-02-12 approval APR-00055.</t>
        </is>
      </c>
      <c r="L59" s="7" t="inlineStr">
        <is>
          <t>2026-02-09</t>
        </is>
      </c>
      <c r="M59" s="7" t="n">
        <v>1220</v>
      </c>
      <c r="N59" s="7" t="n">
        <v>812.5</v>
      </c>
      <c r="O59" s="7" t="inlineStr">
        <is>
          <t>FA-000055</t>
        </is>
      </c>
      <c r="P59" s="7" t="inlineStr"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is>
          <t>No</t>
        </is>
      </c>
      <c r="T59" t="n">
        <v>1220</v>
      </c>
      <c r="U59" t="inlineStr">
        <is>
          <t>Active</t>
        </is>
      </c>
      <c r="V59" t="n">
        <v>812.5</v>
      </c>
      <c r="W59" t="n">
        <v>0</v>
      </c>
      <c r="X59" t="inlineStr">
        <is>
          <t>Yes</t>
        </is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Network Asset</t>
        </is>
      </c>
      <c r="D60" s="7" t="inlineStr">
        <is>
          <t>Cisco C9300</t>
        </is>
      </c>
      <c r="E60" s="7" t="inlineStr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Asset MD-00056 — Cisco C9300 — reconciled to Available in Dallas on $6200 acquisition. capital PO PO-2023-0010 supports the cost basis. Source Ledger FA-000056; net book value $1345.24. equipment_transfer_log TR-00056 posted Mar 16, 2026; inbound 2026-03-16 approval APR-00056.</t>
        </is>
      </c>
      <c r="L60" s="7" t="inlineStr">
        <is>
          <t>2026-03-10</t>
        </is>
      </c>
      <c r="M60" s="7" t="n">
        <v>6200</v>
      </c>
      <c r="N60" s="7" t="n">
        <v>1345.24</v>
      </c>
      <c r="O60" s="7" t="inlineStr">
        <is>
          <t>FA-000056</t>
        </is>
      </c>
      <c r="P60" s="7" t="inlineStr"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is>
          <t>No</t>
        </is>
      </c>
      <c r="T60" t="n">
        <v>6200</v>
      </c>
      <c r="U60" t="inlineStr">
        <is>
          <t>Active</t>
        </is>
      </c>
      <c r="V60" t="n">
        <v>1345.24</v>
      </c>
      <c r="W60" t="n">
        <v>0</v>
      </c>
      <c r="X60" t="inlineStr">
        <is>
          <t>Yes</t>
        </is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Laptop</t>
        </is>
      </c>
      <c r="D61" s="7" t="inlineStr">
        <is>
          <t>Dell Latitude 7440</t>
        </is>
      </c>
      <c r="E61" s="7" t="inlineStr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Working conclusion for MD-00057 (MD-LA-050057): Available at Denver; cost $1895. buy path for MD-00057 references PO-2023-0010. equipment_transfer_log TR-00057 posted Apr 20, 2026; inbound 2026-04-24 approval APR-00057. Source Ledger FA-000057; net book value $106.79.</t>
        </is>
      </c>
      <c r="L61" s="7" t="inlineStr">
        <is>
          <t>2026-04-11</t>
        </is>
      </c>
      <c r="M61" s="7" t="n">
        <v>1895</v>
      </c>
      <c r="N61" s="7" t="n">
        <v>106.79</v>
      </c>
      <c r="O61" s="7" t="inlineStr">
        <is>
          <t>FA-000057</t>
        </is>
      </c>
      <c r="P61" s="7" t="inlineStr"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is>
          <t>No</t>
        </is>
      </c>
      <c r="T61" t="n">
        <v>1895</v>
      </c>
      <c r="U61" t="inlineStr">
        <is>
          <t>Active</t>
        </is>
      </c>
      <c r="V61" t="n">
        <v>106.79</v>
      </c>
      <c r="W61" t="n">
        <v>0</v>
      </c>
      <c r="X61" t="inlineStr">
        <is>
          <t>Yes</t>
        </is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Monitor</t>
        </is>
      </c>
      <c r="D62" s="7" t="inlineStr">
        <is>
          <t>Dell U2723QE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Working conclusion for MD-00058 (MD-MO-050058): Pending Redeployment at New York; cost $610. hardware_purchase_orders.csv ties MD-00058 to PO-2023-0010. equipment_transfer_log TR-00058 posted May 22, 2026; inbound 2026-05-23 blank approval field. Source Ledger FA-000058; net book value $397.56.</t>
        </is>
      </c>
      <c r="L62" s="7" t="inlineStr">
        <is>
          <t>2026-08-05</t>
        </is>
      </c>
      <c r="M62" s="7" t="n">
        <v>610</v>
      </c>
      <c r="N62" s="7" t="n">
        <v>397.56</v>
      </c>
      <c r="O62" s="7" t="inlineStr">
        <is>
          <t>FA-000058</t>
        </is>
      </c>
      <c r="P62" s="7" t="inlineStr"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No</t>
        </is>
      </c>
      <c r="T62" t="n">
        <v>610</v>
      </c>
      <c r="U62" t="inlineStr">
        <is>
          <t>Active</t>
        </is>
      </c>
      <c r="V62" t="n">
        <v>397.56</v>
      </c>
      <c r="W62" t="n">
        <v>0</v>
      </c>
      <c r="X62" t="inlineStr">
        <is>
          <t>Yes</t>
        </is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S24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Asset MD-00059 — Samsung Galaxy S24 — reconciled to Pending Redeployment in Seattle on $1085 acquisition. PO PO-2023-0010 documents the buy for MD-00059. Source Ledger FA-000059; net book value $847.35. equipment_transfer_log TR-00059 posted Jun 26, 2026; inbound 2026-06-26 blank approval field.</t>
        </is>
      </c>
      <c r="L63" s="7" t="inlineStr">
        <is>
          <t>2026-08-05</t>
        </is>
      </c>
      <c r="M63" s="7" t="n">
        <v>1085</v>
      </c>
      <c r="N63" s="7" t="n">
        <v>847.35</v>
      </c>
      <c r="O63" s="7" t="inlineStr">
        <is>
          <t>FA-000059</t>
        </is>
      </c>
      <c r="P63" s="7" t="inlineStr"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No</t>
        </is>
      </c>
      <c r="T63" t="n">
        <v>1085</v>
      </c>
      <c r="U63" t="inlineStr">
        <is>
          <t>Active</t>
        </is>
      </c>
      <c r="V63" t="n">
        <v>847.35</v>
      </c>
      <c r="W63" t="n">
        <v>0</v>
      </c>
      <c r="X63" t="inlineStr">
        <is>
          <t>Yes</t>
        </is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Network Asset</t>
        </is>
      </c>
      <c r="D64" s="7" t="inlineStr">
        <is>
          <t>Cisco C9300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Working conclusion for MD-00060 (MD-NE-050060): Pending Redeployment at Atlanta; cost $6380. Source Ledger FA-000060; net book value $549.35. order PO-2023-0010 appears in the purchasing extract. equipment_transfer_log TR-00060 posted Jan 30, 2026; inbound 2026-02-02 approval APR-00060.</t>
        </is>
      </c>
      <c r="L64" s="7" t="inlineStr">
        <is>
          <t>2026-08-05</t>
        </is>
      </c>
      <c r="M64" s="7" t="n">
        <v>6380</v>
      </c>
      <c r="N64" s="7" t="n">
        <v>549.35</v>
      </c>
      <c r="O64" s="7" t="inlineStr">
        <is>
          <t>FA-000060</t>
        </is>
      </c>
      <c r="P64" s="7" t="inlineStr"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No</t>
        </is>
      </c>
      <c r="T64" t="n">
        <v>6380</v>
      </c>
      <c r="U64" t="inlineStr">
        <is>
          <t>Active</t>
        </is>
      </c>
      <c r="V64" t="n">
        <v>549.35</v>
      </c>
      <c r="W64" t="n">
        <v>0</v>
      </c>
      <c r="X64" t="inlineStr">
        <is>
          <t>Yes</t>
        </is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Laptop</t>
        </is>
      </c>
      <c r="D65" s="7" t="inlineStr">
        <is>
          <t>Lenovo ThinkPad T14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Working conclusion for MD-00061 (MD-LA-050061): Pending Redeployment at Chicago; cost $2075. Source Ledger FA-000061; net book value $0. purchasing file shows PO-2024-0011 for this unit. equipment_transfer_log TR-00061 posted Feb 02, 2026; inbound 2026-02-03 approval APR-00061.</t>
        </is>
      </c>
      <c r="L65" s="7" t="inlineStr">
        <is>
          <t>2026-08-05</t>
        </is>
      </c>
      <c r="M65" s="7" t="n">
        <v>2075</v>
      </c>
      <c r="N65" s="7" t="n">
        <v>0</v>
      </c>
      <c r="O65" s="7" t="inlineStr">
        <is>
          <t>FA-000061</t>
        </is>
      </c>
      <c r="P65" s="7" t="inlineStr"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No</t>
        </is>
      </c>
      <c r="T65" t="n">
        <v>2075</v>
      </c>
      <c r="U65" t="inlineStr">
        <is>
          <t>Active</t>
        </is>
      </c>
      <c r="V65" t="n">
        <v>0</v>
      </c>
      <c r="W65" t="n">
        <v>0</v>
      </c>
      <c r="X65" t="inlineStr">
        <is>
          <t>Yes</t>
        </is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Monitor</t>
        </is>
      </c>
      <c r="D66" s="7" t="inlineStr">
        <is>
          <t>Dell U2723QE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Working conclusion for MD-00062 (MD-MO-050062): Pending Redeployment at Dallas; cost $790. Source Ledger FA-000062; net book value $410.63. order PO-2024-0011 appears in the purchasing extract. equipment_transfer_log TR-00062 posted Mar 07, 2026; inbound 2026-03-07 approval APR-00062.</t>
        </is>
      </c>
      <c r="L66" s="7" t="inlineStr">
        <is>
          <t>2026-08-05</t>
        </is>
      </c>
      <c r="M66" s="7" t="n">
        <v>790</v>
      </c>
      <c r="N66" s="7" t="n">
        <v>410.63</v>
      </c>
      <c r="O66" s="7" t="inlineStr">
        <is>
          <t>FA-000062</t>
        </is>
      </c>
      <c r="P66" s="7" t="inlineStr"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No</t>
        </is>
      </c>
      <c r="T66" t="n">
        <v>790</v>
      </c>
      <c r="U66" t="inlineStr">
        <is>
          <t>Active</t>
        </is>
      </c>
      <c r="V66" t="n">
        <v>410.63</v>
      </c>
      <c r="W66" t="n">
        <v>0</v>
      </c>
      <c r="X66" t="inlineStr">
        <is>
          <t>Yes</t>
        </is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S24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Cross-checked MD-00063 (MD-MO-050063, Samsung Galaxy S24) against HR, transfers, and ledger extracts. equipment_transfer_log TR-00063 posted Apr 12, 2026; inbound 2026-04-16 approval APR-00063. PO-2024-0011 is the cited purchase order. Source Ledger FA-000063; net book value $533.85.</t>
        </is>
      </c>
      <c r="L67" s="7" t="inlineStr">
        <is>
          <t>2026-08-05</t>
        </is>
      </c>
      <c r="M67" s="7" t="n">
        <v>950</v>
      </c>
      <c r="N67" s="7" t="n">
        <v>533.85</v>
      </c>
      <c r="O67" s="7" t="inlineStr">
        <is>
          <t>FA-000063</t>
        </is>
      </c>
      <c r="P67" s="7" t="inlineStr"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No</t>
        </is>
      </c>
      <c r="T67" t="n">
        <v>950</v>
      </c>
      <c r="U67" t="inlineStr">
        <is>
          <t>Active</t>
        </is>
      </c>
      <c r="V67" t="n">
        <v>533.85</v>
      </c>
      <c r="W67" t="n">
        <v>0</v>
      </c>
      <c r="X67" t="inlineStr">
        <is>
          <t>Yes</t>
        </is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Network Asset</t>
        </is>
      </c>
      <c r="D68" s="7" t="inlineStr">
        <is>
          <t>Cisco C9300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Asset MD-00064 — Cisco C9300 — reconciled to Pending Redeployment in New York on $6245 acquisition. equipment_transfer_log TR-00064 posted May 13, 2026; inbound 2026-05-14 blank approval field. acquisition recorded on PO-2024-0011. Source Ledger FA-000064; net book value $961.76.</t>
        </is>
      </c>
      <c r="L68" s="7" t="inlineStr">
        <is>
          <t>2026-08-05</t>
        </is>
      </c>
      <c r="M68" s="7" t="n">
        <v>6245</v>
      </c>
      <c r="N68" s="7" t="n">
        <v>961.76</v>
      </c>
      <c r="O68" s="7" t="inlineStr">
        <is>
          <t>FA-000064</t>
        </is>
      </c>
      <c r="P68" s="7" t="inlineStr"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No</t>
        </is>
      </c>
      <c r="T68" t="n">
        <v>6245</v>
      </c>
      <c r="U68" t="inlineStr">
        <is>
          <t>Active</t>
        </is>
      </c>
      <c r="V68" t="n">
        <v>961.76</v>
      </c>
      <c r="W68" t="n">
        <v>0</v>
      </c>
      <c r="X68" t="inlineStr">
        <is>
          <t>Yes</t>
        </is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Laptop</t>
        </is>
      </c>
      <c r="D69" s="7" t="inlineStr">
        <is>
          <t>MacBook Pro 14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Asset MD-00065 — MacBook Pro 14 — reconciled to Pending Redeployment in Seattle on $1940 acquisition. equipment_transfer_log TR-00065 posted Jun 17, 2026; inbound 2026-06-23 blank approval field. purchasing file shows PO-2024-0011 for this unit. Source Ledger FA-000065; net book value $0.</t>
        </is>
      </c>
      <c r="L69" s="7" t="inlineStr">
        <is>
          <t>2026-08-05</t>
        </is>
      </c>
      <c r="M69" s="7" t="n">
        <v>1940</v>
      </c>
      <c r="N69" s="7" t="n">
        <v>0</v>
      </c>
      <c r="O69" s="7" t="inlineStr">
        <is>
          <t>FA-000065</t>
        </is>
      </c>
      <c r="P69" s="7" t="inlineStr"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No</t>
        </is>
      </c>
      <c r="T69" t="n">
        <v>1940</v>
      </c>
      <c r="U69" t="inlineStr">
        <is>
          <t>Active</t>
        </is>
      </c>
      <c r="V69" t="n">
        <v>0</v>
      </c>
      <c r="W69" t="n">
        <v>0</v>
      </c>
      <c r="X69" t="inlineStr">
        <is>
          <t>Yes</t>
        </is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Monitor</t>
        </is>
      </c>
      <c r="D70" s="7" t="inlineStr">
        <is>
          <t>Dell U2723QE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Asset MD-00066 — Dell U2723QE — reconciled to Pending Redeployment in Atlanta on $655 acquisition. equipment_transfer_log TR-00066 posted Jan 22, 2026; inbound 2026-01-25 approval APR-00066. buy path for MD-00066 references PO-2024-0011. Source Ledger FA-000066; net book value $385.65.</t>
        </is>
      </c>
      <c r="L70" s="7" t="inlineStr">
        <is>
          <t>2026-08-05</t>
        </is>
      </c>
      <c r="M70" s="7" t="n">
        <v>655</v>
      </c>
      <c r="N70" s="7" t="n">
        <v>385.65</v>
      </c>
      <c r="O70" s="7" t="inlineStr">
        <is>
          <t>FA-000066</t>
        </is>
      </c>
      <c r="P70" s="7" t="inlineStr"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No</t>
        </is>
      </c>
      <c r="T70" t="n">
        <v>655</v>
      </c>
      <c r="U70" t="inlineStr">
        <is>
          <t>Active</t>
        </is>
      </c>
      <c r="V70" t="n">
        <v>385.65</v>
      </c>
      <c r="W70" t="n">
        <v>0</v>
      </c>
      <c r="X70" t="inlineStr">
        <is>
          <t>Yes</t>
        </is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Samsung Galaxy S24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Asset MD-00067 — Samsung Galaxy S24 — reconciled to Pending Redeployment in Chicago on $1130 acquisition. equipment_transfer_log TR-00067 posted Feb 23, 2026; inbound 2026-02-23 approval APR-00067. capital PO PO-2025-0012 supports the cost basis. Source Ledger FA-000067; net book value $764.93.</t>
        </is>
      </c>
      <c r="L71" s="7" t="inlineStr">
        <is>
          <t>2026-08-05</t>
        </is>
      </c>
      <c r="M71" s="7" t="n">
        <v>1130</v>
      </c>
      <c r="N71" s="7" t="n">
        <v>764.93</v>
      </c>
      <c r="O71" s="7" t="inlineStr">
        <is>
          <t>FA-000067</t>
        </is>
      </c>
      <c r="P71" s="7" t="inlineStr"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No</t>
        </is>
      </c>
      <c r="T71" t="n">
        <v>1130</v>
      </c>
      <c r="U71" t="inlineStr">
        <is>
          <t>Active</t>
        </is>
      </c>
      <c r="V71" t="n">
        <v>764.93</v>
      </c>
      <c r="W71" t="n">
        <v>0</v>
      </c>
      <c r="X71" t="inlineStr">
        <is>
          <t>Yes</t>
        </is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Network Asset</t>
        </is>
      </c>
      <c r="D72" s="7" t="inlineStr">
        <is>
          <t>Cisco C9300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Working conclusion for MD-00068 (MD-NE-050068): Return Overdue at Remote - Former Employee; cost $6425. offboarding ticket OFF-00068 referenced. hr_employee_status lists Elliott Park (E0081) as Separated. buy path for MD-00068 references PO-2025-0012. return still label-only per shipment file. equipment_transfer_log TR-00068 posted Mar 28, 2026; inbound 2026-04-03 approval APR-00068. Source Ledger FA-000068; net book value $1436.28.</t>
        </is>
      </c>
      <c r="L72" s="7" t="inlineStr">
        <is>
          <t>2026-06-25</t>
        </is>
      </c>
      <c r="M72" s="7" t="n">
        <v>6425</v>
      </c>
      <c r="N72" s="7" t="n">
        <v>1436.28</v>
      </c>
      <c r="O72" s="7" t="inlineStr">
        <is>
          <t>FA-000068</t>
        </is>
      </c>
      <c r="P72" s="7" t="inlineStr"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 t="n">
        <v>6480</v>
      </c>
      <c r="U72" t="inlineStr">
        <is>
          <t>Active</t>
        </is>
      </c>
      <c r="V72" t="n">
        <v>1436.28</v>
      </c>
      <c r="W72" t="n">
        <v>55</v>
      </c>
      <c r="X72" t="inlineStr">
        <is>
          <t>Yes</t>
        </is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Laptop</t>
        </is>
      </c>
      <c r="D73" s="7" t="inlineStr">
        <is>
          <t>Dell Latitude 7440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Asset MD-00069 — Dell Latitude 7440 — reconciled to Return Overdue in Remote - Former Employee on $2120 acquisition. offboarding ticket OFF-00069 referenced. Source Ledger FA-000069; net book value $142.69. hardware_purchase_orders.csv ties MD-00069 to PO-2025-0012. return still label-only per shipment file. hr_employee_status lists Carmen Diaz (E0082) as Separated. equipment_transfer_log TR-00069 posted May 02, 2026; inbound 2026-05-04 approval APR-00069.</t>
        </is>
      </c>
      <c r="L73" s="7" t="inlineStr">
        <is>
          <t>2026-06-25</t>
        </is>
      </c>
      <c r="M73" s="7" t="n">
        <v>2120</v>
      </c>
      <c r="N73" s="7" t="n">
        <v>142.69</v>
      </c>
      <c r="O73" s="7" t="inlineStr">
        <is>
          <t>FA-000069</t>
        </is>
      </c>
      <c r="P73" s="7" t="inlineStr"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 t="n">
        <v>2120</v>
      </c>
      <c r="U73" t="inlineStr">
        <is>
          <t>Active</t>
        </is>
      </c>
      <c r="V73" t="n">
        <v>142.69</v>
      </c>
      <c r="W73" t="n">
        <v>0</v>
      </c>
      <c r="X73" t="inlineStr">
        <is>
          <t>Yes</t>
        </is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Monitor</t>
        </is>
      </c>
      <c r="D74" s="7" t="inlineStr">
        <is>
          <t>Dell U2723QE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Asset MD-00070 — Dell U2723QE — reconciled to Return Overdue in Remote - Former Employee on $520 acquisition. offboarding ticket OFF-00070 referenced. equipment_transfer_log TR-00070 posted Jun 03, 2026; inbound 2026-06-03 approval APR-00070. Source Ledger FA-000070; net book value $342.32. purchasing file shows PO-2025-0012 for this unit. hr_employee_status lists Hugh Talbot (E0083) as Separated. return still label-only per shipment file.</t>
        </is>
      </c>
      <c r="L74" s="7" t="inlineStr">
        <is>
          <t>2026-06-25</t>
        </is>
      </c>
      <c r="M74" s="7" t="n">
        <v>520</v>
      </c>
      <c r="N74" s="7" t="n">
        <v>342.32</v>
      </c>
      <c r="O74" s="7" t="inlineStr">
        <is>
          <t>FA-000070</t>
        </is>
      </c>
      <c r="P74" s="7" t="inlineStr"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 t="n">
        <v>520</v>
      </c>
      <c r="U74" t="inlineStr">
        <is>
          <t>Active</t>
        </is>
      </c>
      <c r="V74" t="n">
        <v>342.32</v>
      </c>
      <c r="W74" t="n">
        <v>0</v>
      </c>
      <c r="X74" t="inlineStr">
        <is>
          <t>Yes</t>
        </is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Samsung Galaxy S24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Asset MD-00071 — Samsung Galaxy S24 — reconciled to Return Overdue in Remote - Former Employee on $995 acquisition. offboarding ticket OFF-00071 referenced. equipment_transfer_log TR-00071 posted Jul 08, 2026; inbound 2026-07-12 approval APR-00071. Source Ledger FA-000071; net book value $787.96. order PO-2025-0012 appears in the purchasing extract. hr_employee_status lists Mira Adelman (E0084) as Separated. return still label-only per shipment file.</t>
        </is>
      </c>
      <c r="L75" s="7" t="inlineStr">
        <is>
          <t>2026-06-25</t>
        </is>
      </c>
      <c r="M75" s="7" t="n">
        <v>995</v>
      </c>
      <c r="N75" s="7" t="n">
        <v>787.96</v>
      </c>
      <c r="O75" s="7" t="inlineStr">
        <is>
          <t>FA-000071</t>
        </is>
      </c>
      <c r="P75" s="7" t="inlineStr"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 t="n">
        <v>995</v>
      </c>
      <c r="U75" t="inlineStr">
        <is>
          <t>Active</t>
        </is>
      </c>
      <c r="V75" t="n">
        <v>787.96</v>
      </c>
      <c r="W75" t="n">
        <v>0</v>
      </c>
      <c r="X75" t="inlineStr">
        <is>
          <t>Yes</t>
        </is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Cisco C9300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Working conclusion for MD-00072 (MD-NE-050072): Return Overdue at Remote - Former Employee; cost $6290. PO-2025-0012 is the cited purchase order. hr_employee_status lists Quincy Rhodes (E0085) as Separated. return still label-only per shipment file. Source Ledger FA-000072; net book value $500.27. equipment_transfer_log TR-00072 posted Jan 18, 2026; inbound 2026-01-18 approval APR-00072. offboarding ticket OFF-00072 referenced.</t>
        </is>
      </c>
      <c r="L76" s="7" t="inlineStr">
        <is>
          <t>2026-06-25</t>
        </is>
      </c>
      <c r="M76" s="7" t="n">
        <v>6290</v>
      </c>
      <c r="N76" s="7" t="n">
        <v>500.27</v>
      </c>
      <c r="O76" s="7" t="inlineStr">
        <is>
          <t>FA-000072</t>
        </is>
      </c>
      <c r="P76" s="7" t="inlineStr"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 t="n">
        <v>6290</v>
      </c>
      <c r="U76" t="inlineStr">
        <is>
          <t>Active</t>
        </is>
      </c>
      <c r="V76" t="n">
        <v>500.27</v>
      </c>
      <c r="W76" t="n">
        <v>0</v>
      </c>
      <c r="X76" t="inlineStr">
        <is>
          <t>Yes</t>
        </is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Laptop</t>
        </is>
      </c>
      <c r="D77" s="7" t="inlineStr">
        <is>
          <t>Lenovo ThinkPad T14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Cross-checked MD-00073 (MD-LA-050073, Lenovo ThinkPad T14) against HR, transfers, and ledger extracts. hr_employee_status lists Sloane Richter (E0086) as Separated. equipment_transfer_log TR-00073 posted Jan 21, 2026; inbound 2026-01-24 approval APR-00073. offboarding ticket OFF-00073 referenced. acquisition recorded on PO-2022-0013. Source Ledger FA-000073; net book value $0. return still label-only per shipment file.</t>
        </is>
      </c>
      <c r="L77" s="7" t="inlineStr">
        <is>
          <t>2026-06-25</t>
        </is>
      </c>
      <c r="M77" s="7" t="n">
        <v>1985</v>
      </c>
      <c r="N77" s="7" t="n">
        <v>0</v>
      </c>
      <c r="O77" s="7" t="inlineStr">
        <is>
          <t>FA-000073</t>
        </is>
      </c>
      <c r="P77" s="7" t="inlineStr"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 t="n">
        <v>1985</v>
      </c>
      <c r="U77" t="inlineStr">
        <is>
          <t>Active</t>
        </is>
      </c>
      <c r="V77" t="n">
        <v>0</v>
      </c>
      <c r="W77" t="n">
        <v>0</v>
      </c>
      <c r="X77" t="inlineStr">
        <is>
          <t>Yes</t>
        </is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Monitor</t>
        </is>
      </c>
      <c r="D78" s="7" t="inlineStr">
        <is>
          <t>Dell U2723QE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conclusion for MD-00074 (MD-MO-050074): Return Overdue at Carrier Network / Unverified; cost $700. shipment serial MISMATCH-0074 vs register MD-MO-050074. hr_employee_status lists Nolan Vega (E0087) as Separated. return still label-only per shipment file. Source Ledger FA-000074; net book value $359.25. equipment_transfer_log TR-00074 posted Feb 23, 2026; inbound 2026-02-24 approval APR-00074. offboarding ticket OFF-00074 referenced. purchasing file shows PO-2022-0013 for this unit.</t>
        </is>
      </c>
      <c r="L78" s="7" t="inlineStr">
        <is>
          <t>2026-06-25</t>
        </is>
      </c>
      <c r="M78" s="7" t="n">
        <v>700</v>
      </c>
      <c r="N78" s="7" t="n">
        <v>359.25</v>
      </c>
      <c r="O78" s="7" t="inlineStr">
        <is>
          <t>FA-000074</t>
        </is>
      </c>
      <c r="P78" s="7" t="inlineStr"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 t="n">
        <v>700</v>
      </c>
      <c r="U78" t="inlineStr">
        <is>
          <t>Active</t>
        </is>
      </c>
      <c r="V78" t="n">
        <v>359.25</v>
      </c>
      <c r="W78" t="n">
        <v>0</v>
      </c>
      <c r="X78" t="inlineStr">
        <is>
          <t>Yes</t>
        </is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Mobile Device</t>
        </is>
      </c>
      <c r="D79" s="7" t="inlineStr">
        <is>
          <t>Samsung Galaxy S24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Working conclusion for MD-00075 (MD-MO-050075): Return Overdue at Remote - Former Employee; cost $1175. order PO-2022-0013 appears in the purchasing extract. hr_employee_status lists Ivy Chenoweth (E0088) as Separated. return still label-only per shipment file. Source Ledger FA-000075; net book value $647.42. equipment_transfer_log TR-00075 posted Mar 31, 2026; inbound 2026-04-01 approval APR-00075. offboarding ticket OFF-00075 referenced.</t>
        </is>
      </c>
      <c r="L79" s="7" t="inlineStr">
        <is>
          <t>2026-06-25</t>
        </is>
      </c>
      <c r="M79" s="7" t="n">
        <v>1175</v>
      </c>
      <c r="N79" s="7" t="n">
        <v>647.42</v>
      </c>
      <c r="O79" s="7" t="inlineStr">
        <is>
          <t>FA-000075</t>
        </is>
      </c>
      <c r="P79" s="7" t="inlineStr"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 t="n">
        <v>1175</v>
      </c>
      <c r="U79" t="inlineStr">
        <is>
          <t>Active</t>
        </is>
      </c>
      <c r="V79" t="n">
        <v>647.42</v>
      </c>
      <c r="W79" t="n">
        <v>0</v>
      </c>
      <c r="X79" t="inlineStr">
        <is>
          <t>Yes</t>
        </is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C9300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Asset MD-00076 — Cisco C9300 — reconciled to Return Overdue in Carrier Network / Unverified on $6470 acquisition. offboarding ticket OFF-00076 referenced. equipment_transfer_log TR-00076 posted May 01, 2026; inbound 2026-05-03 approval APR-00076. Source Ledger FA-000076; net book value $953.89. hardware_purchase_orders.csv ties MD-00076 to PO-2022-0013. shipment serial MISMATCH-0076 vs register MD-NE-050076. return still label-only per shipment file. hr_employee_status lists Percy Lambert (E0089) as Separated.</t>
        </is>
      </c>
      <c r="L80" s="7" t="inlineStr">
        <is>
          <t>2026-06-25</t>
        </is>
      </c>
      <c r="M80" s="7" t="n">
        <v>6470</v>
      </c>
      <c r="N80" s="7" t="n">
        <v>953.89</v>
      </c>
      <c r="O80" s="7" t="inlineStr">
        <is>
          <t>FA-000076</t>
        </is>
      </c>
      <c r="P80" s="7" t="inlineStr"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 t="n">
        <v>6470</v>
      </c>
      <c r="U80" t="inlineStr">
        <is>
          <t>Active</t>
        </is>
      </c>
      <c r="V80" t="n">
        <v>953.89</v>
      </c>
      <c r="W80" t="n">
        <v>0</v>
      </c>
      <c r="X80" t="inlineStr">
        <is>
          <t>Yes</t>
        </is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Laptop</t>
        </is>
      </c>
      <c r="D81" s="7" t="inlineStr">
        <is>
          <t>MacBook Pro 14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Asset MD-00077 — MacBook Pro 14 — reconciled to Return Overdue in Remote - Former Employee on $1850 acquisition. offboarding ticket OFF-00077 referenced. equipment_transfer_log TR-00077 posted Jun 05, 2026; inbound 2026-06-06 approval APR-00077. Source Ledger FA-000077; net book value $0. PO PO-2022-0013 documents the buy for MD-00077. hr_employee_status lists Dana Ghosh (E0090) as Separated. return still label-only per shipment file.</t>
        </is>
      </c>
      <c r="L81" s="7" t="inlineStr">
        <is>
          <t>2026-06-25</t>
        </is>
      </c>
      <c r="M81" s="7" t="n">
        <v>1850</v>
      </c>
      <c r="N81" s="7" t="n">
        <v>0</v>
      </c>
      <c r="O81" s="7" t="inlineStr">
        <is>
          <t>FA-000077</t>
        </is>
      </c>
      <c r="P81" s="7" t="inlineStr"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 t="n">
        <v>1850</v>
      </c>
      <c r="U81" t="inlineStr">
        <is>
          <t>Active</t>
        </is>
      </c>
      <c r="V81" t="n">
        <v>0</v>
      </c>
      <c r="W81" t="n">
        <v>0</v>
      </c>
      <c r="X81" t="inlineStr">
        <is>
          <t>Yes</t>
        </is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Monitor</t>
        </is>
      </c>
      <c r="D82" s="7" t="inlineStr">
        <is>
          <t>Dell U2723QE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Asset MD-00078 — Dell U2723QE — reconciled to Return Overdue in Remote - Former Employee on $565 acquisition. offboarding ticket OFF-00078 referenced. equipment_transfer_log TR-00078 posted Jan 10, 2026; inbound 2026-01-10 approval APR-00078. Source Ledger FA-000078; net book value $328.95. capital PO PO-2022-0013 supports the cost basis. hr_employee_status lists Harlan Smith (E0091) as Separated. return still label-only per shipment file.</t>
        </is>
      </c>
      <c r="L82" s="7" t="inlineStr">
        <is>
          <t>2026-06-25</t>
        </is>
      </c>
      <c r="M82" s="7" t="n">
        <v>565</v>
      </c>
      <c r="N82" s="7" t="n">
        <v>328.95</v>
      </c>
      <c r="O82" s="7" t="inlineStr">
        <is>
          <t>FA-000078</t>
        </is>
      </c>
      <c r="P82" s="7" t="inlineStr"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 t="n">
        <v>565</v>
      </c>
      <c r="U82" t="inlineStr">
        <is>
          <t>Active</t>
        </is>
      </c>
      <c r="V82" t="n">
        <v>328.95</v>
      </c>
      <c r="W82" t="n">
        <v>0</v>
      </c>
      <c r="X82" t="inlineStr">
        <is>
          <t>Yes</t>
        </is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Mobile Device</t>
        </is>
      </c>
      <c r="D83" s="7" t="inlineStr">
        <is>
          <t>Samsung Galaxy S24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Asset MD-00079 — Samsung Galaxy S24 — reconciled to Return Overdue in Remote - Former Employee on $1040 acquisition. offboarding ticket OFF-00079 referenced. equipment_transfer_log TR-00079 posted Feb 11, 2026; inbound 2026-02-13 approval APR-00079. Source Ledger FA-000079; net book value $692.62. PO PO-2023-0014 documents the buy for MD-00079. hr_employee_status lists June Okoye (E0092) as Separated. return still label-only per shipment file.</t>
        </is>
      </c>
      <c r="L83" s="7" t="inlineStr">
        <is>
          <t>2026-06-25</t>
        </is>
      </c>
      <c r="M83" s="7" t="n">
        <v>1040</v>
      </c>
      <c r="N83" s="7" t="n">
        <v>692.62</v>
      </c>
      <c r="O83" s="7" t="inlineStr">
        <is>
          <t>FA-000079</t>
        </is>
      </c>
      <c r="P83" s="7" t="inlineStr"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 t="n">
        <v>1040</v>
      </c>
      <c r="U83" t="inlineStr">
        <is>
          <t>Active</t>
        </is>
      </c>
      <c r="V83" t="n">
        <v>692.62</v>
      </c>
      <c r="W83" t="n">
        <v>0</v>
      </c>
      <c r="X83" t="inlineStr">
        <is>
          <t>Yes</t>
        </is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C9300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Asset MD-00080 — Cisco C9300 — reconciled to Available in Atlanta Warehouse on $6335 acquisition. order PO-2023-0014 appears in the purchasing extract. Source Ledger FA-000080; net book value $1374.53. equipment_transfer_log TR-00080 posted Mar 16, 2026; inbound 2026-03-17 approval APR-00080.</t>
        </is>
      </c>
      <c r="L84" s="7" t="inlineStr">
        <is>
          <t>2026-07-07</t>
        </is>
      </c>
      <c r="M84" s="7" t="n">
        <v>6335</v>
      </c>
      <c r="N84" s="7" t="n">
        <v>1374.53</v>
      </c>
      <c r="O84" s="7" t="inlineStr">
        <is>
          <t>FA-000080</t>
        </is>
      </c>
      <c r="P84" s="7" t="inlineStr"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is>
          <t>No</t>
        </is>
      </c>
      <c r="T84" t="n">
        <v>6335</v>
      </c>
      <c r="U84" t="inlineStr">
        <is>
          <t>Active</t>
        </is>
      </c>
      <c r="V84" t="n">
        <v>1374.53</v>
      </c>
      <c r="W84" t="n">
        <v>0</v>
      </c>
      <c r="X84" t="inlineStr">
        <is>
          <t>Yes</t>
        </is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Laptop</t>
        </is>
      </c>
      <c r="D85" s="7" t="inlineStr">
        <is>
          <t>Dell Latitude 7440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Asset MD-00081 — Dell Latitude 7440 — reconciled to Available in Atlanta Warehouse on $2030 acquisition. PO-2023-0014 is the cited purchase order. Source Ledger FA-000081; net book value $114.4. equipment_transfer_log TR-00081 posted Apr 20, 2026; inbound 2026-04-20 approval APR-00081.</t>
        </is>
      </c>
      <c r="L85" s="7" t="inlineStr">
        <is>
          <t>2026-07-07</t>
        </is>
      </c>
      <c r="M85" s="7" t="n">
        <v>2030</v>
      </c>
      <c r="N85" s="7" t="n">
        <v>114.4</v>
      </c>
      <c r="O85" s="7" t="inlineStr">
        <is>
          <t>FA-000081</t>
        </is>
      </c>
      <c r="P85" s="7" t="inlineStr"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is>
          <t>No</t>
        </is>
      </c>
      <c r="T85" t="n">
        <v>2030</v>
      </c>
      <c r="U85" t="inlineStr">
        <is>
          <t>Active</t>
        </is>
      </c>
      <c r="V85" t="n">
        <v>114.4</v>
      </c>
      <c r="W85" t="n">
        <v>0</v>
      </c>
      <c r="X85" t="inlineStr">
        <is>
          <t>Yes</t>
        </is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Monitor</t>
        </is>
      </c>
      <c r="D86" s="7" t="inlineStr">
        <is>
          <t>Dell U2723QE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Asset MD-00082 — Dell U2723QE — reconciled to In Transit - Exception in Carrier Network / Unverified on $745 acquisition. Source Ledger FA-000082; net book value $485.55. receiving_exception_scan_1ZMD00000082.png is an investigative lead only. shipment serial MISMATCH-0082 vs register MD-MO-050082. equipment_transfer_log TR-00082 posted May 22, 2026; inbound 2026-05-24 approval APR-00082. hr_employee_status lists Emmett Boyle (E0095) as Separated. acquisition recorded on PO-2023-0014. carrier label 1ZMD00000082 is not proof of receipt. offboarding ticket OFF-00082 referenced.</t>
        </is>
      </c>
      <c r="L86" s="7" t="inlineStr">
        <is>
          <t>2026-07-02</t>
        </is>
      </c>
      <c r="M86" s="7" t="n">
        <v>745</v>
      </c>
      <c r="N86" s="7" t="n">
        <v>485.55</v>
      </c>
      <c r="O86" s="7" t="inlineStr">
        <is>
          <t>FA-000082</t>
        </is>
      </c>
      <c r="P86" s="7" t="inlineStr"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is>
          <t>Yes</t>
        </is>
      </c>
      <c r="T86" t="n">
        <v>745</v>
      </c>
      <c r="U86" t="inlineStr">
        <is>
          <t>Active</t>
        </is>
      </c>
      <c r="V86" t="n">
        <v>485.55</v>
      </c>
      <c r="W86" t="n">
        <v>0</v>
      </c>
      <c r="X86" t="inlineStr">
        <is>
          <t>Yes</t>
        </is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Mobile Device</t>
        </is>
      </c>
      <c r="D87" s="7" t="inlineStr">
        <is>
          <t>Samsung Galaxy S24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Files reviewed for MD-00083: Samsung Galaxy S24, basis $1220, operating site Atlanta Warehouse, status Available. Source Ledger FA-000083; net book value $952.79. equipment_transfer_log TR-00083 posted Jun 26, 2026; inbound 2026-06-27 approval APR-00083. purchasing file shows PO-2023-0014 for this unit.</t>
        </is>
      </c>
      <c r="L87" s="7" t="inlineStr">
        <is>
          <t>2026-07-07</t>
        </is>
      </c>
      <c r="M87" s="7" t="n">
        <v>1220</v>
      </c>
      <c r="N87" s="7" t="n">
        <v>952.79</v>
      </c>
      <c r="O87" s="7" t="inlineStr">
        <is>
          <t>FA-000083</t>
        </is>
      </c>
      <c r="P87" s="7" t="inlineStr"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is>
          <t>No</t>
        </is>
      </c>
      <c r="T87" t="n">
        <v>1220</v>
      </c>
      <c r="U87" t="inlineStr">
        <is>
          <t>Active</t>
        </is>
      </c>
      <c r="V87" t="n">
        <v>952.79</v>
      </c>
      <c r="W87" t="n">
        <v>0</v>
      </c>
      <c r="X87" t="inlineStr">
        <is>
          <t>Yes</t>
        </is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Cisco C9300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Asset MD-00084 — Cisco C9300 — reconciled to In Transit - Exception in Carrier Network / Unverified on $6200 acquisition. Source Ledger FA-000084; net book value $533.85. shipment serial MISMATCH-0084 vs register MD-NE-050084. offboarding ticket OFF-00084 referenced. equipment_transfer_log TR-00084 posted Jan 30, 2026; inbound 2026-02-05 approval APR-00084. hr_employee_status lists Anita Bose (E0072) as Separated. order PO-2023-0014 appears in the purchasing extract.</t>
        </is>
      </c>
      <c r="L88" s="7" t="inlineStr">
        <is>
          <t>2026-07-02</t>
        </is>
      </c>
      <c r="M88" s="7" t="n">
        <v>6200</v>
      </c>
      <c r="N88" s="7" t="n">
        <v>533.85</v>
      </c>
      <c r="O88" s="7" t="inlineStr">
        <is>
          <t>FA-000084</t>
        </is>
      </c>
      <c r="P88" s="7" t="inlineStr"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 t="n">
        <v>6200</v>
      </c>
      <c r="U88" t="inlineStr">
        <is>
          <t>Active</t>
        </is>
      </c>
      <c r="V88" t="n">
        <v>533.85</v>
      </c>
      <c r="W88" t="n">
        <v>0</v>
      </c>
      <c r="X88" t="inlineStr">
        <is>
          <t>Yes</t>
        </is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Laptop</t>
        </is>
      </c>
      <c r="D89" s="7" t="inlineStr">
        <is>
          <t>Lenovo ThinkPad T14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Working conclusion for MD-00085 (MD-LA-050085): Available at Atlanta Warehouse; cost $1895. Source Ledger FA-000085; net book value $0. equipment_transfer_log TR-00085 posted Feb 02, 2026; inbound 2026-02-03 approval APR-00085. purchasing file shows PO-2024-0015 for this unit.</t>
        </is>
      </c>
      <c r="L89" s="7" t="inlineStr">
        <is>
          <t>2026-07-07</t>
        </is>
      </c>
      <c r="M89" s="7" t="n">
        <v>1895</v>
      </c>
      <c r="N89" s="7" t="n">
        <v>0</v>
      </c>
      <c r="O89" s="7" t="inlineStr">
        <is>
          <t>FA-000085</t>
        </is>
      </c>
      <c r="P89" s="7" t="inlineStr"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No</t>
        </is>
      </c>
      <c r="T89" t="n">
        <v>2090</v>
      </c>
      <c r="U89" t="inlineStr">
        <is>
          <t>Active</t>
        </is>
      </c>
      <c r="V89" t="n">
        <v>0</v>
      </c>
      <c r="W89" t="n">
        <v>195</v>
      </c>
      <c r="X89" t="inlineStr">
        <is>
          <t>Yes</t>
        </is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Monitor</t>
        </is>
      </c>
      <c r="D90" s="7" t="inlineStr">
        <is>
          <t>Dell U2723QE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Working conclusion for MD-00086 (MD-MO-050086): Available at Atlanta Warehouse; cost $610. Source Ledger FA-000086; net book value $317.07. equipment_transfer_log TR-00086 posted Mar 07, 2026; inbound 2026-03-08 approval APR-00086. buy path for MD-00086 references PO-2024-0015.</t>
        </is>
      </c>
      <c r="L90" s="7" t="inlineStr">
        <is>
          <t>2026-07-07</t>
        </is>
      </c>
      <c r="M90" s="7" t="n">
        <v>610</v>
      </c>
      <c r="N90" s="7" t="n">
        <v>317.07</v>
      </c>
      <c r="O90" s="7" t="inlineStr">
        <is>
          <t>FA-000086</t>
        </is>
      </c>
      <c r="P90" s="7" t="inlineStr"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is>
          <t>No</t>
        </is>
      </c>
      <c r="T90" t="n">
        <v>610</v>
      </c>
      <c r="U90" t="inlineStr">
        <is>
          <t>Active</t>
        </is>
      </c>
      <c r="V90" t="n">
        <v>317.07</v>
      </c>
      <c r="W90" t="n">
        <v>0</v>
      </c>
      <c r="X90" t="inlineStr">
        <is>
          <t>Yes</t>
        </is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Mobile Device</t>
        </is>
      </c>
      <c r="D91" s="7" t="inlineStr">
        <is>
          <t>Samsung Galaxy S24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 (MD-MO-050087): Available at Atlanta Warehouse; cost $1085. Source Ledger FA-000087; net book value $609.71. equipment_transfer_log TR-00087 posted Apr 12, 2026; inbound 2026-04-12 approval APR-00087. hardware_purchase_orders.csv ties MD-00087 to PO-2024-0015.</t>
        </is>
      </c>
      <c r="L91" s="7" t="inlineStr">
        <is>
          <t>2026-07-07</t>
        </is>
      </c>
      <c r="M91" s="7" t="n">
        <v>1085</v>
      </c>
      <c r="N91" s="7" t="n">
        <v>609.71</v>
      </c>
      <c r="O91" s="7" t="inlineStr">
        <is>
          <t>FA-000087</t>
        </is>
      </c>
      <c r="P91" s="7" t="inlineStr"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is>
          <t>No</t>
        </is>
      </c>
      <c r="T91" t="n">
        <v>1085</v>
      </c>
      <c r="U91" t="inlineStr">
        <is>
          <t>Active</t>
        </is>
      </c>
      <c r="V91" t="n">
        <v>609.71</v>
      </c>
      <c r="W91" t="n">
        <v>0</v>
      </c>
      <c r="X91" t="inlineStr">
        <is>
          <t>Yes</t>
        </is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Cisco C9300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Files reviewed for MD-00088: Cisco C9300, basis $6380, operating site Atlanta Warehouse, status Available. Source Ledger FA-000088; net book value $982.55. duplicate serial MD-NE-050088 flagged on the register. PO PO-2024-0015 documents the buy for MD-00088. equipment_transfer_log TR-00088 posted May 13, 2026; inbound 2026-05-14 approval APR-00088.</t>
        </is>
      </c>
      <c r="L92" s="7" t="inlineStr">
        <is>
          <t>2026-07-07</t>
        </is>
      </c>
      <c r="M92" s="7" t="n">
        <v>6380</v>
      </c>
      <c r="N92" s="7" t="n">
        <v>982.55</v>
      </c>
      <c r="O92" s="7" t="inlineStr">
        <is>
          <t>FA-000088</t>
        </is>
      </c>
      <c r="P92" s="7" t="inlineStr"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No</t>
        </is>
      </c>
      <c r="T92" t="n">
        <v>6380</v>
      </c>
      <c r="U92" t="inlineStr">
        <is>
          <t>Active</t>
        </is>
      </c>
      <c r="V92" t="n">
        <v>982.55</v>
      </c>
      <c r="W92" t="n">
        <v>0</v>
      </c>
      <c r="X92" t="inlineStr">
        <is>
          <t>Yes</t>
        </is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Laptop</t>
        </is>
      </c>
      <c r="D93" s="7" t="inlineStr">
        <is>
          <t>MacBook Pro 14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Asset MD-00089 — MacBook Pro 14 — reconciled to Missing in Unknown on $2075 acquisition. Source Ledger FA-000089; net book value $0. last operational site on register was Denver - Closed. offboarding ticket OFF-00089 referenced. equipment_transfer_log TR-00089 posted Jun 17, 2026; inbound 2026-06-17 approval APR-00089. hr_employee_status lists Jonah Freedman (E0077) as Separated. capital PO PO-2024-0015 supports the cost basis.</t>
        </is>
      </c>
      <c r="L93" s="7" t="inlineStr">
        <is>
          <t>2026-06-18</t>
        </is>
      </c>
      <c r="M93" s="7" t="n">
        <v>2075</v>
      </c>
      <c r="N93" s="7" t="n">
        <v>0</v>
      </c>
      <c r="O93" s="7" t="inlineStr">
        <is>
          <t>FA-000089</t>
        </is>
      </c>
      <c r="P93" s="7" t="inlineStr"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 t="n">
        <v>2075</v>
      </c>
      <c r="U93" t="inlineStr">
        <is>
          <t>Active</t>
        </is>
      </c>
      <c r="V93" t="n">
        <v>0</v>
      </c>
      <c r="W93" t="n">
        <v>0</v>
      </c>
      <c r="X93" t="inlineStr">
        <is>
          <t>Yes</t>
        </is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Monitor</t>
        </is>
      </c>
      <c r="D94" s="7" t="inlineStr">
        <is>
          <t>Dell U2723QE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Asset MD-00090 — Dell U2723QE — reconciled to Missing in Unknown on $790 acquisition. offboarding ticket OFF-00090 referenced. Source Ledger FA-000090; net book value $465.13. last operational site on register was Chicago - Closed. PO-2024-0015 is the cited purchase order. hr_employee_status lists Regina Lowe (E0078) as Separated. equipment_transfer_log TR-00090 posted Jan 22, 2026; inbound 2026-01-28 approval APR-00090.</t>
        </is>
      </c>
      <c r="L94" s="7" t="inlineStr">
        <is>
          <t>2026-06-07</t>
        </is>
      </c>
      <c r="M94" s="7" t="n">
        <v>790</v>
      </c>
      <c r="N94" s="7" t="n">
        <v>465.13</v>
      </c>
      <c r="O94" s="7" t="inlineStr">
        <is>
          <t>FA-000090</t>
        </is>
      </c>
      <c r="P94" s="7" t="inlineStr"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 t="n">
        <v>790</v>
      </c>
      <c r="U94" t="inlineStr">
        <is>
          <t>Active</t>
        </is>
      </c>
      <c r="V94" t="n">
        <v>465.13</v>
      </c>
      <c r="W94" t="n">
        <v>0</v>
      </c>
      <c r="X94" t="inlineStr">
        <is>
          <t>Yes</t>
        </is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Mobile Device</t>
        </is>
      </c>
      <c r="D95" s="7" t="inlineStr">
        <is>
          <t>Samsung Galaxy S24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Asset MD-00091 — Samsung Galaxy S24 — reconciled to Missing in Unknown on $950 acquisition. offboarding ticket OFF-00091 referenced. Source Ledger FA-000091; net book value $643.09. last operational site on register was Denver - Closed. order PO-2025-0016 appears in the purchasing extract. hr_employee_status lists Wes Carvalho (E0079) as Separated. equipment_transfer_log TR-00091 posted Feb 23, 2026; inbound 2026-02-24 approval APR-00091.</t>
        </is>
      </c>
      <c r="L95" s="7" t="inlineStr">
        <is>
          <t>2026-05-08</t>
        </is>
      </c>
      <c r="M95" s="7" t="n">
        <v>950</v>
      </c>
      <c r="N95" s="7" t="n">
        <v>643.09</v>
      </c>
      <c r="O95" s="7" t="inlineStr">
        <is>
          <t>FA-000091</t>
        </is>
      </c>
      <c r="P95" s="7" t="inlineStr"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 t="n">
        <v>950</v>
      </c>
      <c r="U95" t="inlineStr">
        <is>
          <t>Active</t>
        </is>
      </c>
      <c r="V95" t="n">
        <v>643.09</v>
      </c>
      <c r="W95" t="n">
        <v>0</v>
      </c>
      <c r="X95" t="inlineStr">
        <is>
          <t>Yes</t>
        </is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Cisco C9300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Asset MD-00092 — Cisco C9300 — reconciled to Missing in Unknown on $6245 acquisition. offboarding ticket OFF-00092 referenced. Source Ledger FA-000092; net book value $1396.04. last operational site on register was Chicago - Closed. duplicate serial MD-NE-050088 flagged on the register. hr_employee_status lists Tara Singh (E0080) as Separated. equipment_transfer_log TR-00092 posted Mar 28, 2026; inbound 2026-03-28 approval APR-00092. PO-2025-0016 is the cited purchase order.</t>
        </is>
      </c>
      <c r="L96" s="7" t="inlineStr">
        <is>
          <t>2026-06-09</t>
        </is>
      </c>
      <c r="M96" s="7" t="n">
        <v>6245</v>
      </c>
      <c r="N96" s="7" t="n">
        <v>1396.04</v>
      </c>
      <c r="O96" s="7" t="inlineStr">
        <is>
          <t>FA-000092</t>
        </is>
      </c>
      <c r="P96" s="7" t="inlineStr"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 t="n">
        <v>6245</v>
      </c>
      <c r="U96" t="inlineStr">
        <is>
          <t>Active</t>
        </is>
      </c>
      <c r="V96" t="n">
        <v>1396.04</v>
      </c>
      <c r="W96" t="n">
        <v>0</v>
      </c>
      <c r="X96" t="inlineStr">
        <is>
          <t>Yes</t>
        </is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Laptop</t>
        </is>
      </c>
      <c r="D97" s="7" t="inlineStr">
        <is>
          <t>Dell Latitude 7440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Files reviewed for MD-00093: Dell Latitude 7440, basis $1940, operating site Unknown, status Missing. equipment_transfer_log TR-00093 posted May 02, 2026; inbound 2026-05-06 approval APR-00093. acquisition recorded on PO-2025-0016. last operational site on register was Denver - Closed. Source Ledger FA-000093; net book value $130.57. offboarding ticket OFF-00093 referenced. hr_employee_status lists Elliott Park (E0081) as Separated.</t>
        </is>
      </c>
      <c r="L97" s="7" t="inlineStr">
        <is>
          <t>2026-05-10</t>
        </is>
      </c>
      <c r="M97" s="7" t="n">
        <v>1940</v>
      </c>
      <c r="N97" s="7" t="n">
        <v>130.57</v>
      </c>
      <c r="O97" s="7" t="inlineStr">
        <is>
          <t>FA-000093</t>
        </is>
      </c>
      <c r="P97" s="7" t="inlineStr"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 t="n">
        <v>1940</v>
      </c>
      <c r="U97" t="inlineStr">
        <is>
          <t>Active</t>
        </is>
      </c>
      <c r="V97" t="n">
        <v>130.57</v>
      </c>
      <c r="W97" t="n">
        <v>0</v>
      </c>
      <c r="X97" t="inlineStr">
        <is>
          <t>Yes</t>
        </is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Monitor</t>
        </is>
      </c>
      <c r="D98" s="7" t="inlineStr">
        <is>
          <t>Dell U2723QE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Asset MD-00094 — Dell U2723QE — reconciled to Missing in Unknown on $655 acquisition. offboarding ticket OFF-00094 referenced. Source Ledger FA-000094; net book value $431.2. last operational site on register was Chicago - Closed. purchasing file shows PO-2025-0016 for this unit. hr_employee_status lists Carmen Diaz (E0082) as Separated. equipment_transfer_log TR-00094 posted Jun 03, 2026; inbound 2026-06-04 approval APR-00094.</t>
        </is>
      </c>
      <c r="L98" s="7" t="inlineStr">
        <is>
          <t>2026-06-11</t>
        </is>
      </c>
      <c r="M98" s="7" t="n">
        <v>655</v>
      </c>
      <c r="N98" s="7" t="n">
        <v>431.2</v>
      </c>
      <c r="O98" s="7" t="inlineStr">
        <is>
          <t>FA-000094</t>
        </is>
      </c>
      <c r="P98" s="7" t="inlineStr"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 t="n">
        <v>655</v>
      </c>
      <c r="U98" t="inlineStr">
        <is>
          <t>Active</t>
        </is>
      </c>
      <c r="V98" t="n">
        <v>431.2</v>
      </c>
      <c r="W98" t="n">
        <v>0</v>
      </c>
      <c r="X98" t="inlineStr">
        <is>
          <t>Yes</t>
        </is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Mobile Device</t>
        </is>
      </c>
      <c r="D99" s="7" t="inlineStr">
        <is>
          <t>Samsung Galaxy S24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Asset MD-00095 — Samsung Galaxy S24 — reconciled to Missing in Unknown on $1130 acquisition. offboarding ticket OFF-00095 referenced. Source Ledger FA-000095; net book value $894.87. last operational site on register was Denver - Closed. order PO-2025-0016 appears in the purchasing extract. hr_employee_status lists Hugh Talbot (E0083) as Separated. equipment_transfer_log TR-00095 posted Jul 08, 2026; inbound 2026-07-08 approval APR-00095.</t>
        </is>
      </c>
      <c r="L99" s="7" t="inlineStr">
        <is>
          <t>2026-06-24</t>
        </is>
      </c>
      <c r="M99" s="7" t="n">
        <v>1130</v>
      </c>
      <c r="N99" s="7" t="n">
        <v>894.87</v>
      </c>
      <c r="O99" s="7" t="inlineStr">
        <is>
          <t>FA-000095</t>
        </is>
      </c>
      <c r="P99" s="7" t="inlineStr"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 t="n">
        <v>1130</v>
      </c>
      <c r="U99" t="inlineStr">
        <is>
          <t>Active</t>
        </is>
      </c>
      <c r="V99" t="n">
        <v>894.87</v>
      </c>
      <c r="W99" t="n">
        <v>0</v>
      </c>
      <c r="X99" t="inlineStr">
        <is>
          <t>Yes</t>
        </is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Asset MD-00096 — Cisco C9300 — reconciled to Missing in Unknown on $6425 acquisition. offboarding ticket OFF-00096 referenced. Source Ledger FA-000096; net book value $511.01. last operational site on register was Chicago - Closed. PO-2025-0016 is the cited purchase order. hr_employee_status lists Mira Adelman (E0084) as Separated. equipment_transfer_log TR-00096 posted Jan 18, 2026; inbound 2026-01-19 approval APR-00096.</t>
        </is>
      </c>
      <c r="L100" s="7" t="inlineStr">
        <is>
          <t>2026-06-13</t>
        </is>
      </c>
      <c r="M100" s="7" t="n">
        <v>6425</v>
      </c>
      <c r="N100" s="7" t="n">
        <v>511.01</v>
      </c>
      <c r="O100" s="7" t="inlineStr">
        <is>
          <t>FA-000096</t>
        </is>
      </c>
      <c r="P100" s="7" t="inlineStr"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 t="n">
        <v>6425</v>
      </c>
      <c r="U100" t="inlineStr">
        <is>
          <t>Active</t>
        </is>
      </c>
      <c r="V100" t="n">
        <v>511.01</v>
      </c>
      <c r="W100" t="n">
        <v>0</v>
      </c>
      <c r="X100" t="inlineStr">
        <is>
          <t>Yes</t>
        </is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Laptop</t>
        </is>
      </c>
      <c r="D101" s="7" t="inlineStr">
        <is>
          <t>Lenovo ThinkPad T14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Working conclusion for MD-00097 (MD-LA-050097): Missing at Unknown; cost $2120. offboarding ticket OFF-00097 referenced. purchasing file shows PO-2022-0017 for this unit. last operational site on register was Denver - Closed. Source Ledger FA-000097; net book value $0. equipment_transfer_log TR-00097 posted Jan 21, 2026; inbound 2026-01-27 approval APR-00097. hr_employee_status lists Quincy Rhodes (E0085) as Separated.</t>
        </is>
      </c>
      <c r="L101" s="7" t="inlineStr">
        <is>
          <t>2026-05-14</t>
        </is>
      </c>
      <c r="M101" s="7" t="n">
        <v>2120</v>
      </c>
      <c r="N101" s="7" t="n">
        <v>0</v>
      </c>
      <c r="O101" s="7" t="inlineStr">
        <is>
          <t>FA-000097</t>
        </is>
      </c>
      <c r="P101" s="7" t="inlineStr"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 t="n">
        <v>2120</v>
      </c>
      <c r="U101" t="inlineStr">
        <is>
          <t>Active</t>
        </is>
      </c>
      <c r="V101" t="n">
        <v>0</v>
      </c>
      <c r="W101" t="n">
        <v>0</v>
      </c>
      <c r="X101" t="inlineStr">
        <is>
          <t>Yes</t>
        </is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Monitor</t>
        </is>
      </c>
      <c r="D102" s="7" t="inlineStr">
        <is>
          <t>Dell U2723QE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Asset MD-00098 — Dell U2723QE — reconciled to Missing in Unknown on $520 acquisition. offboarding ticket OFF-00098 referenced. PO-2022-0017 is the cited purchase order. Source Ledger FA-000098; net book value $266.87. equipment_transfer_log TR-00098 posted Feb 23, 2026; inbound 2026-02-24 approval APR-00098. hr_employee_status lists Sloane Richter (E0086) as Separated. last operational site on register was Chicago - Closed.</t>
        </is>
      </c>
      <c r="L102" s="7" t="inlineStr">
        <is>
          <t>2026-06-15</t>
        </is>
      </c>
      <c r="M102" s="7" t="n">
        <v>520</v>
      </c>
      <c r="N102" s="7" t="n">
        <v>266.87</v>
      </c>
      <c r="O102" s="7" t="inlineStr">
        <is>
          <t>FA-000098</t>
        </is>
      </c>
      <c r="P102" s="7" t="inlineStr"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 t="n">
        <v>520</v>
      </c>
      <c r="U102" t="inlineStr">
        <is>
          <t>Active</t>
        </is>
      </c>
      <c r="V102" t="n">
        <v>266.87</v>
      </c>
      <c r="W102" t="n">
        <v>0</v>
      </c>
      <c r="X102" t="inlineStr">
        <is>
          <t>Yes</t>
        </is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Mobile Device</t>
        </is>
      </c>
      <c r="D103" s="7" t="inlineStr">
        <is>
          <t>Samsung Galaxy S24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Working conclusion for MD-00099 (MD-MO-050099): Missing at Unknown; cost $995. offboarding ticket OFF-00099 referenced. purchasing file shows PO-2022-0017 for this unit. last operational site on register was Denver - Closed. Source Ledger FA-000099; net book value $548.24. equipment_transfer_log TR-00099 posted Mar 31, 2026; inbound 2026-04-02 approval APR-00099. hr_employee_status lists Nolan Vega (E0087) as Separated.</t>
        </is>
      </c>
      <c r="L103" s="7" t="inlineStr">
        <is>
          <t>2026-05-16</t>
        </is>
      </c>
      <c r="M103" s="7" t="n">
        <v>995</v>
      </c>
      <c r="N103" s="7" t="n">
        <v>548.24</v>
      </c>
      <c r="O103" s="7" t="inlineStr">
        <is>
          <t>FA-000099</t>
        </is>
      </c>
      <c r="P103" s="7" t="inlineStr"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 t="n">
        <v>995</v>
      </c>
      <c r="U103" t="inlineStr">
        <is>
          <t>Active</t>
        </is>
      </c>
      <c r="V103" t="n">
        <v>548.24</v>
      </c>
      <c r="W103" t="n">
        <v>0</v>
      </c>
      <c r="X103" t="inlineStr">
        <is>
          <t>Yes</t>
        </is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Network Asset</t>
        </is>
      </c>
      <c r="D104" s="7" t="inlineStr">
        <is>
          <t>Cisco C9300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Working conclusion for MD-00100 (MD-NE-050100): Missing at Unknown; cost $6290. offboarding ticket OFF-00100 referenced. hr_employee_status lists Ivy Chenoweth (E0088) as Separated. purchasing file shows PO-2022-0017 for this unit. last operational site on register was Chicago - Closed. equipment_transfer_log TR-00100 posted May 01, 2026; inbound 2026-05-05 approval APR-00100. Source Ledger FA-000100; net book value $927.36.</t>
        </is>
      </c>
      <c r="L104" s="7" t="inlineStr">
        <is>
          <t>2026-06-17</t>
        </is>
      </c>
      <c r="M104" s="7" t="n">
        <v>6290</v>
      </c>
      <c r="N104" s="7" t="n">
        <v>927.36</v>
      </c>
      <c r="O104" s="7" t="inlineStr">
        <is>
          <t>FA-000100</t>
        </is>
      </c>
      <c r="P104" s="7" t="inlineStr"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 t="n">
        <v>6290</v>
      </c>
      <c r="U104" t="inlineStr">
        <is>
          <t>Active</t>
        </is>
      </c>
      <c r="V104" t="n">
        <v>927.36</v>
      </c>
      <c r="W104" t="n">
        <v>0</v>
      </c>
      <c r="X104" t="inlineStr">
        <is>
          <t>Yes</t>
        </is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MacBook Pro 14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Asset MD-00101 — MacBook Pro 14 — reconciled to Retired/Pending Disposal in Seattle on $1985 acquisition. PO-2022-0017 is the cited purchase order. Source Ledger FA-000101; net book value $0. equipment_transfer_log TR-00101 posted Jun 05, 2026; inbound 2026-06-07 approval APR-00101. offboarding ticket RET-00101 referenced.</t>
        </is>
      </c>
      <c r="L105" s="7" t="inlineStr">
        <is>
          <t>2026-06-07</t>
        </is>
      </c>
      <c r="M105" s="7" t="n">
        <v>1985</v>
      </c>
      <c r="N105" s="7" t="n">
        <v>0</v>
      </c>
      <c r="O105" s="7" t="inlineStr">
        <is>
          <t>FA-000101</t>
        </is>
      </c>
      <c r="P105" s="7" t="inlineStr"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 t="n">
        <v>1985</v>
      </c>
      <c r="U105" t="inlineStr">
        <is>
          <t>Active</t>
        </is>
      </c>
      <c r="V105" t="n">
        <v>0</v>
      </c>
      <c r="W105" t="n">
        <v>0</v>
      </c>
      <c r="X105" t="inlineStr">
        <is>
          <t>Yes</t>
        </is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Monitor</t>
        </is>
      </c>
      <c r="D106" s="7" t="inlineStr">
        <is>
          <t>Dell U2723QE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Files reviewed for MD-00102: Dell U2723QE, basis $700, operating site Atlanta, status Retired/Pending Disposal. Source Ledger FA-000102; net book value $407.54. equipment_transfer_log TR-00102 posted Jan 10, 2026; inbound 2026-01-11 approval APR-00102. offboarding ticket RET-00102 referenced. purchasing file shows PO-2022-0017 for this unit.</t>
        </is>
      </c>
      <c r="L106" s="7" t="inlineStr">
        <is>
          <t>2026-05-31</t>
        </is>
      </c>
      <c r="M106" s="7" t="n">
        <v>700</v>
      </c>
      <c r="N106" s="7" t="n">
        <v>407.54</v>
      </c>
      <c r="O106" s="7" t="inlineStr">
        <is>
          <t>FA-000102</t>
        </is>
      </c>
      <c r="P106" s="7" t="inlineStr"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 t="n">
        <v>820</v>
      </c>
      <c r="U106" t="inlineStr">
        <is>
          <t>Active</t>
        </is>
      </c>
      <c r="V106" t="n">
        <v>407.54</v>
      </c>
      <c r="W106" t="n">
        <v>120</v>
      </c>
      <c r="X106" t="inlineStr">
        <is>
          <t>Yes</t>
        </is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Mobile Device</t>
        </is>
      </c>
      <c r="D107" s="7" t="inlineStr">
        <is>
          <t>Samsung Galaxy S24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Files reviewed for MD-00103: Samsung Galaxy S24, basis $1175, operating site Chicago, status Retired/Pending Disposal. Source Ledger FA-000103; net book value $782.53. equipment_transfer_log TR-00103 posted Feb 11, 2026; inbound 2026-02-14 approval APR-00103. offboarding ticket RET-00103 referenced. purchasing file shows PO-2023-0018 for this unit.</t>
        </is>
      </c>
      <c r="L107" s="7" t="inlineStr">
        <is>
          <t>2026-05-31</t>
        </is>
      </c>
      <c r="M107" s="7" t="n">
        <v>1175</v>
      </c>
      <c r="N107" s="7" t="n">
        <v>782.53</v>
      </c>
      <c r="O107" s="7" t="inlineStr">
        <is>
          <t>FA-000103</t>
        </is>
      </c>
      <c r="P107" s="7" t="inlineStr"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 t="n">
        <v>1175</v>
      </c>
      <c r="U107" t="inlineStr">
        <is>
          <t>Active</t>
        </is>
      </c>
      <c r="V107" t="n">
        <v>782.53</v>
      </c>
      <c r="W107" t="n">
        <v>0</v>
      </c>
      <c r="X107" t="inlineStr">
        <is>
          <t>Yes</t>
        </is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Network Asset</t>
        </is>
      </c>
      <c r="D108" s="7" t="inlineStr">
        <is>
          <t>Cisco C9300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Files reviewed for MD-00104: Cisco C9300, basis $6470, operating site Dallas, status Retired/Pending Disposal. Source Ledger FA-000104; net book value $1403.83. equipment_transfer_log TR-00104 posted Mar 16, 2026; inbound 2026-03-18 approval APR-00104. offboarding ticket RET-00104 referenced. PO-2023-0018 is the cited purchase order.</t>
        </is>
      </c>
      <c r="L108" s="7" t="inlineStr">
        <is>
          <t>2026-05-31</t>
        </is>
      </c>
      <c r="M108" s="7" t="n">
        <v>6470</v>
      </c>
      <c r="N108" s="7" t="n">
        <v>1403.83</v>
      </c>
      <c r="O108" s="7" t="inlineStr">
        <is>
          <t>FA-000104</t>
        </is>
      </c>
      <c r="P108" s="7" t="inlineStr"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 t="n">
        <v>6470</v>
      </c>
      <c r="U108" t="inlineStr">
        <is>
          <t>Active</t>
        </is>
      </c>
      <c r="V108" t="n">
        <v>1403.83</v>
      </c>
      <c r="W108" t="n">
        <v>0</v>
      </c>
      <c r="X108" t="inlineStr">
        <is>
          <t>Yes</t>
        </is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Asset MD-00105 — Dell Latitude 7440 — reconciled to Retired/Pending Disposal in Denver on $1850 acquisition. purchasing file shows PO-2023-0018 for this unit. Source Ledger FA-000105; net book value $104.26. equipment_transfer_log TR-00105 posted Apr 20, 2026; inbound 2026-04-21 approval APR-00105. offboarding ticket RET-00105 referenced.</t>
        </is>
      </c>
      <c r="L109" s="7" t="inlineStr">
        <is>
          <t>2026-05-31</t>
        </is>
      </c>
      <c r="M109" s="7" t="n">
        <v>1850</v>
      </c>
      <c r="N109" s="7" t="n">
        <v>104.26</v>
      </c>
      <c r="O109" s="7" t="inlineStr">
        <is>
          <t>FA-000105</t>
        </is>
      </c>
      <c r="P109" s="7" t="inlineStr"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 t="n">
        <v>1850</v>
      </c>
      <c r="U109" t="inlineStr">
        <is>
          <t>Active</t>
        </is>
      </c>
      <c r="V109" t="n">
        <v>104.26</v>
      </c>
      <c r="W109" t="n">
        <v>0</v>
      </c>
      <c r="X109" t="inlineStr">
        <is>
          <t>Yes</t>
        </is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Monitor</t>
        </is>
      </c>
      <c r="D110" s="7" t="inlineStr">
        <is>
          <t>Dell U2723QE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Asset MD-00106 — Dell U2723QE — reconciled to Retired/Pending Disposal in New York on $565 acquisition. hardware_purchase_orders.csv ties MD-00106 to PO-2023-0018. Source Ledger FA-000106; net book value $368.24. equipment_transfer_log TR-00106 posted May 22, 2026; inbound 2026-05-25 approval APR-00106. offboarding ticket RET-00106 referenced.</t>
        </is>
      </c>
      <c r="L110" s="7" t="inlineStr">
        <is>
          <t>2026-05-31</t>
        </is>
      </c>
      <c r="M110" s="7" t="n">
        <v>565</v>
      </c>
      <c r="N110" s="7" t="n">
        <v>368.24</v>
      </c>
      <c r="O110" s="7" t="inlineStr">
        <is>
          <t>FA-000106</t>
        </is>
      </c>
      <c r="P110" s="7" t="inlineStr"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 t="n">
        <v>565</v>
      </c>
      <c r="U110" t="inlineStr">
        <is>
          <t>Active</t>
        </is>
      </c>
      <c r="V110" t="n">
        <v>368.24</v>
      </c>
      <c r="W110" t="n">
        <v>0</v>
      </c>
      <c r="X110" t="inlineStr">
        <is>
          <t>Yes</t>
        </is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Mobile Device</t>
        </is>
      </c>
      <c r="D111" s="7" t="inlineStr">
        <is>
          <t>Samsung Galaxy S24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Files reviewed for MD-00107: Samsung Galaxy S24, basis $1040, operating site Seattle, status Retired/Pending Disposal. Source Ledger FA-000107; net book value $812.21. equipment_transfer_log TR-00107 posted Jun 26, 2026; inbound 2026-06-27 approval APR-00107. offboarding ticket RET-00107 referenced. capital PO PO-2023-0018 supports the cost basis.</t>
        </is>
      </c>
      <c r="L111" s="7" t="inlineStr">
        <is>
          <t>2026-06-13</t>
        </is>
      </c>
      <c r="M111" s="7" t="n">
        <v>1040</v>
      </c>
      <c r="N111" s="7" t="n">
        <v>812.21</v>
      </c>
      <c r="O111" s="7" t="inlineStr">
        <is>
          <t>FA-000107</t>
        </is>
      </c>
      <c r="P111" s="7" t="inlineStr"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 t="n">
        <v>1040</v>
      </c>
      <c r="U111" t="inlineStr">
        <is>
          <t>Active</t>
        </is>
      </c>
      <c r="V111" t="n">
        <v>812.21</v>
      </c>
      <c r="W111" t="n">
        <v>0</v>
      </c>
      <c r="X111" t="inlineStr">
        <is>
          <t>Yes</t>
        </is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Network Asset</t>
        </is>
      </c>
      <c r="D112" s="7" t="inlineStr">
        <is>
          <t>Cisco C9300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Files reviewed for MD-00108: Cisco C9300, basis $6335, operating site Atlanta, status Retired/Pending Disposal. Source Ledger FA-000108; net book value $545.48. equipment_transfer_log TR-00108 posted Jan 30, 2026; inbound 2026-01-30 approval APR-00108. offboarding ticket RET-00108 referenced. hardware_purchase_orders.csv ties MD-00108 to PO-2023-0018.</t>
        </is>
      </c>
      <c r="L112" s="7" t="inlineStr">
        <is>
          <t>2026-05-31</t>
        </is>
      </c>
      <c r="M112" s="7" t="n">
        <v>6335</v>
      </c>
      <c r="N112" s="7" t="n">
        <v>545.48</v>
      </c>
      <c r="O112" s="7" t="inlineStr">
        <is>
          <t>FA-000108</t>
        </is>
      </c>
      <c r="P112" s="7" t="inlineStr"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 t="n">
        <v>6335</v>
      </c>
      <c r="U112" t="inlineStr">
        <is>
          <t>Active</t>
        </is>
      </c>
      <c r="V112" t="n">
        <v>545.48</v>
      </c>
      <c r="W112" t="n">
        <v>0</v>
      </c>
      <c r="X112" t="inlineStr">
        <is>
          <t>Yes</t>
        </is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Files reviewed for MD-00109: Lenovo ThinkPad T14, basis $2030, operating site Chicago, status Retired/Pending Disposal. Source Ledger FA-000109; net book value $0. equipment_transfer_log TR-00109 posted Feb 02, 2026; inbound 2026-02-04 approval APR-00109. offboarding ticket RET-00109 referenced. hardware_purchase_orders.csv ties MD-00109 to PO-2024-0019.</t>
        </is>
      </c>
      <c r="L113" s="7" t="inlineStr">
        <is>
          <t>2026-05-31</t>
        </is>
      </c>
      <c r="M113" s="7" t="n">
        <v>2030</v>
      </c>
      <c r="N113" s="7" t="n">
        <v>0</v>
      </c>
      <c r="O113" s="7" t="inlineStr">
        <is>
          <t>FA-000109</t>
        </is>
      </c>
      <c r="P113" s="7" t="inlineStr"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 t="n">
        <v>2030</v>
      </c>
      <c r="U113" t="inlineStr">
        <is>
          <t>Active</t>
        </is>
      </c>
      <c r="V113" t="n">
        <v>0</v>
      </c>
      <c r="W113" t="n">
        <v>0</v>
      </c>
      <c r="X113" t="inlineStr">
        <is>
          <t>Yes</t>
        </is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Monitor</t>
        </is>
      </c>
      <c r="D114" s="7" t="inlineStr">
        <is>
          <t>Dell U2723QE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Asset MD-00110 — Dell U2723QE — reconciled to Retired/Pending Disposal in Dallas on $745 acquisition. equipment_transfer_log TR-00110 posted Mar 07, 2026; inbound 2026-03-08 approval APR-00110. Source Ledger FA-000110; net book value $387.24. PO-2024-0019 is the cited purchase order. offboarding ticket RET-00110 referenced.</t>
        </is>
      </c>
      <c r="L114" s="7" t="inlineStr">
        <is>
          <t>2026-05-31</t>
        </is>
      </c>
      <c r="M114" s="7" t="n">
        <v>745</v>
      </c>
      <c r="N114" s="7" t="n">
        <v>387.24</v>
      </c>
      <c r="O114" s="7" t="inlineStr">
        <is>
          <t>FA-000110</t>
        </is>
      </c>
      <c r="P114" s="7" t="inlineStr"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 t="n">
        <v>745</v>
      </c>
      <c r="U114" t="inlineStr">
        <is>
          <t>Active</t>
        </is>
      </c>
      <c r="V114" t="n">
        <v>387.24</v>
      </c>
      <c r="W114" t="n">
        <v>0</v>
      </c>
      <c r="X114" t="inlineStr">
        <is>
          <t>Yes</t>
        </is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Mobile Device</t>
        </is>
      </c>
      <c r="D115" s="7" t="inlineStr">
        <is>
          <t>Samsung Galaxy S24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Working conclusion for MD-00111 (MD-MO-050111): Disposed at Disposed; cost $1220. Source Ledger FA-000111; net book value $0. purchasing file shows PO-2024-0019 for this unit. equipment_transfer_log TR-00111 posted Apr 12, 2026; inbound 2026-04-13 approval APR-00111.</t>
        </is>
      </c>
      <c r="L115" s="7" t="inlineStr">
        <is>
          <t>2026-07-20</t>
        </is>
      </c>
      <c r="M115" s="7" t="n">
        <v>1220</v>
      </c>
      <c r="N115" s="7" t="n">
        <v>0</v>
      </c>
      <c r="O115" s="7" t="inlineStr">
        <is>
          <t>FA-000111</t>
        </is>
      </c>
      <c r="P115" s="7" t="inlineStr">
        <is>
          <t>No</t>
        </is>
      </c>
      <c r="Q115" s="9" t="inlineStr">
        <is>
          <t>High</t>
        </is>
      </c>
      <c r="R115" s="7" t="inlineStr"/>
      <c r="S115" s="7" t="inlineStr">
        <is>
          <t>No</t>
        </is>
      </c>
      <c r="T115" t="n">
        <v>1220</v>
      </c>
      <c r="U115" t="inlineStr">
        <is>
          <t>Disposed</t>
        </is>
      </c>
      <c r="V115" t="n">
        <v>0</v>
      </c>
      <c r="W115" t="n">
        <v>0</v>
      </c>
      <c r="X115" t="inlineStr">
        <is>
          <t>Yes</t>
        </is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Network Asset</t>
        </is>
      </c>
      <c r="D116" s="7" t="inlineStr">
        <is>
          <t>Cisco C9300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Asset MD-00112 — Cisco C9300 — reconciled to Disposed in Disposed on $6200 acquisition. equipment_transfer_log TR-00112 posted May 13, 2026; inbound 2026-05-15 approval APR-00112. Source Ledger FA-000112; net book value $0. PO-2024-0019 is the cited purchase order.</t>
        </is>
      </c>
      <c r="L116" s="7" t="inlineStr">
        <is>
          <t>2026-07-20</t>
        </is>
      </c>
      <c r="M116" s="7" t="n">
        <v>6200</v>
      </c>
      <c r="N116" s="7" t="n">
        <v>0</v>
      </c>
      <c r="O116" s="7" t="inlineStr">
        <is>
          <t>FA-000112</t>
        </is>
      </c>
      <c r="P116" s="7" t="inlineStr">
        <is>
          <t>Yes</t>
        </is>
      </c>
      <c r="Q116" s="9" t="inlineStr">
        <is>
          <t>High</t>
        </is>
      </c>
      <c r="R116" s="7" t="inlineStr"/>
      <c r="S116" s="7" t="inlineStr">
        <is>
          <t>No</t>
        </is>
      </c>
      <c r="T116" t="n">
        <v>6200</v>
      </c>
      <c r="U116" t="inlineStr">
        <is>
          <t>Disposed</t>
        </is>
      </c>
      <c r="V116" t="n">
        <v>0</v>
      </c>
      <c r="W116" t="n">
        <v>0</v>
      </c>
      <c r="X116" t="inlineStr">
        <is>
          <t>Yes</t>
        </is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MacBook Pro 14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Files reviewed for MD-00113: MacBook Pro 14, basis $1895, operating site Disposed, status Disposed. Source Ledger FA-000113; net book value $0. purchasing file shows PO-2024-0019 for this unit. equipment_transfer_log TR-00113 posted Jun 17, 2026; inbound 2026-06-18 approval APR-00113.</t>
        </is>
      </c>
      <c r="L117" s="7" t="inlineStr">
        <is>
          <t>2026-07-20</t>
        </is>
      </c>
      <c r="M117" s="7" t="n">
        <v>1895</v>
      </c>
      <c r="N117" s="7" t="n">
        <v>0</v>
      </c>
      <c r="O117" s="7" t="inlineStr">
        <is>
          <t>FA-000113</t>
        </is>
      </c>
      <c r="P117" s="7" t="inlineStr">
        <is>
          <t>No</t>
        </is>
      </c>
      <c r="Q117" s="9" t="inlineStr">
        <is>
          <t>High</t>
        </is>
      </c>
      <c r="R117" s="7" t="inlineStr"/>
      <c r="S117" s="7" t="inlineStr">
        <is>
          <t>No</t>
        </is>
      </c>
      <c r="T117" t="n">
        <v>1895</v>
      </c>
      <c r="U117" t="inlineStr">
        <is>
          <t>Disposed</t>
        </is>
      </c>
      <c r="V117" t="n">
        <v>0</v>
      </c>
      <c r="W117" t="n">
        <v>0</v>
      </c>
      <c r="X117" t="inlineStr">
        <is>
          <t>Yes</t>
        </is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Monitor</t>
        </is>
      </c>
      <c r="D118" s="7" t="inlineStr">
        <is>
          <t>Dell U2723QE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Files reviewed for MD-00114: Dell U2723QE, basis $610, operating site Disposed (certificate missing), status Retired/Pending Disposal. Source Ledger FA-000114; net book value $0. PO-2024-0019 is the cited purchase order. offboarding ticket RET-00114 referenced. equipment_transfer_log TR-00114 posted Jan 22, 2026; inbound 2026-01-22 approval APR-00114. no verified disposal certificate located.</t>
        </is>
      </c>
      <c r="L118" s="7" t="inlineStr">
        <is>
          <t>2026-01-20</t>
        </is>
      </c>
      <c r="M118" s="7" t="n">
        <v>610</v>
      </c>
      <c r="N118" s="7" t="n">
        <v>0</v>
      </c>
      <c r="O118" s="7" t="inlineStr">
        <is>
          <t>FA-000114</t>
        </is>
      </c>
      <c r="P118" s="7" t="inlineStr"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 t="n">
        <v>610</v>
      </c>
      <c r="U118" t="inlineStr">
        <is>
          <t>Disposed</t>
        </is>
      </c>
      <c r="V118" t="n">
        <v>0</v>
      </c>
      <c r="W118" t="n">
        <v>0</v>
      </c>
      <c r="X118" t="inlineStr">
        <is>
          <t>Yes</t>
        </is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Mobile Device</t>
        </is>
      </c>
      <c r="D119" s="7" t="inlineStr">
        <is>
          <t>Samsung Galaxy S24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Files reviewed for MD-00115: Samsung Galaxy S24, basis $1085, operating site Disposed, status Disposed. Source Ledger FA-000115; net book value $0. PO PO-2025-0020 documents the buy for MD-00115. equipment_transfer_log TR-00115 posted Feb 23, 2026; inbound 2026-02-25 approval APR-00115.</t>
        </is>
      </c>
      <c r="L119" s="7" t="inlineStr">
        <is>
          <t>2026-07-20</t>
        </is>
      </c>
      <c r="M119" s="7" t="n">
        <v>1085</v>
      </c>
      <c r="N119" s="7" t="n">
        <v>0</v>
      </c>
      <c r="O119" s="7" t="inlineStr">
        <is>
          <t>FA-000115</t>
        </is>
      </c>
      <c r="P119" s="7" t="inlineStr">
        <is>
          <t>No</t>
        </is>
      </c>
      <c r="Q119" s="9" t="inlineStr">
        <is>
          <t>High</t>
        </is>
      </c>
      <c r="R119" s="7" t="inlineStr"/>
      <c r="S119" s="7" t="inlineStr">
        <is>
          <t>No</t>
        </is>
      </c>
      <c r="T119" t="n">
        <v>1085</v>
      </c>
      <c r="U119" t="inlineStr">
        <is>
          <t>Disposed</t>
        </is>
      </c>
      <c r="V119" t="n">
        <v>0</v>
      </c>
      <c r="W119" t="n">
        <v>0</v>
      </c>
      <c r="X119" t="inlineStr">
        <is>
          <t>Yes</t>
        </is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Network Asset</t>
        </is>
      </c>
      <c r="D120" s="7" t="inlineStr">
        <is>
          <t>Cisco C9300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Asset MD-00116 — Cisco C9300 — reconciled to Disposed in Disposed on $6380 acquisition. equipment_transfer_log TR-00116 posted Mar 28, 2026; inbound 2026-03-29 approval APR-00116. PO-2025-0020 is the cited purchase order. Source Ledger FA-000116; net book value $0.</t>
        </is>
      </c>
      <c r="L120" s="7" t="inlineStr">
        <is>
          <t>2026-07-20</t>
        </is>
      </c>
      <c r="M120" s="7" t="n">
        <v>6380</v>
      </c>
      <c r="N120" s="7" t="n">
        <v>0</v>
      </c>
      <c r="O120" s="7" t="inlineStr">
        <is>
          <t>FA-000116</t>
        </is>
      </c>
      <c r="P120" s="7" t="inlineStr">
        <is>
          <t>Yes</t>
        </is>
      </c>
      <c r="Q120" s="9" t="inlineStr">
        <is>
          <t>High</t>
        </is>
      </c>
      <c r="R120" s="7" t="inlineStr"/>
      <c r="S120" s="7" t="inlineStr">
        <is>
          <t>No</t>
        </is>
      </c>
      <c r="T120" t="n">
        <v>6380</v>
      </c>
      <c r="U120" t="inlineStr">
        <is>
          <t>Disposed</t>
        </is>
      </c>
      <c r="V120" t="n">
        <v>0</v>
      </c>
      <c r="W120" t="n">
        <v>0</v>
      </c>
      <c r="X120" t="inlineStr">
        <is>
          <t>Yes</t>
        </is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Dell Latitude 7440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Files reviewed for MD-00117: Dell Latitude 7440, basis $2075, operating site Disposed, status Disposed. Source Ledger FA-000117; net book value $0. purchasing file shows PO-2025-0020 for this unit. equipment_transfer_log TR-00117 posted May 02, 2026; inbound 2026-05-02 approval APR-00117.</t>
        </is>
      </c>
      <c r="L121" s="7" t="inlineStr">
        <is>
          <t>2026-07-20</t>
        </is>
      </c>
      <c r="M121" s="7" t="n">
        <v>2075</v>
      </c>
      <c r="N121" s="7" t="n">
        <v>0</v>
      </c>
      <c r="O121" s="7" t="inlineStr">
        <is>
          <t>FA-000117</t>
        </is>
      </c>
      <c r="P121" s="7" t="inlineStr">
        <is>
          <t>No</t>
        </is>
      </c>
      <c r="Q121" s="9" t="inlineStr">
        <is>
          <t>High</t>
        </is>
      </c>
      <c r="R121" s="7" t="inlineStr"/>
      <c r="S121" s="7" t="inlineStr">
        <is>
          <t>No</t>
        </is>
      </c>
      <c r="T121" t="n">
        <v>2075</v>
      </c>
      <c r="U121" t="inlineStr">
        <is>
          <t>Disposed</t>
        </is>
      </c>
      <c r="V121" t="n">
        <v>0</v>
      </c>
      <c r="W121" t="n">
        <v>0</v>
      </c>
      <c r="X121" t="inlineStr">
        <is>
          <t>Yes</t>
        </is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Monitor</t>
        </is>
      </c>
      <c r="D122" s="7" t="inlineStr">
        <is>
          <t>Dell U2723QE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Files reviewed for MD-00118: Dell U2723QE, basis $790, operating site Disposed (certificate missing), status Retired/Pending Disposal. Source Ledger FA-000118; net book value $0. PO-2025-0020 is the cited purchase order. offboarding ticket RET-00118 referenced. equipment_transfer_log TR-00118 posted Jun 03, 2026; inbound 2026-06-04 approval APR-00118. no verified disposal certificate located.</t>
        </is>
      </c>
      <c r="L122" s="7" t="inlineStr">
        <is>
          <t>2026-05-24</t>
        </is>
      </c>
      <c r="M122" s="7" t="n">
        <v>790</v>
      </c>
      <c r="N122" s="7" t="n">
        <v>0</v>
      </c>
      <c r="O122" s="7" t="inlineStr">
        <is>
          <t>FA-000118</t>
        </is>
      </c>
      <c r="P122" s="7" t="inlineStr"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 t="n">
        <v>790</v>
      </c>
      <c r="U122" t="inlineStr">
        <is>
          <t>Disposed</t>
        </is>
      </c>
      <c r="V122" t="n">
        <v>0</v>
      </c>
      <c r="W122" t="n">
        <v>0</v>
      </c>
      <c r="X122" t="inlineStr">
        <is>
          <t>Yes</t>
        </is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Mobile Device</t>
        </is>
      </c>
      <c r="D123" s="7" t="inlineStr">
        <is>
          <t>Samsung Galaxy S24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Files reviewed for MD-00119: Samsung Galaxy S24, basis $950, operating site Disposed, status Disposed. Source Ledger FA-000119; net book value $0. purchasing file shows PO-2025-0020 for this unit. equipment_transfer_log TR-00119 posted Jul 08, 2026; inbound 2026-07-09 approval APR-00119.</t>
        </is>
      </c>
      <c r="L123" s="7" t="inlineStr">
        <is>
          <t>2026-07-20</t>
        </is>
      </c>
      <c r="M123" s="7" t="n">
        <v>950</v>
      </c>
      <c r="N123" s="7" t="n">
        <v>0</v>
      </c>
      <c r="O123" s="7" t="inlineStr">
        <is>
          <t>FA-000119</t>
        </is>
      </c>
      <c r="P123" s="7" t="inlineStr"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is>
          <t>No</t>
        </is>
      </c>
      <c r="T123" t="n">
        <v>1115</v>
      </c>
      <c r="U123" t="inlineStr">
        <is>
          <t>Disposed</t>
        </is>
      </c>
      <c r="V123" t="n">
        <v>0</v>
      </c>
      <c r="W123" t="n">
        <v>165</v>
      </c>
      <c r="X123" t="inlineStr">
        <is>
          <t>Yes</t>
        </is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Network Asset</t>
        </is>
      </c>
      <c r="D124" s="7" t="inlineStr">
        <is>
          <t>Cisco C9300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Files reviewed for MD-00120: Cisco C9300, basis $6245, operating site Disposed, status Disposed. PO PO-2025-0020 documents the buy for MD-00120. equipment_transfer_log TR-00120 posted Jan 18, 2026; inbound 2026-01-20 approval APR-00120. Source Ledger FA-000120; net book value $0.</t>
        </is>
      </c>
      <c r="L124" s="7" t="inlineStr">
        <is>
          <t>2026-07-20</t>
        </is>
      </c>
      <c r="M124" s="7" t="n">
        <v>6245</v>
      </c>
      <c r="N124" s="7" t="n">
        <v>0</v>
      </c>
      <c r="O124" s="7" t="inlineStr">
        <is>
          <t>FA-000120</t>
        </is>
      </c>
      <c r="P124" s="7" t="inlineStr">
        <is>
          <t>Yes</t>
        </is>
      </c>
      <c r="Q124" s="9" t="inlineStr">
        <is>
          <t>High</t>
        </is>
      </c>
      <c r="R124" s="7" t="inlineStr"/>
      <c r="S124" s="7" t="inlineStr">
        <is>
          <t>No</t>
        </is>
      </c>
      <c r="T124" t="n">
        <v>6245</v>
      </c>
      <c r="U124" t="inlineStr">
        <is>
          <t>Disposed</t>
        </is>
      </c>
      <c r="V124" t="n">
        <v>0</v>
      </c>
      <c r="W124" t="n">
        <v>0</v>
      </c>
      <c r="X124" t="inlineStr">
        <is>
          <t>Yes</t>
        </is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Lenovo ThinkPad T14</t>
        </is>
      </c>
      <c r="E125" s="7" t="inlineStr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Asset MD-00121 — Lenovo ThinkPad T14 — reconciled to Available in Chicago on $1940 acquisition. equipment_transfer_log TR-00121 posted Jan 21, 2026; inbound 2026-01-21 approval APR-00121. Source Ledger FA-000121; net book value $0. buy path for MD-00121 references PO-2022-0021.</t>
        </is>
      </c>
      <c r="L125" s="7" t="inlineStr">
        <is>
          <t>2026-02-03</t>
        </is>
      </c>
      <c r="M125" s="7" t="n">
        <v>1940</v>
      </c>
      <c r="N125" s="7" t="n">
        <v>0</v>
      </c>
      <c r="O125" s="7" t="inlineStr">
        <is>
          <t>FA-000121</t>
        </is>
      </c>
      <c r="P125" s="7" t="inlineStr"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is>
          <t>No</t>
        </is>
      </c>
      <c r="T125" t="n">
        <v>1940</v>
      </c>
      <c r="U125" t="inlineStr">
        <is>
          <t>Active</t>
        </is>
      </c>
      <c r="V125" t="n">
        <v>0</v>
      </c>
      <c r="W125" t="n">
        <v>0</v>
      </c>
      <c r="X125" t="inlineStr">
        <is>
          <t>Yes</t>
        </is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Monitor</t>
        </is>
      </c>
      <c r="D126" s="7" t="inlineStr">
        <is>
          <t>Dell U2723QE</t>
        </is>
      </c>
      <c r="E126" s="7" t="inlineStr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Files reviewed for MD-00122: Dell U2723QE, basis $655, operating site Dallas, status Available. PO PO-2022-0021 documents the buy for MD-00122. equipment_transfer_log TR-00122 posted Feb 23, 2026; inbound 2026-02-25 approval APR-00122. Source Ledger FA-000122; net book value $336.15.</t>
        </is>
      </c>
      <c r="L126" s="7" t="inlineStr">
        <is>
          <t>2026-03-04</t>
        </is>
      </c>
      <c r="M126" s="7" t="n">
        <v>655</v>
      </c>
      <c r="N126" s="7" t="n">
        <v>336.15</v>
      </c>
      <c r="O126" s="7" t="inlineStr">
        <is>
          <t>FA-000122</t>
        </is>
      </c>
      <c r="P126" s="7" t="inlineStr"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is>
          <t>No</t>
        </is>
      </c>
      <c r="T126" t="n">
        <v>655</v>
      </c>
      <c r="U126" t="inlineStr">
        <is>
          <t>Active</t>
        </is>
      </c>
      <c r="V126" t="n">
        <v>336.15</v>
      </c>
      <c r="W126" t="n">
        <v>0</v>
      </c>
      <c r="X126" t="inlineStr">
        <is>
          <t>Yes</t>
        </is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Mobile Device</t>
        </is>
      </c>
      <c r="D127" s="7" t="inlineStr">
        <is>
          <t>Samsung Galaxy S24</t>
        </is>
      </c>
      <c r="E127" s="7" t="inlineStr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Files reviewed for MD-00123: Samsung Galaxy S24, basis $1130, operating site Denver, status Available. buy path for MD-00123 references PO-2022-0021. equipment_transfer_log TR-00123 posted Mar 31, 2026; inbound 2026-04-03 approval APR-00123. Source Ledger FA-000123; net book value $622.62.</t>
        </is>
      </c>
      <c r="L127" s="7" t="inlineStr">
        <is>
          <t>2026-04-05</t>
        </is>
      </c>
      <c r="M127" s="7" t="n">
        <v>1130</v>
      </c>
      <c r="N127" s="7" t="n">
        <v>622.62</v>
      </c>
      <c r="O127" s="7" t="inlineStr">
        <is>
          <t>FA-000123</t>
        </is>
      </c>
      <c r="P127" s="7" t="inlineStr"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is>
          <t>No</t>
        </is>
      </c>
      <c r="T127" t="n">
        <v>1130</v>
      </c>
      <c r="U127" t="inlineStr">
        <is>
          <t>Active</t>
        </is>
      </c>
      <c r="V127" t="n">
        <v>622.62</v>
      </c>
      <c r="W127" t="n">
        <v>0</v>
      </c>
      <c r="X127" t="inlineStr">
        <is>
          <t>Yes</t>
        </is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Network Asset</t>
        </is>
      </c>
      <c r="D128" s="7" t="inlineStr">
        <is>
          <t>Cisco C9300</t>
        </is>
      </c>
      <c r="E128" s="7" t="inlineStr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Files reviewed for MD-00124: Cisco C9300, basis $6425, operating site New York, status Available. PO PO-2022-0021 documents the buy for MD-00124. equipment_transfer_log TR-00124 posted May 01, 2026; inbound 2026-05-01 approval APR-00124. Source Ledger FA-000124; net book value $947.26.</t>
        </is>
      </c>
      <c r="L128" s="7" t="inlineStr">
        <is>
          <t>2026-05-06</t>
        </is>
      </c>
      <c r="M128" s="7" t="n">
        <v>6425</v>
      </c>
      <c r="N128" s="7" t="n">
        <v>947.26</v>
      </c>
      <c r="O128" s="7" t="inlineStr">
        <is>
          <t>FA-000124</t>
        </is>
      </c>
      <c r="P128" s="7" t="inlineStr"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is>
          <t>No</t>
        </is>
      </c>
      <c r="T128" t="n">
        <v>6425</v>
      </c>
      <c r="U128" t="inlineStr">
        <is>
          <t>Active</t>
        </is>
      </c>
      <c r="V128" t="n">
        <v>947.26</v>
      </c>
      <c r="W128" t="n">
        <v>0</v>
      </c>
      <c r="X128" t="inlineStr">
        <is>
          <t>Yes</t>
        </is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MacBook Pro 14</t>
        </is>
      </c>
      <c r="E129" s="7" t="inlineStr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Reconciliation packet cites MD-00125 with acquisition $2120 and custody Available at Seattle. equipment_transfer_log TR-00125 posted Jun 05, 2026; inbound 2026-06-08 approval APR-00125. Source Ledger FA-000125; net book value $0. buy path for MD-00125 references PO-2022-0021.</t>
        </is>
      </c>
      <c r="L129" s="7" t="inlineStr">
        <is>
          <t>2026-06-07</t>
        </is>
      </c>
      <c r="M129" s="7" t="n">
        <v>2120</v>
      </c>
      <c r="N129" s="7" t="n">
        <v>0</v>
      </c>
      <c r="O129" s="7" t="inlineStr">
        <is>
          <t>FA-000125</t>
        </is>
      </c>
      <c r="P129" s="7" t="inlineStr"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is>
          <t>No</t>
        </is>
      </c>
      <c r="T129" t="n">
        <v>2120</v>
      </c>
      <c r="U129" t="inlineStr">
        <is>
          <t>Active</t>
        </is>
      </c>
      <c r="V129" t="n">
        <v>0</v>
      </c>
      <c r="W129" t="n">
        <v>0</v>
      </c>
      <c r="X129" t="inlineStr">
        <is>
          <t>Yes</t>
        </is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Monitor</t>
        </is>
      </c>
      <c r="D130" s="7" t="inlineStr">
        <is>
          <t>Dell U2723QE</t>
        </is>
      </c>
      <c r="E130" s="7" t="inlineStr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Reconciliation packet cites MD-00126 with acquisition $520 and custody Available at Atlanta. equipment_transfer_log TR-00126 posted Jan 10, 2026; inbound 2026-01-12 approval APR-00126. Source Ledger FA-000126; net book value $302.75. purchasing file shows PO-2022-0021 for this unit.</t>
        </is>
      </c>
      <c r="L130" s="7" t="inlineStr">
        <is>
          <t>2026-01-08</t>
        </is>
      </c>
      <c r="M130" s="7" t="n">
        <v>520</v>
      </c>
      <c r="N130" s="7" t="n">
        <v>302.75</v>
      </c>
      <c r="O130" s="7" t="inlineStr">
        <is>
          <t>FA-000126</t>
        </is>
      </c>
      <c r="P130" s="7" t="inlineStr"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is>
          <t>No</t>
        </is>
      </c>
      <c r="T130" t="n">
        <v>520</v>
      </c>
      <c r="U130" t="inlineStr">
        <is>
          <t>Active</t>
        </is>
      </c>
      <c r="V130" t="n">
        <v>302.75</v>
      </c>
      <c r="W130" t="n">
        <v>0</v>
      </c>
      <c r="X130" t="inlineStr">
        <is>
          <t>Yes</t>
        </is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Mobile Device</t>
        </is>
      </c>
      <c r="D131" s="7" t="inlineStr">
        <is>
          <t>Samsung Galaxy S24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Reconciliation packet cites MD-00127 with acquisition $995 and custody In Use at Denver. hr_employee_status lists Liam Keane (E0061) as Transferred. equipment_transfer_log TR-00127 posted Feb 11, 2026; inbound 2026-02-17 blank approval field. Source Ledger FA-000127; net book value $662.65. purchasing file shows PO-2023-0022 for this unit.</t>
        </is>
      </c>
      <c r="L131" s="7" t="inlineStr">
        <is>
          <t>2026-08-05</t>
        </is>
      </c>
      <c r="M131" s="7" t="n">
        <v>995</v>
      </c>
      <c r="N131" s="7" t="n">
        <v>662.65</v>
      </c>
      <c r="O131" s="7" t="inlineStr">
        <is>
          <t>FA-000127</t>
        </is>
      </c>
      <c r="P131" s="7" t="inlineStr"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No</t>
        </is>
      </c>
      <c r="T131" t="n">
        <v>995</v>
      </c>
      <c r="U131" t="inlineStr">
        <is>
          <t>Active</t>
        </is>
      </c>
      <c r="V131" t="n">
        <v>662.65</v>
      </c>
      <c r="W131" t="n">
        <v>0</v>
      </c>
      <c r="X131" t="inlineStr">
        <is>
          <t>Yes</t>
        </is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Network Asset</t>
        </is>
      </c>
      <c r="D132" s="7" t="inlineStr">
        <is>
          <t>Cisco C9300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Reconciliation packet cites MD-00128 with acquisition $6290 and custody In Use at New York. hr_employee_status lists Bianca Silva (E0062) as Transferred. equipment_transfer_log TR-00128 posted Mar 16, 2026; inbound 2026-03-19 approval APR-00128. Source Ledger FA-000128; net book value $1364.77. PO-2023-0022 is the cited purchase order.</t>
        </is>
      </c>
      <c r="L132" s="7" t="inlineStr">
        <is>
          <t>2026-08-05</t>
        </is>
      </c>
      <c r="M132" s="7" t="n">
        <v>6290</v>
      </c>
      <c r="N132" s="7" t="n">
        <v>1364.77</v>
      </c>
      <c r="O132" s="7" t="inlineStr">
        <is>
          <t>FA-000128</t>
        </is>
      </c>
      <c r="P132" s="7" t="inlineStr">
        <is>
          <t>Yes</t>
        </is>
      </c>
      <c r="Q132" s="9" t="inlineStr">
        <is>
          <t>High</t>
        </is>
      </c>
      <c r="R132" s="7" t="inlineStr"/>
      <c r="S132" s="7" t="inlineStr">
        <is>
          <t>No</t>
        </is>
      </c>
      <c r="T132" t="n">
        <v>6290</v>
      </c>
      <c r="U132" t="inlineStr">
        <is>
          <t>Active</t>
        </is>
      </c>
      <c r="V132" t="n">
        <v>1364.77</v>
      </c>
      <c r="W132" t="n">
        <v>0</v>
      </c>
      <c r="X132" t="inlineStr">
        <is>
          <t>Yes</t>
        </is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Dell Latitude 7440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Reconciliation packet cites MD-00129 with acquisition $1985 and custody In Use at Seattle. hr_employee_status lists Greg Hollis (E0063) as Transferred. equipment_transfer_log TR-00129 posted Apr 20, 2026; inbound 2026-04-21 approval APR-00129. Source Ledger FA-000129; net book value $111.86. purchasing file shows PO-2023-0022 for this unit.</t>
        </is>
      </c>
      <c r="L133" s="7" t="inlineStr">
        <is>
          <t>2026-08-05</t>
        </is>
      </c>
      <c r="M133" s="7" t="n">
        <v>1985</v>
      </c>
      <c r="N133" s="7" t="n">
        <v>111.86</v>
      </c>
      <c r="O133" s="7" t="inlineStr">
        <is>
          <t>FA-000129</t>
        </is>
      </c>
      <c r="P133" s="7" t="inlineStr">
        <is>
          <t>No</t>
        </is>
      </c>
      <c r="Q133" s="9" t="inlineStr">
        <is>
          <t>High</t>
        </is>
      </c>
      <c r="R133" s="7" t="inlineStr"/>
      <c r="S133" s="7" t="inlineStr">
        <is>
          <t>No</t>
        </is>
      </c>
      <c r="T133" t="n">
        <v>1985</v>
      </c>
      <c r="U133" t="inlineStr">
        <is>
          <t>Active</t>
        </is>
      </c>
      <c r="V133" t="n">
        <v>111.86</v>
      </c>
      <c r="W133" t="n">
        <v>0</v>
      </c>
      <c r="X133" t="inlineStr">
        <is>
          <t>Yes</t>
        </is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Monitor</t>
        </is>
      </c>
      <c r="D134" s="7" t="inlineStr">
        <is>
          <t>Dell U2723QE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Files reviewed for MD-00130: Dell U2723QE, basis $700, operating site Atlanta, status In Use. equipment_transfer_log TR-00130 posted May 22, 2026; inbound 2026-05-28 approval APR-00130. hr_employee_status lists Naomi Berger (E0064) as Transferred. PO-2023-0023 covers under-threshold MD-00130; no FAR row expected under ITAM-001 §7.</t>
        </is>
      </c>
      <c r="L134" s="7" t="inlineStr">
        <is>
          <t>2026-08-05</t>
        </is>
      </c>
      <c r="M134" s="7" t="n">
        <v>700</v>
      </c>
      <c r="N134" s="7" t="n"/>
      <c r="O134" s="7" t="n"/>
      <c r="P134" s="7" t="inlineStr"/>
      <c r="Q134" s="9" t="inlineStr">
        <is>
          <t>High</t>
        </is>
      </c>
      <c r="R134" s="7" t="inlineStr">
        <is>
          <t>EX-0161</t>
        </is>
      </c>
      <c r="S134" s="7" t="inlineStr">
        <is>
          <t>No</t>
        </is>
      </c>
      <c r="X134" t="inlineStr">
        <is>
          <t>No</t>
        </is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Mobile Device</t>
        </is>
      </c>
      <c r="D135" s="7" t="inlineStr">
        <is>
          <t>Samsung Galaxy S24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Files reviewed for MD-00131: Samsung Galaxy S24, basis $1175, operating site Chicago, status In Use. equipment_transfer_log TR-00131 posted Jun 26, 2026; inbound 2026-06-28 approval APR-00131. hr_employee_status lists Felix Moreno (E0065) as Transferred. PO-2023-0023 covers under-threshold MD-00131; no FAR row expected under ITAM-001 §7.</t>
        </is>
      </c>
      <c r="L135" s="7" t="inlineStr">
        <is>
          <t>2026-08-05</t>
        </is>
      </c>
      <c r="M135" s="7" t="n">
        <v>1175</v>
      </c>
      <c r="N135" s="7" t="n"/>
      <c r="O135" s="7" t="n"/>
      <c r="P135" s="7" t="inlineStr"/>
      <c r="Q135" s="9" t="inlineStr">
        <is>
          <t>High</t>
        </is>
      </c>
      <c r="R135" s="7" t="inlineStr">
        <is>
          <t>EX-0162</t>
        </is>
      </c>
      <c r="S135" s="7" t="inlineStr">
        <is>
          <t>No</t>
        </is>
      </c>
      <c r="X135" t="inlineStr">
        <is>
          <t>No</t>
        </is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Network Asset</t>
        </is>
      </c>
      <c r="D136" s="7" t="inlineStr">
        <is>
          <t>Cisco C9300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Files reviewed for MD-00132: Cisco C9300, basis $6470, operating site Dallas, status In Use. equipment_transfer_log TR-00132 posted Jan 30, 2026; inbound 2026-01-31 approval APR-00132. hr_employee_status lists Sharon Quinlan (E0066) as Transferred. RN-0132 under-threshold claim rejected; $6,470 exceeds gate with no FA row.</t>
        </is>
      </c>
      <c r="L136" s="7" t="inlineStr">
        <is>
          <t>2026-08-05</t>
        </is>
      </c>
      <c r="M136" s="7" t="n">
        <v>6470</v>
      </c>
      <c r="N136" s="7" t="n"/>
      <c r="O136" s="7" t="n"/>
      <c r="P136" s="7" t="inlineStr"/>
      <c r="Q136" s="9" t="inlineStr">
        <is>
          <t>High</t>
        </is>
      </c>
      <c r="R136" s="7" t="inlineStr">
        <is>
          <t>EX-0163</t>
        </is>
      </c>
      <c r="S136" s="7" t="inlineStr">
        <is>
          <t>No</t>
        </is>
      </c>
      <c r="X136" t="inlineStr"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PO:PO-2024-0003; RegisterCost:1985.0; LedgerCost:2070.0; OverDepreciation:90.0</t>
        </is>
      </c>
      <c r="G5" s="7" t="n">
        <v>85</v>
      </c>
      <c r="H5" s="7" t="inlineStr">
        <is>
          <t>Finance Controller: clear FA-000017 over-depreciation and cost basis on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PO-2024-0003 and FA-000017 for MD-00017: register $1985.0 vs ledger $2070.0. FA-000017 accumulated depreciation $2160 exceeds acquisition $2070 by $90.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 t="n"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MD-00021 and MD-00021,MD-00025; bench validation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 t="n">
        <v>0</v>
      </c>
      <c r="H7" s="7" t="inlineStr">
        <is>
          <t>Retire the closed-office code on MD-00025 and post Chicago as the working site; cite TR-00025 in the update (EX-0003)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Site code Denver - Closed on MD-00025 was retired during consolidation but remains on the asset row. equipment_transfer_log TR-00025 points to Chicago. operating footprint for MD-00025 is Chicago, not Denver - Closed. finding EX-0003.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 t="n"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MD-00025 and MD-00021,MD-00025; bench validation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 t="n">
        <v>382.34</v>
      </c>
      <c r="H9" s="7" t="inlineStr">
        <is>
          <t>Replace shuttered site Chicago - Closed on MD-00026 with Dallas on the register; cite TR-00026 in the update (EX-0005)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equipment_transfer_log TR-00026 points to Dallas. operating footprint for MD-00026 is Dallas, not Chicago - Closed. finding EX-0005. Site code Chicago - Closed on MD-00026 was retired during consolidation but remains on the asset row.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 t="n">
        <v>672.21</v>
      </c>
      <c r="H10" s="7" t="inlineStr">
        <is>
          <t>Correct the stale location on MD-00027 (Denver - Closed → Denver); cite TR-00027 in the update (EX-0006)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The register extract for MD-00027 carries location Denver - Closed after that floor was vacated. operating footprint for MD-00027 is Denver, not Denver - Closed. equipment_transfer_log TR-00027 points to Denver. finding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 t="n">
        <v>914.09</v>
      </c>
      <c r="H11" s="7" t="inlineStr">
        <is>
          <t>Replace shuttered site Chicago - Closed on MD-00028 with New York on the register; cite TR-00028 in the update (EX-0007)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equipment_transfer_log TR-00028 points to New York. finding EX-0007. operating footprint for MD-00028 is New York, not Chicago - Closed. Inventory row MD-00028 (serial MD-NE-050028) still lists site Chicago - Closed.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 t="n">
        <v>0</v>
      </c>
      <c r="H12" s="7" t="inlineStr">
        <is>
          <t>Correct the stale location on MD-00029 (Denver - Closed → Seattle); cite TR-00029 in the update (EX-0008)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finding EX-0008. Site code Denver - Closed on MD-00029 was retired during consolidation but remains on the asset row. equipment_transfer_log TR-00029 points to Seattle. operating footprint for MD-00029 is Seattle, not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 t="n">
        <v>355.14</v>
      </c>
      <c r="H13" s="7" t="inlineStr">
        <is>
          <t>Retire the closed-office code on MD-00030 and post Atlanta as the working site; cite TR-00030 in the update (EX-0009)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equipment_transfer_log TR-00030 points to Atlanta. operating footprint for MD-00030 is Atlanta, not Chicago - Closed. finding EX-0009. Site code Chicago - Closed on MD-00030 was retired during consolidation but remains on the asset row.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 t="n">
        <v>722.59</v>
      </c>
      <c r="H14" s="7" t="inlineStr">
        <is>
          <t>Replace shuttered site Denver - Closed on MD-00031 with Chicago on the register; cite TR-00031 in the update (EX-0010)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Denver - Closed on MD-00031 was retired during consolidation but remains on the asset row. operating footprint for MD-00031 is Chicago, not Denver - Closed. finding EX-0010. equipment_transfer_log TR-00031 points to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 t="n">
        <v>1384.3</v>
      </c>
      <c r="H15" s="7" t="inlineStr">
        <is>
          <t>Correct the stale location on MD-00032 (Chicago - Closed → Dallas); cite TR-00032 in the update (EX-0011)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The register extract for MD-00032 carries location Chicago - Closed after that floor was vacated. equipment_transfer_log TR-00032 points to Dallas. operating footprint for MD-00032 is Dallas, not Chicago - Closed. finding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 t="n">
        <v>116.93</v>
      </c>
      <c r="H16" s="7" t="inlineStr">
        <is>
          <t>Replace shuttered site Denver - Closed on MD-00033 with Denver on the register; cite TR-00033 in the update (EX-0012)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operating footprint for MD-00033 is Denver, not Denver - Closed. equipment_transfer_log TR-00033 points to Denver. Inventory row MD-00033 (serial MD-LA-050033) still lists site Denver - Closed. finding EX-0012.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 t="n">
        <v>479.88</v>
      </c>
      <c r="H17" s="7" t="inlineStr">
        <is>
          <t>Correct the stale location on MD-00034 (Chicago - Closed → New York); cite TR-00034 in the update (EX-0013)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Site code Chicago - Closed on MD-00034 was retired during consolidation but remains on the asset row. operating footprint for MD-00034 is New York, not Chicago - Closed. equipment_transfer_log TR-00034 points to New York. finding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PO:PO-2023-0006; RegisterCost:790.0; LedgerCost:930.0</t>
        </is>
      </c>
      <c r="G18" s="7" t="n">
        <v>140</v>
      </c>
      <c r="H18" s="7" t="inlineStr">
        <is>
          <t>Finance Controller: reconcile register $790.0 vs ledger $930.0 on FA-000034 for MD-00034 and confirm NBV $479.88 on FA-000034.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Compared PO-2023-0006 and FA-000034 for MD-00034: register acquisition $790.0 vs ledger $930.0. NBV on FA-000034 should be $479.88 (acquisition $930 less accumulated depreciation $450.12).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 t="n">
        <v>741.92</v>
      </c>
      <c r="H19" s="7" t="inlineStr">
        <is>
          <t>Retire the closed-office code on MD-00035 and post Seattle as the working site; cite TR-00035 in the update (EX-0015)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equipment_transfer_log TR-00035 points to Seattle. finding EX-0015. Site code Denver - Closed on MD-00035 was retired during consolidation but remains on the asset row. operating footprint for MD-00035 is Seattle, not Denver - Closed.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 t="n">
        <v>537.73</v>
      </c>
      <c r="H20" s="7" t="inlineStr">
        <is>
          <t>IT Asset Specialist: change MD-00036 location from Chicago - Closed to Atlanta; cite TR-00036 in the update (EX-0016)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finding EX-0016. The register extract for MD-00036 carries location Chicago - Closed after that floor was vacated. equipment_transfer_log TR-00036 points to Atlanta. operating footprint for MD-00036 is Atlanta, not Chicago - Closed.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 t="n">
        <v>0</v>
      </c>
      <c r="H21" s="7" t="inlineStr">
        <is>
          <t>Retire the closed-office code on MD-00037 and post Chicago as the working site; cite TR-00037 in the update (EX-0017)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equipment_transfer_log TR-00037 points to Chicago. finding EX-0017. operating footprint for MD-00037 is Chicago, not Denver - Closed. Inventory row MD-00037 (serial MD-LA-050037) still lists site Denver - Closed.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 t="n">
        <v>340.46</v>
      </c>
      <c r="H22" s="7" t="inlineStr">
        <is>
          <t>IT Asset Specialist: change MD-00038 location from Chicago - Closed to Dallas; cite TR-00038 in the update (EX-0018)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equipment_transfer_log TR-00038 points to Dallas. finding EX-0018. Site code Chicago - Closed on MD-00038 was retired during consolidation but remains on the asset row. operating footprint for MD-00038 is Dallas, not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 t="n">
        <v>635</v>
      </c>
      <c r="H23" s="7" t="inlineStr">
        <is>
          <t>Retire the closed-office code on MD-00039 and post Denver as the working site; cite TR-00039 in the update (EX-0019)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finding EX-0019. The register extract for MD-00039 carries location Denver - Closed after that floor was vacated. equipment_transfer_log TR-00039 points to Denver. operating footprint for MD-00039 is Denver, not Denver - Closed.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 t="n">
        <v>989.48</v>
      </c>
      <c r="H24" s="7" t="inlineStr">
        <is>
          <t>Retire the closed-office code on MD-00040 and post New York as the working site; cite TR-00040 in the update (EX-0020)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equipment_transfer_log TR-00040 points to New York. Site code Chicago - Closed on MD-00040 was retired during consolidation but remains on the asset row. finding EX-0020. operating footprint for MD-00040 is New York, not Chicago - Closed.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 t="n">
        <v>0</v>
      </c>
      <c r="H25" s="7" t="inlineStr">
        <is>
          <t>IT Asset Specialist: change MD-00041 location from Denver - Closed to Seattle; cite TR-00041 in the update (EX-0021)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The register extract for MD-00041 carries location Denver - Closed after that floor was vacated. operating footprint for MD-00041 is Seattle, not Denver - Closed. finding EX-0021. equipment_transfer_log TR-00041 points to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 t="n">
        <v>306.16</v>
      </c>
      <c r="H26" s="7" t="inlineStr">
        <is>
          <t>Retire the closed-office code on MD-00042 and post Atlanta as the working site; cite TR-00042 in the update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operating footprint for MD-00042 is Atlanta, not Chicago - Closed. finding EX-0022. Inventory row MD-00042 (serial MD-MO-050042) still lists site Chicago - Closed. equipment_transfer_log TR-00042 points to Atlanta.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 t="n">
        <v>673.55</v>
      </c>
      <c r="H27" s="7" t="inlineStr">
        <is>
          <t>IT Asset Specialist: change MD-00043 location from Denver - Closed to Chicago; cite TR-00043 in the update (EX-0023)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operating footprint for MD-00043 is Chicago, not Denver - Closed. finding EX-0023. equipment_transfer_log TR-00043 points to Chicago. Site code Denver - Closed on MD-00043 was retired during consolidation but remains on the asset row.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 t="n">
        <v>1406.1</v>
      </c>
      <c r="H28" s="7" t="inlineStr">
        <is>
          <t>Retire the closed-office code on MD-00044 and post Dallas as the working site; cite TR-00044 in the update (EX-0024)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operating footprint for MD-00044 is Dallas, not Chicago - Closed. finding EX-0024. equipment_transfer_log TR-00044 points to Dallas. The register extract for MD-00044 carries location Chicago - Closed after that floor was vacated.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 t="n">
        <v>133.6</v>
      </c>
      <c r="H29" s="7" t="inlineStr">
        <is>
          <t>IT Asset Specialist: change MD-00045 location from Denver - Closed to Denver; cite TR-00045 in the update (EX-0025)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equipment_transfer_log TR-00045 points to Denver. finding EX-0025. Inventory row MD-00045 (serial MD-LA-050045) still lists site Denver - Closed. operating footprint for MD-00045 is Denver, not Denver - Closed.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 t="n">
        <v>460.82</v>
      </c>
      <c r="H30" s="7" t="inlineStr">
        <is>
          <t>Retire the closed-office code on MD-00046 and post New York as the working site; cite TR-00046 in the update (EX-0026)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equipment_transfer_log TR-00046 points to New York. operating footprint for MD-00046 is New York, not Chicago - Closed. finding EX-0026. Site code Chicago - Closed on MD-00046 was retired during consolidation but remains on the asset row.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 t="n">
        <v>930.51</v>
      </c>
      <c r="H31" s="7" t="inlineStr">
        <is>
          <t>IT Asset Specialist: change MD-00047 location from Denver - Closed to Seattle; cite TR-00047 in the update (EX-0027)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equipment_transfer_log TR-00047 points to Seattle. finding EX-0027. operating footprint for MD-00047 is Seattle, not Denver - Closed. The register extract for MD-00047 carries location Denver - Closed after that floor was vacated.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 t="n">
        <v>514.59</v>
      </c>
      <c r="H32" s="7" t="inlineStr">
        <is>
          <t>Retire the closed-office code on MD-00048 and post Atlanta as the working site; cite TR-00048 in the update (EX-0028)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equipment_transfer_log TR-00048 points to Atlanta. finding EX-0028. operating footprint for MD-00048 is Atlanta, not Chicago - Closed. Inventory row MD-00048 (serial MD-NE-050048) still lists site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 t="n">
        <v>0</v>
      </c>
      <c r="H33" s="7" t="inlineStr">
        <is>
          <t>IT Asset Specialist: change MD-00049 location from Denver - Closed to Chicago; cite TR-00049 in the update (EX-0029)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equipment_transfer_log TR-00049 points to Chicago. finding EX-0029. Site code Denver - Closed on MD-00049 was retired during consolidation but remains on the asset row. operating footprint for MD-00049 is Chicago, not Denver - Closed.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 t="n">
        <v>289.96</v>
      </c>
      <c r="H34" s="7" t="inlineStr">
        <is>
          <t>IT Asset Specialist: change MD-00050 location from Chicago - Closed to Dallas; cite TR-00050 in the update (EX-0030)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operating footprint for MD-00050 is Dallas, not Chicago - Closed. equipment_transfer_log TR-00050 points to Dallas. Inventory row MD-00050 (serial MD-MO-050050) still lists site Chicago - Closed. finding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 t="n">
        <v>573.03</v>
      </c>
      <c r="H35" s="7" t="inlineStr">
        <is>
          <t>Retire the closed-office code on MD-00051 and post Denver as the working site; cite TR-00051 in the update (EX-0031)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operating footprint for MD-00051 is Denver, not Denver - Closed. finding EX-0031. Site code Denver - Closed on MD-00051 was retired during consolidation but remains on the asset row. equipment_transfer_log TR-00051 points to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PO:PO-2022-0009; RegisterCost:1040.0; LedgerCost:1250.0</t>
        </is>
      </c>
      <c r="G36" s="7" t="n">
        <v>210</v>
      </c>
      <c r="H36" s="7" t="inlineStr">
        <is>
          <t>Align cost on MD-00051: register 1040.0 vs ledger 1250.0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Register cost $1040.0 on MD-00051 does not match ledger $1250.0 on FA-000051 (EX-0032).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 t="n">
        <v>933.99</v>
      </c>
      <c r="H37" s="7" t="inlineStr">
        <is>
          <t>Replace shuttered site Chicago - Closed on MD-00052 with New York on the register; cite TR-00052 in the update (EX-0033)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Site code Chicago - Closed on MD-00052 was retired during consolidation but remains on the asset row. operating footprint for MD-00052 is New York, not Chicago - Closed. equipment_transfer_log TR-00052 points to New York. finding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 t="n">
        <v>0</v>
      </c>
      <c r="H38" s="7" t="inlineStr">
        <is>
          <t>Correct the stale location on MD-00053 (Denver - Closed → Seattle); cite TR-00053 in the update (EX-0034)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The register extract for MD-00053 carries location Denver - Closed after that floor was vacated. finding EX-0034. operating footprint for MD-00053 is Seattle, not Denver - Closed. equipment_transfer_log TR-00053 points to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 t="n">
        <v>433.74</v>
      </c>
      <c r="H39" s="7" t="inlineStr">
        <is>
          <t>Replace shuttered site Chicago - Closed on MD-00054 with Atlanta on the register; cite TR-00054 in the update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equipment_transfer_log TR-00054 points to Atlanta. Inventory row MD-00054 (serial MD-MO-050054) still lists site Chicago - Closed. finding EX-0035. operating footprint for MD-00054 is Atlanta, not Chicago - Closed.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 t="n">
        <v>812.5</v>
      </c>
      <c r="H40" s="7" t="inlineStr">
        <is>
          <t>Correct the stale location on MD-00055 (Denver - Closed → Chicago); cite TR-00055 in the update (EX-0036)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equipment_transfer_log TR-00055 points to Chicago. finding EX-0036. operating footprint for MD-00055 is Chicago, not Denver - Closed. Site code Denver - Closed on MD-00055 was retired during consolidation but remains on the asset row.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 t="n">
        <v>1345.24</v>
      </c>
      <c r="H41" s="7" t="inlineStr">
        <is>
          <t>Replace shuttered site Chicago - Closed on MD-00056 with Dallas on the register; cite TR-00056 in the update (EX-0037)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finding EX-0037. The register extract for MD-00056 carries location Chicago - Closed after that floor was vacated. equipment_transfer_log TR-00056 points to Dallas. operating footprint for MD-00056 is Dallas, not Chicago - Closed.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 t="n">
        <v>106.79</v>
      </c>
      <c r="H42" s="7" t="inlineStr">
        <is>
          <t>Correct the stale location on MD-00057 (Denver - Closed → Denver); cite TR-00057 in the update (EX-0038)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finding EX-0038. Inventory row MD-00057 (serial MD-LA-050057) still lists site Denver - Closed. equipment_transfer_log TR-00057 points to Denver. operating footprint for MD-00057 is Denver, not Denver - Closed.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 t="n">
        <v>397.56</v>
      </c>
      <c r="H43" s="7" t="inlineStr">
        <is>
          <t>Remove E0071 as custodian on MD-00058; park under Regional IT or IT Stock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hr_employee_status shows E0071 as separated. Register still assigns MD-00058 to E0071. EX-0039. offboarding ticket OFF-00058 closed without a custodian change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 t="n">
        <v>397.56</v>
      </c>
      <c r="H44" s="7" t="inlineStr">
        <is>
          <t>Correct the stale location on MD-00058 (Chicago - Closed → New York); cite TR-00058 in the update (EX-0040)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The register extract for MD-00058 carries location Chicago - Closed after that floor was vacated. finding EX-0040. operating footprint for MD-00058 is New York, not Chicago - Closed. equipment_transfer_log TR-00058 points to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 t="n">
        <v>397.56</v>
      </c>
      <c r="H45" s="7" t="inlineStr">
        <is>
          <t>Obtain APR on TR-00058 or reverse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TR-00058 for MD-00058 has a blank approval_id per ITAM-001 §4 (EX-0041).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 t="n">
        <v>847.35</v>
      </c>
      <c r="H46" s="7" t="inlineStr">
        <is>
          <t>Remove E0072 as custodian on MD-00059; park under Regional IT or IT Stock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hr_employee_status shows E0072 as separated. Register still assigns MD-00059 to E0072. EX-0042. offboarding ticket OFF-00059 closed without a custodian change on MD-00059.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 t="n">
        <v>847.35</v>
      </c>
      <c r="H47" s="7" t="inlineStr">
        <is>
          <t>Correct the stale location on MD-00059 (Denver - Closed → Seattle); cite TR-00059 in the update (EX-0043)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operating footprint for MD-00059 is Seattle, not Denver - Closed. finding EX-0043. Site code Denver - Closed on MD-00059 was retired during consolidation but remains on the asset row. equipment_transfer_log TR-00059 points to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 t="n">
        <v>847.35</v>
      </c>
      <c r="H48" s="7" t="inlineStr">
        <is>
          <t>Obtain APR on TR-00059 or reverse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Transfer TR-00059 for MD-00059 has a blank approval_id per ITAM-001 §4 (EX-0044).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 t="n">
        <v>549.35</v>
      </c>
      <c r="H49" s="7" t="inlineStr">
        <is>
          <t>Remove E0073 as custodian on MD-00060; park under Regional IT or IT Stock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hr_employee_status shows E0073 as separated. EX-0045. Register still assigns MD-00060 to E0073. offboarding ticket OFF-00060 closed without a custodian change on MD-00060.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 t="n">
        <v>549.35</v>
      </c>
      <c r="H50" s="7" t="inlineStr">
        <is>
          <t>IT Asset Specialist: change MD-00060 location from Chicago - Closed to Atlanta; cite TR-00060 in the update (EX-0046)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equipment_transfer_log TR-00060 points to Atlanta. operating footprint for MD-00060 is Atlanta, not Chicago - Closed. finding EX-0046. The register extract for MD-00060 carries location Chicago - Closed after that floor was vacated.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 t="n">
        <v>0</v>
      </c>
      <c r="H51" s="7" t="inlineStr">
        <is>
          <t>Remove E0074 as custodian on MD-00061; park under Regional IT or IT Stock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Register still assigns MD-00061 to E0074. offboarding ticket OFF-00061 closed without a custodian change on MD-00061. hr_employee_status shows E0074 as separated.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 t="n">
        <v>0</v>
      </c>
      <c r="H52" s="7" t="inlineStr">
        <is>
          <t>Correct the stale location on MD-00061 (Denver - Closed → Chicago); cite TR-00061 in the update (EX-0048)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operating footprint for MD-00061 is Chicago, not Denver - Closed. equipment_transfer_log TR-00061 points to Chicago. The register extract for MD-00061 carries location Denver - Closed after that floor was vacated. finding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 t="n">
        <v>410.63</v>
      </c>
      <c r="H53" s="7" t="inlineStr">
        <is>
          <t>Remove E0075 as custodian on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hr_employee_status shows E0075 as separated. EX-0049. offboarding ticket OFF-00062 closed without a custodian change on MD-00062. Register still assigns MD-00062 to E0075.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 t="n">
        <v>410.63</v>
      </c>
      <c r="H54" s="7" t="inlineStr">
        <is>
          <t>Correct the stale location on MD-00062 (Chicago - Closed → Dallas); cite TR-00062 in the update (EX-0050)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operating footprint for MD-00062 is Dallas, not Chicago - Closed. equipment_transfer_log TR-00062 points to Dallas. Site code Chicago - Closed on MD-00062 was retired during consolidation but remains on the asset row. finding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 t="n">
        <v>533.85</v>
      </c>
      <c r="H55" s="7" t="inlineStr">
        <is>
          <t>Remove E0076 as custodian on MD-00063; park under Regional IT or IT Stock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offboarding ticket OFF-00063 closed without a custodian change on MD-00063. EX-0051. Register still assigns MD-00063 to E0076. hr_employee_status shows E0076 as separated.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 t="n">
        <v>533.85</v>
      </c>
      <c r="H56" s="7" t="inlineStr">
        <is>
          <t>Retire the closed-office code on MD-00063 and post Denver as the working site; cite TR-00063 in the update (EX-0052)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equipment_transfer_log TR-00063 points to Denver. Site code Denver - Closed on MD-00063 was retired during consolidation but remains on the asset row. finding EX-0052. operating footprint for MD-00063 is Denver, not Denver - Closed.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 t="n">
        <v>961.76</v>
      </c>
      <c r="H57" s="7" t="inlineStr">
        <is>
          <t>Remove E0077 as custodian on MD-00064; park under Regional IT or IT Stock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EX-0053. Register still assigns MD-00064 to E0077. hr_employee_status shows E0077 as separated. offboarding ticket OFF-00064 closed without a custodian change on MD-00064.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 t="n">
        <v>961.76</v>
      </c>
      <c r="H58" s="7" t="inlineStr">
        <is>
          <t>Replace shuttered site Chicago - Closed on MD-00064 with New York on the register; cite TR-00064 in the update (EX-0054)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equipment_transfer_log TR-00064 points to New York. Site code Chicago - Closed on MD-00064 was retired during consolidation but remains on the asset row. finding EX-0054. operating footprint for MD-00064 is New York, not Chicago - Closed.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 t="n">
        <v>961.76</v>
      </c>
      <c r="H59" s="7" t="inlineStr">
        <is>
          <t>Obtain APR on TR-00064 or reverse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Transfer TR-00064 for MD-00064 has a blank approval_id per ITAM-001 §4 (EX-0055).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 t="n">
        <v>0</v>
      </c>
      <c r="H60" s="7" t="inlineStr">
        <is>
          <t>Remove E0078 as custodian on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hr_employee_status shows E0078 as separated. offboarding ticket OFF-00065 closed without a custodian change on MD-00065. EX-0056. Register still assigns MD-00065 to E0078.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 t="n">
        <v>0</v>
      </c>
      <c r="H61" s="7" t="inlineStr">
        <is>
          <t>Replace shuttered site Denver - Closed on MD-00065 with Seattle on the register; cite TR-00065 in the update (EX-0057)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operating footprint for MD-00065 is Seattle, not Denver - Closed. finding EX-0057. equipment_transfer_log TR-00065 points to Seattle. Inventory row MD-00065 (serial MD-LA-050065) still lists site Denver - Closed.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 t="n">
        <v>0</v>
      </c>
      <c r="H62" s="7" t="inlineStr">
        <is>
          <t>Obtain APR on TR-00065 or reverse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TR-00065 for MD-00065 has a blank approval_id per ITAM-001 §4 (EX-0058).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 t="n">
        <v>385.65</v>
      </c>
      <c r="H63" s="7" t="inlineStr">
        <is>
          <t>Remove E0079 as custodian on MD-00066; park under Regional IT or IT Stock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hr_employee_status shows E0079 as separated. Register still assigns MD-00066 to E0079. EX-0059. offboarding ticket OFF-00066 closed without a custodian change on MD-00066.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 t="n">
        <v>385.65</v>
      </c>
      <c r="H64" s="7" t="inlineStr">
        <is>
          <t>Retire the closed-office code on MD-00066 and post Atlanta as the working site; cite TR-00066 in the update (EX-0060)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operating footprint for MD-00066 is Atlanta, not Chicago - Closed. finding EX-0060. equipment_transfer_log TR-00066 points to Atlanta. Site code Chicago - Closed on MD-00066 was retired during consolidation but remains on the asset row.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 t="n">
        <v>764.93</v>
      </c>
      <c r="H65" s="7" t="inlineStr">
        <is>
          <t>Remove E0080 as custodian on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hr_employee_status shows E0080 as separated. Register still assigns MD-00067 to E0080. EX-0061. offboarding ticket OFF-00067 closed without a custodian change on MD-00067.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 t="n">
        <v>764.93</v>
      </c>
      <c r="H66" s="7" t="inlineStr">
        <is>
          <t>Replace shuttered site Denver - Closed on MD-00067 with Chicago on the register; cite TR-00067 in the update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operating footprint for MD-00067 is Chicago, not Denver - Closed. finding EX-0062. equipment_transfer_log TR-00067 points to Chicago. Site code Denver - Closed on MD-00067 was retired during consolidation but remains on the asset row.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 t="n">
        <v>1436.28</v>
      </c>
      <c r="H67" s="7" t="inlineStr">
        <is>
          <t>Escalate recovery on MD-00068; 1ZMD00000068 is not a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OFF-00068 return window elapsed. no acceptance, delivery, or receiving scan tied to serial MD-NE-050068. Carrier file 1ZMD00000068 shows Label Created only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 t="n">
        <v>1436.28</v>
      </c>
      <c r="H68" s="7" t="inlineStr">
        <is>
          <t>Remove E0081 as custodian on MD-00068; park under Regional IT or IT Stock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offboarding ticket OFF-00068 closed without a custodian change on MD-00068. EX-0064. hr_employee_status shows E0081 as separated. Register still assigns MD-00068 to E0081.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PO:PO-2025-0012; RegisterCost:6425.0; LedgerCost:6480.0</t>
        </is>
      </c>
      <c r="G69" s="7" t="n">
        <v>55</v>
      </c>
      <c r="H69" s="7" t="inlineStr">
        <is>
          <t>Align cost on MD-00068: register 6425.0 vs ledger 6480.0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on MD-00068 does not match ledger $6480.0 on FA-000068 (EX-0065).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 t="n">
        <v>142.69</v>
      </c>
      <c r="H70" s="7" t="inlineStr">
        <is>
          <t>Escalate recovery on MD-00069; 1ZMD00000069 is not a return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no acceptance, delivery, or receiving scan tied to serial MD-LA-050069. OFF-00069 return window elapsed. Carrier file 1ZMD00000069 shows Label Created only for MD-00069.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 t="n">
        <v>142.69</v>
      </c>
      <c r="H71" s="7" t="inlineStr">
        <is>
          <t>Remove E0082 as custodian on MD-00069; park under Regional IT or IT Stock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Register still assigns MD-00069 to E0082. EX-0067. offboarding ticket OFF-00069 closed without a custodian change on MD-00069. hr_employee_status shows E0082 as separated.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 t="n">
        <v>342.32</v>
      </c>
      <c r="H72" s="7" t="inlineStr">
        <is>
          <t>Escalate recovery on MD-00070; 1ZMD00000070 is not a return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OFF-00070 return window elapsed. no acceptance, delivery, or receiving scan tied to serial MD-MO-050070. Carrier file 1ZMD00000070 shows Label Created only for MD-00070.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 t="n">
        <v>342.32</v>
      </c>
      <c r="H73" s="7" t="inlineStr">
        <is>
          <t>Remove E0083 as custodian on MD-00070; park under Regional IT or IT Stock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hr_employee_status shows E0083 as separated. EX-0069. offboarding ticket OFF-00070 closed without a custodian change on MD-00070. Register still assigns MD-00070 to E0083.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 t="n">
        <v>787.96</v>
      </c>
      <c r="H74" s="7" t="inlineStr">
        <is>
          <t>Escalate recovery on MD-00071; 1ZMD00000071 is not a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OFF-00071 return window elapsed. no acceptance, delivery, or receiving scan tied to serial MD-MO-050071. Carrier file 1ZMD00000071 shows Label Created only for MD-00071.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 t="n">
        <v>787.96</v>
      </c>
      <c r="H75" s="7" t="inlineStr">
        <is>
          <t>Remove E0084 as custodian on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hr_employee_status shows E0084 as separated. EX-0071. offboarding ticket OFF-00071 closed without a custodian change on MD-00071. Register still assigns MD-00071 to E0084.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 t="n">
        <v>500.27</v>
      </c>
      <c r="H76" s="7" t="inlineStr">
        <is>
          <t>Escalate recovery on MD-00072; 1ZMD00000072 is not a return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Carrier file 1ZMD00000072 shows Label Created only for MD-00072. OFF-00072 return window elapsed. no acceptance, delivery, or receiving scan tied to serial MD-NE-050072.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 t="n">
        <v>500.27</v>
      </c>
      <c r="H77" s="7" t="inlineStr">
        <is>
          <t>Remove E0085 as custodian on MD-00072; park under Regional IT or IT Stock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EX-0073. Register still assigns MD-00072 to E0085. hr_employee_status shows E0085 as separated. offboarding ticket OFF-00072 closed without a custodian change on MD-00072.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 t="n">
        <v>0</v>
      </c>
      <c r="H78" s="7" t="inlineStr">
        <is>
          <t>Escalate recovery on MD-00073; 1ZMD00000073 is not a return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no acceptance, delivery, or receiving scan tied to serial MD-LA-050073. Carrier file 1ZMD00000073 shows Label Created only for MD-00073. OFF-00073 return window elapsed.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 t="n">
        <v>0</v>
      </c>
      <c r="H79" s="7" t="inlineStr">
        <is>
          <t>Remove E0086 as custodian on MD-00073; park under Regional IT or IT Stock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Register still assigns MD-00073 to E0086. hr_employee_status shows E0086 as separated. offboarding ticket OFF-00073 closed without a custodian change on MD-00073.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 t="n">
        <v>359.25</v>
      </c>
      <c r="H80" s="7" t="inlineStr">
        <is>
          <t>Resolve serial conflict on 1ZMD00000074 for MD-00074 (MISMATCH-0074 vs MD-MO-050074)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Inbound serial MISMATCH-0074 on 1ZMD00000074 disagrees with register MD-MO-050074. MD-00074 remains In Transit - Exception until serials align.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 t="n">
        <v>359.25</v>
      </c>
      <c r="H81" s="7" t="inlineStr">
        <is>
          <t>Remove E0087 as custodian on MD-00074; park under Regional IT or IT Stock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Register still assigns MD-00074 to E0087. offboarding ticket OFF-00074 closed without a custodian change on MD-00074. EX-0077. hr_employee_status shows E0087 as separated.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 t="n">
        <v>359.25</v>
      </c>
      <c r="H82" s="7" t="inlineStr">
        <is>
          <t>Escalate recovery on MD-00074; 1ZMD00000074 is not a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Carrier file 1ZMD00000074 shows Label Created only for MD-00074. no acceptance, delivery, or receiving scan tied to serial MD-MO-050074. OFF-00074 return window elapsed.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 t="n">
        <v>647.42</v>
      </c>
      <c r="H83" s="7" t="inlineStr">
        <is>
          <t>Escalate recovery on MD-00075; 1ZMD00000075 is not a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return window elapsed. Carrier file 1ZMD00000075 shows Label Created only for MD-00075. no acceptance, delivery, or receiving scan tied to serial MD-MO-050075.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 t="n">
        <v>647.42</v>
      </c>
      <c r="H84" s="7" t="inlineStr">
        <is>
          <t>Remove E0088 as custodian on MD-00075; park under Regional IT or IT Stock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Register still assigns MD-00075 to E0088. offboarding ticket OFF-00075 closed without a custodian change on MD-00075. EX-0080. hr_employee_status shows E0088 as separated.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 t="n">
        <v>953.89</v>
      </c>
      <c r="H85" s="7" t="inlineStr">
        <is>
          <t>Resolve serial conflict on 1ZMD00000076 for MD-00076 (MISMATCH-0076 vs MD-NE-050076)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MD-00076 remains In Transit - Exception until serials align. Inbound serial MISMATCH-0076 on 1ZMD00000076 disagrees with register MD-NE-050076.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 t="n">
        <v>953.89</v>
      </c>
      <c r="H86" s="7" t="inlineStr">
        <is>
          <t>Remove E0089 as custodian on MD-00076; park under Regional IT or IT Stock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offboarding ticket OFF-00076 closed without a custodian change on MD-00076. hr_employee_status shows E0089 as separated. Register still assigns MD-00076 to E0089.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 t="n">
        <v>953.89</v>
      </c>
      <c r="H87" s="7" t="inlineStr">
        <is>
          <t>Escalate recovery on MD-00076; 1ZMD00000076 is not a return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no acceptance, delivery, or receiving scan tied to serial MD-NE-050076. Carrier file 1ZMD00000076 shows Label Created only for MD-00076. OFF-00076 return window elapsed.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 t="n">
        <v>0</v>
      </c>
      <c r="H88" s="7" t="inlineStr">
        <is>
          <t>Escalate recovery on MD-00077; 1ZMD00000077 is not a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Carrier file 1ZMD00000077 shows Label Created only for MD-00077. OFF-00077 return window elapsed. no acceptance, delivery, or receiving scan tied to serial MD-LA-050077.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 t="n">
        <v>0</v>
      </c>
      <c r="H89" s="7" t="inlineStr">
        <is>
          <t>Remove E0090 as custodian on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ticket OFF-00077 closed without a custodian change on MD-00077. EX-0085. hr_employee_status shows E0090 as separated. Register still assigns MD-00077 to E0090.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 t="n">
        <v>328.95</v>
      </c>
      <c r="H90" s="7" t="inlineStr">
        <is>
          <t>Escalate recovery on MD-00078; 1ZMD00000078 is not a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OFF-00078 return window elapsed. Carrier file 1ZMD00000078 shows Label Created only for MD-00078. no acceptance, delivery, or receiving scan tied to serial MD-MO-050078.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 t="n">
        <v>328.95</v>
      </c>
      <c r="H91" s="7" t="inlineStr">
        <is>
          <t>Remove E0091 as custodian on MD-00078; park under Regional IT or IT Stock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hr_employee_status shows E0091 as separated. EX-0087. Register still assigns MD-00078 to E0091. offboarding ticket OFF-00078 closed without a custodian change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 t="n">
        <v>692.62</v>
      </c>
      <c r="H92" s="7" t="inlineStr">
        <is>
          <t>Escalate recovery on MD-00079; 1ZMD00000079 is not a return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no acceptance, delivery, or receiving scan tied to serial MD-MO-050079. Carrier file 1ZMD00000079 shows Label Created only for MD-00079. OFF-00079 return window elapsed.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 t="n">
        <v>692.62</v>
      </c>
      <c r="H93" s="7" t="inlineStr">
        <is>
          <t>Remove E0092 as custodian on MD-00079; park under Regional IT or IT Stock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Register still assigns MD-00079 to E0092. offboarding ticket OFF-00079 closed without a custodian change on MD-00079. hr_employee_status shows E0092 as separated. EX-0089.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 t="n">
        <v>1374.53</v>
      </c>
      <c r="H94" s="7" t="inlineStr">
        <is>
          <t>Remove E0093 as custodian on MD-00080; park under Regional IT or IT Stock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hr_employee_status shows E0093 as separated. EX-0090. offboarding ticket OFF-00080 closed without a custodian change on MD-00080. Register still assigns MD-00080 to E0093.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 t="n">
        <v>114.4</v>
      </c>
      <c r="H95" s="7" t="inlineStr">
        <is>
          <t>Remove E0094 as custodian on MD-00081; park under Regional IT or IT Stock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EX-0091. Register still assigns MD-00081 to E0094. hr_employee_status shows E0094 as separated. offboarding ticket OFF-00081 closed without a custodian change on MD-00081.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 t="n">
        <v>485.55</v>
      </c>
      <c r="H96" s="7" t="inlineStr">
        <is>
          <t>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Dock photo receiving_exception_scan_1ZMD00000082.png is a HOLD lead for MD-00082; MISMATCH-0082 on inbound 1ZMD00000082 does not match register serial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 t="n">
        <v>485.55</v>
      </c>
      <c r="H97" s="7" t="inlineStr">
        <is>
          <t>Remove E0095 as custodian on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EX-0093. Register still assigns MD-00082 to E0095. hr_employee_status shows E0095 as separated. offboarding ticket OFF-00082 closed without a custodian change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 t="n">
        <v>952.79</v>
      </c>
      <c r="H98" s="7" t="inlineStr">
        <is>
          <t>Remove E0071 as custodian on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closed without a custodian change on MD-00083. hr_employee_status shows E0071 as separated. Register still assigns MD-00083 to E0071.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 t="n">
        <v>533.85</v>
      </c>
      <c r="H99" s="7" t="inlineStr">
        <is>
          <t>Resolve serial conflict on 1ZMD00000084 for MD-00084 (MISMATCH-0084 vs MD-NE-050084)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serial MISMATCH-0084 on 1ZMD00000084 disagrees with register MD-NE-050084. MD-00084 remains In Transit - Exception until serials align.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 t="n">
        <v>533.85</v>
      </c>
      <c r="H100" s="7" t="inlineStr">
        <is>
          <t>Remove E0072 as custodian on MD-00084; park under Regional IT or IT Stock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ticket OFF-00084 closed without a custodian change on MD-00084. hr_employee_status shows E0072 as separated. Register still assigns MD-00084 to E0072.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 t="n">
        <v>0</v>
      </c>
      <c r="H101" s="7" t="inlineStr">
        <is>
          <t>Remove E0073 as custodian on MD-00085; park under Regional IT or IT Stock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Register still assigns MD-00085 to E0073. EX-0097. offboarding ticket OFF-00085 closed without a custodian change on MD-00085. hr_employee_status shows E0073 as separated.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PO:PO-2024-0015; RegisterCost:1895.0; LedgerCost:2090.0; OverDepreciation:20.0</t>
        </is>
      </c>
      <c r="G102" s="7" t="n">
        <v>195</v>
      </c>
      <c r="H102" s="7" t="inlineStr">
        <is>
          <t>Finance Controller: align register $1895.0 vs ledger $2090.0 on FA-000085 for MD-00085 and correct NBV to $20 on FA-000085.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Pulled PO-2024-0015 and FA-000085 for MD-00085: register cost $1895.0 vs ledger $2090.0. FA-000085 accumulated depreciation $2070 exceeds what $2090 acquisition less $0 NBV allows; correct NBV is $20.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 t="n">
        <v>317.07</v>
      </c>
      <c r="H103" s="7" t="inlineStr">
        <is>
          <t>Remove E0074 as custodian on MD-00086; park under Regional IT or IT Stock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hr_employee_status shows E0074 as separated. EX-0099. Register still assigns MD-00086 to E0074. offboarding ticket OFF-00086 closed without a custodian change on MD-00086.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 t="n">
        <v>609.71</v>
      </c>
      <c r="H104" s="7" t="inlineStr">
        <is>
          <t>Remove E0075 as custodian on MD-00087; park under Regional IT or IT Stock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offboarding ticket OFF-00087 closed without a custodian change on MD-00087. EX-0100. hr_employee_status shows E0075 as separated. Register still assigns MD-00087 to E0075.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 t="n">
        <v>982.55</v>
      </c>
      <c r="H105" s="7" t="inlineStr">
        <is>
          <t>Remove E0076 as custodian on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ticket OFF-00088 closed without a custodian change on MD-00088. EX-0101. hr_employee_status shows E0076 as separated. Register still assigns MD-00088 to E0076.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 t="n"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MD-00088 and MD-00088,MD-00092; bench validation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 t="n">
        <v>0</v>
      </c>
      <c r="H107" s="7" t="inlineStr">
        <is>
          <t>Run loss investigation on MD-00089; keep Missing until located or approved write-off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EX-0103. last register site was Denver - Closed. No dock scan, disposal certificate, or count places MD-00089.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 t="n">
        <v>0</v>
      </c>
      <c r="H108" s="7" t="inlineStr">
        <is>
          <t>Remove E0077 as custodian on MD-00089; park under Regional IT or IT Stock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hr_employee_status shows E0077 as separated. EX-0104. Register still assigns MD-00089 to E0077. offboarding ticket OFF-00089 closed without a custodian change on MD-00089.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 t="n">
        <v>465.13</v>
      </c>
      <c r="H109" s="7" t="inlineStr">
        <is>
          <t>Run loss investigation on MD-00090; keep Missing until located or approved write-off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last register site was Chicago - Closed. No dock scan, disposal certificate, or count places MD-00090. EX-0105.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 t="n">
        <v>465.13</v>
      </c>
      <c r="H110" s="7" t="inlineStr">
        <is>
          <t>Remove E0078 as custodian on MD-00090; park under Regional IT or IT Stock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offboarding ticket OFF-00090 closed without a custodian change on MD-00090. EX-0106. Register still assigns MD-00090 to E0078. hr_employee_status shows E0078 as separated.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 t="n">
        <v>643.09</v>
      </c>
      <c r="H111" s="7" t="inlineStr">
        <is>
          <t>Run loss investigation on MD-00091; keep Missing until located or approved write-off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EX-0107. No dock scan, disposal certificate, or count places MD-00091. last register site was Denver - Closed.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 t="n">
        <v>643.09</v>
      </c>
      <c r="H112" s="7" t="inlineStr">
        <is>
          <t>Remove E0079 as custodian on MD-00091; park under Regional IT or IT Stock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Register still assigns MD-00091 to E0079. hr_employee_status shows E0079 as separated. offboarding ticket OFF-00091 closed without a custodian change on MD-00091.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 t="n">
        <v>1396.04</v>
      </c>
      <c r="H113" s="7" t="inlineStr">
        <is>
          <t>Run loss investigation on MD-00092; keep Missing until located or approved write-off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last register site was Chicago - Closed. No dock scan, disposal certificate, or count places MD-00092.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 t="n">
        <v>1396.04</v>
      </c>
      <c r="H114" s="7" t="inlineStr">
        <is>
          <t>Remove E0080 as custodian on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Register still assigns MD-00092 to E0080. hr_employee_status shows E0080 as separated. offboarding ticket OFF-00092 closed without a custodian change on MD-00092.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 t="n"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appears on MD-00092 and MD-00088,MD-00092; bench validation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 t="n">
        <v>130.57</v>
      </c>
      <c r="H116" s="7" t="inlineStr">
        <is>
          <t>Run loss investigation on MD-00093; keep Missing until located or approved write-off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last register site was Denver - Closed. EX-0112. No dock scan, disposal certificate, or count places MD-00093.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 t="n">
        <v>130.57</v>
      </c>
      <c r="H117" s="7" t="inlineStr">
        <is>
          <t>Remove E0081 as custodian on MD-00093; park under Regional IT or IT Stock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Register still assigns MD-00093 to E0081. offboarding ticket OFF-00093 closed without a custodian change on MD-00093. EX-0113. hr_employee_status shows E0081 as separated.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 t="n">
        <v>431.2</v>
      </c>
      <c r="H118" s="7" t="inlineStr">
        <is>
          <t>Run loss investigation on MD-00094; keep Missing until located or approved write-off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EX-0114. No dock scan, disposal certificate, or count places MD-00094. last register site was Chicago - Closed.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 t="n">
        <v>431.2</v>
      </c>
      <c r="H119" s="7" t="inlineStr">
        <is>
          <t>Remove E0082 as custodian on MD-00094; park under Regional IT or IT Stock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Register still assigns MD-00094 to E0082. offboarding ticket OFF-00094 closed without a custodian change on MD-00094. EX-0115. hr_employee_status shows E0082 as separated.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 t="n">
        <v>894.87</v>
      </c>
      <c r="H120" s="7" t="inlineStr">
        <is>
          <t>Run loss investigation on MD-00095; keep Missing until located or approved write-off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last register site was Denver - Closed. No dock scan, disposal certificate, or count places MD-00095. EX-0116.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 t="n">
        <v>894.87</v>
      </c>
      <c r="H121" s="7" t="inlineStr">
        <is>
          <t>Remove E0083 as custodian on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offboarding ticket OFF-00095 closed without a custodian change on MD-00095. hr_employee_status shows E0083 as separated. Register still assigns MD-00095 to E0083.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 t="n">
        <v>511.01</v>
      </c>
      <c r="H122" s="7" t="inlineStr">
        <is>
          <t>Run loss investigation on MD-00096; keep Missing until located or approved write-off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EX-0118. No dock scan, disposal certificate, or count places MD-00096. last register site was Chicago - Closed.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 t="n">
        <v>511.01</v>
      </c>
      <c r="H123" s="7" t="inlineStr">
        <is>
          <t>Remove E0084 as custodian on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Register still assigns MD-00096 to E0084. EX-0119. offboarding ticket OFF-00096 closed without a custodian change on MD-00096. hr_employee_status shows E0084 as separated.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 t="n">
        <v>0</v>
      </c>
      <c r="H124" s="7" t="inlineStr">
        <is>
          <t>Run loss investigation on MD-00097; keep Missing until located or approved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EX-0120. No dock scan, disposal certificate, or count places MD-00097. last register site was Denver - Closed.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 t="n">
        <v>0</v>
      </c>
      <c r="H125" s="7" t="inlineStr">
        <is>
          <t>Remove E0085 as custodian on MD-00097; park under Regional IT or IT Stock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Register still assigns MD-00097 to E0085. EX-0121. offboarding ticket OFF-00097 closed without a custodian change on MD-00097. hr_employee_status shows E0085 as separated.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 t="n">
        <v>266.87</v>
      </c>
      <c r="H126" s="7" t="inlineStr">
        <is>
          <t>Run loss investigation on MD-00098; keep Missing until located or approved write-off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last register site was Chicago - Closed. EX-0122. No dock scan, disposal certificate, or count places MD-00098.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 t="n">
        <v>266.87</v>
      </c>
      <c r="H127" s="7" t="inlineStr">
        <is>
          <t>Remove E0086 as custodian on MD-00098; park under Regional IT or IT Stock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hr_employee_status shows E0086 as separated. EX-0123. Register still assigns MD-00098 to E0086. offboarding ticket OFF-00098 closed without a custodian change on MD-00098.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 t="n">
        <v>548.24</v>
      </c>
      <c r="H128" s="7" t="inlineStr">
        <is>
          <t>Run loss investigation on MD-00099; keep Missing until located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EX-0124. No dock scan, disposal certificate, or count places MD-00099. last register site was Denver - Closed.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 t="n">
        <v>548.24</v>
      </c>
      <c r="H129" s="7" t="inlineStr">
        <is>
          <t>Remove E0087 as custodian on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Register still assigns MD-00099 to E0087. offboarding ticket OFF-00099 closed without a custodian change on MD-00099. hr_employee_status shows E0087 as separated.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 t="n">
        <v>927.36</v>
      </c>
      <c r="H130" s="7" t="inlineStr">
        <is>
          <t>Run loss investigation on MD-00100; keep Missing until located or approved write-off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EX-0126. last register site was Chicago - Closed. No dock scan, disposal certificate, or count places MD-00100.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 t="n">
        <v>927.36</v>
      </c>
      <c r="H131" s="7" t="inlineStr">
        <is>
          <t>Remove E0088 as custodian on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offboarding ticket OFF-00100 closed without a custodian change on MD-00100. hr_employee_status shows E0088 as separated. Register still assigns MD-00100 to E0088.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 t="n">
        <v>0</v>
      </c>
      <c r="H132" s="7" t="inlineStr">
        <is>
          <t>Obtain disposal certificate for MD-00101 or reverse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EX-0128. Retirement path for MD-00101 lacks a verified disposal certificate. transfer TR-00101 to recycler without DC. serial MD-LA-050101 not matched in asset_disposal_records.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 t="n">
        <v>0</v>
      </c>
      <c r="H133" s="7" t="inlineStr">
        <is>
          <t>Retire the closed-office code on MD-00101 and post Seattle as the working site; cite TR-00101 in the update (EX-0129)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equipment_transfer_log TR-00101 points to Seattle. Inventory row MD-00101 (serial MD-LA-050101) still lists site Denver - Closed. finding EX-0129. operating footprint for MD-00101 is Seattle, not Denver - Closed.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 t="n">
        <v>407.54</v>
      </c>
      <c r="H134" s="7" t="inlineStr">
        <is>
          <t>Obtain disposal certificate for MD-00102 or reverse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EX-0130. Retirement path for MD-00102 lacks a verified disposal certificate. transfer TR-00102 to recycler without DC. serial MD-MO-050102 not matched in asset_disposal_records.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PO:PO-2022-0017; RegisterCost:700.0; LedgerCost:820.0</t>
        </is>
      </c>
      <c r="G135" s="7" t="n">
        <v>120</v>
      </c>
      <c r="H135" s="7" t="inlineStr">
        <is>
          <t>Align cost on MD-00102: register 700.0 vs ledger 820.0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cost $700.0 on MD-00102 does not match ledger $820.0 on FA-000102 (EX-0131).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 t="n">
        <v>407.54</v>
      </c>
      <c r="H136" s="7" t="inlineStr">
        <is>
          <t>Correct the stale location on MD-00102 (Chicago - Closed → Atlanta); cite TR-00102 in the update (EX-0132)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Site code Chicago - Closed on MD-00102 was retired during consolidation but remains on the asset row. operating footprint for MD-00102 is Atlanta, not Chicago - Closed. equipment_transfer_log TR-00102 points to Atlanta. finding EX-0132.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 t="n">
        <v>782.53</v>
      </c>
      <c r="H137" s="7" t="inlineStr">
        <is>
          <t>Obtain disposal certificate for MD-00103 or reverse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 path for MD-00103 lacks a verified disposal certificate. serial MD-MO-050103 not matched in asset_disposal_records. transfer TR-00103 to recycler without DC.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 t="n">
        <v>782.53</v>
      </c>
      <c r="H138" s="7" t="inlineStr">
        <is>
          <t>Retire the closed-office code on MD-00103 and post Chicago as the working site; cite TR-00103 in the update (EX-0134)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equipment_transfer_log TR-00103 points to Chicago. finding EX-0134. Site code Denver - Closed on MD-00103 was retired during consolidation but remains on the asset row. operating footprint for MD-00103 is Chicago, not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 t="n">
        <v>1403.83</v>
      </c>
      <c r="H139" s="7" t="inlineStr">
        <is>
          <t>Obtain disposal certificate for MD-00104 or reverse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transfer TR-00104 to recycler without DC. serial MD-NE-050104 not matched in asset_disposal_records. EX-0135. Retirement path for MD-00104 lacks a verified disposal certificate.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 t="n">
        <v>1403.83</v>
      </c>
      <c r="H140" s="7" t="inlineStr">
        <is>
          <t>Replace shuttered site Chicago - Closed on MD-00104 with Dallas on the register; cite TR-00104 in the update (EX-0136)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Site code Chicago - Closed on MD-00104 was retired during consolidation but remains on the asset row. operating footprint for MD-00104 is Dallas, not Chicago - Closed. finding EX-0136. equipment_transfer_log TR-00104 points to Dallas.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 t="n">
        <v>104.26</v>
      </c>
      <c r="H141" s="7" t="inlineStr">
        <is>
          <t>Obtain disposal certificate for MD-00105 or reverse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serial MD-LA-050105 not matched in asset_disposal_records. EX-0137. transfer TR-00105 to recycler without DC. Retirement path for MD-00105 lacks a verified disposal certificate.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 t="n">
        <v>104.26</v>
      </c>
      <c r="H142" s="7" t="inlineStr">
        <is>
          <t>IT Asset Specialist: change MD-00105 location from Denver - Closed to Denver; cite TR-00105 in the update (EX-0138)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operating footprint for MD-00105 is Denver, not Denver - Closed. equipment_transfer_log TR-00105 points to Denver. Site code Denver - Closed on MD-00105 was retired during consolidation but remains on the asset row. finding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 t="n">
        <v>368.24</v>
      </c>
      <c r="H143" s="7" t="inlineStr">
        <is>
          <t>Obtain disposal certificate for MD-00106 or reverse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transfer TR-00106 to recycler without DC. EX-0139. serial MD-MO-050106 not matched in asset_disposal_records. Retirement path for MD-00106 lacks a verified disposal certificate.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 t="n">
        <v>368.24</v>
      </c>
      <c r="H144" s="7" t="inlineStr">
        <is>
          <t>IT Asset Specialist: change MD-00106 location from Chicago - Closed to New York; cite TR-00106 in the update (EX-0140)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operating footprint for MD-00106 is New York, not Chicago - Closed. finding EX-0140. Inventory row MD-00106 (serial MD-MO-050106) still lists site Chicago - Closed. equipment_transfer_log TR-00106 points to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 t="n">
        <v>812.21</v>
      </c>
      <c r="H145" s="7" t="inlineStr">
        <is>
          <t>Obtain disposal certificate for MD-00107 or reverse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transfer TR-00107 to recycler without DC. EX-0141. serial MD-MO-050107 not matched in asset_disposal_records. Retirement path for MD-00107 lacks a verified disposal certificate.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 t="n">
        <v>812.21</v>
      </c>
      <c r="H146" s="7" t="inlineStr">
        <is>
          <t>Correct the stale location on MD-00107 (Denver - Closed → Seattle); cite TR-00107 in the update (EX-0142)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equipment_transfer_log TR-00107 points to Seattle. Inventory row MD-00107 (serial MD-MO-050107) still lists site Denver - Closed. finding EX-0142. operating footprint for MD-00107 is Seattle, not Denver - Closed.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 t="n">
        <v>545.48</v>
      </c>
      <c r="H147" s="7" t="inlineStr">
        <is>
          <t>Obtain disposal certificate for MD-00108 or reverse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transfer TR-00108 to recycler without DC. serial MD-NE-050108 not matched in asset_disposal_records. EX-0143. Retirement path for MD-00108 lacks a verified disposal certificate.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 t="n">
        <v>545.48</v>
      </c>
      <c r="H148" s="7" t="inlineStr">
        <is>
          <t>Retire the closed-office code on MD-00108 and post Atlanta as the working site; cite TR-00108 in the update (EX-0144)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operating footprint for MD-00108 is Atlanta, not Chicago - Closed. finding EX-0144. equipment_transfer_log TR-00108 points to Atlanta. Inventory row MD-00108 (serial MD-NE-050108) still lists site Chicago - Closed.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 t="n">
        <v>0</v>
      </c>
      <c r="H149" s="7" t="inlineStr">
        <is>
          <t>Obtain disposal certificate for MD-00109 or reverse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path for MD-00109 lacks a verified disposal certificate. EX-0145. serial MD-LA-050109 not matched in asset_disposal_records. transfer TR-00109 to recycler without DC.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 t="n">
        <v>0</v>
      </c>
      <c r="H150" s="7" t="inlineStr">
        <is>
          <t>Replace shuttered site Denver - Closed on MD-00109 with Chicago on the register; cite TR-00109 in the update (EX-0146)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finding EX-0146. Inventory row MD-00109 (serial MD-LA-050109) still lists site Denver - Closed. equipment_transfer_log TR-00109 points to Chicago. operating footprint for MD-00109 is Chicago, not Denver - Closed.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 t="n">
        <v>387.24</v>
      </c>
      <c r="H151" s="7" t="inlineStr">
        <is>
          <t>Obtain disposal certificate for MD-00110 or reverse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Retirement path for MD-00110 lacks a verified disposal certificate. serial MD-MO-050110 not matched in asset_disposal_records. EX-0147. transfer TR-00110 to recycler without DC.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 t="n">
        <v>387.24</v>
      </c>
      <c r="H152" s="7" t="inlineStr">
        <is>
          <t>Replace shuttered site Chicago - Closed on MD-00110 with Dallas on the register; cite TR-00110 in the update (EX-0148)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The register extract for MD-00110 carries location Chicago - Closed after that floor was vacated. finding EX-0148. operating footprint for MD-00110 is Dallas, not Chicago - Closed. equipment_transfer_log TR-00110 points to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 t="n">
        <v>0</v>
      </c>
      <c r="H153" s="7" t="inlineStr">
        <is>
          <t>Obtain disposal certificate for MD-00114 or reverse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transfer TR-00114 to recycler without DC. Retirement path for MD-00114 lacks a verified disposal certificate. EX-0149. serial MD-MO-050114 not matched in asset_disposal_records.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 t="n">
        <v>0</v>
      </c>
      <c r="H154" s="7" t="inlineStr">
        <is>
          <t>IT Asset Specialist: change MD-00114 location from Chicago - Closed to Disposed (certificate missing); cite TR-00114 in the update (EX-0150)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operating footprint for MD-00114 is Disposed (certificate missing), not Chicago - Closed. equipment_transfer_log TR-00114 points to Disposed (certificate missing). Site code Chicago - Closed on MD-00114 was retired during consolidation but remains on the asset row. finding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 t="n">
        <v>0</v>
      </c>
      <c r="H155" s="7" t="inlineStr">
        <is>
          <t>Obtain disposal certificate for MD-00118 or reverse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Retirement path for MD-00118 lacks a verified disposal certificate. serial MD-MO-050118 not matched in asset_disposal_records. transfer TR-00118 to recycler without DC.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 t="n">
        <v>0</v>
      </c>
      <c r="H156" s="7" t="inlineStr">
        <is>
          <t>Retire the closed-office code on MD-00118 and post Disposed (certificate missing) as the working site; cite TR-00118 in the update (EX-0152)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Site code Chicago - Closed on MD-00118 was retired during consolidation but remains on the asset row. operating footprint for MD-00118 is Disposed (certificate missing), not Chicago - Closed. equipment_transfer_log TR-00118 points to Disposed (certificate missing). finding EX-0152.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PO:PO-2025-0020; RegisterCost:950.0; LedgerCost:1115.0</t>
        </is>
      </c>
      <c r="G157" s="7" t="n">
        <v>165</v>
      </c>
      <c r="H157" s="7" t="inlineStr">
        <is>
          <t>Align cost on MD-00119: register 950.0 vs ledger 1115.0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Register cost $950.0 on MD-00119 does not match ledger $1115.0 on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 t="n">
        <v>0</v>
      </c>
      <c r="H158" s="7" t="inlineStr">
        <is>
          <t>IT Asset Specialist: change MD-00121 location from Denver - Closed to Chicago; cite TR-00121 in the update (EX-0154)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equipment_transfer_log TR-00121 points to Chicago. finding EX-0154. Site code Denver - Closed on MD-00121 was retired during consolidation but remains on the asset row. operating footprint for MD-00121 is Chicago, not Denver - Closed.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 t="n">
        <v>336.15</v>
      </c>
      <c r="H159" s="7" t="inlineStr">
        <is>
          <t>Retire the closed-office code on MD-00122 and post Dallas as the working site; cite TR-00122 in the update (EX-0155)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finding EX-0155. The register extract for MD-00122 carries location Chicago - Closed after that floor was vacated. equipment_transfer_log TR-00122 points to Dallas. operating footprint for MD-00122 is Dallas, not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 t="n">
        <v>622.62</v>
      </c>
      <c r="H160" s="7" t="inlineStr">
        <is>
          <t>IT Asset Specialist: change MD-00123 location from Denver - Closed to Denver; cite TR-00123 in the update (EX-0156)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equipment_transfer_log TR-00123 points to Denver. finding EX-0156. operating footprint for MD-00123 is Denver, not Denver - Closed. Inventory row MD-00123 (serial MD-MO-050123) still lists site Denver - Closed.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 t="n">
        <v>947.26</v>
      </c>
      <c r="H161" s="7" t="inlineStr">
        <is>
          <t>Retire the closed-office code on MD-00124 and post New York as the working site; cite TR-00124 in the update (EX-0157)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equipment_transfer_log TR-00124 points to New York. finding EX-0157. Site code Chicago - Closed on MD-00124 was retired during consolidation but remains on the asset row. operating footprint for MD-00124 is New York, not Chicago - Closed.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 t="n">
        <v>0</v>
      </c>
      <c r="H162" s="7" t="inlineStr">
        <is>
          <t>IT Asset Specialist: change MD-00125 location from Denver - Closed to Seattle; cite TR-00125 in the update (EX-0158)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The register extract for MD-00125 carries location Denver - Closed after that floor was vacated. equipment_transfer_log TR-00125 points to Seattle. operating footprint for MD-00125 is Seattle, not Denver - Closed. finding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 t="n">
        <v>302.75</v>
      </c>
      <c r="H163" s="7" t="inlineStr">
        <is>
          <t>Retire the closed-office code on MD-00126 and post Atlanta as the working site; cite TR-00126 in the update (EX-0159)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operating footprint for MD-00126 is Atlanta, not Chicago - Closed. finding EX-0159. Inventory row MD-00126 (serial MD-MO-050126) still lists site Chicago - Closed. equipment_transfer_log TR-00126 points to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 t="n">
        <v>662.65</v>
      </c>
      <c r="H164" s="7" t="inlineStr">
        <is>
          <t>Obtain APR on TR-00127 or reverse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Transfer TR-00127 for MD-00127 has a blank approval_id per ITAM-001 §4 (EX-0160).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 t="n">
        <v>700</v>
      </c>
      <c r="H165" s="7" t="inlineStr">
        <is>
          <t>Informational only — MD-00130 under $2,500 gate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at $700 is below the $2,500 gate; FAR silence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 t="n">
        <v>1175</v>
      </c>
      <c r="H166" s="7" t="inlineStr">
        <is>
          <t>Informational only — MD-00131 under $2,500 gate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at $1175 is below the $2,500 gate; FAR silence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 t="n">
        <v>6470</v>
      </c>
      <c r="H167" s="7" t="inlineStr">
        <is>
          <t>Capitalize MD-00132 or obtain approved write-off; reject RN-0132 claim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acquisition $6470.0 exceeds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>
      <c r="A169" t="inlineStr">
        <is>
          <t>Total Financial Exposure</t>
        </is>
      </c>
      <c r="G169">
        <f>SUM(G5:G167)</f>
        <v/>
      </c>
      <c r="H169" t="inlineStr">
        <is>
          <t>IT Asset Specialist: remediate Total Financial Exposure on None per cited records.</t>
        </is>
      </c>
      <c r="L169" t="inlineStr">
        <is>
          <t>Reviewed cited records for None under Total Financial Exposure: 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Acquisition MD-00017: MacBook Pro 14, $1985, PO PO-2024-0003.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Matrix return criteria applied to MD-00017; figure is reference, not inbound proof for chain row 6.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Transfer TR-00017 for MD-00017: posted 06/17/2026, inbound Jun 19, 2026,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Verified outcome MD-00017: In Use / Seattle (High).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Acquisition MD-00021: Dell Latitude 7440, $1850, PO PO-2025-0004.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Transfer TR-00021 for MD-00021: posted 2026-05-02, inbound 05/03/2026, APR APR-00021.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Policy figure sets transfer evidence expectations for MD-00021; chain row 11 remains the audit trail.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outcome MD-00021: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Vendor shipment for MD-00025 (Lenovo ThinkPad T14) recorded at $2030 on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Transfer TR-00025 for MD-00025: posted 01/21/2026, inbound Jan 22, 2026,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regional_IT_notes.docx checked for MD-00025; no corroborated RN entry found.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figure sets assignment evidence expectations for MD-00025; chain row 16 remains the audit trail.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Final status on MD-00025 — In Use, site Chicago,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Acquisition MD-00034: Dell U2723QE, $790, PO PO-2023-0006.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Transfer TR-00034 for MD-00034: posted May 22, 2026, inbound 2026-05-22,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checked for MD-00034; no corroborated RN entry found.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ITAM_control_matrix.png Appendix A transfer row consulted while tracing MD-00034; transactional proof stays with chain row 21.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Verified outcome MD-00034: In Use / New York (High).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PO PO-2022-0009 covers MD-00051 (Samsung Galaxy S24) for $1040.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Transfer TR-00051 for MD-00051: posted 03/31/2026, inbound Mar 31, 2026,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regional_IT_notes.docx checked for MD-00051; no corroborated RN entry found.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Read IT_asset_management_policy.pdf §4–§9 with the matrix assignment line for MD-00051; cite chain row 26.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Verified outcome MD-00051: Available / Denver (High).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Acquisition MD-00058: Dell U2723QE, $610, PO PO-2023-0010.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Transfer TR-00058 for MD-00058: posted 05/22/2026, inbound May 23, 2026, APR missing.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Service desk OFF-00058: Closed; return required 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checked for MD-00058; no corroborated RN entry found.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Policy figure sets assignment evidence expectations for MD-00058; chain row 33 remains the audit trail.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Custody conclusion for MD-00058: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Acquisition MD-00059: Samsung Galaxy S24, $1085, PO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Transfer TR-00059 for MD-00059: posted Jun 26, 2026, inbound 2026-06-26, APR missing.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OFF-00059: Closed; return required Yes; due Jul 15, 2026.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regional_IT_notes.docx checked for MD-00059; no corroborated RN entry found.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Read IT_asset_management_policy.pdf §4–§9 with the matrix financial line for MD-00059; cite chain row 40.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Custody conclusion for MD-00059: Pending Redeployment at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Vendor shipment for MD-00060 (Cisco C9300) recorded at $6380 on PO-2023-0010.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Transfer TR-00060 for MD-00060: posted 2026-01-30, inbound 02/02/2026, APR APR-00060.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Service desk OFF-00060: Closed; return required Yes; due 07/15/2026.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regional_IT_notes.docx checked for MD-00060; no corroborated RN entry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Read IT_asset_management_policy.pdf §4–§9 with the matrix disposal line for MD-00060; cite chain row 47.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Chain ends with MD-00060 as Pending Redeployment in Atlanta; confidence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Acquisition MD-00061: Lenovo ThinkPad T14, $2075, PO PO-2024-0011.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Transfer TR-00061 for MD-00061: posted 02/02/2026, inbound Feb 03, 2026,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Service desk OFF-00061: Closed; return required 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checked for MD-00061; no corroborated RN entry found.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Policy figure sets return evidence expectations for MD-00061; chain row 54 remains the audit trail.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Chain ends with MD-00061 as Pending Redeployment in Chicago; confidence High.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PO PO-2024-0011 covers MD-00062 (Dell U2723QE) for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Transfer TR-00062 for MD-00062: posted Mar 07, 2026, inbound 2026-03-07,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Service desk OFF-00062: Closed; return required Yes; due Jul 15, 2026.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checked for MD-00062; no corroborated RN entry found.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ITAM_control_matrix.png Appendix A transfer row consulted while tracing MD-00062; transactional proof stays with chain row 61.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Verified outcome MD-00062: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Vendor shipment for MD-00063 (Samsung Galaxy S24) recorded at $950 on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Transfer TR-00063 for MD-00063: posted 2026-04-12, inbound 04/16/2026, APR APR-00063.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Service desk OFF-00063: Closed; return required Yes; due 07/15/2026.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checked for MD-00063; no corroborated RN entry found.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Policy figure sets financial evidence expectations for MD-00063; chain row 68 remains the audit trail.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Final status on MD-00063 —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Vendor shipment for MD-00064 (Cisco C9300) recorded at $6245 on PO-2024-0011.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Transfer TR-00064 for MD-00064: posted 05/13/2026, inbound May 14, 2026, APR missing.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Service desk OFF-00064: Closed; return required 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checked for MD-00064; no corroborated RN entry found.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ITAM_control_matrix.png Appendix A disposal row consulted while tracing MD-00064; transactional proof stays with chain row 75.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outcome MD-00064: Pending Redeployment / New York (Medium).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Vendor shipment for MD-00065 (MacBook Pro 14) recorded at $1940 on PO-2024-0011.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Transfer TR-00065 for MD-00065: posted Jun 17, 2026, inbound 2026-06-23, APR missing.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Service desk OFF-00065: Closed; return required Yes; due Jul 15, 2026.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regional_IT_notes.docx checked for MD-00065; no corroborated RN entry found.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Matrix return criteria applied to MD-00065; figure is reference, not inbound proof for chain row 82.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Verified outcome MD-00065: Pending Redeployment / Seattle (Medium).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Acquisition MD-00066: Dell U2723QE, $655, PO PO-2024-0011.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Transfer TR-00066 for MD-00066: posted 2026-01-22, inbound 01/25/2026, APR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Service desk OFF-00066: Closed; return required Yes; due 07/15/2026.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regional_IT_notes.docx checked for MD-00066; no corroborated RN entry found.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Policy figure sets assignment evidence expectations for MD-00066; chain row 89 remains the audit trail.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Custody conclusion for MD-00066: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PO PO-2025-0012 covers MD-00067 (Samsung Galaxy S24) for $1130.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for MD-00067: posted 02/23/2026, inbound Feb 23, 2026,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OFF-00067: Closed; return required 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checked for MD-00067; no corroborated RN entry found.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financial criteria applied to MD-00067; figure is reference, not inbound proof for chain row 96.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Custody conclusion for MD-00067: Pending Redeployment at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PO PO-2025-0012 covers MD-00068 (Cisco C9300) for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Transfer TR-00068 for MD-00068: posted Mar 28, 2026, inbound 2026-04-03,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Service desk OFF-00068: Past Due; return required Yes; due Jul 15, 2026.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for MD-00068 — Label Created only; not a return clearance.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checked for MD-00068; no corroborated RN entry found.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Read IT_asset_management_policy.pdf §4–§9 with the matrix disposal line for MD-00068; cite chain row 104.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Chain ends with MD-00068 as Return Overdue in Remote - Former Employee; confidence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PO PO-2025-0012 covers MD-00069 (Dell Latitude 7440) for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Transfer TR-00069 for MD-00069: posted May 02, 2026, inbound 2026-05-04,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Service desk OFF-00069: Past Due; return required 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Prepaid label 1ZMD00000069 for MD-00069 — Label Created only; not a return clearance.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checked for MD-00069; no corroborated RN entry found.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ITAM_control_matrix.png Appendix A disposal row consulted while tracing MD-00069; transactional proof stays with chain row 112.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Custody conclusion for MD-00069: Return Overdue at Remote - Former Employee (Low).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Acquisition MD-00070: Dell U2723QE, $520, PO PO-2025-0012.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Transfer TR-00070 for MD-00070: posted Jun 03, 2026, inbound 2026-06-03,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Service desk OFF-00070: Past Due; return required Yes; due 07/15/2026.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Prepaid label 1ZMD00000070 for MD-00070 — Label Created only; not a return clearance.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checked for MD-00070; no corroborated RN entry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figure sets financial evidence expectations for MD-00070; chain row 120 remains the audit trail.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After review, MD-00070 remains Return Overdue at Remote - Former Employee;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Vendor shipment for MD-00071 (Samsung Galaxy S24) recorded at $995 on PO-2025-0012.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Transfer TR-00071 for MD-00071: posted Jul 08, 2026, inbound 2026-07-12,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Service desk OFF-00071: Past Due; return required Yes; due Jul 15, 2026.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Prepaid label 1ZMD00000071 for MD-00071 — Label Created only; not a return clearance.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checked for MD-00071; no corroborated RN entry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Read IT_asset_management_policy.pdf §4–§9 with the matrix disposal line for MD-00071; cite chain row 128.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Final status on MD-00071 — Return Overdue, site Remote - Former Employee, Low.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Acquisition MD-00072: Cisco C9300, $6290, PO PO-2025-0012.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Transfer TR-00072 for MD-00072: posted Jan 18, 2026, inbound 2026-01-18,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Service desk OFF-00072: Past Due; return required 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Prepaid label 1ZMD00000072 for MD-00072 — Label Created only; not a return clearance.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checked for MD-00072; no corroborated RN entry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figure sets disposal evidence expectations for MD-00072; chain row 136 remains the audit trail.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After review, MD-00072 remains Return Overdue at Remote - Former Employee; Low.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Vendor shipment for MD-00073 (Lenovo ThinkPad T14) recorded at $1985 on PO-2022-0013.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Transfer TR-00073 for MD-00073: posted Jan 21, 2026, inbound 2026-01-24,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Service desk OFF-00073: Past Due; return required Yes; due 07/15/2026.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Prepaid label 1ZMD00000073 for MD-00073 — Label Created only; not a return clearance.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checked for MD-00073; no corroborated RN entry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ITAM_control_matrix.png Appendix A disposal row consulted while tracing MD-00073; transactional proof stays with chain row 144.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After review, MD-00073 remains Return Overdue at Remote - Former Employee; Low.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PO PO-2022-0013 covers MD-00074 (Dell U2723QE) for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Transfer TR-00074 for MD-00074: posted Feb 23, 2026, inbound 2026-02-24,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Service desk OFF-00074: Past Due; return required Yes; due Jul 15, 2026.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Prepaid label 1ZMD00000074 for MD-00074 — Label Created only; not a return clearance.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Carrier exception on 1ZMD00000074: inbound serial does not match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regional_IT_notes.docx checked for MD-00074; no corroborated RN entry found.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sets financial evidence expectations for MD-00074; chain row 153 remains the audit trail.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Custody conclusion for MD-00074: Return Overdue at Carrier Network / Unverified (Low).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Vendor shipment for MD-00075 (Samsung Galaxy S24) recorded at $1175 on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Transfer TR-00075 for MD-00075: posted 03/31/2026, inbound Apr 01, 2026,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OFF-00075: Past Due; return required Yes; due Jul 15, 2026.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Prepaid label 1ZMD00000075 for MD-00075 — Label Created only; not a return clearance.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checked for MD-00075; no corroborated RN entry found.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Read IT_asset_management_policy.pdf §4–§9 with the matrix financial line for MD-00075; cite chain row 161.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Final status on MD-00075 — Return Overdue, site Remote - Former Employee,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PO PO-2022-0013 covers MD-00076 (Cisco C9300) for $6470.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Transfer TR-00076 for MD-00076: posted 05/01/2026, inbound May 03, 2026,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OFF-00076: Past Due; return required 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Prepaid label 1ZMD00000076 for MD-00076 — Label Created only; not a return clearance.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Carrier exception on 1ZMD00000076: inbound serial does not match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regional_IT_notes.docx checked for MD-00076; no corroborated RN entry found.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Read IT_asset_management_policy.pdf §4–§9 with the matrix assignment line for MD-00076; cite chain row 170.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Custody conclusion for MD-00076: Return Overdue at Carrier Network / Unverified (Low).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Acquisition MD-00077: MacBook Pro 14, $1850, PO PO-2022-0013.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Transfer TR-00077 for MD-00077: posted 2026-06-05, inbound 06/06/2026, APR APR-00077.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Service desk OFF-00077: Past Due; return required 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Prepaid label 1ZMD00000077 for MD-00077 — Label Created only; not a return clearance.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checked for MD-00077; no corroborated RN entry found.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ITAM_control_matrix.png Appendix A financial row consulted while tracing MD-00077; transactional proof stays with chain row 178.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Final status on MD-00077 —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Vendor shipment for MD-00078 (Dell U2723QE) recorded at $565 on PO-2022-0013.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Transfer TR-00078 for MD-00078: posted 2026-01-10, inbound 01/10/2026, APR APR-00078.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Service desk OFF-00078: Past Due; return required Yes; due 07/15/2026.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Prepaid label 1ZMD00000078 for MD-00078 — Label Created only; not a return clearance.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regional_IT_notes.docx checked for MD-00078; no corroborated RN entry found.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ITAM_control_matrix.png Appendix A financial row consulted while tracing MD-00078; transactional proof stays with chain row 186.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Chain ends with MD-00078 as Return Overdue in Remote - Former Employee; confidence Low.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PO PO-2023-0014 covers MD-00079 (Samsung Galaxy S24) for $1040.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Transfer TR-00079 for MD-00079: posted 2026-02-11, inbound 02/13/2026, APR APR-00079.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Service desk OFF-00079: Past Due; return required Yes; due Jul 15, 2026.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Prepaid label 1ZMD00000079 for MD-00079 — Label Created only; not a return clearance.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regional_IT_notes.docx checked for MD-00079; no corroborated RN entry found.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Read IT_asset_management_policy.pdf §4–§9 with the matrix financial line for MD-00079; cite chain row 194.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Verified outcome MD-00079: Return Overdue / Remote - Former Employee (Low).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Acquisition MD-00080: Cisco C9300, $6335, PO PO-2023-0014.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Transfer TR-00080 for MD-00080: posted 2026-03-16, inbound 03/17/2026, APR APR-00080.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Service desk OFF-00080: Shipment Open; return required 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Prepaid label 1ZMD00000080 for MD-00080 — Label Created only; not a return clearance.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regional_IT_notes.docx checked for MD-00080; no corroborated RN entry found.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financial criteria applied to MD-00080; figure is reference, not inbound proof for chain row 205.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Chain ends with MD-00080 as Available in Atlanta Warehouse; confidence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PO PO-2023-0014 covers MD-00081 (Dell Latitude 7440) for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Transfer TR-00081 for MD-00081: posted 2026-04-20, inbound 04/20/2026, APR APR-00081.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Service desk OFF-00081: Shipment Open; return required Yes; due 07/15/2026.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for MD-00081 — Label Created only; not a return clearance.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regional_IT_notes.docx checked for MD-00081; no corroborated RN entry found.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Matrix return criteria applied to MD-00081; figure is reference, not inbound proof for chain row 216.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Final status on MD-00081 — Available, site Atlanta Warehouse, High.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PO PO-2023-0014 covers MD-00082 (Dell U2723QE) for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Transfer TR-00082 for MD-00082: posted 2026-05-22, inbound 05/24/2026, APR APR-00082.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Service desk OFF-00082: Shipment Open; return required Yes; due Jul 15, 2026.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Prepaid label 1ZMD00000082 for MD-00082 — Label Created only; not a return clearance.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Carrier exception on 1ZMD00000082: inbound serial does not match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regional_IT_notes.docx checked for MD-00082; no corroborated RN entry found.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ITAM_control_matrix.png Appendix A assignment row consulted while tracing MD-00082; transactional proof stays with chain row 227.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Custody conclusion for MD-00082: In Transit - Exception at Carrier Network / Unverified (Low).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PO PO-2023-0014 covers MD-00083 (Samsung Galaxy S24) for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Transfer TR-00083 for MD-00083: posted 2026-06-26, inbound 06/27/2026, APR APR-00083.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Service desk OFF-00083: Shipment Open; return required 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for MD-00083 — Label Created only; not a return clearance.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checked for MD-00083; no corroborated RN entry found.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ITAM_control_matrix.png Appendix A disposal row consulted while tracing MD-00083; transactional proof stays with chain row 238.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Chain ends with MD-00083 as Available in Atlanta Warehouse; confidence High.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Vendor shipment for MD-00084 (Cisco C9300) recorded at $6200 on PO-2023-0014.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for MD-00084: posted 2026-01-30, inbound 02/05/2026, APR APR-00084.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Service desk OFF-00084: Shipment Open; return required Yes; due 07/15/2026.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Prepaid label 1ZMD00000084 for MD-00084 — Label Created only; not a return clearance.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 on 1ZMD00000084: inbound serial does not match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checked for MD-00084; no corroborated RN entry found.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ITAM_control_matrix.png Appendix A assignment row consulted while tracing MD-00084; transactional proof stays with chain row 248.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Custody conclusion for MD-00084: In Transit - Exception at Carrier Network / Unverified (Low).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 PO-2024-0015 covers MD-00085 (Lenovo ThinkPad T14) for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Transfer TR-00085 for MD-00085: posted 02/02/2026, inbound Feb 03, 2026,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Service desk OFF-00085: Shipment Open; return required 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Prepaid label 1ZMD00000085 for MD-00085 — Label Created only; not a return clearance.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regional_IT_notes.docx checked for MD-00085; no corroborated RN entry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Read IT_asset_management_policy.pdf §4–§9 with the matrix disposal line for MD-00085; cite chain row 259.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Chain ends with MD-00085 as Available in Atlanta Warehouse; confidence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Vendor shipment for MD-00086 (Dell U2723QE) recorded at $610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for MD-00086: posted 03/07/2026, inbound Mar 08, 2026,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Service desk OFF-00086: Shipment Open; return required Yes; due 07/15/2026.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for MD-00086 — Label Created only; not a return clearance.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regional_IT_notes.docx checked for MD-00086; no corroborated RN entry found.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ITAM_control_matrix.png Appendix A return row consulted while tracing MD-00086; transactional proof stays with chain row 270.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Final status on MD-00086 — Available, site Atlanta Warehouse, High.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Vendor shipment for MD-00087 (Samsung Galaxy S24) recorded at $1085 on PO-2024-0015.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Transfer TR-00087 for MD-00087: posted 04/12/2026, inbound Apr 12, 2026,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Service desk OFF-00087: Shipment Open; return required Yes; due Jul 15, 2026.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Prepaid label 1ZMD00000087 for MD-00087 — Label Created only; not a return clearance.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checked for MD-00087; no corroborated RN entry found.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Read IT_asset_management_policy.pdf §4–§9 with the matrix assignment line for MD-00087; cite chain row 281.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Verified outcome MD-00087: Available /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Acquisition MD-00088: Cisco C9300, $6380, PO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Transfer TR-00088 for MD-00088: posted 05/13/2026, inbound May 14, 2026,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OFF-00088: Shipment Open; return required 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for MD-00088 — Label Created only; not a return clearance.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regional_IT_notes.docx checked for MD-00088; no corroborated RN entry found.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Matrix disposal criteria applied to MD-00088; figure is reference, not inbound proof for chain row 292.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After review, MD-00088 remains Available at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PO-2024-0015 covers MD-00089 (MacBook Pro 14) for $2075.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Transfer TR-00089 for MD-00089: posted 06/17/2026, inbound Jun 17, 2026,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Service desk OFF-00089: Unresolved; return required Yes; due 07/15/2026.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checked for MD-00089; no corroborated RN entry found.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Matrix transfer criteria applied to MD-00089; figure is reference, not inbound proof for chain row 299.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count currently places MD-00089; assumption left open.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Chain ends with MD-00089 as Missing in Unknown; confidence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Acquisition MD-00090: Dell U2723QE, $790, PO PO-2024-0015.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for MD-00090: posted 01/22/2026, inbound Jan 28, 2026,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Service desk OFF-00090: Unresolved; return required Yes; due Jul 15, 2026.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checked for MD-00090; no corroborated RN entry found.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Read IT_asset_management_policy.pdf §4–§9 with the matrix disposal line for MD-00090; cite chain row 307.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count currently places MD-00090; assumption left open.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After review, MD-00090 remains Missing at Unknown;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Acquisition MD-00091: Samsung Galaxy S24, $950, PO PO-2025-0016.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Transfer TR-00091 for MD-00091: posted 02/23/2026, inbound Feb 24, 2026,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Service desk OFF-00091: Unresolved; return required 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checked for MD-00091; no corroborated RN entry found.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Policy figure sets disposal evidence expectations for MD-00091; chain row 315 remains the audit trail.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count currently places MD-00091; assumption left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Verified outcome MD-00091: Missing /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PO PO-2025-0016 covers MD-00092 (Cisco C9300) for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Transfer TR-00092 for MD-00092: posted 03/28/2026, inbound Mar 28, 2026,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Service desk OFF-00092: Unresolved; return required Yes; due 07/15/2026.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checked for MD-00092; no corroborated RN entry found.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ITAM_control_matrix.png Appendix A disposal row consulted while tracing MD-00092; transactional proof stays with chain row 323.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count currently places MD-00092; assumption left open.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Final status on MD-00092 — Missing, site Unknown, Low.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Acquisition MD-00093: Dell Latitude 7440, $1940, PO PO-2025-0016.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Transfer TR-00093 for MD-00093: posted 05/02/2026, inbound May 06, 2026,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OFF-00093: Unresolved; return required Yes; due Jul 15, 2026.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checked for MD-00093; no corroborated RN entry found.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Read IT_asset_management_policy.pdf §4–§9 with the matrix disposal line for MD-00093; cite chain row 331.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count currently places MD-00093; assumption left open.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Verified outcome MD-00093: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Vendor shipment for MD-00094 (Dell U2723QE) recorded at $655 on PO-2025-0016.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Transfer TR-00094 for MD-00094: posted 06/03/2026, inbound Jun 04, 2026,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Service desk OFF-00094: Unresolved; return required 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checked for MD-00094; no corroborated RN entry found.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ITAM_control_matrix.png Appendix A return row consulted while tracing MD-00094; transactional proof stays with chain row 339.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count currently places MD-00094; assumption left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Verified outcome MD-00094: Missing / Unknown (Low).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PO PO-2025-0016 covers MD-00095 (Samsung Galaxy S24) for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Transfer TR-00095 for MD-00095: posted 07/08/2026, inbound Jul 08, 2026,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OFF-00095: Unresolved; return required Yes; due 07/15/2026.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checked for MD-00095; no corroborated RN entry found.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Matrix return criteria applied to MD-00095; figure is reference, not inbound proof for chain row 347.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count currently places MD-00095; assumption left open.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Chain ends with MD-00095 as Missing in Unknown; confidence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 PO-2025-0016 covers MD-00096 (Cisco C9300) for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Transfer TR-00096 for MD-00096: posted 01/18/2026, inbound Jan 19, 2026,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Service desk OFF-00096: Unresolved; return required Yes; due Jul 15, 2026.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checked for MD-00096; no corroborated RN entry found.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Policy figure sets return evidence expectations for MD-00096; chain row 355 remains the audit trail.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count currently places MD-00096; assumption left open.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After review, MD-00096 remains Missing at Unknown; Low.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Acquisition MD-00097: Lenovo ThinkPad T14, $2120, PO PO-2022-0017.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Transfer TR-00097 for MD-00097: posted 01/21/2026, inbound Jan 27, 2026,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OFF-00097: Unresolved; return required 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checked for MD-00097; no corroborated RN entry found.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return criteria applied to MD-00097; figure is reference, not inbound proof for chain row 363.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count currently places MD-00097; assumption left open.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Verified outcome MD-00097: Missing / Unknown (Low).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Acquisition MD-00098: Dell U2723QE, $520, PO PO-2022-0017.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Transfer TR-00098 for MD-00098: posted 02/23/2026, inbound Feb 24, 2026,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Service desk OFF-00098: Unresolved; return required Yes; due 07/15/2026.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checked for MD-00098; no corroborated RN entry found.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Read IT_asset_management_policy.pdf §4–§9 with the matrix return line for MD-00098; cite chain row 371.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count currently places MD-00098; assumption left open.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Final status on MD-00098 — Missing, site Unknown, Low.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Vendor shipment for MD-00099 (Samsung Galaxy S24) recorded at $995 on PO-2022-0017.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Transfer TR-00099 for MD-00099: posted 03/31/2026, inbound Apr 02, 2026,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Service desk OFF-00099: Unresolved; return required Yes; due Jul 15, 2026.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checked for MD-00099; no corroborated RN entry found.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Matrix transfer criteria applied to MD-00099; figure is reference, not inbound proof for chain row 379.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count currently places MD-00099; assumption left open.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Verified outcome MD-00099: Missing / Unknown (Low).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Vendor shipment for MD-00100 (Cisco C9300) recorded at $6290 on PO-2022-0017.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Transfer TR-00100 for MD-00100: posted 05/01/2026, inbound May 05, 2026,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Service desk OFF-00100: Unresolved; return required 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checked for MD-00100; no corroborated RN entry found.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Policy figure sets disposal evidence expectations for MD-00100; chain row 387 remains the audit trail.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count currently places MD-00100; assumption left open.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Final status on MD-00100 — Missing, site Unknown, Low.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 PO-2022-0017 covers MD-00101 (MacBook Pro 14) for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Transfer TR-00101 for MD-00101: posted 06/05/2026, inbound Jun 07, 2026,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Service desk RET-00101: Pending Disposal; return required 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checked for MD-00101; no corroborated RN entry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Read IT_asset_management_policy.pdf §4–§9 with the matrix disposal line for MD-00101; cite chain row 395.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Chain ends with MD-00101 as Retired/Pending Disposal in Seattle; confidence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Acquisition MD-00102: Dell U2723QE, $700, PO PO-2022-0017.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Transfer TR-00102 for MD-00102: posted Jan 10, 2026, inbound 2026-01-11,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Service desk RET-00102: Pending Disposal; return required 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regional_IT_notes.docx checked for MD-00102; no corroborated RN entry found.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Read IT_asset_management_policy.pdf §4–§9 with the matrix disposal line for MD-00102; cite chain row 402.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Chain ends with MD-00102 as Retired/Pending Disposal in Atlanta; confidence Medium.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Vendor shipment for MD-00103 (Samsung Galaxy S24) recorded at $1175 on PO-2023-0018.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Transfer TR-00103 for MD-00103: posted 2026-02-11, inbound 02/14/2026, APR APR-00103.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Service desk RET-00103: Pending Disposal; return required 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regional_IT_notes.docx checked for MD-00103; no corroborated RN entry found.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ITAM_control_matrix.png Appendix A transfer row consulted while tracing MD-00103; transactional proof stays with chain row 409.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Final status on MD-00103 — Retired/Pending Disposal, site Chicago,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Acquisition MD-00104: Cisco C9300, $6470, PO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for MD-00104: posted 03/16/2026, inbound Mar 18, 2026,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RET-00104: Pending Disposal; return required 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checked for MD-00104; no corroborated RN entry found.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Policy figure sets assignment evidence expectations for MD-00104; chain row 416 remains the audit trail.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Final status on MD-00104 — Retired/Pending Disposal, site Dallas, Medium.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Acquisition MD-00105: Dell Latitude 7440, $1850, PO PO-2023-0018.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Transfer TR-00105 for MD-00105: posted Apr 20, 2026, inbound 2026-04-21,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Service desk RET-00105: Pending Disposal; return required 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regional_IT_notes.docx checked for MD-00105; no corroborated RN entry found.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Read IT_asset_management_policy.pdf §4–§9 with the matrix financial line for MD-00105; cite chain row 423.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After review, MD-00105 remains Retired/Pending Disposal at Denver; Medium.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Vendor shipment for MD-00106 (Dell U2723QE) recorded at $565 on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Transfer TR-00106 for MD-00106: posted 2026-05-22, inbound 05/25/2026, APR APR-00106.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Service desk RET-00106: Pending Disposal; return required 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regional_IT_notes.docx checked for MD-00106; no corroborated RN entry found.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ITAM_control_matrix.png Appendix A disposal row consulted while tracing MD-00106; transactional proof stays with chain row 430.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Verified outcome MD-00106: Retired/Pending Disposal / New York (Medium).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Vendor shipment for MD-00107 (Samsung Galaxy S24) recorded at $1040 on PO-2023-0018.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Transfer TR-00107 for MD-00107: posted 06/26/2026, inbound Jun 27, 2026,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RET-00107: Pending Disposal; return required 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checked for MD-00107; no corroborated RN entry found.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Policy figure sets transfer evidence expectations for MD-00107; chain row 437 remains the audit trail.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After review, MD-00107 remains Retired/Pending Disposal at Seattle; Medium.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Vendor shipment for MD-00108 (Cisco C9300) recorded at $6335 on PO-2023-0018.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for MD-00108: posted Jan 30, 2026, inbound 2026-01-30,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Service desk RET-00108: Pending Disposal; return required 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regional_IT_notes.docx checked for MD-00108; no corroborated RN entry found.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Matrix assignment criteria applied to MD-00108; figure is reference, not inbound proof for chain row 444.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After review, MD-00108 remains Retired/Pending Disposal at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Vendor shipment for MD-00109 (Lenovo ThinkPad T14) recorded at $2030 on PO-2024-0019.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Transfer TR-00109 for MD-00109: posted 2026-02-02, inbound 02/04/2026, APR APR-00109.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Service desk RET-00109: Pending Disposal; return required 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checked for MD-00109; no corroborated RN entry found.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Read IT_asset_management_policy.pdf §4–§9 with the matrix financial line for MD-00109; cite chain row 451.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Chain ends with MD-00109 as Retired/Pending Disposal in Chicago; confidence Medium.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PO PO-2024-0019 covers MD-00110 (Dell U2723QE)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for MD-00110: posted 03/07/2026, inbound Mar 08, 2026,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Service desk RET-00110: Pending Disposal; return required 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checked for MD-00110; no corroborated RN entry found.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Policy figure sets disposal evidence expectations for MD-00110; chain row 458 remains the audit trail.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Chain ends with MD-00110 as Retired/Pending Disposal in Dallas; confidence Medium.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 PO-2024-0019 covers MD-00114 (Dell U2723QE) for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Transfer TR-00114 for MD-00114: posted Jan 22, 2026, inbound 2026-01-22,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Service desk RET-00114: Closed; return required 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checked for MD-00114; no corroborated RN entry found.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figure sets transfer evidence expectations for MD-00114; chain row 466 remains the audit trail.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Final status on MD-00114 — Retired/Pending Disposal, site Disposed (certificate missing),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Vendor shipment for MD-00118 (Dell U2723QE) recorded at $790 on PO-2025-0020.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Transfer TR-00118 for MD-00118: posted Jun 03, 2026, inbound 2026-06-04,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Service desk RET-00118: Closed; return required 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checked for MD-00118; no corroborated RN entry found.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ITAM_control_matrix.png Appendix A financial row consulted while tracing MD-00118; transactional proof stays with chain row 474.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Verified outcome MD-00118: Retired/Pending Disposal / Disposed (certificate missing) (Low).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Vendor shipment for MD-00119 (Samsung Galaxy S24) recorded at $950 on PO-2025-0020.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Transfer TR-00119 for MD-00119: posted Jul 08, 2026, inbound 2026-07-09,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Service desk RET-00119: Closed; return required 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checked for MD-00119; no corroborated RN entry found.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Read IT_asset_management_policy.pdf §4–§9 with the matrix financial line for MD-00119; cite chain row 482.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Final status on MD-00119 — Disposed, site Disposed,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Vendor shipment for MD-00127 (Samsung Galaxy S24) recorded at $995 on PO-2023-0022.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ITAM_control_matrix.png Appendix A transfer row consulted while tracing MD-00127; transactional proof stays with chain row 485.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Transfer TR-00127 for MD-00127: posted 2026-02-11, inbound 02/17/2026, APR missing.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Custody conclusion for MD-00127: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Acquisition MD-00130: Dell U2723QE, $700, PO PO-2023-0022.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ITAM_control_matrix.png Appendix A financial row consulted while tracing MD-00130; transactional proof stays with chain row 489.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Transfer TR-00130 for MD-00130: posted May 22, 2026, inbound 2026-05-28,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review, MD-00130 remains In Use at Atlanta; High.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PO PO-2023-0022 covers MD-00131 (Samsung Galaxy S24) for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Transfer TR-00131 for MD-00131: posted 06/26/2026, inbound Jun 28, 2026,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ITAM_control_matrix.png Appendix A transfer row consulted while tracing MD-00131; transactional proof stays with chain row 494.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Final status on MD-00131 — In Use, site Chicago, High.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Vendor shipment for MD-00132 (Cisco C9300) recorded at $6470 on PO-2023-0022.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Transfer TR-00132 for MD-00132: posted Jan 30, 2026, inbound 2026-01-31,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Read IT_asset_management_policy.pdf §4–§9 with the matrix transfer line for MD-00132; cite chain row 498.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review, MD-00132 remains In Use at Dallas; High.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Register'!M5:M136)</f>
        <v/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>
        <f>B5-B6</f>
        <v/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Register'!N5:N136)</f>
        <v/>
      </c>
    </row>
    <row r="9">
      <c r="A9" s="4" t="inlineStr">
        <is>
          <t>Ledger - net book value, Active status only</t>
        </is>
      </c>
      <c r="B9" s="5">
        <f>SUMIF('Source Ledger'!H5:H133,"Active",'Source Ledger'!G5:G133)</f>
        <v/>
      </c>
    </row>
    <row r="10">
      <c r="A10" s="4" t="inlineStr">
        <is>
          <t>Ledger - net book value, all statuses including Disposed</t>
        </is>
      </c>
      <c r="B10" s="5">
        <f>SUM('Source Ledger'!G5:G133)</f>
        <v/>
      </c>
    </row>
    <row r="11">
      <c r="A11" s="4" t="inlineStr">
        <is>
          <t>Assets with matching acquisition cost (register vs ledger)</t>
        </is>
      </c>
      <c r="B11" s="5" t="n">
        <v>122</v>
      </c>
    </row>
    <row r="12">
      <c r="A12" s="4" t="inlineStr">
        <is>
          <t>Assets with acquisition cost mismatch</t>
        </is>
      </c>
      <c r="B12" s="5" t="n">
        <v>7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ledger NBV printed $514.88 but acquisition $930.00 minus accumulated depreciation $450.12 equals $479.88 (−$35.00 overstatement). Aggregate NBV control totals adjusted from $61,526.60 to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 t="n">
        <v>1985</v>
      </c>
      <c r="D24" s="7" t="n">
        <v>2070</v>
      </c>
      <c r="E24" s="7">
        <f>D24-C24</f>
        <v/>
      </c>
      <c r="F24" s="7" t="n">
        <v>0</v>
      </c>
      <c r="G24" s="7" t="n">
        <v>0</v>
      </c>
      <c r="H24" s="7" t="inlineStr">
        <is>
          <t>Ledger FA-000017 cost exceeds register by $85 (validate PO-2024-0003).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overstatement $35.00 (printed $514.88 vs correct $479.88)</t>
        </is>
      </c>
      <c r="C25" s="7" t="n">
        <v>790</v>
      </c>
      <c r="D25" s="7" t="n">
        <v>930</v>
      </c>
      <c r="E25" s="7">
        <f>D25-C25</f>
        <v/>
      </c>
      <c r="F25" s="7">
        <f>XLOOKUP(A25,'Source Ledger'!B5:B133,'Source Ledger'!G5:G133)</f>
        <v/>
      </c>
      <c r="G25" s="7" t="n">
        <v>479.88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 t="n">
        <v>1040</v>
      </c>
      <c r="D26" s="7" t="n">
        <v>1250</v>
      </c>
      <c r="E26" s="7">
        <f>D26-C26</f>
        <v/>
      </c>
      <c r="F26" s="7" t="n">
        <v>573.03</v>
      </c>
      <c r="G26" s="7" t="n"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 t="n">
        <v>6425</v>
      </c>
      <c r="D27" s="7" t="n">
        <v>6480</v>
      </c>
      <c r="E27" s="7">
        <f>D27-C27</f>
        <v/>
      </c>
      <c r="F27" s="7" t="n">
        <v>1436.28</v>
      </c>
      <c r="G27" s="7" t="n"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 t="n">
        <v>1895</v>
      </c>
      <c r="D28" s="7" t="n">
        <v>2090</v>
      </c>
      <c r="E28" s="7">
        <f>D28-C28</f>
        <v/>
      </c>
      <c r="F28" s="7" t="n">
        <v>0</v>
      </c>
      <c r="G28" s="7" t="n"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 t="n">
        <v>700</v>
      </c>
      <c r="D29" s="7" t="n">
        <v>820</v>
      </c>
      <c r="E29" s="7">
        <f>D29-C29</f>
        <v/>
      </c>
      <c r="F29" s="7" t="n">
        <v>407.54</v>
      </c>
      <c r="G29" s="7" t="n"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 t="n">
        <v>610</v>
      </c>
      <c r="D30" s="7" t="n">
        <v>610</v>
      </c>
      <c r="E30" s="7">
        <f>D30-C30</f>
        <v/>
      </c>
      <c r="F30" s="7" t="n">
        <v>0</v>
      </c>
      <c r="G30" s="7" t="n"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 t="n">
        <v>790</v>
      </c>
      <c r="D31" s="7" t="n">
        <v>790</v>
      </c>
      <c r="E31" s="7">
        <f>D31-C31</f>
        <v/>
      </c>
      <c r="F31" s="7" t="n">
        <v>0</v>
      </c>
      <c r="G31" s="7" t="n"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 t="n">
        <v>950</v>
      </c>
      <c r="D32" s="7" t="n">
        <v>1115</v>
      </c>
      <c r="E32" s="7">
        <f>D32-C32</f>
        <v/>
      </c>
      <c r="F32" s="7" t="n">
        <v>0</v>
      </c>
      <c r="G32" s="7" t="n"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 t="n">
        <v>700</v>
      </c>
      <c r="D33" s="7" t="inlineStr"/>
      <c r="E33" s="7" t="inlineStr"/>
      <c r="F33" s="7" t="inlineStr"/>
      <c r="G33" s="7" t="inlineStr"/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 t="n">
        <v>1175</v>
      </c>
      <c r="D34" s="7" t="inlineStr"/>
      <c r="E34" s="7" t="inlineStr"/>
      <c r="F34" s="7" t="inlineStr"/>
      <c r="G34" s="7" t="inlineStr"/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 t="n">
        <v>6470</v>
      </c>
      <c r="D35" s="7" t="inlineStr"/>
      <c r="E35" s="7" t="inlineStr"/>
      <c r="F35" s="7" t="inlineStr"/>
      <c r="G35" s="7" t="inlineStr"/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2026-08-24T00:06:16Z</dcterms:modified>
</cp:coreProperties>
</file>