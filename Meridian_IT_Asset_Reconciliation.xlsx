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Ledger" sheetId="1" state="visible" r:id="rId1"/>
    <sheet name="Source Inventory" sheetId="2" state="visible" r:id="rId2"/>
    <sheet name="Dashboard" sheetId="3" state="visible" r:id="rId3"/>
    <sheet name="Corrected Register" sheetId="4" state="visible" r:id="rId4"/>
    <sheet name="Exception Register" sheetId="5" state="visible" r:id="rId5"/>
    <sheet name="Custody Chain" sheetId="6" state="visible" r:id="rId6"/>
    <sheet name="Ledger Reconciliation" sheetId="7" state="visible" r:id="rId7"/>
    <sheet name="Certification" sheetId="8" state="visible" r:id="rId8"/>
    <sheet name="Evidence Index" sheetId="9" state="visible" r:id="rId9"/>
    <sheet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990000"/>
      <sz val="11"/>
    </font>
    <font>
      <b val="1"/>
      <color rgb="001F4E79"/>
      <sz val="12"/>
    </font>
    <font>
      <b val="1"/>
      <color rgb="00FFFFFF"/>
    </font>
    <font>
      <b val="1"/>
    </font>
    <font>
      <b val="1"/>
      <color rgb="00FFF8F0"/>
    </font>
  </fonts>
  <fills count="13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A9999"/>
      </patternFill>
    </fill>
    <fill>
      <patternFill patternType="solid">
        <fgColor rgb="003B2F2A"/>
        <bgColor rgb="003B2F2A"/>
      </patternFill>
    </fill>
    <fill>
      <patternFill patternType="solid">
        <fgColor rgb="005C4A3A"/>
        <bgColor rgb="005C4A3A"/>
      </patternFill>
    </fill>
    <fill>
      <patternFill patternType="solid">
        <fgColor rgb="003B2F2A"/>
      </patternFill>
    </fill>
  </fills>
  <borders count="3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4" fillId="4" borderId="0" pivotButton="0" quotePrefix="0" xfId="0"/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wrapText="1"/>
    </xf>
    <xf numFmtId="164" fontId="0" fillId="0" borderId="0" pivotButton="0" quotePrefix="0" xfId="0"/>
    <xf numFmtId="0" fontId="7" fillId="0" borderId="0" pivotButton="0" quotePrefix="0" xfId="0"/>
    <xf numFmtId="0" fontId="8" fillId="3" borderId="2" pivotButton="0" quotePrefix="0" xfId="0"/>
    <xf numFmtId="0" fontId="9" fillId="8" borderId="2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10" borderId="0" pivotButton="0" quotePrefix="0" xfId="0"/>
    <xf numFmtId="0" fontId="3" fillId="11" borderId="1" applyAlignment="1" pivotButton="0" quotePrefix="0" xfId="0">
      <alignment vertical="center" wrapText="1"/>
    </xf>
    <xf numFmtId="0" fontId="1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Yanou &amp; Partners IT Services - Fixed Asset Ledger</t>
        </is>
      </c>
    </row>
    <row r="2">
      <c r="A2" t="inlineStr">
        <is>
          <t>Accounting extract | As of 2026-08-09</t>
        </is>
      </c>
    </row>
    <row r="4">
      <c r="A4" t="inlineStr">
        <is>
          <t>Ledger Asset ID</t>
        </is>
      </c>
      <c r="B4" t="inlineStr">
        <is>
          <t>Asset Tag</t>
        </is>
      </c>
      <c r="C4" t="inlineStr">
        <is>
          <t>Serial Number</t>
        </is>
      </c>
      <c r="D4" t="inlineStr">
        <is>
          <t>Capitalized</t>
        </is>
      </c>
      <c r="E4" t="inlineStr">
        <is>
          <t>Acquisition Cost</t>
        </is>
      </c>
      <c r="F4" t="inlineStr">
        <is>
          <t>Accumulated Depreciation</t>
        </is>
      </c>
      <c r="G4" t="inlineStr">
        <is>
          <t>Net Book Value</t>
        </is>
      </c>
      <c r="H4" t="inlineStr">
        <is>
          <t>Ledger Status</t>
        </is>
      </c>
      <c r="I4" t="inlineStr">
        <is>
          <t>As-of Date</t>
        </is>
      </c>
    </row>
    <row r="5">
      <c r="A5" t="inlineStr">
        <is>
          <t>FA-000001</t>
        </is>
      </c>
      <c r="B5" t="inlineStr">
        <is>
          <t>MD-00001</t>
        </is>
      </c>
      <c r="C5" t="inlineStr">
        <is>
          <t>MD-LA-050001</t>
        </is>
      </c>
      <c r="D5" t="inlineStr">
        <is>
          <t>No</t>
        </is>
      </c>
      <c r="E5" t="n">
        <v>1895</v>
      </c>
      <c r="F5" t="n">
        <v>1895</v>
      </c>
      <c r="G5">
        <f>E5-F5</f>
        <v/>
      </c>
      <c r="H5" t="inlineStr">
        <is>
          <t>Active</t>
        </is>
      </c>
      <c r="I5" s="18" t="n">
        <v>46243.5</v>
      </c>
    </row>
    <row r="6">
      <c r="A6" t="inlineStr">
        <is>
          <t>FA-000002</t>
        </is>
      </c>
      <c r="B6" t="inlineStr">
        <is>
          <t>MD-00002</t>
        </is>
      </c>
      <c r="C6" t="inlineStr">
        <is>
          <t>MD-MO-050002</t>
        </is>
      </c>
      <c r="D6" t="inlineStr">
        <is>
          <t>No</t>
        </is>
      </c>
      <c r="E6" t="n">
        <v>610</v>
      </c>
      <c r="F6" t="n">
        <v>296.94</v>
      </c>
      <c r="G6">
        <f>E6-F6</f>
        <v/>
      </c>
      <c r="H6" t="inlineStr">
        <is>
          <t>Active</t>
        </is>
      </c>
      <c r="I6" s="18" t="n">
        <v>46243.5</v>
      </c>
    </row>
    <row r="7">
      <c r="A7" t="inlineStr">
        <is>
          <t>FA-000003</t>
        </is>
      </c>
      <c r="B7" t="inlineStr">
        <is>
          <t>MD-00003</t>
        </is>
      </c>
      <c r="C7" t="inlineStr">
        <is>
          <t>MD-MO-050003</t>
        </is>
      </c>
      <c r="D7" t="inlineStr">
        <is>
          <t>No</t>
        </is>
      </c>
      <c r="E7" t="n">
        <v>1085</v>
      </c>
      <c r="F7" t="n">
        <v>487.17</v>
      </c>
      <c r="G7">
        <f>E7-F7</f>
        <v/>
      </c>
      <c r="H7" t="inlineStr">
        <is>
          <t>Active</t>
        </is>
      </c>
      <c r="I7" s="18" t="n">
        <v>46243.5</v>
      </c>
    </row>
    <row r="8">
      <c r="A8" t="inlineStr">
        <is>
          <t>FA-000004</t>
        </is>
      </c>
      <c r="B8" t="inlineStr">
        <is>
          <t>MD-00004</t>
        </is>
      </c>
      <c r="C8" t="inlineStr">
        <is>
          <t>MD-NE-050004</t>
        </is>
      </c>
      <c r="D8" t="inlineStr">
        <is>
          <t>Yes</t>
        </is>
      </c>
      <c r="E8" t="n">
        <v>6380</v>
      </c>
      <c r="F8" t="n">
        <v>5439.38</v>
      </c>
      <c r="G8">
        <f>E8-F8</f>
        <v/>
      </c>
      <c r="H8" t="inlineStr">
        <is>
          <t>Active</t>
        </is>
      </c>
      <c r="I8" s="18" t="n">
        <v>46243.5</v>
      </c>
    </row>
    <row r="9">
      <c r="A9" t="inlineStr">
        <is>
          <t>FA-000005</t>
        </is>
      </c>
      <c r="B9" t="inlineStr">
        <is>
          <t>MD-00005</t>
        </is>
      </c>
      <c r="C9" t="inlineStr">
        <is>
          <t>MD-LA-050005</t>
        </is>
      </c>
      <c r="D9" t="inlineStr">
        <is>
          <t>No</t>
        </is>
      </c>
      <c r="E9" t="n">
        <v>2075</v>
      </c>
      <c r="F9" t="n">
        <v>2075</v>
      </c>
      <c r="G9">
        <f>E9-F9</f>
        <v/>
      </c>
      <c r="H9" t="inlineStr">
        <is>
          <t>Active</t>
        </is>
      </c>
      <c r="I9" s="18" t="n">
        <v>46243.5</v>
      </c>
    </row>
    <row r="10">
      <c r="A10" t="inlineStr">
        <is>
          <t>FA-000006</t>
        </is>
      </c>
      <c r="B10" t="inlineStr">
        <is>
          <t>MD-00006</t>
        </is>
      </c>
      <c r="C10" t="inlineStr">
        <is>
          <t>MD-MO-050006</t>
        </is>
      </c>
      <c r="D10" t="inlineStr">
        <is>
          <t>No</t>
        </is>
      </c>
      <c r="E10" t="n">
        <v>790</v>
      </c>
      <c r="F10" t="n">
        <v>330.06</v>
      </c>
      <c r="G10">
        <f>E10-F10</f>
        <v/>
      </c>
      <c r="H10" t="inlineStr">
        <is>
          <t>Active</t>
        </is>
      </c>
      <c r="I10" s="18" t="n">
        <v>46243.5</v>
      </c>
    </row>
    <row r="11">
      <c r="A11" t="inlineStr">
        <is>
          <t>FA-000007</t>
        </is>
      </c>
      <c r="B11" t="inlineStr">
        <is>
          <t>MD-00007</t>
        </is>
      </c>
      <c r="C11" t="inlineStr">
        <is>
          <t>MD-MO-050007</t>
        </is>
      </c>
      <c r="D11" t="inlineStr">
        <is>
          <t>No</t>
        </is>
      </c>
      <c r="E11" t="n">
        <v>950</v>
      </c>
      <c r="F11" t="n">
        <v>317.32</v>
      </c>
      <c r="G11">
        <f>E11-F11</f>
        <v/>
      </c>
      <c r="H11" t="inlineStr">
        <is>
          <t>Active</t>
        </is>
      </c>
      <c r="I11" s="18" t="n">
        <v>46243.5</v>
      </c>
    </row>
    <row r="12">
      <c r="A12" t="inlineStr">
        <is>
          <t>FA-000008</t>
        </is>
      </c>
      <c r="B12" t="inlineStr">
        <is>
          <t>MD-00008</t>
        </is>
      </c>
      <c r="C12" t="inlineStr">
        <is>
          <t>MD-NE-050008</t>
        </is>
      </c>
      <c r="D12" t="inlineStr">
        <is>
          <t>Yes</t>
        </is>
      </c>
      <c r="E12" t="n">
        <v>6245</v>
      </c>
      <c r="F12" t="n">
        <v>4889.99</v>
      </c>
      <c r="G12">
        <f>E12-F12</f>
        <v/>
      </c>
      <c r="H12" t="inlineStr">
        <is>
          <t>Active</t>
        </is>
      </c>
      <c r="I12" s="18" t="n">
        <v>46243.5</v>
      </c>
    </row>
    <row r="13">
      <c r="A13" t="inlineStr">
        <is>
          <t>FA-000009</t>
        </is>
      </c>
      <c r="B13" t="inlineStr">
        <is>
          <t>MD-00009</t>
        </is>
      </c>
      <c r="C13" t="inlineStr">
        <is>
          <t>MD-LA-050009</t>
        </is>
      </c>
      <c r="D13" t="inlineStr">
        <is>
          <t>No</t>
        </is>
      </c>
      <c r="E13" t="n">
        <v>1940</v>
      </c>
      <c r="F13" t="n">
        <v>1830.67</v>
      </c>
      <c r="G13">
        <f>E13-F13</f>
        <v/>
      </c>
      <c r="H13" t="inlineStr">
        <is>
          <t>Active</t>
        </is>
      </c>
      <c r="I13" s="18" t="n">
        <v>46243.5</v>
      </c>
    </row>
    <row r="14">
      <c r="A14" t="inlineStr">
        <is>
          <t>FA-000010</t>
        </is>
      </c>
      <c r="B14" t="inlineStr">
        <is>
          <t>MD-00010</t>
        </is>
      </c>
      <c r="C14" t="inlineStr">
        <is>
          <t>MD-MO-050010</t>
        </is>
      </c>
      <c r="D14" t="inlineStr">
        <is>
          <t>No</t>
        </is>
      </c>
      <c r="E14" t="n">
        <v>655</v>
      </c>
      <c r="F14" t="n">
        <v>228.11</v>
      </c>
      <c r="G14">
        <f>E14-F14</f>
        <v/>
      </c>
      <c r="H14" t="inlineStr">
        <is>
          <t>Active</t>
        </is>
      </c>
      <c r="I14" s="18" t="n">
        <v>46243.5</v>
      </c>
    </row>
    <row r="15">
      <c r="A15" t="inlineStr">
        <is>
          <t>FA-000011</t>
        </is>
      </c>
      <c r="B15" t="inlineStr">
        <is>
          <t>MD-00011</t>
        </is>
      </c>
      <c r="C15" t="inlineStr">
        <is>
          <t>MD-MO-050011</t>
        </is>
      </c>
      <c r="D15" t="inlineStr">
        <is>
          <t>No</t>
        </is>
      </c>
      <c r="E15" t="n">
        <v>1130</v>
      </c>
      <c r="F15" t="n">
        <v>247.5</v>
      </c>
      <c r="G15">
        <f>E15-F15</f>
        <v/>
      </c>
      <c r="H15" t="inlineStr">
        <is>
          <t>Active</t>
        </is>
      </c>
      <c r="I15" s="18" t="n">
        <v>46243.5</v>
      </c>
    </row>
    <row r="16">
      <c r="A16" t="inlineStr">
        <is>
          <t>FA-000012</t>
        </is>
      </c>
      <c r="B16" t="inlineStr">
        <is>
          <t>MD-00012</t>
        </is>
      </c>
      <c r="C16" t="inlineStr">
        <is>
          <t>MD-NE-050012</t>
        </is>
      </c>
      <c r="D16" t="inlineStr">
        <is>
          <t>Yes</t>
        </is>
      </c>
      <c r="E16" t="n">
        <v>6425</v>
      </c>
      <c r="F16" t="n">
        <v>5871.77</v>
      </c>
      <c r="G16">
        <f>E16-F16</f>
        <v/>
      </c>
      <c r="H16" t="inlineStr">
        <is>
          <t>Active</t>
        </is>
      </c>
      <c r="I16" s="18" t="n">
        <v>46243.5</v>
      </c>
    </row>
    <row r="17">
      <c r="A17" t="inlineStr">
        <is>
          <t>FA-000013</t>
        </is>
      </c>
      <c r="B17" t="inlineStr">
        <is>
          <t>MD-00013</t>
        </is>
      </c>
      <c r="C17" t="inlineStr">
        <is>
          <t>MD-LA-050013</t>
        </is>
      </c>
      <c r="D17" t="inlineStr">
        <is>
          <t>No</t>
        </is>
      </c>
      <c r="E17" t="n">
        <v>2120</v>
      </c>
      <c r="F17" t="n">
        <v>2120</v>
      </c>
      <c r="G17">
        <f>E17-F17</f>
        <v/>
      </c>
      <c r="H17" t="inlineStr">
        <is>
          <t>Active</t>
        </is>
      </c>
      <c r="I17" s="18" t="n">
        <v>46243.5</v>
      </c>
    </row>
    <row r="18">
      <c r="A18" t="inlineStr">
        <is>
          <t>FA-000014</t>
        </is>
      </c>
      <c r="B18" t="inlineStr">
        <is>
          <t>MD-00014</t>
        </is>
      </c>
      <c r="C18" t="inlineStr">
        <is>
          <t>MD-MO-050014</t>
        </is>
      </c>
      <c r="D18" t="inlineStr">
        <is>
          <t>No</t>
        </is>
      </c>
      <c r="E18" t="n">
        <v>520</v>
      </c>
      <c r="F18" t="n">
        <v>249.71</v>
      </c>
      <c r="G18">
        <f>E18-F18</f>
        <v/>
      </c>
      <c r="H18" t="inlineStr">
        <is>
          <t>Active</t>
        </is>
      </c>
      <c r="I18" s="18" t="n">
        <v>46243.5</v>
      </c>
    </row>
    <row r="19">
      <c r="A19" t="inlineStr">
        <is>
          <t>FA-000015</t>
        </is>
      </c>
      <c r="B19" t="inlineStr">
        <is>
          <t>MD-00015</t>
        </is>
      </c>
      <c r="C19" t="inlineStr">
        <is>
          <t>MD-MO-050015</t>
        </is>
      </c>
      <c r="D19" t="inlineStr">
        <is>
          <t>No</t>
        </is>
      </c>
      <c r="E19" t="n">
        <v>995</v>
      </c>
      <c r="F19" t="n">
        <v>435.87</v>
      </c>
      <c r="G19">
        <f>E19-F19</f>
        <v/>
      </c>
      <c r="H19" t="inlineStr">
        <is>
          <t>Active</t>
        </is>
      </c>
      <c r="I19" s="18" t="n">
        <v>46243.5</v>
      </c>
    </row>
    <row r="20">
      <c r="A20" t="inlineStr">
        <is>
          <t>FA-000016</t>
        </is>
      </c>
      <c r="B20" t="inlineStr">
        <is>
          <t>MD-00016</t>
        </is>
      </c>
      <c r="C20" t="inlineStr">
        <is>
          <t>MD-NE-050016</t>
        </is>
      </c>
      <c r="D20" t="inlineStr">
        <is>
          <t>Yes</t>
        </is>
      </c>
      <c r="E20" t="n">
        <v>6290</v>
      </c>
      <c r="F20" t="n">
        <v>5321.31</v>
      </c>
      <c r="G20">
        <f>E20-F20</f>
        <v/>
      </c>
      <c r="H20" t="inlineStr">
        <is>
          <t>Active</t>
        </is>
      </c>
      <c r="I20" s="18" t="n">
        <v>46243.5</v>
      </c>
    </row>
    <row r="21">
      <c r="A21" t="inlineStr">
        <is>
          <t>FA-000017</t>
        </is>
      </c>
      <c r="B21" t="inlineStr">
        <is>
          <t>MD-00017</t>
        </is>
      </c>
      <c r="C21" t="inlineStr">
        <is>
          <t>MD-LA-050017</t>
        </is>
      </c>
      <c r="D21" t="inlineStr">
        <is>
          <t>No</t>
        </is>
      </c>
      <c r="E21" t="n">
        <v>2070</v>
      </c>
      <c r="F21" t="n">
        <v>2160</v>
      </c>
      <c r="G21" t="n">
        <v>0</v>
      </c>
      <c r="H21" t="inlineStr">
        <is>
          <t>Active</t>
        </is>
      </c>
      <c r="I21" s="18" t="n">
        <v>46243.5</v>
      </c>
    </row>
    <row r="22">
      <c r="A22" t="inlineStr">
        <is>
          <t>FA-000018</t>
        </is>
      </c>
      <c r="B22" t="inlineStr">
        <is>
          <t>MD-00018</t>
        </is>
      </c>
      <c r="C22" t="inlineStr">
        <is>
          <t>MD-MO-050018</t>
        </is>
      </c>
      <c r="D22" t="inlineStr">
        <is>
          <t>No</t>
        </is>
      </c>
      <c r="E22" t="n">
        <v>700</v>
      </c>
      <c r="F22" t="n">
        <v>287.86</v>
      </c>
      <c r="G22">
        <f>E22-F22</f>
        <v/>
      </c>
      <c r="H22" t="inlineStr">
        <is>
          <t>Active</t>
        </is>
      </c>
      <c r="I22" s="18" t="n">
        <v>46243.5</v>
      </c>
    </row>
    <row r="23">
      <c r="A23" t="inlineStr">
        <is>
          <t>FA-000019</t>
        </is>
      </c>
      <c r="B23" t="inlineStr">
        <is>
          <t>MD-00019</t>
        </is>
      </c>
      <c r="C23" t="inlineStr">
        <is>
          <t>MD-MO-050019</t>
        </is>
      </c>
      <c r="D23" t="inlineStr">
        <is>
          <t>No</t>
        </is>
      </c>
      <c r="E23" t="n">
        <v>1175</v>
      </c>
      <c r="F23" t="n">
        <v>379.6</v>
      </c>
      <c r="G23">
        <f>E23-F23</f>
        <v/>
      </c>
      <c r="H23" t="inlineStr">
        <is>
          <t>Active</t>
        </is>
      </c>
      <c r="I23" s="18" t="n">
        <v>46243.5</v>
      </c>
    </row>
    <row r="24">
      <c r="A24" t="inlineStr">
        <is>
          <t>FA-000020</t>
        </is>
      </c>
      <c r="B24" t="inlineStr">
        <is>
          <t>MD-00020</t>
        </is>
      </c>
      <c r="C24" t="inlineStr">
        <is>
          <t>MD-NE-050020</t>
        </is>
      </c>
      <c r="D24" t="inlineStr">
        <is>
          <t>Yes</t>
        </is>
      </c>
      <c r="E24" t="n">
        <v>6470</v>
      </c>
      <c r="F24" t="n">
        <v>5023.66</v>
      </c>
      <c r="G24">
        <f>E24-F24</f>
        <v/>
      </c>
      <c r="H24" t="inlineStr">
        <is>
          <t>Active</t>
        </is>
      </c>
      <c r="I24" s="18" t="n">
        <v>46243.5</v>
      </c>
    </row>
    <row r="25">
      <c r="A25" t="inlineStr">
        <is>
          <t>FA-000021</t>
        </is>
      </c>
      <c r="B25" t="inlineStr">
        <is>
          <t>MD-00021</t>
        </is>
      </c>
      <c r="C25" t="inlineStr">
        <is>
          <t>MD-LA-050021</t>
        </is>
      </c>
      <c r="D25" t="inlineStr">
        <is>
          <t>No</t>
        </is>
      </c>
      <c r="E25" t="n">
        <v>1850</v>
      </c>
      <c r="F25" t="n">
        <v>1725.48</v>
      </c>
      <c r="G25">
        <f>E25-F25</f>
        <v/>
      </c>
      <c r="H25" t="inlineStr">
        <is>
          <t>Active</t>
        </is>
      </c>
      <c r="I25" s="18" t="n">
        <v>46243.5</v>
      </c>
    </row>
    <row r="26">
      <c r="A26" t="inlineStr">
        <is>
          <t>FA-000022</t>
        </is>
      </c>
      <c r="B26" t="inlineStr">
        <is>
          <t>MD-00022</t>
        </is>
      </c>
      <c r="C26" t="inlineStr">
        <is>
          <t>MD-MO-050022</t>
        </is>
      </c>
      <c r="D26" t="inlineStr">
        <is>
          <t>No</t>
        </is>
      </c>
      <c r="E26" t="n">
        <v>565</v>
      </c>
      <c r="F26" t="n">
        <v>193.05</v>
      </c>
      <c r="G26">
        <f>E26-F26</f>
        <v/>
      </c>
      <c r="H26" t="inlineStr">
        <is>
          <t>Active</t>
        </is>
      </c>
      <c r="I26" s="18" t="n">
        <v>46243.5</v>
      </c>
    </row>
    <row r="27">
      <c r="A27" t="inlineStr">
        <is>
          <t>FA-000023</t>
        </is>
      </c>
      <c r="B27" t="inlineStr">
        <is>
          <t>MD-00023</t>
        </is>
      </c>
      <c r="C27" t="inlineStr">
        <is>
          <t>MD-MO-050023</t>
        </is>
      </c>
      <c r="D27" t="inlineStr">
        <is>
          <t>No</t>
        </is>
      </c>
      <c r="E27" t="n">
        <v>1040</v>
      </c>
      <c r="F27" t="n">
        <v>216.4</v>
      </c>
      <c r="G27">
        <f>E27-F27</f>
        <v/>
      </c>
      <c r="H27" t="inlineStr">
        <is>
          <t>Active</t>
        </is>
      </c>
      <c r="I27" s="18" t="n">
        <v>46243.5</v>
      </c>
    </row>
    <row r="28">
      <c r="A28" t="inlineStr">
        <is>
          <t>FA-000024</t>
        </is>
      </c>
      <c r="B28" t="inlineStr">
        <is>
          <t>MD-00024</t>
        </is>
      </c>
      <c r="C28" t="inlineStr">
        <is>
          <t>MD-NE-050024</t>
        </is>
      </c>
      <c r="D28" t="inlineStr">
        <is>
          <t>Yes</t>
        </is>
      </c>
      <c r="E28" t="n">
        <v>6335</v>
      </c>
      <c r="F28" t="n">
        <v>5831.15</v>
      </c>
      <c r="G28">
        <f>E28-F28</f>
        <v/>
      </c>
      <c r="H28" t="inlineStr">
        <is>
          <t>Active</t>
        </is>
      </c>
      <c r="I28" s="18" t="n">
        <v>46243.5</v>
      </c>
    </row>
    <row r="29">
      <c r="A29" t="inlineStr">
        <is>
          <t>FA-000025</t>
        </is>
      </c>
      <c r="B29" t="inlineStr">
        <is>
          <t>MD-00025</t>
        </is>
      </c>
      <c r="C29" t="inlineStr">
        <is>
          <t>MD-LA-050021</t>
        </is>
      </c>
      <c r="D29" t="inlineStr">
        <is>
          <t>No</t>
        </is>
      </c>
      <c r="E29" t="n">
        <v>2030</v>
      </c>
      <c r="F29" t="n">
        <v>2030</v>
      </c>
      <c r="G29">
        <f>E29-F29</f>
        <v/>
      </c>
      <c r="H29" t="inlineStr">
        <is>
          <t>Active</t>
        </is>
      </c>
      <c r="I29" s="18" t="n">
        <v>46243.5</v>
      </c>
    </row>
    <row r="30">
      <c r="A30" t="inlineStr">
        <is>
          <t>FA-000026</t>
        </is>
      </c>
      <c r="B30" t="inlineStr">
        <is>
          <t>MD-00026</t>
        </is>
      </c>
      <c r="C30" t="inlineStr">
        <is>
          <t>MD-MO-050026</t>
        </is>
      </c>
      <c r="D30" t="inlineStr">
        <is>
          <t>No</t>
        </is>
      </c>
      <c r="E30" t="n">
        <v>745</v>
      </c>
      <c r="F30" t="n">
        <v>362.66</v>
      </c>
      <c r="G30">
        <f>E30-F30</f>
        <v/>
      </c>
      <c r="H30" t="inlineStr">
        <is>
          <t>Active</t>
        </is>
      </c>
      <c r="I30" s="18" t="n">
        <v>46243.5</v>
      </c>
    </row>
    <row r="31">
      <c r="A31" t="inlineStr">
        <is>
          <t>FA-000027</t>
        </is>
      </c>
      <c r="B31" t="inlineStr">
        <is>
          <t>MD-00027</t>
        </is>
      </c>
      <c r="C31" t="inlineStr">
        <is>
          <t>MD-MO-050027</t>
        </is>
      </c>
      <c r="D31" t="inlineStr">
        <is>
          <t>No</t>
        </is>
      </c>
      <c r="E31" t="n">
        <v>1220</v>
      </c>
      <c r="F31" t="n">
        <v>547.79</v>
      </c>
      <c r="G31">
        <f>E31-F31</f>
        <v/>
      </c>
      <c r="H31" t="inlineStr">
        <is>
          <t>Active</t>
        </is>
      </c>
      <c r="I31" s="18" t="n">
        <v>46243.5</v>
      </c>
    </row>
    <row r="32">
      <c r="A32" t="inlineStr">
        <is>
          <t>FA-000028</t>
        </is>
      </c>
      <c r="B32" t="inlineStr">
        <is>
          <t>MD-00028</t>
        </is>
      </c>
      <c r="C32" t="inlineStr">
        <is>
          <t>MD-NE-050028</t>
        </is>
      </c>
      <c r="D32" t="inlineStr">
        <is>
          <t>Yes</t>
        </is>
      </c>
      <c r="E32" t="n">
        <v>6200</v>
      </c>
      <c r="F32" t="n">
        <v>5285.91</v>
      </c>
      <c r="G32">
        <f>E32-F32</f>
        <v/>
      </c>
      <c r="H32" t="inlineStr">
        <is>
          <t>Active</t>
        </is>
      </c>
      <c r="I32" s="18" t="n">
        <v>46243.5</v>
      </c>
    </row>
    <row r="33">
      <c r="A33" t="inlineStr">
        <is>
          <t>FA-000029</t>
        </is>
      </c>
      <c r="B33" t="inlineStr">
        <is>
          <t>MD-00029</t>
        </is>
      </c>
      <c r="C33" t="inlineStr">
        <is>
          <t>MD-LA-050029</t>
        </is>
      </c>
      <c r="D33" t="inlineStr">
        <is>
          <t>No</t>
        </is>
      </c>
      <c r="E33" t="n">
        <v>1895</v>
      </c>
      <c r="F33" t="n">
        <v>1895</v>
      </c>
      <c r="G33">
        <f>E33-F33</f>
        <v/>
      </c>
      <c r="H33" t="inlineStr">
        <is>
          <t>Active</t>
        </is>
      </c>
      <c r="I33" s="18" t="n">
        <v>46243.5</v>
      </c>
    </row>
    <row r="34">
      <c r="A34" t="inlineStr">
        <is>
          <t>FA-000030</t>
        </is>
      </c>
      <c r="B34" t="inlineStr">
        <is>
          <t>MD-00030</t>
        </is>
      </c>
      <c r="C34" t="inlineStr">
        <is>
          <t>MD-MO-050030</t>
        </is>
      </c>
      <c r="D34" t="inlineStr">
        <is>
          <t>No</t>
        </is>
      </c>
      <c r="E34" t="n">
        <v>610</v>
      </c>
      <c r="F34" t="n">
        <v>254.86</v>
      </c>
      <c r="G34">
        <f>E34-F34</f>
        <v/>
      </c>
      <c r="H34" t="inlineStr">
        <is>
          <t>Active</t>
        </is>
      </c>
      <c r="I34" s="18" t="n">
        <v>46243.5</v>
      </c>
    </row>
    <row r="35">
      <c r="A35" t="inlineStr">
        <is>
          <t>FA-000031</t>
        </is>
      </c>
      <c r="B35" t="inlineStr">
        <is>
          <t>MD-00031</t>
        </is>
      </c>
      <c r="C35" t="inlineStr">
        <is>
          <t>MD-MO-050031</t>
        </is>
      </c>
      <c r="D35" t="inlineStr">
        <is>
          <t>No</t>
        </is>
      </c>
      <c r="E35" t="n">
        <v>1085</v>
      </c>
      <c r="F35" t="n">
        <v>362.41</v>
      </c>
      <c r="G35">
        <f>E35-F35</f>
        <v/>
      </c>
      <c r="H35" t="inlineStr">
        <is>
          <t>Active</t>
        </is>
      </c>
      <c r="I35" s="18" t="n">
        <v>46243.5</v>
      </c>
    </row>
    <row r="36">
      <c r="A36" t="inlineStr">
        <is>
          <t>FA-000032</t>
        </is>
      </c>
      <c r="B36" t="inlineStr">
        <is>
          <t>MD-00032</t>
        </is>
      </c>
      <c r="C36" t="inlineStr">
        <is>
          <t>MD-NE-050032</t>
        </is>
      </c>
      <c r="D36" t="inlineStr">
        <is>
          <t>Yes</t>
        </is>
      </c>
      <c r="E36" t="n">
        <v>6380</v>
      </c>
      <c r="F36" t="n">
        <v>4995.7</v>
      </c>
      <c r="G36">
        <f>E36-F36</f>
        <v/>
      </c>
      <c r="H36" t="inlineStr">
        <is>
          <t>Active</t>
        </is>
      </c>
      <c r="I36" s="18" t="n">
        <v>46243.5</v>
      </c>
    </row>
    <row r="37">
      <c r="A37" t="inlineStr">
        <is>
          <t>FA-000033</t>
        </is>
      </c>
      <c r="B37" t="inlineStr">
        <is>
          <t>MD-00033</t>
        </is>
      </c>
      <c r="C37" t="inlineStr">
        <is>
          <t>MD-LA-050033</t>
        </is>
      </c>
      <c r="D37" t="inlineStr">
        <is>
          <t>No</t>
        </is>
      </c>
      <c r="E37" t="n">
        <v>2075</v>
      </c>
      <c r="F37" t="n">
        <v>1958.07</v>
      </c>
      <c r="G37">
        <f>E37-F37</f>
        <v/>
      </c>
      <c r="H37" t="inlineStr">
        <is>
          <t>Active</t>
        </is>
      </c>
      <c r="I37" s="18" t="n">
        <v>46243.5</v>
      </c>
    </row>
    <row r="38">
      <c r="A38" t="inlineStr">
        <is>
          <t>FA-000034</t>
        </is>
      </c>
      <c r="B38" t="inlineStr">
        <is>
          <t>MD-00034</t>
        </is>
      </c>
      <c r="C38" t="inlineStr">
        <is>
          <t>MD-MO-050034</t>
        </is>
      </c>
      <c r="D38" t="inlineStr">
        <is>
          <t>No</t>
        </is>
      </c>
      <c r="E38" t="n">
        <v>930</v>
      </c>
      <c r="F38" t="n">
        <v>450.12</v>
      </c>
      <c r="G38">
        <f>E38-F38</f>
        <v/>
      </c>
      <c r="H38" t="inlineStr">
        <is>
          <t>Active</t>
        </is>
      </c>
      <c r="I38" s="18" t="n">
        <v>46243.5</v>
      </c>
    </row>
    <row r="39">
      <c r="A39" t="inlineStr">
        <is>
          <t>FA-000035</t>
        </is>
      </c>
      <c r="B39" t="inlineStr">
        <is>
          <t>MD-00035</t>
        </is>
      </c>
      <c r="C39" t="inlineStr">
        <is>
          <t>MD-MO-050035</t>
        </is>
      </c>
      <c r="D39" t="inlineStr">
        <is>
          <t>No</t>
        </is>
      </c>
      <c r="E39" t="n">
        <v>950</v>
      </c>
      <c r="F39" t="n">
        <v>208.08</v>
      </c>
      <c r="G39">
        <f>E39-F39</f>
        <v/>
      </c>
      <c r="H39" t="inlineStr">
        <is>
          <t>Active</t>
        </is>
      </c>
      <c r="I39" s="18" t="n">
        <v>46243.5</v>
      </c>
    </row>
    <row r="40">
      <c r="A40" t="inlineStr">
        <is>
          <t>FA-000036</t>
        </is>
      </c>
      <c r="B40" t="inlineStr">
        <is>
          <t>MD-00036</t>
        </is>
      </c>
      <c r="C40" t="inlineStr">
        <is>
          <t>MD-NE-050036</t>
        </is>
      </c>
      <c r="D40" t="inlineStr">
        <is>
          <t>Yes</t>
        </is>
      </c>
      <c r="E40" t="n">
        <v>6245</v>
      </c>
      <c r="F40" t="n">
        <v>5707.27</v>
      </c>
      <c r="G40">
        <f>E40-F40</f>
        <v/>
      </c>
      <c r="H40" t="inlineStr">
        <is>
          <t>Active</t>
        </is>
      </c>
      <c r="I40" s="18" t="n">
        <v>46243.5</v>
      </c>
    </row>
    <row r="41">
      <c r="A41" t="inlineStr">
        <is>
          <t>FA-000037</t>
        </is>
      </c>
      <c r="B41" t="inlineStr">
        <is>
          <t>MD-00037</t>
        </is>
      </c>
      <c r="C41" t="inlineStr">
        <is>
          <t>MD-LA-050037</t>
        </is>
      </c>
      <c r="D41" t="inlineStr">
        <is>
          <t>No</t>
        </is>
      </c>
      <c r="E41" t="n">
        <v>1940</v>
      </c>
      <c r="F41" t="n">
        <v>1940</v>
      </c>
      <c r="G41">
        <f>E41-F41</f>
        <v/>
      </c>
      <c r="H41" t="inlineStr">
        <is>
          <t>Active</t>
        </is>
      </c>
      <c r="I41" s="18" t="n">
        <v>46243.5</v>
      </c>
    </row>
    <row r="42">
      <c r="A42" t="inlineStr">
        <is>
          <t>FA-000038</t>
        </is>
      </c>
      <c r="B42" t="inlineStr">
        <is>
          <t>MD-00038</t>
        </is>
      </c>
      <c r="C42" t="inlineStr">
        <is>
          <t>MD-MO-050038</t>
        </is>
      </c>
      <c r="D42" t="inlineStr">
        <is>
          <t>No</t>
        </is>
      </c>
      <c r="E42" t="n">
        <v>655</v>
      </c>
      <c r="F42" t="n">
        <v>314.54</v>
      </c>
      <c r="G42">
        <f>E42-F42</f>
        <v/>
      </c>
      <c r="H42" t="inlineStr">
        <is>
          <t>Active</t>
        </is>
      </c>
      <c r="I42" s="18" t="n">
        <v>46243.5</v>
      </c>
    </row>
    <row r="43">
      <c r="A43" t="inlineStr">
        <is>
          <t>FA-000039</t>
        </is>
      </c>
      <c r="B43" t="inlineStr">
        <is>
          <t>MD-00039</t>
        </is>
      </c>
      <c r="C43" t="inlineStr">
        <is>
          <t>MD-MO-050039</t>
        </is>
      </c>
      <c r="D43" t="inlineStr">
        <is>
          <t>No</t>
        </is>
      </c>
      <c r="E43" t="n">
        <v>1130</v>
      </c>
      <c r="F43" t="n">
        <v>495</v>
      </c>
      <c r="G43">
        <f>E43-F43</f>
        <v/>
      </c>
      <c r="H43" t="inlineStr">
        <is>
          <t>Active</t>
        </is>
      </c>
      <c r="I43" s="18" t="n">
        <v>46243.5</v>
      </c>
    </row>
    <row r="44">
      <c r="A44" t="inlineStr">
        <is>
          <t>FA-000040</t>
        </is>
      </c>
      <c r="B44" t="inlineStr">
        <is>
          <t>MD-00040</t>
        </is>
      </c>
      <c r="C44" t="inlineStr">
        <is>
          <t>MD-NE-050040</t>
        </is>
      </c>
      <c r="D44" t="inlineStr">
        <is>
          <t>Yes</t>
        </is>
      </c>
      <c r="E44" t="n">
        <v>6425</v>
      </c>
      <c r="F44" t="n">
        <v>5435.52</v>
      </c>
      <c r="G44">
        <f>E44-F44</f>
        <v/>
      </c>
      <c r="H44" t="inlineStr">
        <is>
          <t>Active</t>
        </is>
      </c>
      <c r="I44" s="18" t="n">
        <v>46243.5</v>
      </c>
    </row>
    <row r="45">
      <c r="A45" t="inlineStr">
        <is>
          <t>FA-000041</t>
        </is>
      </c>
      <c r="B45" t="inlineStr">
        <is>
          <t>MD-00041</t>
        </is>
      </c>
      <c r="C45" t="inlineStr">
        <is>
          <t>MD-LA-050041</t>
        </is>
      </c>
      <c r="D45" t="inlineStr">
        <is>
          <t>No</t>
        </is>
      </c>
      <c r="E45" t="n">
        <v>2120</v>
      </c>
      <c r="F45" t="n">
        <v>2120</v>
      </c>
      <c r="G45">
        <f>E45-F45</f>
        <v/>
      </c>
      <c r="H45" t="inlineStr">
        <is>
          <t>Active</t>
        </is>
      </c>
      <c r="I45" s="18" t="n">
        <v>46243.5</v>
      </c>
    </row>
    <row r="46">
      <c r="A46" t="inlineStr">
        <is>
          <t>FA-000042</t>
        </is>
      </c>
      <c r="B46" t="inlineStr">
        <is>
          <t>MD-00042</t>
        </is>
      </c>
      <c r="C46" t="inlineStr">
        <is>
          <t>MD-MO-050042</t>
        </is>
      </c>
      <c r="D46" t="inlineStr">
        <is>
          <t>No</t>
        </is>
      </c>
      <c r="E46" t="n">
        <v>520</v>
      </c>
      <c r="F46" t="n">
        <v>213.84</v>
      </c>
      <c r="G46">
        <f>E46-F46</f>
        <v/>
      </c>
      <c r="H46" t="inlineStr">
        <is>
          <t>Active</t>
        </is>
      </c>
      <c r="I46" s="18" t="n">
        <v>46243.5</v>
      </c>
    </row>
    <row r="47">
      <c r="A47" t="inlineStr">
        <is>
          <t>FA-000043</t>
        </is>
      </c>
      <c r="B47" t="inlineStr">
        <is>
          <t>MD-00043</t>
        </is>
      </c>
      <c r="C47" t="inlineStr">
        <is>
          <t>MD-MO-050043</t>
        </is>
      </c>
      <c r="D47" t="inlineStr">
        <is>
          <t>No</t>
        </is>
      </c>
      <c r="E47" t="n">
        <v>995</v>
      </c>
      <c r="F47" t="n">
        <v>321.45</v>
      </c>
      <c r="G47">
        <f>E47-F47</f>
        <v/>
      </c>
      <c r="H47" t="inlineStr">
        <is>
          <t>Active</t>
        </is>
      </c>
      <c r="I47" s="18" t="n">
        <v>46243.5</v>
      </c>
    </row>
    <row r="48">
      <c r="A48" t="inlineStr">
        <is>
          <t>FA-000044</t>
        </is>
      </c>
      <c r="B48" t="inlineStr">
        <is>
          <t>MD-00044</t>
        </is>
      </c>
      <c r="C48" t="inlineStr">
        <is>
          <t>MD-NE-050044</t>
        </is>
      </c>
      <c r="D48" t="inlineStr">
        <is>
          <t>Yes</t>
        </is>
      </c>
      <c r="E48" t="n">
        <v>6290</v>
      </c>
      <c r="F48" t="n">
        <v>4883.9</v>
      </c>
      <c r="G48">
        <f>E48-F48</f>
        <v/>
      </c>
      <c r="H48" t="inlineStr">
        <is>
          <t>Active</t>
        </is>
      </c>
      <c r="I48" s="18" t="n">
        <v>46243.5</v>
      </c>
    </row>
    <row r="49">
      <c r="A49" t="inlineStr">
        <is>
          <t>FA-000045</t>
        </is>
      </c>
      <c r="B49" t="inlineStr">
        <is>
          <t>MD-00045</t>
        </is>
      </c>
      <c r="C49" t="inlineStr">
        <is>
          <t>MD-LA-050045</t>
        </is>
      </c>
      <c r="D49" t="inlineStr">
        <is>
          <t>No</t>
        </is>
      </c>
      <c r="E49" t="n">
        <v>1985</v>
      </c>
      <c r="F49" t="n">
        <v>1851.4</v>
      </c>
      <c r="G49">
        <f>E49-F49</f>
        <v/>
      </c>
      <c r="H49" t="inlineStr">
        <is>
          <t>Active</t>
        </is>
      </c>
      <c r="I49" s="18" t="n">
        <v>46243.5</v>
      </c>
    </row>
    <row r="50">
      <c r="A50" t="inlineStr">
        <is>
          <t>FA-000046</t>
        </is>
      </c>
      <c r="B50" t="inlineStr">
        <is>
          <t>MD-00046</t>
        </is>
      </c>
      <c r="C50" t="inlineStr">
        <is>
          <t>MD-MO-050046</t>
        </is>
      </c>
      <c r="D50" t="inlineStr">
        <is>
          <t>No</t>
        </is>
      </c>
      <c r="E50" t="n">
        <v>700</v>
      </c>
      <c r="F50" t="n">
        <v>239.18</v>
      </c>
      <c r="G50">
        <f>E50-F50</f>
        <v/>
      </c>
      <c r="H50" t="inlineStr">
        <is>
          <t>Active</t>
        </is>
      </c>
      <c r="I50" s="18" t="n">
        <v>46243.5</v>
      </c>
    </row>
    <row r="51">
      <c r="A51" t="inlineStr">
        <is>
          <t>FA-000047</t>
        </is>
      </c>
      <c r="B51" t="inlineStr">
        <is>
          <t>MD-00047</t>
        </is>
      </c>
      <c r="C51" t="inlineStr">
        <is>
          <t>MD-MO-050047</t>
        </is>
      </c>
      <c r="D51" t="inlineStr">
        <is>
          <t>No</t>
        </is>
      </c>
      <c r="E51" t="n">
        <v>1175</v>
      </c>
      <c r="F51" t="n">
        <v>244.49</v>
      </c>
      <c r="G51">
        <f>E51-F51</f>
        <v/>
      </c>
      <c r="H51" t="inlineStr">
        <is>
          <t>Active</t>
        </is>
      </c>
      <c r="I51" s="18" t="n">
        <v>46243.5</v>
      </c>
    </row>
    <row r="52">
      <c r="A52" t="inlineStr">
        <is>
          <t>FA-000048</t>
        </is>
      </c>
      <c r="B52" t="inlineStr">
        <is>
          <t>MD-00048</t>
        </is>
      </c>
      <c r="C52" t="inlineStr">
        <is>
          <t>MD-NE-050048</t>
        </is>
      </c>
      <c r="D52" t="inlineStr">
        <is>
          <t>Yes</t>
        </is>
      </c>
      <c r="E52" t="n">
        <v>6470</v>
      </c>
      <c r="F52" t="n">
        <v>5955.41</v>
      </c>
      <c r="G52">
        <f>E52-F52</f>
        <v/>
      </c>
      <c r="H52" t="inlineStr">
        <is>
          <t>Active</t>
        </is>
      </c>
      <c r="I52" s="18" t="n">
        <v>46243.5</v>
      </c>
    </row>
    <row r="53">
      <c r="A53" t="inlineStr">
        <is>
          <t>FA-000049</t>
        </is>
      </c>
      <c r="B53" t="inlineStr">
        <is>
          <t>MD-00049</t>
        </is>
      </c>
      <c r="C53" t="inlineStr">
        <is>
          <t>MD-LA-050049</t>
        </is>
      </c>
      <c r="D53" t="inlineStr">
        <is>
          <t>No</t>
        </is>
      </c>
      <c r="E53" t="n">
        <v>1850</v>
      </c>
      <c r="F53" t="n">
        <v>1850</v>
      </c>
      <c r="G53">
        <f>E53-F53</f>
        <v/>
      </c>
      <c r="H53" t="inlineStr">
        <is>
          <t>Active</t>
        </is>
      </c>
      <c r="I53" s="18" t="n">
        <v>46243.5</v>
      </c>
    </row>
    <row r="54">
      <c r="A54" t="inlineStr">
        <is>
          <t>FA-000050</t>
        </is>
      </c>
      <c r="B54" t="inlineStr">
        <is>
          <t>MD-00050</t>
        </is>
      </c>
      <c r="C54" t="inlineStr">
        <is>
          <t>MD-MO-050050</t>
        </is>
      </c>
      <c r="D54" t="inlineStr">
        <is>
          <t>No</t>
        </is>
      </c>
      <c r="E54" t="n">
        <v>565</v>
      </c>
      <c r="F54" t="n">
        <v>275.04</v>
      </c>
      <c r="G54">
        <f>E54-F54</f>
        <v/>
      </c>
      <c r="H54" t="inlineStr">
        <is>
          <t>Active</t>
        </is>
      </c>
      <c r="I54" s="18" t="n">
        <v>46243.5</v>
      </c>
    </row>
    <row r="55">
      <c r="A55" t="inlineStr">
        <is>
          <t>FA-000051</t>
        </is>
      </c>
      <c r="B55" t="inlineStr">
        <is>
          <t>MD-00051</t>
        </is>
      </c>
      <c r="C55" t="inlineStr">
        <is>
          <t>MD-MO-050051</t>
        </is>
      </c>
      <c r="D55" t="inlineStr">
        <is>
          <t>No</t>
        </is>
      </c>
      <c r="E55" t="n">
        <v>1250</v>
      </c>
      <c r="F55" t="n">
        <v>641.97</v>
      </c>
      <c r="G55" t="n">
        <v>573.03</v>
      </c>
      <c r="H55" t="inlineStr">
        <is>
          <t>Active</t>
        </is>
      </c>
      <c r="I55" s="18" t="n">
        <v>46243.5</v>
      </c>
    </row>
    <row r="56">
      <c r="A56" t="inlineStr">
        <is>
          <t>FA-000052</t>
        </is>
      </c>
      <c r="B56" t="inlineStr">
        <is>
          <t>MD-00052</t>
        </is>
      </c>
      <c r="C56" t="inlineStr">
        <is>
          <t>MD-NE-050052</t>
        </is>
      </c>
      <c r="D56" t="inlineStr">
        <is>
          <t>Yes</t>
        </is>
      </c>
      <c r="E56" t="n">
        <v>6335</v>
      </c>
      <c r="F56" t="n">
        <v>5401.01</v>
      </c>
      <c r="G56">
        <f>E56-F56</f>
        <v/>
      </c>
      <c r="H56" t="inlineStr">
        <is>
          <t>Active</t>
        </is>
      </c>
      <c r="I56" s="18" t="n">
        <v>46243.5</v>
      </c>
    </row>
    <row r="57">
      <c r="A57" t="inlineStr">
        <is>
          <t>FA-000053</t>
        </is>
      </c>
      <c r="B57" t="inlineStr">
        <is>
          <t>MD-00053</t>
        </is>
      </c>
      <c r="C57" t="inlineStr">
        <is>
          <t>MD-LA-050053</t>
        </is>
      </c>
      <c r="D57" t="inlineStr">
        <is>
          <t>No</t>
        </is>
      </c>
      <c r="E57" t="n">
        <v>2030</v>
      </c>
      <c r="F57" t="n">
        <v>2030</v>
      </c>
      <c r="G57">
        <f>E57-F57</f>
        <v/>
      </c>
      <c r="H57" t="inlineStr">
        <is>
          <t>Active</t>
        </is>
      </c>
      <c r="I57" s="18" t="n">
        <v>46243.5</v>
      </c>
    </row>
    <row r="58">
      <c r="A58" t="inlineStr">
        <is>
          <t>FA-000054</t>
        </is>
      </c>
      <c r="B58" t="inlineStr">
        <is>
          <t>MD-00054</t>
        </is>
      </c>
      <c r="C58" t="inlineStr">
        <is>
          <t>MD-MO-050054</t>
        </is>
      </c>
      <c r="D58" t="inlineStr">
        <is>
          <t>No</t>
        </is>
      </c>
      <c r="E58" t="n">
        <v>745</v>
      </c>
      <c r="F58" t="n">
        <v>311.26</v>
      </c>
      <c r="G58">
        <f>E58-F58</f>
        <v/>
      </c>
      <c r="H58" t="inlineStr">
        <is>
          <t>Active</t>
        </is>
      </c>
      <c r="I58" s="18" t="n">
        <v>46243.5</v>
      </c>
    </row>
    <row r="59">
      <c r="A59" t="inlineStr">
        <is>
          <t>FA-000055</t>
        </is>
      </c>
      <c r="B59" t="inlineStr">
        <is>
          <t>MD-00055</t>
        </is>
      </c>
      <c r="C59" t="inlineStr">
        <is>
          <t>MD-MO-050055</t>
        </is>
      </c>
      <c r="D59" t="inlineStr">
        <is>
          <t>No</t>
        </is>
      </c>
      <c r="E59" t="n">
        <v>1220</v>
      </c>
      <c r="F59" t="n">
        <v>407.5</v>
      </c>
      <c r="G59">
        <f>E59-F59</f>
        <v/>
      </c>
      <c r="H59" t="inlineStr">
        <is>
          <t>Active</t>
        </is>
      </c>
      <c r="I59" s="18" t="n">
        <v>46243.5</v>
      </c>
    </row>
    <row r="60">
      <c r="A60" t="inlineStr">
        <is>
          <t>FA-000056</t>
        </is>
      </c>
      <c r="B60" t="inlineStr">
        <is>
          <t>MD-00056</t>
        </is>
      </c>
      <c r="C60" t="inlineStr">
        <is>
          <t>MD-NE-050056</t>
        </is>
      </c>
      <c r="D60" t="inlineStr">
        <is>
          <t>Yes</t>
        </is>
      </c>
      <c r="E60" t="n">
        <v>6200</v>
      </c>
      <c r="F60" t="n">
        <v>4854.76</v>
      </c>
      <c r="G60">
        <f>E60-F60</f>
        <v/>
      </c>
      <c r="H60" t="inlineStr">
        <is>
          <t>Active</t>
        </is>
      </c>
      <c r="I60" s="18" t="n">
        <v>46243.5</v>
      </c>
    </row>
    <row r="61">
      <c r="A61" t="inlineStr">
        <is>
          <t>FA-000057</t>
        </is>
      </c>
      <c r="B61" t="inlineStr">
        <is>
          <t>MD-00057</t>
        </is>
      </c>
      <c r="C61" t="inlineStr">
        <is>
          <t>MD-LA-050057</t>
        </is>
      </c>
      <c r="D61" t="inlineStr">
        <is>
          <t>No</t>
        </is>
      </c>
      <c r="E61" t="n">
        <v>1895</v>
      </c>
      <c r="F61" t="n">
        <v>1788.21</v>
      </c>
      <c r="G61">
        <f>E61-F61</f>
        <v/>
      </c>
      <c r="H61" t="inlineStr">
        <is>
          <t>Active</t>
        </is>
      </c>
      <c r="I61" s="18" t="n">
        <v>46243.5</v>
      </c>
    </row>
    <row r="62">
      <c r="A62" t="inlineStr">
        <is>
          <t>FA-000058</t>
        </is>
      </c>
      <c r="B62" t="inlineStr">
        <is>
          <t>MD-00058</t>
        </is>
      </c>
      <c r="C62" t="inlineStr">
        <is>
          <t>MD-MO-050058</t>
        </is>
      </c>
      <c r="D62" t="inlineStr">
        <is>
          <t>No</t>
        </is>
      </c>
      <c r="E62" t="n">
        <v>610</v>
      </c>
      <c r="F62" t="n">
        <v>212.44</v>
      </c>
      <c r="G62">
        <f>E62-F62</f>
        <v/>
      </c>
      <c r="H62" t="inlineStr">
        <is>
          <t>Active</t>
        </is>
      </c>
      <c r="I62" s="18" t="n">
        <v>46243.5</v>
      </c>
    </row>
    <row r="63">
      <c r="A63" t="inlineStr">
        <is>
          <t>FA-000059</t>
        </is>
      </c>
      <c r="B63" t="inlineStr">
        <is>
          <t>MD-00059</t>
        </is>
      </c>
      <c r="C63" t="inlineStr">
        <is>
          <t>MD-MO-050059</t>
        </is>
      </c>
      <c r="D63" t="inlineStr">
        <is>
          <t>No</t>
        </is>
      </c>
      <c r="E63" t="n">
        <v>1085</v>
      </c>
      <c r="F63" t="n">
        <v>237.65</v>
      </c>
      <c r="G63">
        <f>E63-F63</f>
        <v/>
      </c>
      <c r="H63" t="inlineStr">
        <is>
          <t>Active</t>
        </is>
      </c>
      <c r="I63" s="18" t="n">
        <v>46243.5</v>
      </c>
    </row>
    <row r="64">
      <c r="A64" t="inlineStr">
        <is>
          <t>FA-000060</t>
        </is>
      </c>
      <c r="B64" t="inlineStr">
        <is>
          <t>MD-00060</t>
        </is>
      </c>
      <c r="C64" t="inlineStr">
        <is>
          <t>MD-NE-050060</t>
        </is>
      </c>
      <c r="D64" t="inlineStr">
        <is>
          <t>Yes</t>
        </is>
      </c>
      <c r="E64" t="n">
        <v>6380</v>
      </c>
      <c r="F64" t="n">
        <v>5830.65</v>
      </c>
      <c r="G64">
        <f>E64-F64</f>
        <v/>
      </c>
      <c r="H64" t="inlineStr">
        <is>
          <t>Active</t>
        </is>
      </c>
      <c r="I64" s="18" t="n">
        <v>46243.5</v>
      </c>
    </row>
    <row r="65">
      <c r="A65" t="inlineStr">
        <is>
          <t>FA-000061</t>
        </is>
      </c>
      <c r="B65" t="inlineStr">
        <is>
          <t>MD-00061</t>
        </is>
      </c>
      <c r="C65" t="inlineStr">
        <is>
          <t>MD-LA-050061</t>
        </is>
      </c>
      <c r="D65" t="inlineStr">
        <is>
          <t>No</t>
        </is>
      </c>
      <c r="E65" t="n">
        <v>2075</v>
      </c>
      <c r="F65" t="n">
        <v>2075</v>
      </c>
      <c r="G65">
        <f>E65-F65</f>
        <v/>
      </c>
      <c r="H65" t="inlineStr">
        <is>
          <t>Active</t>
        </is>
      </c>
      <c r="I65" s="18" t="n">
        <v>46243.5</v>
      </c>
    </row>
    <row r="66">
      <c r="A66" t="inlineStr">
        <is>
          <t>FA-000062</t>
        </is>
      </c>
      <c r="B66" t="inlineStr">
        <is>
          <t>MD-00062</t>
        </is>
      </c>
      <c r="C66" t="inlineStr">
        <is>
          <t>MD-MO-050062</t>
        </is>
      </c>
      <c r="D66" t="inlineStr">
        <is>
          <t>No</t>
        </is>
      </c>
      <c r="E66" t="n">
        <v>790</v>
      </c>
      <c r="F66" t="n">
        <v>379.37</v>
      </c>
      <c r="G66">
        <f>E66-F66</f>
        <v/>
      </c>
      <c r="H66" t="inlineStr">
        <is>
          <t>Active</t>
        </is>
      </c>
      <c r="I66" s="18" t="n">
        <v>46243.5</v>
      </c>
    </row>
    <row r="67">
      <c r="A67" t="inlineStr">
        <is>
          <t>FA-000063</t>
        </is>
      </c>
      <c r="B67" t="inlineStr">
        <is>
          <t>MD-00063</t>
        </is>
      </c>
      <c r="C67" t="inlineStr">
        <is>
          <t>MD-MO-050063</t>
        </is>
      </c>
      <c r="D67" t="inlineStr">
        <is>
          <t>No</t>
        </is>
      </c>
      <c r="E67" t="n">
        <v>950</v>
      </c>
      <c r="F67" t="n">
        <v>416.15</v>
      </c>
      <c r="G67">
        <f>E67-F67</f>
        <v/>
      </c>
      <c r="H67" t="inlineStr">
        <is>
          <t>Active</t>
        </is>
      </c>
      <c r="I67" s="18" t="n">
        <v>46243.5</v>
      </c>
    </row>
    <row r="68">
      <c r="A68" t="inlineStr">
        <is>
          <t>FA-000064</t>
        </is>
      </c>
      <c r="B68" t="inlineStr">
        <is>
          <t>MD-00064</t>
        </is>
      </c>
      <c r="C68" t="inlineStr">
        <is>
          <t>MD-NE-050064</t>
        </is>
      </c>
      <c r="D68" t="inlineStr">
        <is>
          <t>Yes</t>
        </is>
      </c>
      <c r="E68" t="n">
        <v>6245</v>
      </c>
      <c r="F68" t="n">
        <v>5283.24</v>
      </c>
      <c r="G68">
        <f>E68-F68</f>
        <v/>
      </c>
      <c r="H68" t="inlineStr">
        <is>
          <t>Active</t>
        </is>
      </c>
      <c r="I68" s="18" t="n">
        <v>46243.5</v>
      </c>
    </row>
    <row r="69">
      <c r="A69" t="inlineStr">
        <is>
          <t>FA-000065</t>
        </is>
      </c>
      <c r="B69" t="inlineStr">
        <is>
          <t>MD-00065</t>
        </is>
      </c>
      <c r="C69" t="inlineStr">
        <is>
          <t>MD-LA-050065</t>
        </is>
      </c>
      <c r="D69" t="inlineStr">
        <is>
          <t>No</t>
        </is>
      </c>
      <c r="E69" t="n">
        <v>1940</v>
      </c>
      <c r="F69" t="n">
        <v>1940</v>
      </c>
      <c r="G69">
        <f>E69-F69</f>
        <v/>
      </c>
      <c r="H69" t="inlineStr">
        <is>
          <t>Active</t>
        </is>
      </c>
      <c r="I69" s="18" t="n">
        <v>46243.5</v>
      </c>
    </row>
    <row r="70">
      <c r="A70" t="inlineStr">
        <is>
          <t>FA-000066</t>
        </is>
      </c>
      <c r="B70" t="inlineStr">
        <is>
          <t>MD-00066</t>
        </is>
      </c>
      <c r="C70" t="inlineStr">
        <is>
          <t>MD-MO-050066</t>
        </is>
      </c>
      <c r="D70" t="inlineStr">
        <is>
          <t>No</t>
        </is>
      </c>
      <c r="E70" t="n">
        <v>655</v>
      </c>
      <c r="F70" t="n">
        <v>269.35</v>
      </c>
      <c r="G70">
        <f>E70-F70</f>
        <v/>
      </c>
      <c r="H70" t="inlineStr">
        <is>
          <t>Active</t>
        </is>
      </c>
      <c r="I70" s="18" t="n">
        <v>46243.5</v>
      </c>
    </row>
    <row r="71">
      <c r="A71" t="inlineStr">
        <is>
          <t>FA-000067</t>
        </is>
      </c>
      <c r="B71" t="inlineStr">
        <is>
          <t>MD-00067</t>
        </is>
      </c>
      <c r="C71" t="inlineStr">
        <is>
          <t>MD-MO-050067</t>
        </is>
      </c>
      <c r="D71" t="inlineStr">
        <is>
          <t>No</t>
        </is>
      </c>
      <c r="E71" t="n">
        <v>1130</v>
      </c>
      <c r="F71" t="n">
        <v>365.07</v>
      </c>
      <c r="G71">
        <f>E71-F71</f>
        <v/>
      </c>
      <c r="H71" t="inlineStr">
        <is>
          <t>Active</t>
        </is>
      </c>
      <c r="I71" s="18" t="n">
        <v>46243.5</v>
      </c>
    </row>
    <row r="72">
      <c r="A72" t="inlineStr">
        <is>
          <t>FA-000068</t>
        </is>
      </c>
      <c r="B72" t="inlineStr">
        <is>
          <t>MD-00068</t>
        </is>
      </c>
      <c r="C72" t="inlineStr">
        <is>
          <t>MD-NE-050068</t>
        </is>
      </c>
      <c r="D72" t="inlineStr">
        <is>
          <t>Yes</t>
        </is>
      </c>
      <c r="E72" t="n">
        <v>6480</v>
      </c>
      <c r="F72" t="n">
        <v>5163.72</v>
      </c>
      <c r="G72" t="n">
        <v>1436.28</v>
      </c>
      <c r="H72" t="inlineStr">
        <is>
          <t>Active</t>
        </is>
      </c>
      <c r="I72" s="18" t="n">
        <v>46243.5</v>
      </c>
    </row>
    <row r="73">
      <c r="A73" t="inlineStr">
        <is>
          <t>FA-000069</t>
        </is>
      </c>
      <c r="B73" t="inlineStr">
        <is>
          <t>MD-00069</t>
        </is>
      </c>
      <c r="C73" t="inlineStr">
        <is>
          <t>MD-LA-050069</t>
        </is>
      </c>
      <c r="D73" t="inlineStr">
        <is>
          <t>No</t>
        </is>
      </c>
      <c r="E73" t="n">
        <v>2120</v>
      </c>
      <c r="F73" t="n">
        <v>1977.31</v>
      </c>
      <c r="G73">
        <f>E73-F73</f>
        <v/>
      </c>
      <c r="H73" t="inlineStr">
        <is>
          <t>Active</t>
        </is>
      </c>
      <c r="I73" s="18" t="n">
        <v>46243.5</v>
      </c>
    </row>
    <row r="74">
      <c r="A74" t="inlineStr">
        <is>
          <t>FA-000070</t>
        </is>
      </c>
      <c r="B74" t="inlineStr">
        <is>
          <t>MD-00070</t>
        </is>
      </c>
      <c r="C74" t="inlineStr">
        <is>
          <t>MD-MO-050070</t>
        </is>
      </c>
      <c r="D74" t="inlineStr">
        <is>
          <t>No</t>
        </is>
      </c>
      <c r="E74" t="n">
        <v>520</v>
      </c>
      <c r="F74" t="n">
        <v>177.68</v>
      </c>
      <c r="G74">
        <f>E74-F74</f>
        <v/>
      </c>
      <c r="H74" t="inlineStr">
        <is>
          <t>Active</t>
        </is>
      </c>
      <c r="I74" s="18" t="n">
        <v>46243.5</v>
      </c>
    </row>
    <row r="75">
      <c r="A75" t="inlineStr">
        <is>
          <t>FA-000071</t>
        </is>
      </c>
      <c r="B75" t="inlineStr">
        <is>
          <t>MD-00071</t>
        </is>
      </c>
      <c r="C75" t="inlineStr">
        <is>
          <t>MD-MO-050071</t>
        </is>
      </c>
      <c r="D75" t="inlineStr">
        <is>
          <t>No</t>
        </is>
      </c>
      <c r="E75" t="n">
        <v>995</v>
      </c>
      <c r="F75" t="n">
        <v>207.04</v>
      </c>
      <c r="G75">
        <f>E75-F75</f>
        <v/>
      </c>
      <c r="H75" t="inlineStr">
        <is>
          <t>Active</t>
        </is>
      </c>
      <c r="I75" s="18" t="n">
        <v>46243.5</v>
      </c>
    </row>
    <row r="76">
      <c r="A76" t="inlineStr">
        <is>
          <t>FA-000072</t>
        </is>
      </c>
      <c r="B76" t="inlineStr">
        <is>
          <t>MD-00072</t>
        </is>
      </c>
      <c r="C76" t="inlineStr">
        <is>
          <t>MD-NE-050072</t>
        </is>
      </c>
      <c r="D76" t="inlineStr">
        <is>
          <t>Yes</t>
        </is>
      </c>
      <c r="E76" t="n">
        <v>6290</v>
      </c>
      <c r="F76" t="n">
        <v>5789.73</v>
      </c>
      <c r="G76">
        <f>E76-F76</f>
        <v/>
      </c>
      <c r="H76" t="inlineStr">
        <is>
          <t>Active</t>
        </is>
      </c>
      <c r="I76" s="18" t="n">
        <v>46243.5</v>
      </c>
    </row>
    <row r="77">
      <c r="A77" t="inlineStr">
        <is>
          <t>FA-000073</t>
        </is>
      </c>
      <c r="B77" t="inlineStr">
        <is>
          <t>MD-00073</t>
        </is>
      </c>
      <c r="C77" t="inlineStr">
        <is>
          <t>MD-LA-050073</t>
        </is>
      </c>
      <c r="D77" t="inlineStr">
        <is>
          <t>No</t>
        </is>
      </c>
      <c r="E77" t="n">
        <v>1985</v>
      </c>
      <c r="F77" t="n">
        <v>1985</v>
      </c>
      <c r="G77">
        <f>E77-F77</f>
        <v/>
      </c>
      <c r="H77" t="inlineStr">
        <is>
          <t>Active</t>
        </is>
      </c>
      <c r="I77" s="18" t="n">
        <v>46243.5</v>
      </c>
    </row>
    <row r="78">
      <c r="A78" t="inlineStr">
        <is>
          <t>FA-000074</t>
        </is>
      </c>
      <c r="B78" t="inlineStr">
        <is>
          <t>MD-00074</t>
        </is>
      </c>
      <c r="C78" t="inlineStr">
        <is>
          <t>MD-MO-050074</t>
        </is>
      </c>
      <c r="D78" t="inlineStr">
        <is>
          <t>No</t>
        </is>
      </c>
      <c r="E78" t="n">
        <v>700</v>
      </c>
      <c r="F78" t="n">
        <v>340.75</v>
      </c>
      <c r="G78">
        <f>E78-F78</f>
        <v/>
      </c>
      <c r="H78" t="inlineStr">
        <is>
          <t>Active</t>
        </is>
      </c>
      <c r="I78" s="18" t="n">
        <v>46243.5</v>
      </c>
    </row>
    <row r="79">
      <c r="A79" t="inlineStr">
        <is>
          <t>FA-000075</t>
        </is>
      </c>
      <c r="B79" t="inlineStr">
        <is>
          <t>MD-00075</t>
        </is>
      </c>
      <c r="C79" t="inlineStr">
        <is>
          <t>MD-MO-050075</t>
        </is>
      </c>
      <c r="D79" t="inlineStr">
        <is>
          <t>No</t>
        </is>
      </c>
      <c r="E79" t="n">
        <v>1175</v>
      </c>
      <c r="F79" t="n">
        <v>527.58</v>
      </c>
      <c r="G79">
        <f>E79-F79</f>
        <v/>
      </c>
      <c r="H79" t="inlineStr">
        <is>
          <t>Active</t>
        </is>
      </c>
      <c r="I79" s="18" t="n">
        <v>46243.5</v>
      </c>
    </row>
    <row r="80">
      <c r="A80" t="inlineStr">
        <is>
          <t>FA-000076</t>
        </is>
      </c>
      <c r="B80" t="inlineStr">
        <is>
          <t>MD-00076</t>
        </is>
      </c>
      <c r="C80" t="inlineStr">
        <is>
          <t>MD-NE-050076</t>
        </is>
      </c>
      <c r="D80" t="inlineStr">
        <is>
          <t>Yes</t>
        </is>
      </c>
      <c r="E80" t="n">
        <v>6470</v>
      </c>
      <c r="F80" t="n">
        <v>5516.11</v>
      </c>
      <c r="G80">
        <f>E80-F80</f>
        <v/>
      </c>
      <c r="H80" t="inlineStr">
        <is>
          <t>Active</t>
        </is>
      </c>
      <c r="I80" s="18" t="n">
        <v>46243.5</v>
      </c>
    </row>
    <row r="81">
      <c r="A81" t="inlineStr">
        <is>
          <t>FA-000077</t>
        </is>
      </c>
      <c r="B81" t="inlineStr">
        <is>
          <t>MD-00077</t>
        </is>
      </c>
      <c r="C81" t="inlineStr">
        <is>
          <t>MD-LA-050077</t>
        </is>
      </c>
      <c r="D81" t="inlineStr">
        <is>
          <t>No</t>
        </is>
      </c>
      <c r="E81" t="n">
        <v>1850</v>
      </c>
      <c r="F81" t="n">
        <v>1850</v>
      </c>
      <c r="G81">
        <f>E81-F81</f>
        <v/>
      </c>
      <c r="H81" t="inlineStr">
        <is>
          <t>Active</t>
        </is>
      </c>
      <c r="I81" s="18" t="n">
        <v>46243.5</v>
      </c>
    </row>
    <row r="82">
      <c r="A82" t="inlineStr">
        <is>
          <t>FA-000078</t>
        </is>
      </c>
      <c r="B82" t="inlineStr">
        <is>
          <t>MD-00078</t>
        </is>
      </c>
      <c r="C82" t="inlineStr">
        <is>
          <t>MD-MO-050078</t>
        </is>
      </c>
      <c r="D82" t="inlineStr">
        <is>
          <t>No</t>
        </is>
      </c>
      <c r="E82" t="n">
        <v>565</v>
      </c>
      <c r="F82" t="n">
        <v>236.05</v>
      </c>
      <c r="G82">
        <f>E82-F82</f>
        <v/>
      </c>
      <c r="H82" t="inlineStr">
        <is>
          <t>Active</t>
        </is>
      </c>
      <c r="I82" s="18" t="n">
        <v>46243.5</v>
      </c>
    </row>
    <row r="83">
      <c r="A83" t="inlineStr">
        <is>
          <t>FA-000079</t>
        </is>
      </c>
      <c r="B83" t="inlineStr">
        <is>
          <t>MD-00079</t>
        </is>
      </c>
      <c r="C83" t="inlineStr">
        <is>
          <t>MD-MO-050079</t>
        </is>
      </c>
      <c r="D83" t="inlineStr">
        <is>
          <t>No</t>
        </is>
      </c>
      <c r="E83" t="n">
        <v>1040</v>
      </c>
      <c r="F83" t="n">
        <v>347.38</v>
      </c>
      <c r="G83">
        <f>E83-F83</f>
        <v/>
      </c>
      <c r="H83" t="inlineStr">
        <is>
          <t>Active</t>
        </is>
      </c>
      <c r="I83" s="18" t="n">
        <v>46243.5</v>
      </c>
    </row>
    <row r="84">
      <c r="A84" t="inlineStr">
        <is>
          <t>FA-000080</t>
        </is>
      </c>
      <c r="B84" t="inlineStr">
        <is>
          <t>MD-00080</t>
        </is>
      </c>
      <c r="C84" t="inlineStr">
        <is>
          <t>MD-NE-050080</t>
        </is>
      </c>
      <c r="D84" t="inlineStr">
        <is>
          <t>Yes</t>
        </is>
      </c>
      <c r="E84" t="n">
        <v>6335</v>
      </c>
      <c r="F84" t="n">
        <v>4960.47</v>
      </c>
      <c r="G84">
        <f>E84-F84</f>
        <v/>
      </c>
      <c r="H84" t="inlineStr">
        <is>
          <t>Active</t>
        </is>
      </c>
      <c r="I84" s="18" t="n">
        <v>46243.5</v>
      </c>
    </row>
    <row r="85">
      <c r="A85" t="inlineStr">
        <is>
          <t>FA-000081</t>
        </is>
      </c>
      <c r="B85" t="inlineStr">
        <is>
          <t>MD-00081</t>
        </is>
      </c>
      <c r="C85" t="inlineStr">
        <is>
          <t>MD-LA-050081</t>
        </is>
      </c>
      <c r="D85" t="inlineStr">
        <is>
          <t>No</t>
        </is>
      </c>
      <c r="E85" t="n">
        <v>2030</v>
      </c>
      <c r="F85" t="n">
        <v>1915.6</v>
      </c>
      <c r="G85">
        <f>E85-F85</f>
        <v/>
      </c>
      <c r="H85" t="inlineStr">
        <is>
          <t>Active</t>
        </is>
      </c>
      <c r="I85" s="18" t="n">
        <v>46243.5</v>
      </c>
    </row>
    <row r="86">
      <c r="A86" t="inlineStr">
        <is>
          <t>FA-000082</t>
        </is>
      </c>
      <c r="B86" t="inlineStr">
        <is>
          <t>MD-00082</t>
        </is>
      </c>
      <c r="C86" t="inlineStr">
        <is>
          <t>MD-MO-050082</t>
        </is>
      </c>
      <c r="D86" t="inlineStr">
        <is>
          <t>No</t>
        </is>
      </c>
      <c r="E86" t="n">
        <v>745</v>
      </c>
      <c r="F86" t="n">
        <v>259.45</v>
      </c>
      <c r="G86">
        <f>E86-F86</f>
        <v/>
      </c>
      <c r="H86" t="inlineStr">
        <is>
          <t>Active</t>
        </is>
      </c>
      <c r="I86" s="18" t="n">
        <v>46243.5</v>
      </c>
    </row>
    <row r="87">
      <c r="A87" t="inlineStr">
        <is>
          <t>FA-000083</t>
        </is>
      </c>
      <c r="B87" t="inlineStr">
        <is>
          <t>MD-00083</t>
        </is>
      </c>
      <c r="C87" t="inlineStr">
        <is>
          <t>MD-MO-050083</t>
        </is>
      </c>
      <c r="D87" t="inlineStr">
        <is>
          <t>No</t>
        </is>
      </c>
      <c r="E87" t="n">
        <v>1220</v>
      </c>
      <c r="F87" t="n">
        <v>267.21</v>
      </c>
      <c r="G87">
        <f>E87-F87</f>
        <v/>
      </c>
      <c r="H87" t="inlineStr">
        <is>
          <t>Active</t>
        </is>
      </c>
      <c r="I87" s="18" t="n">
        <v>46243.5</v>
      </c>
    </row>
    <row r="88">
      <c r="A88" t="inlineStr">
        <is>
          <t>FA-000084</t>
        </is>
      </c>
      <c r="B88" t="inlineStr">
        <is>
          <t>MD-00084</t>
        </is>
      </c>
      <c r="C88" t="inlineStr">
        <is>
          <t>MD-NE-050084</t>
        </is>
      </c>
      <c r="D88" t="inlineStr">
        <is>
          <t>Yes</t>
        </is>
      </c>
      <c r="E88" t="n">
        <v>6200</v>
      </c>
      <c r="F88" t="n">
        <v>5666.15</v>
      </c>
      <c r="G88">
        <f>E88-F88</f>
        <v/>
      </c>
      <c r="H88" t="inlineStr">
        <is>
          <t>Active</t>
        </is>
      </c>
      <c r="I88" s="18" t="n">
        <v>46243.5</v>
      </c>
    </row>
    <row r="89">
      <c r="A89" t="inlineStr">
        <is>
          <t>FA-000085</t>
        </is>
      </c>
      <c r="B89" t="inlineStr">
        <is>
          <t>MD-00085</t>
        </is>
      </c>
      <c r="C89" t="inlineStr">
        <is>
          <t>MD-LA-050085</t>
        </is>
      </c>
      <c r="D89" t="inlineStr">
        <is>
          <t>No</t>
        </is>
      </c>
      <c r="E89" t="n">
        <v>2090</v>
      </c>
      <c r="F89" t="n">
        <v>2070</v>
      </c>
      <c r="G89" t="n">
        <v>0</v>
      </c>
      <c r="H89" t="inlineStr">
        <is>
          <t>Active</t>
        </is>
      </c>
      <c r="I89" s="18" t="n">
        <v>46243.5</v>
      </c>
    </row>
    <row r="90">
      <c r="A90" t="inlineStr">
        <is>
          <t>FA-000086</t>
        </is>
      </c>
      <c r="B90" t="inlineStr">
        <is>
          <t>MD-00086</t>
        </is>
      </c>
      <c r="C90" t="inlineStr">
        <is>
          <t>MD-MO-050086</t>
        </is>
      </c>
      <c r="D90" t="inlineStr">
        <is>
          <t>No</t>
        </is>
      </c>
      <c r="E90" t="n">
        <v>610</v>
      </c>
      <c r="F90" t="n">
        <v>292.93</v>
      </c>
      <c r="G90">
        <f>E90-F90</f>
        <v/>
      </c>
      <c r="H90" t="inlineStr">
        <is>
          <t>Active</t>
        </is>
      </c>
      <c r="I90" s="18" t="n">
        <v>46243.5</v>
      </c>
    </row>
    <row r="91">
      <c r="A91" t="inlineStr">
        <is>
          <t>FA-000087</t>
        </is>
      </c>
      <c r="B91" t="inlineStr">
        <is>
          <t>MD-00087</t>
        </is>
      </c>
      <c r="C91" t="inlineStr">
        <is>
          <t>MD-MO-050087</t>
        </is>
      </c>
      <c r="D91" t="inlineStr">
        <is>
          <t>No</t>
        </is>
      </c>
      <c r="E91" t="n">
        <v>1085</v>
      </c>
      <c r="F91" t="n">
        <v>475.29</v>
      </c>
      <c r="G91">
        <f>E91-F91</f>
        <v/>
      </c>
      <c r="H91" t="inlineStr">
        <is>
          <t>Active</t>
        </is>
      </c>
      <c r="I91" s="18" t="n">
        <v>46243.5</v>
      </c>
    </row>
    <row r="92">
      <c r="A92" t="inlineStr">
        <is>
          <t>FA-000088</t>
        </is>
      </c>
      <c r="B92" t="inlineStr">
        <is>
          <t>MD-00088</t>
        </is>
      </c>
      <c r="C92" t="inlineStr">
        <is>
          <t>MD-NE-050088</t>
        </is>
      </c>
      <c r="D92" t="inlineStr">
        <is>
          <t>Yes</t>
        </is>
      </c>
      <c r="E92" t="n">
        <v>6380</v>
      </c>
      <c r="F92" t="n">
        <v>5397.45</v>
      </c>
      <c r="G92">
        <f>E92-F92</f>
        <v/>
      </c>
      <c r="H92" t="inlineStr">
        <is>
          <t>Active</t>
        </is>
      </c>
      <c r="I92" s="18" t="n">
        <v>46243.5</v>
      </c>
    </row>
    <row r="93">
      <c r="A93" t="inlineStr">
        <is>
          <t>FA-000089</t>
        </is>
      </c>
      <c r="B93" t="inlineStr">
        <is>
          <t>MD-00089</t>
        </is>
      </c>
      <c r="C93" t="inlineStr">
        <is>
          <t>MD-LA-050089</t>
        </is>
      </c>
      <c r="D93" t="inlineStr">
        <is>
          <t>No</t>
        </is>
      </c>
      <c r="E93" t="n">
        <v>2075</v>
      </c>
      <c r="F93" t="n">
        <v>2075</v>
      </c>
      <c r="G93">
        <f>E93-F93</f>
        <v/>
      </c>
      <c r="H93" t="inlineStr">
        <is>
          <t>Active</t>
        </is>
      </c>
      <c r="I93" s="18" t="n">
        <v>46243.5</v>
      </c>
    </row>
    <row r="94">
      <c r="A94" t="inlineStr">
        <is>
          <t>FA-000090</t>
        </is>
      </c>
      <c r="B94" t="inlineStr">
        <is>
          <t>MD-00090</t>
        </is>
      </c>
      <c r="C94" t="inlineStr">
        <is>
          <t>MD-MO-050090</t>
        </is>
      </c>
      <c r="D94" t="inlineStr">
        <is>
          <t>No</t>
        </is>
      </c>
      <c r="E94" t="n">
        <v>790</v>
      </c>
      <c r="F94" t="n">
        <v>324.87</v>
      </c>
      <c r="G94">
        <f>E94-F94</f>
        <v/>
      </c>
      <c r="H94" t="inlineStr">
        <is>
          <t>Active</t>
        </is>
      </c>
      <c r="I94" s="18" t="n">
        <v>46243.5</v>
      </c>
    </row>
    <row r="95">
      <c r="A95" t="inlineStr">
        <is>
          <t>FA-000091</t>
        </is>
      </c>
      <c r="B95" t="inlineStr">
        <is>
          <t>MD-00091</t>
        </is>
      </c>
      <c r="C95" t="inlineStr">
        <is>
          <t>MD-MO-050091</t>
        </is>
      </c>
      <c r="D95" t="inlineStr">
        <is>
          <t>No</t>
        </is>
      </c>
      <c r="E95" t="n">
        <v>950</v>
      </c>
      <c r="F95" t="n">
        <v>306.91</v>
      </c>
      <c r="G95">
        <f>E95-F95</f>
        <v/>
      </c>
      <c r="H95" t="inlineStr">
        <is>
          <t>Active</t>
        </is>
      </c>
      <c r="I95" s="18" t="n">
        <v>46243.5</v>
      </c>
    </row>
    <row r="96">
      <c r="A96" t="inlineStr">
        <is>
          <t>FA-000092</t>
        </is>
      </c>
      <c r="B96" t="inlineStr">
        <is>
          <t>MD-00092</t>
        </is>
      </c>
      <c r="C96" t="inlineStr">
        <is>
          <t>MD-NE-050088</t>
        </is>
      </c>
      <c r="D96" t="inlineStr">
        <is>
          <t>Yes</t>
        </is>
      </c>
      <c r="E96" t="n">
        <v>6245</v>
      </c>
      <c r="F96" t="n">
        <v>4848.96</v>
      </c>
      <c r="G96">
        <f>E96-F96</f>
        <v/>
      </c>
      <c r="H96" t="inlineStr">
        <is>
          <t>Active</t>
        </is>
      </c>
      <c r="I96" s="18" t="n">
        <v>46243.5</v>
      </c>
    </row>
    <row r="97">
      <c r="A97" t="inlineStr">
        <is>
          <t>FA-000093</t>
        </is>
      </c>
      <c r="B97" t="inlineStr">
        <is>
          <t>MD-00093</t>
        </is>
      </c>
      <c r="C97" t="inlineStr">
        <is>
          <t>MD-LA-050093</t>
        </is>
      </c>
      <c r="D97" t="inlineStr">
        <is>
          <t>No</t>
        </is>
      </c>
      <c r="E97" t="n">
        <v>1940</v>
      </c>
      <c r="F97" t="n">
        <v>1809.43</v>
      </c>
      <c r="G97">
        <f>E97-F97</f>
        <v/>
      </c>
      <c r="H97" t="inlineStr">
        <is>
          <t>Active</t>
        </is>
      </c>
      <c r="I97" s="18" t="n">
        <v>46243.5</v>
      </c>
    </row>
    <row r="98">
      <c r="A98" t="inlineStr">
        <is>
          <t>FA-000094</t>
        </is>
      </c>
      <c r="B98" t="inlineStr">
        <is>
          <t>MD-00094</t>
        </is>
      </c>
      <c r="C98" t="inlineStr">
        <is>
          <t>MD-MO-050094</t>
        </is>
      </c>
      <c r="D98" t="inlineStr">
        <is>
          <t>No</t>
        </is>
      </c>
      <c r="E98" t="n">
        <v>655</v>
      </c>
      <c r="F98" t="n">
        <v>223.8</v>
      </c>
      <c r="G98">
        <f>E98-F98</f>
        <v/>
      </c>
      <c r="H98" t="inlineStr">
        <is>
          <t>Active</t>
        </is>
      </c>
      <c r="I98" s="18" t="n">
        <v>46243.5</v>
      </c>
    </row>
    <row r="99">
      <c r="A99" t="inlineStr">
        <is>
          <t>FA-000095</t>
        </is>
      </c>
      <c r="B99" t="inlineStr">
        <is>
          <t>MD-00095</t>
        </is>
      </c>
      <c r="C99" t="inlineStr">
        <is>
          <t>MD-MO-050095</t>
        </is>
      </c>
      <c r="D99" t="inlineStr">
        <is>
          <t>No</t>
        </is>
      </c>
      <c r="E99" t="n">
        <v>1130</v>
      </c>
      <c r="F99" t="n">
        <v>235.13</v>
      </c>
      <c r="G99">
        <f>E99-F99</f>
        <v/>
      </c>
      <c r="H99" t="inlineStr">
        <is>
          <t>Active</t>
        </is>
      </c>
      <c r="I99" s="18" t="n">
        <v>46243.5</v>
      </c>
    </row>
    <row r="100">
      <c r="A100" t="inlineStr">
        <is>
          <t>FA-000096</t>
        </is>
      </c>
      <c r="B100" t="inlineStr">
        <is>
          <t>MD-00096</t>
        </is>
      </c>
      <c r="C100" t="inlineStr">
        <is>
          <t>MD-NE-050096</t>
        </is>
      </c>
      <c r="D100" t="inlineStr">
        <is>
          <t>Yes</t>
        </is>
      </c>
      <c r="E100" t="n">
        <v>6425</v>
      </c>
      <c r="F100" t="n">
        <v>5913.99</v>
      </c>
      <c r="G100">
        <f>E100-F100</f>
        <v/>
      </c>
      <c r="H100" t="inlineStr">
        <is>
          <t>Active</t>
        </is>
      </c>
      <c r="I100" s="18" t="n">
        <v>46243.5</v>
      </c>
    </row>
    <row r="101">
      <c r="A101" t="inlineStr">
        <is>
          <t>FA-000097</t>
        </is>
      </c>
      <c r="B101" t="inlineStr">
        <is>
          <t>MD-00097</t>
        </is>
      </c>
      <c r="C101" t="inlineStr">
        <is>
          <t>MD-LA-050097</t>
        </is>
      </c>
      <c r="D101" t="inlineStr">
        <is>
          <t>No</t>
        </is>
      </c>
      <c r="E101" t="n">
        <v>2120</v>
      </c>
      <c r="F101" t="n">
        <v>2120</v>
      </c>
      <c r="G101">
        <f>E101-F101</f>
        <v/>
      </c>
      <c r="H101" t="inlineStr">
        <is>
          <t>Active</t>
        </is>
      </c>
      <c r="I101" s="18" t="n">
        <v>46243.5</v>
      </c>
    </row>
    <row r="102">
      <c r="A102" t="inlineStr">
        <is>
          <t>FA-000098</t>
        </is>
      </c>
      <c r="B102" t="inlineStr">
        <is>
          <t>MD-00098</t>
        </is>
      </c>
      <c r="C102" t="inlineStr">
        <is>
          <t>MD-MO-050098</t>
        </is>
      </c>
      <c r="D102" t="inlineStr">
        <is>
          <t>No</t>
        </is>
      </c>
      <c r="E102" t="n">
        <v>520</v>
      </c>
      <c r="F102" t="n">
        <v>253.13</v>
      </c>
      <c r="G102">
        <f>E102-F102</f>
        <v/>
      </c>
      <c r="H102" t="inlineStr">
        <is>
          <t>Active</t>
        </is>
      </c>
      <c r="I102" s="18" t="n">
        <v>46243.5</v>
      </c>
    </row>
    <row r="103">
      <c r="A103" t="inlineStr">
        <is>
          <t>FA-000099</t>
        </is>
      </c>
      <c r="B103" t="inlineStr">
        <is>
          <t>MD-00099</t>
        </is>
      </c>
      <c r="C103" t="inlineStr">
        <is>
          <t>MD-MO-050099</t>
        </is>
      </c>
      <c r="D103" t="inlineStr">
        <is>
          <t>No</t>
        </is>
      </c>
      <c r="E103" t="n">
        <v>995</v>
      </c>
      <c r="F103" t="n">
        <v>446.76</v>
      </c>
      <c r="G103">
        <f>E103-F103</f>
        <v/>
      </c>
      <c r="H103" t="inlineStr">
        <is>
          <t>Active</t>
        </is>
      </c>
      <c r="I103" s="18" t="n">
        <v>46243.5</v>
      </c>
    </row>
    <row r="104">
      <c r="A104" t="inlineStr">
        <is>
          <t>FA-000100</t>
        </is>
      </c>
      <c r="B104" t="inlineStr">
        <is>
          <t>MD-00100</t>
        </is>
      </c>
      <c r="C104" t="inlineStr">
        <is>
          <t>MD-NE-050100</t>
        </is>
      </c>
      <c r="D104" t="inlineStr">
        <is>
          <t>Yes</t>
        </is>
      </c>
      <c r="E104" t="n">
        <v>6290</v>
      </c>
      <c r="F104" t="n">
        <v>5362.64</v>
      </c>
      <c r="G104">
        <f>E104-F104</f>
        <v/>
      </c>
      <c r="H104" t="inlineStr">
        <is>
          <t>Active</t>
        </is>
      </c>
      <c r="I104" s="18" t="n">
        <v>46243.5</v>
      </c>
    </row>
    <row r="105">
      <c r="A105" t="inlineStr">
        <is>
          <t>FA-000101</t>
        </is>
      </c>
      <c r="B105" t="inlineStr">
        <is>
          <t>MD-00101</t>
        </is>
      </c>
      <c r="C105" t="inlineStr">
        <is>
          <t>MD-LA-050101</t>
        </is>
      </c>
      <c r="D105" t="inlineStr">
        <is>
          <t>No</t>
        </is>
      </c>
      <c r="E105" t="n">
        <v>1985</v>
      </c>
      <c r="F105" t="n">
        <v>1985</v>
      </c>
      <c r="G105">
        <f>E105-F105</f>
        <v/>
      </c>
      <c r="H105" t="inlineStr">
        <is>
          <t>Active</t>
        </is>
      </c>
      <c r="I105" s="18" t="n">
        <v>46243.5</v>
      </c>
    </row>
    <row r="106">
      <c r="A106" t="inlineStr">
        <is>
          <t>FA-000102</t>
        </is>
      </c>
      <c r="B106" t="inlineStr">
        <is>
          <t>MD-00102</t>
        </is>
      </c>
      <c r="C106" t="inlineStr">
        <is>
          <t>MD-MO-050102</t>
        </is>
      </c>
      <c r="D106" t="inlineStr">
        <is>
          <t>No</t>
        </is>
      </c>
      <c r="E106" t="n">
        <v>820</v>
      </c>
      <c r="F106" t="n">
        <v>467.46</v>
      </c>
      <c r="G106" t="n">
        <v>407.54</v>
      </c>
      <c r="H106" t="inlineStr">
        <is>
          <t>Active</t>
        </is>
      </c>
      <c r="I106" s="18" t="n">
        <v>46243.5</v>
      </c>
    </row>
    <row r="107">
      <c r="A107" t="inlineStr">
        <is>
          <t>FA-000103</t>
        </is>
      </c>
      <c r="B107" t="inlineStr">
        <is>
          <t>MD-00103</t>
        </is>
      </c>
      <c r="C107" t="inlineStr">
        <is>
          <t>MD-MO-050103</t>
        </is>
      </c>
      <c r="D107" t="inlineStr">
        <is>
          <t>No</t>
        </is>
      </c>
      <c r="E107" t="n">
        <v>1175</v>
      </c>
      <c r="F107" t="n">
        <v>392.47</v>
      </c>
      <c r="G107">
        <f>E107-F107</f>
        <v/>
      </c>
      <c r="H107" t="inlineStr">
        <is>
          <t>Active</t>
        </is>
      </c>
      <c r="I107" s="18" t="n">
        <v>46243.5</v>
      </c>
    </row>
    <row r="108">
      <c r="A108" t="inlineStr">
        <is>
          <t>FA-000104</t>
        </is>
      </c>
      <c r="B108" t="inlineStr">
        <is>
          <t>MD-00104</t>
        </is>
      </c>
      <c r="C108" t="inlineStr">
        <is>
          <t>MD-NE-050104</t>
        </is>
      </c>
      <c r="D108" t="inlineStr">
        <is>
          <t>Yes</t>
        </is>
      </c>
      <c r="E108" t="n">
        <v>6470</v>
      </c>
      <c r="F108" t="n">
        <v>5066.17</v>
      </c>
      <c r="G108">
        <f>E108-F108</f>
        <v/>
      </c>
      <c r="H108" t="inlineStr">
        <is>
          <t>Active</t>
        </is>
      </c>
      <c r="I108" s="18" t="n">
        <v>46243.5</v>
      </c>
    </row>
    <row r="109">
      <c r="A109" t="inlineStr">
        <is>
          <t>FA-000105</t>
        </is>
      </c>
      <c r="B109" t="inlineStr">
        <is>
          <t>MD-00105</t>
        </is>
      </c>
      <c r="C109" t="inlineStr">
        <is>
          <t>MD-LA-050105</t>
        </is>
      </c>
      <c r="D109" t="inlineStr">
        <is>
          <t>No</t>
        </is>
      </c>
      <c r="E109" t="n">
        <v>1850</v>
      </c>
      <c r="F109" t="n">
        <v>1745.74</v>
      </c>
      <c r="G109">
        <f>E109-F109</f>
        <v/>
      </c>
      <c r="H109" t="inlineStr">
        <is>
          <t>Active</t>
        </is>
      </c>
      <c r="I109" s="18" t="n">
        <v>46243.5</v>
      </c>
    </row>
    <row r="110">
      <c r="A110" t="inlineStr">
        <is>
          <t>FA-000106</t>
        </is>
      </c>
      <c r="B110" t="inlineStr">
        <is>
          <t>MD-00106</t>
        </is>
      </c>
      <c r="C110" t="inlineStr">
        <is>
          <t>MD-MO-050106</t>
        </is>
      </c>
      <c r="D110" t="inlineStr">
        <is>
          <t>No</t>
        </is>
      </c>
      <c r="E110" t="n">
        <v>565</v>
      </c>
      <c r="F110" t="n">
        <v>196.76</v>
      </c>
      <c r="G110">
        <f>E110-F110</f>
        <v/>
      </c>
      <c r="H110" t="inlineStr">
        <is>
          <t>Active</t>
        </is>
      </c>
      <c r="I110" s="18" t="n">
        <v>46243.5</v>
      </c>
    </row>
    <row r="111">
      <c r="A111" t="inlineStr">
        <is>
          <t>FA-000107</t>
        </is>
      </c>
      <c r="B111" t="inlineStr">
        <is>
          <t>MD-00107</t>
        </is>
      </c>
      <c r="C111" t="inlineStr">
        <is>
          <t>MD-MO-050107</t>
        </is>
      </c>
      <c r="D111" t="inlineStr">
        <is>
          <t>No</t>
        </is>
      </c>
      <c r="E111" t="n">
        <v>1040</v>
      </c>
      <c r="F111" t="n">
        <v>227.79</v>
      </c>
      <c r="G111">
        <f>E111-F111</f>
        <v/>
      </c>
      <c r="H111" t="inlineStr">
        <is>
          <t>Active</t>
        </is>
      </c>
      <c r="I111" s="18" t="n">
        <v>46243.5</v>
      </c>
    </row>
    <row r="112">
      <c r="A112" t="inlineStr">
        <is>
          <t>FA-000108</t>
        </is>
      </c>
      <c r="B112" t="inlineStr">
        <is>
          <t>MD-00108</t>
        </is>
      </c>
      <c r="C112" t="inlineStr">
        <is>
          <t>MD-NE-050108</t>
        </is>
      </c>
      <c r="D112" t="inlineStr">
        <is>
          <t>Yes</t>
        </is>
      </c>
      <c r="E112" t="n">
        <v>6335</v>
      </c>
      <c r="F112" t="n">
        <v>5789.52</v>
      </c>
      <c r="G112">
        <f>E112-F112</f>
        <v/>
      </c>
      <c r="H112" t="inlineStr">
        <is>
          <t>Active</t>
        </is>
      </c>
      <c r="I112" s="18" t="n">
        <v>46243.5</v>
      </c>
    </row>
    <row r="113">
      <c r="A113" t="inlineStr">
        <is>
          <t>FA-000109</t>
        </is>
      </c>
      <c r="B113" t="inlineStr">
        <is>
          <t>MD-00109</t>
        </is>
      </c>
      <c r="C113" t="inlineStr">
        <is>
          <t>MD-LA-050109</t>
        </is>
      </c>
      <c r="D113" t="inlineStr">
        <is>
          <t>No</t>
        </is>
      </c>
      <c r="E113" t="n">
        <v>2030</v>
      </c>
      <c r="F113" t="n">
        <v>2030</v>
      </c>
      <c r="G113">
        <f>E113-F113</f>
        <v/>
      </c>
      <c r="H113" t="inlineStr">
        <is>
          <t>Active</t>
        </is>
      </c>
      <c r="I113" s="18" t="n">
        <v>46243.5</v>
      </c>
    </row>
    <row r="114">
      <c r="A114" t="inlineStr">
        <is>
          <t>FA-000110</t>
        </is>
      </c>
      <c r="B114" t="inlineStr">
        <is>
          <t>MD-00110</t>
        </is>
      </c>
      <c r="C114" t="inlineStr">
        <is>
          <t>MD-MO-050110</t>
        </is>
      </c>
      <c r="D114" t="inlineStr">
        <is>
          <t>No</t>
        </is>
      </c>
      <c r="E114" t="n">
        <v>745</v>
      </c>
      <c r="F114" t="n">
        <v>357.76</v>
      </c>
      <c r="G114">
        <f>E114-F114</f>
        <v/>
      </c>
      <c r="H114" t="inlineStr">
        <is>
          <t>Active</t>
        </is>
      </c>
      <c r="I114" s="18" t="n">
        <v>46243.5</v>
      </c>
    </row>
    <row r="115">
      <c r="A115" t="inlineStr">
        <is>
          <t>FA-000111</t>
        </is>
      </c>
      <c r="B115" t="inlineStr">
        <is>
          <t>MD-00111</t>
        </is>
      </c>
      <c r="C115" t="inlineStr">
        <is>
          <t>MD-MO-050111</t>
        </is>
      </c>
      <c r="D115" t="inlineStr">
        <is>
          <t>No</t>
        </is>
      </c>
      <c r="E115" t="n">
        <v>1220</v>
      </c>
      <c r="F115" t="n">
        <v>1220</v>
      </c>
      <c r="G115">
        <f>E115-F115</f>
        <v/>
      </c>
      <c r="H115" t="inlineStr">
        <is>
          <t>Disposed</t>
        </is>
      </c>
      <c r="I115" s="18" t="n">
        <v>46243.5</v>
      </c>
    </row>
    <row r="116">
      <c r="A116" t="inlineStr">
        <is>
          <t>FA-000112</t>
        </is>
      </c>
      <c r="B116" t="inlineStr">
        <is>
          <t>MD-00112</t>
        </is>
      </c>
      <c r="C116" t="inlineStr">
        <is>
          <t>MD-NE-050112</t>
        </is>
      </c>
      <c r="D116" t="inlineStr">
        <is>
          <t>Yes</t>
        </is>
      </c>
      <c r="E116" t="n">
        <v>6200</v>
      </c>
      <c r="F116" t="n">
        <v>6200</v>
      </c>
      <c r="G116">
        <f>E116-F116</f>
        <v/>
      </c>
      <c r="H116" t="inlineStr">
        <is>
          <t>Disposed</t>
        </is>
      </c>
      <c r="I116" s="18" t="n">
        <v>46243.5</v>
      </c>
    </row>
    <row r="117">
      <c r="A117" t="inlineStr">
        <is>
          <t>FA-000113</t>
        </is>
      </c>
      <c r="B117" t="inlineStr">
        <is>
          <t>MD-00113</t>
        </is>
      </c>
      <c r="C117" t="inlineStr">
        <is>
          <t>MD-LA-050113</t>
        </is>
      </c>
      <c r="D117" t="inlineStr">
        <is>
          <t>No</t>
        </is>
      </c>
      <c r="E117" t="n">
        <v>1895</v>
      </c>
      <c r="F117" t="n">
        <v>1895</v>
      </c>
      <c r="G117">
        <f>E117-F117</f>
        <v/>
      </c>
      <c r="H117" t="inlineStr">
        <is>
          <t>Disposed</t>
        </is>
      </c>
      <c r="I117" s="18" t="n">
        <v>46243.5</v>
      </c>
    </row>
    <row r="118">
      <c r="A118" t="inlineStr">
        <is>
          <t>FA-000114</t>
        </is>
      </c>
      <c r="B118" t="inlineStr">
        <is>
          <t>MD-00114</t>
        </is>
      </c>
      <c r="C118" t="inlineStr">
        <is>
          <t>MD-MO-050114</t>
        </is>
      </c>
      <c r="D118" t="inlineStr">
        <is>
          <t>No</t>
        </is>
      </c>
      <c r="E118" t="n">
        <v>610</v>
      </c>
      <c r="F118" t="n">
        <v>610</v>
      </c>
      <c r="G118">
        <f>E118-F118</f>
        <v/>
      </c>
      <c r="H118" t="inlineStr">
        <is>
          <t>Disposed</t>
        </is>
      </c>
      <c r="I118" s="18" t="n">
        <v>46243.5</v>
      </c>
    </row>
    <row r="119">
      <c r="A119" t="inlineStr">
        <is>
          <t>FA-000115</t>
        </is>
      </c>
      <c r="B119" t="inlineStr">
        <is>
          <t>MD-00115</t>
        </is>
      </c>
      <c r="C119" t="inlineStr">
        <is>
          <t>MD-MO-050115</t>
        </is>
      </c>
      <c r="D119" t="inlineStr">
        <is>
          <t>No</t>
        </is>
      </c>
      <c r="E119" t="n">
        <v>1085</v>
      </c>
      <c r="F119" t="n">
        <v>1085</v>
      </c>
      <c r="G119">
        <f>E119-F119</f>
        <v/>
      </c>
      <c r="H119" t="inlineStr">
        <is>
          <t>Disposed</t>
        </is>
      </c>
      <c r="I119" s="18" t="n">
        <v>46243.5</v>
      </c>
    </row>
    <row r="120">
      <c r="A120" t="inlineStr">
        <is>
          <t>FA-000116</t>
        </is>
      </c>
      <c r="B120" t="inlineStr">
        <is>
          <t>MD-00116</t>
        </is>
      </c>
      <c r="C120" t="inlineStr">
        <is>
          <t>MD-NE-050116</t>
        </is>
      </c>
      <c r="D120" t="inlineStr">
        <is>
          <t>Yes</t>
        </is>
      </c>
      <c r="E120" t="n">
        <v>6380</v>
      </c>
      <c r="F120" t="n">
        <v>6380</v>
      </c>
      <c r="G120">
        <f>E120-F120</f>
        <v/>
      </c>
      <c r="H120" t="inlineStr">
        <is>
          <t>Disposed</t>
        </is>
      </c>
      <c r="I120" s="18" t="n">
        <v>46243.5</v>
      </c>
    </row>
    <row r="121">
      <c r="A121" t="inlineStr">
        <is>
          <t>FA-000117</t>
        </is>
      </c>
      <c r="B121" t="inlineStr">
        <is>
          <t>MD-00117</t>
        </is>
      </c>
      <c r="C121" t="inlineStr">
        <is>
          <t>MD-LA-050117</t>
        </is>
      </c>
      <c r="D121" t="inlineStr">
        <is>
          <t>No</t>
        </is>
      </c>
      <c r="E121" t="n">
        <v>2075</v>
      </c>
      <c r="F121" t="n">
        <v>2075</v>
      </c>
      <c r="G121">
        <f>E121-F121</f>
        <v/>
      </c>
      <c r="H121" t="inlineStr">
        <is>
          <t>Disposed</t>
        </is>
      </c>
      <c r="I121" s="18" t="n">
        <v>46243.5</v>
      </c>
    </row>
    <row r="122">
      <c r="A122" t="inlineStr">
        <is>
          <t>FA-000118</t>
        </is>
      </c>
      <c r="B122" t="inlineStr">
        <is>
          <t>MD-00118</t>
        </is>
      </c>
      <c r="C122" t="inlineStr">
        <is>
          <t>MD-MO-050118</t>
        </is>
      </c>
      <c r="D122" t="inlineStr">
        <is>
          <t>No</t>
        </is>
      </c>
      <c r="E122" t="n">
        <v>790</v>
      </c>
      <c r="F122" t="n">
        <v>790</v>
      </c>
      <c r="G122">
        <f>E122-F122</f>
        <v/>
      </c>
      <c r="H122" t="inlineStr">
        <is>
          <t>Disposed</t>
        </is>
      </c>
      <c r="I122" s="18" t="n">
        <v>46243.5</v>
      </c>
    </row>
    <row r="123">
      <c r="A123" t="inlineStr">
        <is>
          <t>FA-000119</t>
        </is>
      </c>
      <c r="B123" t="inlineStr">
        <is>
          <t>MD-00119</t>
        </is>
      </c>
      <c r="C123" t="inlineStr">
        <is>
          <t>MD-MO-050119</t>
        </is>
      </c>
      <c r="D123" t="inlineStr">
        <is>
          <t>No</t>
        </is>
      </c>
      <c r="E123" t="n">
        <v>1115</v>
      </c>
      <c r="F123" t="n">
        <v>1125</v>
      </c>
      <c r="G123" t="n">
        <v>0</v>
      </c>
      <c r="H123" t="inlineStr">
        <is>
          <t>Disposed</t>
        </is>
      </c>
      <c r="I123" s="18" t="n">
        <v>46243.5</v>
      </c>
    </row>
    <row r="124">
      <c r="A124" t="inlineStr">
        <is>
          <t>FA-000120</t>
        </is>
      </c>
      <c r="B124" t="inlineStr">
        <is>
          <t>MD-00120</t>
        </is>
      </c>
      <c r="C124" t="inlineStr">
        <is>
          <t>MD-NE-050120</t>
        </is>
      </c>
      <c r="D124" t="inlineStr">
        <is>
          <t>Yes</t>
        </is>
      </c>
      <c r="E124" t="n">
        <v>6245</v>
      </c>
      <c r="F124" t="n">
        <v>6245</v>
      </c>
      <c r="G124">
        <f>E124-F124</f>
        <v/>
      </c>
      <c r="H124" t="inlineStr">
        <is>
          <t>Disposed</t>
        </is>
      </c>
      <c r="I124" s="18" t="n">
        <v>46243.5</v>
      </c>
    </row>
    <row r="125">
      <c r="A125" t="inlineStr">
        <is>
          <t>FA-000121</t>
        </is>
      </c>
      <c r="B125" t="inlineStr">
        <is>
          <t>MD-00121</t>
        </is>
      </c>
      <c r="C125" t="inlineStr">
        <is>
          <t>MD-LA-050121</t>
        </is>
      </c>
      <c r="D125" t="inlineStr">
        <is>
          <t>No</t>
        </is>
      </c>
      <c r="E125" t="n">
        <v>1940</v>
      </c>
      <c r="F125" t="n">
        <v>1940</v>
      </c>
      <c r="G125">
        <f>E125-F125</f>
        <v/>
      </c>
      <c r="H125" t="inlineStr">
        <is>
          <t>Active</t>
        </is>
      </c>
      <c r="I125" s="18" t="n">
        <v>46243.5</v>
      </c>
    </row>
    <row r="126">
      <c r="A126" t="inlineStr">
        <is>
          <t>FA-000122</t>
        </is>
      </c>
      <c r="B126" t="inlineStr">
        <is>
          <t>MD-00122</t>
        </is>
      </c>
      <c r="C126" t="inlineStr">
        <is>
          <t>MD-MO-050122</t>
        </is>
      </c>
      <c r="D126" t="inlineStr">
        <is>
          <t>No</t>
        </is>
      </c>
      <c r="E126" t="n">
        <v>655</v>
      </c>
      <c r="F126" t="n">
        <v>318.85</v>
      </c>
      <c r="G126">
        <f>E126-F126</f>
        <v/>
      </c>
      <c r="H126" t="inlineStr">
        <is>
          <t>Active</t>
        </is>
      </c>
      <c r="I126" s="18" t="n">
        <v>46243.5</v>
      </c>
    </row>
    <row r="127">
      <c r="A127" t="inlineStr">
        <is>
          <t>FA-000123</t>
        </is>
      </c>
      <c r="B127" t="inlineStr">
        <is>
          <t>MD-00123</t>
        </is>
      </c>
      <c r="C127" t="inlineStr">
        <is>
          <t>MD-MO-050123</t>
        </is>
      </c>
      <c r="D127" t="inlineStr">
        <is>
          <t>No</t>
        </is>
      </c>
      <c r="E127" t="n">
        <v>1130</v>
      </c>
      <c r="F127" t="n">
        <v>507.38</v>
      </c>
      <c r="G127">
        <f>E127-F127</f>
        <v/>
      </c>
      <c r="H127" t="inlineStr">
        <is>
          <t>Active</t>
        </is>
      </c>
      <c r="I127" s="18" t="n">
        <v>46243.5</v>
      </c>
    </row>
    <row r="128">
      <c r="A128" t="inlineStr">
        <is>
          <t>FA-000124</t>
        </is>
      </c>
      <c r="B128" t="inlineStr">
        <is>
          <t>MD-00124</t>
        </is>
      </c>
      <c r="C128" t="inlineStr">
        <is>
          <t>MD-NE-050124</t>
        </is>
      </c>
      <c r="D128" t="inlineStr">
        <is>
          <t>Yes</t>
        </is>
      </c>
      <c r="E128" t="n">
        <v>6425</v>
      </c>
      <c r="F128" t="n">
        <v>5477.74</v>
      </c>
      <c r="G128">
        <f>E128-F128</f>
        <v/>
      </c>
      <c r="H128" t="inlineStr">
        <is>
          <t>Active</t>
        </is>
      </c>
      <c r="I128" s="18" t="n">
        <v>46243.5</v>
      </c>
    </row>
    <row r="129">
      <c r="A129" t="inlineStr">
        <is>
          <t>FA-000125</t>
        </is>
      </c>
      <c r="B129" t="inlineStr">
        <is>
          <t>MD-00125</t>
        </is>
      </c>
      <c r="C129" t="inlineStr">
        <is>
          <t>MD-LA-050125</t>
        </is>
      </c>
      <c r="D129" t="inlineStr">
        <is>
          <t>No</t>
        </is>
      </c>
      <c r="E129" t="n">
        <v>2120</v>
      </c>
      <c r="F129" t="n">
        <v>2120</v>
      </c>
      <c r="G129">
        <f>E129-F129</f>
        <v/>
      </c>
      <c r="H129" t="inlineStr">
        <is>
          <t>Active</t>
        </is>
      </c>
      <c r="I129" s="18" t="n">
        <v>46243.5</v>
      </c>
    </row>
    <row r="130">
      <c r="A130" t="inlineStr">
        <is>
          <t>FA-000126</t>
        </is>
      </c>
      <c r="B130" t="inlineStr">
        <is>
          <t>MD-00126</t>
        </is>
      </c>
      <c r="C130" t="inlineStr">
        <is>
          <t>MD-MO-050126</t>
        </is>
      </c>
      <c r="D130" t="inlineStr">
        <is>
          <t>No</t>
        </is>
      </c>
      <c r="E130" t="n">
        <v>520</v>
      </c>
      <c r="F130" t="n">
        <v>217.25</v>
      </c>
      <c r="G130">
        <f>E130-F130</f>
        <v/>
      </c>
      <c r="H130" t="inlineStr">
        <is>
          <t>Active</t>
        </is>
      </c>
      <c r="I130" s="18" t="n">
        <v>46243.5</v>
      </c>
    </row>
    <row r="131">
      <c r="A131" t="inlineStr">
        <is>
          <t>FA-000127</t>
        </is>
      </c>
      <c r="B131" t="inlineStr">
        <is>
          <t>MD-00127</t>
        </is>
      </c>
      <c r="C131" t="inlineStr">
        <is>
          <t>MD-MO-050127</t>
        </is>
      </c>
      <c r="D131" t="inlineStr">
        <is>
          <t>No</t>
        </is>
      </c>
      <c r="E131" t="n">
        <v>995</v>
      </c>
      <c r="F131" t="n">
        <v>332.35</v>
      </c>
      <c r="G131">
        <f>E131-F131</f>
        <v/>
      </c>
      <c r="H131" t="inlineStr">
        <is>
          <t>Active</t>
        </is>
      </c>
      <c r="I131" s="18" t="n">
        <v>46243.5</v>
      </c>
    </row>
    <row r="132">
      <c r="A132" t="inlineStr">
        <is>
          <t>FA-000128</t>
        </is>
      </c>
      <c r="B132" t="inlineStr">
        <is>
          <t>MD-00128</t>
        </is>
      </c>
      <c r="C132" t="inlineStr">
        <is>
          <t>MD-NE-050128</t>
        </is>
      </c>
      <c r="D132" t="inlineStr">
        <is>
          <t>Yes</t>
        </is>
      </c>
      <c r="E132" t="n">
        <v>6290</v>
      </c>
      <c r="F132" t="n">
        <v>4925.23</v>
      </c>
      <c r="G132">
        <f>E132-F132</f>
        <v/>
      </c>
      <c r="H132" t="inlineStr">
        <is>
          <t>Active</t>
        </is>
      </c>
      <c r="I132" s="18" t="n">
        <v>46243.5</v>
      </c>
    </row>
    <row r="133">
      <c r="A133" t="inlineStr">
        <is>
          <t>FA-000129</t>
        </is>
      </c>
      <c r="B133" t="inlineStr">
        <is>
          <t>MD-00129</t>
        </is>
      </c>
      <c r="C133" t="inlineStr">
        <is>
          <t>MD-LA-050129</t>
        </is>
      </c>
      <c r="D133" t="inlineStr">
        <is>
          <t>No</t>
        </is>
      </c>
      <c r="E133" t="n">
        <v>1985</v>
      </c>
      <c r="F133" t="n">
        <v>1873.14</v>
      </c>
      <c r="G133">
        <f>E133-F133</f>
        <v/>
      </c>
      <c r="H133" t="inlineStr">
        <is>
          <t>Active</t>
        </is>
      </c>
      <c r="I133" s="18" t="n">
        <v>46243.5</v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Inventory (from it_asset_inventory.xlsx)</t>
        </is>
      </c>
    </row>
    <row r="2">
      <c r="A2" t="inlineStr">
        <is>
          <t>Operational snapshot used by Corrected Register lookups.</t>
        </is>
      </c>
    </row>
    <row r="4">
      <c r="A4" s="26" t="inlineStr">
        <is>
          <t>Asset Tag</t>
        </is>
      </c>
      <c r="B4" s="26" t="inlineStr">
        <is>
          <t>Serial Number</t>
        </is>
      </c>
      <c r="C4" s="26" t="inlineStr">
        <is>
          <t>Category</t>
        </is>
      </c>
      <c r="D4" s="26" t="inlineStr">
        <is>
          <t>Model</t>
        </is>
      </c>
      <c r="E4" s="26" t="inlineStr">
        <is>
          <t>Assigned Employee</t>
        </is>
      </c>
      <c r="F4" s="26" t="inlineStr">
        <is>
          <t>Location</t>
        </is>
      </c>
      <c r="G4" s="26" t="inlineStr">
        <is>
          <t>Lifecycle Status</t>
        </is>
      </c>
      <c r="H4" s="26" t="inlineStr">
        <is>
          <t>Acquisition Cost</t>
        </is>
      </c>
    </row>
    <row r="5">
      <c r="A5" t="inlineStr">
        <is>
          <t>MD-00001</t>
        </is>
      </c>
      <c r="B5" t="inlineStr">
        <is>
          <t>MD-LA-050001</t>
        </is>
      </c>
      <c r="C5" t="inlineStr">
        <is>
          <t>Laptop</t>
        </is>
      </c>
      <c r="D5" t="inlineStr">
        <is>
          <t>HP EliteBook 840 G10</t>
        </is>
      </c>
      <c r="E5" t="inlineStr">
        <is>
          <t>E0001</t>
        </is>
      </c>
      <c r="F5" t="inlineStr">
        <is>
          <t>Chicago</t>
        </is>
      </c>
      <c r="G5" t="inlineStr">
        <is>
          <t>In Use</t>
        </is>
      </c>
      <c r="H5" t="n">
        <v>1895</v>
      </c>
    </row>
    <row r="6">
      <c r="A6" t="inlineStr">
        <is>
          <t>MD-00002</t>
        </is>
      </c>
      <c r="B6" t="inlineStr">
        <is>
          <t>MD-MO-050002</t>
        </is>
      </c>
      <c r="C6" t="inlineStr">
        <is>
          <t>Laptop</t>
        </is>
      </c>
      <c r="D6" t="inlineStr">
        <is>
          <t>Microsoft Surface Laptop 5</t>
        </is>
      </c>
      <c r="E6" t="inlineStr">
        <is>
          <t>E0002</t>
        </is>
      </c>
      <c r="F6" t="inlineStr">
        <is>
          <t>Dallas</t>
        </is>
      </c>
      <c r="G6" t="inlineStr">
        <is>
          <t>In Use</t>
        </is>
      </c>
      <c r="H6" t="n">
        <v>610</v>
      </c>
    </row>
    <row r="7">
      <c r="A7" t="inlineStr">
        <is>
          <t>MD-00003</t>
        </is>
      </c>
      <c r="B7" t="inlineStr">
        <is>
          <t>MD-MO-050003</t>
        </is>
      </c>
      <c r="C7" t="inlineStr">
        <is>
          <t>Laptop</t>
        </is>
      </c>
      <c r="D7" t="inlineStr">
        <is>
          <t>Lenovo ThinkPad X1 Carbon</t>
        </is>
      </c>
      <c r="E7" t="inlineStr">
        <is>
          <t>E0003</t>
        </is>
      </c>
      <c r="F7" t="inlineStr">
        <is>
          <t>Denver</t>
        </is>
      </c>
      <c r="G7" t="inlineStr">
        <is>
          <t>In Use</t>
        </is>
      </c>
      <c r="H7" t="n">
        <v>1085</v>
      </c>
    </row>
    <row r="8">
      <c r="A8" t="inlineStr">
        <is>
          <t>MD-00004</t>
        </is>
      </c>
      <c r="B8" t="inlineStr">
        <is>
          <t>MD-NE-050004</t>
        </is>
      </c>
      <c r="C8" t="inlineStr">
        <is>
          <t>Laptop</t>
        </is>
      </c>
      <c r="D8" t="inlineStr">
        <is>
          <t>Lenovo ThinkPad T14</t>
        </is>
      </c>
      <c r="E8" t="inlineStr">
        <is>
          <t>E0004</t>
        </is>
      </c>
      <c r="F8" t="inlineStr">
        <is>
          <t>New York</t>
        </is>
      </c>
      <c r="G8" t="inlineStr">
        <is>
          <t>In Use</t>
        </is>
      </c>
      <c r="H8" t="n">
        <v>6380</v>
      </c>
    </row>
    <row r="9">
      <c r="A9" t="inlineStr">
        <is>
          <t>MD-00005</t>
        </is>
      </c>
      <c r="B9" t="inlineStr">
        <is>
          <t>MD-LA-050005</t>
        </is>
      </c>
      <c r="C9" t="inlineStr">
        <is>
          <t>Laptop</t>
        </is>
      </c>
      <c r="D9" t="inlineStr">
        <is>
          <t>MacBook Pro 14</t>
        </is>
      </c>
      <c r="E9" t="inlineStr">
        <is>
          <t>E0005</t>
        </is>
      </c>
      <c r="F9" t="inlineStr">
        <is>
          <t>Seattle</t>
        </is>
      </c>
      <c r="G9" t="inlineStr">
        <is>
          <t>In Use</t>
        </is>
      </c>
      <c r="H9" t="n">
        <v>2075</v>
      </c>
    </row>
    <row r="10">
      <c r="A10" t="inlineStr">
        <is>
          <t>MD-00006</t>
        </is>
      </c>
      <c r="B10" t="inlineStr">
        <is>
          <t>MD-MO-050006</t>
        </is>
      </c>
      <c r="C10" t="inlineStr">
        <is>
          <t>Laptop</t>
        </is>
      </c>
      <c r="D10" t="inlineStr">
        <is>
          <t>Dell Latitude 7440</t>
        </is>
      </c>
      <c r="E10" t="inlineStr">
        <is>
          <t>E0006</t>
        </is>
      </c>
      <c r="F10" t="inlineStr">
        <is>
          <t>Atlanta</t>
        </is>
      </c>
      <c r="G10" t="inlineStr">
        <is>
          <t>In Use</t>
        </is>
      </c>
      <c r="H10" t="n">
        <v>790</v>
      </c>
    </row>
    <row r="11">
      <c r="A11" t="inlineStr">
        <is>
          <t>MD-00007</t>
        </is>
      </c>
      <c r="B11" t="inlineStr">
        <is>
          <t>MD-MO-050007</t>
        </is>
      </c>
      <c r="C11" t="inlineStr">
        <is>
          <t>Laptop</t>
        </is>
      </c>
      <c r="D11" t="inlineStr">
        <is>
          <t>HP EliteBook 840 G10</t>
        </is>
      </c>
      <c r="E11" t="inlineStr">
        <is>
          <t>E0007</t>
        </is>
      </c>
      <c r="F11" t="inlineStr">
        <is>
          <t>Chicago</t>
        </is>
      </c>
      <c r="G11" t="inlineStr">
        <is>
          <t>In Use</t>
        </is>
      </c>
      <c r="H11" t="n">
        <v>950</v>
      </c>
    </row>
    <row r="12">
      <c r="A12" t="inlineStr">
        <is>
          <t>MD-00008</t>
        </is>
      </c>
      <c r="B12" t="inlineStr">
        <is>
          <t>MD-NE-050008</t>
        </is>
      </c>
      <c r="C12" t="inlineStr">
        <is>
          <t>Monitor</t>
        </is>
      </c>
      <c r="D12" t="inlineStr">
        <is>
          <t>Samsung ViewFinity S8</t>
        </is>
      </c>
      <c r="E12" t="inlineStr">
        <is>
          <t>E0008</t>
        </is>
      </c>
      <c r="F12" t="inlineStr">
        <is>
          <t>Dallas</t>
        </is>
      </c>
      <c r="G12" t="inlineStr">
        <is>
          <t>In Use</t>
        </is>
      </c>
      <c r="H12" t="n">
        <v>6245</v>
      </c>
    </row>
    <row r="13">
      <c r="A13" t="inlineStr">
        <is>
          <t>MD-00009</t>
        </is>
      </c>
      <c r="B13" t="inlineStr">
        <is>
          <t>MD-LA-050009</t>
        </is>
      </c>
      <c r="C13" t="inlineStr">
        <is>
          <t>Monitor</t>
        </is>
      </c>
      <c r="D13" t="inlineStr">
        <is>
          <t>BenQ PD2705U</t>
        </is>
      </c>
      <c r="E13" t="inlineStr">
        <is>
          <t>E0009</t>
        </is>
      </c>
      <c r="F13" t="inlineStr">
        <is>
          <t>Denver</t>
        </is>
      </c>
      <c r="G13" t="inlineStr">
        <is>
          <t>In Use</t>
        </is>
      </c>
      <c r="H13" t="n">
        <v>1940</v>
      </c>
    </row>
    <row r="14">
      <c r="A14" t="inlineStr">
        <is>
          <t>MD-00010</t>
        </is>
      </c>
      <c r="B14" t="inlineStr">
        <is>
          <t>MD-MO-050010</t>
        </is>
      </c>
      <c r="C14" t="inlineStr">
        <is>
          <t>Monitor</t>
        </is>
      </c>
      <c r="D14" t="inlineStr">
        <is>
          <t>Dell U2723QE</t>
        </is>
      </c>
      <c r="E14" t="inlineStr">
        <is>
          <t>E0010</t>
        </is>
      </c>
      <c r="F14" t="inlineStr">
        <is>
          <t>New York</t>
        </is>
      </c>
      <c r="G14" t="inlineStr">
        <is>
          <t>In Use</t>
        </is>
      </c>
      <c r="H14" t="n">
        <v>655</v>
      </c>
    </row>
    <row r="15">
      <c r="A15" t="inlineStr">
        <is>
          <t>MD-00011</t>
        </is>
      </c>
      <c r="B15" t="inlineStr">
        <is>
          <t>MD-MO-050011</t>
        </is>
      </c>
      <c r="C15" t="inlineStr">
        <is>
          <t>Monitor</t>
        </is>
      </c>
      <c r="D15" t="inlineStr">
        <is>
          <t>LG UltraFine 27MD5KL</t>
        </is>
      </c>
      <c r="E15" t="inlineStr">
        <is>
          <t>E0011</t>
        </is>
      </c>
      <c r="F15" t="inlineStr">
        <is>
          <t>Seattle</t>
        </is>
      </c>
      <c r="G15" t="inlineStr">
        <is>
          <t>In Use</t>
        </is>
      </c>
      <c r="H15" t="n">
        <v>1130</v>
      </c>
    </row>
    <row r="16">
      <c r="A16" t="inlineStr">
        <is>
          <t>MD-00012</t>
        </is>
      </c>
      <c r="B16" t="inlineStr">
        <is>
          <t>MD-NE-050012</t>
        </is>
      </c>
      <c r="C16" t="inlineStr">
        <is>
          <t>Monitor</t>
        </is>
      </c>
      <c r="D16" t="inlineStr">
        <is>
          <t>Samsung ViewFinity S8</t>
        </is>
      </c>
      <c r="E16" t="inlineStr">
        <is>
          <t>E0012</t>
        </is>
      </c>
      <c r="F16" t="inlineStr">
        <is>
          <t>Atlanta</t>
        </is>
      </c>
      <c r="G16" t="inlineStr">
        <is>
          <t>In Use</t>
        </is>
      </c>
      <c r="H16" t="n">
        <v>6425</v>
      </c>
    </row>
    <row r="17">
      <c r="A17" t="inlineStr">
        <is>
          <t>MD-00013</t>
        </is>
      </c>
      <c r="B17" t="inlineStr">
        <is>
          <t>MD-LA-050013</t>
        </is>
      </c>
      <c r="C17" t="inlineStr">
        <is>
          <t>Monitor</t>
        </is>
      </c>
      <c r="D17" t="inlineStr">
        <is>
          <t>BenQ PD2705U</t>
        </is>
      </c>
      <c r="E17" t="inlineStr">
        <is>
          <t>E0013</t>
        </is>
      </c>
      <c r="F17" t="inlineStr">
        <is>
          <t>Chicago</t>
        </is>
      </c>
      <c r="G17" t="inlineStr">
        <is>
          <t>In Use</t>
        </is>
      </c>
      <c r="H17" t="n">
        <v>2120</v>
      </c>
    </row>
    <row r="18">
      <c r="A18" t="inlineStr">
        <is>
          <t>MD-00014</t>
        </is>
      </c>
      <c r="B18" t="inlineStr">
        <is>
          <t>MD-MO-050014</t>
        </is>
      </c>
      <c r="C18" t="inlineStr">
        <is>
          <t>Monitor</t>
        </is>
      </c>
      <c r="D18" t="inlineStr">
        <is>
          <t>Dell P2422H</t>
        </is>
      </c>
      <c r="E18" t="inlineStr">
        <is>
          <t>E0014</t>
        </is>
      </c>
      <c r="F18" t="inlineStr">
        <is>
          <t>Dallas</t>
        </is>
      </c>
      <c r="G18" t="inlineStr">
        <is>
          <t>In Use</t>
        </is>
      </c>
      <c r="H18" t="n">
        <v>520</v>
      </c>
    </row>
    <row r="19">
      <c r="A19" t="inlineStr">
        <is>
          <t>MD-00015</t>
        </is>
      </c>
      <c r="B19" t="inlineStr">
        <is>
          <t>MD-MO-050015</t>
        </is>
      </c>
      <c r="C19" t="inlineStr">
        <is>
          <t>Monitor</t>
        </is>
      </c>
      <c r="D19" t="inlineStr">
        <is>
          <t>Dell U2723QE</t>
        </is>
      </c>
      <c r="E19" t="inlineStr">
        <is>
          <t>E0015</t>
        </is>
      </c>
      <c r="F19" t="inlineStr">
        <is>
          <t>Denver</t>
        </is>
      </c>
      <c r="G19" t="inlineStr">
        <is>
          <t>In Use</t>
        </is>
      </c>
      <c r="H19" t="n">
        <v>995</v>
      </c>
    </row>
    <row r="20">
      <c r="A20" t="inlineStr">
        <is>
          <t>MD-00016</t>
        </is>
      </c>
      <c r="B20" t="inlineStr">
        <is>
          <t>MD-NE-050016</t>
        </is>
      </c>
      <c r="C20" t="inlineStr">
        <is>
          <t>Monitor</t>
        </is>
      </c>
      <c r="D20" t="inlineStr">
        <is>
          <t>LG UltraFine 27MD5KL</t>
        </is>
      </c>
      <c r="E20" t="inlineStr">
        <is>
          <t>E0016</t>
        </is>
      </c>
      <c r="F20" t="inlineStr">
        <is>
          <t>New York</t>
        </is>
      </c>
      <c r="G20" t="inlineStr">
        <is>
          <t>In Use</t>
        </is>
      </c>
      <c r="H20" t="n">
        <v>6290</v>
      </c>
    </row>
    <row r="21">
      <c r="A21" t="inlineStr">
        <is>
          <t>MD-00017</t>
        </is>
      </c>
      <c r="B21" t="inlineStr">
        <is>
          <t>MD-LA-050017</t>
        </is>
      </c>
      <c r="C21" t="inlineStr">
        <is>
          <t>Monitor</t>
        </is>
      </c>
      <c r="D21" t="inlineStr">
        <is>
          <t>Samsung ViewFinity S8</t>
        </is>
      </c>
      <c r="E21" t="inlineStr">
        <is>
          <t>E0017</t>
        </is>
      </c>
      <c r="F21" t="inlineStr">
        <is>
          <t>Seattle</t>
        </is>
      </c>
      <c r="G21" t="inlineStr">
        <is>
          <t>In Use</t>
        </is>
      </c>
      <c r="H21" t="n">
        <v>1985</v>
      </c>
    </row>
    <row r="22">
      <c r="A22" t="inlineStr">
        <is>
          <t>MD-00018</t>
        </is>
      </c>
      <c r="B22" t="inlineStr">
        <is>
          <t>MD-MO-050018</t>
        </is>
      </c>
      <c r="C22" t="inlineStr">
        <is>
          <t>Monitor</t>
        </is>
      </c>
      <c r="D22" t="inlineStr">
        <is>
          <t>BenQ PD2705U</t>
        </is>
      </c>
      <c r="E22" t="inlineStr">
        <is>
          <t>E0018</t>
        </is>
      </c>
      <c r="F22" t="inlineStr">
        <is>
          <t>Atlanta</t>
        </is>
      </c>
      <c r="G22" t="inlineStr">
        <is>
          <t>In Use</t>
        </is>
      </c>
      <c r="H22" t="n">
        <v>700</v>
      </c>
    </row>
    <row r="23">
      <c r="A23" t="inlineStr">
        <is>
          <t>MD-00019</t>
        </is>
      </c>
      <c r="B23" t="inlineStr">
        <is>
          <t>MD-MO-050019</t>
        </is>
      </c>
      <c r="C23" t="inlineStr">
        <is>
          <t>Monitor</t>
        </is>
      </c>
      <c r="D23" t="inlineStr">
        <is>
          <t>Dell P2422H</t>
        </is>
      </c>
      <c r="E23" t="inlineStr">
        <is>
          <t>E0019</t>
        </is>
      </c>
      <c r="F23" t="inlineStr">
        <is>
          <t>Chicago</t>
        </is>
      </c>
      <c r="G23" t="inlineStr">
        <is>
          <t>In Use</t>
        </is>
      </c>
      <c r="H23" t="n">
        <v>1175</v>
      </c>
    </row>
    <row r="24">
      <c r="A24" t="inlineStr">
        <is>
          <t>MD-00020</t>
        </is>
      </c>
      <c r="B24" t="inlineStr">
        <is>
          <t>MD-NE-050020</t>
        </is>
      </c>
      <c r="C24" t="inlineStr">
        <is>
          <t>Monitor</t>
        </is>
      </c>
      <c r="D24" t="inlineStr">
        <is>
          <t>LG UltraFine 27MD5KL</t>
        </is>
      </c>
      <c r="E24" t="inlineStr">
        <is>
          <t>E0020</t>
        </is>
      </c>
      <c r="F24" t="inlineStr">
        <is>
          <t>Dallas</t>
        </is>
      </c>
      <c r="G24" t="inlineStr">
        <is>
          <t>In Use</t>
        </is>
      </c>
      <c r="H24" t="n">
        <v>6470</v>
      </c>
    </row>
    <row r="25">
      <c r="A25" t="inlineStr">
        <is>
          <t>MD-00021</t>
        </is>
      </c>
      <c r="B25" t="inlineStr">
        <is>
          <t>MD-LA-050021</t>
        </is>
      </c>
      <c r="C25" t="inlineStr">
        <is>
          <t>Monitor</t>
        </is>
      </c>
      <c r="D25" t="inlineStr">
        <is>
          <t>Samsung ViewFinity S8</t>
        </is>
      </c>
      <c r="E25" t="inlineStr">
        <is>
          <t>E0021</t>
        </is>
      </c>
      <c r="F25" t="inlineStr">
        <is>
          <t>Denver</t>
        </is>
      </c>
      <c r="G25" t="inlineStr">
        <is>
          <t>In Use</t>
        </is>
      </c>
      <c r="H25" t="n">
        <v>1850</v>
      </c>
    </row>
    <row r="26">
      <c r="A26" t="inlineStr">
        <is>
          <t>MD-00022</t>
        </is>
      </c>
      <c r="B26" t="inlineStr">
        <is>
          <t>MD-MO-050022</t>
        </is>
      </c>
      <c r="C26" t="inlineStr">
        <is>
          <t>Monitor</t>
        </is>
      </c>
      <c r="D26" t="inlineStr">
        <is>
          <t>BenQ PD2705U</t>
        </is>
      </c>
      <c r="E26" t="inlineStr">
        <is>
          <t>E0022</t>
        </is>
      </c>
      <c r="F26" t="inlineStr">
        <is>
          <t>New York</t>
        </is>
      </c>
      <c r="G26" t="inlineStr">
        <is>
          <t>In Use</t>
        </is>
      </c>
      <c r="H26" t="n">
        <v>565</v>
      </c>
    </row>
    <row r="27">
      <c r="A27" t="inlineStr">
        <is>
          <t>MD-00023</t>
        </is>
      </c>
      <c r="B27" t="inlineStr">
        <is>
          <t>MD-MO-050023</t>
        </is>
      </c>
      <c r="C27" t="inlineStr">
        <is>
          <t>Monitor</t>
        </is>
      </c>
      <c r="D27" t="inlineStr">
        <is>
          <t>Dell P2422H</t>
        </is>
      </c>
      <c r="E27" t="inlineStr">
        <is>
          <t>E0023</t>
        </is>
      </c>
      <c r="F27" t="inlineStr">
        <is>
          <t>Seattle</t>
        </is>
      </c>
      <c r="G27" t="inlineStr">
        <is>
          <t>In Use</t>
        </is>
      </c>
      <c r="H27" t="n">
        <v>1040</v>
      </c>
    </row>
    <row r="28">
      <c r="A28" t="inlineStr">
        <is>
          <t>MD-00024</t>
        </is>
      </c>
      <c r="B28" t="inlineStr">
        <is>
          <t>MD-NE-050024</t>
        </is>
      </c>
      <c r="C28" t="inlineStr">
        <is>
          <t>Monitor</t>
        </is>
      </c>
      <c r="D28" t="inlineStr">
        <is>
          <t>Dell U2723QE</t>
        </is>
      </c>
      <c r="E28" t="inlineStr">
        <is>
          <t>E0024</t>
        </is>
      </c>
      <c r="F28" t="inlineStr">
        <is>
          <t>Atlanta</t>
        </is>
      </c>
      <c r="G28" t="inlineStr">
        <is>
          <t>In Use</t>
        </is>
      </c>
      <c r="H28" t="n">
        <v>6335</v>
      </c>
    </row>
    <row r="29">
      <c r="A29" t="inlineStr">
        <is>
          <t>MD-00025</t>
        </is>
      </c>
      <c r="B29" t="inlineStr">
        <is>
          <t>MD-LA-050021</t>
        </is>
      </c>
      <c r="C29" t="inlineStr">
        <is>
          <t>Monitor</t>
        </is>
      </c>
      <c r="D29" t="inlineStr">
        <is>
          <t>LG UltraFine 27MD5KL</t>
        </is>
      </c>
      <c r="E29" t="inlineStr">
        <is>
          <t>E0025</t>
        </is>
      </c>
      <c r="F29" t="inlineStr">
        <is>
          <t>Denver - Closed</t>
        </is>
      </c>
      <c r="G29" t="inlineStr">
        <is>
          <t>In Use</t>
        </is>
      </c>
      <c r="H29" t="n">
        <v>2030</v>
      </c>
    </row>
    <row r="30">
      <c r="A30" t="inlineStr">
        <is>
          <t>MD-00026</t>
        </is>
      </c>
      <c r="B30" t="inlineStr">
        <is>
          <t>MD-MO-050026</t>
        </is>
      </c>
      <c r="C30" t="inlineStr">
        <is>
          <t>Monitor</t>
        </is>
      </c>
      <c r="D30" t="inlineStr">
        <is>
          <t>Samsung ViewFinity S8</t>
        </is>
      </c>
      <c r="E30" t="inlineStr">
        <is>
          <t>E0026</t>
        </is>
      </c>
      <c r="F30" t="inlineStr">
        <is>
          <t>Chicago - Closed</t>
        </is>
      </c>
      <c r="G30" t="inlineStr">
        <is>
          <t>In Use</t>
        </is>
      </c>
      <c r="H30" t="n">
        <v>745</v>
      </c>
    </row>
    <row r="31">
      <c r="A31" t="inlineStr">
        <is>
          <t>MD-00027</t>
        </is>
      </c>
      <c r="B31" t="inlineStr">
        <is>
          <t>MD-MO-050027</t>
        </is>
      </c>
      <c r="C31" t="inlineStr">
        <is>
          <t>Monitor</t>
        </is>
      </c>
      <c r="D31" t="inlineStr">
        <is>
          <t>BenQ PD2705U</t>
        </is>
      </c>
      <c r="E31" t="inlineStr">
        <is>
          <t>E0027</t>
        </is>
      </c>
      <c r="F31" t="inlineStr">
        <is>
          <t>Denver - Closed</t>
        </is>
      </c>
      <c r="G31" t="inlineStr">
        <is>
          <t>In Use</t>
        </is>
      </c>
      <c r="H31" t="n">
        <v>1220</v>
      </c>
    </row>
    <row r="32">
      <c r="A32" t="inlineStr">
        <is>
          <t>MD-00028</t>
        </is>
      </c>
      <c r="B32" t="inlineStr">
        <is>
          <t>MD-NE-050028</t>
        </is>
      </c>
      <c r="C32" t="inlineStr">
        <is>
          <t>Monitor</t>
        </is>
      </c>
      <c r="D32" t="inlineStr">
        <is>
          <t>Dell P2422H</t>
        </is>
      </c>
      <c r="E32" t="inlineStr">
        <is>
          <t>E0028</t>
        </is>
      </c>
      <c r="F32" t="inlineStr">
        <is>
          <t>Chicago - Closed</t>
        </is>
      </c>
      <c r="G32" t="inlineStr">
        <is>
          <t>In Use</t>
        </is>
      </c>
      <c r="H32" t="n">
        <v>6200</v>
      </c>
    </row>
    <row r="33">
      <c r="A33" t="inlineStr">
        <is>
          <t>MD-00029</t>
        </is>
      </c>
      <c r="B33" t="inlineStr">
        <is>
          <t>MD-LA-050029</t>
        </is>
      </c>
      <c r="C33" t="inlineStr">
        <is>
          <t>Monitor</t>
        </is>
      </c>
      <c r="D33" t="inlineStr">
        <is>
          <t>Dell U2723QE</t>
        </is>
      </c>
      <c r="E33" t="inlineStr">
        <is>
          <t>E0029</t>
        </is>
      </c>
      <c r="F33" t="inlineStr">
        <is>
          <t>Denver - Closed</t>
        </is>
      </c>
      <c r="G33" t="inlineStr">
        <is>
          <t>In Use</t>
        </is>
      </c>
      <c r="H33" t="n">
        <v>1895</v>
      </c>
    </row>
    <row r="34">
      <c r="A34" t="inlineStr">
        <is>
          <t>MD-00030</t>
        </is>
      </c>
      <c r="B34" t="inlineStr">
        <is>
          <t>MD-MO-050030</t>
        </is>
      </c>
      <c r="C34" t="inlineStr">
        <is>
          <t>Monitor</t>
        </is>
      </c>
      <c r="D34" t="inlineStr">
        <is>
          <t>Samsung ViewFinity S8</t>
        </is>
      </c>
      <c r="E34" t="inlineStr">
        <is>
          <t>E0030</t>
        </is>
      </c>
      <c r="F34" t="inlineStr">
        <is>
          <t>Chicago - Closed</t>
        </is>
      </c>
      <c r="G34" t="inlineStr">
        <is>
          <t>In Use</t>
        </is>
      </c>
      <c r="H34" t="n">
        <v>610</v>
      </c>
    </row>
    <row r="35">
      <c r="A35" t="inlineStr">
        <is>
          <t>MD-00031</t>
        </is>
      </c>
      <c r="B35" t="inlineStr">
        <is>
          <t>MD-MO-050031</t>
        </is>
      </c>
      <c r="C35" t="inlineStr">
        <is>
          <t>Monitor</t>
        </is>
      </c>
      <c r="D35" t="inlineStr">
        <is>
          <t>BenQ PD2705U</t>
        </is>
      </c>
      <c r="E35" t="inlineStr">
        <is>
          <t>E0031</t>
        </is>
      </c>
      <c r="F35" t="inlineStr">
        <is>
          <t>Denver - Closed</t>
        </is>
      </c>
      <c r="G35" t="inlineStr">
        <is>
          <t>In Use</t>
        </is>
      </c>
      <c r="H35" t="n">
        <v>1085</v>
      </c>
    </row>
    <row r="36">
      <c r="A36" t="inlineStr">
        <is>
          <t>MD-00032</t>
        </is>
      </c>
      <c r="B36" t="inlineStr">
        <is>
          <t>MD-NE-050032</t>
        </is>
      </c>
      <c r="C36" t="inlineStr">
        <is>
          <t>Monitor</t>
        </is>
      </c>
      <c r="D36" t="inlineStr">
        <is>
          <t>Dell P2422H</t>
        </is>
      </c>
      <c r="E36" t="inlineStr">
        <is>
          <t>E0032</t>
        </is>
      </c>
      <c r="F36" t="inlineStr">
        <is>
          <t>Chicago - Closed</t>
        </is>
      </c>
      <c r="G36" t="inlineStr">
        <is>
          <t>In Use</t>
        </is>
      </c>
      <c r="H36" t="n">
        <v>6380</v>
      </c>
    </row>
    <row r="37">
      <c r="A37" t="inlineStr">
        <is>
          <t>MD-00033</t>
        </is>
      </c>
      <c r="B37" t="inlineStr">
        <is>
          <t>MD-LA-050033</t>
        </is>
      </c>
      <c r="C37" t="inlineStr">
        <is>
          <t>Monitor</t>
        </is>
      </c>
      <c r="D37" t="inlineStr">
        <is>
          <t>Dell U2723QE</t>
        </is>
      </c>
      <c r="E37" t="inlineStr">
        <is>
          <t>E0033</t>
        </is>
      </c>
      <c r="F37" t="inlineStr">
        <is>
          <t>Denver - Closed</t>
        </is>
      </c>
      <c r="G37" t="inlineStr">
        <is>
          <t>In Use</t>
        </is>
      </c>
      <c r="H37" t="n">
        <v>2075</v>
      </c>
    </row>
    <row r="38">
      <c r="A38" t="inlineStr">
        <is>
          <t>MD-00034</t>
        </is>
      </c>
      <c r="B38" t="inlineStr">
        <is>
          <t>MD-MO-050034</t>
        </is>
      </c>
      <c r="C38" t="inlineStr">
        <is>
          <t>Monitor</t>
        </is>
      </c>
      <c r="D38" t="inlineStr">
        <is>
          <t>LG UltraFine 27MD5KL</t>
        </is>
      </c>
      <c r="E38" t="inlineStr">
        <is>
          <t>E0034</t>
        </is>
      </c>
      <c r="F38" t="inlineStr">
        <is>
          <t>Chicago - Closed</t>
        </is>
      </c>
      <c r="G38" t="inlineStr">
        <is>
          <t>In Use</t>
        </is>
      </c>
      <c r="H38" t="n">
        <v>790</v>
      </c>
    </row>
    <row r="39">
      <c r="A39" t="inlineStr">
        <is>
          <t>MD-00035</t>
        </is>
      </c>
      <c r="B39" t="inlineStr">
        <is>
          <t>MD-MO-050035</t>
        </is>
      </c>
      <c r="C39" t="inlineStr">
        <is>
          <t>Monitor</t>
        </is>
      </c>
      <c r="D39" t="inlineStr">
        <is>
          <t>Samsung ViewFinity S8</t>
        </is>
      </c>
      <c r="E39" t="inlineStr">
        <is>
          <t>E0035</t>
        </is>
      </c>
      <c r="F39" t="inlineStr">
        <is>
          <t>Denver - Closed</t>
        </is>
      </c>
      <c r="G39" t="inlineStr">
        <is>
          <t>In Use</t>
        </is>
      </c>
      <c r="H39" t="n">
        <v>950</v>
      </c>
    </row>
    <row r="40">
      <c r="A40" t="inlineStr">
        <is>
          <t>MD-00036</t>
        </is>
      </c>
      <c r="B40" t="inlineStr">
        <is>
          <t>MD-NE-050036</t>
        </is>
      </c>
      <c r="C40" t="inlineStr">
        <is>
          <t>Mobile Device</t>
        </is>
      </c>
      <c r="D40" t="inlineStr">
        <is>
          <t>Samsung Galaxy S23 FE</t>
        </is>
      </c>
      <c r="E40" t="inlineStr">
        <is>
          <t>E0036</t>
        </is>
      </c>
      <c r="F40" t="inlineStr">
        <is>
          <t>Chicago - Closed</t>
        </is>
      </c>
      <c r="G40" t="inlineStr">
        <is>
          <t>In Use</t>
        </is>
      </c>
      <c r="H40" t="n">
        <v>6245</v>
      </c>
    </row>
    <row r="41">
      <c r="A41" t="inlineStr">
        <is>
          <t>MD-00037</t>
        </is>
      </c>
      <c r="B41" t="inlineStr">
        <is>
          <t>MD-LA-050037</t>
        </is>
      </c>
      <c r="C41" t="inlineStr">
        <is>
          <t>Mobile Device</t>
        </is>
      </c>
      <c r="D41" t="inlineStr">
        <is>
          <t>iPhone 14</t>
        </is>
      </c>
      <c r="E41" t="inlineStr">
        <is>
          <t>E0037</t>
        </is>
      </c>
      <c r="F41" t="inlineStr">
        <is>
          <t>Denver - Closed</t>
        </is>
      </c>
      <c r="G41" t="inlineStr">
        <is>
          <t>In Use</t>
        </is>
      </c>
      <c r="H41" t="n">
        <v>1940</v>
      </c>
    </row>
    <row r="42">
      <c r="A42" t="inlineStr">
        <is>
          <t>MD-00038</t>
        </is>
      </c>
      <c r="B42" t="inlineStr">
        <is>
          <t>MD-MO-050038</t>
        </is>
      </c>
      <c r="C42" t="inlineStr">
        <is>
          <t>Mobile Device</t>
        </is>
      </c>
      <c r="D42" t="inlineStr">
        <is>
          <t>Samsung Galaxy S24</t>
        </is>
      </c>
      <c r="E42" t="inlineStr">
        <is>
          <t>E0038</t>
        </is>
      </c>
      <c r="F42" t="inlineStr">
        <is>
          <t>Chicago - Closed</t>
        </is>
      </c>
      <c r="G42" t="inlineStr">
        <is>
          <t>In Use</t>
        </is>
      </c>
      <c r="H42" t="n">
        <v>655</v>
      </c>
    </row>
    <row r="43">
      <c r="A43" t="inlineStr">
        <is>
          <t>MD-00039</t>
        </is>
      </c>
      <c r="B43" t="inlineStr">
        <is>
          <t>MD-MO-050039</t>
        </is>
      </c>
      <c r="C43" t="inlineStr">
        <is>
          <t>Mobile Device</t>
        </is>
      </c>
      <c r="D43" t="inlineStr">
        <is>
          <t>iPhone 15</t>
        </is>
      </c>
      <c r="E43" t="inlineStr">
        <is>
          <t>E0039</t>
        </is>
      </c>
      <c r="F43" t="inlineStr">
        <is>
          <t>Denver - Closed</t>
        </is>
      </c>
      <c r="G43" t="inlineStr">
        <is>
          <t>In Use</t>
        </is>
      </c>
      <c r="H43" t="n">
        <v>1130</v>
      </c>
    </row>
    <row r="44">
      <c r="A44" t="inlineStr">
        <is>
          <t>MD-00040</t>
        </is>
      </c>
      <c r="B44" t="inlineStr">
        <is>
          <t>MD-NE-050040</t>
        </is>
      </c>
      <c r="C44" t="inlineStr">
        <is>
          <t>Mobile Device</t>
        </is>
      </c>
      <c r="D44" t="inlineStr">
        <is>
          <t>Samsung Galaxy S23 FE</t>
        </is>
      </c>
      <c r="E44" t="inlineStr">
        <is>
          <t>E0040</t>
        </is>
      </c>
      <c r="F44" t="inlineStr">
        <is>
          <t>Chicago - Closed</t>
        </is>
      </c>
      <c r="G44" t="inlineStr">
        <is>
          <t>In Use</t>
        </is>
      </c>
      <c r="H44" t="n">
        <v>6425</v>
      </c>
    </row>
    <row r="45">
      <c r="A45" t="inlineStr">
        <is>
          <t>MD-00041</t>
        </is>
      </c>
      <c r="B45" t="inlineStr">
        <is>
          <t>MD-LA-050041</t>
        </is>
      </c>
      <c r="C45" t="inlineStr">
        <is>
          <t>Mobile Device</t>
        </is>
      </c>
      <c r="D45" t="inlineStr">
        <is>
          <t>iPhone 14</t>
        </is>
      </c>
      <c r="E45" t="inlineStr">
        <is>
          <t>E0041</t>
        </is>
      </c>
      <c r="F45" t="inlineStr">
        <is>
          <t>Denver - Closed</t>
        </is>
      </c>
      <c r="G45" t="inlineStr">
        <is>
          <t>In Use</t>
        </is>
      </c>
      <c r="H45" t="n">
        <v>2120</v>
      </c>
    </row>
    <row r="46">
      <c r="A46" t="inlineStr">
        <is>
          <t>MD-00042</t>
        </is>
      </c>
      <c r="B46" t="inlineStr">
        <is>
          <t>MD-MO-050042</t>
        </is>
      </c>
      <c r="C46" t="inlineStr">
        <is>
          <t>Mobile Device</t>
        </is>
      </c>
      <c r="D46" t="inlineStr">
        <is>
          <t>Samsung Galaxy S24</t>
        </is>
      </c>
      <c r="E46" t="inlineStr">
        <is>
          <t>E0042</t>
        </is>
      </c>
      <c r="F46" t="inlineStr">
        <is>
          <t>Chicago - Closed</t>
        </is>
      </c>
      <c r="G46" t="inlineStr">
        <is>
          <t>In Use</t>
        </is>
      </c>
      <c r="H46" t="n">
        <v>520</v>
      </c>
    </row>
    <row r="47">
      <c r="A47" t="inlineStr">
        <is>
          <t>MD-00043</t>
        </is>
      </c>
      <c r="B47" t="inlineStr">
        <is>
          <t>MD-MO-050043</t>
        </is>
      </c>
      <c r="C47" t="inlineStr">
        <is>
          <t>Mobile Device</t>
        </is>
      </c>
      <c r="D47" t="inlineStr">
        <is>
          <t>iPhone 15</t>
        </is>
      </c>
      <c r="E47" t="inlineStr">
        <is>
          <t>E0043</t>
        </is>
      </c>
      <c r="F47" t="inlineStr">
        <is>
          <t>Denver - Closed</t>
        </is>
      </c>
      <c r="G47" t="inlineStr">
        <is>
          <t>In Use</t>
        </is>
      </c>
      <c r="H47" t="n">
        <v>995</v>
      </c>
    </row>
    <row r="48">
      <c r="A48" t="inlineStr">
        <is>
          <t>MD-00044</t>
        </is>
      </c>
      <c r="B48" t="inlineStr">
        <is>
          <t>MD-NE-050044</t>
        </is>
      </c>
      <c r="C48" t="inlineStr">
        <is>
          <t>Mobile Device</t>
        </is>
      </c>
      <c r="D48" t="inlineStr">
        <is>
          <t>Google Pixel 8</t>
        </is>
      </c>
      <c r="E48" t="inlineStr">
        <is>
          <t>E0044</t>
        </is>
      </c>
      <c r="F48" t="inlineStr">
        <is>
          <t>Chicago - Closed</t>
        </is>
      </c>
      <c r="G48" t="inlineStr">
        <is>
          <t>In Use</t>
        </is>
      </c>
      <c r="H48" t="n">
        <v>6290</v>
      </c>
    </row>
    <row r="49">
      <c r="A49" t="inlineStr">
        <is>
          <t>MD-00045</t>
        </is>
      </c>
      <c r="B49" t="inlineStr">
        <is>
          <t>MD-LA-050045</t>
        </is>
      </c>
      <c r="C49" t="inlineStr">
        <is>
          <t>Mobile Device</t>
        </is>
      </c>
      <c r="D49" t="inlineStr">
        <is>
          <t>Samsung Galaxy S23 FE</t>
        </is>
      </c>
      <c r="E49" t="inlineStr">
        <is>
          <t>E0045</t>
        </is>
      </c>
      <c r="F49" t="inlineStr">
        <is>
          <t>Denver - Closed</t>
        </is>
      </c>
      <c r="G49" t="inlineStr">
        <is>
          <t>In Use</t>
        </is>
      </c>
      <c r="H49" t="n">
        <v>1985</v>
      </c>
    </row>
    <row r="50">
      <c r="A50" t="inlineStr">
        <is>
          <t>MD-00046</t>
        </is>
      </c>
      <c r="B50" t="inlineStr">
        <is>
          <t>MD-MO-050046</t>
        </is>
      </c>
      <c r="C50" t="inlineStr">
        <is>
          <t>Mobile Device</t>
        </is>
      </c>
      <c r="D50" t="inlineStr">
        <is>
          <t>iPhone 14</t>
        </is>
      </c>
      <c r="F50" t="inlineStr">
        <is>
          <t>Chicago - Closed</t>
        </is>
      </c>
      <c r="G50" t="inlineStr">
        <is>
          <t>Available</t>
        </is>
      </c>
      <c r="H50" t="n">
        <v>700</v>
      </c>
    </row>
    <row r="51">
      <c r="A51" t="inlineStr">
        <is>
          <t>MD-00047</t>
        </is>
      </c>
      <c r="B51" t="inlineStr">
        <is>
          <t>MD-MO-050047</t>
        </is>
      </c>
      <c r="C51" t="inlineStr">
        <is>
          <t>Mobile Device</t>
        </is>
      </c>
      <c r="D51" t="inlineStr">
        <is>
          <t>Samsung Galaxy S24</t>
        </is>
      </c>
      <c r="F51" t="inlineStr">
        <is>
          <t>Denver - Closed</t>
        </is>
      </c>
      <c r="G51" t="inlineStr">
        <is>
          <t>Available</t>
        </is>
      </c>
      <c r="H51" t="n">
        <v>1175</v>
      </c>
    </row>
    <row r="52">
      <c r="A52" t="inlineStr">
        <is>
          <t>MD-00048</t>
        </is>
      </c>
      <c r="B52" t="inlineStr">
        <is>
          <t>MD-NE-050048</t>
        </is>
      </c>
      <c r="C52" t="inlineStr">
        <is>
          <t>Mobile Device</t>
        </is>
      </c>
      <c r="D52" t="inlineStr">
        <is>
          <t>iPhone 15</t>
        </is>
      </c>
      <c r="F52" t="inlineStr">
        <is>
          <t>Chicago - Closed</t>
        </is>
      </c>
      <c r="G52" t="inlineStr">
        <is>
          <t>Available</t>
        </is>
      </c>
      <c r="H52" t="n">
        <v>6470</v>
      </c>
    </row>
    <row r="53">
      <c r="A53" t="inlineStr">
        <is>
          <t>MD-00049</t>
        </is>
      </c>
      <c r="B53" t="inlineStr">
        <is>
          <t>MD-LA-050049</t>
        </is>
      </c>
      <c r="C53" t="inlineStr">
        <is>
          <t>Mobile Device</t>
        </is>
      </c>
      <c r="D53" t="inlineStr">
        <is>
          <t>Google Pixel 8</t>
        </is>
      </c>
      <c r="F53" t="inlineStr">
        <is>
          <t>Denver - Closed</t>
        </is>
      </c>
      <c r="G53" t="inlineStr">
        <is>
          <t>Available</t>
        </is>
      </c>
      <c r="H53" t="n">
        <v>1850</v>
      </c>
    </row>
    <row r="54">
      <c r="A54" t="inlineStr">
        <is>
          <t>MD-00050</t>
        </is>
      </c>
      <c r="B54" t="inlineStr">
        <is>
          <t>MD-MO-050050</t>
        </is>
      </c>
      <c r="C54" t="inlineStr">
        <is>
          <t>Mobile Device</t>
        </is>
      </c>
      <c r="D54" t="inlineStr">
        <is>
          <t>iPhone 14</t>
        </is>
      </c>
      <c r="F54" t="inlineStr">
        <is>
          <t>Chicago - Closed</t>
        </is>
      </c>
      <c r="G54" t="inlineStr">
        <is>
          <t>Available</t>
        </is>
      </c>
      <c r="H54" t="n">
        <v>565</v>
      </c>
    </row>
    <row r="55">
      <c r="A55" t="inlineStr">
        <is>
          <t>MD-00051</t>
        </is>
      </c>
      <c r="B55" t="inlineStr">
        <is>
          <t>MD-MO-050051</t>
        </is>
      </c>
      <c r="C55" t="inlineStr">
        <is>
          <t>Mobile Device</t>
        </is>
      </c>
      <c r="D55" t="inlineStr">
        <is>
          <t>Samsung Galaxy S24</t>
        </is>
      </c>
      <c r="F55" t="inlineStr">
        <is>
          <t>Denver - Closed</t>
        </is>
      </c>
      <c r="G55" t="inlineStr">
        <is>
          <t>Available</t>
        </is>
      </c>
      <c r="H55" t="n">
        <v>1040</v>
      </c>
    </row>
    <row r="56">
      <c r="A56" t="inlineStr">
        <is>
          <t>MD-00052</t>
        </is>
      </c>
      <c r="B56" t="inlineStr">
        <is>
          <t>MD-NE-050052</t>
        </is>
      </c>
      <c r="C56" t="inlineStr">
        <is>
          <t>Mobile Device</t>
        </is>
      </c>
      <c r="D56" t="inlineStr">
        <is>
          <t>iPhone 15</t>
        </is>
      </c>
      <c r="F56" t="inlineStr">
        <is>
          <t>Chicago - Closed</t>
        </is>
      </c>
      <c r="G56" t="inlineStr">
        <is>
          <t>Available</t>
        </is>
      </c>
      <c r="H56" t="n">
        <v>6335</v>
      </c>
    </row>
    <row r="57">
      <c r="A57" t="inlineStr">
        <is>
          <t>MD-00053</t>
        </is>
      </c>
      <c r="B57" t="inlineStr">
        <is>
          <t>MD-LA-050053</t>
        </is>
      </c>
      <c r="C57" t="inlineStr">
        <is>
          <t>Mobile Device</t>
        </is>
      </c>
      <c r="D57" t="inlineStr">
        <is>
          <t>Google Pixel 8</t>
        </is>
      </c>
      <c r="F57" t="inlineStr">
        <is>
          <t>Denver - Closed</t>
        </is>
      </c>
      <c r="G57" t="inlineStr">
        <is>
          <t>Available</t>
        </is>
      </c>
      <c r="H57" t="n">
        <v>2030</v>
      </c>
    </row>
    <row r="58">
      <c r="A58" t="inlineStr">
        <is>
          <t>MD-00054</t>
        </is>
      </c>
      <c r="B58" t="inlineStr">
        <is>
          <t>MD-MO-050054</t>
        </is>
      </c>
      <c r="C58" t="inlineStr">
        <is>
          <t>Mobile Device</t>
        </is>
      </c>
      <c r="D58" t="inlineStr">
        <is>
          <t>Samsung Galaxy S23 FE</t>
        </is>
      </c>
      <c r="F58" t="inlineStr">
        <is>
          <t>Chicago - Closed</t>
        </is>
      </c>
      <c r="G58" t="inlineStr">
        <is>
          <t>Available</t>
        </is>
      </c>
      <c r="H58" t="n">
        <v>745</v>
      </c>
    </row>
    <row r="59">
      <c r="A59" t="inlineStr">
        <is>
          <t>MD-00055</t>
        </is>
      </c>
      <c r="B59" t="inlineStr">
        <is>
          <t>MD-MO-050055</t>
        </is>
      </c>
      <c r="C59" t="inlineStr">
        <is>
          <t>Mobile Device</t>
        </is>
      </c>
      <c r="D59" t="inlineStr">
        <is>
          <t>iPhone 14</t>
        </is>
      </c>
      <c r="F59" t="inlineStr">
        <is>
          <t>Denver - Closed</t>
        </is>
      </c>
      <c r="G59" t="inlineStr">
        <is>
          <t>Available</t>
        </is>
      </c>
      <c r="H59" t="n">
        <v>1220</v>
      </c>
    </row>
    <row r="60">
      <c r="A60" t="inlineStr">
        <is>
          <t>MD-00056</t>
        </is>
      </c>
      <c r="B60" t="inlineStr">
        <is>
          <t>MD-NE-050056</t>
        </is>
      </c>
      <c r="C60" t="inlineStr">
        <is>
          <t>Mobile Device</t>
        </is>
      </c>
      <c r="D60" t="inlineStr">
        <is>
          <t>Samsung Galaxy S24</t>
        </is>
      </c>
      <c r="F60" t="inlineStr">
        <is>
          <t>Chicago - Closed</t>
        </is>
      </c>
      <c r="G60" t="inlineStr">
        <is>
          <t>Available</t>
        </is>
      </c>
      <c r="H60" t="n">
        <v>6200</v>
      </c>
    </row>
    <row r="61">
      <c r="A61" t="inlineStr">
        <is>
          <t>MD-00057</t>
        </is>
      </c>
      <c r="B61" t="inlineStr">
        <is>
          <t>MD-LA-050057</t>
        </is>
      </c>
      <c r="C61" t="inlineStr">
        <is>
          <t>Mobile Device</t>
        </is>
      </c>
      <c r="D61" t="inlineStr">
        <is>
          <t>iPhone 15</t>
        </is>
      </c>
      <c r="F61" t="inlineStr">
        <is>
          <t>Denver - Closed</t>
        </is>
      </c>
      <c r="G61" t="inlineStr">
        <is>
          <t>Available</t>
        </is>
      </c>
      <c r="H61" t="n">
        <v>1895</v>
      </c>
    </row>
    <row r="62">
      <c r="A62" t="inlineStr">
        <is>
          <t>MD-00058</t>
        </is>
      </c>
      <c r="B62" t="inlineStr">
        <is>
          <t>MD-MO-050058</t>
        </is>
      </c>
      <c r="C62" t="inlineStr">
        <is>
          <t>Mobile Device</t>
        </is>
      </c>
      <c r="D62" t="inlineStr">
        <is>
          <t>Google Pixel 8</t>
        </is>
      </c>
      <c r="E62" t="inlineStr">
        <is>
          <t>E0071</t>
        </is>
      </c>
      <c r="F62" t="inlineStr">
        <is>
          <t>Chicago - Closed</t>
        </is>
      </c>
      <c r="G62" t="inlineStr">
        <is>
          <t>Assigned</t>
        </is>
      </c>
      <c r="H62" t="n">
        <v>610</v>
      </c>
    </row>
    <row r="63">
      <c r="A63" t="inlineStr">
        <is>
          <t>MD-00059</t>
        </is>
      </c>
      <c r="B63" t="inlineStr">
        <is>
          <t>MD-MO-050059</t>
        </is>
      </c>
      <c r="C63" t="inlineStr">
        <is>
          <t>Mobile Device</t>
        </is>
      </c>
      <c r="D63" t="inlineStr">
        <is>
          <t>Samsung Galaxy S23 FE</t>
        </is>
      </c>
      <c r="E63" t="inlineStr">
        <is>
          <t>E0072</t>
        </is>
      </c>
      <c r="F63" t="inlineStr">
        <is>
          <t>Denver - Closed</t>
        </is>
      </c>
      <c r="G63" t="inlineStr">
        <is>
          <t>Assigned</t>
        </is>
      </c>
      <c r="H63" t="n">
        <v>1085</v>
      </c>
    </row>
    <row r="64">
      <c r="A64" t="inlineStr">
        <is>
          <t>MD-00060</t>
        </is>
      </c>
      <c r="B64" t="inlineStr">
        <is>
          <t>MD-NE-050060</t>
        </is>
      </c>
      <c r="C64" t="inlineStr">
        <is>
          <t>Mobile Device</t>
        </is>
      </c>
      <c r="D64" t="inlineStr">
        <is>
          <t>Samsung Galaxy S24</t>
        </is>
      </c>
      <c r="E64" t="inlineStr">
        <is>
          <t>E0073</t>
        </is>
      </c>
      <c r="F64" t="inlineStr">
        <is>
          <t>Chicago - Closed</t>
        </is>
      </c>
      <c r="G64" t="inlineStr">
        <is>
          <t>Assigned</t>
        </is>
      </c>
      <c r="H64" t="n">
        <v>6380</v>
      </c>
    </row>
    <row r="65">
      <c r="A65" t="inlineStr">
        <is>
          <t>MD-00061</t>
        </is>
      </c>
      <c r="B65" t="inlineStr">
        <is>
          <t>MD-LA-050061</t>
        </is>
      </c>
      <c r="C65" t="inlineStr">
        <is>
          <t>Mobile Device</t>
        </is>
      </c>
      <c r="D65" t="inlineStr">
        <is>
          <t>iPhone 15</t>
        </is>
      </c>
      <c r="E65" t="inlineStr">
        <is>
          <t>E0074</t>
        </is>
      </c>
      <c r="F65" t="inlineStr">
        <is>
          <t>Denver - Closed</t>
        </is>
      </c>
      <c r="G65" t="inlineStr">
        <is>
          <t>Assigned</t>
        </is>
      </c>
      <c r="H65" t="n">
        <v>2075</v>
      </c>
    </row>
    <row r="66">
      <c r="A66" t="inlineStr">
        <is>
          <t>MD-00062</t>
        </is>
      </c>
      <c r="B66" t="inlineStr">
        <is>
          <t>MD-MO-050062</t>
        </is>
      </c>
      <c r="C66" t="inlineStr">
        <is>
          <t>Mobile Device</t>
        </is>
      </c>
      <c r="D66" t="inlineStr">
        <is>
          <t>Google Pixel 8</t>
        </is>
      </c>
      <c r="E66" t="inlineStr">
        <is>
          <t>E0075</t>
        </is>
      </c>
      <c r="F66" t="inlineStr">
        <is>
          <t>Chicago - Closed</t>
        </is>
      </c>
      <c r="G66" t="inlineStr">
        <is>
          <t>Assigned</t>
        </is>
      </c>
      <c r="H66" t="n">
        <v>790</v>
      </c>
    </row>
    <row r="67">
      <c r="A67" t="inlineStr">
        <is>
          <t>MD-00063</t>
        </is>
      </c>
      <c r="B67" t="inlineStr">
        <is>
          <t>MD-MO-050063</t>
        </is>
      </c>
      <c r="C67" t="inlineStr">
        <is>
          <t>Mobile Device</t>
        </is>
      </c>
      <c r="D67" t="inlineStr">
        <is>
          <t>Samsung Galaxy S23 FE</t>
        </is>
      </c>
      <c r="E67" t="inlineStr">
        <is>
          <t>E0076</t>
        </is>
      </c>
      <c r="F67" t="inlineStr">
        <is>
          <t>Denver - Closed</t>
        </is>
      </c>
      <c r="G67" t="inlineStr">
        <is>
          <t>Assigned</t>
        </is>
      </c>
      <c r="H67" t="n">
        <v>950</v>
      </c>
    </row>
    <row r="68">
      <c r="A68" t="inlineStr">
        <is>
          <t>MD-00064</t>
        </is>
      </c>
      <c r="B68" t="inlineStr">
        <is>
          <t>MD-NE-050064</t>
        </is>
      </c>
      <c r="C68" t="inlineStr">
        <is>
          <t>Mobile Device</t>
        </is>
      </c>
      <c r="D68" t="inlineStr">
        <is>
          <t>iPhone 14</t>
        </is>
      </c>
      <c r="E68" t="inlineStr">
        <is>
          <t>E0077</t>
        </is>
      </c>
      <c r="F68" t="inlineStr">
        <is>
          <t>Chicago - Closed</t>
        </is>
      </c>
      <c r="G68" t="inlineStr">
        <is>
          <t>Assigned</t>
        </is>
      </c>
      <c r="H68" t="n">
        <v>6245</v>
      </c>
    </row>
    <row r="69">
      <c r="A69" t="inlineStr">
        <is>
          <t>MD-00065</t>
        </is>
      </c>
      <c r="B69" t="inlineStr">
        <is>
          <t>MD-LA-050065</t>
        </is>
      </c>
      <c r="C69" t="inlineStr">
        <is>
          <t>Mobile Device</t>
        </is>
      </c>
      <c r="D69" t="inlineStr">
        <is>
          <t>Samsung Galaxy S24</t>
        </is>
      </c>
      <c r="E69" t="inlineStr">
        <is>
          <t>E0078</t>
        </is>
      </c>
      <c r="F69" t="inlineStr">
        <is>
          <t>Denver - Closed</t>
        </is>
      </c>
      <c r="G69" t="inlineStr">
        <is>
          <t>Assigned</t>
        </is>
      </c>
      <c r="H69" t="n">
        <v>1940</v>
      </c>
    </row>
    <row r="70">
      <c r="A70" t="inlineStr">
        <is>
          <t>MD-00066</t>
        </is>
      </c>
      <c r="B70" t="inlineStr">
        <is>
          <t>MD-MO-050066</t>
        </is>
      </c>
      <c r="C70" t="inlineStr">
        <is>
          <t>Mobile Device</t>
        </is>
      </c>
      <c r="D70" t="inlineStr">
        <is>
          <t>iPhone 15</t>
        </is>
      </c>
      <c r="E70" t="inlineStr">
        <is>
          <t>E0079</t>
        </is>
      </c>
      <c r="F70" t="inlineStr">
        <is>
          <t>Chicago - Closed</t>
        </is>
      </c>
      <c r="G70" t="inlineStr">
        <is>
          <t>Assigned</t>
        </is>
      </c>
      <c r="H70" t="n">
        <v>655</v>
      </c>
    </row>
    <row r="71">
      <c r="A71" t="inlineStr">
        <is>
          <t>MD-00067</t>
        </is>
      </c>
      <c r="B71" t="inlineStr">
        <is>
          <t>MD-MO-050067</t>
        </is>
      </c>
      <c r="C71" t="inlineStr">
        <is>
          <t>Mobile Device</t>
        </is>
      </c>
      <c r="D71" t="inlineStr">
        <is>
          <t>Google Pixel 8</t>
        </is>
      </c>
      <c r="E71" t="inlineStr">
        <is>
          <t>E0080</t>
        </is>
      </c>
      <c r="F71" t="inlineStr">
        <is>
          <t>Denver - Closed</t>
        </is>
      </c>
      <c r="G71" t="inlineStr">
        <is>
          <t>Assigned</t>
        </is>
      </c>
      <c r="H71" t="n">
        <v>1130</v>
      </c>
    </row>
    <row r="72">
      <c r="A72" t="inlineStr">
        <is>
          <t>MD-00068</t>
        </is>
      </c>
      <c r="B72" t="inlineStr">
        <is>
          <t>MD-NE-050068</t>
        </is>
      </c>
      <c r="C72" t="inlineStr">
        <is>
          <t>Mobile Device</t>
        </is>
      </c>
      <c r="D72" t="inlineStr">
        <is>
          <t>Samsung Galaxy S23 FE</t>
        </is>
      </c>
      <c r="E72" t="inlineStr">
        <is>
          <t>E0081</t>
        </is>
      </c>
      <c r="F72" t="inlineStr">
        <is>
          <t>Chicago - Closed</t>
        </is>
      </c>
      <c r="G72" t="inlineStr">
        <is>
          <t>Assigned</t>
        </is>
      </c>
      <c r="H72" t="n">
        <v>6425</v>
      </c>
    </row>
    <row r="73">
      <c r="A73" t="inlineStr">
        <is>
          <t>MD-00069</t>
        </is>
      </c>
      <c r="B73" t="inlineStr">
        <is>
          <t>MD-LA-050069</t>
        </is>
      </c>
      <c r="C73" t="inlineStr">
        <is>
          <t>Mobile Device</t>
        </is>
      </c>
      <c r="D73" t="inlineStr">
        <is>
          <t>iPhone 14</t>
        </is>
      </c>
      <c r="E73" t="inlineStr">
        <is>
          <t>E0082</t>
        </is>
      </c>
      <c r="F73" t="inlineStr">
        <is>
          <t>Denver - Closed</t>
        </is>
      </c>
      <c r="G73" t="inlineStr">
        <is>
          <t>Assigned</t>
        </is>
      </c>
      <c r="H73" t="n">
        <v>2120</v>
      </c>
    </row>
    <row r="74">
      <c r="A74" t="inlineStr">
        <is>
          <t>MD-00070</t>
        </is>
      </c>
      <c r="B74" t="inlineStr">
        <is>
          <t>MD-MO-050070</t>
        </is>
      </c>
      <c r="C74" t="inlineStr">
        <is>
          <t>Mobile Device</t>
        </is>
      </c>
      <c r="D74" t="inlineStr">
        <is>
          <t>iPhone 15</t>
        </is>
      </c>
      <c r="E74" t="inlineStr">
        <is>
          <t>E0083</t>
        </is>
      </c>
      <c r="F74" t="inlineStr">
        <is>
          <t>Chicago - Closed</t>
        </is>
      </c>
      <c r="G74" t="inlineStr">
        <is>
          <t>Assigned</t>
        </is>
      </c>
      <c r="H74" t="n">
        <v>520</v>
      </c>
    </row>
    <row r="75">
      <c r="A75" t="inlineStr">
        <is>
          <t>MD-00071</t>
        </is>
      </c>
      <c r="B75" t="inlineStr">
        <is>
          <t>MD-MO-050071</t>
        </is>
      </c>
      <c r="C75" t="inlineStr">
        <is>
          <t>Mobile Device</t>
        </is>
      </c>
      <c r="D75" t="inlineStr">
        <is>
          <t>Google Pixel 8</t>
        </is>
      </c>
      <c r="E75" t="inlineStr">
        <is>
          <t>E0084</t>
        </is>
      </c>
      <c r="F75" t="inlineStr">
        <is>
          <t>Denver - Closed</t>
        </is>
      </c>
      <c r="G75" t="inlineStr">
        <is>
          <t>Assigned</t>
        </is>
      </c>
      <c r="H75" t="n">
        <v>995</v>
      </c>
    </row>
    <row r="76">
      <c r="A76" t="inlineStr">
        <is>
          <t>MD-00072</t>
        </is>
      </c>
      <c r="B76" t="inlineStr">
        <is>
          <t>MD-NE-050072</t>
        </is>
      </c>
      <c r="C76" t="inlineStr">
        <is>
          <t>Network Asset</t>
        </is>
      </c>
      <c r="D76" t="inlineStr">
        <is>
          <t>Fortinet FortiSwitch 148F</t>
        </is>
      </c>
      <c r="E76" t="inlineStr">
        <is>
          <t>E0085</t>
        </is>
      </c>
      <c r="F76" t="inlineStr">
        <is>
          <t>Chicago - Closed</t>
        </is>
      </c>
      <c r="G76" t="inlineStr">
        <is>
          <t>Assigned</t>
        </is>
      </c>
      <c r="H76" t="n">
        <v>6290</v>
      </c>
    </row>
    <row r="77">
      <c r="A77" t="inlineStr">
        <is>
          <t>MD-00073</t>
        </is>
      </c>
      <c r="B77" t="inlineStr">
        <is>
          <t>MD-LA-050073</t>
        </is>
      </c>
      <c r="C77" t="inlineStr">
        <is>
          <t>Network Asset</t>
        </is>
      </c>
      <c r="D77" t="inlineStr">
        <is>
          <t>Cisco C9300</t>
        </is>
      </c>
      <c r="E77" t="inlineStr">
        <is>
          <t>E0086</t>
        </is>
      </c>
      <c r="F77" t="inlineStr">
        <is>
          <t>Denver - Closed</t>
        </is>
      </c>
      <c r="G77" t="inlineStr">
        <is>
          <t>Assigned</t>
        </is>
      </c>
      <c r="H77" t="n">
        <v>1985</v>
      </c>
    </row>
    <row r="78">
      <c r="A78" t="inlineStr">
        <is>
          <t>MD-00074</t>
        </is>
      </c>
      <c r="B78" t="inlineStr">
        <is>
          <t>MD-MO-050074</t>
        </is>
      </c>
      <c r="C78" t="inlineStr">
        <is>
          <t>Network Asset</t>
        </is>
      </c>
      <c r="D78" t="inlineStr">
        <is>
          <t>Aruba 6300M</t>
        </is>
      </c>
      <c r="E78" t="inlineStr">
        <is>
          <t>E0087</t>
        </is>
      </c>
      <c r="F78" t="inlineStr">
        <is>
          <t>Chicago - Closed</t>
        </is>
      </c>
      <c r="G78" t="inlineStr">
        <is>
          <t>Assigned</t>
        </is>
      </c>
      <c r="H78" t="n">
        <v>700</v>
      </c>
    </row>
    <row r="79">
      <c r="A79" t="inlineStr">
        <is>
          <t>MD-00075</t>
        </is>
      </c>
      <c r="B79" t="inlineStr">
        <is>
          <t>MD-MO-050075</t>
        </is>
      </c>
      <c r="C79" t="inlineStr">
        <is>
          <t>Network Asset</t>
        </is>
      </c>
      <c r="D79" t="inlineStr">
        <is>
          <t>Juniper EX3400</t>
        </is>
      </c>
      <c r="E79" t="inlineStr">
        <is>
          <t>E0088</t>
        </is>
      </c>
      <c r="F79" t="inlineStr">
        <is>
          <t>Denver - Closed</t>
        </is>
      </c>
      <c r="G79" t="inlineStr">
        <is>
          <t>Assigned</t>
        </is>
      </c>
      <c r="H79" t="n">
        <v>1175</v>
      </c>
    </row>
    <row r="80">
      <c r="A80" t="inlineStr">
        <is>
          <t>MD-00076</t>
        </is>
      </c>
      <c r="B80" t="inlineStr">
        <is>
          <t>MD-NE-050076</t>
        </is>
      </c>
      <c r="C80" t="inlineStr">
        <is>
          <t>Network Asset</t>
        </is>
      </c>
      <c r="D80" t="inlineStr">
        <is>
          <t>Cisco Meraki MS250</t>
        </is>
      </c>
      <c r="E80" t="inlineStr">
        <is>
          <t>E0089</t>
        </is>
      </c>
      <c r="F80" t="inlineStr">
        <is>
          <t>Chicago - Closed</t>
        </is>
      </c>
      <c r="G80" t="inlineStr">
        <is>
          <t>Assigned</t>
        </is>
      </c>
      <c r="H80" t="n">
        <v>6470</v>
      </c>
    </row>
    <row r="81">
      <c r="A81" t="inlineStr">
        <is>
          <t>MD-00077</t>
        </is>
      </c>
      <c r="B81" t="inlineStr">
        <is>
          <t>MD-LA-050077</t>
        </is>
      </c>
      <c r="C81" t="inlineStr">
        <is>
          <t>Network Asset</t>
        </is>
      </c>
      <c r="D81" t="inlineStr">
        <is>
          <t>Fortinet FortiSwitch 148F</t>
        </is>
      </c>
      <c r="E81" t="inlineStr">
        <is>
          <t>E0090</t>
        </is>
      </c>
      <c r="F81" t="inlineStr">
        <is>
          <t>Denver - Closed</t>
        </is>
      </c>
      <c r="G81" t="inlineStr">
        <is>
          <t>Assigned</t>
        </is>
      </c>
      <c r="H81" t="n">
        <v>1850</v>
      </c>
    </row>
    <row r="82">
      <c r="A82" t="inlineStr">
        <is>
          <t>MD-00078</t>
        </is>
      </c>
      <c r="B82" t="inlineStr">
        <is>
          <t>MD-MO-050078</t>
        </is>
      </c>
      <c r="C82" t="inlineStr">
        <is>
          <t>Network Asset</t>
        </is>
      </c>
      <c r="D82" t="inlineStr">
        <is>
          <t>Cisco C9300</t>
        </is>
      </c>
      <c r="E82" t="inlineStr">
        <is>
          <t>E0091</t>
        </is>
      </c>
      <c r="F82" t="inlineStr">
        <is>
          <t>Chicago - Closed</t>
        </is>
      </c>
      <c r="G82" t="inlineStr">
        <is>
          <t>Assigned</t>
        </is>
      </c>
      <c r="H82" t="n">
        <v>565</v>
      </c>
    </row>
    <row r="83">
      <c r="A83" t="inlineStr">
        <is>
          <t>MD-00079</t>
        </is>
      </c>
      <c r="B83" t="inlineStr">
        <is>
          <t>MD-MO-050079</t>
        </is>
      </c>
      <c r="C83" t="inlineStr">
        <is>
          <t>Network Asset</t>
        </is>
      </c>
      <c r="D83" t="inlineStr">
        <is>
          <t>Aruba 6300M</t>
        </is>
      </c>
      <c r="E83" t="inlineStr">
        <is>
          <t>E0092</t>
        </is>
      </c>
      <c r="F83" t="inlineStr">
        <is>
          <t>Denver - Closed</t>
        </is>
      </c>
      <c r="G83" t="inlineStr">
        <is>
          <t>Assigned</t>
        </is>
      </c>
      <c r="H83" t="n">
        <v>1040</v>
      </c>
    </row>
    <row r="84">
      <c r="A84" t="inlineStr">
        <is>
          <t>MD-00080</t>
        </is>
      </c>
      <c r="B84" t="inlineStr">
        <is>
          <t>MD-NE-050080</t>
        </is>
      </c>
      <c r="C84" t="inlineStr">
        <is>
          <t>Network Asset</t>
        </is>
      </c>
      <c r="D84" t="inlineStr">
        <is>
          <t>Cisco Meraki MS250</t>
        </is>
      </c>
      <c r="E84" t="inlineStr">
        <is>
          <t>E0093</t>
        </is>
      </c>
      <c r="F84" t="inlineStr">
        <is>
          <t>Chicago - Closed</t>
        </is>
      </c>
      <c r="G84" t="inlineStr">
        <is>
          <t>Assigned</t>
        </is>
      </c>
      <c r="H84" t="n">
        <v>6335</v>
      </c>
    </row>
    <row r="85">
      <c r="A85" t="inlineStr">
        <is>
          <t>MD-00081</t>
        </is>
      </c>
      <c r="B85" t="inlineStr">
        <is>
          <t>MD-LA-050081</t>
        </is>
      </c>
      <c r="C85" t="inlineStr">
        <is>
          <t>Network Asset</t>
        </is>
      </c>
      <c r="D85" t="inlineStr">
        <is>
          <t>Fortinet FortiSwitch 148F</t>
        </is>
      </c>
      <c r="E85" t="inlineStr">
        <is>
          <t>E0094</t>
        </is>
      </c>
      <c r="F85" t="inlineStr">
        <is>
          <t>Denver - Closed</t>
        </is>
      </c>
      <c r="G85" t="inlineStr">
        <is>
          <t>Assigned</t>
        </is>
      </c>
      <c r="H85" t="n">
        <v>2030</v>
      </c>
    </row>
    <row r="86">
      <c r="A86" t="inlineStr">
        <is>
          <t>MD-00082</t>
        </is>
      </c>
      <c r="B86" t="inlineStr">
        <is>
          <t>MD-MO-050082</t>
        </is>
      </c>
      <c r="C86" t="inlineStr">
        <is>
          <t>Network Asset</t>
        </is>
      </c>
      <c r="D86" t="inlineStr">
        <is>
          <t>Cisco C9300</t>
        </is>
      </c>
      <c r="E86" t="inlineStr">
        <is>
          <t>E0095</t>
        </is>
      </c>
      <c r="F86" t="inlineStr">
        <is>
          <t>Chicago - Closed</t>
        </is>
      </c>
      <c r="G86" t="inlineStr">
        <is>
          <t>Assigned</t>
        </is>
      </c>
      <c r="H86" t="n">
        <v>745</v>
      </c>
    </row>
    <row r="87">
      <c r="A87" t="inlineStr">
        <is>
          <t>MD-00083</t>
        </is>
      </c>
      <c r="B87" t="inlineStr">
        <is>
          <t>MD-MO-050083</t>
        </is>
      </c>
      <c r="C87" t="inlineStr">
        <is>
          <t>Network Asset</t>
        </is>
      </c>
      <c r="D87" t="inlineStr">
        <is>
          <t>Aruba 6300M</t>
        </is>
      </c>
      <c r="E87" t="inlineStr">
        <is>
          <t>E0071</t>
        </is>
      </c>
      <c r="F87" t="inlineStr">
        <is>
          <t>Denver - Closed</t>
        </is>
      </c>
      <c r="G87" t="inlineStr">
        <is>
          <t>Assigned</t>
        </is>
      </c>
      <c r="H87" t="n">
        <v>1220</v>
      </c>
    </row>
    <row r="88">
      <c r="A88" t="inlineStr">
        <is>
          <t>MD-00084</t>
        </is>
      </c>
      <c r="B88" t="inlineStr">
        <is>
          <t>MD-NE-050084</t>
        </is>
      </c>
      <c r="C88" t="inlineStr">
        <is>
          <t>Network Asset</t>
        </is>
      </c>
      <c r="D88" t="inlineStr">
        <is>
          <t>Juniper EX3400</t>
        </is>
      </c>
      <c r="E88" t="inlineStr">
        <is>
          <t>E0072</t>
        </is>
      </c>
      <c r="F88" t="inlineStr">
        <is>
          <t>Chicago - Closed</t>
        </is>
      </c>
      <c r="G88" t="inlineStr">
        <is>
          <t>Assigned</t>
        </is>
      </c>
      <c r="H88" t="n">
        <v>6200</v>
      </c>
    </row>
    <row r="89">
      <c r="A89" t="inlineStr">
        <is>
          <t>MD-00085</t>
        </is>
      </c>
      <c r="B89" t="inlineStr">
        <is>
          <t>MD-LA-050085</t>
        </is>
      </c>
      <c r="C89" t="inlineStr">
        <is>
          <t>Network Asset</t>
        </is>
      </c>
      <c r="D89" t="inlineStr">
        <is>
          <t>Cisco Meraki MS250</t>
        </is>
      </c>
      <c r="E89" t="inlineStr">
        <is>
          <t>E0073</t>
        </is>
      </c>
      <c r="F89" t="inlineStr">
        <is>
          <t>Denver - Closed</t>
        </is>
      </c>
      <c r="G89" t="inlineStr">
        <is>
          <t>Assigned</t>
        </is>
      </c>
      <c r="H89" t="n">
        <v>1895</v>
      </c>
    </row>
    <row r="90">
      <c r="A90" t="inlineStr">
        <is>
          <t>MD-00086</t>
        </is>
      </c>
      <c r="B90" t="inlineStr">
        <is>
          <t>MD-MO-050086</t>
        </is>
      </c>
      <c r="C90" t="inlineStr">
        <is>
          <t>Network Asset</t>
        </is>
      </c>
      <c r="D90" t="inlineStr">
        <is>
          <t>Fortinet FortiSwitch 148F</t>
        </is>
      </c>
      <c r="E90" t="inlineStr">
        <is>
          <t>E0074</t>
        </is>
      </c>
      <c r="F90" t="inlineStr">
        <is>
          <t>Chicago - Closed</t>
        </is>
      </c>
      <c r="G90" t="inlineStr">
        <is>
          <t>Assigned</t>
        </is>
      </c>
      <c r="H90" t="n">
        <v>610</v>
      </c>
    </row>
    <row r="91">
      <c r="A91" t="inlineStr">
        <is>
          <t>MD-00087</t>
        </is>
      </c>
      <c r="B91" t="inlineStr">
        <is>
          <t>MD-MO-050087</t>
        </is>
      </c>
      <c r="C91" t="inlineStr">
        <is>
          <t>Network Asset</t>
        </is>
      </c>
      <c r="D91" t="inlineStr">
        <is>
          <t>Cisco C9300</t>
        </is>
      </c>
      <c r="E91" t="inlineStr">
        <is>
          <t>E0075</t>
        </is>
      </c>
      <c r="F91" t="inlineStr">
        <is>
          <t>Denver - Closed</t>
        </is>
      </c>
      <c r="G91" t="inlineStr">
        <is>
          <t>Assigned</t>
        </is>
      </c>
      <c r="H91" t="n">
        <v>1085</v>
      </c>
    </row>
    <row r="92">
      <c r="A92" t="inlineStr">
        <is>
          <t>MD-00088</t>
        </is>
      </c>
      <c r="B92" t="inlineStr">
        <is>
          <t>MD-NE-050088</t>
        </is>
      </c>
      <c r="C92" t="inlineStr">
        <is>
          <t>Network Asset</t>
        </is>
      </c>
      <c r="D92" t="inlineStr">
        <is>
          <t>Aruba 6300M</t>
        </is>
      </c>
      <c r="E92" t="inlineStr">
        <is>
          <t>E0076</t>
        </is>
      </c>
      <c r="F92" t="inlineStr">
        <is>
          <t>Chicago - Closed</t>
        </is>
      </c>
      <c r="G92" t="inlineStr">
        <is>
          <t>Assigned</t>
        </is>
      </c>
      <c r="H92" t="n">
        <v>6380</v>
      </c>
    </row>
    <row r="93">
      <c r="A93" t="inlineStr">
        <is>
          <t>MD-00089</t>
        </is>
      </c>
      <c r="B93" t="inlineStr">
        <is>
          <t>MD-LA-050089</t>
        </is>
      </c>
      <c r="C93" t="inlineStr">
        <is>
          <t>Network Asset</t>
        </is>
      </c>
      <c r="D93" t="inlineStr">
        <is>
          <t>Juniper EX3400</t>
        </is>
      </c>
      <c r="E93" t="inlineStr">
        <is>
          <t>E0077</t>
        </is>
      </c>
      <c r="F93" t="inlineStr">
        <is>
          <t>Denver - Closed</t>
        </is>
      </c>
      <c r="G93" t="inlineStr">
        <is>
          <t>Assigned</t>
        </is>
      </c>
      <c r="H93" t="n">
        <v>2075</v>
      </c>
    </row>
    <row r="94">
      <c r="A94" t="inlineStr">
        <is>
          <t>MD-00090</t>
        </is>
      </c>
      <c r="B94" t="inlineStr">
        <is>
          <t>MD-MO-050090</t>
        </is>
      </c>
      <c r="C94" t="inlineStr">
        <is>
          <t>Network Asset</t>
        </is>
      </c>
      <c r="D94" t="inlineStr">
        <is>
          <t>Fortinet FortiSwitch 148F</t>
        </is>
      </c>
      <c r="E94" t="inlineStr">
        <is>
          <t>E0078</t>
        </is>
      </c>
      <c r="F94" t="inlineStr">
        <is>
          <t>Chicago - Closed</t>
        </is>
      </c>
      <c r="G94" t="inlineStr">
        <is>
          <t>Assigned</t>
        </is>
      </c>
      <c r="H94" t="n">
        <v>790</v>
      </c>
    </row>
    <row r="95">
      <c r="A95" t="inlineStr">
        <is>
          <t>MD-00091</t>
        </is>
      </c>
      <c r="B95" t="inlineStr">
        <is>
          <t>MD-MO-050091</t>
        </is>
      </c>
      <c r="C95" t="inlineStr">
        <is>
          <t>Network Asset</t>
        </is>
      </c>
      <c r="D95" t="inlineStr">
        <is>
          <t>Cisco C9300</t>
        </is>
      </c>
      <c r="E95" t="inlineStr">
        <is>
          <t>E0079</t>
        </is>
      </c>
      <c r="F95" t="inlineStr">
        <is>
          <t>Denver - Closed</t>
        </is>
      </c>
      <c r="G95" t="inlineStr">
        <is>
          <t>Assigned</t>
        </is>
      </c>
      <c r="H95" t="n">
        <v>950</v>
      </c>
    </row>
    <row r="96">
      <c r="A96" t="inlineStr">
        <is>
          <t>MD-00092</t>
        </is>
      </c>
      <c r="B96" t="inlineStr">
        <is>
          <t>MD-NE-050088</t>
        </is>
      </c>
      <c r="C96" t="inlineStr">
        <is>
          <t>Network Asset</t>
        </is>
      </c>
      <c r="D96" t="inlineStr">
        <is>
          <t>Aruba 6300M</t>
        </is>
      </c>
      <c r="E96" t="inlineStr">
        <is>
          <t>E0080</t>
        </is>
      </c>
      <c r="F96" t="inlineStr">
        <is>
          <t>Chicago - Closed</t>
        </is>
      </c>
      <c r="G96" t="inlineStr">
        <is>
          <t>Assigned</t>
        </is>
      </c>
      <c r="H96" t="n">
        <v>6245</v>
      </c>
    </row>
    <row r="97">
      <c r="A97" t="inlineStr">
        <is>
          <t>MD-00093</t>
        </is>
      </c>
      <c r="B97" t="inlineStr">
        <is>
          <t>MD-LA-050093</t>
        </is>
      </c>
      <c r="C97" t="inlineStr">
        <is>
          <t>Network Asset</t>
        </is>
      </c>
      <c r="D97" t="inlineStr">
        <is>
          <t>Juniper EX3400</t>
        </is>
      </c>
      <c r="E97" t="inlineStr">
        <is>
          <t>E0081</t>
        </is>
      </c>
      <c r="F97" t="inlineStr">
        <is>
          <t>Denver - Closed</t>
        </is>
      </c>
      <c r="G97" t="inlineStr">
        <is>
          <t>Assigned</t>
        </is>
      </c>
      <c r="H97" t="n">
        <v>1940</v>
      </c>
    </row>
    <row r="98">
      <c r="A98" t="inlineStr">
        <is>
          <t>MD-00094</t>
        </is>
      </c>
      <c r="B98" t="inlineStr">
        <is>
          <t>MD-MO-050094</t>
        </is>
      </c>
      <c r="C98" t="inlineStr">
        <is>
          <t>Network Asset</t>
        </is>
      </c>
      <c r="D98" t="inlineStr">
        <is>
          <t>Cisco Meraki MS250</t>
        </is>
      </c>
      <c r="E98" t="inlineStr">
        <is>
          <t>E0082</t>
        </is>
      </c>
      <c r="F98" t="inlineStr">
        <is>
          <t>Chicago - Closed</t>
        </is>
      </c>
      <c r="G98" t="inlineStr">
        <is>
          <t>Assigned</t>
        </is>
      </c>
      <c r="H98" t="n">
        <v>655</v>
      </c>
    </row>
    <row r="99">
      <c r="A99" t="inlineStr">
        <is>
          <t>MD-00095</t>
        </is>
      </c>
      <c r="B99" t="inlineStr">
        <is>
          <t>MD-MO-050095</t>
        </is>
      </c>
      <c r="C99" t="inlineStr">
        <is>
          <t>Network Asset</t>
        </is>
      </c>
      <c r="D99" t="inlineStr">
        <is>
          <t>Fortinet FortiSwitch 148F</t>
        </is>
      </c>
      <c r="E99" t="inlineStr">
        <is>
          <t>E0083</t>
        </is>
      </c>
      <c r="F99" t="inlineStr">
        <is>
          <t>Denver - Closed</t>
        </is>
      </c>
      <c r="G99" t="inlineStr">
        <is>
          <t>Assigned</t>
        </is>
      </c>
      <c r="H99" t="n">
        <v>1130</v>
      </c>
    </row>
    <row r="100">
      <c r="A100" t="inlineStr">
        <is>
          <t>MD-00096</t>
        </is>
      </c>
      <c r="B100" t="inlineStr">
        <is>
          <t>MD-NE-050096</t>
        </is>
      </c>
      <c r="C100" t="inlineStr">
        <is>
          <t>Network Asset</t>
        </is>
      </c>
      <c r="D100" t="inlineStr">
        <is>
          <t>Cisco C9300</t>
        </is>
      </c>
      <c r="E100" t="inlineStr">
        <is>
          <t>E0084</t>
        </is>
      </c>
      <c r="F100" t="inlineStr">
        <is>
          <t>Chicago - Closed</t>
        </is>
      </c>
      <c r="G100" t="inlineStr">
        <is>
          <t>Assigned</t>
        </is>
      </c>
      <c r="H100" t="n">
        <v>6425</v>
      </c>
    </row>
    <row r="101">
      <c r="A101" t="inlineStr">
        <is>
          <t>MD-00097</t>
        </is>
      </c>
      <c r="B101" t="inlineStr">
        <is>
          <t>MD-LA-050097</t>
        </is>
      </c>
      <c r="C101" t="inlineStr">
        <is>
          <t>Network Asset</t>
        </is>
      </c>
      <c r="D101" t="inlineStr">
        <is>
          <t>Aruba 6300M</t>
        </is>
      </c>
      <c r="E101" t="inlineStr">
        <is>
          <t>E0085</t>
        </is>
      </c>
      <c r="F101" t="inlineStr">
        <is>
          <t>Denver - Closed</t>
        </is>
      </c>
      <c r="G101" t="inlineStr">
        <is>
          <t>Assigned</t>
        </is>
      </c>
      <c r="H101" t="n">
        <v>2120</v>
      </c>
    </row>
    <row r="102">
      <c r="A102" t="inlineStr">
        <is>
          <t>MD-00098</t>
        </is>
      </c>
      <c r="B102" t="inlineStr">
        <is>
          <t>MD-MO-050098</t>
        </is>
      </c>
      <c r="C102" t="inlineStr">
        <is>
          <t>Network Asset</t>
        </is>
      </c>
      <c r="D102" t="inlineStr">
        <is>
          <t>Juniper EX3400</t>
        </is>
      </c>
      <c r="E102" t="inlineStr">
        <is>
          <t>E0086</t>
        </is>
      </c>
      <c r="F102" t="inlineStr">
        <is>
          <t>Chicago - Closed</t>
        </is>
      </c>
      <c r="G102" t="inlineStr">
        <is>
          <t>Assigned</t>
        </is>
      </c>
      <c r="H102" t="n">
        <v>520</v>
      </c>
    </row>
    <row r="103">
      <c r="A103" t="inlineStr">
        <is>
          <t>MD-00099</t>
        </is>
      </c>
      <c r="B103" t="inlineStr">
        <is>
          <t>MD-MO-050099</t>
        </is>
      </c>
      <c r="C103" t="inlineStr">
        <is>
          <t>Network Asset</t>
        </is>
      </c>
      <c r="D103" t="inlineStr">
        <is>
          <t>Cisco Meraki MS250</t>
        </is>
      </c>
      <c r="E103" t="inlineStr">
        <is>
          <t>E0087</t>
        </is>
      </c>
      <c r="F103" t="inlineStr">
        <is>
          <t>Denver - Closed</t>
        </is>
      </c>
      <c r="G103" t="inlineStr">
        <is>
          <t>Assigned</t>
        </is>
      </c>
      <c r="H103" t="n">
        <v>995</v>
      </c>
    </row>
    <row r="104">
      <c r="A104" t="inlineStr">
        <is>
          <t>MD-00100</t>
        </is>
      </c>
      <c r="B104" t="inlineStr">
        <is>
          <t>MD-NE-050100</t>
        </is>
      </c>
      <c r="C104" t="inlineStr">
        <is>
          <t>Laptop</t>
        </is>
      </c>
      <c r="D104" t="inlineStr">
        <is>
          <t>HP EliteBook 840 G10</t>
        </is>
      </c>
      <c r="E104" t="inlineStr">
        <is>
          <t>E0088</t>
        </is>
      </c>
      <c r="F104" t="inlineStr">
        <is>
          <t>Chicago - Closed</t>
        </is>
      </c>
      <c r="G104" t="inlineStr">
        <is>
          <t>Assigned</t>
        </is>
      </c>
      <c r="H104" t="n">
        <v>6290</v>
      </c>
    </row>
    <row r="105">
      <c r="A105" t="inlineStr">
        <is>
          <t>MD-00101</t>
        </is>
      </c>
      <c r="B105" t="inlineStr">
        <is>
          <t>MD-LA-050101</t>
        </is>
      </c>
      <c r="C105" t="inlineStr">
        <is>
          <t>Laptop</t>
        </is>
      </c>
      <c r="D105" t="inlineStr">
        <is>
          <t>Microsoft Surface Laptop 5</t>
        </is>
      </c>
      <c r="E105" t="inlineStr">
        <is>
          <t>E0089</t>
        </is>
      </c>
      <c r="F105" t="inlineStr">
        <is>
          <t>Denver - Closed</t>
        </is>
      </c>
      <c r="G105" t="inlineStr">
        <is>
          <t>Assigned</t>
        </is>
      </c>
      <c r="H105" t="n">
        <v>1985</v>
      </c>
    </row>
    <row r="106">
      <c r="A106" t="inlineStr">
        <is>
          <t>MD-00102</t>
        </is>
      </c>
      <c r="B106" t="inlineStr">
        <is>
          <t>MD-MO-050102</t>
        </is>
      </c>
      <c r="C106" t="inlineStr">
        <is>
          <t>Laptop</t>
        </is>
      </c>
      <c r="D106" t="inlineStr">
        <is>
          <t>Lenovo ThinkPad X1 Carbon</t>
        </is>
      </c>
      <c r="E106" t="inlineStr">
        <is>
          <t>E0090</t>
        </is>
      </c>
      <c r="F106" t="inlineStr">
        <is>
          <t>Chicago - Closed</t>
        </is>
      </c>
      <c r="G106" t="inlineStr">
        <is>
          <t>Assigned</t>
        </is>
      </c>
      <c r="H106" t="n">
        <v>700</v>
      </c>
    </row>
    <row r="107">
      <c r="A107" t="inlineStr">
        <is>
          <t>MD-00103</t>
        </is>
      </c>
      <c r="B107" t="inlineStr">
        <is>
          <t>MD-MO-050103</t>
        </is>
      </c>
      <c r="C107" t="inlineStr">
        <is>
          <t>Laptop</t>
        </is>
      </c>
      <c r="D107" t="inlineStr">
        <is>
          <t>Lenovo ThinkPad T14</t>
        </is>
      </c>
      <c r="E107" t="inlineStr">
        <is>
          <t>E0091</t>
        </is>
      </c>
      <c r="F107" t="inlineStr">
        <is>
          <t>Denver - Closed</t>
        </is>
      </c>
      <c r="G107" t="inlineStr">
        <is>
          <t>Assigned</t>
        </is>
      </c>
      <c r="H107" t="n">
        <v>1175</v>
      </c>
    </row>
    <row r="108">
      <c r="A108" t="inlineStr">
        <is>
          <t>MD-00104</t>
        </is>
      </c>
      <c r="B108" t="inlineStr">
        <is>
          <t>MD-NE-050104</t>
        </is>
      </c>
      <c r="C108" t="inlineStr">
        <is>
          <t>Laptop</t>
        </is>
      </c>
      <c r="D108" t="inlineStr">
        <is>
          <t>MacBook Pro 14</t>
        </is>
      </c>
      <c r="E108" t="inlineStr">
        <is>
          <t>E0092</t>
        </is>
      </c>
      <c r="F108" t="inlineStr">
        <is>
          <t>Chicago - Closed</t>
        </is>
      </c>
      <c r="G108" t="inlineStr">
        <is>
          <t>Assigned</t>
        </is>
      </c>
      <c r="H108" t="n">
        <v>6470</v>
      </c>
    </row>
    <row r="109">
      <c r="A109" t="inlineStr">
        <is>
          <t>MD-00105</t>
        </is>
      </c>
      <c r="B109" t="inlineStr">
        <is>
          <t>MD-LA-050105</t>
        </is>
      </c>
      <c r="C109" t="inlineStr">
        <is>
          <t>Laptop</t>
        </is>
      </c>
      <c r="D109" t="inlineStr">
        <is>
          <t>Dell Latitude 7440</t>
        </is>
      </c>
      <c r="E109" t="inlineStr">
        <is>
          <t>E0093</t>
        </is>
      </c>
      <c r="F109" t="inlineStr">
        <is>
          <t>Denver - Closed</t>
        </is>
      </c>
      <c r="G109" t="inlineStr">
        <is>
          <t>Assigned</t>
        </is>
      </c>
      <c r="H109" t="n">
        <v>1850</v>
      </c>
    </row>
    <row r="110">
      <c r="A110" t="inlineStr">
        <is>
          <t>MD-00106</t>
        </is>
      </c>
      <c r="B110" t="inlineStr">
        <is>
          <t>MD-MO-050106</t>
        </is>
      </c>
      <c r="C110" t="inlineStr">
        <is>
          <t>Laptop</t>
        </is>
      </c>
      <c r="D110" t="inlineStr">
        <is>
          <t>HP EliteBook 840 G10</t>
        </is>
      </c>
      <c r="E110" t="inlineStr">
        <is>
          <t>E0094</t>
        </is>
      </c>
      <c r="F110" t="inlineStr">
        <is>
          <t>Chicago - Closed</t>
        </is>
      </c>
      <c r="G110" t="inlineStr">
        <is>
          <t>Assigned</t>
        </is>
      </c>
      <c r="H110" t="n">
        <v>565</v>
      </c>
    </row>
    <row r="111">
      <c r="A111" t="inlineStr">
        <is>
          <t>MD-00107</t>
        </is>
      </c>
      <c r="B111" t="inlineStr">
        <is>
          <t>MD-MO-050107</t>
        </is>
      </c>
      <c r="C111" t="inlineStr">
        <is>
          <t>Laptop</t>
        </is>
      </c>
      <c r="D111" t="inlineStr">
        <is>
          <t>Microsoft Surface Laptop 5</t>
        </is>
      </c>
      <c r="E111" t="inlineStr">
        <is>
          <t>E0095</t>
        </is>
      </c>
      <c r="F111" t="inlineStr">
        <is>
          <t>Denver - Closed</t>
        </is>
      </c>
      <c r="G111" t="inlineStr">
        <is>
          <t>Assigned</t>
        </is>
      </c>
      <c r="H111" t="n">
        <v>1040</v>
      </c>
    </row>
    <row r="112">
      <c r="A112" t="inlineStr">
        <is>
          <t>MD-00108</t>
        </is>
      </c>
      <c r="B112" t="inlineStr">
        <is>
          <t>MD-NE-050108</t>
        </is>
      </c>
      <c r="C112" t="inlineStr">
        <is>
          <t>Laptop</t>
        </is>
      </c>
      <c r="D112" t="inlineStr">
        <is>
          <t>Lenovo ThinkPad X1 Carbon</t>
        </is>
      </c>
      <c r="E112" t="inlineStr">
        <is>
          <t>E0071</t>
        </is>
      </c>
      <c r="F112" t="inlineStr">
        <is>
          <t>Chicago - Closed</t>
        </is>
      </c>
      <c r="G112" t="inlineStr">
        <is>
          <t>Assigned</t>
        </is>
      </c>
      <c r="H112" t="n">
        <v>6335</v>
      </c>
    </row>
    <row r="113">
      <c r="A113" t="inlineStr">
        <is>
          <t>MD-00109</t>
        </is>
      </c>
      <c r="B113" t="inlineStr">
        <is>
          <t>MD-LA-050109</t>
        </is>
      </c>
      <c r="C113" t="inlineStr">
        <is>
          <t>Laptop</t>
        </is>
      </c>
      <c r="D113" t="inlineStr">
        <is>
          <t>Lenovo ThinkPad T14</t>
        </is>
      </c>
      <c r="E113" t="inlineStr">
        <is>
          <t>E0072</t>
        </is>
      </c>
      <c r="F113" t="inlineStr">
        <is>
          <t>Denver - Closed</t>
        </is>
      </c>
      <c r="G113" t="inlineStr">
        <is>
          <t>Assigned</t>
        </is>
      </c>
      <c r="H113" t="n">
        <v>2030</v>
      </c>
    </row>
    <row r="114">
      <c r="A114" t="inlineStr">
        <is>
          <t>MD-00110</t>
        </is>
      </c>
      <c r="B114" t="inlineStr">
        <is>
          <t>MD-MO-050110</t>
        </is>
      </c>
      <c r="C114" t="inlineStr">
        <is>
          <t>Laptop</t>
        </is>
      </c>
      <c r="D114" t="inlineStr">
        <is>
          <t>Dell Latitude 7440</t>
        </is>
      </c>
      <c r="E114" t="inlineStr">
        <is>
          <t>E0073</t>
        </is>
      </c>
      <c r="F114" t="inlineStr">
        <is>
          <t>Chicago - Closed</t>
        </is>
      </c>
      <c r="G114" t="inlineStr">
        <is>
          <t>Assigned</t>
        </is>
      </c>
      <c r="H114" t="n">
        <v>745</v>
      </c>
    </row>
    <row r="115">
      <c r="A115" t="inlineStr">
        <is>
          <t>MD-00111</t>
        </is>
      </c>
      <c r="B115" t="inlineStr">
        <is>
          <t>MD-MO-050111</t>
        </is>
      </c>
      <c r="C115" t="inlineStr">
        <is>
          <t>Laptop</t>
        </is>
      </c>
      <c r="D115" t="inlineStr">
        <is>
          <t>HP EliteBook 840 G10</t>
        </is>
      </c>
      <c r="E115" t="inlineStr">
        <is>
          <t>E0074</t>
        </is>
      </c>
      <c r="F115" t="inlineStr">
        <is>
          <t>Denver - Closed</t>
        </is>
      </c>
      <c r="G115" t="inlineStr">
        <is>
          <t>Assigned</t>
        </is>
      </c>
      <c r="H115" t="n">
        <v>1220</v>
      </c>
    </row>
    <row r="116">
      <c r="A116" t="inlineStr">
        <is>
          <t>MD-00112</t>
        </is>
      </c>
      <c r="B116" t="inlineStr">
        <is>
          <t>MD-NE-050112</t>
        </is>
      </c>
      <c r="C116" t="inlineStr">
        <is>
          <t>Laptop</t>
        </is>
      </c>
      <c r="D116" t="inlineStr">
        <is>
          <t>Microsoft Surface Laptop 5</t>
        </is>
      </c>
      <c r="E116" t="inlineStr">
        <is>
          <t>E0075</t>
        </is>
      </c>
      <c r="F116" t="inlineStr">
        <is>
          <t>Chicago - Closed</t>
        </is>
      </c>
      <c r="G116" t="inlineStr">
        <is>
          <t>Assigned</t>
        </is>
      </c>
      <c r="H116" t="n">
        <v>6200</v>
      </c>
    </row>
    <row r="117">
      <c r="A117" t="inlineStr">
        <is>
          <t>MD-00113</t>
        </is>
      </c>
      <c r="B117" t="inlineStr">
        <is>
          <t>MD-LA-050113</t>
        </is>
      </c>
      <c r="C117" t="inlineStr">
        <is>
          <t>Laptop</t>
        </is>
      </c>
      <c r="D117" t="inlineStr">
        <is>
          <t>Lenovo ThinkPad X1 Carbon</t>
        </is>
      </c>
      <c r="E117" t="inlineStr">
        <is>
          <t>E0076</t>
        </is>
      </c>
      <c r="F117" t="inlineStr">
        <is>
          <t>Denver - Closed</t>
        </is>
      </c>
      <c r="G117" t="inlineStr">
        <is>
          <t>Assigned</t>
        </is>
      </c>
      <c r="H117" t="n">
        <v>1895</v>
      </c>
    </row>
    <row r="118">
      <c r="A118" t="inlineStr">
        <is>
          <t>MD-00114</t>
        </is>
      </c>
      <c r="B118" t="inlineStr">
        <is>
          <t>MD-MO-050114</t>
        </is>
      </c>
      <c r="C118" t="inlineStr">
        <is>
          <t>Laptop</t>
        </is>
      </c>
      <c r="D118" t="inlineStr">
        <is>
          <t>Lenovo ThinkPad T14</t>
        </is>
      </c>
      <c r="E118" t="inlineStr">
        <is>
          <t>E0077</t>
        </is>
      </c>
      <c r="F118" t="inlineStr">
        <is>
          <t>Chicago - Closed</t>
        </is>
      </c>
      <c r="G118" t="inlineStr">
        <is>
          <t>Assigned</t>
        </is>
      </c>
      <c r="H118" t="n">
        <v>610</v>
      </c>
    </row>
    <row r="119">
      <c r="A119" t="inlineStr">
        <is>
          <t>MD-00115</t>
        </is>
      </c>
      <c r="B119" t="inlineStr">
        <is>
          <t>MD-MO-050115</t>
        </is>
      </c>
      <c r="C119" t="inlineStr">
        <is>
          <t>Laptop</t>
        </is>
      </c>
      <c r="D119" t="inlineStr">
        <is>
          <t>MacBook Pro 14</t>
        </is>
      </c>
      <c r="E119" t="inlineStr">
        <is>
          <t>E0078</t>
        </is>
      </c>
      <c r="F119" t="inlineStr">
        <is>
          <t>Denver - Closed</t>
        </is>
      </c>
      <c r="G119" t="inlineStr">
        <is>
          <t>Assigned</t>
        </is>
      </c>
      <c r="H119" t="n">
        <v>1085</v>
      </c>
    </row>
    <row r="120">
      <c r="A120" t="inlineStr">
        <is>
          <t>MD-00116</t>
        </is>
      </c>
      <c r="B120" t="inlineStr">
        <is>
          <t>MD-NE-050116</t>
        </is>
      </c>
      <c r="C120" t="inlineStr">
        <is>
          <t>Laptop</t>
        </is>
      </c>
      <c r="D120" t="inlineStr">
        <is>
          <t>Dell Latitude 7440</t>
        </is>
      </c>
      <c r="E120" t="inlineStr">
        <is>
          <t>E0079</t>
        </is>
      </c>
      <c r="F120" t="inlineStr">
        <is>
          <t>Chicago - Closed</t>
        </is>
      </c>
      <c r="G120" t="inlineStr">
        <is>
          <t>Assigned</t>
        </is>
      </c>
      <c r="H120" t="n">
        <v>6380</v>
      </c>
    </row>
    <row r="121">
      <c r="A121" t="inlineStr">
        <is>
          <t>MD-00117</t>
        </is>
      </c>
      <c r="B121" t="inlineStr">
        <is>
          <t>MD-LA-050117</t>
        </is>
      </c>
      <c r="C121" t="inlineStr">
        <is>
          <t>Laptop</t>
        </is>
      </c>
      <c r="D121" t="inlineStr">
        <is>
          <t>HP EliteBook 840 G10</t>
        </is>
      </c>
      <c r="E121" t="inlineStr">
        <is>
          <t>E0080</t>
        </is>
      </c>
      <c r="F121" t="inlineStr">
        <is>
          <t>Denver - Closed</t>
        </is>
      </c>
      <c r="G121" t="inlineStr">
        <is>
          <t>Assigned</t>
        </is>
      </c>
      <c r="H121" t="n">
        <v>2075</v>
      </c>
    </row>
    <row r="122">
      <c r="A122" t="inlineStr">
        <is>
          <t>MD-00118</t>
        </is>
      </c>
      <c r="B122" t="inlineStr">
        <is>
          <t>MD-MO-050118</t>
        </is>
      </c>
      <c r="C122" t="inlineStr">
        <is>
          <t>Laptop</t>
        </is>
      </c>
      <c r="D122" t="inlineStr">
        <is>
          <t>Microsoft Surface Laptop 5</t>
        </is>
      </c>
      <c r="E122" t="inlineStr">
        <is>
          <t>E0081</t>
        </is>
      </c>
      <c r="F122" t="inlineStr">
        <is>
          <t>Chicago - Closed</t>
        </is>
      </c>
      <c r="G122" t="inlineStr">
        <is>
          <t>Assigned</t>
        </is>
      </c>
      <c r="H122" t="n">
        <v>790</v>
      </c>
    </row>
    <row r="123">
      <c r="A123" t="inlineStr">
        <is>
          <t>MD-00119</t>
        </is>
      </c>
      <c r="B123" t="inlineStr">
        <is>
          <t>MD-MO-050119</t>
        </is>
      </c>
      <c r="C123" t="inlineStr">
        <is>
          <t>Laptop</t>
        </is>
      </c>
      <c r="D123" t="inlineStr">
        <is>
          <t>Lenovo ThinkPad X1 Carbon</t>
        </is>
      </c>
      <c r="E123" t="inlineStr">
        <is>
          <t>E0082</t>
        </is>
      </c>
      <c r="F123" t="inlineStr">
        <is>
          <t>Denver - Closed</t>
        </is>
      </c>
      <c r="G123" t="inlineStr">
        <is>
          <t>Assigned</t>
        </is>
      </c>
      <c r="H123" t="n">
        <v>950</v>
      </c>
    </row>
    <row r="124">
      <c r="A124" t="inlineStr">
        <is>
          <t>MD-00120</t>
        </is>
      </c>
      <c r="B124" t="inlineStr">
        <is>
          <t>MD-NE-050120</t>
        </is>
      </c>
      <c r="C124" t="inlineStr">
        <is>
          <t>Laptop</t>
        </is>
      </c>
      <c r="D124" t="inlineStr">
        <is>
          <t>MacBook Pro 14</t>
        </is>
      </c>
      <c r="E124" t="inlineStr">
        <is>
          <t>E0083</t>
        </is>
      </c>
      <c r="F124" t="inlineStr">
        <is>
          <t>Chicago - Closed</t>
        </is>
      </c>
      <c r="G124" t="inlineStr">
        <is>
          <t>Assigned</t>
        </is>
      </c>
      <c r="H124" t="n">
        <v>6245</v>
      </c>
    </row>
    <row r="125">
      <c r="A125" t="inlineStr">
        <is>
          <t>MD-00121</t>
        </is>
      </c>
      <c r="B125" t="inlineStr">
        <is>
          <t>MD-LA-050121</t>
        </is>
      </c>
      <c r="C125" t="inlineStr">
        <is>
          <t>Laptop</t>
        </is>
      </c>
      <c r="D125" t="inlineStr">
        <is>
          <t>Dell Latitude 7440</t>
        </is>
      </c>
      <c r="F125" t="inlineStr">
        <is>
          <t>Denver - Closed</t>
        </is>
      </c>
      <c r="G125" t="inlineStr">
        <is>
          <t>Assigned</t>
        </is>
      </c>
      <c r="H125" t="n">
        <v>1940</v>
      </c>
    </row>
    <row r="126">
      <c r="A126" t="inlineStr">
        <is>
          <t>MD-00122</t>
        </is>
      </c>
      <c r="B126" t="inlineStr">
        <is>
          <t>MD-MO-050122</t>
        </is>
      </c>
      <c r="C126" t="inlineStr">
        <is>
          <t>Laptop</t>
        </is>
      </c>
      <c r="D126" t="inlineStr">
        <is>
          <t>HP EliteBook 840 G10</t>
        </is>
      </c>
      <c r="F126" t="inlineStr">
        <is>
          <t>Chicago - Closed</t>
        </is>
      </c>
      <c r="G126" t="inlineStr">
        <is>
          <t>Assigned</t>
        </is>
      </c>
      <c r="H126" t="n">
        <v>655</v>
      </c>
    </row>
    <row r="127">
      <c r="A127" t="inlineStr">
        <is>
          <t>MD-00123</t>
        </is>
      </c>
      <c r="B127" t="inlineStr">
        <is>
          <t>MD-MO-050123</t>
        </is>
      </c>
      <c r="C127" t="inlineStr">
        <is>
          <t>Laptop</t>
        </is>
      </c>
      <c r="D127" t="inlineStr">
        <is>
          <t>Microsoft Surface Laptop 5</t>
        </is>
      </c>
      <c r="F127" t="inlineStr">
        <is>
          <t>Denver - Closed</t>
        </is>
      </c>
      <c r="G127" t="inlineStr">
        <is>
          <t>Assigned</t>
        </is>
      </c>
      <c r="H127" t="n">
        <v>1130</v>
      </c>
    </row>
    <row r="128">
      <c r="A128" t="inlineStr">
        <is>
          <t>MD-00124</t>
        </is>
      </c>
      <c r="B128" t="inlineStr">
        <is>
          <t>MD-NE-050124</t>
        </is>
      </c>
      <c r="C128" t="inlineStr">
        <is>
          <t>Laptop</t>
        </is>
      </c>
      <c r="D128" t="inlineStr">
        <is>
          <t>Lenovo ThinkPad X1 Carbon</t>
        </is>
      </c>
      <c r="F128" t="inlineStr">
        <is>
          <t>Chicago - Closed</t>
        </is>
      </c>
      <c r="G128" t="inlineStr">
        <is>
          <t>Assigned</t>
        </is>
      </c>
      <c r="H128" t="n">
        <v>6425</v>
      </c>
    </row>
    <row r="129">
      <c r="A129" t="inlineStr">
        <is>
          <t>MD-00125</t>
        </is>
      </c>
      <c r="B129" t="inlineStr">
        <is>
          <t>MD-LA-050125</t>
        </is>
      </c>
      <c r="C129" t="inlineStr">
        <is>
          <t>Laptop</t>
        </is>
      </c>
      <c r="D129" t="inlineStr">
        <is>
          <t>Lenovo ThinkPad T14</t>
        </is>
      </c>
      <c r="F129" t="inlineStr">
        <is>
          <t>Denver - Closed</t>
        </is>
      </c>
      <c r="G129" t="inlineStr">
        <is>
          <t>Assigned</t>
        </is>
      </c>
      <c r="H129" t="n">
        <v>2120</v>
      </c>
    </row>
    <row r="130">
      <c r="A130" t="inlineStr">
        <is>
          <t>MD-00126</t>
        </is>
      </c>
      <c r="B130" t="inlineStr">
        <is>
          <t>MD-MO-050126</t>
        </is>
      </c>
      <c r="C130" t="inlineStr">
        <is>
          <t>Laptop</t>
        </is>
      </c>
      <c r="D130" t="inlineStr">
        <is>
          <t>MacBook Pro 14</t>
        </is>
      </c>
      <c r="F130" t="inlineStr">
        <is>
          <t>Chicago - Closed</t>
        </is>
      </c>
      <c r="G130" t="inlineStr">
        <is>
          <t>Assigned</t>
        </is>
      </c>
      <c r="H130" t="n">
        <v>520</v>
      </c>
    </row>
    <row r="131">
      <c r="A131" t="inlineStr">
        <is>
          <t>MD-00127</t>
        </is>
      </c>
      <c r="B131" t="inlineStr">
        <is>
          <t>MD-MO-050127</t>
        </is>
      </c>
      <c r="C131" t="inlineStr">
        <is>
          <t>Laptop</t>
        </is>
      </c>
      <c r="D131" t="inlineStr">
        <is>
          <t>Dell Latitude 7440</t>
        </is>
      </c>
      <c r="E131" t="inlineStr">
        <is>
          <t>E0061</t>
        </is>
      </c>
      <c r="F131" t="inlineStr">
        <is>
          <t>Denver</t>
        </is>
      </c>
      <c r="G131" t="inlineStr">
        <is>
          <t>In Use</t>
        </is>
      </c>
      <c r="H131" t="n">
        <v>995</v>
      </c>
    </row>
    <row r="132">
      <c r="A132" t="inlineStr">
        <is>
          <t>MD-00128</t>
        </is>
      </c>
      <c r="B132" t="inlineStr">
        <is>
          <t>MD-NE-050128</t>
        </is>
      </c>
      <c r="C132" t="inlineStr">
        <is>
          <t>Laptop</t>
        </is>
      </c>
      <c r="D132" t="inlineStr">
        <is>
          <t>HP EliteBook 840 G10</t>
        </is>
      </c>
      <c r="E132" t="inlineStr">
        <is>
          <t>E0062</t>
        </is>
      </c>
      <c r="F132" t="inlineStr">
        <is>
          <t>New York</t>
        </is>
      </c>
      <c r="G132" t="inlineStr">
        <is>
          <t>In Use</t>
        </is>
      </c>
      <c r="H132" t="n">
        <v>6290</v>
      </c>
    </row>
    <row r="133">
      <c r="A133" t="inlineStr">
        <is>
          <t>MD-00129</t>
        </is>
      </c>
      <c r="B133" t="inlineStr">
        <is>
          <t>MD-LA-050129</t>
        </is>
      </c>
      <c r="C133" t="inlineStr">
        <is>
          <t>Laptop</t>
        </is>
      </c>
      <c r="D133" t="inlineStr">
        <is>
          <t>Microsoft Surface Laptop 5</t>
        </is>
      </c>
      <c r="E133" t="inlineStr">
        <is>
          <t>E0063</t>
        </is>
      </c>
      <c r="F133" t="inlineStr">
        <is>
          <t>Seattle</t>
        </is>
      </c>
      <c r="G133" t="inlineStr">
        <is>
          <t>In Use</t>
        </is>
      </c>
      <c r="H133" t="n">
        <v>1985</v>
      </c>
    </row>
    <row r="134">
      <c r="A134" t="inlineStr">
        <is>
          <t>MD-00130</t>
        </is>
      </c>
      <c r="B134" t="inlineStr">
        <is>
          <t>MD-MO-050130</t>
        </is>
      </c>
      <c r="C134" t="inlineStr">
        <is>
          <t>Laptop</t>
        </is>
      </c>
      <c r="D134" t="inlineStr">
        <is>
          <t>Lenovo ThinkPad T14</t>
        </is>
      </c>
      <c r="E134" t="inlineStr">
        <is>
          <t>E0064</t>
        </is>
      </c>
      <c r="F134" t="inlineStr">
        <is>
          <t>Atlanta</t>
        </is>
      </c>
      <c r="G134" t="inlineStr">
        <is>
          <t>In Use</t>
        </is>
      </c>
      <c r="H134" t="n">
        <v>700</v>
      </c>
    </row>
    <row r="135">
      <c r="A135" t="inlineStr">
        <is>
          <t>MD-00131</t>
        </is>
      </c>
      <c r="B135" t="inlineStr">
        <is>
          <t>MD-MO-050131</t>
        </is>
      </c>
      <c r="C135" t="inlineStr">
        <is>
          <t>Laptop</t>
        </is>
      </c>
      <c r="D135" t="inlineStr">
        <is>
          <t>MacBook Pro 14</t>
        </is>
      </c>
      <c r="E135" t="inlineStr">
        <is>
          <t>E0065</t>
        </is>
      </c>
      <c r="F135" t="inlineStr">
        <is>
          <t>Chicago</t>
        </is>
      </c>
      <c r="G135" t="inlineStr">
        <is>
          <t>In Use</t>
        </is>
      </c>
      <c r="H135" t="n">
        <v>1175</v>
      </c>
    </row>
    <row r="136">
      <c r="A136" t="inlineStr">
        <is>
          <t>MD-00132</t>
        </is>
      </c>
      <c r="B136" t="inlineStr">
        <is>
          <t>MD-NE-050132</t>
        </is>
      </c>
      <c r="C136" t="inlineStr">
        <is>
          <t>Laptop</t>
        </is>
      </c>
      <c r="D136" t="inlineStr">
        <is>
          <t>Dell Latitude 7440</t>
        </is>
      </c>
      <c r="E136" t="inlineStr">
        <is>
          <t>E0066</t>
        </is>
      </c>
      <c r="F136" t="inlineStr">
        <is>
          <t>Dallas</t>
        </is>
      </c>
      <c r="G136" t="inlineStr">
        <is>
          <t>In Use</t>
        </is>
      </c>
      <c r="H136" t="n">
        <v>6470</v>
      </c>
    </row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0" customWidth="1" min="4" max="4"/>
    <col width="32" customWidth="1" min="5" max="5"/>
    <col width="13" customWidth="1" min="6" max="6"/>
    <col width="20" customWidth="1" min="7" max="7"/>
  </cols>
  <sheetData>
    <row r="1">
      <c r="A1" s="24" t="inlineStr">
        <is>
          <t>Yanou &amp; Partners IT Services - IT Asset Reconciliation Dashboard</t>
        </is>
      </c>
    </row>
    <row r="2">
      <c r="A2" s="2" t="inlineStr">
        <is>
          <t>Prepared for IT Operations Manager, Finance Controller, HR Operations Lead, and Internal Audit | As of 2026-08-09 | Policy figure and dock image used as leads only</t>
        </is>
      </c>
    </row>
    <row r="4">
      <c r="A4" s="25" t="inlineStr">
        <is>
          <t>KPI</t>
        </is>
      </c>
      <c r="B4" s="25" t="inlineStr">
        <is>
          <t>Value</t>
        </is>
      </c>
    </row>
    <row r="5">
      <c r="A5" s="4" t="inlineStr">
        <is>
          <t>Assets reviewed</t>
        </is>
      </c>
      <c r="B5" s="5" t="n">
        <v>132</v>
      </c>
    </row>
    <row r="6">
      <c r="A6" s="4" t="inlineStr">
        <is>
          <t>Corrected register acquisition cost</t>
        </is>
      </c>
      <c r="B6" s="5" t="n">
        <v>332115</v>
      </c>
    </row>
    <row r="7">
      <c r="A7" s="4" t="inlineStr">
        <is>
          <t>Remaining book value (ledger NBV where present)</t>
        </is>
      </c>
      <c r="B7" s="5" t="n">
        <v>61526.6</v>
      </c>
    </row>
    <row r="8">
      <c r="A8" s="4" t="inlineStr">
        <is>
          <t>Open exceptions</t>
        </is>
      </c>
      <c r="B8" s="5" t="n">
        <v>163</v>
      </c>
    </row>
    <row r="9">
      <c r="A9" s="4" t="inlineStr">
        <is>
          <t>Certification blockers (Critical impact)</t>
        </is>
      </c>
      <c r="B9" s="5" t="n">
        <v>43</v>
      </c>
    </row>
    <row r="10">
      <c r="A10" s="4" t="inlineStr">
        <is>
          <t>Assets Missing / Cannot Locate</t>
        </is>
      </c>
      <c r="B10" s="5" t="n">
        <v>12</v>
      </c>
    </row>
    <row r="11">
      <c r="A11" s="4" t="inlineStr">
        <is>
          <t>Overdue returns (label ≠ proof)</t>
        </is>
      </c>
      <c r="B11" s="5" t="n">
        <v>12</v>
      </c>
    </row>
    <row r="12">
      <c r="A12" s="4" t="inlineStr">
        <is>
          <t>Verified disposed with certificate</t>
        </is>
      </c>
      <c r="B12" s="5" t="n">
        <v>8</v>
      </c>
    </row>
    <row r="13">
      <c r="A13" s="4" t="inlineStr">
        <is>
          <t>Custody chains documented</t>
        </is>
      </c>
      <c r="B13" s="5" t="n">
        <v>65</v>
      </c>
    </row>
    <row r="14">
      <c r="A14" s="4" t="inlineStr">
        <is>
          <t>Multimodal image leads cited</t>
        </is>
      </c>
      <c r="B14" s="5" t="inlineStr">
        <is>
          <t>ITAM_control_matrix.png; receiving_exception_scan_1ZMD00000082.png</t>
        </is>
      </c>
    </row>
    <row r="17">
      <c r="A17" s="6" t="inlineStr">
        <is>
          <t>Asset Counts and Book Value by Verified Status</t>
        </is>
      </c>
      <c r="E17" s="6" t="inlineStr">
        <is>
          <t>By Device Category</t>
        </is>
      </c>
    </row>
    <row r="18">
      <c r="A18" s="3" t="inlineStr">
        <is>
          <t>Verified Status</t>
        </is>
      </c>
      <c r="B18" s="3" t="inlineStr">
        <is>
          <t>Asset Count</t>
        </is>
      </c>
      <c r="C18" s="3" t="inlineStr">
        <is>
          <t>Book Value</t>
        </is>
      </c>
      <c r="E18" s="3" t="inlineStr">
        <is>
          <t>Category</t>
        </is>
      </c>
      <c r="F18" s="3" t="inlineStr">
        <is>
          <t>Asset Count</t>
        </is>
      </c>
      <c r="G18" s="3" t="inlineStr">
        <is>
          <t>Book Value</t>
        </is>
      </c>
    </row>
    <row r="19">
      <c r="A19" s="7" t="inlineStr">
        <is>
          <t>Available</t>
        </is>
      </c>
      <c r="B19" s="7" t="n">
        <v>25</v>
      </c>
      <c r="C19" s="7" t="n">
        <v>12961</v>
      </c>
      <c r="E19" s="7" t="inlineStr">
        <is>
          <t>Laptop</t>
        </is>
      </c>
      <c r="F19" s="7" t="n">
        <v>40</v>
      </c>
      <c r="G19" s="7" t="n">
        <v>13030.88</v>
      </c>
    </row>
    <row r="20">
      <c r="A20" s="7" t="inlineStr">
        <is>
          <t>Disposed</t>
        </is>
      </c>
      <c r="B20" s="7" t="n">
        <v>8</v>
      </c>
      <c r="C20" s="7" t="n">
        <v>0</v>
      </c>
      <c r="E20" s="7" t="inlineStr">
        <is>
          <t>Mobile Device</t>
        </is>
      </c>
      <c r="F20" s="7" t="n">
        <v>36</v>
      </c>
      <c r="G20" s="7" t="n">
        <v>18983.58</v>
      </c>
    </row>
    <row r="21">
      <c r="A21" s="8" t="inlineStr">
        <is>
          <t>In Transit - Exception</t>
        </is>
      </c>
      <c r="B21" s="7" t="n">
        <v>2</v>
      </c>
      <c r="C21" s="7" t="n">
        <v>1019.4</v>
      </c>
      <c r="E21" s="7" t="inlineStr">
        <is>
          <t>Monitor</t>
        </is>
      </c>
      <c r="F21" s="7" t="n">
        <v>28</v>
      </c>
      <c r="G21" s="7" t="n">
        <v>15372.27</v>
      </c>
    </row>
    <row r="22">
      <c r="A22" s="7" t="inlineStr">
        <is>
          <t>In Use</t>
        </is>
      </c>
      <c r="B22" s="7" t="n">
        <v>51</v>
      </c>
      <c r="C22" s="7" t="n">
        <v>25477.76</v>
      </c>
      <c r="E22" s="7" t="inlineStr">
        <is>
          <t>Network Asset</t>
        </is>
      </c>
      <c r="F22" s="7" t="n">
        <v>28</v>
      </c>
      <c r="G22" s="7" t="n">
        <v>14139.87</v>
      </c>
    </row>
    <row r="23">
      <c r="A23" s="8" t="inlineStr">
        <is>
          <t>Missing</t>
        </is>
      </c>
      <c r="B23" s="7" t="n">
        <v>12</v>
      </c>
      <c r="C23" s="7" t="n">
        <v>6214.38</v>
      </c>
    </row>
    <row r="24">
      <c r="A24" s="7" t="inlineStr">
        <is>
          <t>Pending Redeployment</t>
        </is>
      </c>
      <c r="B24" s="7" t="n">
        <v>10</v>
      </c>
      <c r="C24" s="7" t="n">
        <v>4851.08</v>
      </c>
    </row>
    <row r="25">
      <c r="A25" s="7" t="inlineStr">
        <is>
          <t>Retired/Pending Disposal</t>
        </is>
      </c>
      <c r="B25" s="7" t="n">
        <v>12</v>
      </c>
      <c r="C25" s="7" t="n">
        <v>4811.33</v>
      </c>
    </row>
    <row r="26">
      <c r="A26" s="8" t="inlineStr">
        <is>
          <t>Return Overdue</t>
        </is>
      </c>
      <c r="B26" s="7" t="n">
        <v>12</v>
      </c>
      <c r="C26" s="7" t="n">
        <v>6191.65</v>
      </c>
    </row>
    <row r="30">
      <c r="A30" s="6" t="inlineStr">
        <is>
          <t>By Verified Location</t>
        </is>
      </c>
      <c r="E30" s="6" t="inlineStr">
        <is>
          <t>Open Exceptions by Type</t>
        </is>
      </c>
    </row>
    <row r="31">
      <c r="A31" s="3" t="inlineStr">
        <is>
          <t>Verified Location</t>
        </is>
      </c>
      <c r="B31" s="3" t="inlineStr">
        <is>
          <t>Asset Count</t>
        </is>
      </c>
      <c r="C31" s="3" t="inlineStr">
        <is>
          <t>Book Value</t>
        </is>
      </c>
      <c r="E31" s="3" t="inlineStr">
        <is>
          <t>Type</t>
        </is>
      </c>
      <c r="F31" s="3" t="inlineStr">
        <is>
          <t>Count</t>
        </is>
      </c>
      <c r="G31" s="3" t="inlineStr">
        <is>
          <t>Financial Exposure</t>
        </is>
      </c>
    </row>
    <row r="32">
      <c r="A32" s="7" t="inlineStr">
        <is>
          <t>Chicago</t>
        </is>
      </c>
      <c r="B32" s="7" t="n">
        <v>16</v>
      </c>
      <c r="C32" s="7" t="n">
        <v>5184.18</v>
      </c>
      <c r="E32" s="7" t="inlineStr">
        <is>
          <t>Cannot Locate</t>
        </is>
      </c>
      <c r="F32" s="7" t="n">
        <v>12</v>
      </c>
      <c r="G32" s="7" t="n">
        <v>6214.38</v>
      </c>
    </row>
    <row r="33">
      <c r="A33" s="7" t="inlineStr">
        <is>
          <t>Atlanta</t>
        </is>
      </c>
      <c r="B33" s="7" t="n">
        <v>15</v>
      </c>
      <c r="C33" s="7" t="n">
        <v>6267.29</v>
      </c>
      <c r="E33" s="7" t="inlineStr">
        <is>
          <t>Closed Location Assignment</t>
        </is>
      </c>
      <c r="F33" s="7" t="n">
        <v>61</v>
      </c>
      <c r="G33" s="7" t="n">
        <v>29063.84</v>
      </c>
    </row>
    <row r="34">
      <c r="A34" s="7" t="inlineStr">
        <is>
          <t>Dallas</t>
        </is>
      </c>
      <c r="B34" s="7" t="n">
        <v>15</v>
      </c>
      <c r="C34" s="7" t="n">
        <v>11070.95</v>
      </c>
      <c r="E34" s="7" t="inlineStr">
        <is>
          <t>Duplicate Serial Number</t>
        </is>
      </c>
      <c r="F34" s="7" t="n">
        <v>4</v>
      </c>
      <c r="G34" s="7" t="n">
        <v>2503.11</v>
      </c>
    </row>
    <row r="35">
      <c r="A35" s="7" t="inlineStr">
        <is>
          <t>Seattle</t>
        </is>
      </c>
      <c r="B35" s="7" t="n">
        <v>15</v>
      </c>
      <c r="C35" s="7" t="n">
        <v>5149.95</v>
      </c>
      <c r="E35" s="7" t="inlineStr">
        <is>
          <t>Former Employee Assignment</t>
        </is>
      </c>
      <c r="F35" s="7" t="n">
        <v>43</v>
      </c>
      <c r="G35" s="7" t="n">
        <v>22627.56</v>
      </c>
    </row>
    <row r="36">
      <c r="A36" s="7" t="inlineStr">
        <is>
          <t>Denver</t>
        </is>
      </c>
      <c r="B36" s="7" t="n">
        <v>14</v>
      </c>
      <c r="C36" s="7" t="n">
        <v>5551.75</v>
      </c>
      <c r="E36" s="7" t="inlineStr">
        <is>
          <t>Inventory-to-Ledger Difference</t>
        </is>
      </c>
      <c r="F36" s="7" t="n">
        <v>8</v>
      </c>
      <c r="G36" s="7" t="n">
        <v>7275</v>
      </c>
    </row>
    <row r="37">
      <c r="A37" s="7" t="inlineStr">
        <is>
          <t>New York</t>
        </is>
      </c>
      <c r="B37" s="7" t="n">
        <v>14</v>
      </c>
      <c r="C37" s="7" t="n">
        <v>10526</v>
      </c>
      <c r="E37" s="7" t="inlineStr">
        <is>
          <t>Missing Disposal Evidence</t>
        </is>
      </c>
      <c r="F37" s="7" t="n">
        <v>12</v>
      </c>
      <c r="G37" s="7" t="n">
        <v>4811.33</v>
      </c>
    </row>
    <row r="38">
      <c r="A38" s="7" t="inlineStr">
        <is>
          <t>Unknown</t>
        </is>
      </c>
      <c r="B38" s="7" t="n">
        <v>12</v>
      </c>
      <c r="C38" s="7" t="n">
        <v>6214.38</v>
      </c>
      <c r="E38" s="7" t="inlineStr">
        <is>
          <t>Overdue Return</t>
        </is>
      </c>
      <c r="F38" s="7" t="n">
        <v>12</v>
      </c>
      <c r="G38" s="7" t="n">
        <v>6191.65</v>
      </c>
    </row>
    <row r="39">
      <c r="A39" s="7" t="inlineStr">
        <is>
          <t>Remote - Former Employee</t>
        </is>
      </c>
      <c r="B39" s="7" t="n">
        <v>10</v>
      </c>
      <c r="C39" s="7" t="n">
        <v>4878.51</v>
      </c>
      <c r="E39" s="7" t="inlineStr">
        <is>
          <t>Shipment Mismatch</t>
        </is>
      </c>
      <c r="F39" s="7" t="n">
        <v>4</v>
      </c>
      <c r="G39" s="7" t="n">
        <v>2332.54</v>
      </c>
    </row>
    <row r="40">
      <c r="A40" s="7" t="inlineStr">
        <is>
          <t>Disposed</t>
        </is>
      </c>
      <c r="B40" s="7" t="n">
        <v>8</v>
      </c>
      <c r="C40" s="7" t="n">
        <v>0</v>
      </c>
      <c r="E40" s="7" t="inlineStr">
        <is>
          <t>Unapproved Transfer</t>
        </is>
      </c>
      <c r="F40" s="7" t="n">
        <v>5</v>
      </c>
      <c r="G40" s="7" t="n">
        <v>2869.32</v>
      </c>
    </row>
    <row r="41">
      <c r="A41" s="7" t="inlineStr">
        <is>
          <t>Atlanta Warehouse</t>
        </is>
      </c>
      <c r="B41" s="7" t="n">
        <v>7</v>
      </c>
      <c r="C41" s="7" t="n">
        <v>4351.05</v>
      </c>
      <c r="E41" t="inlineStr">
        <is>
          <t>Below Capitalization Threshold</t>
        </is>
      </c>
      <c r="F41" t="n">
        <v>2</v>
      </c>
      <c r="G41" t="n">
        <v>0</v>
      </c>
    </row>
    <row r="42">
      <c r="A42" s="7" t="inlineStr">
        <is>
          <t>Carrier Network / Unverified</t>
        </is>
      </c>
      <c r="B42" s="7" t="n">
        <v>4</v>
      </c>
      <c r="C42" s="7" t="n">
        <v>2332.54</v>
      </c>
    </row>
    <row r="43">
      <c r="A43" s="7" t="inlineStr">
        <is>
          <t>Disposed (certificate missing)</t>
        </is>
      </c>
      <c r="B43" s="7" t="n">
        <v>2</v>
      </c>
      <c r="C43" s="7" t="n">
        <v>0</v>
      </c>
    </row>
    <row r="45">
      <c r="A45" s="19" t="inlineStr">
        <is>
          <t>Key finding - Duplicate serial identities (both pairs)</t>
        </is>
      </c>
    </row>
    <row r="46">
      <c r="A46" s="20" t="inlineStr">
        <is>
          <t>Duplicate Serial</t>
        </is>
      </c>
      <c r="B46" s="20" t="inlineStr">
        <is>
          <t>Asset Tags Sharing This Serial</t>
        </is>
      </c>
      <c r="C46" s="20" t="inlineStr">
        <is>
          <t>Exception IDs</t>
        </is>
      </c>
    </row>
    <row r="47">
      <c r="A47" s="21" t="inlineStr">
        <is>
          <t>MD-LA-050021</t>
        </is>
      </c>
      <c r="B47" s="21" t="inlineStr">
        <is>
          <t>MD-00021 and MD-00025</t>
        </is>
      </c>
      <c r="C47" s="21" t="inlineStr">
        <is>
          <t>EX-0002; EX-0004</t>
        </is>
      </c>
    </row>
    <row r="48">
      <c r="A48" s="21" t="inlineStr">
        <is>
          <t>MD-NE-050088</t>
        </is>
      </c>
      <c r="B48" s="21" t="inlineStr">
        <is>
          <t>MD-00088 and MD-00092</t>
        </is>
      </c>
      <c r="C48" s="21" t="inlineStr">
        <is>
          <t>EX-0102; EX-0111</t>
        </is>
      </c>
    </row>
    <row r="49">
      <c r="A49" s="22" t="inlineStr">
        <is>
          <t>Flags duplicate serial MD-LA-050021 across MD-00021 and MD-00025, and duplicate serial MD-NE-050088 across MD-00088 and MD-00092.</t>
        </is>
      </c>
    </row>
  </sheetData>
  <mergeCells count="4">
    <mergeCell ref="A45:C45"/>
    <mergeCell ref="A2:G2"/>
    <mergeCell ref="A49:G4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21" customWidth="1" min="4" max="4"/>
    <col width="20" customWidth="1" min="5" max="5"/>
    <col width="19" customWidth="1" min="6" max="6"/>
    <col width="17" customWidth="1" min="7" max="7"/>
    <col width="20" customWidth="1" min="8" max="8"/>
    <col width="30" customWidth="1" min="9" max="9"/>
    <col width="24" customWidth="1" min="10" max="10"/>
    <col width="36" customWidth="1" min="11" max="11"/>
    <col width="20" customWidth="1" min="12" max="12"/>
    <col width="18" customWidth="1" min="13" max="13"/>
    <col width="22" customWidth="1" min="14" max="14"/>
    <col width="17" customWidth="1" min="15" max="15"/>
    <col width="13" customWidth="1" min="16" max="16"/>
    <col width="12" customWidth="1" min="17" max="17"/>
    <col width="27" customWidth="1" min="18" max="18"/>
    <col width="21" customWidth="1" min="19" max="19"/>
  </cols>
  <sheetData>
    <row r="1">
      <c r="A1" s="24" t="inlineStr">
        <is>
          <t>Corrected Asset Register</t>
        </is>
      </c>
    </row>
    <row r="2">
      <c r="A2" s="2" t="inlineStr">
        <is>
          <t>Every reviewed asset with verified custodian, location, status, evidence (including multimodal leads where applicable), cost, book value, and confidence. As of 2026-08-09.</t>
        </is>
      </c>
    </row>
    <row r="4">
      <c r="A4" s="25" t="inlineStr">
        <is>
          <t>Asset Tag</t>
        </is>
      </c>
      <c r="B4" s="25" t="inlineStr">
        <is>
          <t>Serial Number</t>
        </is>
      </c>
      <c r="C4" s="25" t="inlineStr">
        <is>
          <t>Category</t>
        </is>
      </c>
      <c r="D4" s="25" t="inlineStr">
        <is>
          <t>Model</t>
        </is>
      </c>
      <c r="E4" s="25" t="inlineStr">
        <is>
          <t>Register Custodian</t>
        </is>
      </c>
      <c r="F4" s="25" t="inlineStr">
        <is>
          <t>Register Location</t>
        </is>
      </c>
      <c r="G4" s="25" t="inlineStr">
        <is>
          <t>Register Status</t>
        </is>
      </c>
      <c r="H4" s="25" t="inlineStr">
        <is>
          <t>Verified Custodian</t>
        </is>
      </c>
      <c r="I4" s="25" t="inlineStr">
        <is>
          <t>Verified Location</t>
        </is>
      </c>
      <c r="J4" s="25" t="inlineStr">
        <is>
          <t>Verified Status</t>
        </is>
      </c>
      <c r="K4" s="25" t="inlineStr">
        <is>
          <t>Evidence Source</t>
        </is>
      </c>
      <c r="L4" s="25" t="inlineStr">
        <is>
          <t>Last Verified Date</t>
        </is>
      </c>
      <c r="M4" s="25" t="inlineStr">
        <is>
          <t>Acquisition Cost</t>
        </is>
      </c>
      <c r="N4" s="25" t="inlineStr">
        <is>
          <t>Remaining Book Value</t>
        </is>
      </c>
      <c r="O4" s="25" t="inlineStr">
        <is>
          <t>Ledger Asset ID</t>
        </is>
      </c>
      <c r="P4" s="25" t="inlineStr">
        <is>
          <t>Capitalized</t>
        </is>
      </c>
      <c r="Q4" s="25" t="inlineStr">
        <is>
          <t>Confidence</t>
        </is>
      </c>
      <c r="R4" s="25" t="inlineStr">
        <is>
          <t>Exception IDs</t>
        </is>
      </c>
      <c r="S4" s="25" t="inlineStr">
        <is>
          <t>Escalation Required</t>
        </is>
      </c>
      <c r="T4" t="inlineStr">
        <is>
          <t>Ledger Acquisition Cost</t>
        </is>
      </c>
      <c r="U4" t="inlineStr">
        <is>
          <t>Ledger Status</t>
        </is>
      </c>
      <c r="V4" t="inlineStr">
        <is>
          <t>FA Net Book Value</t>
        </is>
      </c>
      <c r="W4" t="inlineStr">
        <is>
          <t>Ledger vs Register Cost Diff</t>
        </is>
      </c>
      <c r="X4" t="inlineStr">
        <is>
          <t>Book Value Present</t>
        </is>
      </c>
    </row>
    <row r="5">
      <c r="A5" s="7" t="inlineStr">
        <is>
          <t>MD-00001</t>
        </is>
      </c>
      <c r="B5" s="7">
        <f>IFERROR(XLOOKUP(A5,'Source Inventory'!$A$5:$A$200,'Source Inventory'!$B$5:$B$200),"")</f>
        <v/>
      </c>
      <c r="C5" s="7">
        <f>IFERROR(XLOOKUP(A5,'Source Inventory'!$A$5:$A$200,'Source Inventory'!$C$5:$C$200),"")</f>
        <v/>
      </c>
      <c r="D5" s="7">
        <f>IFERROR(XLOOKUP(A5,'Source Inventory'!$A$5:$A$200,'Source Inventory'!$D$5:$D$200),"")</f>
        <v/>
      </c>
      <c r="E5" s="7">
        <f>IFERROR(XLOOKUP(A5,'Source Inventory'!$A$5:$A$200,'Source Inventory'!$E$5:$E$200),"")</f>
        <v/>
      </c>
      <c r="F5" s="7">
        <f>IFERROR(XLOOKUP(A5,'Source Inventory'!$A$5:$A$200,'Source Inventory'!$F$5:$F$200),"")</f>
        <v/>
      </c>
      <c r="G5" s="7">
        <f>IFERROR(XLOOKUP(A5,'Source Inventory'!$A$5:$A$200,'Source Inventory'!$G$5:$G$200),"")</f>
        <v/>
      </c>
      <c r="H5" s="7" t="inlineStr">
        <is>
          <t>E0001</t>
        </is>
      </c>
      <c r="I5" s="7" t="inlineStr">
        <is>
          <t>Chicago</t>
        </is>
      </c>
      <c r="J5" s="7" t="inlineStr">
        <is>
          <t>In Use</t>
        </is>
      </c>
      <c r="K5" s="7" t="inlineStr">
        <is>
          <t>Files reviewed for MD-00001: HP EliteBook 840 G10, basis $1895, operating site Chicago, status In Use. Source Ledger FA-000001; net book value $0. equipment_transfer_log TR-00001 posted Jan 21, 2026; inbound 2026-01-21 approval APR-00001. hr_employee_status lists Priya Shah (E0001) as Active. hardware_purchase_orders.csv ties MD-00001 to PO-2022-0001.</t>
        </is>
      </c>
      <c r="L5" s="7" t="inlineStr">
        <is>
          <t>2026-08-05</t>
        </is>
      </c>
      <c r="M5" s="7">
        <f>IFERROR(XLOOKUP(A5,'Source Inventory'!$A$5:$A$200,'Source Inventory'!$H$5:$H$200),"")</f>
        <v/>
      </c>
      <c r="N5" s="7" t="n">
        <v>0</v>
      </c>
      <c r="O5" s="7">
        <f>IFERROR(XLOOKUP(A5,'Source Ledger'!$B$5:$B$200,'Source Ledger'!$A$5:$A$200),"")</f>
        <v/>
      </c>
      <c r="P5" s="7">
        <f>IFERROR(XLOOKUP(A5,'Source Ledger'!$B$5:$B$200,'Source Ledger'!$D$5:$D$200),"")</f>
        <v/>
      </c>
      <c r="Q5" s="9" t="inlineStr">
        <is>
          <t>High</t>
        </is>
      </c>
      <c r="R5" s="7" t="inlineStr"/>
      <c r="S5" s="7">
        <f>IF(OR(R5="",R5=0),"No","Yes")</f>
        <v/>
      </c>
      <c r="T5">
        <f>IFERROR(XLOOKUP(A5,'Source Ledger'!$B$5:$B$200,'Source Ledger'!$E$5:$E$200),"")</f>
        <v/>
      </c>
      <c r="U5">
        <f>IFERROR(XLOOKUP(A5,'Source Ledger'!$B$5:$B$200,'Source Ledger'!$H$5:$H$200),"")</f>
        <v/>
      </c>
      <c r="V5">
        <f>IFERROR(XLOOKUP(A5,'Source Ledger'!$B$5:$B$200,'Source Ledger'!$G$5:$G$200),"")</f>
        <v/>
      </c>
      <c r="W5">
        <f>IF(OR(M5="",T5=""),"",T5-M5)</f>
        <v/>
      </c>
      <c r="X5">
        <f>IF(V5="","No","Yes")</f>
        <v/>
      </c>
    </row>
    <row r="6">
      <c r="A6" s="7" t="inlineStr">
        <is>
          <t>MD-00002</t>
        </is>
      </c>
      <c r="B6" s="7">
        <f>IFERROR(XLOOKUP(A6,'Source Inventory'!$A$5:$A$200,'Source Inventory'!$B$5:$B$200),"")</f>
        <v/>
      </c>
      <c r="C6" s="7">
        <f>IFERROR(XLOOKUP(A6,'Source Inventory'!$A$5:$A$200,'Source Inventory'!$C$5:$C$200),"")</f>
        <v/>
      </c>
      <c r="D6" s="7">
        <f>IFERROR(XLOOKUP(A6,'Source Inventory'!$A$5:$A$200,'Source Inventory'!$D$5:$D$200),"")</f>
        <v/>
      </c>
      <c r="E6" s="7">
        <f>IFERROR(XLOOKUP(A6,'Source Inventory'!$A$5:$A$200,'Source Inventory'!$E$5:$E$200),"")</f>
        <v/>
      </c>
      <c r="F6" s="7">
        <f>IFERROR(XLOOKUP(A6,'Source Inventory'!$A$5:$A$200,'Source Inventory'!$F$5:$F$200),"")</f>
        <v/>
      </c>
      <c r="G6" s="7">
        <f>IFERROR(XLOOKUP(A6,'Source Inventory'!$A$5:$A$200,'Source Inventory'!$G$5:$G$200),"")</f>
        <v/>
      </c>
      <c r="H6" s="7" t="inlineStr">
        <is>
          <t>E0002</t>
        </is>
      </c>
      <c r="I6" s="7" t="inlineStr">
        <is>
          <t>Dallas</t>
        </is>
      </c>
      <c r="J6" s="7" t="inlineStr">
        <is>
          <t>In Use</t>
        </is>
      </c>
      <c r="K6" s="7" t="inlineStr">
        <is>
          <t>Cross-checked MD-00002 (MD-MO-050002, Microsoft Surface Laptop 5) against HR, transfers, and ledger extracts. Source Ledger FA-000002; net book value $313.06. equipment_transfer_log TR-00002 posted Feb 23, 2026; inbound 2026-02-25 approval APR-00002. hr_employee_status lists Marcus Ellison (E0002) as Active. capital PO PO-2022-0001 supports the cost basis.</t>
        </is>
      </c>
      <c r="L6" s="7" t="inlineStr">
        <is>
          <t>2026-08-05</t>
        </is>
      </c>
      <c r="M6" s="7">
        <f>IFERROR(XLOOKUP(A6,'Source Inventory'!$A$5:$A$200,'Source Inventory'!$H$5:$H$200),"")</f>
        <v/>
      </c>
      <c r="N6" s="7" t="n">
        <v>313.06</v>
      </c>
      <c r="O6" s="7">
        <f>IFERROR(XLOOKUP(A6,'Source Ledger'!$B$5:$B$200,'Source Ledger'!$A$5:$A$200),"")</f>
        <v/>
      </c>
      <c r="P6" s="7">
        <f>IFERROR(XLOOKUP(A6,'Source Ledger'!$B$5:$B$200,'Source Ledger'!$D$5:$D$200),"")</f>
        <v/>
      </c>
      <c r="Q6" s="9" t="inlineStr">
        <is>
          <t>High</t>
        </is>
      </c>
      <c r="R6" s="7" t="inlineStr"/>
      <c r="S6" s="7">
        <f>IF(OR(R6="",R6=0),"No","Yes")</f>
        <v/>
      </c>
      <c r="T6">
        <f>IFERROR(XLOOKUP(A6,'Source Ledger'!$B$5:$B$200,'Source Ledger'!$E$5:$E$200),"")</f>
        <v/>
      </c>
      <c r="U6">
        <f>IFERROR(XLOOKUP(A6,'Source Ledger'!$B$5:$B$200,'Source Ledger'!$H$5:$H$200),"")</f>
        <v/>
      </c>
      <c r="V6">
        <f>IFERROR(XLOOKUP(A6,'Source Ledger'!$B$5:$B$200,'Source Ledger'!$G$5:$G$200),"")</f>
        <v/>
      </c>
      <c r="W6">
        <f>IF(OR(M6="",T6=""),"",T6-M6)</f>
        <v/>
      </c>
      <c r="X6">
        <f>IF(V6="","No","Yes")</f>
        <v/>
      </c>
    </row>
    <row r="7">
      <c r="A7" s="7" t="inlineStr">
        <is>
          <t>MD-00003</t>
        </is>
      </c>
      <c r="B7" s="7">
        <f>IFERROR(XLOOKUP(A7,'Source Inventory'!$A$5:$A$200,'Source Inventory'!$B$5:$B$200),"")</f>
        <v/>
      </c>
      <c r="C7" s="7">
        <f>IFERROR(XLOOKUP(A7,'Source Inventory'!$A$5:$A$200,'Source Inventory'!$C$5:$C$200),"")</f>
        <v/>
      </c>
      <c r="D7" s="7">
        <f>IFERROR(XLOOKUP(A7,'Source Inventory'!$A$5:$A$200,'Source Inventory'!$D$5:$D$200),"")</f>
        <v/>
      </c>
      <c r="E7" s="7">
        <f>IFERROR(XLOOKUP(A7,'Source Inventory'!$A$5:$A$200,'Source Inventory'!$E$5:$E$200),"")</f>
        <v/>
      </c>
      <c r="F7" s="7">
        <f>IFERROR(XLOOKUP(A7,'Source Inventory'!$A$5:$A$200,'Source Inventory'!$F$5:$F$200),"")</f>
        <v/>
      </c>
      <c r="G7" s="7">
        <f>IFERROR(XLOOKUP(A7,'Source Inventory'!$A$5:$A$200,'Source Inventory'!$G$5:$G$200),"")</f>
        <v/>
      </c>
      <c r="H7" s="7" t="inlineStr">
        <is>
          <t>E0003</t>
        </is>
      </c>
      <c r="I7" s="7" t="inlineStr">
        <is>
          <t>Denver</t>
        </is>
      </c>
      <c r="J7" s="7" t="inlineStr">
        <is>
          <t>In Use</t>
        </is>
      </c>
      <c r="K7" s="7" t="inlineStr">
        <is>
          <t>Cross-checked MD-00003 (MD-MO-050003, Lenovo ThinkPad X1 Carbon) against HR, transfers, and ledger extracts. Source Ledger FA-000003; net book value $597.83. equipment_transfer_log TR-00003 posted Mar 31, 2026; inbound 2026-04-03 approval APR-00003. hr_employee_status lists Elena Kovacs (E0003) as Active. hardware_purchase_orders.csv ties MD-00003 to PO-2022-0001.</t>
        </is>
      </c>
      <c r="L7" s="7" t="inlineStr">
        <is>
          <t>2026-08-05</t>
        </is>
      </c>
      <c r="M7" s="7">
        <f>IFERROR(XLOOKUP(A7,'Source Inventory'!$A$5:$A$200,'Source Inventory'!$H$5:$H$200),"")</f>
        <v/>
      </c>
      <c r="N7" s="7" t="n">
        <v>597.83</v>
      </c>
      <c r="O7" s="7">
        <f>IFERROR(XLOOKUP(A7,'Source Ledger'!$B$5:$B$200,'Source Ledger'!$A$5:$A$200),"")</f>
        <v/>
      </c>
      <c r="P7" s="7">
        <f>IFERROR(XLOOKUP(A7,'Source Ledger'!$B$5:$B$200,'Source Ledger'!$D$5:$D$200),"")</f>
        <v/>
      </c>
      <c r="Q7" s="9" t="inlineStr">
        <is>
          <t>High</t>
        </is>
      </c>
      <c r="R7" s="7" t="inlineStr"/>
      <c r="S7" s="7">
        <f>IF(OR(R7="",R7=0),"No","Yes")</f>
        <v/>
      </c>
      <c r="T7">
        <f>IFERROR(XLOOKUP(A7,'Source Ledger'!$B$5:$B$200,'Source Ledger'!$E$5:$E$200),"")</f>
        <v/>
      </c>
      <c r="U7">
        <f>IFERROR(XLOOKUP(A7,'Source Ledger'!$B$5:$B$200,'Source Ledger'!$H$5:$H$200),"")</f>
        <v/>
      </c>
      <c r="V7">
        <f>IFERROR(XLOOKUP(A7,'Source Ledger'!$B$5:$B$200,'Source Ledger'!$G$5:$G$200),"")</f>
        <v/>
      </c>
      <c r="W7">
        <f>IF(OR(M7="",T7=""),"",T7-M7)</f>
        <v/>
      </c>
      <c r="X7">
        <f>IF(V7="","No","Yes")</f>
        <v/>
      </c>
    </row>
    <row r="8">
      <c r="A8" s="7" t="inlineStr">
        <is>
          <t>MD-00004</t>
        </is>
      </c>
      <c r="B8" s="7">
        <f>IFERROR(XLOOKUP(A8,'Source Inventory'!$A$5:$A$200,'Source Inventory'!$B$5:$B$200),"")</f>
        <v/>
      </c>
      <c r="C8" s="7">
        <f>IFERROR(XLOOKUP(A8,'Source Inventory'!$A$5:$A$200,'Source Inventory'!$C$5:$C$200),"")</f>
        <v/>
      </c>
      <c r="D8" s="7">
        <f>IFERROR(XLOOKUP(A8,'Source Inventory'!$A$5:$A$200,'Source Inventory'!$D$5:$D$200),"")</f>
        <v/>
      </c>
      <c r="E8" s="7">
        <f>IFERROR(XLOOKUP(A8,'Source Inventory'!$A$5:$A$200,'Source Inventory'!$E$5:$E$200),"")</f>
        <v/>
      </c>
      <c r="F8" s="7">
        <f>IFERROR(XLOOKUP(A8,'Source Inventory'!$A$5:$A$200,'Source Inventory'!$F$5:$F$200),"")</f>
        <v/>
      </c>
      <c r="G8" s="7">
        <f>IFERROR(XLOOKUP(A8,'Source Inventory'!$A$5:$A$200,'Source Inventory'!$G$5:$G$200),"")</f>
        <v/>
      </c>
      <c r="H8" s="7" t="inlineStr">
        <is>
          <t>E0004</t>
        </is>
      </c>
      <c r="I8" s="7" t="inlineStr">
        <is>
          <t>New York</t>
        </is>
      </c>
      <c r="J8" s="7" t="inlineStr">
        <is>
          <t>In Use</t>
        </is>
      </c>
      <c r="K8" s="7" t="inlineStr">
        <is>
          <t>Cross-checked MD-00004 (MD-NE-050004, Lenovo ThinkPad T14) against HR, transfers, and ledger extracts. Source Ledger FA-000004; net book value $940.62. equipment_transfer_log TR-00004 posted May 01, 2026; inbound 2026-05-01 approval APR-00004. hr_employee_status lists James Whitaker (E0004) as Active. hardware_purchase_orders.csv ties MD-00004 to PO-2023-0002.</t>
        </is>
      </c>
      <c r="L8" s="7" t="inlineStr">
        <is>
          <t>2026-08-05</t>
        </is>
      </c>
      <c r="M8" s="7">
        <f>IFERROR(XLOOKUP(A8,'Source Inventory'!$A$5:$A$200,'Source Inventory'!$H$5:$H$200),"")</f>
        <v/>
      </c>
      <c r="N8" s="7" t="n">
        <v>940.62</v>
      </c>
      <c r="O8" s="7">
        <f>IFERROR(XLOOKUP(A8,'Source Ledger'!$B$5:$B$200,'Source Ledger'!$A$5:$A$200),"")</f>
        <v/>
      </c>
      <c r="P8" s="7">
        <f>IFERROR(XLOOKUP(A8,'Source Ledger'!$B$5:$B$200,'Source Ledger'!$D$5:$D$200),"")</f>
        <v/>
      </c>
      <c r="Q8" s="9" t="inlineStr">
        <is>
          <t>High</t>
        </is>
      </c>
      <c r="R8" s="7" t="inlineStr"/>
      <c r="S8" s="7">
        <f>IF(OR(R8="",R8=0),"No","Yes")</f>
        <v/>
      </c>
      <c r="T8">
        <f>IFERROR(XLOOKUP(A8,'Source Ledger'!$B$5:$B$200,'Source Ledger'!$E$5:$E$200),"")</f>
        <v/>
      </c>
      <c r="U8">
        <f>IFERROR(XLOOKUP(A8,'Source Ledger'!$B$5:$B$200,'Source Ledger'!$H$5:$H$200),"")</f>
        <v/>
      </c>
      <c r="V8">
        <f>IFERROR(XLOOKUP(A8,'Source Ledger'!$B$5:$B$200,'Source Ledger'!$G$5:$G$200),"")</f>
        <v/>
      </c>
      <c r="W8">
        <f>IF(OR(M8="",T8=""),"",T8-M8)</f>
        <v/>
      </c>
      <c r="X8">
        <f>IF(V8="","No","Yes")</f>
        <v/>
      </c>
    </row>
    <row r="9">
      <c r="A9" s="7" t="inlineStr">
        <is>
          <t>MD-00005</t>
        </is>
      </c>
      <c r="B9" s="7">
        <f>IFERROR(XLOOKUP(A9,'Source Inventory'!$A$5:$A$200,'Source Inventory'!$B$5:$B$200),"")</f>
        <v/>
      </c>
      <c r="C9" s="7">
        <f>IFERROR(XLOOKUP(A9,'Source Inventory'!$A$5:$A$200,'Source Inventory'!$C$5:$C$200),"")</f>
        <v/>
      </c>
      <c r="D9" s="7">
        <f>IFERROR(XLOOKUP(A9,'Source Inventory'!$A$5:$A$200,'Source Inventory'!$D$5:$D$200),"")</f>
        <v/>
      </c>
      <c r="E9" s="7">
        <f>IFERROR(XLOOKUP(A9,'Source Inventory'!$A$5:$A$200,'Source Inventory'!$E$5:$E$200),"")</f>
        <v/>
      </c>
      <c r="F9" s="7">
        <f>IFERROR(XLOOKUP(A9,'Source Inventory'!$A$5:$A$200,'Source Inventory'!$F$5:$F$200),"")</f>
        <v/>
      </c>
      <c r="G9" s="7">
        <f>IFERROR(XLOOKUP(A9,'Source Inventory'!$A$5:$A$200,'Source Inventory'!$G$5:$G$200),"")</f>
        <v/>
      </c>
      <c r="H9" s="7" t="inlineStr">
        <is>
          <t>E0005</t>
        </is>
      </c>
      <c r="I9" s="7" t="inlineStr">
        <is>
          <t>Seattle</t>
        </is>
      </c>
      <c r="J9" s="7" t="inlineStr">
        <is>
          <t>In Use</t>
        </is>
      </c>
      <c r="K9" s="7" t="inlineStr">
        <is>
          <t>Reconciliation packet cites MD-00005 with acquisition $2075 and custody In Use at Seattle. Source Ledger FA-000005; net book value $0. capital PO PO-2023-0002 supports the cost basis. equipment_transfer_log TR-00005 posted Jun 05, 2026; inbound 2026-06-08 approval APR-00005. hr_employee_status lists Aisha Rahman (E0005) as Active.</t>
        </is>
      </c>
      <c r="L9" s="7" t="inlineStr">
        <is>
          <t>2026-08-05</t>
        </is>
      </c>
      <c r="M9" s="7">
        <f>IFERROR(XLOOKUP(A9,'Source Inventory'!$A$5:$A$200,'Source Inventory'!$H$5:$H$200),"")</f>
        <v/>
      </c>
      <c r="N9" s="7" t="n">
        <v>0</v>
      </c>
      <c r="O9" s="7">
        <f>IFERROR(XLOOKUP(A9,'Source Ledger'!$B$5:$B$200,'Source Ledger'!$A$5:$A$200),"")</f>
        <v/>
      </c>
      <c r="P9" s="7">
        <f>IFERROR(XLOOKUP(A9,'Source Ledger'!$B$5:$B$200,'Source Ledger'!$D$5:$D$200),"")</f>
        <v/>
      </c>
      <c r="Q9" s="9" t="inlineStr">
        <is>
          <t>High</t>
        </is>
      </c>
      <c r="R9" s="7" t="inlineStr"/>
      <c r="S9" s="7">
        <f>IF(OR(R9="",R9=0),"No","Yes")</f>
        <v/>
      </c>
      <c r="T9">
        <f>IFERROR(XLOOKUP(A9,'Source Ledger'!$B$5:$B$200,'Source Ledger'!$E$5:$E$200),"")</f>
        <v/>
      </c>
      <c r="U9">
        <f>IFERROR(XLOOKUP(A9,'Source Ledger'!$B$5:$B$200,'Source Ledger'!$H$5:$H$200),"")</f>
        <v/>
      </c>
      <c r="V9">
        <f>IFERROR(XLOOKUP(A9,'Source Ledger'!$B$5:$B$200,'Source Ledger'!$G$5:$G$200),"")</f>
        <v/>
      </c>
      <c r="W9">
        <f>IF(OR(M9="",T9=""),"",T9-M9)</f>
        <v/>
      </c>
      <c r="X9">
        <f>IF(V9="","No","Yes")</f>
        <v/>
      </c>
    </row>
    <row r="10">
      <c r="A10" s="7" t="inlineStr">
        <is>
          <t>MD-00006</t>
        </is>
      </c>
      <c r="B10" s="7">
        <f>IFERROR(XLOOKUP(A10,'Source Inventory'!$A$5:$A$200,'Source Inventory'!$B$5:$B$200),"")</f>
        <v/>
      </c>
      <c r="C10" s="7">
        <f>IFERROR(XLOOKUP(A10,'Source Inventory'!$A$5:$A$200,'Source Inventory'!$C$5:$C$200),"")</f>
        <v/>
      </c>
      <c r="D10" s="7">
        <f>IFERROR(XLOOKUP(A10,'Source Inventory'!$A$5:$A$200,'Source Inventory'!$D$5:$D$200),"")</f>
        <v/>
      </c>
      <c r="E10" s="7">
        <f>IFERROR(XLOOKUP(A10,'Source Inventory'!$A$5:$A$200,'Source Inventory'!$E$5:$E$200),"")</f>
        <v/>
      </c>
      <c r="F10" s="7">
        <f>IFERROR(XLOOKUP(A10,'Source Inventory'!$A$5:$A$200,'Source Inventory'!$F$5:$F$200),"")</f>
        <v/>
      </c>
      <c r="G10" s="7">
        <f>IFERROR(XLOOKUP(A10,'Source Inventory'!$A$5:$A$200,'Source Inventory'!$G$5:$G$200),"")</f>
        <v/>
      </c>
      <c r="H10" s="7" t="inlineStr">
        <is>
          <t>E0006</t>
        </is>
      </c>
      <c r="I10" s="7" t="inlineStr">
        <is>
          <t>Atlanta</t>
        </is>
      </c>
      <c r="J10" s="7" t="inlineStr">
        <is>
          <t>In Use</t>
        </is>
      </c>
      <c r="K10" s="7" t="inlineStr">
        <is>
          <t>Cross-checked MD-00006 (MD-MO-050006, Dell Latitude 7440) against HR, transfers, and ledger extracts. Source Ledger FA-000006; net book value $459.94. equipment_transfer_log TR-00006 posted Jan 10, 2026; inbound 2026-01-12 approval APR-00006. hr_employee_status lists Colin Bergstrom (E0006) as Active. order PO-2023-0002 appears in the purchasing extract.</t>
        </is>
      </c>
      <c r="L10" s="7" t="inlineStr">
        <is>
          <t>2026-08-05</t>
        </is>
      </c>
      <c r="M10" s="7">
        <f>IFERROR(XLOOKUP(A10,'Source Inventory'!$A$5:$A$200,'Source Inventory'!$H$5:$H$200),"")</f>
        <v/>
      </c>
      <c r="N10" s="7" t="n">
        <v>459.94</v>
      </c>
      <c r="O10" s="7">
        <f>IFERROR(XLOOKUP(A10,'Source Ledger'!$B$5:$B$200,'Source Ledger'!$A$5:$A$200),"")</f>
        <v/>
      </c>
      <c r="P10" s="7">
        <f>IFERROR(XLOOKUP(A10,'Source Ledger'!$B$5:$B$200,'Source Ledger'!$D$5:$D$200),"")</f>
        <v/>
      </c>
      <c r="Q10" s="9" t="inlineStr">
        <is>
          <t>High</t>
        </is>
      </c>
      <c r="R10" s="7" t="inlineStr"/>
      <c r="S10" s="7">
        <f>IF(OR(R10="",R10=0),"No","Yes")</f>
        <v/>
      </c>
      <c r="T10">
        <f>IFERROR(XLOOKUP(A10,'Source Ledger'!$B$5:$B$200,'Source Ledger'!$E$5:$E$200),"")</f>
        <v/>
      </c>
      <c r="U10">
        <f>IFERROR(XLOOKUP(A10,'Source Ledger'!$B$5:$B$200,'Source Ledger'!$H$5:$H$200),"")</f>
        <v/>
      </c>
      <c r="V10">
        <f>IFERROR(XLOOKUP(A10,'Source Ledger'!$B$5:$B$200,'Source Ledger'!$G$5:$G$200),"")</f>
        <v/>
      </c>
      <c r="W10">
        <f>IF(OR(M10="",T10=""),"",T10-M10)</f>
        <v/>
      </c>
      <c r="X10">
        <f>IF(V10="","No","Yes")</f>
        <v/>
      </c>
    </row>
    <row r="11">
      <c r="A11" s="7" t="inlineStr">
        <is>
          <t>MD-00007</t>
        </is>
      </c>
      <c r="B11" s="7">
        <f>IFERROR(XLOOKUP(A11,'Source Inventory'!$A$5:$A$200,'Source Inventory'!$B$5:$B$200),"")</f>
        <v/>
      </c>
      <c r="C11" s="7">
        <f>IFERROR(XLOOKUP(A11,'Source Inventory'!$A$5:$A$200,'Source Inventory'!$C$5:$C$200),"")</f>
        <v/>
      </c>
      <c r="D11" s="7">
        <f>IFERROR(XLOOKUP(A11,'Source Inventory'!$A$5:$A$200,'Source Inventory'!$D$5:$D$200),"")</f>
        <v/>
      </c>
      <c r="E11" s="7">
        <f>IFERROR(XLOOKUP(A11,'Source Inventory'!$A$5:$A$200,'Source Inventory'!$E$5:$E$200),"")</f>
        <v/>
      </c>
      <c r="F11" s="7">
        <f>IFERROR(XLOOKUP(A11,'Source Inventory'!$A$5:$A$200,'Source Inventory'!$F$5:$F$200),"")</f>
        <v/>
      </c>
      <c r="G11" s="7">
        <f>IFERROR(XLOOKUP(A11,'Source Inventory'!$A$5:$A$200,'Source Inventory'!$G$5:$G$200),"")</f>
        <v/>
      </c>
      <c r="H11" s="7" t="inlineStr">
        <is>
          <t>E0007</t>
        </is>
      </c>
      <c r="I11" s="7" t="inlineStr">
        <is>
          <t>Chicago</t>
        </is>
      </c>
      <c r="J11" s="7" t="inlineStr">
        <is>
          <t>In Use</t>
        </is>
      </c>
      <c r="K11" s="7" t="inlineStr">
        <is>
          <t>Cross-checked MD-00007 (MD-MO-050007, HP EliteBook 840 G10) against HR, transfers, and ledger extracts. Source Ledger FA-000007; net book value $632.68. equipment_transfer_log TR-00007 posted Feb 11, 2026; inbound 2026-02-17 approval APR-00007. hr_employee_status lists Sofia Alvarez (E0007) as Active. PO-2023-0002 is the cited purchase order.</t>
        </is>
      </c>
      <c r="L11" s="7" t="inlineStr">
        <is>
          <t>2026-08-05</t>
        </is>
      </c>
      <c r="M11" s="7">
        <f>IFERROR(XLOOKUP(A11,'Source Inventory'!$A$5:$A$200,'Source Inventory'!$H$5:$H$200),"")</f>
        <v/>
      </c>
      <c r="N11" s="7" t="n">
        <v>632.6799999999999</v>
      </c>
      <c r="O11" s="7">
        <f>IFERROR(XLOOKUP(A11,'Source Ledger'!$B$5:$B$200,'Source Ledger'!$A$5:$A$200),"")</f>
        <v/>
      </c>
      <c r="P11" s="7">
        <f>IFERROR(XLOOKUP(A11,'Source Ledger'!$B$5:$B$200,'Source Ledger'!$D$5:$D$200),"")</f>
        <v/>
      </c>
      <c r="Q11" s="9" t="inlineStr">
        <is>
          <t>High</t>
        </is>
      </c>
      <c r="R11" s="7" t="inlineStr"/>
      <c r="S11" s="7">
        <f>IF(OR(R11="",R11=0),"No","Yes")</f>
        <v/>
      </c>
      <c r="T11">
        <f>IFERROR(XLOOKUP(A11,'Source Ledger'!$B$5:$B$200,'Source Ledger'!$E$5:$E$200),"")</f>
        <v/>
      </c>
      <c r="U11">
        <f>IFERROR(XLOOKUP(A11,'Source Ledger'!$B$5:$B$200,'Source Ledger'!$H$5:$H$200),"")</f>
        <v/>
      </c>
      <c r="V11">
        <f>IFERROR(XLOOKUP(A11,'Source Ledger'!$B$5:$B$200,'Source Ledger'!$G$5:$G$200),"")</f>
        <v/>
      </c>
      <c r="W11">
        <f>IF(OR(M11="",T11=""),"",T11-M11)</f>
        <v/>
      </c>
      <c r="X11">
        <f>IF(V11="","No","Yes")</f>
        <v/>
      </c>
    </row>
    <row r="12">
      <c r="A12" s="7" t="inlineStr">
        <is>
          <t>MD-00008</t>
        </is>
      </c>
      <c r="B12" s="7">
        <f>IFERROR(XLOOKUP(A12,'Source Inventory'!$A$5:$A$200,'Source Inventory'!$B$5:$B$200),"")</f>
        <v/>
      </c>
      <c r="C12" s="7">
        <f>IFERROR(XLOOKUP(A12,'Source Inventory'!$A$5:$A$200,'Source Inventory'!$C$5:$C$200),"")</f>
        <v/>
      </c>
      <c r="D12" s="7">
        <f>IFERROR(XLOOKUP(A12,'Source Inventory'!$A$5:$A$200,'Source Inventory'!$D$5:$D$200),"")</f>
        <v/>
      </c>
      <c r="E12" s="7">
        <f>IFERROR(XLOOKUP(A12,'Source Inventory'!$A$5:$A$200,'Source Inventory'!$E$5:$E$200),"")</f>
        <v/>
      </c>
      <c r="F12" s="7">
        <f>IFERROR(XLOOKUP(A12,'Source Inventory'!$A$5:$A$200,'Source Inventory'!$F$5:$F$200),"")</f>
        <v/>
      </c>
      <c r="G12" s="7">
        <f>IFERROR(XLOOKUP(A12,'Source Inventory'!$A$5:$A$200,'Source Inventory'!$G$5:$G$200),"")</f>
        <v/>
      </c>
      <c r="H12" s="7" t="inlineStr">
        <is>
          <t>E0008</t>
        </is>
      </c>
      <c r="I12" s="7" t="inlineStr">
        <is>
          <t>Dallas</t>
        </is>
      </c>
      <c r="J12" s="7" t="inlineStr">
        <is>
          <t>In Use</t>
        </is>
      </c>
      <c r="K12" s="7" t="inlineStr">
        <is>
          <t>Cross-checked MD-00008 (MD-NE-050008, Samsung ViewFinity S8) against HR, transfers, and ledger extracts. Source Ledger FA-000008; net book value $1355.01. equipment_transfer_log TR-00008 posted Mar 16, 2026; inbound 2026-03-19 approval APR-00008. hr_employee_status lists Derek Nguyen (E0008) as Active. acquisition recorded on PO-2023-0002.</t>
        </is>
      </c>
      <c r="L12" s="7" t="inlineStr">
        <is>
          <t>2026-08-05</t>
        </is>
      </c>
      <c r="M12" s="7">
        <f>IFERROR(XLOOKUP(A12,'Source Inventory'!$A$5:$A$200,'Source Inventory'!$H$5:$H$200),"")</f>
        <v/>
      </c>
      <c r="N12" s="7" t="n">
        <v>1355.01</v>
      </c>
      <c r="O12" s="7">
        <f>IFERROR(XLOOKUP(A12,'Source Ledger'!$B$5:$B$200,'Source Ledger'!$A$5:$A$200),"")</f>
        <v/>
      </c>
      <c r="P12" s="7">
        <f>IFERROR(XLOOKUP(A12,'Source Ledger'!$B$5:$B$200,'Source Ledger'!$D$5:$D$200),"")</f>
        <v/>
      </c>
      <c r="Q12" s="9" t="inlineStr">
        <is>
          <t>High</t>
        </is>
      </c>
      <c r="R12" s="7" t="inlineStr"/>
      <c r="S12" s="7">
        <f>IF(OR(R12="",R12=0),"No","Yes")</f>
        <v/>
      </c>
      <c r="T12">
        <f>IFERROR(XLOOKUP(A12,'Source Ledger'!$B$5:$B$200,'Source Ledger'!$E$5:$E$200),"")</f>
        <v/>
      </c>
      <c r="U12">
        <f>IFERROR(XLOOKUP(A12,'Source Ledger'!$B$5:$B$200,'Source Ledger'!$H$5:$H$200),"")</f>
        <v/>
      </c>
      <c r="V12">
        <f>IFERROR(XLOOKUP(A12,'Source Ledger'!$B$5:$B$200,'Source Ledger'!$G$5:$G$200),"")</f>
        <v/>
      </c>
      <c r="W12">
        <f>IF(OR(M12="",T12=""),"",T12-M12)</f>
        <v/>
      </c>
      <c r="X12">
        <f>IF(V12="","No","Yes")</f>
        <v/>
      </c>
    </row>
    <row r="13">
      <c r="A13" s="7" t="inlineStr">
        <is>
          <t>MD-00009</t>
        </is>
      </c>
      <c r="B13" s="7">
        <f>IFERROR(XLOOKUP(A13,'Source Inventory'!$A$5:$A$200,'Source Inventory'!$B$5:$B$200),"")</f>
        <v/>
      </c>
      <c r="C13" s="7">
        <f>IFERROR(XLOOKUP(A13,'Source Inventory'!$A$5:$A$200,'Source Inventory'!$C$5:$C$200),"")</f>
        <v/>
      </c>
      <c r="D13" s="7">
        <f>IFERROR(XLOOKUP(A13,'Source Inventory'!$A$5:$A$200,'Source Inventory'!$D$5:$D$200),"")</f>
        <v/>
      </c>
      <c r="E13" s="7">
        <f>IFERROR(XLOOKUP(A13,'Source Inventory'!$A$5:$A$200,'Source Inventory'!$E$5:$E$200),"")</f>
        <v/>
      </c>
      <c r="F13" s="7">
        <f>IFERROR(XLOOKUP(A13,'Source Inventory'!$A$5:$A$200,'Source Inventory'!$F$5:$F$200),"")</f>
        <v/>
      </c>
      <c r="G13" s="7">
        <f>IFERROR(XLOOKUP(A13,'Source Inventory'!$A$5:$A$200,'Source Inventory'!$G$5:$G$200),"")</f>
        <v/>
      </c>
      <c r="H13" s="7" t="inlineStr">
        <is>
          <t>E0009</t>
        </is>
      </c>
      <c r="I13" s="7" t="inlineStr">
        <is>
          <t>Denver</t>
        </is>
      </c>
      <c r="J13" s="7" t="inlineStr">
        <is>
          <t>In Use</t>
        </is>
      </c>
      <c r="K13" s="7" t="inlineStr">
        <is>
          <t>Working conclusion for MD-00009 (MD-LA-050009): In Use at Denver; cost $1940. equipment_transfer_log TR-00009 posted Apr 20, 2026; inbound 2026-04-21 approval APR-00009. hr_employee_status lists Hannah Cole (E0009) as Active. PO-2024-0003 is the cited purchase order. Source Ledger FA-000009; net book value $109.33.</t>
        </is>
      </c>
      <c r="L13" s="7" t="inlineStr">
        <is>
          <t>2026-08-05</t>
        </is>
      </c>
      <c r="M13" s="7">
        <f>IFERROR(XLOOKUP(A13,'Source Inventory'!$A$5:$A$200,'Source Inventory'!$H$5:$H$200),"")</f>
        <v/>
      </c>
      <c r="N13" s="7" t="n">
        <v>109.33</v>
      </c>
      <c r="O13" s="7">
        <f>IFERROR(XLOOKUP(A13,'Source Ledger'!$B$5:$B$200,'Source Ledger'!$A$5:$A$200),"")</f>
        <v/>
      </c>
      <c r="P13" s="7">
        <f>IFERROR(XLOOKUP(A13,'Source Ledger'!$B$5:$B$200,'Source Ledger'!$D$5:$D$200),"")</f>
        <v/>
      </c>
      <c r="Q13" s="9" t="inlineStr">
        <is>
          <t>High</t>
        </is>
      </c>
      <c r="R13" s="7" t="inlineStr"/>
      <c r="S13" s="7">
        <f>IF(OR(R13="",R13=0),"No","Yes")</f>
        <v/>
      </c>
      <c r="T13">
        <f>IFERROR(XLOOKUP(A13,'Source Ledger'!$B$5:$B$200,'Source Ledger'!$E$5:$E$200),"")</f>
        <v/>
      </c>
      <c r="U13">
        <f>IFERROR(XLOOKUP(A13,'Source Ledger'!$B$5:$B$200,'Source Ledger'!$H$5:$H$200),"")</f>
        <v/>
      </c>
      <c r="V13">
        <f>IFERROR(XLOOKUP(A13,'Source Ledger'!$B$5:$B$200,'Source Ledger'!$G$5:$G$200),"")</f>
        <v/>
      </c>
      <c r="W13">
        <f>IF(OR(M13="",T13=""),"",T13-M13)</f>
        <v/>
      </c>
      <c r="X13">
        <f>IF(V13="","No","Yes")</f>
        <v/>
      </c>
    </row>
    <row r="14">
      <c r="A14" s="7" t="inlineStr">
        <is>
          <t>MD-00010</t>
        </is>
      </c>
      <c r="B14" s="7">
        <f>IFERROR(XLOOKUP(A14,'Source Inventory'!$A$5:$A$200,'Source Inventory'!$B$5:$B$200),"")</f>
        <v/>
      </c>
      <c r="C14" s="7">
        <f>IFERROR(XLOOKUP(A14,'Source Inventory'!$A$5:$A$200,'Source Inventory'!$C$5:$C$200),"")</f>
        <v/>
      </c>
      <c r="D14" s="7">
        <f>IFERROR(XLOOKUP(A14,'Source Inventory'!$A$5:$A$200,'Source Inventory'!$D$5:$D$200),"")</f>
        <v/>
      </c>
      <c r="E14" s="7">
        <f>IFERROR(XLOOKUP(A14,'Source Inventory'!$A$5:$A$200,'Source Inventory'!$E$5:$E$200),"")</f>
        <v/>
      </c>
      <c r="F14" s="7">
        <f>IFERROR(XLOOKUP(A14,'Source Inventory'!$A$5:$A$200,'Source Inventory'!$F$5:$F$200),"")</f>
        <v/>
      </c>
      <c r="G14" s="7">
        <f>IFERROR(XLOOKUP(A14,'Source Inventory'!$A$5:$A$200,'Source Inventory'!$G$5:$G$200),"")</f>
        <v/>
      </c>
      <c r="H14" s="7" t="inlineStr">
        <is>
          <t>E0010</t>
        </is>
      </c>
      <c r="I14" s="7" t="inlineStr">
        <is>
          <t>New York</t>
        </is>
      </c>
      <c r="J14" s="7" t="inlineStr">
        <is>
          <t>In Use</t>
        </is>
      </c>
      <c r="K14" s="7" t="inlineStr">
        <is>
          <t>Working conclusion for MD-00010 (MD-MO-050010): In Use at New York; cost $655. equipment_transfer_log TR-00010 posted May 22, 2026; inbound 2026-05-28 approval APR-00010. Source Ledger FA-000010; net book value $426.89. PO PO-2024-0003 documents the buy for MD-00010. hr_employee_status lists Owen Patel (E0010) as Active.</t>
        </is>
      </c>
      <c r="L14" s="7" t="inlineStr">
        <is>
          <t>2026-08-05</t>
        </is>
      </c>
      <c r="M14" s="7">
        <f>IFERROR(XLOOKUP(A14,'Source Inventory'!$A$5:$A$200,'Source Inventory'!$H$5:$H$200),"")</f>
        <v/>
      </c>
      <c r="N14" s="7" t="n">
        <v>426.89</v>
      </c>
      <c r="O14" s="7">
        <f>IFERROR(XLOOKUP(A14,'Source Ledger'!$B$5:$B$200,'Source Ledger'!$A$5:$A$200),"")</f>
        <v/>
      </c>
      <c r="P14" s="7">
        <f>IFERROR(XLOOKUP(A14,'Source Ledger'!$B$5:$B$200,'Source Ledger'!$D$5:$D$200),"")</f>
        <v/>
      </c>
      <c r="Q14" s="9" t="inlineStr">
        <is>
          <t>High</t>
        </is>
      </c>
      <c r="R14" s="7" t="inlineStr"/>
      <c r="S14" s="7">
        <f>IF(OR(R14="",R14=0),"No","Yes")</f>
        <v/>
      </c>
      <c r="T14">
        <f>IFERROR(XLOOKUP(A14,'Source Ledger'!$B$5:$B$200,'Source Ledger'!$E$5:$E$200),"")</f>
        <v/>
      </c>
      <c r="U14">
        <f>IFERROR(XLOOKUP(A14,'Source Ledger'!$B$5:$B$200,'Source Ledger'!$H$5:$H$200),"")</f>
        <v/>
      </c>
      <c r="V14">
        <f>IFERROR(XLOOKUP(A14,'Source Ledger'!$B$5:$B$200,'Source Ledger'!$G$5:$G$200),"")</f>
        <v/>
      </c>
      <c r="W14">
        <f>IF(OR(M14="",T14=""),"",T14-M14)</f>
        <v/>
      </c>
      <c r="X14">
        <f>IF(V14="","No","Yes")</f>
        <v/>
      </c>
    </row>
    <row r="15">
      <c r="A15" s="7" t="inlineStr">
        <is>
          <t>MD-00011</t>
        </is>
      </c>
      <c r="B15" s="7">
        <f>IFERROR(XLOOKUP(A15,'Source Inventory'!$A$5:$A$200,'Source Inventory'!$B$5:$B$200),"")</f>
        <v/>
      </c>
      <c r="C15" s="7">
        <f>IFERROR(XLOOKUP(A15,'Source Inventory'!$A$5:$A$200,'Source Inventory'!$C$5:$C$200),"")</f>
        <v/>
      </c>
      <c r="D15" s="7">
        <f>IFERROR(XLOOKUP(A15,'Source Inventory'!$A$5:$A$200,'Source Inventory'!$D$5:$D$200),"")</f>
        <v/>
      </c>
      <c r="E15" s="7">
        <f>IFERROR(XLOOKUP(A15,'Source Inventory'!$A$5:$A$200,'Source Inventory'!$E$5:$E$200),"")</f>
        <v/>
      </c>
      <c r="F15" s="7">
        <f>IFERROR(XLOOKUP(A15,'Source Inventory'!$A$5:$A$200,'Source Inventory'!$F$5:$F$200),"")</f>
        <v/>
      </c>
      <c r="G15" s="7">
        <f>IFERROR(XLOOKUP(A15,'Source Inventory'!$A$5:$A$200,'Source Inventory'!$G$5:$G$200),"")</f>
        <v/>
      </c>
      <c r="H15" s="7" t="inlineStr">
        <is>
          <t>E0011</t>
        </is>
      </c>
      <c r="I15" s="7" t="inlineStr">
        <is>
          <t>Seattle</t>
        </is>
      </c>
      <c r="J15" s="7" t="inlineStr">
        <is>
          <t>In Use</t>
        </is>
      </c>
      <c r="K15" s="7" t="inlineStr">
        <is>
          <t>Working conclusion for MD-00011 (MD-MO-050011): In Use at Seattle; cost $1130. equipment_transfer_log TR-00011 posted Jun 26, 2026; inbound 2026-06-28 approval APR-00011. Source Ledger FA-000011; net book value $882.5. capital PO PO-2024-0003 supports the cost basis. hr_employee_status lists Maya Fontaine (E0011) as Active.</t>
        </is>
      </c>
      <c r="L15" s="7" t="inlineStr">
        <is>
          <t>2026-08-05</t>
        </is>
      </c>
      <c r="M15" s="7">
        <f>IFERROR(XLOOKUP(A15,'Source Inventory'!$A$5:$A$200,'Source Inventory'!$H$5:$H$200),"")</f>
        <v/>
      </c>
      <c r="N15" s="7" t="n">
        <v>882.5</v>
      </c>
      <c r="O15" s="7">
        <f>IFERROR(XLOOKUP(A15,'Source Ledger'!$B$5:$B$200,'Source Ledger'!$A$5:$A$200),"")</f>
        <v/>
      </c>
      <c r="P15" s="7">
        <f>IFERROR(XLOOKUP(A15,'Source Ledger'!$B$5:$B$200,'Source Ledger'!$D$5:$D$200),"")</f>
        <v/>
      </c>
      <c r="Q15" s="9" t="inlineStr">
        <is>
          <t>High</t>
        </is>
      </c>
      <c r="R15" s="7" t="inlineStr"/>
      <c r="S15" s="7">
        <f>IF(OR(R15="",R15=0),"No","Yes")</f>
        <v/>
      </c>
      <c r="T15">
        <f>IFERROR(XLOOKUP(A15,'Source Ledger'!$B$5:$B$200,'Source Ledger'!$E$5:$E$200),"")</f>
        <v/>
      </c>
      <c r="U15">
        <f>IFERROR(XLOOKUP(A15,'Source Ledger'!$B$5:$B$200,'Source Ledger'!$H$5:$H$200),"")</f>
        <v/>
      </c>
      <c r="V15">
        <f>IFERROR(XLOOKUP(A15,'Source Ledger'!$B$5:$B$200,'Source Ledger'!$G$5:$G$200),"")</f>
        <v/>
      </c>
      <c r="W15">
        <f>IF(OR(M15="",T15=""),"",T15-M15)</f>
        <v/>
      </c>
      <c r="X15">
        <f>IF(V15="","No","Yes")</f>
        <v/>
      </c>
    </row>
    <row r="16">
      <c r="A16" s="7" t="inlineStr">
        <is>
          <t>MD-00012</t>
        </is>
      </c>
      <c r="B16" s="7">
        <f>IFERROR(XLOOKUP(A16,'Source Inventory'!$A$5:$A$200,'Source Inventory'!$B$5:$B$200),"")</f>
        <v/>
      </c>
      <c r="C16" s="7">
        <f>IFERROR(XLOOKUP(A16,'Source Inventory'!$A$5:$A$200,'Source Inventory'!$C$5:$C$200),"")</f>
        <v/>
      </c>
      <c r="D16" s="7">
        <f>IFERROR(XLOOKUP(A16,'Source Inventory'!$A$5:$A$200,'Source Inventory'!$D$5:$D$200),"")</f>
        <v/>
      </c>
      <c r="E16" s="7">
        <f>IFERROR(XLOOKUP(A16,'Source Inventory'!$A$5:$A$200,'Source Inventory'!$E$5:$E$200),"")</f>
        <v/>
      </c>
      <c r="F16" s="7">
        <f>IFERROR(XLOOKUP(A16,'Source Inventory'!$A$5:$A$200,'Source Inventory'!$F$5:$F$200),"")</f>
        <v/>
      </c>
      <c r="G16" s="7">
        <f>IFERROR(XLOOKUP(A16,'Source Inventory'!$A$5:$A$200,'Source Inventory'!$G$5:$G$200),"")</f>
        <v/>
      </c>
      <c r="H16" s="7" t="inlineStr">
        <is>
          <t>E0012</t>
        </is>
      </c>
      <c r="I16" s="7" t="inlineStr">
        <is>
          <t>Atlanta</t>
        </is>
      </c>
      <c r="J16" s="7" t="inlineStr">
        <is>
          <t>In Use</t>
        </is>
      </c>
      <c r="K16" s="7" t="inlineStr">
        <is>
          <t>Working conclusion for MD-00012 (MD-NE-050012): In Use at Atlanta; cost $6425. equipment_transfer_log TR-00012 posted Jan 30, 2026; inbound 2026-01-31 approval APR-00012. Source Ledger FA-000012; net book value $553.23. buy path for MD-00012 references PO-2024-0003. hr_employee_status lists Ryan Okonkwo (E0012) as Active.</t>
        </is>
      </c>
      <c r="L16" s="7" t="inlineStr">
        <is>
          <t>2026-08-05</t>
        </is>
      </c>
      <c r="M16" s="7">
        <f>IFERROR(XLOOKUP(A16,'Source Inventory'!$A$5:$A$200,'Source Inventory'!$H$5:$H$200),"")</f>
        <v/>
      </c>
      <c r="N16" s="7" t="n">
        <v>553.23</v>
      </c>
      <c r="O16" s="7">
        <f>IFERROR(XLOOKUP(A16,'Source Ledger'!$B$5:$B$200,'Source Ledger'!$A$5:$A$200),"")</f>
        <v/>
      </c>
      <c r="P16" s="7">
        <f>IFERROR(XLOOKUP(A16,'Source Ledger'!$B$5:$B$200,'Source Ledger'!$D$5:$D$200),"")</f>
        <v/>
      </c>
      <c r="Q16" s="9" t="inlineStr">
        <is>
          <t>High</t>
        </is>
      </c>
      <c r="R16" s="7" t="inlineStr"/>
      <c r="S16" s="7">
        <f>IF(OR(R16="",R16=0),"No","Yes")</f>
        <v/>
      </c>
      <c r="T16">
        <f>IFERROR(XLOOKUP(A16,'Source Ledger'!$B$5:$B$200,'Source Ledger'!$E$5:$E$200),"")</f>
        <v/>
      </c>
      <c r="U16">
        <f>IFERROR(XLOOKUP(A16,'Source Ledger'!$B$5:$B$200,'Source Ledger'!$H$5:$H$200),"")</f>
        <v/>
      </c>
      <c r="V16">
        <f>IFERROR(XLOOKUP(A16,'Source Ledger'!$B$5:$B$200,'Source Ledger'!$G$5:$G$200),"")</f>
        <v/>
      </c>
      <c r="W16">
        <f>IF(OR(M16="",T16=""),"",T16-M16)</f>
        <v/>
      </c>
      <c r="X16">
        <f>IF(V16="","No","Yes")</f>
        <v/>
      </c>
    </row>
    <row r="17">
      <c r="A17" s="7" t="inlineStr">
        <is>
          <t>MD-00013</t>
        </is>
      </c>
      <c r="B17" s="7">
        <f>IFERROR(XLOOKUP(A17,'Source Inventory'!$A$5:$A$200,'Source Inventory'!$B$5:$B$200),"")</f>
        <v/>
      </c>
      <c r="C17" s="7">
        <f>IFERROR(XLOOKUP(A17,'Source Inventory'!$A$5:$A$200,'Source Inventory'!$C$5:$C$200),"")</f>
        <v/>
      </c>
      <c r="D17" s="7">
        <f>IFERROR(XLOOKUP(A17,'Source Inventory'!$A$5:$A$200,'Source Inventory'!$D$5:$D$200),"")</f>
        <v/>
      </c>
      <c r="E17" s="7">
        <f>IFERROR(XLOOKUP(A17,'Source Inventory'!$A$5:$A$200,'Source Inventory'!$E$5:$E$200),"")</f>
        <v/>
      </c>
      <c r="F17" s="7">
        <f>IFERROR(XLOOKUP(A17,'Source Inventory'!$A$5:$A$200,'Source Inventory'!$F$5:$F$200),"")</f>
        <v/>
      </c>
      <c r="G17" s="7">
        <f>IFERROR(XLOOKUP(A17,'Source Inventory'!$A$5:$A$200,'Source Inventory'!$G$5:$G$200),"")</f>
        <v/>
      </c>
      <c r="H17" s="7" t="inlineStr">
        <is>
          <t>E0013</t>
        </is>
      </c>
      <c r="I17" s="7" t="inlineStr">
        <is>
          <t>Chicago</t>
        </is>
      </c>
      <c r="J17" s="7" t="inlineStr">
        <is>
          <t>In Use</t>
        </is>
      </c>
      <c r="K17" s="7" t="inlineStr">
        <is>
          <t>Working conclusion for MD-00013 (MD-LA-050013): In Use at Chicago; cost $2120. equipment_transfer_log TR-00013 posted Feb 02, 2026; inbound 2026-02-06 approval APR-00013. Source Ledger FA-000013; net book value $0. hardware_purchase_orders.csv ties MD-00013 to PO-2024-0003. hr_employee_status lists Lauren Briggs (E0013) as Active.</t>
        </is>
      </c>
      <c r="L17" s="7" t="inlineStr">
        <is>
          <t>2026-08-05</t>
        </is>
      </c>
      <c r="M17" s="7">
        <f>IFERROR(XLOOKUP(A17,'Source Inventory'!$A$5:$A$200,'Source Inventory'!$H$5:$H$200),"")</f>
        <v/>
      </c>
      <c r="N17" s="7" t="n">
        <v>0</v>
      </c>
      <c r="O17" s="7">
        <f>IFERROR(XLOOKUP(A17,'Source Ledger'!$B$5:$B$200,'Source Ledger'!$A$5:$A$200),"")</f>
        <v/>
      </c>
      <c r="P17" s="7">
        <f>IFERROR(XLOOKUP(A17,'Source Ledger'!$B$5:$B$200,'Source Ledger'!$D$5:$D$200),"")</f>
        <v/>
      </c>
      <c r="Q17" s="9" t="inlineStr">
        <is>
          <t>High</t>
        </is>
      </c>
      <c r="R17" s="7" t="inlineStr"/>
      <c r="S17" s="7">
        <f>IF(OR(R17="",R17=0),"No","Yes")</f>
        <v/>
      </c>
      <c r="T17">
        <f>IFERROR(XLOOKUP(A17,'Source Ledger'!$B$5:$B$200,'Source Ledger'!$E$5:$E$200),"")</f>
        <v/>
      </c>
      <c r="U17">
        <f>IFERROR(XLOOKUP(A17,'Source Ledger'!$B$5:$B$200,'Source Ledger'!$H$5:$H$200),"")</f>
        <v/>
      </c>
      <c r="V17">
        <f>IFERROR(XLOOKUP(A17,'Source Ledger'!$B$5:$B$200,'Source Ledger'!$G$5:$G$200),"")</f>
        <v/>
      </c>
      <c r="W17">
        <f>IF(OR(M17="",T17=""),"",T17-M17)</f>
        <v/>
      </c>
      <c r="X17">
        <f>IF(V17="","No","Yes")</f>
        <v/>
      </c>
    </row>
    <row r="18">
      <c r="A18" s="7" t="inlineStr">
        <is>
          <t>MD-00014</t>
        </is>
      </c>
      <c r="B18" s="7">
        <f>IFERROR(XLOOKUP(A18,'Source Inventory'!$A$5:$A$200,'Source Inventory'!$B$5:$B$200),"")</f>
        <v/>
      </c>
      <c r="C18" s="7">
        <f>IFERROR(XLOOKUP(A18,'Source Inventory'!$A$5:$A$200,'Source Inventory'!$C$5:$C$200),"")</f>
        <v/>
      </c>
      <c r="D18" s="7">
        <f>IFERROR(XLOOKUP(A18,'Source Inventory'!$A$5:$A$200,'Source Inventory'!$D$5:$D$200),"")</f>
        <v/>
      </c>
      <c r="E18" s="7">
        <f>IFERROR(XLOOKUP(A18,'Source Inventory'!$A$5:$A$200,'Source Inventory'!$E$5:$E$200),"")</f>
        <v/>
      </c>
      <c r="F18" s="7">
        <f>IFERROR(XLOOKUP(A18,'Source Inventory'!$A$5:$A$200,'Source Inventory'!$F$5:$F$200),"")</f>
        <v/>
      </c>
      <c r="G18" s="7">
        <f>IFERROR(XLOOKUP(A18,'Source Inventory'!$A$5:$A$200,'Source Inventory'!$G$5:$G$200),"")</f>
        <v/>
      </c>
      <c r="H18" s="7" t="inlineStr">
        <is>
          <t>E0014</t>
        </is>
      </c>
      <c r="I18" s="7" t="inlineStr">
        <is>
          <t>Dallas</t>
        </is>
      </c>
      <c r="J18" s="7" t="inlineStr">
        <is>
          <t>In Use</t>
        </is>
      </c>
      <c r="K18" s="7" t="inlineStr">
        <is>
          <t>Asset MD-00014 — Dell P2422H — reconciled to In Use in Dallas on $520 acquisition. hr_employee_status lists Nathan Kim (E0014) as Active. Source Ledger FA-000014; net book value $270.29. PO PO-2024-0003 documents the buy for MD-00014. equipment_transfer_log TR-00014 posted Mar 07, 2026; inbound 2026-03-09 approval APR-00014.</t>
        </is>
      </c>
      <c r="L18" s="7" t="inlineStr">
        <is>
          <t>2026-08-05</t>
        </is>
      </c>
      <c r="M18" s="7">
        <f>IFERROR(XLOOKUP(A18,'Source Inventory'!$A$5:$A$200,'Source Inventory'!$H$5:$H$200),"")</f>
        <v/>
      </c>
      <c r="N18" s="7" t="n">
        <v>270.29</v>
      </c>
      <c r="O18" s="7">
        <f>IFERROR(XLOOKUP(A18,'Source Ledger'!$B$5:$B$200,'Source Ledger'!$A$5:$A$200),"")</f>
        <v/>
      </c>
      <c r="P18" s="7">
        <f>IFERROR(XLOOKUP(A18,'Source Ledger'!$B$5:$B$200,'Source Ledger'!$D$5:$D$200),"")</f>
        <v/>
      </c>
      <c r="Q18" s="9" t="inlineStr">
        <is>
          <t>High</t>
        </is>
      </c>
      <c r="R18" s="7" t="inlineStr"/>
      <c r="S18" s="7">
        <f>IF(OR(R18="",R18=0),"No","Yes")</f>
        <v/>
      </c>
      <c r="T18">
        <f>IFERROR(XLOOKUP(A18,'Source Ledger'!$B$5:$B$200,'Source Ledger'!$E$5:$E$200),"")</f>
        <v/>
      </c>
      <c r="U18">
        <f>IFERROR(XLOOKUP(A18,'Source Ledger'!$B$5:$B$200,'Source Ledger'!$H$5:$H$200),"")</f>
        <v/>
      </c>
      <c r="V18">
        <f>IFERROR(XLOOKUP(A18,'Source Ledger'!$B$5:$B$200,'Source Ledger'!$G$5:$G$200),"")</f>
        <v/>
      </c>
      <c r="W18">
        <f>IF(OR(M18="",T18=""),"",T18-M18)</f>
        <v/>
      </c>
      <c r="X18">
        <f>IF(V18="","No","Yes")</f>
        <v/>
      </c>
    </row>
    <row r="19">
      <c r="A19" s="7" t="inlineStr">
        <is>
          <t>MD-00015</t>
        </is>
      </c>
      <c r="B19" s="7">
        <f>IFERROR(XLOOKUP(A19,'Source Inventory'!$A$5:$A$200,'Source Inventory'!$B$5:$B$200),"")</f>
        <v/>
      </c>
      <c r="C19" s="7">
        <f>IFERROR(XLOOKUP(A19,'Source Inventory'!$A$5:$A$200,'Source Inventory'!$C$5:$C$200),"")</f>
        <v/>
      </c>
      <c r="D19" s="7">
        <f>IFERROR(XLOOKUP(A19,'Source Inventory'!$A$5:$A$200,'Source Inventory'!$D$5:$D$200),"")</f>
        <v/>
      </c>
      <c r="E19" s="7">
        <f>IFERROR(XLOOKUP(A19,'Source Inventory'!$A$5:$A$200,'Source Inventory'!$E$5:$E$200),"")</f>
        <v/>
      </c>
      <c r="F19" s="7">
        <f>IFERROR(XLOOKUP(A19,'Source Inventory'!$A$5:$A$200,'Source Inventory'!$F$5:$F$200),"")</f>
        <v/>
      </c>
      <c r="G19" s="7">
        <f>IFERROR(XLOOKUP(A19,'Source Inventory'!$A$5:$A$200,'Source Inventory'!$G$5:$G$200),"")</f>
        <v/>
      </c>
      <c r="H19" s="7" t="inlineStr">
        <is>
          <t>E0015</t>
        </is>
      </c>
      <c r="I19" s="7" t="inlineStr">
        <is>
          <t>Denver</t>
        </is>
      </c>
      <c r="J19" s="7" t="inlineStr">
        <is>
          <t>In Use</t>
        </is>
      </c>
      <c r="K19" s="7" t="inlineStr">
        <is>
          <t>Asset MD-00015 — Dell U2723QE — reconciled to In Use in Denver on $995 acquisition. hr_employee_status lists Camila Ortiz (E0015) as Active. Source Ledger FA-000015; net book value $559.13. capital PO PO-2024-0003 supports the cost basis. equipment_transfer_log TR-00015 posted Apr 12, 2026; inbound 2026-04-13 approval APR-00015.</t>
        </is>
      </c>
      <c r="L19" s="7" t="inlineStr">
        <is>
          <t>2026-08-05</t>
        </is>
      </c>
      <c r="M19" s="7">
        <f>IFERROR(XLOOKUP(A19,'Source Inventory'!$A$5:$A$200,'Source Inventory'!$H$5:$H$200),"")</f>
        <v/>
      </c>
      <c r="N19" s="7" t="n">
        <v>559.13</v>
      </c>
      <c r="O19" s="7">
        <f>IFERROR(XLOOKUP(A19,'Source Ledger'!$B$5:$B$200,'Source Ledger'!$A$5:$A$200),"")</f>
        <v/>
      </c>
      <c r="P19" s="7">
        <f>IFERROR(XLOOKUP(A19,'Source Ledger'!$B$5:$B$200,'Source Ledger'!$D$5:$D$200),"")</f>
        <v/>
      </c>
      <c r="Q19" s="9" t="inlineStr">
        <is>
          <t>High</t>
        </is>
      </c>
      <c r="R19" s="7" t="inlineStr"/>
      <c r="S19" s="7">
        <f>IF(OR(R19="",R19=0),"No","Yes")</f>
        <v/>
      </c>
      <c r="T19">
        <f>IFERROR(XLOOKUP(A19,'Source Ledger'!$B$5:$B$200,'Source Ledger'!$E$5:$E$200),"")</f>
        <v/>
      </c>
      <c r="U19">
        <f>IFERROR(XLOOKUP(A19,'Source Ledger'!$B$5:$B$200,'Source Ledger'!$H$5:$H$200),"")</f>
        <v/>
      </c>
      <c r="V19">
        <f>IFERROR(XLOOKUP(A19,'Source Ledger'!$B$5:$B$200,'Source Ledger'!$G$5:$G$200),"")</f>
        <v/>
      </c>
      <c r="W19">
        <f>IF(OR(M19="",T19=""),"",T19-M19)</f>
        <v/>
      </c>
      <c r="X19">
        <f>IF(V19="","No","Yes")</f>
        <v/>
      </c>
    </row>
    <row r="20">
      <c r="A20" s="7" t="inlineStr">
        <is>
          <t>MD-00016</t>
        </is>
      </c>
      <c r="B20" s="7">
        <f>IFERROR(XLOOKUP(A20,'Source Inventory'!$A$5:$A$200,'Source Inventory'!$B$5:$B$200),"")</f>
        <v/>
      </c>
      <c r="C20" s="7">
        <f>IFERROR(XLOOKUP(A20,'Source Inventory'!$A$5:$A$200,'Source Inventory'!$C$5:$C$200),"")</f>
        <v/>
      </c>
      <c r="D20" s="7">
        <f>IFERROR(XLOOKUP(A20,'Source Inventory'!$A$5:$A$200,'Source Inventory'!$D$5:$D$200),"")</f>
        <v/>
      </c>
      <c r="E20" s="7">
        <f>IFERROR(XLOOKUP(A20,'Source Inventory'!$A$5:$A$200,'Source Inventory'!$E$5:$E$200),"")</f>
        <v/>
      </c>
      <c r="F20" s="7">
        <f>IFERROR(XLOOKUP(A20,'Source Inventory'!$A$5:$A$200,'Source Inventory'!$F$5:$F$200),"")</f>
        <v/>
      </c>
      <c r="G20" s="7">
        <f>IFERROR(XLOOKUP(A20,'Source Inventory'!$A$5:$A$200,'Source Inventory'!$G$5:$G$200),"")</f>
        <v/>
      </c>
      <c r="H20" s="7" t="inlineStr">
        <is>
          <t>E0016</t>
        </is>
      </c>
      <c r="I20" s="7" t="inlineStr">
        <is>
          <t>New York</t>
        </is>
      </c>
      <c r="J20" s="7" t="inlineStr">
        <is>
          <t>In Use</t>
        </is>
      </c>
      <c r="K20" s="7" t="inlineStr">
        <is>
          <t>Asset MD-00016 — LG UltraFine 27MD5KL — reconciled to In Use in New York on $6290 acquisition. hr_employee_status lists Patrick Gallagher (E0016) as Active. Source Ledger FA-000016; net book value $968.69. PO-2024-0003 is the cited purchase order. equipment_transfer_log TR-00016 posted May 13, 2026; inbound 2026-05-17 approval APR-00016.</t>
        </is>
      </c>
      <c r="L20" s="7" t="inlineStr">
        <is>
          <t>2026-08-05</t>
        </is>
      </c>
      <c r="M20" s="7">
        <f>IFERROR(XLOOKUP(A20,'Source Inventory'!$A$5:$A$200,'Source Inventory'!$H$5:$H$200),"")</f>
        <v/>
      </c>
      <c r="N20" s="7" t="n">
        <v>968.6900000000001</v>
      </c>
      <c r="O20" s="7">
        <f>IFERROR(XLOOKUP(A20,'Source Ledger'!$B$5:$B$200,'Source Ledger'!$A$5:$A$200),"")</f>
        <v/>
      </c>
      <c r="P20" s="7">
        <f>IFERROR(XLOOKUP(A20,'Source Ledger'!$B$5:$B$200,'Source Ledger'!$D$5:$D$200),"")</f>
        <v/>
      </c>
      <c r="Q20" s="9" t="inlineStr">
        <is>
          <t>High</t>
        </is>
      </c>
      <c r="R20" s="7" t="inlineStr"/>
      <c r="S20" s="7">
        <f>IF(OR(R20="",R20=0),"No","Yes")</f>
        <v/>
      </c>
      <c r="T20">
        <f>IFERROR(XLOOKUP(A20,'Source Ledger'!$B$5:$B$200,'Source Ledger'!$E$5:$E$200),"")</f>
        <v/>
      </c>
      <c r="U20">
        <f>IFERROR(XLOOKUP(A20,'Source Ledger'!$B$5:$B$200,'Source Ledger'!$H$5:$H$200),"")</f>
        <v/>
      </c>
      <c r="V20">
        <f>IFERROR(XLOOKUP(A20,'Source Ledger'!$B$5:$B$200,'Source Ledger'!$G$5:$G$200),"")</f>
        <v/>
      </c>
      <c r="W20">
        <f>IF(OR(M20="",T20=""),"",T20-M20)</f>
        <v/>
      </c>
      <c r="X20">
        <f>IF(V20="","No","Yes")</f>
        <v/>
      </c>
    </row>
    <row r="21">
      <c r="A21" s="7" t="inlineStr">
        <is>
          <t>MD-00017</t>
        </is>
      </c>
      <c r="B21" s="7">
        <f>IFERROR(XLOOKUP(A21,'Source Inventory'!$A$5:$A$200,'Source Inventory'!$B$5:$B$200),"")</f>
        <v/>
      </c>
      <c r="C21" s="7">
        <f>IFERROR(XLOOKUP(A21,'Source Inventory'!$A$5:$A$200,'Source Inventory'!$C$5:$C$200),"")</f>
        <v/>
      </c>
      <c r="D21" s="7">
        <f>IFERROR(XLOOKUP(A21,'Source Inventory'!$A$5:$A$200,'Source Inventory'!$D$5:$D$200),"")</f>
        <v/>
      </c>
      <c r="E21" s="7">
        <f>IFERROR(XLOOKUP(A21,'Source Inventory'!$A$5:$A$200,'Source Inventory'!$E$5:$E$200),"")</f>
        <v/>
      </c>
      <c r="F21" s="7">
        <f>IFERROR(XLOOKUP(A21,'Source Inventory'!$A$5:$A$200,'Source Inventory'!$F$5:$F$200),"")</f>
        <v/>
      </c>
      <c r="G21" s="7">
        <f>IFERROR(XLOOKUP(A21,'Source Inventory'!$A$5:$A$200,'Source Inventory'!$G$5:$G$200),"")</f>
        <v/>
      </c>
      <c r="H21" s="7" t="inlineStr">
        <is>
          <t>E0017</t>
        </is>
      </c>
      <c r="I21" s="7" t="inlineStr">
        <is>
          <t>Seattle</t>
        </is>
      </c>
      <c r="J21" s="7" t="inlineStr">
        <is>
          <t>In Use</t>
        </is>
      </c>
      <c r="K21" s="7" t="inlineStr">
        <is>
          <t>Asset MD-00017 — Samsung ViewFinity S8 — reconciled to In Use in Seattle on $1985 acquisition. hr_employee_status lists Irene Cho (E0017) as Active. Source Ledger FA-000017; net book value $0. order PO-2025-0004 appears in the purchasing extract. equipment_transfer_log TR-00017 posted Jun 17, 2026; inbound 2026-06-19 approval APR-00017.</t>
        </is>
      </c>
      <c r="L21" s="7" t="inlineStr">
        <is>
          <t>2026-08-05</t>
        </is>
      </c>
      <c r="M21" s="7">
        <f>IFERROR(XLOOKUP(A21,'Source Inventory'!$A$5:$A$200,'Source Inventory'!$H$5:$H$200),"")</f>
        <v/>
      </c>
      <c r="N21" s="7" t="n">
        <v>0</v>
      </c>
      <c r="O21" s="7">
        <f>IFERROR(XLOOKUP(A21,'Source Ledger'!$B$5:$B$200,'Source Ledger'!$A$5:$A$200),"")</f>
        <v/>
      </c>
      <c r="P21" s="7">
        <f>IFERROR(XLOOKUP(A21,'Source Ledger'!$B$5:$B$200,'Source Ledger'!$D$5:$D$200),"")</f>
        <v/>
      </c>
      <c r="Q21" s="9" t="inlineStr">
        <is>
          <t>High</t>
        </is>
      </c>
      <c r="R21" s="7" t="inlineStr">
        <is>
          <t>EX-0001</t>
        </is>
      </c>
      <c r="S21" s="7">
        <f>IF(OR(R21="",R21=0),"No","Yes")</f>
        <v/>
      </c>
      <c r="T21">
        <f>IFERROR(XLOOKUP(A21,'Source Ledger'!$B$5:$B$200,'Source Ledger'!$E$5:$E$200),"")</f>
        <v/>
      </c>
      <c r="U21">
        <f>IFERROR(XLOOKUP(A21,'Source Ledger'!$B$5:$B$200,'Source Ledger'!$H$5:$H$200),"")</f>
        <v/>
      </c>
      <c r="V21">
        <f>IFERROR(XLOOKUP(A21,'Source Ledger'!$B$5:$B$200,'Source Ledger'!$G$5:$G$200),"")</f>
        <v/>
      </c>
      <c r="W21">
        <f>IF(OR(M21="",T21=""),"",T21-M21)</f>
        <v/>
      </c>
      <c r="X21">
        <f>IF(V21="","No","Yes")</f>
        <v/>
      </c>
    </row>
    <row r="22">
      <c r="A22" s="7" t="inlineStr">
        <is>
          <t>MD-00018</t>
        </is>
      </c>
      <c r="B22" s="7">
        <f>IFERROR(XLOOKUP(A22,'Source Inventory'!$A$5:$A$200,'Source Inventory'!$B$5:$B$200),"")</f>
        <v/>
      </c>
      <c r="C22" s="7">
        <f>IFERROR(XLOOKUP(A22,'Source Inventory'!$A$5:$A$200,'Source Inventory'!$C$5:$C$200),"")</f>
        <v/>
      </c>
      <c r="D22" s="7">
        <f>IFERROR(XLOOKUP(A22,'Source Inventory'!$A$5:$A$200,'Source Inventory'!$D$5:$D$200),"")</f>
        <v/>
      </c>
      <c r="E22" s="7">
        <f>IFERROR(XLOOKUP(A22,'Source Inventory'!$A$5:$A$200,'Source Inventory'!$E$5:$E$200),"")</f>
        <v/>
      </c>
      <c r="F22" s="7">
        <f>IFERROR(XLOOKUP(A22,'Source Inventory'!$A$5:$A$200,'Source Inventory'!$F$5:$F$200),"")</f>
        <v/>
      </c>
      <c r="G22" s="7">
        <f>IFERROR(XLOOKUP(A22,'Source Inventory'!$A$5:$A$200,'Source Inventory'!$G$5:$G$200),"")</f>
        <v/>
      </c>
      <c r="H22" s="7" t="inlineStr">
        <is>
          <t>E0018</t>
        </is>
      </c>
      <c r="I22" s="7" t="inlineStr">
        <is>
          <t>Atlanta</t>
        </is>
      </c>
      <c r="J22" s="7" t="inlineStr">
        <is>
          <t>In Use</t>
        </is>
      </c>
      <c r="K22" s="7" t="inlineStr">
        <is>
          <t>Asset MD-00018 — BenQ PD2705U — reconciled to In Use in Atlanta on $700 acquisition. hr_employee_status lists Theo Barnett (E0018) as Active. Source Ledger FA-000018; net book value $412.14. PO-2025-0004 is the cited purchase order. equipment_transfer_log TR-00018 posted Jan 22, 2026; inbound 2026-01-23 approval APR-00018.</t>
        </is>
      </c>
      <c r="L22" s="7" t="inlineStr">
        <is>
          <t>2026-08-05</t>
        </is>
      </c>
      <c r="M22" s="7">
        <f>IFERROR(XLOOKUP(A22,'Source Inventory'!$A$5:$A$200,'Source Inventory'!$H$5:$H$200),"")</f>
        <v/>
      </c>
      <c r="N22" s="7" t="n">
        <v>412.14</v>
      </c>
      <c r="O22" s="7">
        <f>IFERROR(XLOOKUP(A22,'Source Ledger'!$B$5:$B$200,'Source Ledger'!$A$5:$A$200),"")</f>
        <v/>
      </c>
      <c r="P22" s="7">
        <f>IFERROR(XLOOKUP(A22,'Source Ledger'!$B$5:$B$200,'Source Ledger'!$D$5:$D$200),"")</f>
        <v/>
      </c>
      <c r="Q22" s="9" t="inlineStr">
        <is>
          <t>High</t>
        </is>
      </c>
      <c r="R22" s="7" t="inlineStr"/>
      <c r="S22" s="7">
        <f>IF(OR(R22="",R22=0),"No","Yes")</f>
        <v/>
      </c>
      <c r="T22">
        <f>IFERROR(XLOOKUP(A22,'Source Ledger'!$B$5:$B$200,'Source Ledger'!$E$5:$E$200),"")</f>
        <v/>
      </c>
      <c r="U22">
        <f>IFERROR(XLOOKUP(A22,'Source Ledger'!$B$5:$B$200,'Source Ledger'!$H$5:$H$200),"")</f>
        <v/>
      </c>
      <c r="V22">
        <f>IFERROR(XLOOKUP(A22,'Source Ledger'!$B$5:$B$200,'Source Ledger'!$G$5:$G$200),"")</f>
        <v/>
      </c>
      <c r="W22">
        <f>IF(OR(M22="",T22=""),"",T22-M22)</f>
        <v/>
      </c>
      <c r="X22">
        <f>IF(V22="","No","Yes")</f>
        <v/>
      </c>
    </row>
    <row r="23">
      <c r="A23" s="7" t="inlineStr">
        <is>
          <t>MD-00019</t>
        </is>
      </c>
      <c r="B23" s="7">
        <f>IFERROR(XLOOKUP(A23,'Source Inventory'!$A$5:$A$200,'Source Inventory'!$B$5:$B$200),"")</f>
        <v/>
      </c>
      <c r="C23" s="7">
        <f>IFERROR(XLOOKUP(A23,'Source Inventory'!$A$5:$A$200,'Source Inventory'!$C$5:$C$200),"")</f>
        <v/>
      </c>
      <c r="D23" s="7">
        <f>IFERROR(XLOOKUP(A23,'Source Inventory'!$A$5:$A$200,'Source Inventory'!$D$5:$D$200),"")</f>
        <v/>
      </c>
      <c r="E23" s="7">
        <f>IFERROR(XLOOKUP(A23,'Source Inventory'!$A$5:$A$200,'Source Inventory'!$E$5:$E$200),"")</f>
        <v/>
      </c>
      <c r="F23" s="7">
        <f>IFERROR(XLOOKUP(A23,'Source Inventory'!$A$5:$A$200,'Source Inventory'!$F$5:$F$200),"")</f>
        <v/>
      </c>
      <c r="G23" s="7">
        <f>IFERROR(XLOOKUP(A23,'Source Inventory'!$A$5:$A$200,'Source Inventory'!$G$5:$G$200),"")</f>
        <v/>
      </c>
      <c r="H23" s="7" t="inlineStr">
        <is>
          <t>E0019</t>
        </is>
      </c>
      <c r="I23" s="7" t="inlineStr">
        <is>
          <t>Chicago</t>
        </is>
      </c>
      <c r="J23" s="7" t="inlineStr">
        <is>
          <t>In Use</t>
        </is>
      </c>
      <c r="K23" s="7" t="inlineStr">
        <is>
          <t>Asset MD-00019 — Dell P2422H — reconciled to In Use in Chicago on $1175 acquisition. hr_employee_status lists Jasmine Reed (E0019) as Active. Source Ledger FA-000019; net book value $795.4. acquisition recorded on PO-2025-0004. equipment_transfer_log TR-00019 posted Feb 23, 2026; inbound 2026-02-26 approval APR-00019.</t>
        </is>
      </c>
      <c r="L23" s="7" t="inlineStr">
        <is>
          <t>2026-08-05</t>
        </is>
      </c>
      <c r="M23" s="7">
        <f>IFERROR(XLOOKUP(A23,'Source Inventory'!$A$5:$A$200,'Source Inventory'!$H$5:$H$200),"")</f>
        <v/>
      </c>
      <c r="N23" s="7" t="n">
        <v>795.4</v>
      </c>
      <c r="O23" s="7">
        <f>IFERROR(XLOOKUP(A23,'Source Ledger'!$B$5:$B$200,'Source Ledger'!$A$5:$A$200),"")</f>
        <v/>
      </c>
      <c r="P23" s="7">
        <f>IFERROR(XLOOKUP(A23,'Source Ledger'!$B$5:$B$200,'Source Ledger'!$D$5:$D$200),"")</f>
        <v/>
      </c>
      <c r="Q23" s="9" t="inlineStr">
        <is>
          <t>High</t>
        </is>
      </c>
      <c r="R23" s="7" t="inlineStr"/>
      <c r="S23" s="7">
        <f>IF(OR(R23="",R23=0),"No","Yes")</f>
        <v/>
      </c>
      <c r="T23">
        <f>IFERROR(XLOOKUP(A23,'Source Ledger'!$B$5:$B$200,'Source Ledger'!$E$5:$E$200),"")</f>
        <v/>
      </c>
      <c r="U23">
        <f>IFERROR(XLOOKUP(A23,'Source Ledger'!$B$5:$B$200,'Source Ledger'!$H$5:$H$200),"")</f>
        <v/>
      </c>
      <c r="V23">
        <f>IFERROR(XLOOKUP(A23,'Source Ledger'!$B$5:$B$200,'Source Ledger'!$G$5:$G$200),"")</f>
        <v/>
      </c>
      <c r="W23">
        <f>IF(OR(M23="",T23=""),"",T23-M23)</f>
        <v/>
      </c>
      <c r="X23">
        <f>IF(V23="","No","Yes")</f>
        <v/>
      </c>
    </row>
    <row r="24">
      <c r="A24" s="7" t="inlineStr">
        <is>
          <t>MD-00020</t>
        </is>
      </c>
      <c r="B24" s="7">
        <f>IFERROR(XLOOKUP(A24,'Source Inventory'!$A$5:$A$200,'Source Inventory'!$B$5:$B$200),"")</f>
        <v/>
      </c>
      <c r="C24" s="7">
        <f>IFERROR(XLOOKUP(A24,'Source Inventory'!$A$5:$A$200,'Source Inventory'!$C$5:$C$200),"")</f>
        <v/>
      </c>
      <c r="D24" s="7">
        <f>IFERROR(XLOOKUP(A24,'Source Inventory'!$A$5:$A$200,'Source Inventory'!$D$5:$D$200),"")</f>
        <v/>
      </c>
      <c r="E24" s="7">
        <f>IFERROR(XLOOKUP(A24,'Source Inventory'!$A$5:$A$200,'Source Inventory'!$E$5:$E$200),"")</f>
        <v/>
      </c>
      <c r="F24" s="7">
        <f>IFERROR(XLOOKUP(A24,'Source Inventory'!$A$5:$A$200,'Source Inventory'!$F$5:$F$200),"")</f>
        <v/>
      </c>
      <c r="G24" s="7">
        <f>IFERROR(XLOOKUP(A24,'Source Inventory'!$A$5:$A$200,'Source Inventory'!$G$5:$G$200),"")</f>
        <v/>
      </c>
      <c r="H24" s="7" t="inlineStr">
        <is>
          <t>E0020</t>
        </is>
      </c>
      <c r="I24" s="7" t="inlineStr">
        <is>
          <t>Dallas</t>
        </is>
      </c>
      <c r="J24" s="7" t="inlineStr">
        <is>
          <t>In Use</t>
        </is>
      </c>
      <c r="K24" s="7" t="inlineStr">
        <is>
          <t>Asset MD-00020 — LG UltraFine 27MD5KL — reconciled to In Use in Dallas on $6470 acquisition. hr_employee_status lists Luis Navarro (E0020) as Active. equipment_transfer_log TR-00020 posted Mar 28, 2026; inbound 2026-03-30 approval APR-00020. Source Ledger FA-000020; net book value $1446.34. capital PO PO-2025-0004 supports the cost basis.</t>
        </is>
      </c>
      <c r="L24" s="7" t="inlineStr">
        <is>
          <t>2026-08-05</t>
        </is>
      </c>
      <c r="M24" s="7">
        <f>IFERROR(XLOOKUP(A24,'Source Inventory'!$A$5:$A$200,'Source Inventory'!$H$5:$H$200),"")</f>
        <v/>
      </c>
      <c r="N24" s="7" t="n">
        <v>1446.34</v>
      </c>
      <c r="O24" s="7">
        <f>IFERROR(XLOOKUP(A24,'Source Ledger'!$B$5:$B$200,'Source Ledger'!$A$5:$A$200),"")</f>
        <v/>
      </c>
      <c r="P24" s="7">
        <f>IFERROR(XLOOKUP(A24,'Source Ledger'!$B$5:$B$200,'Source Ledger'!$D$5:$D$200),"")</f>
        <v/>
      </c>
      <c r="Q24" s="9" t="inlineStr">
        <is>
          <t>High</t>
        </is>
      </c>
      <c r="R24" s="7" t="inlineStr"/>
      <c r="S24" s="7">
        <f>IF(OR(R24="",R24=0),"No","Yes")</f>
        <v/>
      </c>
      <c r="T24">
        <f>IFERROR(XLOOKUP(A24,'Source Ledger'!$B$5:$B$200,'Source Ledger'!$E$5:$E$200),"")</f>
        <v/>
      </c>
      <c r="U24">
        <f>IFERROR(XLOOKUP(A24,'Source Ledger'!$B$5:$B$200,'Source Ledger'!$H$5:$H$200),"")</f>
        <v/>
      </c>
      <c r="V24">
        <f>IFERROR(XLOOKUP(A24,'Source Ledger'!$B$5:$B$200,'Source Ledger'!$G$5:$G$200),"")</f>
        <v/>
      </c>
      <c r="W24">
        <f>IF(OR(M24="",T24=""),"",T24-M24)</f>
        <v/>
      </c>
      <c r="X24">
        <f>IF(V24="","No","Yes")</f>
        <v/>
      </c>
    </row>
    <row r="25">
      <c r="A25" s="7" t="inlineStr">
        <is>
          <t>MD-00021</t>
        </is>
      </c>
      <c r="B25" s="7">
        <f>IFERROR(XLOOKUP(A25,'Source Inventory'!$A$5:$A$200,'Source Inventory'!$B$5:$B$200),"")</f>
        <v/>
      </c>
      <c r="C25" s="7">
        <f>IFERROR(XLOOKUP(A25,'Source Inventory'!$A$5:$A$200,'Source Inventory'!$C$5:$C$200),"")</f>
        <v/>
      </c>
      <c r="D25" s="7">
        <f>IFERROR(XLOOKUP(A25,'Source Inventory'!$A$5:$A$200,'Source Inventory'!$D$5:$D$200),"")</f>
        <v/>
      </c>
      <c r="E25" s="7">
        <f>IFERROR(XLOOKUP(A25,'Source Inventory'!$A$5:$A$200,'Source Inventory'!$E$5:$E$200),"")</f>
        <v/>
      </c>
      <c r="F25" s="7">
        <f>IFERROR(XLOOKUP(A25,'Source Inventory'!$A$5:$A$200,'Source Inventory'!$F$5:$F$200),"")</f>
        <v/>
      </c>
      <c r="G25" s="7">
        <f>IFERROR(XLOOKUP(A25,'Source Inventory'!$A$5:$A$200,'Source Inventory'!$G$5:$G$200),"")</f>
        <v/>
      </c>
      <c r="H25" s="7" t="inlineStr">
        <is>
          <t>E0021</t>
        </is>
      </c>
      <c r="I25" s="7" t="inlineStr">
        <is>
          <t>Denver</t>
        </is>
      </c>
      <c r="J25" s="7" t="inlineStr">
        <is>
          <t>In Use</t>
        </is>
      </c>
      <c r="K25" s="7" t="inlineStr">
        <is>
          <t>Asset MD-00021 — Samsung ViewFinity S8 — reconciled to In Use in Denver on $1850 acquisition. duplicate serial MD-LA-050021 flagged on the register. equipment_transfer_log TR-00021 posted May 02, 2026; inbound 2026-05-03 approval APR-00021. Source Ledger FA-000021; net book value $124.52. buy path for MD-00021 references PO-2022-0005. hr_employee_status lists Grace Lindholm (E0021) as Active.</t>
        </is>
      </c>
      <c r="L25" s="7" t="inlineStr">
        <is>
          <t>2026-08-05</t>
        </is>
      </c>
      <c r="M25" s="7">
        <f>IFERROR(XLOOKUP(A25,'Source Inventory'!$A$5:$A$200,'Source Inventory'!$H$5:$H$200),"")</f>
        <v/>
      </c>
      <c r="N25" s="7" t="n">
        <v>124.52</v>
      </c>
      <c r="O25" s="7">
        <f>IFERROR(XLOOKUP(A25,'Source Ledger'!$B$5:$B$200,'Source Ledger'!$A$5:$A$200),"")</f>
        <v/>
      </c>
      <c r="P25" s="7">
        <f>IFERROR(XLOOKUP(A25,'Source Ledger'!$B$5:$B$200,'Source Ledger'!$D$5:$D$200),"")</f>
        <v/>
      </c>
      <c r="Q25" s="7" t="inlineStr">
        <is>
          <t>Medium</t>
        </is>
      </c>
      <c r="R25" s="7" t="inlineStr">
        <is>
          <t>EX-0002</t>
        </is>
      </c>
      <c r="S25" s="7">
        <f>IF(OR(R25="",R25=0),"No","Yes")</f>
        <v/>
      </c>
      <c r="T25">
        <f>IFERROR(XLOOKUP(A25,'Source Ledger'!$B$5:$B$200,'Source Ledger'!$E$5:$E$200),"")</f>
        <v/>
      </c>
      <c r="U25">
        <f>IFERROR(XLOOKUP(A25,'Source Ledger'!$B$5:$B$200,'Source Ledger'!$H$5:$H$200),"")</f>
        <v/>
      </c>
      <c r="V25">
        <f>IFERROR(XLOOKUP(A25,'Source Ledger'!$B$5:$B$200,'Source Ledger'!$G$5:$G$200),"")</f>
        <v/>
      </c>
      <c r="W25">
        <f>IF(OR(M25="",T25=""),"",T25-M25)</f>
        <v/>
      </c>
      <c r="X25">
        <f>IF(V25="","No","Yes")</f>
        <v/>
      </c>
    </row>
    <row r="26">
      <c r="A26" s="7" t="inlineStr">
        <is>
          <t>MD-00022</t>
        </is>
      </c>
      <c r="B26" s="7">
        <f>IFERROR(XLOOKUP(A26,'Source Inventory'!$A$5:$A$200,'Source Inventory'!$B$5:$B$200),"")</f>
        <v/>
      </c>
      <c r="C26" s="7">
        <f>IFERROR(XLOOKUP(A26,'Source Inventory'!$A$5:$A$200,'Source Inventory'!$C$5:$C$200),"")</f>
        <v/>
      </c>
      <c r="D26" s="7">
        <f>IFERROR(XLOOKUP(A26,'Source Inventory'!$A$5:$A$200,'Source Inventory'!$D$5:$D$200),"")</f>
        <v/>
      </c>
      <c r="E26" s="7">
        <f>IFERROR(XLOOKUP(A26,'Source Inventory'!$A$5:$A$200,'Source Inventory'!$E$5:$E$200),"")</f>
        <v/>
      </c>
      <c r="F26" s="7">
        <f>IFERROR(XLOOKUP(A26,'Source Inventory'!$A$5:$A$200,'Source Inventory'!$F$5:$F$200),"")</f>
        <v/>
      </c>
      <c r="G26" s="7">
        <f>IFERROR(XLOOKUP(A26,'Source Inventory'!$A$5:$A$200,'Source Inventory'!$G$5:$G$200),"")</f>
        <v/>
      </c>
      <c r="H26" s="7" t="inlineStr">
        <is>
          <t>E0022</t>
        </is>
      </c>
      <c r="I26" s="7" t="inlineStr">
        <is>
          <t>New York</t>
        </is>
      </c>
      <c r="J26" s="7" t="inlineStr">
        <is>
          <t>In Use</t>
        </is>
      </c>
      <c r="K26" s="7" t="inlineStr">
        <is>
          <t>Working conclusion for MD-00022 (MD-MO-050022): In Use at New York; cost $565. hardware_purchase_orders.csv ties MD-00022 to PO-2022-0005. hr_employee_status lists Andre Baptiste (E0022) as Active. equipment_transfer_log TR-00022 posted Jun 03, 2026; inbound 2026-06-05 approval APR-00022. Source Ledger FA-000022; net book value $371.95.</t>
        </is>
      </c>
      <c r="L26" s="7" t="inlineStr">
        <is>
          <t>2026-08-05</t>
        </is>
      </c>
      <c r="M26" s="7">
        <f>IFERROR(XLOOKUP(A26,'Source Inventory'!$A$5:$A$200,'Source Inventory'!$H$5:$H$200),"")</f>
        <v/>
      </c>
      <c r="N26" s="7" t="n">
        <v>371.95</v>
      </c>
      <c r="O26" s="7">
        <f>IFERROR(XLOOKUP(A26,'Source Ledger'!$B$5:$B$200,'Source Ledger'!$A$5:$A$200),"")</f>
        <v/>
      </c>
      <c r="P26" s="7">
        <f>IFERROR(XLOOKUP(A26,'Source Ledger'!$B$5:$B$200,'Source Ledger'!$D$5:$D$200),"")</f>
        <v/>
      </c>
      <c r="Q26" s="9" t="inlineStr">
        <is>
          <t>High</t>
        </is>
      </c>
      <c r="R26" s="7" t="inlineStr"/>
      <c r="S26" s="7">
        <f>IF(OR(R26="",R26=0),"No","Yes")</f>
        <v/>
      </c>
      <c r="T26">
        <f>IFERROR(XLOOKUP(A26,'Source Ledger'!$B$5:$B$200,'Source Ledger'!$E$5:$E$200),"")</f>
        <v/>
      </c>
      <c r="U26">
        <f>IFERROR(XLOOKUP(A26,'Source Ledger'!$B$5:$B$200,'Source Ledger'!$H$5:$H$200),"")</f>
        <v/>
      </c>
      <c r="V26">
        <f>IFERROR(XLOOKUP(A26,'Source Ledger'!$B$5:$B$200,'Source Ledger'!$G$5:$G$200),"")</f>
        <v/>
      </c>
      <c r="W26">
        <f>IF(OR(M26="",T26=""),"",T26-M26)</f>
        <v/>
      </c>
      <c r="X26">
        <f>IF(V26="","No","Yes")</f>
        <v/>
      </c>
    </row>
    <row r="27">
      <c r="A27" s="7" t="inlineStr">
        <is>
          <t>MD-00023</t>
        </is>
      </c>
      <c r="B27" s="7">
        <f>IFERROR(XLOOKUP(A27,'Source Inventory'!$A$5:$A$200,'Source Inventory'!$B$5:$B$200),"")</f>
        <v/>
      </c>
      <c r="C27" s="7">
        <f>IFERROR(XLOOKUP(A27,'Source Inventory'!$A$5:$A$200,'Source Inventory'!$C$5:$C$200),"")</f>
        <v/>
      </c>
      <c r="D27" s="7">
        <f>IFERROR(XLOOKUP(A27,'Source Inventory'!$A$5:$A$200,'Source Inventory'!$D$5:$D$200),"")</f>
        <v/>
      </c>
      <c r="E27" s="7">
        <f>IFERROR(XLOOKUP(A27,'Source Inventory'!$A$5:$A$200,'Source Inventory'!$E$5:$E$200),"")</f>
        <v/>
      </c>
      <c r="F27" s="7">
        <f>IFERROR(XLOOKUP(A27,'Source Inventory'!$A$5:$A$200,'Source Inventory'!$F$5:$F$200),"")</f>
        <v/>
      </c>
      <c r="G27" s="7">
        <f>IFERROR(XLOOKUP(A27,'Source Inventory'!$A$5:$A$200,'Source Inventory'!$G$5:$G$200),"")</f>
        <v/>
      </c>
      <c r="H27" s="7" t="inlineStr">
        <is>
          <t>E0023</t>
        </is>
      </c>
      <c r="I27" s="7" t="inlineStr">
        <is>
          <t>Seattle</t>
        </is>
      </c>
      <c r="J27" s="7" t="inlineStr">
        <is>
          <t>In Use</t>
        </is>
      </c>
      <c r="K27" s="7" t="inlineStr">
        <is>
          <t>Working conclusion for MD-00023 (MD-MO-050023): In Use at Seattle; cost $1040. PO PO-2022-0005 documents the buy for MD-00023. hr_employee_status lists Nina Kowalski (E0023) as Active. equipment_transfer_log TR-00023 posted Jul 08, 2026; inbound 2026-07-09 approval APR-00023. Source Ledger FA-000023; net book value $823.6.</t>
        </is>
      </c>
      <c r="L27" s="7" t="inlineStr">
        <is>
          <t>2026-08-05</t>
        </is>
      </c>
      <c r="M27" s="7">
        <f>IFERROR(XLOOKUP(A27,'Source Inventory'!$A$5:$A$200,'Source Inventory'!$H$5:$H$200),"")</f>
        <v/>
      </c>
      <c r="N27" s="7" t="n">
        <v>823.6</v>
      </c>
      <c r="O27" s="7">
        <f>IFERROR(XLOOKUP(A27,'Source Ledger'!$B$5:$B$200,'Source Ledger'!$A$5:$A$200),"")</f>
        <v/>
      </c>
      <c r="P27" s="7">
        <f>IFERROR(XLOOKUP(A27,'Source Ledger'!$B$5:$B$200,'Source Ledger'!$D$5:$D$200),"")</f>
        <v/>
      </c>
      <c r="Q27" s="9" t="inlineStr">
        <is>
          <t>High</t>
        </is>
      </c>
      <c r="R27" s="7" t="inlineStr"/>
      <c r="S27" s="7">
        <f>IF(OR(R27="",R27=0),"No","Yes")</f>
        <v/>
      </c>
      <c r="T27">
        <f>IFERROR(XLOOKUP(A27,'Source Ledger'!$B$5:$B$200,'Source Ledger'!$E$5:$E$200),"")</f>
        <v/>
      </c>
      <c r="U27">
        <f>IFERROR(XLOOKUP(A27,'Source Ledger'!$B$5:$B$200,'Source Ledger'!$H$5:$H$200),"")</f>
        <v/>
      </c>
      <c r="V27">
        <f>IFERROR(XLOOKUP(A27,'Source Ledger'!$B$5:$B$200,'Source Ledger'!$G$5:$G$200),"")</f>
        <v/>
      </c>
      <c r="W27">
        <f>IF(OR(M27="",T27=""),"",T27-M27)</f>
        <v/>
      </c>
      <c r="X27">
        <f>IF(V27="","No","Yes")</f>
        <v/>
      </c>
    </row>
    <row r="28">
      <c r="A28" s="7" t="inlineStr">
        <is>
          <t>MD-00024</t>
        </is>
      </c>
      <c r="B28" s="7">
        <f>IFERROR(XLOOKUP(A28,'Source Inventory'!$A$5:$A$200,'Source Inventory'!$B$5:$B$200),"")</f>
        <v/>
      </c>
      <c r="C28" s="7">
        <f>IFERROR(XLOOKUP(A28,'Source Inventory'!$A$5:$A$200,'Source Inventory'!$C$5:$C$200),"")</f>
        <v/>
      </c>
      <c r="D28" s="7">
        <f>IFERROR(XLOOKUP(A28,'Source Inventory'!$A$5:$A$200,'Source Inventory'!$D$5:$D$200),"")</f>
        <v/>
      </c>
      <c r="E28" s="7">
        <f>IFERROR(XLOOKUP(A28,'Source Inventory'!$A$5:$A$200,'Source Inventory'!$E$5:$E$200),"")</f>
        <v/>
      </c>
      <c r="F28" s="7">
        <f>IFERROR(XLOOKUP(A28,'Source Inventory'!$A$5:$A$200,'Source Inventory'!$F$5:$F$200),"")</f>
        <v/>
      </c>
      <c r="G28" s="7">
        <f>IFERROR(XLOOKUP(A28,'Source Inventory'!$A$5:$A$200,'Source Inventory'!$G$5:$G$200),"")</f>
        <v/>
      </c>
      <c r="H28" s="7" t="inlineStr">
        <is>
          <t>E0024</t>
        </is>
      </c>
      <c r="I28" s="7" t="inlineStr">
        <is>
          <t>Atlanta</t>
        </is>
      </c>
      <c r="J28" s="7" t="inlineStr">
        <is>
          <t>In Use</t>
        </is>
      </c>
      <c r="K28" s="7" t="inlineStr">
        <is>
          <t>Working conclusion for MD-00024 (MD-NE-050024): In Use at Atlanta; cost $6335. capital PO PO-2022-0005 supports the cost basis. hr_employee_status lists Chris Daley (E0024) as Active. equipment_transfer_log TR-00024 posted Jan 18, 2026; inbound 2026-01-21 approval APR-00024. Source Ledger FA-000024; net book value $503.85.</t>
        </is>
      </c>
      <c r="L28" s="7" t="inlineStr">
        <is>
          <t>2026-08-05</t>
        </is>
      </c>
      <c r="M28" s="7">
        <f>IFERROR(XLOOKUP(A28,'Source Inventory'!$A$5:$A$200,'Source Inventory'!$H$5:$H$200),"")</f>
        <v/>
      </c>
      <c r="N28" s="7" t="n">
        <v>503.85</v>
      </c>
      <c r="O28" s="7">
        <f>IFERROR(XLOOKUP(A28,'Source Ledger'!$B$5:$B$200,'Source Ledger'!$A$5:$A$200),"")</f>
        <v/>
      </c>
      <c r="P28" s="7">
        <f>IFERROR(XLOOKUP(A28,'Source Ledger'!$B$5:$B$200,'Source Ledger'!$D$5:$D$200),"")</f>
        <v/>
      </c>
      <c r="Q28" s="9" t="inlineStr">
        <is>
          <t>High</t>
        </is>
      </c>
      <c r="R28" s="7" t="inlineStr"/>
      <c r="S28" s="7">
        <f>IF(OR(R28="",R28=0),"No","Yes")</f>
        <v/>
      </c>
      <c r="T28">
        <f>IFERROR(XLOOKUP(A28,'Source Ledger'!$B$5:$B$200,'Source Ledger'!$E$5:$E$200),"")</f>
        <v/>
      </c>
      <c r="U28">
        <f>IFERROR(XLOOKUP(A28,'Source Ledger'!$B$5:$B$200,'Source Ledger'!$H$5:$H$200),"")</f>
        <v/>
      </c>
      <c r="V28">
        <f>IFERROR(XLOOKUP(A28,'Source Ledger'!$B$5:$B$200,'Source Ledger'!$G$5:$G$200),"")</f>
        <v/>
      </c>
      <c r="W28">
        <f>IF(OR(M28="",T28=""),"",T28-M28)</f>
        <v/>
      </c>
      <c r="X28">
        <f>IF(V28="","No","Yes")</f>
        <v/>
      </c>
    </row>
    <row r="29">
      <c r="A29" s="7" t="inlineStr">
        <is>
          <t>MD-00025</t>
        </is>
      </c>
      <c r="B29" s="7">
        <f>IFERROR(XLOOKUP(A29,'Source Inventory'!$A$5:$A$200,'Source Inventory'!$B$5:$B$200),"")</f>
        <v/>
      </c>
      <c r="C29" s="7">
        <f>IFERROR(XLOOKUP(A29,'Source Inventory'!$A$5:$A$200,'Source Inventory'!$C$5:$C$200),"")</f>
        <v/>
      </c>
      <c r="D29" s="7">
        <f>IFERROR(XLOOKUP(A29,'Source Inventory'!$A$5:$A$200,'Source Inventory'!$D$5:$D$200),"")</f>
        <v/>
      </c>
      <c r="E29" s="7">
        <f>IFERROR(XLOOKUP(A29,'Source Inventory'!$A$5:$A$200,'Source Inventory'!$E$5:$E$200),"")</f>
        <v/>
      </c>
      <c r="F29" s="7">
        <f>IFERROR(XLOOKUP(A29,'Source Inventory'!$A$5:$A$200,'Source Inventory'!$F$5:$F$200),"")</f>
        <v/>
      </c>
      <c r="G29" s="7">
        <f>IFERROR(XLOOKUP(A29,'Source Inventory'!$A$5:$A$200,'Source Inventory'!$G$5:$G$200),"")</f>
        <v/>
      </c>
      <c r="H29" s="7" t="inlineStr">
        <is>
          <t>E0025</t>
        </is>
      </c>
      <c r="I29" s="7" t="inlineStr">
        <is>
          <t>Chicago</t>
        </is>
      </c>
      <c r="J29" s="7" t="inlineStr">
        <is>
          <t>In Use</t>
        </is>
      </c>
      <c r="K29" s="7" t="inlineStr">
        <is>
          <t>Working conclusion for MD-00025 (MD-LA-050021): In Use at Chicago; cost $2030. buy path for MD-00025 references PO-2022-0005. hr_employee_status lists Fatima Hussein (E0025) as Active. duplicate serial MD-LA-050021 flagged on the register. Source Ledger FA-000025; net book value $0. equipment_transfer_log TR-00025 posted Jan 21, 2026; inbound 2026-01-22 approval APR-00025.</t>
        </is>
      </c>
      <c r="L29" s="7" t="inlineStr">
        <is>
          <t>2026-08-05</t>
        </is>
      </c>
      <c r="M29" s="7">
        <f>IFERROR(XLOOKUP(A29,'Source Inventory'!$A$5:$A$200,'Source Inventory'!$H$5:$H$200),"")</f>
        <v/>
      </c>
      <c r="N29" s="7" t="n">
        <v>0</v>
      </c>
      <c r="O29" s="7">
        <f>IFERROR(XLOOKUP(A29,'Source Ledger'!$B$5:$B$200,'Source Ledger'!$A$5:$A$200),"")</f>
        <v/>
      </c>
      <c r="P29" s="7">
        <f>IFERROR(XLOOKUP(A29,'Source Ledger'!$B$5:$B$200,'Source Ledger'!$D$5:$D$200),"")</f>
        <v/>
      </c>
      <c r="Q29" s="7" t="inlineStr">
        <is>
          <t>Medium</t>
        </is>
      </c>
      <c r="R29" s="7" t="inlineStr">
        <is>
          <t>EX-0003, EX-0004</t>
        </is>
      </c>
      <c r="S29" s="7">
        <f>IF(OR(R29="",R29=0),"No","Yes")</f>
        <v/>
      </c>
      <c r="T29">
        <f>IFERROR(XLOOKUP(A29,'Source Ledger'!$B$5:$B$200,'Source Ledger'!$E$5:$E$200),"")</f>
        <v/>
      </c>
      <c r="U29">
        <f>IFERROR(XLOOKUP(A29,'Source Ledger'!$B$5:$B$200,'Source Ledger'!$H$5:$H$200),"")</f>
        <v/>
      </c>
      <c r="V29">
        <f>IFERROR(XLOOKUP(A29,'Source Ledger'!$B$5:$B$200,'Source Ledger'!$G$5:$G$200),"")</f>
        <v/>
      </c>
      <c r="W29">
        <f>IF(OR(M29="",T29=""),"",T29-M29)</f>
        <v/>
      </c>
      <c r="X29">
        <f>IF(V29="","No","Yes")</f>
        <v/>
      </c>
    </row>
    <row r="30">
      <c r="A30" s="7" t="inlineStr">
        <is>
          <t>MD-00026</t>
        </is>
      </c>
      <c r="B30" s="7">
        <f>IFERROR(XLOOKUP(A30,'Source Inventory'!$A$5:$A$200,'Source Inventory'!$B$5:$B$200),"")</f>
        <v/>
      </c>
      <c r="C30" s="7">
        <f>IFERROR(XLOOKUP(A30,'Source Inventory'!$A$5:$A$200,'Source Inventory'!$C$5:$C$200),"")</f>
        <v/>
      </c>
      <c r="D30" s="7">
        <f>IFERROR(XLOOKUP(A30,'Source Inventory'!$A$5:$A$200,'Source Inventory'!$D$5:$D$200),"")</f>
        <v/>
      </c>
      <c r="E30" s="7">
        <f>IFERROR(XLOOKUP(A30,'Source Inventory'!$A$5:$A$200,'Source Inventory'!$E$5:$E$200),"")</f>
        <v/>
      </c>
      <c r="F30" s="7">
        <f>IFERROR(XLOOKUP(A30,'Source Inventory'!$A$5:$A$200,'Source Inventory'!$F$5:$F$200),"")</f>
        <v/>
      </c>
      <c r="G30" s="7">
        <f>IFERROR(XLOOKUP(A30,'Source Inventory'!$A$5:$A$200,'Source Inventory'!$G$5:$G$200),"")</f>
        <v/>
      </c>
      <c r="H30" s="7" t="inlineStr">
        <is>
          <t>E0026</t>
        </is>
      </c>
      <c r="I30" s="7" t="inlineStr">
        <is>
          <t>Dallas</t>
        </is>
      </c>
      <c r="J30" s="7" t="inlineStr">
        <is>
          <t>In Use</t>
        </is>
      </c>
      <c r="K30" s="7" t="inlineStr">
        <is>
          <t>Working conclusion for MD-00026 (MD-MO-050026): In Use at Dallas; cost $745. acquisition recorded on PO-2022-0005. hr_employee_status lists Brendan Walsh (E0026) as Active. equipment_transfer_log TR-00026 posted Feb 23, 2026; inbound 2026-02-27 approval APR-00026. Source Ledger FA-000026; net book value $382.34.</t>
        </is>
      </c>
      <c r="L30" s="7" t="inlineStr">
        <is>
          <t>2026-08-05</t>
        </is>
      </c>
      <c r="M30" s="7">
        <f>IFERROR(XLOOKUP(A30,'Source Inventory'!$A$5:$A$200,'Source Inventory'!$H$5:$H$200),"")</f>
        <v/>
      </c>
      <c r="N30" s="7" t="n">
        <v>382.34</v>
      </c>
      <c r="O30" s="7">
        <f>IFERROR(XLOOKUP(A30,'Source Ledger'!$B$5:$B$200,'Source Ledger'!$A$5:$A$200),"")</f>
        <v/>
      </c>
      <c r="P30" s="7">
        <f>IFERROR(XLOOKUP(A30,'Source Ledger'!$B$5:$B$200,'Source Ledger'!$D$5:$D$200),"")</f>
        <v/>
      </c>
      <c r="Q30" s="9" t="inlineStr">
        <is>
          <t>High</t>
        </is>
      </c>
      <c r="R30" s="7" t="inlineStr">
        <is>
          <t>EX-0005</t>
        </is>
      </c>
      <c r="S30" s="7">
        <f>IF(OR(R30="",R30=0),"No","Yes")</f>
        <v/>
      </c>
      <c r="T30">
        <f>IFERROR(XLOOKUP(A30,'Source Ledger'!$B$5:$B$200,'Source Ledger'!$E$5:$E$200),"")</f>
        <v/>
      </c>
      <c r="U30">
        <f>IFERROR(XLOOKUP(A30,'Source Ledger'!$B$5:$B$200,'Source Ledger'!$H$5:$H$200),"")</f>
        <v/>
      </c>
      <c r="V30">
        <f>IFERROR(XLOOKUP(A30,'Source Ledger'!$B$5:$B$200,'Source Ledger'!$G$5:$G$200),"")</f>
        <v/>
      </c>
      <c r="W30">
        <f>IF(OR(M30="",T30=""),"",T30-M30)</f>
        <v/>
      </c>
      <c r="X30">
        <f>IF(V30="","No","Yes")</f>
        <v/>
      </c>
    </row>
    <row r="31">
      <c r="A31" s="7" t="inlineStr">
        <is>
          <t>MD-00027</t>
        </is>
      </c>
      <c r="B31" s="7">
        <f>IFERROR(XLOOKUP(A31,'Source Inventory'!$A$5:$A$200,'Source Inventory'!$B$5:$B$200),"")</f>
        <v/>
      </c>
      <c r="C31" s="7">
        <f>IFERROR(XLOOKUP(A31,'Source Inventory'!$A$5:$A$200,'Source Inventory'!$C$5:$C$200),"")</f>
        <v/>
      </c>
      <c r="D31" s="7">
        <f>IFERROR(XLOOKUP(A31,'Source Inventory'!$A$5:$A$200,'Source Inventory'!$D$5:$D$200),"")</f>
        <v/>
      </c>
      <c r="E31" s="7">
        <f>IFERROR(XLOOKUP(A31,'Source Inventory'!$A$5:$A$200,'Source Inventory'!$E$5:$E$200),"")</f>
        <v/>
      </c>
      <c r="F31" s="7">
        <f>IFERROR(XLOOKUP(A31,'Source Inventory'!$A$5:$A$200,'Source Inventory'!$F$5:$F$200),"")</f>
        <v/>
      </c>
      <c r="G31" s="7">
        <f>IFERROR(XLOOKUP(A31,'Source Inventory'!$A$5:$A$200,'Source Inventory'!$G$5:$G$200),"")</f>
        <v/>
      </c>
      <c r="H31" s="7" t="inlineStr">
        <is>
          <t>E0027</t>
        </is>
      </c>
      <c r="I31" s="7" t="inlineStr">
        <is>
          <t>Denver</t>
        </is>
      </c>
      <c r="J31" s="7" t="inlineStr">
        <is>
          <t>In Use</t>
        </is>
      </c>
      <c r="K31" s="7" t="inlineStr">
        <is>
          <t>Asset MD-00027 — BenQ PD2705U — reconciled to In Use in Denver on $1220 acquisition. hr_employee_status lists Yuki Tanaka (E0027) as Active. equipment_transfer_log TR-00027 posted Mar 31, 2026; inbound 2026-04-06 approval APR-00027. Source Ledger FA-000027; net book value $672.21. purchasing file shows PO-2022-0005 for this unit.</t>
        </is>
      </c>
      <c r="L31" s="7" t="inlineStr">
        <is>
          <t>2026-08-05</t>
        </is>
      </c>
      <c r="M31" s="7">
        <f>IFERROR(XLOOKUP(A31,'Source Inventory'!$A$5:$A$200,'Source Inventory'!$H$5:$H$200),"")</f>
        <v/>
      </c>
      <c r="N31" s="7" t="n">
        <v>672.21</v>
      </c>
      <c r="O31" s="7">
        <f>IFERROR(XLOOKUP(A31,'Source Ledger'!$B$5:$B$200,'Source Ledger'!$A$5:$A$200),"")</f>
        <v/>
      </c>
      <c r="P31" s="7">
        <f>IFERROR(XLOOKUP(A31,'Source Ledger'!$B$5:$B$200,'Source Ledger'!$D$5:$D$200),"")</f>
        <v/>
      </c>
      <c r="Q31" s="9" t="inlineStr">
        <is>
          <t>High</t>
        </is>
      </c>
      <c r="R31" s="7" t="inlineStr">
        <is>
          <t>EX-0006</t>
        </is>
      </c>
      <c r="S31" s="7">
        <f>IF(OR(R31="",R31=0),"No","Yes")</f>
        <v/>
      </c>
      <c r="T31">
        <f>IFERROR(XLOOKUP(A31,'Source Ledger'!$B$5:$B$200,'Source Ledger'!$E$5:$E$200),"")</f>
        <v/>
      </c>
      <c r="U31">
        <f>IFERROR(XLOOKUP(A31,'Source Ledger'!$B$5:$B$200,'Source Ledger'!$H$5:$H$200),"")</f>
        <v/>
      </c>
      <c r="V31">
        <f>IFERROR(XLOOKUP(A31,'Source Ledger'!$B$5:$B$200,'Source Ledger'!$G$5:$G$200),"")</f>
        <v/>
      </c>
      <c r="W31">
        <f>IF(OR(M31="",T31=""),"",T31-M31)</f>
        <v/>
      </c>
      <c r="X31">
        <f>IF(V31="","No","Yes")</f>
        <v/>
      </c>
    </row>
    <row r="32">
      <c r="A32" s="7" t="inlineStr">
        <is>
          <t>MD-00028</t>
        </is>
      </c>
      <c r="B32" s="7">
        <f>IFERROR(XLOOKUP(A32,'Source Inventory'!$A$5:$A$200,'Source Inventory'!$B$5:$B$200),"")</f>
        <v/>
      </c>
      <c r="C32" s="7">
        <f>IFERROR(XLOOKUP(A32,'Source Inventory'!$A$5:$A$200,'Source Inventory'!$C$5:$C$200),"")</f>
        <v/>
      </c>
      <c r="D32" s="7">
        <f>IFERROR(XLOOKUP(A32,'Source Inventory'!$A$5:$A$200,'Source Inventory'!$D$5:$D$200),"")</f>
        <v/>
      </c>
      <c r="E32" s="7">
        <f>IFERROR(XLOOKUP(A32,'Source Inventory'!$A$5:$A$200,'Source Inventory'!$E$5:$E$200),"")</f>
        <v/>
      </c>
      <c r="F32" s="7">
        <f>IFERROR(XLOOKUP(A32,'Source Inventory'!$A$5:$A$200,'Source Inventory'!$F$5:$F$200),"")</f>
        <v/>
      </c>
      <c r="G32" s="7">
        <f>IFERROR(XLOOKUP(A32,'Source Inventory'!$A$5:$A$200,'Source Inventory'!$G$5:$G$200),"")</f>
        <v/>
      </c>
      <c r="H32" s="7" t="inlineStr">
        <is>
          <t>E0028</t>
        </is>
      </c>
      <c r="I32" s="7" t="inlineStr">
        <is>
          <t>New York</t>
        </is>
      </c>
      <c r="J32" s="7" t="inlineStr">
        <is>
          <t>In Use</t>
        </is>
      </c>
      <c r="K32" s="7" t="inlineStr">
        <is>
          <t>Asset MD-00028 — Dell P2422H — reconciled to In Use in New York on $6200 acquisition. hr_employee_status lists Megan Copeland (E0028) as Active. equipment_transfer_log TR-00028 posted May 01, 2026; inbound 2026-05-02 approval APR-00028. Source Ledger FA-000028; net book value $914.09. acquisition recorded on PO-2023-0006.</t>
        </is>
      </c>
      <c r="L32" s="7" t="inlineStr">
        <is>
          <t>2026-08-05</t>
        </is>
      </c>
      <c r="M32" s="7">
        <f>IFERROR(XLOOKUP(A32,'Source Inventory'!$A$5:$A$200,'Source Inventory'!$H$5:$H$200),"")</f>
        <v/>
      </c>
      <c r="N32" s="7" t="n">
        <v>914.09</v>
      </c>
      <c r="O32" s="7">
        <f>IFERROR(XLOOKUP(A32,'Source Ledger'!$B$5:$B$200,'Source Ledger'!$A$5:$A$200),"")</f>
        <v/>
      </c>
      <c r="P32" s="7">
        <f>IFERROR(XLOOKUP(A32,'Source Ledger'!$B$5:$B$200,'Source Ledger'!$D$5:$D$200),"")</f>
        <v/>
      </c>
      <c r="Q32" s="9" t="inlineStr">
        <is>
          <t>High</t>
        </is>
      </c>
      <c r="R32" s="7" t="inlineStr">
        <is>
          <t>EX-0007</t>
        </is>
      </c>
      <c r="S32" s="7">
        <f>IF(OR(R32="",R32=0),"No","Yes")</f>
        <v/>
      </c>
      <c r="T32">
        <f>IFERROR(XLOOKUP(A32,'Source Ledger'!$B$5:$B$200,'Source Ledger'!$E$5:$E$200),"")</f>
        <v/>
      </c>
      <c r="U32">
        <f>IFERROR(XLOOKUP(A32,'Source Ledger'!$B$5:$B$200,'Source Ledger'!$H$5:$H$200),"")</f>
        <v/>
      </c>
      <c r="V32">
        <f>IFERROR(XLOOKUP(A32,'Source Ledger'!$B$5:$B$200,'Source Ledger'!$G$5:$G$200),"")</f>
        <v/>
      </c>
      <c r="W32">
        <f>IF(OR(M32="",T32=""),"",T32-M32)</f>
        <v/>
      </c>
      <c r="X32">
        <f>IF(V32="","No","Yes")</f>
        <v/>
      </c>
    </row>
    <row r="33">
      <c r="A33" s="7" t="inlineStr">
        <is>
          <t>MD-00029</t>
        </is>
      </c>
      <c r="B33" s="7">
        <f>IFERROR(XLOOKUP(A33,'Source Inventory'!$A$5:$A$200,'Source Inventory'!$B$5:$B$200),"")</f>
        <v/>
      </c>
      <c r="C33" s="7">
        <f>IFERROR(XLOOKUP(A33,'Source Inventory'!$A$5:$A$200,'Source Inventory'!$C$5:$C$200),"")</f>
        <v/>
      </c>
      <c r="D33" s="7">
        <f>IFERROR(XLOOKUP(A33,'Source Inventory'!$A$5:$A$200,'Source Inventory'!$D$5:$D$200),"")</f>
        <v/>
      </c>
      <c r="E33" s="7">
        <f>IFERROR(XLOOKUP(A33,'Source Inventory'!$A$5:$A$200,'Source Inventory'!$E$5:$E$200),"")</f>
        <v/>
      </c>
      <c r="F33" s="7">
        <f>IFERROR(XLOOKUP(A33,'Source Inventory'!$A$5:$A$200,'Source Inventory'!$F$5:$F$200),"")</f>
        <v/>
      </c>
      <c r="G33" s="7">
        <f>IFERROR(XLOOKUP(A33,'Source Inventory'!$A$5:$A$200,'Source Inventory'!$G$5:$G$200),"")</f>
        <v/>
      </c>
      <c r="H33" s="7" t="inlineStr">
        <is>
          <t>E0029</t>
        </is>
      </c>
      <c r="I33" s="7" t="inlineStr">
        <is>
          <t>Seattle</t>
        </is>
      </c>
      <c r="J33" s="7" t="inlineStr">
        <is>
          <t>In Use</t>
        </is>
      </c>
      <c r="K33" s="7" t="inlineStr">
        <is>
          <t>Asset MD-00029 — Dell U2723QE — reconciled to In Use in Seattle on $1895 acquisition. hr_employee_status lists Omar Haddad (E0029) as Active. equipment_transfer_log TR-00029 posted Jun 05, 2026; inbound 2026-06-11 approval APR-00029. Source Ledger FA-000029; net book value $0. purchasing file shows PO-2023-0006 for this unit.</t>
        </is>
      </c>
      <c r="L33" s="7" t="inlineStr">
        <is>
          <t>2026-08-05</t>
        </is>
      </c>
      <c r="M33" s="7">
        <f>IFERROR(XLOOKUP(A33,'Source Inventory'!$A$5:$A$200,'Source Inventory'!$H$5:$H$200),"")</f>
        <v/>
      </c>
      <c r="N33" s="7" t="n">
        <v>0</v>
      </c>
      <c r="O33" s="7">
        <f>IFERROR(XLOOKUP(A33,'Source Ledger'!$B$5:$B$200,'Source Ledger'!$A$5:$A$200),"")</f>
        <v/>
      </c>
      <c r="P33" s="7">
        <f>IFERROR(XLOOKUP(A33,'Source Ledger'!$B$5:$B$200,'Source Ledger'!$D$5:$D$200),"")</f>
        <v/>
      </c>
      <c r="Q33" s="9" t="inlineStr">
        <is>
          <t>High</t>
        </is>
      </c>
      <c r="R33" s="7" t="inlineStr">
        <is>
          <t>EX-0008</t>
        </is>
      </c>
      <c r="S33" s="7">
        <f>IF(OR(R33="",R33=0),"No","Yes")</f>
        <v/>
      </c>
      <c r="T33">
        <f>IFERROR(XLOOKUP(A33,'Source Ledger'!$B$5:$B$200,'Source Ledger'!$E$5:$E$200),"")</f>
        <v/>
      </c>
      <c r="U33">
        <f>IFERROR(XLOOKUP(A33,'Source Ledger'!$B$5:$B$200,'Source Ledger'!$H$5:$H$200),"")</f>
        <v/>
      </c>
      <c r="V33">
        <f>IFERROR(XLOOKUP(A33,'Source Ledger'!$B$5:$B$200,'Source Ledger'!$G$5:$G$200),"")</f>
        <v/>
      </c>
      <c r="W33">
        <f>IF(OR(M33="",T33=""),"",T33-M33)</f>
        <v/>
      </c>
      <c r="X33">
        <f>IF(V33="","No","Yes")</f>
        <v/>
      </c>
    </row>
    <row r="34">
      <c r="A34" s="7" t="inlineStr">
        <is>
          <t>MD-00030</t>
        </is>
      </c>
      <c r="B34" s="7">
        <f>IFERROR(XLOOKUP(A34,'Source Inventory'!$A$5:$A$200,'Source Inventory'!$B$5:$B$200),"")</f>
        <v/>
      </c>
      <c r="C34" s="7">
        <f>IFERROR(XLOOKUP(A34,'Source Inventory'!$A$5:$A$200,'Source Inventory'!$C$5:$C$200),"")</f>
        <v/>
      </c>
      <c r="D34" s="7">
        <f>IFERROR(XLOOKUP(A34,'Source Inventory'!$A$5:$A$200,'Source Inventory'!$D$5:$D$200),"")</f>
        <v/>
      </c>
      <c r="E34" s="7">
        <f>IFERROR(XLOOKUP(A34,'Source Inventory'!$A$5:$A$200,'Source Inventory'!$E$5:$E$200),"")</f>
        <v/>
      </c>
      <c r="F34" s="7">
        <f>IFERROR(XLOOKUP(A34,'Source Inventory'!$A$5:$A$200,'Source Inventory'!$F$5:$F$200),"")</f>
        <v/>
      </c>
      <c r="G34" s="7">
        <f>IFERROR(XLOOKUP(A34,'Source Inventory'!$A$5:$A$200,'Source Inventory'!$G$5:$G$200),"")</f>
        <v/>
      </c>
      <c r="H34" s="7" t="inlineStr">
        <is>
          <t>E0030</t>
        </is>
      </c>
      <c r="I34" s="7" t="inlineStr">
        <is>
          <t>Atlanta</t>
        </is>
      </c>
      <c r="J34" s="7" t="inlineStr">
        <is>
          <t>In Use</t>
        </is>
      </c>
      <c r="K34" s="7" t="inlineStr">
        <is>
          <t>Files reviewed for MD-00030: Samsung ViewFinity S8, basis $610, operating site Atlanta, status In Use. equipment_transfer_log TR-00030 posted Jan 10, 2026; inbound 2026-01-13 approval APR-00030. buy path for MD-00030 references PO-2023-0006. Source Ledger FA-000030; net book value $355.14. hr_employee_status lists Stephanie Ruiz (E0030) as Active.</t>
        </is>
      </c>
      <c r="L34" s="7" t="inlineStr">
        <is>
          <t>2026-08-05</t>
        </is>
      </c>
      <c r="M34" s="7">
        <f>IFERROR(XLOOKUP(A34,'Source Inventory'!$A$5:$A$200,'Source Inventory'!$H$5:$H$200),"")</f>
        <v/>
      </c>
      <c r="N34" s="7" t="n">
        <v>355.14</v>
      </c>
      <c r="O34" s="7">
        <f>IFERROR(XLOOKUP(A34,'Source Ledger'!$B$5:$B$200,'Source Ledger'!$A$5:$A$200),"")</f>
        <v/>
      </c>
      <c r="P34" s="7">
        <f>IFERROR(XLOOKUP(A34,'Source Ledger'!$B$5:$B$200,'Source Ledger'!$D$5:$D$200),"")</f>
        <v/>
      </c>
      <c r="Q34" s="9" t="inlineStr">
        <is>
          <t>High</t>
        </is>
      </c>
      <c r="R34" s="7" t="inlineStr">
        <is>
          <t>EX-0009</t>
        </is>
      </c>
      <c r="S34" s="7">
        <f>IF(OR(R34="",R34=0),"No","Yes")</f>
        <v/>
      </c>
      <c r="T34">
        <f>IFERROR(XLOOKUP(A34,'Source Ledger'!$B$5:$B$200,'Source Ledger'!$E$5:$E$200),"")</f>
        <v/>
      </c>
      <c r="U34">
        <f>IFERROR(XLOOKUP(A34,'Source Ledger'!$B$5:$B$200,'Source Ledger'!$H$5:$H$200),"")</f>
        <v/>
      </c>
      <c r="V34">
        <f>IFERROR(XLOOKUP(A34,'Source Ledger'!$B$5:$B$200,'Source Ledger'!$G$5:$G$200),"")</f>
        <v/>
      </c>
      <c r="W34">
        <f>IF(OR(M34="",T34=""),"",T34-M34)</f>
        <v/>
      </c>
      <c r="X34">
        <f>IF(V34="","No","Yes")</f>
        <v/>
      </c>
    </row>
    <row r="35">
      <c r="A35" s="7" t="inlineStr">
        <is>
          <t>MD-00031</t>
        </is>
      </c>
      <c r="B35" s="7">
        <f>IFERROR(XLOOKUP(A35,'Source Inventory'!$A$5:$A$200,'Source Inventory'!$B$5:$B$200),"")</f>
        <v/>
      </c>
      <c r="C35" s="7">
        <f>IFERROR(XLOOKUP(A35,'Source Inventory'!$A$5:$A$200,'Source Inventory'!$C$5:$C$200),"")</f>
        <v/>
      </c>
      <c r="D35" s="7">
        <f>IFERROR(XLOOKUP(A35,'Source Inventory'!$A$5:$A$200,'Source Inventory'!$D$5:$D$200),"")</f>
        <v/>
      </c>
      <c r="E35" s="7">
        <f>IFERROR(XLOOKUP(A35,'Source Inventory'!$A$5:$A$200,'Source Inventory'!$E$5:$E$200),"")</f>
        <v/>
      </c>
      <c r="F35" s="7">
        <f>IFERROR(XLOOKUP(A35,'Source Inventory'!$A$5:$A$200,'Source Inventory'!$F$5:$F$200),"")</f>
        <v/>
      </c>
      <c r="G35" s="7">
        <f>IFERROR(XLOOKUP(A35,'Source Inventory'!$A$5:$A$200,'Source Inventory'!$G$5:$G$200),"")</f>
        <v/>
      </c>
      <c r="H35" s="7" t="inlineStr">
        <is>
          <t>E0031</t>
        </is>
      </c>
      <c r="I35" s="7" t="inlineStr">
        <is>
          <t>Chicago</t>
        </is>
      </c>
      <c r="J35" s="7" t="inlineStr">
        <is>
          <t>In Use</t>
        </is>
      </c>
      <c r="K35" s="7" t="inlineStr">
        <is>
          <t>Files reviewed for MD-00031: BenQ PD2705U, basis $1085, operating site Chicago, status In Use. equipment_transfer_log TR-00031 posted Feb 11, 2026; inbound 2026-02-11 approval APR-00031. hardware_purchase_orders.csv ties MD-00031 to PO-2023-0006. Source Ledger FA-000031; net book value $722.59. hr_employee_status lists Keith Moreau (E0031) as Active.</t>
        </is>
      </c>
      <c r="L35" s="7" t="inlineStr">
        <is>
          <t>2026-08-05</t>
        </is>
      </c>
      <c r="M35" s="7">
        <f>IFERROR(XLOOKUP(A35,'Source Inventory'!$A$5:$A$200,'Source Inventory'!$H$5:$H$200),"")</f>
        <v/>
      </c>
      <c r="N35" s="7" t="n">
        <v>722.59</v>
      </c>
      <c r="O35" s="7">
        <f>IFERROR(XLOOKUP(A35,'Source Ledger'!$B$5:$B$200,'Source Ledger'!$A$5:$A$200),"")</f>
        <v/>
      </c>
      <c r="P35" s="7">
        <f>IFERROR(XLOOKUP(A35,'Source Ledger'!$B$5:$B$200,'Source Ledger'!$D$5:$D$200),"")</f>
        <v/>
      </c>
      <c r="Q35" s="9" t="inlineStr">
        <is>
          <t>High</t>
        </is>
      </c>
      <c r="R35" s="7" t="inlineStr">
        <is>
          <t>EX-0010</t>
        </is>
      </c>
      <c r="S35" s="7">
        <f>IF(OR(R35="",R35=0),"No","Yes")</f>
        <v/>
      </c>
      <c r="T35">
        <f>IFERROR(XLOOKUP(A35,'Source Ledger'!$B$5:$B$200,'Source Ledger'!$E$5:$E$200),"")</f>
        <v/>
      </c>
      <c r="U35">
        <f>IFERROR(XLOOKUP(A35,'Source Ledger'!$B$5:$B$200,'Source Ledger'!$H$5:$H$200),"")</f>
        <v/>
      </c>
      <c r="V35">
        <f>IFERROR(XLOOKUP(A35,'Source Ledger'!$B$5:$B$200,'Source Ledger'!$G$5:$G$200),"")</f>
        <v/>
      </c>
      <c r="W35">
        <f>IF(OR(M35="",T35=""),"",T35-M35)</f>
        <v/>
      </c>
      <c r="X35">
        <f>IF(V35="","No","Yes")</f>
        <v/>
      </c>
    </row>
    <row r="36">
      <c r="A36" s="7" t="inlineStr">
        <is>
          <t>MD-00032</t>
        </is>
      </c>
      <c r="B36" s="7">
        <f>IFERROR(XLOOKUP(A36,'Source Inventory'!$A$5:$A$200,'Source Inventory'!$B$5:$B$200),"")</f>
        <v/>
      </c>
      <c r="C36" s="7">
        <f>IFERROR(XLOOKUP(A36,'Source Inventory'!$A$5:$A$200,'Source Inventory'!$C$5:$C$200),"")</f>
        <v/>
      </c>
      <c r="D36" s="7">
        <f>IFERROR(XLOOKUP(A36,'Source Inventory'!$A$5:$A$200,'Source Inventory'!$D$5:$D$200),"")</f>
        <v/>
      </c>
      <c r="E36" s="7">
        <f>IFERROR(XLOOKUP(A36,'Source Inventory'!$A$5:$A$200,'Source Inventory'!$E$5:$E$200),"")</f>
        <v/>
      </c>
      <c r="F36" s="7">
        <f>IFERROR(XLOOKUP(A36,'Source Inventory'!$A$5:$A$200,'Source Inventory'!$F$5:$F$200),"")</f>
        <v/>
      </c>
      <c r="G36" s="7">
        <f>IFERROR(XLOOKUP(A36,'Source Inventory'!$A$5:$A$200,'Source Inventory'!$G$5:$G$200),"")</f>
        <v/>
      </c>
      <c r="H36" s="7" t="inlineStr">
        <is>
          <t>E0032</t>
        </is>
      </c>
      <c r="I36" s="7" t="inlineStr">
        <is>
          <t>Dallas</t>
        </is>
      </c>
      <c r="J36" s="7" t="inlineStr">
        <is>
          <t>In Use</t>
        </is>
      </c>
      <c r="K36" s="7" t="inlineStr">
        <is>
          <t>Asset MD-00032 — Dell P2422H — reconciled to In Use in Dallas on $6380 acquisition. Source Ledger FA-000032; net book value $1384.3. PO PO-2023-0006 documents the buy for MD-00032. hr_employee_status lists Diana Voss (E0032) as Active. equipment_transfer_log TR-00032 posted Mar 16, 2026; inbound 2026-03-22 approval APR-00032.</t>
        </is>
      </c>
      <c r="L36" s="7" t="inlineStr">
        <is>
          <t>2026-08-05</t>
        </is>
      </c>
      <c r="M36" s="7">
        <f>IFERROR(XLOOKUP(A36,'Source Inventory'!$A$5:$A$200,'Source Inventory'!$H$5:$H$200),"")</f>
        <v/>
      </c>
      <c r="N36" s="7" t="n">
        <v>1384.3</v>
      </c>
      <c r="O36" s="7">
        <f>IFERROR(XLOOKUP(A36,'Source Ledger'!$B$5:$B$200,'Source Ledger'!$A$5:$A$200),"")</f>
        <v/>
      </c>
      <c r="P36" s="7">
        <f>IFERROR(XLOOKUP(A36,'Source Ledger'!$B$5:$B$200,'Source Ledger'!$D$5:$D$200),"")</f>
        <v/>
      </c>
      <c r="Q36" s="9" t="inlineStr">
        <is>
          <t>High</t>
        </is>
      </c>
      <c r="R36" s="7" t="inlineStr">
        <is>
          <t>EX-0011</t>
        </is>
      </c>
      <c r="S36" s="7">
        <f>IF(OR(R36="",R36=0),"No","Yes")</f>
        <v/>
      </c>
      <c r="T36">
        <f>IFERROR(XLOOKUP(A36,'Source Ledger'!$B$5:$B$200,'Source Ledger'!$E$5:$E$200),"")</f>
        <v/>
      </c>
      <c r="U36">
        <f>IFERROR(XLOOKUP(A36,'Source Ledger'!$B$5:$B$200,'Source Ledger'!$H$5:$H$200),"")</f>
        <v/>
      </c>
      <c r="V36">
        <f>IFERROR(XLOOKUP(A36,'Source Ledger'!$B$5:$B$200,'Source Ledger'!$G$5:$G$200),"")</f>
        <v/>
      </c>
      <c r="W36">
        <f>IF(OR(M36="",T36=""),"",T36-M36)</f>
        <v/>
      </c>
      <c r="X36">
        <f>IF(V36="","No","Yes")</f>
        <v/>
      </c>
    </row>
    <row r="37">
      <c r="A37" s="7" t="inlineStr">
        <is>
          <t>MD-00033</t>
        </is>
      </c>
      <c r="B37" s="7">
        <f>IFERROR(XLOOKUP(A37,'Source Inventory'!$A$5:$A$200,'Source Inventory'!$B$5:$B$200),"")</f>
        <v/>
      </c>
      <c r="C37" s="7">
        <f>IFERROR(XLOOKUP(A37,'Source Inventory'!$A$5:$A$200,'Source Inventory'!$C$5:$C$200),"")</f>
        <v/>
      </c>
      <c r="D37" s="7">
        <f>IFERROR(XLOOKUP(A37,'Source Inventory'!$A$5:$A$200,'Source Inventory'!$D$5:$D$200),"")</f>
        <v/>
      </c>
      <c r="E37" s="7">
        <f>IFERROR(XLOOKUP(A37,'Source Inventory'!$A$5:$A$200,'Source Inventory'!$E$5:$E$200),"")</f>
        <v/>
      </c>
      <c r="F37" s="7">
        <f>IFERROR(XLOOKUP(A37,'Source Inventory'!$A$5:$A$200,'Source Inventory'!$F$5:$F$200),"")</f>
        <v/>
      </c>
      <c r="G37" s="7">
        <f>IFERROR(XLOOKUP(A37,'Source Inventory'!$A$5:$A$200,'Source Inventory'!$G$5:$G$200),"")</f>
        <v/>
      </c>
      <c r="H37" s="7" t="inlineStr">
        <is>
          <t>E0033</t>
        </is>
      </c>
      <c r="I37" s="7" t="inlineStr">
        <is>
          <t>Denver</t>
        </is>
      </c>
      <c r="J37" s="7" t="inlineStr">
        <is>
          <t>In Use</t>
        </is>
      </c>
      <c r="K37" s="7" t="inlineStr">
        <is>
          <t>Asset MD-00033 — Dell U2723QE — reconciled to In Use in Denver on $2075 acquisition. Source Ledger FA-000033; net book value $116.93. capital PO PO-2023-0006 supports the cost basis. hr_employee_status lists Jordan Blake (E0033) as Active. equipment_transfer_log TR-00033 posted Apr 20, 2026; inbound 2026-04-22 approval APR-00033.</t>
        </is>
      </c>
      <c r="L37" s="7" t="inlineStr">
        <is>
          <t>2026-08-05</t>
        </is>
      </c>
      <c r="M37" s="7">
        <f>IFERROR(XLOOKUP(A37,'Source Inventory'!$A$5:$A$200,'Source Inventory'!$H$5:$H$200),"")</f>
        <v/>
      </c>
      <c r="N37" s="7" t="n">
        <v>116.93</v>
      </c>
      <c r="O37" s="7">
        <f>IFERROR(XLOOKUP(A37,'Source Ledger'!$B$5:$B$200,'Source Ledger'!$A$5:$A$200),"")</f>
        <v/>
      </c>
      <c r="P37" s="7">
        <f>IFERROR(XLOOKUP(A37,'Source Ledger'!$B$5:$B$200,'Source Ledger'!$D$5:$D$200),"")</f>
        <v/>
      </c>
      <c r="Q37" s="9" t="inlineStr">
        <is>
          <t>High</t>
        </is>
      </c>
      <c r="R37" s="7" t="inlineStr">
        <is>
          <t>EX-0012</t>
        </is>
      </c>
      <c r="S37" s="7">
        <f>IF(OR(R37="",R37=0),"No","Yes")</f>
        <v/>
      </c>
      <c r="T37">
        <f>IFERROR(XLOOKUP(A37,'Source Ledger'!$B$5:$B$200,'Source Ledger'!$E$5:$E$200),"")</f>
        <v/>
      </c>
      <c r="U37">
        <f>IFERROR(XLOOKUP(A37,'Source Ledger'!$B$5:$B$200,'Source Ledger'!$H$5:$H$200),"")</f>
        <v/>
      </c>
      <c r="V37">
        <f>IFERROR(XLOOKUP(A37,'Source Ledger'!$B$5:$B$200,'Source Ledger'!$G$5:$G$200),"")</f>
        <v/>
      </c>
      <c r="W37">
        <f>IF(OR(M37="",T37=""),"",T37-M37)</f>
        <v/>
      </c>
      <c r="X37">
        <f>IF(V37="","No","Yes")</f>
        <v/>
      </c>
    </row>
    <row r="38">
      <c r="A38" s="7" t="inlineStr">
        <is>
          <t>MD-00034</t>
        </is>
      </c>
      <c r="B38" s="7">
        <f>IFERROR(XLOOKUP(A38,'Source Inventory'!$A$5:$A$200,'Source Inventory'!$B$5:$B$200),"")</f>
        <v/>
      </c>
      <c r="C38" s="7">
        <f>IFERROR(XLOOKUP(A38,'Source Inventory'!$A$5:$A$200,'Source Inventory'!$C$5:$C$200),"")</f>
        <v/>
      </c>
      <c r="D38" s="7">
        <f>IFERROR(XLOOKUP(A38,'Source Inventory'!$A$5:$A$200,'Source Inventory'!$D$5:$D$200),"")</f>
        <v/>
      </c>
      <c r="E38" s="7">
        <f>IFERROR(XLOOKUP(A38,'Source Inventory'!$A$5:$A$200,'Source Inventory'!$E$5:$E$200),"")</f>
        <v/>
      </c>
      <c r="F38" s="7">
        <f>IFERROR(XLOOKUP(A38,'Source Inventory'!$A$5:$A$200,'Source Inventory'!$F$5:$F$200),"")</f>
        <v/>
      </c>
      <c r="G38" s="7">
        <f>IFERROR(XLOOKUP(A38,'Source Inventory'!$A$5:$A$200,'Source Inventory'!$G$5:$G$200),"")</f>
        <v/>
      </c>
      <c r="H38" s="7" t="inlineStr">
        <is>
          <t>E0034</t>
        </is>
      </c>
      <c r="I38" s="7" t="inlineStr">
        <is>
          <t>New York</t>
        </is>
      </c>
      <c r="J38" s="7" t="inlineStr">
        <is>
          <t>In Use</t>
        </is>
      </c>
      <c r="K38" s="7" t="inlineStr">
        <is>
          <t>Working conclusion for MD-00034 (MD-MO-050034): In Use at New York; cost $790. equipment_transfer_log TR-00034 posted May 22, 2026; inbound 2026-05-22 approval APR-00034. PO PO-2024-0007 documents the buy for MD-00034. Source Ledger FA-000034; net book value $479.88. hr_employee_status lists Amelia Grant (E0034) as Active.</t>
        </is>
      </c>
      <c r="L38" s="7" t="inlineStr">
        <is>
          <t>2026-08-05</t>
        </is>
      </c>
      <c r="M38" s="7">
        <f>IFERROR(XLOOKUP(A38,'Source Inventory'!$A$5:$A$200,'Source Inventory'!$H$5:$H$200),"")</f>
        <v/>
      </c>
      <c r="N38" s="7" t="n">
        <v>479.88</v>
      </c>
      <c r="O38" s="7">
        <f>IFERROR(XLOOKUP(A38,'Source Ledger'!$B$5:$B$200,'Source Ledger'!$A$5:$A$200),"")</f>
        <v/>
      </c>
      <c r="P38" s="7">
        <f>IFERROR(XLOOKUP(A38,'Source Ledger'!$B$5:$B$200,'Source Ledger'!$D$5:$D$200),"")</f>
        <v/>
      </c>
      <c r="Q38" s="9" t="inlineStr">
        <is>
          <t>High</t>
        </is>
      </c>
      <c r="R38" s="7" t="inlineStr">
        <is>
          <t>EX-0013, EX-0014</t>
        </is>
      </c>
      <c r="S38" s="7">
        <f>IF(OR(R38="",R38=0),"No","Yes")</f>
        <v/>
      </c>
      <c r="T38">
        <f>IFERROR(XLOOKUP(A38,'Source Ledger'!$B$5:$B$200,'Source Ledger'!$E$5:$E$200),"")</f>
        <v/>
      </c>
      <c r="U38">
        <f>IFERROR(XLOOKUP(A38,'Source Ledger'!$B$5:$B$200,'Source Ledger'!$H$5:$H$200),"")</f>
        <v/>
      </c>
      <c r="V38">
        <f>IFERROR(XLOOKUP(A38,'Source Ledger'!$B$5:$B$200,'Source Ledger'!$G$5:$G$200),"")</f>
        <v/>
      </c>
      <c r="W38">
        <f>IF(OR(M38="",T38=""),"",T38-M38)</f>
        <v/>
      </c>
      <c r="X38">
        <f>IF(V38="","No","Yes")</f>
        <v/>
      </c>
    </row>
    <row r="39">
      <c r="A39" s="7" t="inlineStr">
        <is>
          <t>MD-00035</t>
        </is>
      </c>
      <c r="B39" s="7">
        <f>IFERROR(XLOOKUP(A39,'Source Inventory'!$A$5:$A$200,'Source Inventory'!$B$5:$B$200),"")</f>
        <v/>
      </c>
      <c r="C39" s="7">
        <f>IFERROR(XLOOKUP(A39,'Source Inventory'!$A$5:$A$200,'Source Inventory'!$C$5:$C$200),"")</f>
        <v/>
      </c>
      <c r="D39" s="7">
        <f>IFERROR(XLOOKUP(A39,'Source Inventory'!$A$5:$A$200,'Source Inventory'!$D$5:$D$200),"")</f>
        <v/>
      </c>
      <c r="E39" s="7">
        <f>IFERROR(XLOOKUP(A39,'Source Inventory'!$A$5:$A$200,'Source Inventory'!$E$5:$E$200),"")</f>
        <v/>
      </c>
      <c r="F39" s="7">
        <f>IFERROR(XLOOKUP(A39,'Source Inventory'!$A$5:$A$200,'Source Inventory'!$F$5:$F$200),"")</f>
        <v/>
      </c>
      <c r="G39" s="7">
        <f>IFERROR(XLOOKUP(A39,'Source Inventory'!$A$5:$A$200,'Source Inventory'!$G$5:$G$200),"")</f>
        <v/>
      </c>
      <c r="H39" s="7" t="inlineStr">
        <is>
          <t>E0035</t>
        </is>
      </c>
      <c r="I39" s="7" t="inlineStr">
        <is>
          <t>Seattle</t>
        </is>
      </c>
      <c r="J39" s="7" t="inlineStr">
        <is>
          <t>In Use</t>
        </is>
      </c>
      <c r="K39" s="7" t="inlineStr">
        <is>
          <t>Asset MD-00035 — Samsung ViewFinity S8 — reconciled to In Use in Seattle on $950 acquisition. hr_employee_status lists Rafael Mendes (E0035) as Active. Source Ledger FA-000035; net book value $741.92. equipment_transfer_log TR-00035 posted Jun 26, 2026; inbound 2026-06-30 approval APR-00035. capital PO PO-2024-0007 supports the cost basis.</t>
        </is>
      </c>
      <c r="L39" s="7" t="inlineStr">
        <is>
          <t>2026-08-05</t>
        </is>
      </c>
      <c r="M39" s="7">
        <f>IFERROR(XLOOKUP(A39,'Source Inventory'!$A$5:$A$200,'Source Inventory'!$H$5:$H$200),"")</f>
        <v/>
      </c>
      <c r="N39" s="7" t="n">
        <v>741.92</v>
      </c>
      <c r="O39" s="7">
        <f>IFERROR(XLOOKUP(A39,'Source Ledger'!$B$5:$B$200,'Source Ledger'!$A$5:$A$200),"")</f>
        <v/>
      </c>
      <c r="P39" s="7">
        <f>IFERROR(XLOOKUP(A39,'Source Ledger'!$B$5:$B$200,'Source Ledger'!$D$5:$D$200),"")</f>
        <v/>
      </c>
      <c r="Q39" s="9" t="inlineStr">
        <is>
          <t>High</t>
        </is>
      </c>
      <c r="R39" s="7" t="inlineStr">
        <is>
          <t>EX-0015</t>
        </is>
      </c>
      <c r="S39" s="7">
        <f>IF(OR(R39="",R39=0),"No","Yes")</f>
        <v/>
      </c>
      <c r="T39">
        <f>IFERROR(XLOOKUP(A39,'Source Ledger'!$B$5:$B$200,'Source Ledger'!$E$5:$E$200),"")</f>
        <v/>
      </c>
      <c r="U39">
        <f>IFERROR(XLOOKUP(A39,'Source Ledger'!$B$5:$B$200,'Source Ledger'!$H$5:$H$200),"")</f>
        <v/>
      </c>
      <c r="V39">
        <f>IFERROR(XLOOKUP(A39,'Source Ledger'!$B$5:$B$200,'Source Ledger'!$G$5:$G$200),"")</f>
        <v/>
      </c>
      <c r="W39">
        <f>IF(OR(M39="",T39=""),"",T39-M39)</f>
        <v/>
      </c>
      <c r="X39">
        <f>IF(V39="","No","Yes")</f>
        <v/>
      </c>
    </row>
    <row r="40">
      <c r="A40" s="7" t="inlineStr">
        <is>
          <t>MD-00036</t>
        </is>
      </c>
      <c r="B40" s="7">
        <f>IFERROR(XLOOKUP(A40,'Source Inventory'!$A$5:$A$200,'Source Inventory'!$B$5:$B$200),"")</f>
        <v/>
      </c>
      <c r="C40" s="7">
        <f>IFERROR(XLOOKUP(A40,'Source Inventory'!$A$5:$A$200,'Source Inventory'!$C$5:$C$200),"")</f>
        <v/>
      </c>
      <c r="D40" s="7">
        <f>IFERROR(XLOOKUP(A40,'Source Inventory'!$A$5:$A$200,'Source Inventory'!$D$5:$D$200),"")</f>
        <v/>
      </c>
      <c r="E40" s="7">
        <f>IFERROR(XLOOKUP(A40,'Source Inventory'!$A$5:$A$200,'Source Inventory'!$E$5:$E$200),"")</f>
        <v/>
      </c>
      <c r="F40" s="7">
        <f>IFERROR(XLOOKUP(A40,'Source Inventory'!$A$5:$A$200,'Source Inventory'!$F$5:$F$200),"")</f>
        <v/>
      </c>
      <c r="G40" s="7">
        <f>IFERROR(XLOOKUP(A40,'Source Inventory'!$A$5:$A$200,'Source Inventory'!$G$5:$G$200),"")</f>
        <v/>
      </c>
      <c r="H40" s="7" t="inlineStr">
        <is>
          <t>E0036</t>
        </is>
      </c>
      <c r="I40" s="7" t="inlineStr">
        <is>
          <t>Atlanta</t>
        </is>
      </c>
      <c r="J40" s="7" t="inlineStr">
        <is>
          <t>In Use</t>
        </is>
      </c>
      <c r="K40" s="7" t="inlineStr">
        <is>
          <t>Asset MD-00036 — Samsung Galaxy S23 FE — reconciled to In Use in Atlanta on $6245 acquisition. hr_employee_status lists Kate Sorenson (E0036) as Active. Source Ledger FA-000036; net book value $537.73. equipment_transfer_log TR-00036 posted Jan 30, 2026; inbound 2026-02-01 approval APR-00036. purchasing file shows PO-2025-0008 for this unit.</t>
        </is>
      </c>
      <c r="L40" s="7" t="inlineStr">
        <is>
          <t>2026-08-05</t>
        </is>
      </c>
      <c r="M40" s="7">
        <f>IFERROR(XLOOKUP(A40,'Source Inventory'!$A$5:$A$200,'Source Inventory'!$H$5:$H$200),"")</f>
        <v/>
      </c>
      <c r="N40" s="7" t="n">
        <v>537.73</v>
      </c>
      <c r="O40" s="7">
        <f>IFERROR(XLOOKUP(A40,'Source Ledger'!$B$5:$B$200,'Source Ledger'!$A$5:$A$200),"")</f>
        <v/>
      </c>
      <c r="P40" s="7">
        <f>IFERROR(XLOOKUP(A40,'Source Ledger'!$B$5:$B$200,'Source Ledger'!$D$5:$D$200),"")</f>
        <v/>
      </c>
      <c r="Q40" s="9" t="inlineStr">
        <is>
          <t>High</t>
        </is>
      </c>
      <c r="R40" s="7" t="inlineStr">
        <is>
          <t>EX-0016</t>
        </is>
      </c>
      <c r="S40" s="7">
        <f>IF(OR(R40="",R40=0),"No","Yes")</f>
        <v/>
      </c>
      <c r="T40">
        <f>IFERROR(XLOOKUP(A40,'Source Ledger'!$B$5:$B$200,'Source Ledger'!$E$5:$E$200),"")</f>
        <v/>
      </c>
      <c r="U40">
        <f>IFERROR(XLOOKUP(A40,'Source Ledger'!$B$5:$B$200,'Source Ledger'!$H$5:$H$200),"")</f>
        <v/>
      </c>
      <c r="V40">
        <f>IFERROR(XLOOKUP(A40,'Source Ledger'!$B$5:$B$200,'Source Ledger'!$G$5:$G$200),"")</f>
        <v/>
      </c>
      <c r="W40">
        <f>IF(OR(M40="",T40=""),"",T40-M40)</f>
        <v/>
      </c>
      <c r="X40">
        <f>IF(V40="","No","Yes")</f>
        <v/>
      </c>
    </row>
    <row r="41">
      <c r="A41" s="7" t="inlineStr">
        <is>
          <t>MD-00037</t>
        </is>
      </c>
      <c r="B41" s="7">
        <f>IFERROR(XLOOKUP(A41,'Source Inventory'!$A$5:$A$200,'Source Inventory'!$B$5:$B$200),"")</f>
        <v/>
      </c>
      <c r="C41" s="7">
        <f>IFERROR(XLOOKUP(A41,'Source Inventory'!$A$5:$A$200,'Source Inventory'!$C$5:$C$200),"")</f>
        <v/>
      </c>
      <c r="D41" s="7">
        <f>IFERROR(XLOOKUP(A41,'Source Inventory'!$A$5:$A$200,'Source Inventory'!$D$5:$D$200),"")</f>
        <v/>
      </c>
      <c r="E41" s="7">
        <f>IFERROR(XLOOKUP(A41,'Source Inventory'!$A$5:$A$200,'Source Inventory'!$E$5:$E$200),"")</f>
        <v/>
      </c>
      <c r="F41" s="7">
        <f>IFERROR(XLOOKUP(A41,'Source Inventory'!$A$5:$A$200,'Source Inventory'!$F$5:$F$200),"")</f>
        <v/>
      </c>
      <c r="G41" s="7">
        <f>IFERROR(XLOOKUP(A41,'Source Inventory'!$A$5:$A$200,'Source Inventory'!$G$5:$G$200),"")</f>
        <v/>
      </c>
      <c r="H41" s="7" t="inlineStr">
        <is>
          <t>E0037</t>
        </is>
      </c>
      <c r="I41" s="7" t="inlineStr">
        <is>
          <t>Chicago</t>
        </is>
      </c>
      <c r="J41" s="7" t="inlineStr">
        <is>
          <t>In Use</t>
        </is>
      </c>
      <c r="K41" s="7" t="inlineStr">
        <is>
          <t>Working conclusion for MD-00037 (MD-LA-050037): In Use at Chicago; cost $1940. equipment_transfer_log TR-00037 posted Feb 02, 2026; inbound 2026-02-02 approval APR-00037. order PO-2025-0008 appears in the purchasing extract. Source Ledger FA-000037; net book value $0. hr_employee_status lists Victor Lang (E0037) as Active.</t>
        </is>
      </c>
      <c r="L41" s="7" t="inlineStr">
        <is>
          <t>2026-08-05</t>
        </is>
      </c>
      <c r="M41" s="7">
        <f>IFERROR(XLOOKUP(A41,'Source Inventory'!$A$5:$A$200,'Source Inventory'!$H$5:$H$200),"")</f>
        <v/>
      </c>
      <c r="N41" s="7" t="n">
        <v>0</v>
      </c>
      <c r="O41" s="7">
        <f>IFERROR(XLOOKUP(A41,'Source Ledger'!$B$5:$B$200,'Source Ledger'!$A$5:$A$200),"")</f>
        <v/>
      </c>
      <c r="P41" s="7">
        <f>IFERROR(XLOOKUP(A41,'Source Ledger'!$B$5:$B$200,'Source Ledger'!$D$5:$D$200),"")</f>
        <v/>
      </c>
      <c r="Q41" s="9" t="inlineStr">
        <is>
          <t>High</t>
        </is>
      </c>
      <c r="R41" s="7" t="inlineStr">
        <is>
          <t>EX-0017</t>
        </is>
      </c>
      <c r="S41" s="7">
        <f>IF(OR(R41="",R41=0),"No","Yes")</f>
        <v/>
      </c>
      <c r="T41">
        <f>IFERROR(XLOOKUP(A41,'Source Ledger'!$B$5:$B$200,'Source Ledger'!$E$5:$E$200),"")</f>
        <v/>
      </c>
      <c r="U41">
        <f>IFERROR(XLOOKUP(A41,'Source Ledger'!$B$5:$B$200,'Source Ledger'!$H$5:$H$200),"")</f>
        <v/>
      </c>
      <c r="V41">
        <f>IFERROR(XLOOKUP(A41,'Source Ledger'!$B$5:$B$200,'Source Ledger'!$G$5:$G$200),"")</f>
        <v/>
      </c>
      <c r="W41">
        <f>IF(OR(M41="",T41=""),"",T41-M41)</f>
        <v/>
      </c>
      <c r="X41">
        <f>IF(V41="","No","Yes")</f>
        <v/>
      </c>
    </row>
    <row r="42">
      <c r="A42" s="7" t="inlineStr">
        <is>
          <t>MD-00038</t>
        </is>
      </c>
      <c r="B42" s="7">
        <f>IFERROR(XLOOKUP(A42,'Source Inventory'!$A$5:$A$200,'Source Inventory'!$B$5:$B$200),"")</f>
        <v/>
      </c>
      <c r="C42" s="7">
        <f>IFERROR(XLOOKUP(A42,'Source Inventory'!$A$5:$A$200,'Source Inventory'!$C$5:$C$200),"")</f>
        <v/>
      </c>
      <c r="D42" s="7">
        <f>IFERROR(XLOOKUP(A42,'Source Inventory'!$A$5:$A$200,'Source Inventory'!$D$5:$D$200),"")</f>
        <v/>
      </c>
      <c r="E42" s="7">
        <f>IFERROR(XLOOKUP(A42,'Source Inventory'!$A$5:$A$200,'Source Inventory'!$E$5:$E$200),"")</f>
        <v/>
      </c>
      <c r="F42" s="7">
        <f>IFERROR(XLOOKUP(A42,'Source Inventory'!$A$5:$A$200,'Source Inventory'!$F$5:$F$200),"")</f>
        <v/>
      </c>
      <c r="G42" s="7">
        <f>IFERROR(XLOOKUP(A42,'Source Inventory'!$A$5:$A$200,'Source Inventory'!$G$5:$G$200),"")</f>
        <v/>
      </c>
      <c r="H42" s="7" t="inlineStr">
        <is>
          <t>E0038</t>
        </is>
      </c>
      <c r="I42" s="7" t="inlineStr">
        <is>
          <t>Dallas</t>
        </is>
      </c>
      <c r="J42" s="7" t="inlineStr">
        <is>
          <t>In Use</t>
        </is>
      </c>
      <c r="K42" s="7" t="inlineStr">
        <is>
          <t>Working conclusion for MD-00038 (MD-MO-050038): In Use at Dallas; cost $655. equipment_transfer_log TR-00038 posted Mar 07, 2026; inbound 2026-03-11 approval APR-00038. PO-2025-0008 is the cited purchase order. Source Ledger FA-000038; net book value $340.46. hr_employee_status lists Noelle Harper (E0038) as Active.</t>
        </is>
      </c>
      <c r="L42" s="7" t="inlineStr">
        <is>
          <t>2026-08-05</t>
        </is>
      </c>
      <c r="M42" s="7">
        <f>IFERROR(XLOOKUP(A42,'Source Inventory'!$A$5:$A$200,'Source Inventory'!$H$5:$H$200),"")</f>
        <v/>
      </c>
      <c r="N42" s="7" t="n">
        <v>340.46</v>
      </c>
      <c r="O42" s="7">
        <f>IFERROR(XLOOKUP(A42,'Source Ledger'!$B$5:$B$200,'Source Ledger'!$A$5:$A$200),"")</f>
        <v/>
      </c>
      <c r="P42" s="7">
        <f>IFERROR(XLOOKUP(A42,'Source Ledger'!$B$5:$B$200,'Source Ledger'!$D$5:$D$200),"")</f>
        <v/>
      </c>
      <c r="Q42" s="9" t="inlineStr">
        <is>
          <t>High</t>
        </is>
      </c>
      <c r="R42" s="7" t="inlineStr">
        <is>
          <t>EX-0018</t>
        </is>
      </c>
      <c r="S42" s="7">
        <f>IF(OR(R42="",R42=0),"No","Yes")</f>
        <v/>
      </c>
      <c r="T42">
        <f>IFERROR(XLOOKUP(A42,'Source Ledger'!$B$5:$B$200,'Source Ledger'!$E$5:$E$200),"")</f>
        <v/>
      </c>
      <c r="U42">
        <f>IFERROR(XLOOKUP(A42,'Source Ledger'!$B$5:$B$200,'Source Ledger'!$H$5:$H$200),"")</f>
        <v/>
      </c>
      <c r="V42">
        <f>IFERROR(XLOOKUP(A42,'Source Ledger'!$B$5:$B$200,'Source Ledger'!$G$5:$G$200),"")</f>
        <v/>
      </c>
      <c r="W42">
        <f>IF(OR(M42="",T42=""),"",T42-M42)</f>
        <v/>
      </c>
      <c r="X42">
        <f>IF(V42="","No","Yes")</f>
        <v/>
      </c>
    </row>
    <row r="43">
      <c r="A43" s="7" t="inlineStr">
        <is>
          <t>MD-00039</t>
        </is>
      </c>
      <c r="B43" s="7">
        <f>IFERROR(XLOOKUP(A43,'Source Inventory'!$A$5:$A$200,'Source Inventory'!$B$5:$B$200),"")</f>
        <v/>
      </c>
      <c r="C43" s="7">
        <f>IFERROR(XLOOKUP(A43,'Source Inventory'!$A$5:$A$200,'Source Inventory'!$C$5:$C$200),"")</f>
        <v/>
      </c>
      <c r="D43" s="7">
        <f>IFERROR(XLOOKUP(A43,'Source Inventory'!$A$5:$A$200,'Source Inventory'!$D$5:$D$200),"")</f>
        <v/>
      </c>
      <c r="E43" s="7">
        <f>IFERROR(XLOOKUP(A43,'Source Inventory'!$A$5:$A$200,'Source Inventory'!$E$5:$E$200),"")</f>
        <v/>
      </c>
      <c r="F43" s="7">
        <f>IFERROR(XLOOKUP(A43,'Source Inventory'!$A$5:$A$200,'Source Inventory'!$F$5:$F$200),"")</f>
        <v/>
      </c>
      <c r="G43" s="7">
        <f>IFERROR(XLOOKUP(A43,'Source Inventory'!$A$5:$A$200,'Source Inventory'!$G$5:$G$200),"")</f>
        <v/>
      </c>
      <c r="H43" s="7" t="inlineStr">
        <is>
          <t>E0039</t>
        </is>
      </c>
      <c r="I43" s="7" t="inlineStr">
        <is>
          <t>Denver</t>
        </is>
      </c>
      <c r="J43" s="7" t="inlineStr">
        <is>
          <t>In Use</t>
        </is>
      </c>
      <c r="K43" s="7" t="inlineStr">
        <is>
          <t>Asset MD-00039 — iPhone 15 — reconciled to In Use in Denver on $1130 acquisition. Source Ledger FA-000039; net book value $635. acquisition recorded on PO-2025-0008. hr_employee_status lists Samir Kapoor (E0039) as Active. equipment_transfer_log TR-00039 posted Apr 12, 2026; inbound 2026-04-14 approval APR-00039.</t>
        </is>
      </c>
      <c r="L43" s="7" t="inlineStr">
        <is>
          <t>2026-08-05</t>
        </is>
      </c>
      <c r="M43" s="7">
        <f>IFERROR(XLOOKUP(A43,'Source Inventory'!$A$5:$A$200,'Source Inventory'!$H$5:$H$200),"")</f>
        <v/>
      </c>
      <c r="N43" s="7" t="n">
        <v>635</v>
      </c>
      <c r="O43" s="7">
        <f>IFERROR(XLOOKUP(A43,'Source Ledger'!$B$5:$B$200,'Source Ledger'!$A$5:$A$200),"")</f>
        <v/>
      </c>
      <c r="P43" s="7">
        <f>IFERROR(XLOOKUP(A43,'Source Ledger'!$B$5:$B$200,'Source Ledger'!$D$5:$D$200),"")</f>
        <v/>
      </c>
      <c r="Q43" s="9" t="inlineStr">
        <is>
          <t>High</t>
        </is>
      </c>
      <c r="R43" s="7" t="inlineStr">
        <is>
          <t>EX-0019</t>
        </is>
      </c>
      <c r="S43" s="7">
        <f>IF(OR(R43="",R43=0),"No","Yes")</f>
        <v/>
      </c>
      <c r="T43">
        <f>IFERROR(XLOOKUP(A43,'Source Ledger'!$B$5:$B$200,'Source Ledger'!$E$5:$E$200),"")</f>
        <v/>
      </c>
      <c r="U43">
        <f>IFERROR(XLOOKUP(A43,'Source Ledger'!$B$5:$B$200,'Source Ledger'!$H$5:$H$200),"")</f>
        <v/>
      </c>
      <c r="V43">
        <f>IFERROR(XLOOKUP(A43,'Source Ledger'!$B$5:$B$200,'Source Ledger'!$G$5:$G$200),"")</f>
        <v/>
      </c>
      <c r="W43">
        <f>IF(OR(M43="",T43=""),"",T43-M43)</f>
        <v/>
      </c>
      <c r="X43">
        <f>IF(V43="","No","Yes")</f>
        <v/>
      </c>
    </row>
    <row r="44">
      <c r="A44" s="7" t="inlineStr">
        <is>
          <t>MD-00040</t>
        </is>
      </c>
      <c r="B44" s="7">
        <f>IFERROR(XLOOKUP(A44,'Source Inventory'!$A$5:$A$200,'Source Inventory'!$B$5:$B$200),"")</f>
        <v/>
      </c>
      <c r="C44" s="7">
        <f>IFERROR(XLOOKUP(A44,'Source Inventory'!$A$5:$A$200,'Source Inventory'!$C$5:$C$200),"")</f>
        <v/>
      </c>
      <c r="D44" s="7">
        <f>IFERROR(XLOOKUP(A44,'Source Inventory'!$A$5:$A$200,'Source Inventory'!$D$5:$D$200),"")</f>
        <v/>
      </c>
      <c r="E44" s="7">
        <f>IFERROR(XLOOKUP(A44,'Source Inventory'!$A$5:$A$200,'Source Inventory'!$E$5:$E$200),"")</f>
        <v/>
      </c>
      <c r="F44" s="7">
        <f>IFERROR(XLOOKUP(A44,'Source Inventory'!$A$5:$A$200,'Source Inventory'!$F$5:$F$200),"")</f>
        <v/>
      </c>
      <c r="G44" s="7">
        <f>IFERROR(XLOOKUP(A44,'Source Inventory'!$A$5:$A$200,'Source Inventory'!$G$5:$G$200),"")</f>
        <v/>
      </c>
      <c r="H44" s="7" t="inlineStr">
        <is>
          <t>E0040</t>
        </is>
      </c>
      <c r="I44" s="7" t="inlineStr">
        <is>
          <t>New York</t>
        </is>
      </c>
      <c r="J44" s="7" t="inlineStr">
        <is>
          <t>In Use</t>
        </is>
      </c>
      <c r="K44" s="7" t="inlineStr">
        <is>
          <t>Asset MD-00040 — Samsung Galaxy S23 FE — reconciled to In Use in New York on $6425 acquisition. hr_employee_status lists Holly Jensen (E0040) as Active. capital PO PO-2025-0008 supports the cost basis. Source Ledger FA-000040; net book value $989.48. equipment_transfer_log TR-00040 posted May 13, 2026; inbound 2026-05-13 approval APR-00040.</t>
        </is>
      </c>
      <c r="L44" s="7" t="inlineStr">
        <is>
          <t>2026-08-05</t>
        </is>
      </c>
      <c r="M44" s="7">
        <f>IFERROR(XLOOKUP(A44,'Source Inventory'!$A$5:$A$200,'Source Inventory'!$H$5:$H$200),"")</f>
        <v/>
      </c>
      <c r="N44" s="7" t="n">
        <v>989.48</v>
      </c>
      <c r="O44" s="7">
        <f>IFERROR(XLOOKUP(A44,'Source Ledger'!$B$5:$B$200,'Source Ledger'!$A$5:$A$200),"")</f>
        <v/>
      </c>
      <c r="P44" s="7">
        <f>IFERROR(XLOOKUP(A44,'Source Ledger'!$B$5:$B$200,'Source Ledger'!$D$5:$D$200),"")</f>
        <v/>
      </c>
      <c r="Q44" s="9" t="inlineStr">
        <is>
          <t>High</t>
        </is>
      </c>
      <c r="R44" s="7" t="inlineStr">
        <is>
          <t>EX-0020</t>
        </is>
      </c>
      <c r="S44" s="7">
        <f>IF(OR(R44="",R44=0),"No","Yes")</f>
        <v/>
      </c>
      <c r="T44">
        <f>IFERROR(XLOOKUP(A44,'Source Ledger'!$B$5:$B$200,'Source Ledger'!$E$5:$E$200),"")</f>
        <v/>
      </c>
      <c r="U44">
        <f>IFERROR(XLOOKUP(A44,'Source Ledger'!$B$5:$B$200,'Source Ledger'!$H$5:$H$200),"")</f>
        <v/>
      </c>
      <c r="V44">
        <f>IFERROR(XLOOKUP(A44,'Source Ledger'!$B$5:$B$200,'Source Ledger'!$G$5:$G$200),"")</f>
        <v/>
      </c>
      <c r="W44">
        <f>IF(OR(M44="",T44=""),"",T44-M44)</f>
        <v/>
      </c>
      <c r="X44">
        <f>IF(V44="","No","Yes")</f>
        <v/>
      </c>
    </row>
    <row r="45">
      <c r="A45" s="7" t="inlineStr">
        <is>
          <t>MD-00041</t>
        </is>
      </c>
      <c r="B45" s="7">
        <f>IFERROR(XLOOKUP(A45,'Source Inventory'!$A$5:$A$200,'Source Inventory'!$B$5:$B$200),"")</f>
        <v/>
      </c>
      <c r="C45" s="7">
        <f>IFERROR(XLOOKUP(A45,'Source Inventory'!$A$5:$A$200,'Source Inventory'!$C$5:$C$200),"")</f>
        <v/>
      </c>
      <c r="D45" s="7">
        <f>IFERROR(XLOOKUP(A45,'Source Inventory'!$A$5:$A$200,'Source Inventory'!$D$5:$D$200),"")</f>
        <v/>
      </c>
      <c r="E45" s="7">
        <f>IFERROR(XLOOKUP(A45,'Source Inventory'!$A$5:$A$200,'Source Inventory'!$E$5:$E$200),"")</f>
        <v/>
      </c>
      <c r="F45" s="7">
        <f>IFERROR(XLOOKUP(A45,'Source Inventory'!$A$5:$A$200,'Source Inventory'!$F$5:$F$200),"")</f>
        <v/>
      </c>
      <c r="G45" s="7">
        <f>IFERROR(XLOOKUP(A45,'Source Inventory'!$A$5:$A$200,'Source Inventory'!$G$5:$G$200),"")</f>
        <v/>
      </c>
      <c r="H45" s="7" t="inlineStr">
        <is>
          <t>E0041</t>
        </is>
      </c>
      <c r="I45" s="7" t="inlineStr">
        <is>
          <t>Seattle</t>
        </is>
      </c>
      <c r="J45" s="7" t="inlineStr">
        <is>
          <t>In Use</t>
        </is>
      </c>
      <c r="K45" s="7" t="inlineStr">
        <is>
          <t>Asset MD-00041 — iPhone 14 — reconciled to In Use in Seattle on $2120 acquisition. hr_employee_status lists Eric Vann (E0041) as Active. buy path for MD-00041 references PO-2025-0008. Source Ledger FA-000041; net book value $0. equipment_transfer_log TR-00041 posted Jun 17, 2026; inbound 2026-06-20 approval APR-00041.</t>
        </is>
      </c>
      <c r="L45" s="7" t="inlineStr">
        <is>
          <t>2026-08-05</t>
        </is>
      </c>
      <c r="M45" s="7">
        <f>IFERROR(XLOOKUP(A45,'Source Inventory'!$A$5:$A$200,'Source Inventory'!$H$5:$H$200),"")</f>
        <v/>
      </c>
      <c r="N45" s="7" t="n">
        <v>0</v>
      </c>
      <c r="O45" s="7">
        <f>IFERROR(XLOOKUP(A45,'Source Ledger'!$B$5:$B$200,'Source Ledger'!$A$5:$A$200),"")</f>
        <v/>
      </c>
      <c r="P45" s="7">
        <f>IFERROR(XLOOKUP(A45,'Source Ledger'!$B$5:$B$200,'Source Ledger'!$D$5:$D$200),"")</f>
        <v/>
      </c>
      <c r="Q45" s="9" t="inlineStr">
        <is>
          <t>High</t>
        </is>
      </c>
      <c r="R45" s="7" t="inlineStr">
        <is>
          <t>EX-0021</t>
        </is>
      </c>
      <c r="S45" s="7">
        <f>IF(OR(R45="",R45=0),"No","Yes")</f>
        <v/>
      </c>
      <c r="T45">
        <f>IFERROR(XLOOKUP(A45,'Source Ledger'!$B$5:$B$200,'Source Ledger'!$E$5:$E$200),"")</f>
        <v/>
      </c>
      <c r="U45">
        <f>IFERROR(XLOOKUP(A45,'Source Ledger'!$B$5:$B$200,'Source Ledger'!$H$5:$H$200),"")</f>
        <v/>
      </c>
      <c r="V45">
        <f>IFERROR(XLOOKUP(A45,'Source Ledger'!$B$5:$B$200,'Source Ledger'!$G$5:$G$200),"")</f>
        <v/>
      </c>
      <c r="W45">
        <f>IF(OR(M45="",T45=""),"",T45-M45)</f>
        <v/>
      </c>
      <c r="X45">
        <f>IF(V45="","No","Yes")</f>
        <v/>
      </c>
    </row>
    <row r="46">
      <c r="A46" s="7" t="inlineStr">
        <is>
          <t>MD-00042</t>
        </is>
      </c>
      <c r="B46" s="7">
        <f>IFERROR(XLOOKUP(A46,'Source Inventory'!$A$5:$A$200,'Source Inventory'!$B$5:$B$200),"")</f>
        <v/>
      </c>
      <c r="C46" s="7">
        <f>IFERROR(XLOOKUP(A46,'Source Inventory'!$A$5:$A$200,'Source Inventory'!$C$5:$C$200),"")</f>
        <v/>
      </c>
      <c r="D46" s="7">
        <f>IFERROR(XLOOKUP(A46,'Source Inventory'!$A$5:$A$200,'Source Inventory'!$D$5:$D$200),"")</f>
        <v/>
      </c>
      <c r="E46" s="7">
        <f>IFERROR(XLOOKUP(A46,'Source Inventory'!$A$5:$A$200,'Source Inventory'!$E$5:$E$200),"")</f>
        <v/>
      </c>
      <c r="F46" s="7">
        <f>IFERROR(XLOOKUP(A46,'Source Inventory'!$A$5:$A$200,'Source Inventory'!$F$5:$F$200),"")</f>
        <v/>
      </c>
      <c r="G46" s="7">
        <f>IFERROR(XLOOKUP(A46,'Source Inventory'!$A$5:$A$200,'Source Inventory'!$G$5:$G$200),"")</f>
        <v/>
      </c>
      <c r="H46" s="7" t="inlineStr">
        <is>
          <t>E0042</t>
        </is>
      </c>
      <c r="I46" s="7" t="inlineStr">
        <is>
          <t>Atlanta</t>
        </is>
      </c>
      <c r="J46" s="7" t="inlineStr">
        <is>
          <t>In Use</t>
        </is>
      </c>
      <c r="K46" s="7" t="inlineStr">
        <is>
          <t>Working conclusion for MD-00042 (MD-MO-050042): In Use at Atlanta; cost $520. equipment_transfer_log TR-00042 posted Jan 22, 2026; inbound 2026-01-24 approval APR-00042. hardware_purchase_orders.csv ties MD-00042 to PO-2025-0008. hr_employee_status lists Claudia Rossi (E0042) as Active. Source Ledger FA-000042; net book value $306.16.</t>
        </is>
      </c>
      <c r="L46" s="7" t="inlineStr">
        <is>
          <t>2026-08-05</t>
        </is>
      </c>
      <c r="M46" s="7">
        <f>IFERROR(XLOOKUP(A46,'Source Inventory'!$A$5:$A$200,'Source Inventory'!$H$5:$H$200),"")</f>
        <v/>
      </c>
      <c r="N46" s="7" t="n">
        <v>306.16</v>
      </c>
      <c r="O46" s="7">
        <f>IFERROR(XLOOKUP(A46,'Source Ledger'!$B$5:$B$200,'Source Ledger'!$A$5:$A$200),"")</f>
        <v/>
      </c>
      <c r="P46" s="7">
        <f>IFERROR(XLOOKUP(A46,'Source Ledger'!$B$5:$B$200,'Source Ledger'!$D$5:$D$200),"")</f>
        <v/>
      </c>
      <c r="Q46" s="9" t="inlineStr">
        <is>
          <t>High</t>
        </is>
      </c>
      <c r="R46" s="7" t="inlineStr">
        <is>
          <t>EX-0022</t>
        </is>
      </c>
      <c r="S46" s="7">
        <f>IF(OR(R46="",R46=0),"No","Yes")</f>
        <v/>
      </c>
      <c r="T46">
        <f>IFERROR(XLOOKUP(A46,'Source Ledger'!$B$5:$B$200,'Source Ledger'!$E$5:$E$200),"")</f>
        <v/>
      </c>
      <c r="U46">
        <f>IFERROR(XLOOKUP(A46,'Source Ledger'!$B$5:$B$200,'Source Ledger'!$H$5:$H$200),"")</f>
        <v/>
      </c>
      <c r="V46">
        <f>IFERROR(XLOOKUP(A46,'Source Ledger'!$B$5:$B$200,'Source Ledger'!$G$5:$G$200),"")</f>
        <v/>
      </c>
      <c r="W46">
        <f>IF(OR(M46="",T46=""),"",T46-M46)</f>
        <v/>
      </c>
      <c r="X46">
        <f>IF(V46="","No","Yes")</f>
        <v/>
      </c>
    </row>
    <row r="47">
      <c r="A47" s="7" t="inlineStr">
        <is>
          <t>MD-00043</t>
        </is>
      </c>
      <c r="B47" s="7">
        <f>IFERROR(XLOOKUP(A47,'Source Inventory'!$A$5:$A$200,'Source Inventory'!$B$5:$B$200),"")</f>
        <v/>
      </c>
      <c r="C47" s="7">
        <f>IFERROR(XLOOKUP(A47,'Source Inventory'!$A$5:$A$200,'Source Inventory'!$C$5:$C$200),"")</f>
        <v/>
      </c>
      <c r="D47" s="7">
        <f>IFERROR(XLOOKUP(A47,'Source Inventory'!$A$5:$A$200,'Source Inventory'!$D$5:$D$200),"")</f>
        <v/>
      </c>
      <c r="E47" s="7">
        <f>IFERROR(XLOOKUP(A47,'Source Inventory'!$A$5:$A$200,'Source Inventory'!$E$5:$E$200),"")</f>
        <v/>
      </c>
      <c r="F47" s="7">
        <f>IFERROR(XLOOKUP(A47,'Source Inventory'!$A$5:$A$200,'Source Inventory'!$F$5:$F$200),"")</f>
        <v/>
      </c>
      <c r="G47" s="7">
        <f>IFERROR(XLOOKUP(A47,'Source Inventory'!$A$5:$A$200,'Source Inventory'!$G$5:$G$200),"")</f>
        <v/>
      </c>
      <c r="H47" s="7" t="inlineStr">
        <is>
          <t>E0043</t>
        </is>
      </c>
      <c r="I47" s="7" t="inlineStr">
        <is>
          <t>Chicago</t>
        </is>
      </c>
      <c r="J47" s="7" t="inlineStr">
        <is>
          <t>In Use</t>
        </is>
      </c>
      <c r="K47" s="7" t="inlineStr">
        <is>
          <t>Working conclusion for MD-00043 (MD-MO-050043): In Use at Chicago; cost $995. equipment_transfer_log TR-00043 posted Feb 23, 2026; inbound 2026-03-01 approval APR-00043. PO PO-2025-0008 documents the buy for MD-00043. hr_employee_status lists Tyler Brooks (E0043) as Active. Source Ledger FA-000043; net book value $673.55.</t>
        </is>
      </c>
      <c r="L47" s="7" t="inlineStr">
        <is>
          <t>2026-08-05</t>
        </is>
      </c>
      <c r="M47" s="7">
        <f>IFERROR(XLOOKUP(A47,'Source Inventory'!$A$5:$A$200,'Source Inventory'!$H$5:$H$200),"")</f>
        <v/>
      </c>
      <c r="N47" s="7" t="n">
        <v>673.55</v>
      </c>
      <c r="O47" s="7">
        <f>IFERROR(XLOOKUP(A47,'Source Ledger'!$B$5:$B$200,'Source Ledger'!$A$5:$A$200),"")</f>
        <v/>
      </c>
      <c r="P47" s="7">
        <f>IFERROR(XLOOKUP(A47,'Source Ledger'!$B$5:$B$200,'Source Ledger'!$D$5:$D$200),"")</f>
        <v/>
      </c>
      <c r="Q47" s="9" t="inlineStr">
        <is>
          <t>High</t>
        </is>
      </c>
      <c r="R47" s="7" t="inlineStr">
        <is>
          <t>EX-0023</t>
        </is>
      </c>
      <c r="S47" s="7">
        <f>IF(OR(R47="",R47=0),"No","Yes")</f>
        <v/>
      </c>
      <c r="T47">
        <f>IFERROR(XLOOKUP(A47,'Source Ledger'!$B$5:$B$200,'Source Ledger'!$E$5:$E$200),"")</f>
        <v/>
      </c>
      <c r="U47">
        <f>IFERROR(XLOOKUP(A47,'Source Ledger'!$B$5:$B$200,'Source Ledger'!$H$5:$H$200),"")</f>
        <v/>
      </c>
      <c r="V47">
        <f>IFERROR(XLOOKUP(A47,'Source Ledger'!$B$5:$B$200,'Source Ledger'!$G$5:$G$200),"")</f>
        <v/>
      </c>
      <c r="W47">
        <f>IF(OR(M47="",T47=""),"",T47-M47)</f>
        <v/>
      </c>
      <c r="X47">
        <f>IF(V47="","No","Yes")</f>
        <v/>
      </c>
    </row>
    <row r="48">
      <c r="A48" s="7" t="inlineStr">
        <is>
          <t>MD-00044</t>
        </is>
      </c>
      <c r="B48" s="7">
        <f>IFERROR(XLOOKUP(A48,'Source Inventory'!$A$5:$A$200,'Source Inventory'!$B$5:$B$200),"")</f>
        <v/>
      </c>
      <c r="C48" s="7">
        <f>IFERROR(XLOOKUP(A48,'Source Inventory'!$A$5:$A$200,'Source Inventory'!$C$5:$C$200),"")</f>
        <v/>
      </c>
      <c r="D48" s="7">
        <f>IFERROR(XLOOKUP(A48,'Source Inventory'!$A$5:$A$200,'Source Inventory'!$D$5:$D$200),"")</f>
        <v/>
      </c>
      <c r="E48" s="7">
        <f>IFERROR(XLOOKUP(A48,'Source Inventory'!$A$5:$A$200,'Source Inventory'!$E$5:$E$200),"")</f>
        <v/>
      </c>
      <c r="F48" s="7">
        <f>IFERROR(XLOOKUP(A48,'Source Inventory'!$A$5:$A$200,'Source Inventory'!$F$5:$F$200),"")</f>
        <v/>
      </c>
      <c r="G48" s="7">
        <f>IFERROR(XLOOKUP(A48,'Source Inventory'!$A$5:$A$200,'Source Inventory'!$G$5:$G$200),"")</f>
        <v/>
      </c>
      <c r="H48" s="7" t="inlineStr">
        <is>
          <t>E0044</t>
        </is>
      </c>
      <c r="I48" s="7" t="inlineStr">
        <is>
          <t>Dallas</t>
        </is>
      </c>
      <c r="J48" s="7" t="inlineStr">
        <is>
          <t>In Use</t>
        </is>
      </c>
      <c r="K48" s="7" t="inlineStr">
        <is>
          <t>Working conclusion for MD-00044 (MD-NE-050044): In Use at Dallas; cost $6290. equipment_transfer_log TR-00044 posted Mar 28, 2026; inbound 2026-03-31 approval APR-00044. capital PO PO-2025-0008 supports the cost basis. hr_employee_status lists Leah Okada (E0044) as Active. Source Ledger FA-000044; net book value $1406.1.</t>
        </is>
      </c>
      <c r="L48" s="7" t="inlineStr">
        <is>
          <t>2026-08-05</t>
        </is>
      </c>
      <c r="M48" s="7">
        <f>IFERROR(XLOOKUP(A48,'Source Inventory'!$A$5:$A$200,'Source Inventory'!$H$5:$H$200),"")</f>
        <v/>
      </c>
      <c r="N48" s="7" t="n">
        <v>1406.1</v>
      </c>
      <c r="O48" s="7">
        <f>IFERROR(XLOOKUP(A48,'Source Ledger'!$B$5:$B$200,'Source Ledger'!$A$5:$A$200),"")</f>
        <v/>
      </c>
      <c r="P48" s="7">
        <f>IFERROR(XLOOKUP(A48,'Source Ledger'!$B$5:$B$200,'Source Ledger'!$D$5:$D$200),"")</f>
        <v/>
      </c>
      <c r="Q48" s="9" t="inlineStr">
        <is>
          <t>High</t>
        </is>
      </c>
      <c r="R48" s="7" t="inlineStr">
        <is>
          <t>EX-0024</t>
        </is>
      </c>
      <c r="S48" s="7">
        <f>IF(OR(R48="",R48=0),"No","Yes")</f>
        <v/>
      </c>
      <c r="T48">
        <f>IFERROR(XLOOKUP(A48,'Source Ledger'!$B$5:$B$200,'Source Ledger'!$E$5:$E$200),"")</f>
        <v/>
      </c>
      <c r="U48">
        <f>IFERROR(XLOOKUP(A48,'Source Ledger'!$B$5:$B$200,'Source Ledger'!$H$5:$H$200),"")</f>
        <v/>
      </c>
      <c r="V48">
        <f>IFERROR(XLOOKUP(A48,'Source Ledger'!$B$5:$B$200,'Source Ledger'!$G$5:$G$200),"")</f>
        <v/>
      </c>
      <c r="W48">
        <f>IF(OR(M48="",T48=""),"",T48-M48)</f>
        <v/>
      </c>
      <c r="X48">
        <f>IF(V48="","No","Yes")</f>
        <v/>
      </c>
    </row>
    <row r="49">
      <c r="A49" s="7" t="inlineStr">
        <is>
          <t>MD-00045</t>
        </is>
      </c>
      <c r="B49" s="7">
        <f>IFERROR(XLOOKUP(A49,'Source Inventory'!$A$5:$A$200,'Source Inventory'!$B$5:$B$200),"")</f>
        <v/>
      </c>
      <c r="C49" s="7">
        <f>IFERROR(XLOOKUP(A49,'Source Inventory'!$A$5:$A$200,'Source Inventory'!$C$5:$C$200),"")</f>
        <v/>
      </c>
      <c r="D49" s="7">
        <f>IFERROR(XLOOKUP(A49,'Source Inventory'!$A$5:$A$200,'Source Inventory'!$D$5:$D$200),"")</f>
        <v/>
      </c>
      <c r="E49" s="7">
        <f>IFERROR(XLOOKUP(A49,'Source Inventory'!$A$5:$A$200,'Source Inventory'!$E$5:$E$200),"")</f>
        <v/>
      </c>
      <c r="F49" s="7">
        <f>IFERROR(XLOOKUP(A49,'Source Inventory'!$A$5:$A$200,'Source Inventory'!$F$5:$F$200),"")</f>
        <v/>
      </c>
      <c r="G49" s="7">
        <f>IFERROR(XLOOKUP(A49,'Source Inventory'!$A$5:$A$200,'Source Inventory'!$G$5:$G$200),"")</f>
        <v/>
      </c>
      <c r="H49" s="7" t="inlineStr">
        <is>
          <t>E0045</t>
        </is>
      </c>
      <c r="I49" s="7" t="inlineStr">
        <is>
          <t>Denver</t>
        </is>
      </c>
      <c r="J49" s="7" t="inlineStr">
        <is>
          <t>In Use</t>
        </is>
      </c>
      <c r="K49" s="7" t="inlineStr">
        <is>
          <t>Asset MD-00045 — Samsung Galaxy S23 FE — reconciled to In Use in Denver on $1985 acquisition. hr_employee_status lists Darnell Price (E0045) as Active. buy path for MD-00045 references PO-2022-0009. Source Ledger FA-000045; net book value $133.6. equipment_transfer_log TR-00045 posted May 02, 2026; inbound 2026-05-03 approval APR-00045.</t>
        </is>
      </c>
      <c r="L49" s="7" t="inlineStr">
        <is>
          <t>2026-08-05</t>
        </is>
      </c>
      <c r="M49" s="7">
        <f>IFERROR(XLOOKUP(A49,'Source Inventory'!$A$5:$A$200,'Source Inventory'!$H$5:$H$200),"")</f>
        <v/>
      </c>
      <c r="N49" s="7" t="n">
        <v>133.6</v>
      </c>
      <c r="O49" s="7">
        <f>IFERROR(XLOOKUP(A49,'Source Ledger'!$B$5:$B$200,'Source Ledger'!$A$5:$A$200),"")</f>
        <v/>
      </c>
      <c r="P49" s="7">
        <f>IFERROR(XLOOKUP(A49,'Source Ledger'!$B$5:$B$200,'Source Ledger'!$D$5:$D$200),"")</f>
        <v/>
      </c>
      <c r="Q49" s="9" t="inlineStr">
        <is>
          <t>High</t>
        </is>
      </c>
      <c r="R49" s="7" t="inlineStr">
        <is>
          <t>EX-0025</t>
        </is>
      </c>
      <c r="S49" s="7">
        <f>IF(OR(R49="",R49=0),"No","Yes")</f>
        <v/>
      </c>
      <c r="T49">
        <f>IFERROR(XLOOKUP(A49,'Source Ledger'!$B$5:$B$200,'Source Ledger'!$E$5:$E$200),"")</f>
        <v/>
      </c>
      <c r="U49">
        <f>IFERROR(XLOOKUP(A49,'Source Ledger'!$B$5:$B$200,'Source Ledger'!$H$5:$H$200),"")</f>
        <v/>
      </c>
      <c r="V49">
        <f>IFERROR(XLOOKUP(A49,'Source Ledger'!$B$5:$B$200,'Source Ledger'!$G$5:$G$200),"")</f>
        <v/>
      </c>
      <c r="W49">
        <f>IF(OR(M49="",T49=""),"",T49-M49)</f>
        <v/>
      </c>
      <c r="X49">
        <f>IF(V49="","No","Yes")</f>
        <v/>
      </c>
    </row>
    <row r="50">
      <c r="A50" s="7" t="inlineStr">
        <is>
          <t>MD-00046</t>
        </is>
      </c>
      <c r="B50" s="7">
        <f>IFERROR(XLOOKUP(A50,'Source Inventory'!$A$5:$A$200,'Source Inventory'!$B$5:$B$200),"")</f>
        <v/>
      </c>
      <c r="C50" s="7">
        <f>IFERROR(XLOOKUP(A50,'Source Inventory'!$A$5:$A$200,'Source Inventory'!$C$5:$C$200),"")</f>
        <v/>
      </c>
      <c r="D50" s="7">
        <f>IFERROR(XLOOKUP(A50,'Source Inventory'!$A$5:$A$200,'Source Inventory'!$D$5:$D$200),"")</f>
        <v/>
      </c>
      <c r="E50" s="7">
        <f>IFERROR(XLOOKUP(A50,'Source Inventory'!$A$5:$A$200,'Source Inventory'!$E$5:$E$200),"")</f>
        <v/>
      </c>
      <c r="F50" s="7">
        <f>IFERROR(XLOOKUP(A50,'Source Inventory'!$A$5:$A$200,'Source Inventory'!$F$5:$F$200),"")</f>
        <v/>
      </c>
      <c r="G50" s="7">
        <f>IFERROR(XLOOKUP(A50,'Source Inventory'!$A$5:$A$200,'Source Inventory'!$G$5:$G$200),"")</f>
        <v/>
      </c>
      <c r="H50" s="7" t="inlineStr">
        <is>
          <t>IT Stock</t>
        </is>
      </c>
      <c r="I50" s="7" t="inlineStr">
        <is>
          <t>New York</t>
        </is>
      </c>
      <c r="J50" s="7" t="inlineStr">
        <is>
          <t>Available</t>
        </is>
      </c>
      <c r="K50" s="7" t="inlineStr">
        <is>
          <t>Asset MD-00046 — iPhone 14 — reconciled to Available in New York on $700 acquisition. equipment_transfer_log TR-00046 posted Jun 03, 2026; inbound 2026-06-07 approval APR-00046. Source Ledger FA-000046; net book value $460.82. acquisition recorded on PO-2022-0009.</t>
        </is>
      </c>
      <c r="L50" s="7" t="inlineStr">
        <is>
          <t>2026-05-24</t>
        </is>
      </c>
      <c r="M50" s="7">
        <f>IFERROR(XLOOKUP(A50,'Source Inventory'!$A$5:$A$200,'Source Inventory'!$H$5:$H$200),"")</f>
        <v/>
      </c>
      <c r="N50" s="7" t="n">
        <v>460.82</v>
      </c>
      <c r="O50" s="7">
        <f>IFERROR(XLOOKUP(A50,'Source Ledger'!$B$5:$B$200,'Source Ledger'!$A$5:$A$200),"")</f>
        <v/>
      </c>
      <c r="P50" s="7">
        <f>IFERROR(XLOOKUP(A50,'Source Ledger'!$B$5:$B$200,'Source Ledger'!$D$5:$D$200),"")</f>
        <v/>
      </c>
      <c r="Q50" s="9" t="inlineStr">
        <is>
          <t>High</t>
        </is>
      </c>
      <c r="R50" s="7" t="inlineStr">
        <is>
          <t>EX-0026</t>
        </is>
      </c>
      <c r="S50" s="7">
        <f>IF(OR(R50="",R50=0),"No","Yes")</f>
        <v/>
      </c>
      <c r="T50">
        <f>IFERROR(XLOOKUP(A50,'Source Ledger'!$B$5:$B$200,'Source Ledger'!$E$5:$E$200),"")</f>
        <v/>
      </c>
      <c r="U50">
        <f>IFERROR(XLOOKUP(A50,'Source Ledger'!$B$5:$B$200,'Source Ledger'!$H$5:$H$200),"")</f>
        <v/>
      </c>
      <c r="V50">
        <f>IFERROR(XLOOKUP(A50,'Source Ledger'!$B$5:$B$200,'Source Ledger'!$G$5:$G$200),"")</f>
        <v/>
      </c>
      <c r="W50">
        <f>IF(OR(M50="",T50=""),"",T50-M50)</f>
        <v/>
      </c>
      <c r="X50">
        <f>IF(V50="","No","Yes")</f>
        <v/>
      </c>
    </row>
    <row r="51">
      <c r="A51" s="7" t="inlineStr">
        <is>
          <t>MD-00047</t>
        </is>
      </c>
      <c r="B51" s="7">
        <f>IFERROR(XLOOKUP(A51,'Source Inventory'!$A$5:$A$200,'Source Inventory'!$B$5:$B$200),"")</f>
        <v/>
      </c>
      <c r="C51" s="7">
        <f>IFERROR(XLOOKUP(A51,'Source Inventory'!$A$5:$A$200,'Source Inventory'!$C$5:$C$200),"")</f>
        <v/>
      </c>
      <c r="D51" s="7">
        <f>IFERROR(XLOOKUP(A51,'Source Inventory'!$A$5:$A$200,'Source Inventory'!$D$5:$D$200),"")</f>
        <v/>
      </c>
      <c r="E51" s="7">
        <f>IFERROR(XLOOKUP(A51,'Source Inventory'!$A$5:$A$200,'Source Inventory'!$E$5:$E$200),"")</f>
        <v/>
      </c>
      <c r="F51" s="7">
        <f>IFERROR(XLOOKUP(A51,'Source Inventory'!$A$5:$A$200,'Source Inventory'!$F$5:$F$200),"")</f>
        <v/>
      </c>
      <c r="G51" s="7">
        <f>IFERROR(XLOOKUP(A51,'Source Inventory'!$A$5:$A$200,'Source Inventory'!$G$5:$G$200),"")</f>
        <v/>
      </c>
      <c r="H51" s="7" t="inlineStr">
        <is>
          <t>IT Stock</t>
        </is>
      </c>
      <c r="I51" s="7" t="inlineStr">
        <is>
          <t>Seattle</t>
        </is>
      </c>
      <c r="J51" s="7" t="inlineStr">
        <is>
          <t>Available</t>
        </is>
      </c>
      <c r="K51" s="7" t="inlineStr">
        <is>
          <t>Cross-checked MD-00047 (MD-MO-050047, Samsung Galaxy S24) against HR, transfers, and ledger extracts. equipment_transfer_log TR-00047 posted Jul 08, 2026; inbound 2026-07-10 approval APR-00047. Source Ledger FA-000047; net book value $930.51. purchasing file shows PO-2022-0009 for this unit.</t>
        </is>
      </c>
      <c r="L51" s="7" t="inlineStr">
        <is>
          <t>2026-06-25</t>
        </is>
      </c>
      <c r="M51" s="7">
        <f>IFERROR(XLOOKUP(A51,'Source Inventory'!$A$5:$A$200,'Source Inventory'!$H$5:$H$200),"")</f>
        <v/>
      </c>
      <c r="N51" s="7" t="n">
        <v>930.51</v>
      </c>
      <c r="O51" s="7">
        <f>IFERROR(XLOOKUP(A51,'Source Ledger'!$B$5:$B$200,'Source Ledger'!$A$5:$A$200),"")</f>
        <v/>
      </c>
      <c r="P51" s="7">
        <f>IFERROR(XLOOKUP(A51,'Source Ledger'!$B$5:$B$200,'Source Ledger'!$D$5:$D$200),"")</f>
        <v/>
      </c>
      <c r="Q51" s="9" t="inlineStr">
        <is>
          <t>High</t>
        </is>
      </c>
      <c r="R51" s="7" t="inlineStr">
        <is>
          <t>EX-0027</t>
        </is>
      </c>
      <c r="S51" s="7">
        <f>IF(OR(R51="",R51=0),"No","Yes")</f>
        <v/>
      </c>
      <c r="T51">
        <f>IFERROR(XLOOKUP(A51,'Source Ledger'!$B$5:$B$200,'Source Ledger'!$E$5:$E$200),"")</f>
        <v/>
      </c>
      <c r="U51">
        <f>IFERROR(XLOOKUP(A51,'Source Ledger'!$B$5:$B$200,'Source Ledger'!$H$5:$H$200),"")</f>
        <v/>
      </c>
      <c r="V51">
        <f>IFERROR(XLOOKUP(A51,'Source Ledger'!$B$5:$B$200,'Source Ledger'!$G$5:$G$200),"")</f>
        <v/>
      </c>
      <c r="W51">
        <f>IF(OR(M51="",T51=""),"",T51-M51)</f>
        <v/>
      </c>
      <c r="X51">
        <f>IF(V51="","No","Yes")</f>
        <v/>
      </c>
    </row>
    <row r="52">
      <c r="A52" s="7" t="inlineStr">
        <is>
          <t>MD-00048</t>
        </is>
      </c>
      <c r="B52" s="7">
        <f>IFERROR(XLOOKUP(A52,'Source Inventory'!$A$5:$A$200,'Source Inventory'!$B$5:$B$200),"")</f>
        <v/>
      </c>
      <c r="C52" s="7">
        <f>IFERROR(XLOOKUP(A52,'Source Inventory'!$A$5:$A$200,'Source Inventory'!$C$5:$C$200),"")</f>
        <v/>
      </c>
      <c r="D52" s="7">
        <f>IFERROR(XLOOKUP(A52,'Source Inventory'!$A$5:$A$200,'Source Inventory'!$D$5:$D$200),"")</f>
        <v/>
      </c>
      <c r="E52" s="7">
        <f>IFERROR(XLOOKUP(A52,'Source Inventory'!$A$5:$A$200,'Source Inventory'!$E$5:$E$200),"")</f>
        <v/>
      </c>
      <c r="F52" s="7">
        <f>IFERROR(XLOOKUP(A52,'Source Inventory'!$A$5:$A$200,'Source Inventory'!$F$5:$F$200),"")</f>
        <v/>
      </c>
      <c r="G52" s="7">
        <f>IFERROR(XLOOKUP(A52,'Source Inventory'!$A$5:$A$200,'Source Inventory'!$G$5:$G$200),"")</f>
        <v/>
      </c>
      <c r="H52" s="7" t="inlineStr">
        <is>
          <t>IT Stock</t>
        </is>
      </c>
      <c r="I52" s="7" t="inlineStr">
        <is>
          <t>Atlanta</t>
        </is>
      </c>
      <c r="J52" s="7" t="inlineStr">
        <is>
          <t>Available</t>
        </is>
      </c>
      <c r="K52" s="7" t="inlineStr">
        <is>
          <t>Cross-checked MD-00048 (MD-NE-050048, iPhone 15) against HR, transfers, and ledger extracts. equipment_transfer_log TR-00048 posted Jan 18, 2026; inbound 2026-01-24 approval APR-00048. Source Ledger FA-000048; net book value $514.59. order PO-2022-0009 appears in the purchasing extract.</t>
        </is>
      </c>
      <c r="L52" s="7" t="inlineStr">
        <is>
          <t>2026-01-02</t>
        </is>
      </c>
      <c r="M52" s="7">
        <f>IFERROR(XLOOKUP(A52,'Source Inventory'!$A$5:$A$200,'Source Inventory'!$H$5:$H$200),"")</f>
        <v/>
      </c>
      <c r="N52" s="7" t="n">
        <v>514.59</v>
      </c>
      <c r="O52" s="7">
        <f>IFERROR(XLOOKUP(A52,'Source Ledger'!$B$5:$B$200,'Source Ledger'!$A$5:$A$200),"")</f>
        <v/>
      </c>
      <c r="P52" s="7">
        <f>IFERROR(XLOOKUP(A52,'Source Ledger'!$B$5:$B$200,'Source Ledger'!$D$5:$D$200),"")</f>
        <v/>
      </c>
      <c r="Q52" s="9" t="inlineStr">
        <is>
          <t>High</t>
        </is>
      </c>
      <c r="R52" s="7" t="inlineStr">
        <is>
          <t>EX-0028</t>
        </is>
      </c>
      <c r="S52" s="7">
        <f>IF(OR(R52="",R52=0),"No","Yes")</f>
        <v/>
      </c>
      <c r="T52">
        <f>IFERROR(XLOOKUP(A52,'Source Ledger'!$B$5:$B$200,'Source Ledger'!$E$5:$E$200),"")</f>
        <v/>
      </c>
      <c r="U52">
        <f>IFERROR(XLOOKUP(A52,'Source Ledger'!$B$5:$B$200,'Source Ledger'!$H$5:$H$200),"")</f>
        <v/>
      </c>
      <c r="V52">
        <f>IFERROR(XLOOKUP(A52,'Source Ledger'!$B$5:$B$200,'Source Ledger'!$G$5:$G$200),"")</f>
        <v/>
      </c>
      <c r="W52">
        <f>IF(OR(M52="",T52=""),"",T52-M52)</f>
        <v/>
      </c>
      <c r="X52">
        <f>IF(V52="","No","Yes")</f>
        <v/>
      </c>
    </row>
    <row r="53">
      <c r="A53" s="7" t="inlineStr">
        <is>
          <t>MD-00049</t>
        </is>
      </c>
      <c r="B53" s="7">
        <f>IFERROR(XLOOKUP(A53,'Source Inventory'!$A$5:$A$200,'Source Inventory'!$B$5:$B$200),"")</f>
        <v/>
      </c>
      <c r="C53" s="7">
        <f>IFERROR(XLOOKUP(A53,'Source Inventory'!$A$5:$A$200,'Source Inventory'!$C$5:$C$200),"")</f>
        <v/>
      </c>
      <c r="D53" s="7">
        <f>IFERROR(XLOOKUP(A53,'Source Inventory'!$A$5:$A$200,'Source Inventory'!$D$5:$D$200),"")</f>
        <v/>
      </c>
      <c r="E53" s="7">
        <f>IFERROR(XLOOKUP(A53,'Source Inventory'!$A$5:$A$200,'Source Inventory'!$E$5:$E$200),"")</f>
        <v/>
      </c>
      <c r="F53" s="7">
        <f>IFERROR(XLOOKUP(A53,'Source Inventory'!$A$5:$A$200,'Source Inventory'!$F$5:$F$200),"")</f>
        <v/>
      </c>
      <c r="G53" s="7">
        <f>IFERROR(XLOOKUP(A53,'Source Inventory'!$A$5:$A$200,'Source Inventory'!$G$5:$G$200),"")</f>
        <v/>
      </c>
      <c r="H53" s="7" t="inlineStr">
        <is>
          <t>IT Stock</t>
        </is>
      </c>
      <c r="I53" s="7" t="inlineStr">
        <is>
          <t>Chicago</t>
        </is>
      </c>
      <c r="J53" s="7" t="inlineStr">
        <is>
          <t>Available</t>
        </is>
      </c>
      <c r="K53" s="7" t="inlineStr">
        <is>
          <t>Cross-checked MD-00049 (MD-LA-050049, Google Pixel 8) against HR, transfers, and ledger extracts. equipment_transfer_log TR-00049 posted Jan 21, 2026; inbound 2026-01-23 approval APR-00049. Source Ledger FA-000049; net book value $0. PO-2022-0009 is the cited purchase order.</t>
        </is>
      </c>
      <c r="L53" s="7" t="inlineStr">
        <is>
          <t>2026-02-03</t>
        </is>
      </c>
      <c r="M53" s="7">
        <f>IFERROR(XLOOKUP(A53,'Source Inventory'!$A$5:$A$200,'Source Inventory'!$H$5:$H$200),"")</f>
        <v/>
      </c>
      <c r="N53" s="7" t="n">
        <v>0</v>
      </c>
      <c r="O53" s="7">
        <f>IFERROR(XLOOKUP(A53,'Source Ledger'!$B$5:$B$200,'Source Ledger'!$A$5:$A$200),"")</f>
        <v/>
      </c>
      <c r="P53" s="7">
        <f>IFERROR(XLOOKUP(A53,'Source Ledger'!$B$5:$B$200,'Source Ledger'!$D$5:$D$200),"")</f>
        <v/>
      </c>
      <c r="Q53" s="9" t="inlineStr">
        <is>
          <t>High</t>
        </is>
      </c>
      <c r="R53" s="7" t="inlineStr">
        <is>
          <t>EX-0029</t>
        </is>
      </c>
      <c r="S53" s="7">
        <f>IF(OR(R53="",R53=0),"No","Yes")</f>
        <v/>
      </c>
      <c r="T53">
        <f>IFERROR(XLOOKUP(A53,'Source Ledger'!$B$5:$B$200,'Source Ledger'!$E$5:$E$200),"")</f>
        <v/>
      </c>
      <c r="U53">
        <f>IFERROR(XLOOKUP(A53,'Source Ledger'!$B$5:$B$200,'Source Ledger'!$H$5:$H$200),"")</f>
        <v/>
      </c>
      <c r="V53">
        <f>IFERROR(XLOOKUP(A53,'Source Ledger'!$B$5:$B$200,'Source Ledger'!$G$5:$G$200),"")</f>
        <v/>
      </c>
      <c r="W53">
        <f>IF(OR(M53="",T53=""),"",T53-M53)</f>
        <v/>
      </c>
      <c r="X53">
        <f>IF(V53="","No","Yes")</f>
        <v/>
      </c>
    </row>
    <row r="54">
      <c r="A54" s="7" t="inlineStr">
        <is>
          <t>MD-00050</t>
        </is>
      </c>
      <c r="B54" s="7">
        <f>IFERROR(XLOOKUP(A54,'Source Inventory'!$A$5:$A$200,'Source Inventory'!$B$5:$B$200),"")</f>
        <v/>
      </c>
      <c r="C54" s="7">
        <f>IFERROR(XLOOKUP(A54,'Source Inventory'!$A$5:$A$200,'Source Inventory'!$C$5:$C$200),"")</f>
        <v/>
      </c>
      <c r="D54" s="7">
        <f>IFERROR(XLOOKUP(A54,'Source Inventory'!$A$5:$A$200,'Source Inventory'!$D$5:$D$200),"")</f>
        <v/>
      </c>
      <c r="E54" s="7">
        <f>IFERROR(XLOOKUP(A54,'Source Inventory'!$A$5:$A$200,'Source Inventory'!$E$5:$E$200),"")</f>
        <v/>
      </c>
      <c r="F54" s="7">
        <f>IFERROR(XLOOKUP(A54,'Source Inventory'!$A$5:$A$200,'Source Inventory'!$F$5:$F$200),"")</f>
        <v/>
      </c>
      <c r="G54" s="7">
        <f>IFERROR(XLOOKUP(A54,'Source Inventory'!$A$5:$A$200,'Source Inventory'!$G$5:$G$200),"")</f>
        <v/>
      </c>
      <c r="H54" s="7" t="inlineStr">
        <is>
          <t>IT Stock</t>
        </is>
      </c>
      <c r="I54" s="7" t="inlineStr">
        <is>
          <t>Dallas</t>
        </is>
      </c>
      <c r="J54" s="7" t="inlineStr">
        <is>
          <t>Available</t>
        </is>
      </c>
      <c r="K54" s="7" t="inlineStr">
        <is>
          <t>Working conclusion for MD-00050 (MD-MO-050050): Available at Dallas; cost $565. Source Ledger FA-000050; net book value $289.96. equipment_transfer_log TR-00050 posted Feb 23, 2026; inbound 2026-02-23 approval APR-00050. PO-2023-0010 is the cited purchase order.</t>
        </is>
      </c>
      <c r="L54" s="7" t="inlineStr">
        <is>
          <t>2026-03-04</t>
        </is>
      </c>
      <c r="M54" s="7">
        <f>IFERROR(XLOOKUP(A54,'Source Inventory'!$A$5:$A$200,'Source Inventory'!$H$5:$H$200),"")</f>
        <v/>
      </c>
      <c r="N54" s="7" t="n">
        <v>289.96</v>
      </c>
      <c r="O54" s="7">
        <f>IFERROR(XLOOKUP(A54,'Source Ledger'!$B$5:$B$200,'Source Ledger'!$A$5:$A$200),"")</f>
        <v/>
      </c>
      <c r="P54" s="7">
        <f>IFERROR(XLOOKUP(A54,'Source Ledger'!$B$5:$B$200,'Source Ledger'!$D$5:$D$200),"")</f>
        <v/>
      </c>
      <c r="Q54" s="9" t="inlineStr">
        <is>
          <t>High</t>
        </is>
      </c>
      <c r="R54" s="7" t="inlineStr">
        <is>
          <t>EX-0030</t>
        </is>
      </c>
      <c r="S54" s="7">
        <f>IF(OR(R54="",R54=0),"No","Yes")</f>
        <v/>
      </c>
      <c r="T54">
        <f>IFERROR(XLOOKUP(A54,'Source Ledger'!$B$5:$B$200,'Source Ledger'!$E$5:$E$200),"")</f>
        <v/>
      </c>
      <c r="U54">
        <f>IFERROR(XLOOKUP(A54,'Source Ledger'!$B$5:$B$200,'Source Ledger'!$H$5:$H$200),"")</f>
        <v/>
      </c>
      <c r="V54">
        <f>IFERROR(XLOOKUP(A54,'Source Ledger'!$B$5:$B$200,'Source Ledger'!$G$5:$G$200),"")</f>
        <v/>
      </c>
      <c r="W54">
        <f>IF(OR(M54="",T54=""),"",T54-M54)</f>
        <v/>
      </c>
      <c r="X54">
        <f>IF(V54="","No","Yes")</f>
        <v/>
      </c>
    </row>
    <row r="55">
      <c r="A55" s="7" t="inlineStr">
        <is>
          <t>MD-00051</t>
        </is>
      </c>
      <c r="B55" s="7">
        <f>IFERROR(XLOOKUP(A55,'Source Inventory'!$A$5:$A$200,'Source Inventory'!$B$5:$B$200),"")</f>
        <v/>
      </c>
      <c r="C55" s="7">
        <f>IFERROR(XLOOKUP(A55,'Source Inventory'!$A$5:$A$200,'Source Inventory'!$C$5:$C$200),"")</f>
        <v/>
      </c>
      <c r="D55" s="7">
        <f>IFERROR(XLOOKUP(A55,'Source Inventory'!$A$5:$A$200,'Source Inventory'!$D$5:$D$200),"")</f>
        <v/>
      </c>
      <c r="E55" s="7">
        <f>IFERROR(XLOOKUP(A55,'Source Inventory'!$A$5:$A$200,'Source Inventory'!$E$5:$E$200),"")</f>
        <v/>
      </c>
      <c r="F55" s="7">
        <f>IFERROR(XLOOKUP(A55,'Source Inventory'!$A$5:$A$200,'Source Inventory'!$F$5:$F$200),"")</f>
        <v/>
      </c>
      <c r="G55" s="7">
        <f>IFERROR(XLOOKUP(A55,'Source Inventory'!$A$5:$A$200,'Source Inventory'!$G$5:$G$200),"")</f>
        <v/>
      </c>
      <c r="H55" s="7" t="inlineStr">
        <is>
          <t>IT Stock</t>
        </is>
      </c>
      <c r="I55" s="7" t="inlineStr">
        <is>
          <t>Denver</t>
        </is>
      </c>
      <c r="J55" s="7" t="inlineStr">
        <is>
          <t>Available</t>
        </is>
      </c>
      <c r="K55" s="7" t="inlineStr">
        <is>
          <t>Asset MD-00051 — Samsung Galaxy S24 — reconciled to Available in Denver on $1040 acquisition. acquisition recorded on PO-2023-0010. Source Ledger FA-000051; net book value $573.03. equipment_transfer_log TR-00051 posted Mar 31, 2026; inbound 2026-03-31 approval APR-00051.</t>
        </is>
      </c>
      <c r="L55" s="7" t="inlineStr">
        <is>
          <t>2026-04-05</t>
        </is>
      </c>
      <c r="M55" s="7">
        <f>IFERROR(XLOOKUP(A55,'Source Inventory'!$A$5:$A$200,'Source Inventory'!$H$5:$H$200),"")</f>
        <v/>
      </c>
      <c r="N55" s="7" t="n">
        <v>573.03</v>
      </c>
      <c r="O55" s="7">
        <f>IFERROR(XLOOKUP(A55,'Source Ledger'!$B$5:$B$200,'Source Ledger'!$A$5:$A$200),"")</f>
        <v/>
      </c>
      <c r="P55" s="7">
        <f>IFERROR(XLOOKUP(A55,'Source Ledger'!$B$5:$B$200,'Source Ledger'!$D$5:$D$200),"")</f>
        <v/>
      </c>
      <c r="Q55" s="9" t="inlineStr">
        <is>
          <t>High</t>
        </is>
      </c>
      <c r="R55" s="7" t="inlineStr">
        <is>
          <t>EX-0031, EX-0032</t>
        </is>
      </c>
      <c r="S55" s="7">
        <f>IF(OR(R55="",R55=0),"No","Yes")</f>
        <v/>
      </c>
      <c r="T55">
        <f>IFERROR(XLOOKUP(A55,'Source Ledger'!$B$5:$B$200,'Source Ledger'!$E$5:$E$200),"")</f>
        <v/>
      </c>
      <c r="U55">
        <f>IFERROR(XLOOKUP(A55,'Source Ledger'!$B$5:$B$200,'Source Ledger'!$H$5:$H$200),"")</f>
        <v/>
      </c>
      <c r="V55">
        <f>IFERROR(XLOOKUP(A55,'Source Ledger'!$B$5:$B$200,'Source Ledger'!$G$5:$G$200),"")</f>
        <v/>
      </c>
      <c r="W55">
        <f>IF(OR(M55="",T55=""),"",T55-M55)</f>
        <v/>
      </c>
      <c r="X55">
        <f>IF(V55="","No","Yes")</f>
        <v/>
      </c>
    </row>
    <row r="56">
      <c r="A56" s="7" t="inlineStr">
        <is>
          <t>MD-00052</t>
        </is>
      </c>
      <c r="B56" s="7">
        <f>IFERROR(XLOOKUP(A56,'Source Inventory'!$A$5:$A$200,'Source Inventory'!$B$5:$B$200),"")</f>
        <v/>
      </c>
      <c r="C56" s="7">
        <f>IFERROR(XLOOKUP(A56,'Source Inventory'!$A$5:$A$200,'Source Inventory'!$C$5:$C$200),"")</f>
        <v/>
      </c>
      <c r="D56" s="7">
        <f>IFERROR(XLOOKUP(A56,'Source Inventory'!$A$5:$A$200,'Source Inventory'!$D$5:$D$200),"")</f>
        <v/>
      </c>
      <c r="E56" s="7">
        <f>IFERROR(XLOOKUP(A56,'Source Inventory'!$A$5:$A$200,'Source Inventory'!$E$5:$E$200),"")</f>
        <v/>
      </c>
      <c r="F56" s="7">
        <f>IFERROR(XLOOKUP(A56,'Source Inventory'!$A$5:$A$200,'Source Inventory'!$F$5:$F$200),"")</f>
        <v/>
      </c>
      <c r="G56" s="7">
        <f>IFERROR(XLOOKUP(A56,'Source Inventory'!$A$5:$A$200,'Source Inventory'!$G$5:$G$200),"")</f>
        <v/>
      </c>
      <c r="H56" s="7" t="inlineStr">
        <is>
          <t>IT Stock</t>
        </is>
      </c>
      <c r="I56" s="7" t="inlineStr">
        <is>
          <t>New York</t>
        </is>
      </c>
      <c r="J56" s="7" t="inlineStr">
        <is>
          <t>Available</t>
        </is>
      </c>
      <c r="K56" s="7" t="inlineStr">
        <is>
          <t>Working conclusion for MD-00052 (MD-NE-050052): Available at New York; cost $6335. purchasing file shows PO-2023-0010 for this unit. equipment_transfer_log TR-00052 posted May 01, 2026; inbound 2026-05-02 approval APR-00052. Source Ledger FA-000052; net book value $933.99.</t>
        </is>
      </c>
      <c r="L56" s="7" t="inlineStr">
        <is>
          <t>2026-05-06</t>
        </is>
      </c>
      <c r="M56" s="7">
        <f>IFERROR(XLOOKUP(A56,'Source Inventory'!$A$5:$A$200,'Source Inventory'!$H$5:$H$200),"")</f>
        <v/>
      </c>
      <c r="N56" s="7" t="n">
        <v>933.99</v>
      </c>
      <c r="O56" s="7">
        <f>IFERROR(XLOOKUP(A56,'Source Ledger'!$B$5:$B$200,'Source Ledger'!$A$5:$A$200),"")</f>
        <v/>
      </c>
      <c r="P56" s="7">
        <f>IFERROR(XLOOKUP(A56,'Source Ledger'!$B$5:$B$200,'Source Ledger'!$D$5:$D$200),"")</f>
        <v/>
      </c>
      <c r="Q56" s="9" t="inlineStr">
        <is>
          <t>High</t>
        </is>
      </c>
      <c r="R56" s="7" t="inlineStr">
        <is>
          <t>EX-0033</t>
        </is>
      </c>
      <c r="S56" s="7">
        <f>IF(OR(R56="",R56=0),"No","Yes")</f>
        <v/>
      </c>
      <c r="T56">
        <f>IFERROR(XLOOKUP(A56,'Source Ledger'!$B$5:$B$200,'Source Ledger'!$E$5:$E$200),"")</f>
        <v/>
      </c>
      <c r="U56">
        <f>IFERROR(XLOOKUP(A56,'Source Ledger'!$B$5:$B$200,'Source Ledger'!$H$5:$H$200),"")</f>
        <v/>
      </c>
      <c r="V56">
        <f>IFERROR(XLOOKUP(A56,'Source Ledger'!$B$5:$B$200,'Source Ledger'!$G$5:$G$200),"")</f>
        <v/>
      </c>
      <c r="W56">
        <f>IF(OR(M56="",T56=""),"",T56-M56)</f>
        <v/>
      </c>
      <c r="X56">
        <f>IF(V56="","No","Yes")</f>
        <v/>
      </c>
    </row>
    <row r="57">
      <c r="A57" s="7" t="inlineStr">
        <is>
          <t>MD-00053</t>
        </is>
      </c>
      <c r="B57" s="7">
        <f>IFERROR(XLOOKUP(A57,'Source Inventory'!$A$5:$A$200,'Source Inventory'!$B$5:$B$200),"")</f>
        <v/>
      </c>
      <c r="C57" s="7">
        <f>IFERROR(XLOOKUP(A57,'Source Inventory'!$A$5:$A$200,'Source Inventory'!$C$5:$C$200),"")</f>
        <v/>
      </c>
      <c r="D57" s="7">
        <f>IFERROR(XLOOKUP(A57,'Source Inventory'!$A$5:$A$200,'Source Inventory'!$D$5:$D$200),"")</f>
        <v/>
      </c>
      <c r="E57" s="7">
        <f>IFERROR(XLOOKUP(A57,'Source Inventory'!$A$5:$A$200,'Source Inventory'!$E$5:$E$200),"")</f>
        <v/>
      </c>
      <c r="F57" s="7">
        <f>IFERROR(XLOOKUP(A57,'Source Inventory'!$A$5:$A$200,'Source Inventory'!$F$5:$F$200),"")</f>
        <v/>
      </c>
      <c r="G57" s="7">
        <f>IFERROR(XLOOKUP(A57,'Source Inventory'!$A$5:$A$200,'Source Inventory'!$G$5:$G$200),"")</f>
        <v/>
      </c>
      <c r="H57" s="7" t="inlineStr">
        <is>
          <t>IT Stock</t>
        </is>
      </c>
      <c r="I57" s="7" t="inlineStr">
        <is>
          <t>Seattle</t>
        </is>
      </c>
      <c r="J57" s="7" t="inlineStr">
        <is>
          <t>Available</t>
        </is>
      </c>
      <c r="K57" s="7" t="inlineStr">
        <is>
          <t>Working conclusion for MD-00053 (MD-LA-050053): Available at Seattle; cost $2030. acquisition recorded on PO-2024-0011. equipment_transfer_log TR-00053 posted Jun 05, 2026; inbound 2026-06-05 approval APR-00053. Source Ledger FA-000053; net book value $0.</t>
        </is>
      </c>
      <c r="L57" s="7" t="inlineStr">
        <is>
          <t>2026-06-07</t>
        </is>
      </c>
      <c r="M57" s="7">
        <f>IFERROR(XLOOKUP(A57,'Source Inventory'!$A$5:$A$200,'Source Inventory'!$H$5:$H$200),"")</f>
        <v/>
      </c>
      <c r="N57" s="7" t="n">
        <v>0</v>
      </c>
      <c r="O57" s="7">
        <f>IFERROR(XLOOKUP(A57,'Source Ledger'!$B$5:$B$200,'Source Ledger'!$A$5:$A$200),"")</f>
        <v/>
      </c>
      <c r="P57" s="7">
        <f>IFERROR(XLOOKUP(A57,'Source Ledger'!$B$5:$B$200,'Source Ledger'!$D$5:$D$200),"")</f>
        <v/>
      </c>
      <c r="Q57" s="9" t="inlineStr">
        <is>
          <t>High</t>
        </is>
      </c>
      <c r="R57" s="7" t="inlineStr">
        <is>
          <t>EX-0034</t>
        </is>
      </c>
      <c r="S57" s="7">
        <f>IF(OR(R57="",R57=0),"No","Yes")</f>
        <v/>
      </c>
      <c r="T57">
        <f>IFERROR(XLOOKUP(A57,'Source Ledger'!$B$5:$B$200,'Source Ledger'!$E$5:$E$200),"")</f>
        <v/>
      </c>
      <c r="U57">
        <f>IFERROR(XLOOKUP(A57,'Source Ledger'!$B$5:$B$200,'Source Ledger'!$H$5:$H$200),"")</f>
        <v/>
      </c>
      <c r="V57">
        <f>IFERROR(XLOOKUP(A57,'Source Ledger'!$B$5:$B$200,'Source Ledger'!$G$5:$G$200),"")</f>
        <v/>
      </c>
      <c r="W57">
        <f>IF(OR(M57="",T57=""),"",T57-M57)</f>
        <v/>
      </c>
      <c r="X57">
        <f>IF(V57="","No","Yes")</f>
        <v/>
      </c>
    </row>
    <row r="58">
      <c r="A58" s="7" t="inlineStr">
        <is>
          <t>MD-00054</t>
        </is>
      </c>
      <c r="B58" s="7">
        <f>IFERROR(XLOOKUP(A58,'Source Inventory'!$A$5:$A$200,'Source Inventory'!$B$5:$B$200),"")</f>
        <v/>
      </c>
      <c r="C58" s="7">
        <f>IFERROR(XLOOKUP(A58,'Source Inventory'!$A$5:$A$200,'Source Inventory'!$C$5:$C$200),"")</f>
        <v/>
      </c>
      <c r="D58" s="7">
        <f>IFERROR(XLOOKUP(A58,'Source Inventory'!$A$5:$A$200,'Source Inventory'!$D$5:$D$200),"")</f>
        <v/>
      </c>
      <c r="E58" s="7">
        <f>IFERROR(XLOOKUP(A58,'Source Inventory'!$A$5:$A$200,'Source Inventory'!$E$5:$E$200),"")</f>
        <v/>
      </c>
      <c r="F58" s="7">
        <f>IFERROR(XLOOKUP(A58,'Source Inventory'!$A$5:$A$200,'Source Inventory'!$F$5:$F$200),"")</f>
        <v/>
      </c>
      <c r="G58" s="7">
        <f>IFERROR(XLOOKUP(A58,'Source Inventory'!$A$5:$A$200,'Source Inventory'!$G$5:$G$200),"")</f>
        <v/>
      </c>
      <c r="H58" s="7" t="inlineStr">
        <is>
          <t>IT Stock</t>
        </is>
      </c>
      <c r="I58" s="7" t="inlineStr">
        <is>
          <t>Atlanta</t>
        </is>
      </c>
      <c r="J58" s="7" t="inlineStr">
        <is>
          <t>Available</t>
        </is>
      </c>
      <c r="K58" s="7" t="inlineStr">
        <is>
          <t>Asset MD-00054 — Samsung Galaxy S23 FE — reconciled to Available in Atlanta on $745 acquisition. purchasing file shows PO-2024-0011 for this unit. Source Ledger FA-000054; net book value $433.74. equipment_transfer_log TR-00054 posted Jan 10, 2026; inbound 2026-01-16 approval APR-00054.</t>
        </is>
      </c>
      <c r="L58" s="7" t="inlineStr">
        <is>
          <t>2026-01-08</t>
        </is>
      </c>
      <c r="M58" s="7">
        <f>IFERROR(XLOOKUP(A58,'Source Inventory'!$A$5:$A$200,'Source Inventory'!$H$5:$H$200),"")</f>
        <v/>
      </c>
      <c r="N58" s="7" t="n">
        <v>433.74</v>
      </c>
      <c r="O58" s="7">
        <f>IFERROR(XLOOKUP(A58,'Source Ledger'!$B$5:$B$200,'Source Ledger'!$A$5:$A$200),"")</f>
        <v/>
      </c>
      <c r="P58" s="7">
        <f>IFERROR(XLOOKUP(A58,'Source Ledger'!$B$5:$B$200,'Source Ledger'!$D$5:$D$200),"")</f>
        <v/>
      </c>
      <c r="Q58" s="9" t="inlineStr">
        <is>
          <t>High</t>
        </is>
      </c>
      <c r="R58" s="7" t="inlineStr">
        <is>
          <t>EX-0035</t>
        </is>
      </c>
      <c r="S58" s="7">
        <f>IF(OR(R58="",R58=0),"No","Yes")</f>
        <v/>
      </c>
      <c r="T58">
        <f>IFERROR(XLOOKUP(A58,'Source Ledger'!$B$5:$B$200,'Source Ledger'!$E$5:$E$200),"")</f>
        <v/>
      </c>
      <c r="U58">
        <f>IFERROR(XLOOKUP(A58,'Source Ledger'!$B$5:$B$200,'Source Ledger'!$H$5:$H$200),"")</f>
        <v/>
      </c>
      <c r="V58">
        <f>IFERROR(XLOOKUP(A58,'Source Ledger'!$B$5:$B$200,'Source Ledger'!$G$5:$G$200),"")</f>
        <v/>
      </c>
      <c r="W58">
        <f>IF(OR(M58="",T58=""),"",T58-M58)</f>
        <v/>
      </c>
      <c r="X58">
        <f>IF(V58="","No","Yes")</f>
        <v/>
      </c>
    </row>
    <row r="59">
      <c r="A59" s="7" t="inlineStr">
        <is>
          <t>MD-00055</t>
        </is>
      </c>
      <c r="B59" s="7">
        <f>IFERROR(XLOOKUP(A59,'Source Inventory'!$A$5:$A$200,'Source Inventory'!$B$5:$B$200),"")</f>
        <v/>
      </c>
      <c r="C59" s="7">
        <f>IFERROR(XLOOKUP(A59,'Source Inventory'!$A$5:$A$200,'Source Inventory'!$C$5:$C$200),"")</f>
        <v/>
      </c>
      <c r="D59" s="7">
        <f>IFERROR(XLOOKUP(A59,'Source Inventory'!$A$5:$A$200,'Source Inventory'!$D$5:$D$200),"")</f>
        <v/>
      </c>
      <c r="E59" s="7">
        <f>IFERROR(XLOOKUP(A59,'Source Inventory'!$A$5:$A$200,'Source Inventory'!$E$5:$E$200),"")</f>
        <v/>
      </c>
      <c r="F59" s="7">
        <f>IFERROR(XLOOKUP(A59,'Source Inventory'!$A$5:$A$200,'Source Inventory'!$F$5:$F$200),"")</f>
        <v/>
      </c>
      <c r="G59" s="7">
        <f>IFERROR(XLOOKUP(A59,'Source Inventory'!$A$5:$A$200,'Source Inventory'!$G$5:$G$200),"")</f>
        <v/>
      </c>
      <c r="H59" s="7" t="inlineStr">
        <is>
          <t>IT Stock</t>
        </is>
      </c>
      <c r="I59" s="7" t="inlineStr">
        <is>
          <t>Chicago</t>
        </is>
      </c>
      <c r="J59" s="7" t="inlineStr">
        <is>
          <t>Available</t>
        </is>
      </c>
      <c r="K59" s="7" t="inlineStr">
        <is>
          <t>Asset MD-00055 — iPhone 14 — reconciled to Available in Chicago on $1220 acquisition. order PO-2024-0011 appears in the purchasing extract. Source Ledger FA-000055; net book value $812.5. equipment_transfer_log TR-00055 posted Feb 11, 2026; inbound 2026-02-12 approval APR-00055.</t>
        </is>
      </c>
      <c r="L59" s="7" t="inlineStr">
        <is>
          <t>2026-02-09</t>
        </is>
      </c>
      <c r="M59" s="7">
        <f>IFERROR(XLOOKUP(A59,'Source Inventory'!$A$5:$A$200,'Source Inventory'!$H$5:$H$200),"")</f>
        <v/>
      </c>
      <c r="N59" s="7" t="n">
        <v>812.5</v>
      </c>
      <c r="O59" s="7">
        <f>IFERROR(XLOOKUP(A59,'Source Ledger'!$B$5:$B$200,'Source Ledger'!$A$5:$A$200),"")</f>
        <v/>
      </c>
      <c r="P59" s="7">
        <f>IFERROR(XLOOKUP(A59,'Source Ledger'!$B$5:$B$200,'Source Ledger'!$D$5:$D$200),"")</f>
        <v/>
      </c>
      <c r="Q59" s="9" t="inlineStr">
        <is>
          <t>High</t>
        </is>
      </c>
      <c r="R59" s="7" t="inlineStr">
        <is>
          <t>EX-0036</t>
        </is>
      </c>
      <c r="S59" s="7">
        <f>IF(OR(R59="",R59=0),"No","Yes")</f>
        <v/>
      </c>
      <c r="T59">
        <f>IFERROR(XLOOKUP(A59,'Source Ledger'!$B$5:$B$200,'Source Ledger'!$E$5:$E$200),"")</f>
        <v/>
      </c>
      <c r="U59">
        <f>IFERROR(XLOOKUP(A59,'Source Ledger'!$B$5:$B$200,'Source Ledger'!$H$5:$H$200),"")</f>
        <v/>
      </c>
      <c r="V59">
        <f>IFERROR(XLOOKUP(A59,'Source Ledger'!$B$5:$B$200,'Source Ledger'!$G$5:$G$200),"")</f>
        <v/>
      </c>
      <c r="W59">
        <f>IF(OR(M59="",T59=""),"",T59-M59)</f>
        <v/>
      </c>
      <c r="X59">
        <f>IF(V59="","No","Yes")</f>
        <v/>
      </c>
    </row>
    <row r="60">
      <c r="A60" s="7" t="inlineStr">
        <is>
          <t>MD-00056</t>
        </is>
      </c>
      <c r="B60" s="7">
        <f>IFERROR(XLOOKUP(A60,'Source Inventory'!$A$5:$A$200,'Source Inventory'!$B$5:$B$200),"")</f>
        <v/>
      </c>
      <c r="C60" s="7">
        <f>IFERROR(XLOOKUP(A60,'Source Inventory'!$A$5:$A$200,'Source Inventory'!$C$5:$C$200),"")</f>
        <v/>
      </c>
      <c r="D60" s="7">
        <f>IFERROR(XLOOKUP(A60,'Source Inventory'!$A$5:$A$200,'Source Inventory'!$D$5:$D$200),"")</f>
        <v/>
      </c>
      <c r="E60" s="7">
        <f>IFERROR(XLOOKUP(A60,'Source Inventory'!$A$5:$A$200,'Source Inventory'!$E$5:$E$200),"")</f>
        <v/>
      </c>
      <c r="F60" s="7">
        <f>IFERROR(XLOOKUP(A60,'Source Inventory'!$A$5:$A$200,'Source Inventory'!$F$5:$F$200),"")</f>
        <v/>
      </c>
      <c r="G60" s="7">
        <f>IFERROR(XLOOKUP(A60,'Source Inventory'!$A$5:$A$200,'Source Inventory'!$G$5:$G$200),"")</f>
        <v/>
      </c>
      <c r="H60" s="7" t="inlineStr">
        <is>
          <t>IT Stock</t>
        </is>
      </c>
      <c r="I60" s="7" t="inlineStr">
        <is>
          <t>Dallas</t>
        </is>
      </c>
      <c r="J60" s="7" t="inlineStr">
        <is>
          <t>Available</t>
        </is>
      </c>
      <c r="K60" s="7" t="inlineStr">
        <is>
          <t>Asset MD-00056 — Samsung Galaxy S24 — reconciled to Available in Dallas on $6200 acquisition. hardware_purchase_orders.csv ties MD-00056 to PO-2024-0011. Source Ledger FA-000056; net book value $1345.24. equipment_transfer_log TR-00056 posted Mar 16, 2026; inbound 2026-03-16 approval APR-00056.</t>
        </is>
      </c>
      <c r="L60" s="7" t="inlineStr">
        <is>
          <t>2026-03-10</t>
        </is>
      </c>
      <c r="M60" s="7">
        <f>IFERROR(XLOOKUP(A60,'Source Inventory'!$A$5:$A$200,'Source Inventory'!$H$5:$H$200),"")</f>
        <v/>
      </c>
      <c r="N60" s="7" t="n">
        <v>1345.24</v>
      </c>
      <c r="O60" s="7">
        <f>IFERROR(XLOOKUP(A60,'Source Ledger'!$B$5:$B$200,'Source Ledger'!$A$5:$A$200),"")</f>
        <v/>
      </c>
      <c r="P60" s="7">
        <f>IFERROR(XLOOKUP(A60,'Source Ledger'!$B$5:$B$200,'Source Ledger'!$D$5:$D$200),"")</f>
        <v/>
      </c>
      <c r="Q60" s="9" t="inlineStr">
        <is>
          <t>High</t>
        </is>
      </c>
      <c r="R60" s="7" t="inlineStr">
        <is>
          <t>EX-0037</t>
        </is>
      </c>
      <c r="S60" s="7">
        <f>IF(OR(R60="",R60=0),"No","Yes")</f>
        <v/>
      </c>
      <c r="T60">
        <f>IFERROR(XLOOKUP(A60,'Source Ledger'!$B$5:$B$200,'Source Ledger'!$E$5:$E$200),"")</f>
        <v/>
      </c>
      <c r="U60">
        <f>IFERROR(XLOOKUP(A60,'Source Ledger'!$B$5:$B$200,'Source Ledger'!$H$5:$H$200),"")</f>
        <v/>
      </c>
      <c r="V60">
        <f>IFERROR(XLOOKUP(A60,'Source Ledger'!$B$5:$B$200,'Source Ledger'!$G$5:$G$200),"")</f>
        <v/>
      </c>
      <c r="W60">
        <f>IF(OR(M60="",T60=""),"",T60-M60)</f>
        <v/>
      </c>
      <c r="X60">
        <f>IF(V60="","No","Yes")</f>
        <v/>
      </c>
    </row>
    <row r="61">
      <c r="A61" s="7" t="inlineStr">
        <is>
          <t>MD-00057</t>
        </is>
      </c>
      <c r="B61" s="7">
        <f>IFERROR(XLOOKUP(A61,'Source Inventory'!$A$5:$A$200,'Source Inventory'!$B$5:$B$200),"")</f>
        <v/>
      </c>
      <c r="C61" s="7">
        <f>IFERROR(XLOOKUP(A61,'Source Inventory'!$A$5:$A$200,'Source Inventory'!$C$5:$C$200),"")</f>
        <v/>
      </c>
      <c r="D61" s="7">
        <f>IFERROR(XLOOKUP(A61,'Source Inventory'!$A$5:$A$200,'Source Inventory'!$D$5:$D$200),"")</f>
        <v/>
      </c>
      <c r="E61" s="7">
        <f>IFERROR(XLOOKUP(A61,'Source Inventory'!$A$5:$A$200,'Source Inventory'!$E$5:$E$200),"")</f>
        <v/>
      </c>
      <c r="F61" s="7">
        <f>IFERROR(XLOOKUP(A61,'Source Inventory'!$A$5:$A$200,'Source Inventory'!$F$5:$F$200),"")</f>
        <v/>
      </c>
      <c r="G61" s="7">
        <f>IFERROR(XLOOKUP(A61,'Source Inventory'!$A$5:$A$200,'Source Inventory'!$G$5:$G$200),"")</f>
        <v/>
      </c>
      <c r="H61" s="7" t="inlineStr">
        <is>
          <t>IT Stock</t>
        </is>
      </c>
      <c r="I61" s="7" t="inlineStr">
        <is>
          <t>Denver</t>
        </is>
      </c>
      <c r="J61" s="7" t="inlineStr">
        <is>
          <t>Available</t>
        </is>
      </c>
      <c r="K61" s="7" t="inlineStr">
        <is>
          <t>Working conclusion for MD-00057 (MD-LA-050057): Available at Denver; cost $1895. PO PO-2024-0011 documents the buy for MD-00057. equipment_transfer_log TR-00057 posted Apr 20, 2026; inbound 2026-04-24 approval APR-00057. Source Ledger FA-000057; net book value $106.79.</t>
        </is>
      </c>
      <c r="L61" s="7" t="inlineStr">
        <is>
          <t>2026-04-11</t>
        </is>
      </c>
      <c r="M61" s="7">
        <f>IFERROR(XLOOKUP(A61,'Source Inventory'!$A$5:$A$200,'Source Inventory'!$H$5:$H$200),"")</f>
        <v/>
      </c>
      <c r="N61" s="7" t="n">
        <v>106.79</v>
      </c>
      <c r="O61" s="7">
        <f>IFERROR(XLOOKUP(A61,'Source Ledger'!$B$5:$B$200,'Source Ledger'!$A$5:$A$200),"")</f>
        <v/>
      </c>
      <c r="P61" s="7">
        <f>IFERROR(XLOOKUP(A61,'Source Ledger'!$B$5:$B$200,'Source Ledger'!$D$5:$D$200),"")</f>
        <v/>
      </c>
      <c r="Q61" s="9" t="inlineStr">
        <is>
          <t>High</t>
        </is>
      </c>
      <c r="R61" s="7" t="inlineStr">
        <is>
          <t>EX-0038</t>
        </is>
      </c>
      <c r="S61" s="7">
        <f>IF(OR(R61="",R61=0),"No","Yes")</f>
        <v/>
      </c>
      <c r="T61">
        <f>IFERROR(XLOOKUP(A61,'Source Ledger'!$B$5:$B$200,'Source Ledger'!$E$5:$E$200),"")</f>
        <v/>
      </c>
      <c r="U61">
        <f>IFERROR(XLOOKUP(A61,'Source Ledger'!$B$5:$B$200,'Source Ledger'!$H$5:$H$200),"")</f>
        <v/>
      </c>
      <c r="V61">
        <f>IFERROR(XLOOKUP(A61,'Source Ledger'!$B$5:$B$200,'Source Ledger'!$G$5:$G$200),"")</f>
        <v/>
      </c>
      <c r="W61">
        <f>IF(OR(M61="",T61=""),"",T61-M61)</f>
        <v/>
      </c>
      <c r="X61">
        <f>IF(V61="","No","Yes")</f>
        <v/>
      </c>
    </row>
    <row r="62">
      <c r="A62" s="7" t="inlineStr">
        <is>
          <t>MD-00058</t>
        </is>
      </c>
      <c r="B62" s="7">
        <f>IFERROR(XLOOKUP(A62,'Source Inventory'!$A$5:$A$200,'Source Inventory'!$B$5:$B$200),"")</f>
        <v/>
      </c>
      <c r="C62" s="7">
        <f>IFERROR(XLOOKUP(A62,'Source Inventory'!$A$5:$A$200,'Source Inventory'!$C$5:$C$200),"")</f>
        <v/>
      </c>
      <c r="D62" s="7">
        <f>IFERROR(XLOOKUP(A62,'Source Inventory'!$A$5:$A$200,'Source Inventory'!$D$5:$D$200),"")</f>
        <v/>
      </c>
      <c r="E62" s="7">
        <f>IFERROR(XLOOKUP(A62,'Source Inventory'!$A$5:$A$200,'Source Inventory'!$E$5:$E$200),"")</f>
        <v/>
      </c>
      <c r="F62" s="7">
        <f>IFERROR(XLOOKUP(A62,'Source Inventory'!$A$5:$A$200,'Source Inventory'!$F$5:$F$200),"")</f>
        <v/>
      </c>
      <c r="G62" s="7">
        <f>IFERROR(XLOOKUP(A62,'Source Inventory'!$A$5:$A$200,'Source Inventory'!$G$5:$G$200),"")</f>
        <v/>
      </c>
      <c r="H62" s="7" t="inlineStr">
        <is>
          <t>Regional IT</t>
        </is>
      </c>
      <c r="I62" s="7" t="inlineStr">
        <is>
          <t>New York</t>
        </is>
      </c>
      <c r="J62" s="7" t="inlineStr">
        <is>
          <t>Pending Redeployment</t>
        </is>
      </c>
      <c r="K62" s="7" t="inlineStr">
        <is>
          <t>Working conclusion for MD-00058 (MD-MO-050058): Pending Redeployment at New York; cost $610. capital PO PO-2024-0011 supports the cost basis. equipment_transfer_log TR-00058 posted May 22, 2026; inbound 2026-05-23 blank approval field. Source Ledger FA-000058; net book value $397.56.</t>
        </is>
      </c>
      <c r="L62" s="7" t="inlineStr">
        <is>
          <t>2026-08-05</t>
        </is>
      </c>
      <c r="M62" s="7">
        <f>IFERROR(XLOOKUP(A62,'Source Inventory'!$A$5:$A$200,'Source Inventory'!$H$5:$H$200),"")</f>
        <v/>
      </c>
      <c r="N62" s="7" t="n">
        <v>397.56</v>
      </c>
      <c r="O62" s="7">
        <f>IFERROR(XLOOKUP(A62,'Source Ledger'!$B$5:$B$200,'Source Ledger'!$A$5:$A$200),"")</f>
        <v/>
      </c>
      <c r="P62" s="7">
        <f>IFERROR(XLOOKUP(A62,'Source Ledger'!$B$5:$B$200,'Source Ledger'!$D$5:$D$200),"")</f>
        <v/>
      </c>
      <c r="Q62" s="7" t="inlineStr">
        <is>
          <t>Medium</t>
        </is>
      </c>
      <c r="R62" s="7" t="inlineStr">
        <is>
          <t>EX-0039, EX-0040, EX-0041</t>
        </is>
      </c>
      <c r="S62" s="7">
        <f>IF(OR(R62="",R62=0),"No","Yes")</f>
        <v/>
      </c>
      <c r="T62">
        <f>IFERROR(XLOOKUP(A62,'Source Ledger'!$B$5:$B$200,'Source Ledger'!$E$5:$E$200),"")</f>
        <v/>
      </c>
      <c r="U62">
        <f>IFERROR(XLOOKUP(A62,'Source Ledger'!$B$5:$B$200,'Source Ledger'!$H$5:$H$200),"")</f>
        <v/>
      </c>
      <c r="V62">
        <f>IFERROR(XLOOKUP(A62,'Source Ledger'!$B$5:$B$200,'Source Ledger'!$G$5:$G$200),"")</f>
        <v/>
      </c>
      <c r="W62">
        <f>IF(OR(M62="",T62=""),"",T62-M62)</f>
        <v/>
      </c>
      <c r="X62">
        <f>IF(V62="","No","Yes")</f>
        <v/>
      </c>
    </row>
    <row r="63">
      <c r="A63" s="7" t="inlineStr">
        <is>
          <t>MD-00059</t>
        </is>
      </c>
      <c r="B63" s="7">
        <f>IFERROR(XLOOKUP(A63,'Source Inventory'!$A$5:$A$200,'Source Inventory'!$B$5:$B$200),"")</f>
        <v/>
      </c>
      <c r="C63" s="7">
        <f>IFERROR(XLOOKUP(A63,'Source Inventory'!$A$5:$A$200,'Source Inventory'!$C$5:$C$200),"")</f>
        <v/>
      </c>
      <c r="D63" s="7">
        <f>IFERROR(XLOOKUP(A63,'Source Inventory'!$A$5:$A$200,'Source Inventory'!$D$5:$D$200),"")</f>
        <v/>
      </c>
      <c r="E63" s="7">
        <f>IFERROR(XLOOKUP(A63,'Source Inventory'!$A$5:$A$200,'Source Inventory'!$E$5:$E$200),"")</f>
        <v/>
      </c>
      <c r="F63" s="7">
        <f>IFERROR(XLOOKUP(A63,'Source Inventory'!$A$5:$A$200,'Source Inventory'!$F$5:$F$200),"")</f>
        <v/>
      </c>
      <c r="G63" s="7">
        <f>IFERROR(XLOOKUP(A63,'Source Inventory'!$A$5:$A$200,'Source Inventory'!$G$5:$G$200),"")</f>
        <v/>
      </c>
      <c r="H63" s="7" t="inlineStr">
        <is>
          <t>Regional IT</t>
        </is>
      </c>
      <c r="I63" s="7" t="inlineStr">
        <is>
          <t>Seattle</t>
        </is>
      </c>
      <c r="J63" s="7" t="inlineStr">
        <is>
          <t>Pending Redeployment</t>
        </is>
      </c>
      <c r="K63" s="7" t="inlineStr">
        <is>
          <t>Asset MD-00059 — Samsung Galaxy S23 FE — reconciled to Pending Redeployment in Seattle on $1085 acquisition. buy path for MD-00059 references PO-2024-0011. Source Ledger FA-000059; net book value $847.35. equipment_transfer_log TR-00059 posted Jun 26, 2026; inbound 2026-06-26 blank approval field.</t>
        </is>
      </c>
      <c r="L63" s="7" t="inlineStr">
        <is>
          <t>2026-08-05</t>
        </is>
      </c>
      <c r="M63" s="7">
        <f>IFERROR(XLOOKUP(A63,'Source Inventory'!$A$5:$A$200,'Source Inventory'!$H$5:$H$200),"")</f>
        <v/>
      </c>
      <c r="N63" s="7" t="n">
        <v>847.35</v>
      </c>
      <c r="O63" s="7">
        <f>IFERROR(XLOOKUP(A63,'Source Ledger'!$B$5:$B$200,'Source Ledger'!$A$5:$A$200),"")</f>
        <v/>
      </c>
      <c r="P63" s="7">
        <f>IFERROR(XLOOKUP(A63,'Source Ledger'!$B$5:$B$200,'Source Ledger'!$D$5:$D$200),"")</f>
        <v/>
      </c>
      <c r="Q63" s="7" t="inlineStr">
        <is>
          <t>Medium</t>
        </is>
      </c>
      <c r="R63" s="7" t="inlineStr">
        <is>
          <t>EX-0042, EX-0043, EX-0044</t>
        </is>
      </c>
      <c r="S63" s="7">
        <f>IF(OR(R63="",R63=0),"No","Yes")</f>
        <v/>
      </c>
      <c r="T63">
        <f>IFERROR(XLOOKUP(A63,'Source Ledger'!$B$5:$B$200,'Source Ledger'!$E$5:$E$200),"")</f>
        <v/>
      </c>
      <c r="U63">
        <f>IFERROR(XLOOKUP(A63,'Source Ledger'!$B$5:$B$200,'Source Ledger'!$H$5:$H$200),"")</f>
        <v/>
      </c>
      <c r="V63">
        <f>IFERROR(XLOOKUP(A63,'Source Ledger'!$B$5:$B$200,'Source Ledger'!$G$5:$G$200),"")</f>
        <v/>
      </c>
      <c r="W63">
        <f>IF(OR(M63="",T63=""),"",T63-M63)</f>
        <v/>
      </c>
      <c r="X63">
        <f>IF(V63="","No","Yes")</f>
        <v/>
      </c>
    </row>
    <row r="64">
      <c r="A64" s="7" t="inlineStr">
        <is>
          <t>MD-00060</t>
        </is>
      </c>
      <c r="B64" s="7">
        <f>IFERROR(XLOOKUP(A64,'Source Inventory'!$A$5:$A$200,'Source Inventory'!$B$5:$B$200),"")</f>
        <v/>
      </c>
      <c r="C64" s="7">
        <f>IFERROR(XLOOKUP(A64,'Source Inventory'!$A$5:$A$200,'Source Inventory'!$C$5:$C$200),"")</f>
        <v/>
      </c>
      <c r="D64" s="7">
        <f>IFERROR(XLOOKUP(A64,'Source Inventory'!$A$5:$A$200,'Source Inventory'!$D$5:$D$200),"")</f>
        <v/>
      </c>
      <c r="E64" s="7">
        <f>IFERROR(XLOOKUP(A64,'Source Inventory'!$A$5:$A$200,'Source Inventory'!$E$5:$E$200),"")</f>
        <v/>
      </c>
      <c r="F64" s="7">
        <f>IFERROR(XLOOKUP(A64,'Source Inventory'!$A$5:$A$200,'Source Inventory'!$F$5:$F$200),"")</f>
        <v/>
      </c>
      <c r="G64" s="7">
        <f>IFERROR(XLOOKUP(A64,'Source Inventory'!$A$5:$A$200,'Source Inventory'!$G$5:$G$200),"")</f>
        <v/>
      </c>
      <c r="H64" s="7" t="inlineStr">
        <is>
          <t>Regional IT</t>
        </is>
      </c>
      <c r="I64" s="7" t="inlineStr">
        <is>
          <t>Atlanta</t>
        </is>
      </c>
      <c r="J64" s="7" t="inlineStr">
        <is>
          <t>Pending Redeployment</t>
        </is>
      </c>
      <c r="K64" s="7" t="inlineStr">
        <is>
          <t>Working conclusion for MD-00060 (MD-NE-050060): Pending Redeployment at Atlanta; cost $6380. Source Ledger FA-000060; net book value $549.35. acquisition recorded on PO-2024-0011. equipment_transfer_log TR-00060 posted Jan 30, 2026; inbound 2026-02-02 approval APR-00060.</t>
        </is>
      </c>
      <c r="L64" s="7" t="inlineStr">
        <is>
          <t>2026-08-05</t>
        </is>
      </c>
      <c r="M64" s="7">
        <f>IFERROR(XLOOKUP(A64,'Source Inventory'!$A$5:$A$200,'Source Inventory'!$H$5:$H$200),"")</f>
        <v/>
      </c>
      <c r="N64" s="7" t="n">
        <v>549.35</v>
      </c>
      <c r="O64" s="7">
        <f>IFERROR(XLOOKUP(A64,'Source Ledger'!$B$5:$B$200,'Source Ledger'!$A$5:$A$200),"")</f>
        <v/>
      </c>
      <c r="P64" s="7">
        <f>IFERROR(XLOOKUP(A64,'Source Ledger'!$B$5:$B$200,'Source Ledger'!$D$5:$D$200),"")</f>
        <v/>
      </c>
      <c r="Q64" s="9" t="inlineStr">
        <is>
          <t>High</t>
        </is>
      </c>
      <c r="R64" s="7" t="inlineStr">
        <is>
          <t>EX-0045, EX-0046</t>
        </is>
      </c>
      <c r="S64" s="7">
        <f>IF(OR(R64="",R64=0),"No","Yes")</f>
        <v/>
      </c>
      <c r="T64">
        <f>IFERROR(XLOOKUP(A64,'Source Ledger'!$B$5:$B$200,'Source Ledger'!$E$5:$E$200),"")</f>
        <v/>
      </c>
      <c r="U64">
        <f>IFERROR(XLOOKUP(A64,'Source Ledger'!$B$5:$B$200,'Source Ledger'!$H$5:$H$200),"")</f>
        <v/>
      </c>
      <c r="V64">
        <f>IFERROR(XLOOKUP(A64,'Source Ledger'!$B$5:$B$200,'Source Ledger'!$G$5:$G$200),"")</f>
        <v/>
      </c>
      <c r="W64">
        <f>IF(OR(M64="",T64=""),"",T64-M64)</f>
        <v/>
      </c>
      <c r="X64">
        <f>IF(V64="","No","Yes")</f>
        <v/>
      </c>
    </row>
    <row r="65">
      <c r="A65" s="7" t="inlineStr">
        <is>
          <t>MD-00061</t>
        </is>
      </c>
      <c r="B65" s="7">
        <f>IFERROR(XLOOKUP(A65,'Source Inventory'!$A$5:$A$200,'Source Inventory'!$B$5:$B$200),"")</f>
        <v/>
      </c>
      <c r="C65" s="7">
        <f>IFERROR(XLOOKUP(A65,'Source Inventory'!$A$5:$A$200,'Source Inventory'!$C$5:$C$200),"")</f>
        <v/>
      </c>
      <c r="D65" s="7">
        <f>IFERROR(XLOOKUP(A65,'Source Inventory'!$A$5:$A$200,'Source Inventory'!$D$5:$D$200),"")</f>
        <v/>
      </c>
      <c r="E65" s="7">
        <f>IFERROR(XLOOKUP(A65,'Source Inventory'!$A$5:$A$200,'Source Inventory'!$E$5:$E$200),"")</f>
        <v/>
      </c>
      <c r="F65" s="7">
        <f>IFERROR(XLOOKUP(A65,'Source Inventory'!$A$5:$A$200,'Source Inventory'!$F$5:$F$200),"")</f>
        <v/>
      </c>
      <c r="G65" s="7">
        <f>IFERROR(XLOOKUP(A65,'Source Inventory'!$A$5:$A$200,'Source Inventory'!$G$5:$G$200),"")</f>
        <v/>
      </c>
      <c r="H65" s="7" t="inlineStr">
        <is>
          <t>Regional IT</t>
        </is>
      </c>
      <c r="I65" s="7" t="inlineStr">
        <is>
          <t>Chicago</t>
        </is>
      </c>
      <c r="J65" s="7" t="inlineStr">
        <is>
          <t>Pending Redeployment</t>
        </is>
      </c>
      <c r="K65" s="7" t="inlineStr">
        <is>
          <t>Working conclusion for MD-00061 (MD-LA-050061): Pending Redeployment at Chicago; cost $2075. Source Ledger FA-000061; net book value $0. PO-2025-0012 is the cited purchase order. equipment_transfer_log TR-00061 posted Feb 02, 2026; inbound 2026-02-03 approval APR-00061.</t>
        </is>
      </c>
      <c r="L65" s="7" t="inlineStr">
        <is>
          <t>2026-08-05</t>
        </is>
      </c>
      <c r="M65" s="7">
        <f>IFERROR(XLOOKUP(A65,'Source Inventory'!$A$5:$A$200,'Source Inventory'!$H$5:$H$200),"")</f>
        <v/>
      </c>
      <c r="N65" s="7" t="n">
        <v>0</v>
      </c>
      <c r="O65" s="7">
        <f>IFERROR(XLOOKUP(A65,'Source Ledger'!$B$5:$B$200,'Source Ledger'!$A$5:$A$200),"")</f>
        <v/>
      </c>
      <c r="P65" s="7">
        <f>IFERROR(XLOOKUP(A65,'Source Ledger'!$B$5:$B$200,'Source Ledger'!$D$5:$D$200),"")</f>
        <v/>
      </c>
      <c r="Q65" s="9" t="inlineStr">
        <is>
          <t>High</t>
        </is>
      </c>
      <c r="R65" s="7" t="inlineStr">
        <is>
          <t>EX-0047, EX-0048</t>
        </is>
      </c>
      <c r="S65" s="7">
        <f>IF(OR(R65="",R65=0),"No","Yes")</f>
        <v/>
      </c>
      <c r="T65">
        <f>IFERROR(XLOOKUP(A65,'Source Ledger'!$B$5:$B$200,'Source Ledger'!$E$5:$E$200),"")</f>
        <v/>
      </c>
      <c r="U65">
        <f>IFERROR(XLOOKUP(A65,'Source Ledger'!$B$5:$B$200,'Source Ledger'!$H$5:$H$200),"")</f>
        <v/>
      </c>
      <c r="V65">
        <f>IFERROR(XLOOKUP(A65,'Source Ledger'!$B$5:$B$200,'Source Ledger'!$G$5:$G$200),"")</f>
        <v/>
      </c>
      <c r="W65">
        <f>IF(OR(M65="",T65=""),"",T65-M65)</f>
        <v/>
      </c>
      <c r="X65">
        <f>IF(V65="","No","Yes")</f>
        <v/>
      </c>
    </row>
    <row r="66">
      <c r="A66" s="7" t="inlineStr">
        <is>
          <t>MD-00062</t>
        </is>
      </c>
      <c r="B66" s="7">
        <f>IFERROR(XLOOKUP(A66,'Source Inventory'!$A$5:$A$200,'Source Inventory'!$B$5:$B$200),"")</f>
        <v/>
      </c>
      <c r="C66" s="7">
        <f>IFERROR(XLOOKUP(A66,'Source Inventory'!$A$5:$A$200,'Source Inventory'!$C$5:$C$200),"")</f>
        <v/>
      </c>
      <c r="D66" s="7">
        <f>IFERROR(XLOOKUP(A66,'Source Inventory'!$A$5:$A$200,'Source Inventory'!$D$5:$D$200),"")</f>
        <v/>
      </c>
      <c r="E66" s="7">
        <f>IFERROR(XLOOKUP(A66,'Source Inventory'!$A$5:$A$200,'Source Inventory'!$E$5:$E$200),"")</f>
        <v/>
      </c>
      <c r="F66" s="7">
        <f>IFERROR(XLOOKUP(A66,'Source Inventory'!$A$5:$A$200,'Source Inventory'!$F$5:$F$200),"")</f>
        <v/>
      </c>
      <c r="G66" s="7">
        <f>IFERROR(XLOOKUP(A66,'Source Inventory'!$A$5:$A$200,'Source Inventory'!$G$5:$G$200),"")</f>
        <v/>
      </c>
      <c r="H66" s="7" t="inlineStr">
        <is>
          <t>Regional IT</t>
        </is>
      </c>
      <c r="I66" s="7" t="inlineStr">
        <is>
          <t>Dallas</t>
        </is>
      </c>
      <c r="J66" s="7" t="inlineStr">
        <is>
          <t>Pending Redeployment</t>
        </is>
      </c>
      <c r="K66" s="7" t="inlineStr">
        <is>
          <t>Working conclusion for MD-00062 (MD-MO-050062): Pending Redeployment at Dallas; cost $790. Source Ledger FA-000062; net book value $410.63. acquisition recorded on PO-2025-0012. equipment_transfer_log TR-00062 posted Mar 07, 2026; inbound 2026-03-07 approval APR-00062.</t>
        </is>
      </c>
      <c r="L66" s="7" t="inlineStr">
        <is>
          <t>2026-08-05</t>
        </is>
      </c>
      <c r="M66" s="7">
        <f>IFERROR(XLOOKUP(A66,'Source Inventory'!$A$5:$A$200,'Source Inventory'!$H$5:$H$200),"")</f>
        <v/>
      </c>
      <c r="N66" s="7" t="n">
        <v>410.63</v>
      </c>
      <c r="O66" s="7">
        <f>IFERROR(XLOOKUP(A66,'Source Ledger'!$B$5:$B$200,'Source Ledger'!$A$5:$A$200),"")</f>
        <v/>
      </c>
      <c r="P66" s="7">
        <f>IFERROR(XLOOKUP(A66,'Source Ledger'!$B$5:$B$200,'Source Ledger'!$D$5:$D$200),"")</f>
        <v/>
      </c>
      <c r="Q66" s="9" t="inlineStr">
        <is>
          <t>High</t>
        </is>
      </c>
      <c r="R66" s="7" t="inlineStr">
        <is>
          <t>EX-0049, EX-0050</t>
        </is>
      </c>
      <c r="S66" s="7">
        <f>IF(OR(R66="",R66=0),"No","Yes")</f>
        <v/>
      </c>
      <c r="T66">
        <f>IFERROR(XLOOKUP(A66,'Source Ledger'!$B$5:$B$200,'Source Ledger'!$E$5:$E$200),"")</f>
        <v/>
      </c>
      <c r="U66">
        <f>IFERROR(XLOOKUP(A66,'Source Ledger'!$B$5:$B$200,'Source Ledger'!$H$5:$H$200),"")</f>
        <v/>
      </c>
      <c r="V66">
        <f>IFERROR(XLOOKUP(A66,'Source Ledger'!$B$5:$B$200,'Source Ledger'!$G$5:$G$200),"")</f>
        <v/>
      </c>
      <c r="W66">
        <f>IF(OR(M66="",T66=""),"",T66-M66)</f>
        <v/>
      </c>
      <c r="X66">
        <f>IF(V66="","No","Yes")</f>
        <v/>
      </c>
    </row>
    <row r="67">
      <c r="A67" s="7" t="inlineStr">
        <is>
          <t>MD-00063</t>
        </is>
      </c>
      <c r="B67" s="7">
        <f>IFERROR(XLOOKUP(A67,'Source Inventory'!$A$5:$A$200,'Source Inventory'!$B$5:$B$200),"")</f>
        <v/>
      </c>
      <c r="C67" s="7">
        <f>IFERROR(XLOOKUP(A67,'Source Inventory'!$A$5:$A$200,'Source Inventory'!$C$5:$C$200),"")</f>
        <v/>
      </c>
      <c r="D67" s="7">
        <f>IFERROR(XLOOKUP(A67,'Source Inventory'!$A$5:$A$200,'Source Inventory'!$D$5:$D$200),"")</f>
        <v/>
      </c>
      <c r="E67" s="7">
        <f>IFERROR(XLOOKUP(A67,'Source Inventory'!$A$5:$A$200,'Source Inventory'!$E$5:$E$200),"")</f>
        <v/>
      </c>
      <c r="F67" s="7">
        <f>IFERROR(XLOOKUP(A67,'Source Inventory'!$A$5:$A$200,'Source Inventory'!$F$5:$F$200),"")</f>
        <v/>
      </c>
      <c r="G67" s="7">
        <f>IFERROR(XLOOKUP(A67,'Source Inventory'!$A$5:$A$200,'Source Inventory'!$G$5:$G$200),"")</f>
        <v/>
      </c>
      <c r="H67" s="7" t="inlineStr">
        <is>
          <t>Regional IT</t>
        </is>
      </c>
      <c r="I67" s="7" t="inlineStr">
        <is>
          <t>Denver</t>
        </is>
      </c>
      <c r="J67" s="7" t="inlineStr">
        <is>
          <t>Pending Redeployment</t>
        </is>
      </c>
      <c r="K67" s="7" t="inlineStr">
        <is>
          <t>Cross-checked MD-00063 (MD-MO-050063, Samsung Galaxy S23 FE) against HR, transfers, and ledger extracts. equipment_transfer_log TR-00063 posted Apr 12, 2026; inbound 2026-04-16 approval APR-00063. purchasing file shows PO-2025-0012 for this unit. Source Ledger FA-000063; net book value $533.85.</t>
        </is>
      </c>
      <c r="L67" s="7" t="inlineStr">
        <is>
          <t>2026-08-05</t>
        </is>
      </c>
      <c r="M67" s="7">
        <f>IFERROR(XLOOKUP(A67,'Source Inventory'!$A$5:$A$200,'Source Inventory'!$H$5:$H$200),"")</f>
        <v/>
      </c>
      <c r="N67" s="7" t="n">
        <v>533.85</v>
      </c>
      <c r="O67" s="7">
        <f>IFERROR(XLOOKUP(A67,'Source Ledger'!$B$5:$B$200,'Source Ledger'!$A$5:$A$200),"")</f>
        <v/>
      </c>
      <c r="P67" s="7">
        <f>IFERROR(XLOOKUP(A67,'Source Ledger'!$B$5:$B$200,'Source Ledger'!$D$5:$D$200),"")</f>
        <v/>
      </c>
      <c r="Q67" s="9" t="inlineStr">
        <is>
          <t>High</t>
        </is>
      </c>
      <c r="R67" s="7" t="inlineStr">
        <is>
          <t>EX-0051, EX-0052</t>
        </is>
      </c>
      <c r="S67" s="7">
        <f>IF(OR(R67="",R67=0),"No","Yes")</f>
        <v/>
      </c>
      <c r="T67">
        <f>IFERROR(XLOOKUP(A67,'Source Ledger'!$B$5:$B$200,'Source Ledger'!$E$5:$E$200),"")</f>
        <v/>
      </c>
      <c r="U67">
        <f>IFERROR(XLOOKUP(A67,'Source Ledger'!$B$5:$B$200,'Source Ledger'!$H$5:$H$200),"")</f>
        <v/>
      </c>
      <c r="V67">
        <f>IFERROR(XLOOKUP(A67,'Source Ledger'!$B$5:$B$200,'Source Ledger'!$G$5:$G$200),"")</f>
        <v/>
      </c>
      <c r="W67">
        <f>IF(OR(M67="",T67=""),"",T67-M67)</f>
        <v/>
      </c>
      <c r="X67">
        <f>IF(V67="","No","Yes")</f>
        <v/>
      </c>
    </row>
    <row r="68">
      <c r="A68" s="7" t="inlineStr">
        <is>
          <t>MD-00064</t>
        </is>
      </c>
      <c r="B68" s="7">
        <f>IFERROR(XLOOKUP(A68,'Source Inventory'!$A$5:$A$200,'Source Inventory'!$B$5:$B$200),"")</f>
        <v/>
      </c>
      <c r="C68" s="7">
        <f>IFERROR(XLOOKUP(A68,'Source Inventory'!$A$5:$A$200,'Source Inventory'!$C$5:$C$200),"")</f>
        <v/>
      </c>
      <c r="D68" s="7">
        <f>IFERROR(XLOOKUP(A68,'Source Inventory'!$A$5:$A$200,'Source Inventory'!$D$5:$D$200),"")</f>
        <v/>
      </c>
      <c r="E68" s="7">
        <f>IFERROR(XLOOKUP(A68,'Source Inventory'!$A$5:$A$200,'Source Inventory'!$E$5:$E$200),"")</f>
        <v/>
      </c>
      <c r="F68" s="7">
        <f>IFERROR(XLOOKUP(A68,'Source Inventory'!$A$5:$A$200,'Source Inventory'!$F$5:$F$200),"")</f>
        <v/>
      </c>
      <c r="G68" s="7">
        <f>IFERROR(XLOOKUP(A68,'Source Inventory'!$A$5:$A$200,'Source Inventory'!$G$5:$G$200),"")</f>
        <v/>
      </c>
      <c r="H68" s="7" t="inlineStr">
        <is>
          <t>Regional IT</t>
        </is>
      </c>
      <c r="I68" s="7" t="inlineStr">
        <is>
          <t>New York</t>
        </is>
      </c>
      <c r="J68" s="7" t="inlineStr">
        <is>
          <t>Pending Redeployment</t>
        </is>
      </c>
      <c r="K68" s="7" t="inlineStr">
        <is>
          <t>Asset MD-00064 — iPhone 14 — reconciled to Pending Redeployment in New York on $6245 acquisition. equipment_transfer_log TR-00064 posted May 13, 2026; inbound 2026-05-14 blank approval field. order PO-2025-0012 appears in the purchasing extract. Source Ledger FA-000064; net book value $961.76.</t>
        </is>
      </c>
      <c r="L68" s="7" t="inlineStr">
        <is>
          <t>2026-08-05</t>
        </is>
      </c>
      <c r="M68" s="7">
        <f>IFERROR(XLOOKUP(A68,'Source Inventory'!$A$5:$A$200,'Source Inventory'!$H$5:$H$200),"")</f>
        <v/>
      </c>
      <c r="N68" s="7" t="n">
        <v>961.76</v>
      </c>
      <c r="O68" s="7">
        <f>IFERROR(XLOOKUP(A68,'Source Ledger'!$B$5:$B$200,'Source Ledger'!$A$5:$A$200),"")</f>
        <v/>
      </c>
      <c r="P68" s="7">
        <f>IFERROR(XLOOKUP(A68,'Source Ledger'!$B$5:$B$200,'Source Ledger'!$D$5:$D$200),"")</f>
        <v/>
      </c>
      <c r="Q68" s="7" t="inlineStr">
        <is>
          <t>Medium</t>
        </is>
      </c>
      <c r="R68" s="7" t="inlineStr">
        <is>
          <t>EX-0053, EX-0054, EX-0055</t>
        </is>
      </c>
      <c r="S68" s="7">
        <f>IF(OR(R68="",R68=0),"No","Yes")</f>
        <v/>
      </c>
      <c r="T68">
        <f>IFERROR(XLOOKUP(A68,'Source Ledger'!$B$5:$B$200,'Source Ledger'!$E$5:$E$200),"")</f>
        <v/>
      </c>
      <c r="U68">
        <f>IFERROR(XLOOKUP(A68,'Source Ledger'!$B$5:$B$200,'Source Ledger'!$H$5:$H$200),"")</f>
        <v/>
      </c>
      <c r="V68">
        <f>IFERROR(XLOOKUP(A68,'Source Ledger'!$B$5:$B$200,'Source Ledger'!$G$5:$G$200),"")</f>
        <v/>
      </c>
      <c r="W68">
        <f>IF(OR(M68="",T68=""),"",T68-M68)</f>
        <v/>
      </c>
      <c r="X68">
        <f>IF(V68="","No","Yes")</f>
        <v/>
      </c>
    </row>
    <row r="69">
      <c r="A69" s="7" t="inlineStr">
        <is>
          <t>MD-00065</t>
        </is>
      </c>
      <c r="B69" s="7">
        <f>IFERROR(XLOOKUP(A69,'Source Inventory'!$A$5:$A$200,'Source Inventory'!$B$5:$B$200),"")</f>
        <v/>
      </c>
      <c r="C69" s="7">
        <f>IFERROR(XLOOKUP(A69,'Source Inventory'!$A$5:$A$200,'Source Inventory'!$C$5:$C$200),"")</f>
        <v/>
      </c>
      <c r="D69" s="7">
        <f>IFERROR(XLOOKUP(A69,'Source Inventory'!$A$5:$A$200,'Source Inventory'!$D$5:$D$200),"")</f>
        <v/>
      </c>
      <c r="E69" s="7">
        <f>IFERROR(XLOOKUP(A69,'Source Inventory'!$A$5:$A$200,'Source Inventory'!$E$5:$E$200),"")</f>
        <v/>
      </c>
      <c r="F69" s="7">
        <f>IFERROR(XLOOKUP(A69,'Source Inventory'!$A$5:$A$200,'Source Inventory'!$F$5:$F$200),"")</f>
        <v/>
      </c>
      <c r="G69" s="7">
        <f>IFERROR(XLOOKUP(A69,'Source Inventory'!$A$5:$A$200,'Source Inventory'!$G$5:$G$200),"")</f>
        <v/>
      </c>
      <c r="H69" s="7" t="inlineStr">
        <is>
          <t>Regional IT</t>
        </is>
      </c>
      <c r="I69" s="7" t="inlineStr">
        <is>
          <t>Seattle</t>
        </is>
      </c>
      <c r="J69" s="7" t="inlineStr">
        <is>
          <t>Pending Redeployment</t>
        </is>
      </c>
      <c r="K69" s="7" t="inlineStr">
        <is>
          <t>Asset MD-00065 — Samsung Galaxy S24 — reconciled to Pending Redeployment in Seattle on $1940 acquisition. equipment_transfer_log TR-00065 posted Jun 17, 2026; inbound 2026-06-23 blank approval field. PO-2022-0013 is the cited purchase order. Source Ledger FA-000065; net book value $0.</t>
        </is>
      </c>
      <c r="L69" s="7" t="inlineStr">
        <is>
          <t>2026-08-05</t>
        </is>
      </c>
      <c r="M69" s="7">
        <f>IFERROR(XLOOKUP(A69,'Source Inventory'!$A$5:$A$200,'Source Inventory'!$H$5:$H$200),"")</f>
        <v/>
      </c>
      <c r="N69" s="7" t="n">
        <v>0</v>
      </c>
      <c r="O69" s="7">
        <f>IFERROR(XLOOKUP(A69,'Source Ledger'!$B$5:$B$200,'Source Ledger'!$A$5:$A$200),"")</f>
        <v/>
      </c>
      <c r="P69" s="7">
        <f>IFERROR(XLOOKUP(A69,'Source Ledger'!$B$5:$B$200,'Source Ledger'!$D$5:$D$200),"")</f>
        <v/>
      </c>
      <c r="Q69" s="7" t="inlineStr">
        <is>
          <t>Medium</t>
        </is>
      </c>
      <c r="R69" s="7" t="inlineStr">
        <is>
          <t>EX-0056, EX-0057, EX-0058</t>
        </is>
      </c>
      <c r="S69" s="7">
        <f>IF(OR(R69="",R69=0),"No","Yes")</f>
        <v/>
      </c>
      <c r="T69">
        <f>IFERROR(XLOOKUP(A69,'Source Ledger'!$B$5:$B$200,'Source Ledger'!$E$5:$E$200),"")</f>
        <v/>
      </c>
      <c r="U69">
        <f>IFERROR(XLOOKUP(A69,'Source Ledger'!$B$5:$B$200,'Source Ledger'!$H$5:$H$200),"")</f>
        <v/>
      </c>
      <c r="V69">
        <f>IFERROR(XLOOKUP(A69,'Source Ledger'!$B$5:$B$200,'Source Ledger'!$G$5:$G$200),"")</f>
        <v/>
      </c>
      <c r="W69">
        <f>IF(OR(M69="",T69=""),"",T69-M69)</f>
        <v/>
      </c>
      <c r="X69">
        <f>IF(V69="","No","Yes")</f>
        <v/>
      </c>
    </row>
    <row r="70">
      <c r="A70" s="7" t="inlineStr">
        <is>
          <t>MD-00066</t>
        </is>
      </c>
      <c r="B70" s="7">
        <f>IFERROR(XLOOKUP(A70,'Source Inventory'!$A$5:$A$200,'Source Inventory'!$B$5:$B$200),"")</f>
        <v/>
      </c>
      <c r="C70" s="7">
        <f>IFERROR(XLOOKUP(A70,'Source Inventory'!$A$5:$A$200,'Source Inventory'!$C$5:$C$200),"")</f>
        <v/>
      </c>
      <c r="D70" s="7">
        <f>IFERROR(XLOOKUP(A70,'Source Inventory'!$A$5:$A$200,'Source Inventory'!$D$5:$D$200),"")</f>
        <v/>
      </c>
      <c r="E70" s="7">
        <f>IFERROR(XLOOKUP(A70,'Source Inventory'!$A$5:$A$200,'Source Inventory'!$E$5:$E$200),"")</f>
        <v/>
      </c>
      <c r="F70" s="7">
        <f>IFERROR(XLOOKUP(A70,'Source Inventory'!$A$5:$A$200,'Source Inventory'!$F$5:$F$200),"")</f>
        <v/>
      </c>
      <c r="G70" s="7">
        <f>IFERROR(XLOOKUP(A70,'Source Inventory'!$A$5:$A$200,'Source Inventory'!$G$5:$G$200),"")</f>
        <v/>
      </c>
      <c r="H70" s="7" t="inlineStr">
        <is>
          <t>Regional IT</t>
        </is>
      </c>
      <c r="I70" s="7" t="inlineStr">
        <is>
          <t>Atlanta</t>
        </is>
      </c>
      <c r="J70" s="7" t="inlineStr">
        <is>
          <t>Pending Redeployment</t>
        </is>
      </c>
      <c r="K70" s="7" t="inlineStr">
        <is>
          <t>Asset MD-00066 — iPhone 15 — reconciled to Pending Redeployment in Atlanta on $655 acquisition. equipment_transfer_log TR-00066 posted Jan 22, 2026; inbound 2026-01-25 approval APR-00066. PO PO-2022-0013 documents the buy for MD-00066. Source Ledger FA-000066; net book value $385.65.</t>
        </is>
      </c>
      <c r="L70" s="7" t="inlineStr">
        <is>
          <t>2026-08-05</t>
        </is>
      </c>
      <c r="M70" s="7">
        <f>IFERROR(XLOOKUP(A70,'Source Inventory'!$A$5:$A$200,'Source Inventory'!$H$5:$H$200),"")</f>
        <v/>
      </c>
      <c r="N70" s="7" t="n">
        <v>385.65</v>
      </c>
      <c r="O70" s="7">
        <f>IFERROR(XLOOKUP(A70,'Source Ledger'!$B$5:$B$200,'Source Ledger'!$A$5:$A$200),"")</f>
        <v/>
      </c>
      <c r="P70" s="7">
        <f>IFERROR(XLOOKUP(A70,'Source Ledger'!$B$5:$B$200,'Source Ledger'!$D$5:$D$200),"")</f>
        <v/>
      </c>
      <c r="Q70" s="9" t="inlineStr">
        <is>
          <t>High</t>
        </is>
      </c>
      <c r="R70" s="7" t="inlineStr">
        <is>
          <t>EX-0059, EX-0060</t>
        </is>
      </c>
      <c r="S70" s="7">
        <f>IF(OR(R70="",R70=0),"No","Yes")</f>
        <v/>
      </c>
      <c r="T70">
        <f>IFERROR(XLOOKUP(A70,'Source Ledger'!$B$5:$B$200,'Source Ledger'!$E$5:$E$200),"")</f>
        <v/>
      </c>
      <c r="U70">
        <f>IFERROR(XLOOKUP(A70,'Source Ledger'!$B$5:$B$200,'Source Ledger'!$H$5:$H$200),"")</f>
        <v/>
      </c>
      <c r="V70">
        <f>IFERROR(XLOOKUP(A70,'Source Ledger'!$B$5:$B$200,'Source Ledger'!$G$5:$G$200),"")</f>
        <v/>
      </c>
      <c r="W70">
        <f>IF(OR(M70="",T70=""),"",T70-M70)</f>
        <v/>
      </c>
      <c r="X70">
        <f>IF(V70="","No","Yes")</f>
        <v/>
      </c>
    </row>
    <row r="71">
      <c r="A71" s="7" t="inlineStr">
        <is>
          <t>MD-00067</t>
        </is>
      </c>
      <c r="B71" s="7">
        <f>IFERROR(XLOOKUP(A71,'Source Inventory'!$A$5:$A$200,'Source Inventory'!$B$5:$B$200),"")</f>
        <v/>
      </c>
      <c r="C71" s="7">
        <f>IFERROR(XLOOKUP(A71,'Source Inventory'!$A$5:$A$200,'Source Inventory'!$C$5:$C$200),"")</f>
        <v/>
      </c>
      <c r="D71" s="7">
        <f>IFERROR(XLOOKUP(A71,'Source Inventory'!$A$5:$A$200,'Source Inventory'!$D$5:$D$200),"")</f>
        <v/>
      </c>
      <c r="E71" s="7">
        <f>IFERROR(XLOOKUP(A71,'Source Inventory'!$A$5:$A$200,'Source Inventory'!$E$5:$E$200),"")</f>
        <v/>
      </c>
      <c r="F71" s="7">
        <f>IFERROR(XLOOKUP(A71,'Source Inventory'!$A$5:$A$200,'Source Inventory'!$F$5:$F$200),"")</f>
        <v/>
      </c>
      <c r="G71" s="7">
        <f>IFERROR(XLOOKUP(A71,'Source Inventory'!$A$5:$A$200,'Source Inventory'!$G$5:$G$200),"")</f>
        <v/>
      </c>
      <c r="H71" s="7" t="inlineStr">
        <is>
          <t>Regional IT</t>
        </is>
      </c>
      <c r="I71" s="7" t="inlineStr">
        <is>
          <t>Chicago</t>
        </is>
      </c>
      <c r="J71" s="7" t="inlineStr">
        <is>
          <t>Pending Redeployment</t>
        </is>
      </c>
      <c r="K71" s="7" t="inlineStr">
        <is>
          <t>Asset MD-00067 — Google Pixel 8 — reconciled to Pending Redeployment in Chicago on $1130 acquisition. equipment_transfer_log TR-00067 posted Feb 23, 2026; inbound 2026-02-23 approval APR-00067. capital PO PO-2022-0013 supports the cost basis. Source Ledger FA-000067; net book value $764.93.</t>
        </is>
      </c>
      <c r="L71" s="7" t="inlineStr">
        <is>
          <t>2026-08-05</t>
        </is>
      </c>
      <c r="M71" s="7">
        <f>IFERROR(XLOOKUP(A71,'Source Inventory'!$A$5:$A$200,'Source Inventory'!$H$5:$H$200),"")</f>
        <v/>
      </c>
      <c r="N71" s="7" t="n">
        <v>764.9299999999999</v>
      </c>
      <c r="O71" s="7">
        <f>IFERROR(XLOOKUP(A71,'Source Ledger'!$B$5:$B$200,'Source Ledger'!$A$5:$A$200),"")</f>
        <v/>
      </c>
      <c r="P71" s="7">
        <f>IFERROR(XLOOKUP(A71,'Source Ledger'!$B$5:$B$200,'Source Ledger'!$D$5:$D$200),"")</f>
        <v/>
      </c>
      <c r="Q71" s="9" t="inlineStr">
        <is>
          <t>High</t>
        </is>
      </c>
      <c r="R71" s="7" t="inlineStr">
        <is>
          <t>EX-0061, EX-0062</t>
        </is>
      </c>
      <c r="S71" s="7">
        <f>IF(OR(R71="",R71=0),"No","Yes")</f>
        <v/>
      </c>
      <c r="T71">
        <f>IFERROR(XLOOKUP(A71,'Source Ledger'!$B$5:$B$200,'Source Ledger'!$E$5:$E$200),"")</f>
        <v/>
      </c>
      <c r="U71">
        <f>IFERROR(XLOOKUP(A71,'Source Ledger'!$B$5:$B$200,'Source Ledger'!$H$5:$H$200),"")</f>
        <v/>
      </c>
      <c r="V71">
        <f>IFERROR(XLOOKUP(A71,'Source Ledger'!$B$5:$B$200,'Source Ledger'!$G$5:$G$200),"")</f>
        <v/>
      </c>
      <c r="W71">
        <f>IF(OR(M71="",T71=""),"",T71-M71)</f>
        <v/>
      </c>
      <c r="X71">
        <f>IF(V71="","No","Yes")</f>
        <v/>
      </c>
    </row>
    <row r="72">
      <c r="A72" s="7" t="inlineStr">
        <is>
          <t>MD-00068</t>
        </is>
      </c>
      <c r="B72" s="7">
        <f>IFERROR(XLOOKUP(A72,'Source Inventory'!$A$5:$A$200,'Source Inventory'!$B$5:$B$200),"")</f>
        <v/>
      </c>
      <c r="C72" s="7">
        <f>IFERROR(XLOOKUP(A72,'Source Inventory'!$A$5:$A$200,'Source Inventory'!$C$5:$C$200),"")</f>
        <v/>
      </c>
      <c r="D72" s="7">
        <f>IFERROR(XLOOKUP(A72,'Source Inventory'!$A$5:$A$200,'Source Inventory'!$D$5:$D$200),"")</f>
        <v/>
      </c>
      <c r="E72" s="7">
        <f>IFERROR(XLOOKUP(A72,'Source Inventory'!$A$5:$A$200,'Source Inventory'!$E$5:$E$200),"")</f>
        <v/>
      </c>
      <c r="F72" s="7">
        <f>IFERROR(XLOOKUP(A72,'Source Inventory'!$A$5:$A$200,'Source Inventory'!$F$5:$F$200),"")</f>
        <v/>
      </c>
      <c r="G72" s="7">
        <f>IFERROR(XLOOKUP(A72,'Source Inventory'!$A$5:$A$200,'Source Inventory'!$G$5:$G$200),"")</f>
        <v/>
      </c>
      <c r="H72" s="7" t="inlineStr">
        <is>
          <t>E0081</t>
        </is>
      </c>
      <c r="I72" s="7" t="inlineStr">
        <is>
          <t>Remote - Former Employee</t>
        </is>
      </c>
      <c r="J72" s="8" t="inlineStr">
        <is>
          <t>Return Overdue</t>
        </is>
      </c>
      <c r="K72" s="7" t="inlineStr">
        <is>
          <t>Working conclusion for MD-00068 (MD-NE-050068): Return Overdue at Remote - Former Employee; cost $6425. offboarding ticket OFF-00068 referenced. hr_employee_status lists Elliott Park (E0081) as Separated. buy path for MD-00068 references PO-2022-0013. return still label-only per shipment file. equipment_transfer_log TR-00068 posted Mar 28, 2026; inbound 2026-04-03 approval APR-00068. Source Ledger FA-000068; net book value $1436.28.</t>
        </is>
      </c>
      <c r="L72" s="7" t="inlineStr">
        <is>
          <t>2026-06-25</t>
        </is>
      </c>
      <c r="M72" s="7">
        <f>IFERROR(XLOOKUP(A72,'Source Inventory'!$A$5:$A$200,'Source Inventory'!$H$5:$H$200),"")</f>
        <v/>
      </c>
      <c r="N72" s="7" t="n">
        <v>1436.28</v>
      </c>
      <c r="O72" s="7">
        <f>IFERROR(XLOOKUP(A72,'Source Ledger'!$B$5:$B$200,'Source Ledger'!$A$5:$A$200),"")</f>
        <v/>
      </c>
      <c r="P72" s="7">
        <f>IFERROR(XLOOKUP(A72,'Source Ledger'!$B$5:$B$200,'Source Ledger'!$D$5:$D$200),"")</f>
        <v/>
      </c>
      <c r="Q72" s="7" t="inlineStr">
        <is>
          <t>Low</t>
        </is>
      </c>
      <c r="R72" s="7" t="inlineStr">
        <is>
          <t>EX-0063, EX-0064, EX-0065</t>
        </is>
      </c>
      <c r="S72" s="7">
        <f>IF(OR(R72="",R72=0),"No","Yes")</f>
        <v/>
      </c>
      <c r="T72">
        <f>IFERROR(XLOOKUP(A72,'Source Ledger'!$B$5:$B$200,'Source Ledger'!$E$5:$E$200),"")</f>
        <v/>
      </c>
      <c r="U72">
        <f>IFERROR(XLOOKUP(A72,'Source Ledger'!$B$5:$B$200,'Source Ledger'!$H$5:$H$200),"")</f>
        <v/>
      </c>
      <c r="V72">
        <f>IFERROR(XLOOKUP(A72,'Source Ledger'!$B$5:$B$200,'Source Ledger'!$G$5:$G$200),"")</f>
        <v/>
      </c>
      <c r="W72">
        <f>IF(OR(M72="",T72=""),"",T72-M72)</f>
        <v/>
      </c>
      <c r="X72">
        <f>IF(V72="","No","Yes")</f>
        <v/>
      </c>
    </row>
    <row r="73">
      <c r="A73" s="7" t="inlineStr">
        <is>
          <t>MD-00069</t>
        </is>
      </c>
      <c r="B73" s="7">
        <f>IFERROR(XLOOKUP(A73,'Source Inventory'!$A$5:$A$200,'Source Inventory'!$B$5:$B$200),"")</f>
        <v/>
      </c>
      <c r="C73" s="7">
        <f>IFERROR(XLOOKUP(A73,'Source Inventory'!$A$5:$A$200,'Source Inventory'!$C$5:$C$200),"")</f>
        <v/>
      </c>
      <c r="D73" s="7">
        <f>IFERROR(XLOOKUP(A73,'Source Inventory'!$A$5:$A$200,'Source Inventory'!$D$5:$D$200),"")</f>
        <v/>
      </c>
      <c r="E73" s="7">
        <f>IFERROR(XLOOKUP(A73,'Source Inventory'!$A$5:$A$200,'Source Inventory'!$E$5:$E$200),"")</f>
        <v/>
      </c>
      <c r="F73" s="7">
        <f>IFERROR(XLOOKUP(A73,'Source Inventory'!$A$5:$A$200,'Source Inventory'!$F$5:$F$200),"")</f>
        <v/>
      </c>
      <c r="G73" s="7">
        <f>IFERROR(XLOOKUP(A73,'Source Inventory'!$A$5:$A$200,'Source Inventory'!$G$5:$G$200),"")</f>
        <v/>
      </c>
      <c r="H73" s="7" t="inlineStr">
        <is>
          <t>E0082</t>
        </is>
      </c>
      <c r="I73" s="7" t="inlineStr">
        <is>
          <t>Remote - Former Employee</t>
        </is>
      </c>
      <c r="J73" s="8" t="inlineStr">
        <is>
          <t>Return Overdue</t>
        </is>
      </c>
      <c r="K73" s="7" t="inlineStr">
        <is>
          <t>Asset MD-00069 — iPhone 14 — reconciled to Return Overdue in Remote - Former Employee on $2120 acquisition. offboarding ticket OFF-00069 referenced. Source Ledger FA-000069; net book value $142.69. hardware_purchase_orders.csv ties MD-00069 to PO-2022-0013. return still label-only per shipment file. hr_employee_status lists Carmen Diaz (E0082) as Separated. equipment_transfer_log TR-00069 posted May 02, 2026; inbound 2026-05-04 approval APR-00069.</t>
        </is>
      </c>
      <c r="L73" s="7" t="inlineStr">
        <is>
          <t>2026-06-25</t>
        </is>
      </c>
      <c r="M73" s="7">
        <f>IFERROR(XLOOKUP(A73,'Source Inventory'!$A$5:$A$200,'Source Inventory'!$H$5:$H$200),"")</f>
        <v/>
      </c>
      <c r="N73" s="7" t="n">
        <v>142.69</v>
      </c>
      <c r="O73" s="7">
        <f>IFERROR(XLOOKUP(A73,'Source Ledger'!$B$5:$B$200,'Source Ledger'!$A$5:$A$200),"")</f>
        <v/>
      </c>
      <c r="P73" s="7">
        <f>IFERROR(XLOOKUP(A73,'Source Ledger'!$B$5:$B$200,'Source Ledger'!$D$5:$D$200),"")</f>
        <v/>
      </c>
      <c r="Q73" s="7" t="inlineStr">
        <is>
          <t>Low</t>
        </is>
      </c>
      <c r="R73" s="7" t="inlineStr">
        <is>
          <t>EX-0066, EX-0067</t>
        </is>
      </c>
      <c r="S73" s="7">
        <f>IF(OR(R73="",R73=0),"No","Yes")</f>
        <v/>
      </c>
      <c r="T73">
        <f>IFERROR(XLOOKUP(A73,'Source Ledger'!$B$5:$B$200,'Source Ledger'!$E$5:$E$200),"")</f>
        <v/>
      </c>
      <c r="U73">
        <f>IFERROR(XLOOKUP(A73,'Source Ledger'!$B$5:$B$200,'Source Ledger'!$H$5:$H$200),"")</f>
        <v/>
      </c>
      <c r="V73">
        <f>IFERROR(XLOOKUP(A73,'Source Ledger'!$B$5:$B$200,'Source Ledger'!$G$5:$G$200),"")</f>
        <v/>
      </c>
      <c r="W73">
        <f>IF(OR(M73="",T73=""),"",T73-M73)</f>
        <v/>
      </c>
      <c r="X73">
        <f>IF(V73="","No","Yes")</f>
        <v/>
      </c>
    </row>
    <row r="74">
      <c r="A74" s="7" t="inlineStr">
        <is>
          <t>MD-00070</t>
        </is>
      </c>
      <c r="B74" s="7">
        <f>IFERROR(XLOOKUP(A74,'Source Inventory'!$A$5:$A$200,'Source Inventory'!$B$5:$B$200),"")</f>
        <v/>
      </c>
      <c r="C74" s="7">
        <f>IFERROR(XLOOKUP(A74,'Source Inventory'!$A$5:$A$200,'Source Inventory'!$C$5:$C$200),"")</f>
        <v/>
      </c>
      <c r="D74" s="7">
        <f>IFERROR(XLOOKUP(A74,'Source Inventory'!$A$5:$A$200,'Source Inventory'!$D$5:$D$200),"")</f>
        <v/>
      </c>
      <c r="E74" s="7">
        <f>IFERROR(XLOOKUP(A74,'Source Inventory'!$A$5:$A$200,'Source Inventory'!$E$5:$E$200),"")</f>
        <v/>
      </c>
      <c r="F74" s="7">
        <f>IFERROR(XLOOKUP(A74,'Source Inventory'!$A$5:$A$200,'Source Inventory'!$F$5:$F$200),"")</f>
        <v/>
      </c>
      <c r="G74" s="7">
        <f>IFERROR(XLOOKUP(A74,'Source Inventory'!$A$5:$A$200,'Source Inventory'!$G$5:$G$200),"")</f>
        <v/>
      </c>
      <c r="H74" s="7" t="inlineStr">
        <is>
          <t>E0083</t>
        </is>
      </c>
      <c r="I74" s="7" t="inlineStr">
        <is>
          <t>Remote - Former Employee</t>
        </is>
      </c>
      <c r="J74" s="8" t="inlineStr">
        <is>
          <t>Return Overdue</t>
        </is>
      </c>
      <c r="K74" s="7" t="inlineStr">
        <is>
          <t>Asset MD-00070 — iPhone 15 — reconciled to Return Overdue in Remote - Former Employee on $520 acquisition. offboarding ticket OFF-00070 referenced. equipment_transfer_log TR-00070 posted Jun 03, 2026; inbound 2026-06-03 approval APR-00070. Source Ledger FA-000070; net book value $342.32. purchasing file shows PO-2022-0013 for this unit. hr_employee_status lists Hugh Talbot (E0083) as Separated. return still label-only per shipment file.</t>
        </is>
      </c>
      <c r="L74" s="7" t="inlineStr">
        <is>
          <t>2026-06-25</t>
        </is>
      </c>
      <c r="M74" s="7">
        <f>IFERROR(XLOOKUP(A74,'Source Inventory'!$A$5:$A$200,'Source Inventory'!$H$5:$H$200),"")</f>
        <v/>
      </c>
      <c r="N74" s="7" t="n">
        <v>342.32</v>
      </c>
      <c r="O74" s="7">
        <f>IFERROR(XLOOKUP(A74,'Source Ledger'!$B$5:$B$200,'Source Ledger'!$A$5:$A$200),"")</f>
        <v/>
      </c>
      <c r="P74" s="7">
        <f>IFERROR(XLOOKUP(A74,'Source Ledger'!$B$5:$B$200,'Source Ledger'!$D$5:$D$200),"")</f>
        <v/>
      </c>
      <c r="Q74" s="7" t="inlineStr">
        <is>
          <t>Low</t>
        </is>
      </c>
      <c r="R74" s="7" t="inlineStr">
        <is>
          <t>EX-0068, EX-0069</t>
        </is>
      </c>
      <c r="S74" s="7">
        <f>IF(OR(R74="",R74=0),"No","Yes")</f>
        <v/>
      </c>
      <c r="T74">
        <f>IFERROR(XLOOKUP(A74,'Source Ledger'!$B$5:$B$200,'Source Ledger'!$E$5:$E$200),"")</f>
        <v/>
      </c>
      <c r="U74">
        <f>IFERROR(XLOOKUP(A74,'Source Ledger'!$B$5:$B$200,'Source Ledger'!$H$5:$H$200),"")</f>
        <v/>
      </c>
      <c r="V74">
        <f>IFERROR(XLOOKUP(A74,'Source Ledger'!$B$5:$B$200,'Source Ledger'!$G$5:$G$200),"")</f>
        <v/>
      </c>
      <c r="W74">
        <f>IF(OR(M74="",T74=""),"",T74-M74)</f>
        <v/>
      </c>
      <c r="X74">
        <f>IF(V74="","No","Yes")</f>
        <v/>
      </c>
    </row>
    <row r="75">
      <c r="A75" s="7" t="inlineStr">
        <is>
          <t>MD-00071</t>
        </is>
      </c>
      <c r="B75" s="7">
        <f>IFERROR(XLOOKUP(A75,'Source Inventory'!$A$5:$A$200,'Source Inventory'!$B$5:$B$200),"")</f>
        <v/>
      </c>
      <c r="C75" s="7">
        <f>IFERROR(XLOOKUP(A75,'Source Inventory'!$A$5:$A$200,'Source Inventory'!$C$5:$C$200),"")</f>
        <v/>
      </c>
      <c r="D75" s="7">
        <f>IFERROR(XLOOKUP(A75,'Source Inventory'!$A$5:$A$200,'Source Inventory'!$D$5:$D$200),"")</f>
        <v/>
      </c>
      <c r="E75" s="7">
        <f>IFERROR(XLOOKUP(A75,'Source Inventory'!$A$5:$A$200,'Source Inventory'!$E$5:$E$200),"")</f>
        <v/>
      </c>
      <c r="F75" s="7">
        <f>IFERROR(XLOOKUP(A75,'Source Inventory'!$A$5:$A$200,'Source Inventory'!$F$5:$F$200),"")</f>
        <v/>
      </c>
      <c r="G75" s="7">
        <f>IFERROR(XLOOKUP(A75,'Source Inventory'!$A$5:$A$200,'Source Inventory'!$G$5:$G$200),"")</f>
        <v/>
      </c>
      <c r="H75" s="7" t="inlineStr">
        <is>
          <t>E0084</t>
        </is>
      </c>
      <c r="I75" s="7" t="inlineStr">
        <is>
          <t>Remote - Former Employee</t>
        </is>
      </c>
      <c r="J75" s="8" t="inlineStr">
        <is>
          <t>Return Overdue</t>
        </is>
      </c>
      <c r="K75" s="7" t="inlineStr">
        <is>
          <t>Asset MD-00071 — Google Pixel 8 — reconciled to Return Overdue in Remote - Former Employee on $995 acquisition. offboarding ticket OFF-00071 referenced. equipment_transfer_log TR-00071 posted Jul 08, 2026; inbound 2026-07-12 approval APR-00071. Source Ledger FA-000071; net book value $787.96. acquisition recorded on PO-2023-0014. hr_employee_status lists Mira Adelman (E0084) as Separated. return still label-only per shipment file.</t>
        </is>
      </c>
      <c r="L75" s="7" t="inlineStr">
        <is>
          <t>2026-06-25</t>
        </is>
      </c>
      <c r="M75" s="7">
        <f>IFERROR(XLOOKUP(A75,'Source Inventory'!$A$5:$A$200,'Source Inventory'!$H$5:$H$200),"")</f>
        <v/>
      </c>
      <c r="N75" s="7" t="n">
        <v>787.96</v>
      </c>
      <c r="O75" s="7">
        <f>IFERROR(XLOOKUP(A75,'Source Ledger'!$B$5:$B$200,'Source Ledger'!$A$5:$A$200),"")</f>
        <v/>
      </c>
      <c r="P75" s="7">
        <f>IFERROR(XLOOKUP(A75,'Source Ledger'!$B$5:$B$200,'Source Ledger'!$D$5:$D$200),"")</f>
        <v/>
      </c>
      <c r="Q75" s="7" t="inlineStr">
        <is>
          <t>Low</t>
        </is>
      </c>
      <c r="R75" s="7" t="inlineStr">
        <is>
          <t>EX-0070, EX-0071</t>
        </is>
      </c>
      <c r="S75" s="7">
        <f>IF(OR(R75="",R75=0),"No","Yes")</f>
        <v/>
      </c>
      <c r="T75">
        <f>IFERROR(XLOOKUP(A75,'Source Ledger'!$B$5:$B$200,'Source Ledger'!$E$5:$E$200),"")</f>
        <v/>
      </c>
      <c r="U75">
        <f>IFERROR(XLOOKUP(A75,'Source Ledger'!$B$5:$B$200,'Source Ledger'!$H$5:$H$200),"")</f>
        <v/>
      </c>
      <c r="V75">
        <f>IFERROR(XLOOKUP(A75,'Source Ledger'!$B$5:$B$200,'Source Ledger'!$G$5:$G$200),"")</f>
        <v/>
      </c>
      <c r="W75">
        <f>IF(OR(M75="",T75=""),"",T75-M75)</f>
        <v/>
      </c>
      <c r="X75">
        <f>IF(V75="","No","Yes")</f>
        <v/>
      </c>
    </row>
    <row r="76">
      <c r="A76" s="7" t="inlineStr">
        <is>
          <t>MD-00072</t>
        </is>
      </c>
      <c r="B76" s="7">
        <f>IFERROR(XLOOKUP(A76,'Source Inventory'!$A$5:$A$200,'Source Inventory'!$B$5:$B$200),"")</f>
        <v/>
      </c>
      <c r="C76" s="7">
        <f>IFERROR(XLOOKUP(A76,'Source Inventory'!$A$5:$A$200,'Source Inventory'!$C$5:$C$200),"")</f>
        <v/>
      </c>
      <c r="D76" s="7">
        <f>IFERROR(XLOOKUP(A76,'Source Inventory'!$A$5:$A$200,'Source Inventory'!$D$5:$D$200),"")</f>
        <v/>
      </c>
      <c r="E76" s="7">
        <f>IFERROR(XLOOKUP(A76,'Source Inventory'!$A$5:$A$200,'Source Inventory'!$E$5:$E$200),"")</f>
        <v/>
      </c>
      <c r="F76" s="7">
        <f>IFERROR(XLOOKUP(A76,'Source Inventory'!$A$5:$A$200,'Source Inventory'!$F$5:$F$200),"")</f>
        <v/>
      </c>
      <c r="G76" s="7">
        <f>IFERROR(XLOOKUP(A76,'Source Inventory'!$A$5:$A$200,'Source Inventory'!$G$5:$G$200),"")</f>
        <v/>
      </c>
      <c r="H76" s="7" t="inlineStr">
        <is>
          <t>E0085</t>
        </is>
      </c>
      <c r="I76" s="7" t="inlineStr">
        <is>
          <t>Remote - Former Employee</t>
        </is>
      </c>
      <c r="J76" s="8" t="inlineStr">
        <is>
          <t>Return Overdue</t>
        </is>
      </c>
      <c r="K76" s="7" t="inlineStr">
        <is>
          <t>Working conclusion for MD-00072 (MD-NE-050072): Return Overdue at Remote - Former Employee; cost $6290. purchasing file shows PO-2023-0014 for this unit. hr_employee_status lists Quincy Rhodes (E0085) as Separated. return still label-only per shipment file. Source Ledger FA-000072; net book value $500.27. equipment_transfer_log TR-00072 posted Jan 18, 2026; inbound 2026-01-18 approval APR-00072. offboarding ticket OFF-00072 referenced.</t>
        </is>
      </c>
      <c r="L76" s="7" t="inlineStr">
        <is>
          <t>2026-06-25</t>
        </is>
      </c>
      <c r="M76" s="7">
        <f>IFERROR(XLOOKUP(A76,'Source Inventory'!$A$5:$A$200,'Source Inventory'!$H$5:$H$200),"")</f>
        <v/>
      </c>
      <c r="N76" s="7" t="n">
        <v>500.27</v>
      </c>
      <c r="O76" s="7">
        <f>IFERROR(XLOOKUP(A76,'Source Ledger'!$B$5:$B$200,'Source Ledger'!$A$5:$A$200),"")</f>
        <v/>
      </c>
      <c r="P76" s="7">
        <f>IFERROR(XLOOKUP(A76,'Source Ledger'!$B$5:$B$200,'Source Ledger'!$D$5:$D$200),"")</f>
        <v/>
      </c>
      <c r="Q76" s="7" t="inlineStr">
        <is>
          <t>Low</t>
        </is>
      </c>
      <c r="R76" s="7" t="inlineStr">
        <is>
          <t>EX-0072, EX-0073</t>
        </is>
      </c>
      <c r="S76" s="7">
        <f>IF(OR(R76="",R76=0),"No","Yes")</f>
        <v/>
      </c>
      <c r="T76">
        <f>IFERROR(XLOOKUP(A76,'Source Ledger'!$B$5:$B$200,'Source Ledger'!$E$5:$E$200),"")</f>
        <v/>
      </c>
      <c r="U76">
        <f>IFERROR(XLOOKUP(A76,'Source Ledger'!$B$5:$B$200,'Source Ledger'!$H$5:$H$200),"")</f>
        <v/>
      </c>
      <c r="V76">
        <f>IFERROR(XLOOKUP(A76,'Source Ledger'!$B$5:$B$200,'Source Ledger'!$G$5:$G$200),"")</f>
        <v/>
      </c>
      <c r="W76">
        <f>IF(OR(M76="",T76=""),"",T76-M76)</f>
        <v/>
      </c>
      <c r="X76">
        <f>IF(V76="","No","Yes")</f>
        <v/>
      </c>
    </row>
    <row r="77">
      <c r="A77" s="7" t="inlineStr">
        <is>
          <t>MD-00073</t>
        </is>
      </c>
      <c r="B77" s="7">
        <f>IFERROR(XLOOKUP(A77,'Source Inventory'!$A$5:$A$200,'Source Inventory'!$B$5:$B$200),"")</f>
        <v/>
      </c>
      <c r="C77" s="7">
        <f>IFERROR(XLOOKUP(A77,'Source Inventory'!$A$5:$A$200,'Source Inventory'!$C$5:$C$200),"")</f>
        <v/>
      </c>
      <c r="D77" s="7">
        <f>IFERROR(XLOOKUP(A77,'Source Inventory'!$A$5:$A$200,'Source Inventory'!$D$5:$D$200),"")</f>
        <v/>
      </c>
      <c r="E77" s="7">
        <f>IFERROR(XLOOKUP(A77,'Source Inventory'!$A$5:$A$200,'Source Inventory'!$E$5:$E$200),"")</f>
        <v/>
      </c>
      <c r="F77" s="7">
        <f>IFERROR(XLOOKUP(A77,'Source Inventory'!$A$5:$A$200,'Source Inventory'!$F$5:$F$200),"")</f>
        <v/>
      </c>
      <c r="G77" s="7">
        <f>IFERROR(XLOOKUP(A77,'Source Inventory'!$A$5:$A$200,'Source Inventory'!$G$5:$G$200),"")</f>
        <v/>
      </c>
      <c r="H77" s="7" t="inlineStr">
        <is>
          <t>E0086</t>
        </is>
      </c>
      <c r="I77" s="7" t="inlineStr">
        <is>
          <t>Remote - Former Employee</t>
        </is>
      </c>
      <c r="J77" s="8" t="inlineStr">
        <is>
          <t>Return Overdue</t>
        </is>
      </c>
      <c r="K77" s="7" t="inlineStr">
        <is>
          <t>Cross-checked MD-00073 (MD-LA-050073, Cisco C9300) against HR, transfers, and ledger extracts. hr_employee_status lists Sloane Richter (E0086) as Separated. equipment_transfer_log TR-00073 posted Jan 21, 2026; inbound 2026-01-24 approval APR-00073. offboarding ticket OFF-00073 referenced. order PO-2023-0014 appears in the purchasing extract. Source Ledger FA-000073; net book value $0. return still label-only per shipment file.</t>
        </is>
      </c>
      <c r="L77" s="7" t="inlineStr">
        <is>
          <t>2026-06-25</t>
        </is>
      </c>
      <c r="M77" s="7">
        <f>IFERROR(XLOOKUP(A77,'Source Inventory'!$A$5:$A$200,'Source Inventory'!$H$5:$H$200),"")</f>
        <v/>
      </c>
      <c r="N77" s="7" t="n">
        <v>0</v>
      </c>
      <c r="O77" s="7">
        <f>IFERROR(XLOOKUP(A77,'Source Ledger'!$B$5:$B$200,'Source Ledger'!$A$5:$A$200),"")</f>
        <v/>
      </c>
      <c r="P77" s="7">
        <f>IFERROR(XLOOKUP(A77,'Source Ledger'!$B$5:$B$200,'Source Ledger'!$D$5:$D$200),"")</f>
        <v/>
      </c>
      <c r="Q77" s="7" t="inlineStr">
        <is>
          <t>Low</t>
        </is>
      </c>
      <c r="R77" s="7" t="inlineStr">
        <is>
          <t>EX-0074, EX-0075</t>
        </is>
      </c>
      <c r="S77" s="7">
        <f>IF(OR(R77="",R77=0),"No","Yes")</f>
        <v/>
      </c>
      <c r="T77">
        <f>IFERROR(XLOOKUP(A77,'Source Ledger'!$B$5:$B$200,'Source Ledger'!$E$5:$E$200),"")</f>
        <v/>
      </c>
      <c r="U77">
        <f>IFERROR(XLOOKUP(A77,'Source Ledger'!$B$5:$B$200,'Source Ledger'!$H$5:$H$200),"")</f>
        <v/>
      </c>
      <c r="V77">
        <f>IFERROR(XLOOKUP(A77,'Source Ledger'!$B$5:$B$200,'Source Ledger'!$G$5:$G$200),"")</f>
        <v/>
      </c>
      <c r="W77">
        <f>IF(OR(M77="",T77=""),"",T77-M77)</f>
        <v/>
      </c>
      <c r="X77">
        <f>IF(V77="","No","Yes")</f>
        <v/>
      </c>
    </row>
    <row r="78">
      <c r="A78" s="7" t="inlineStr">
        <is>
          <t>MD-00074</t>
        </is>
      </c>
      <c r="B78" s="7">
        <f>IFERROR(XLOOKUP(A78,'Source Inventory'!$A$5:$A$200,'Source Inventory'!$B$5:$B$200),"")</f>
        <v/>
      </c>
      <c r="C78" s="7">
        <f>IFERROR(XLOOKUP(A78,'Source Inventory'!$A$5:$A$200,'Source Inventory'!$C$5:$C$200),"")</f>
        <v/>
      </c>
      <c r="D78" s="7">
        <f>IFERROR(XLOOKUP(A78,'Source Inventory'!$A$5:$A$200,'Source Inventory'!$D$5:$D$200),"")</f>
        <v/>
      </c>
      <c r="E78" s="7">
        <f>IFERROR(XLOOKUP(A78,'Source Inventory'!$A$5:$A$200,'Source Inventory'!$E$5:$E$200),"")</f>
        <v/>
      </c>
      <c r="F78" s="7">
        <f>IFERROR(XLOOKUP(A78,'Source Inventory'!$A$5:$A$200,'Source Inventory'!$F$5:$F$200),"")</f>
        <v/>
      </c>
      <c r="G78" s="7">
        <f>IFERROR(XLOOKUP(A78,'Source Inventory'!$A$5:$A$200,'Source Inventory'!$G$5:$G$200),"")</f>
        <v/>
      </c>
      <c r="H78" s="7" t="inlineStr">
        <is>
          <t>E0087</t>
        </is>
      </c>
      <c r="I78" s="7" t="inlineStr">
        <is>
          <t>Carrier Network / Unverified</t>
        </is>
      </c>
      <c r="J78" s="8" t="inlineStr">
        <is>
          <t>Return Overdue</t>
        </is>
      </c>
      <c r="K78" s="7" t="inlineStr">
        <is>
          <t>Working conclusion for MD-00074 (MD-MO-050074): Return Overdue at Carrier Network / Unverified; cost $700. shipment serial MISMATCH-0074 vs register MD-MO-050074. hr_employee_status lists Nolan Vega (E0087) as Separated. return still label-only per shipment file. Source Ledger FA-000074; net book value $359.25. equipment_transfer_log TR-00074 posted Feb 23, 2026; inbound 2026-02-24 approval APR-00074. offboarding ticket OFF-00074 referenced. PO-2023-0014 is the cited purchase order.</t>
        </is>
      </c>
      <c r="L78" s="7" t="inlineStr">
        <is>
          <t>2026-06-25</t>
        </is>
      </c>
      <c r="M78" s="7">
        <f>IFERROR(XLOOKUP(A78,'Source Inventory'!$A$5:$A$200,'Source Inventory'!$H$5:$H$200),"")</f>
        <v/>
      </c>
      <c r="N78" s="7" t="n">
        <v>359.25</v>
      </c>
      <c r="O78" s="7">
        <f>IFERROR(XLOOKUP(A78,'Source Ledger'!$B$5:$B$200,'Source Ledger'!$A$5:$A$200),"")</f>
        <v/>
      </c>
      <c r="P78" s="7">
        <f>IFERROR(XLOOKUP(A78,'Source Ledger'!$B$5:$B$200,'Source Ledger'!$D$5:$D$200),"")</f>
        <v/>
      </c>
      <c r="Q78" s="7" t="inlineStr">
        <is>
          <t>Low</t>
        </is>
      </c>
      <c r="R78" s="7" t="inlineStr">
        <is>
          <t>EX-0076, EX-0077, EX-0078</t>
        </is>
      </c>
      <c r="S78" s="7">
        <f>IF(OR(R78="",R78=0),"No","Yes")</f>
        <v/>
      </c>
      <c r="T78">
        <f>IFERROR(XLOOKUP(A78,'Source Ledger'!$B$5:$B$200,'Source Ledger'!$E$5:$E$200),"")</f>
        <v/>
      </c>
      <c r="U78">
        <f>IFERROR(XLOOKUP(A78,'Source Ledger'!$B$5:$B$200,'Source Ledger'!$H$5:$H$200),"")</f>
        <v/>
      </c>
      <c r="V78">
        <f>IFERROR(XLOOKUP(A78,'Source Ledger'!$B$5:$B$200,'Source Ledger'!$G$5:$G$200),"")</f>
        <v/>
      </c>
      <c r="W78">
        <f>IF(OR(M78="",T78=""),"",T78-M78)</f>
        <v/>
      </c>
      <c r="X78">
        <f>IF(V78="","No","Yes")</f>
        <v/>
      </c>
    </row>
    <row r="79">
      <c r="A79" s="7" t="inlineStr">
        <is>
          <t>MD-00075</t>
        </is>
      </c>
      <c r="B79" s="7">
        <f>IFERROR(XLOOKUP(A79,'Source Inventory'!$A$5:$A$200,'Source Inventory'!$B$5:$B$200),"")</f>
        <v/>
      </c>
      <c r="C79" s="7">
        <f>IFERROR(XLOOKUP(A79,'Source Inventory'!$A$5:$A$200,'Source Inventory'!$C$5:$C$200),"")</f>
        <v/>
      </c>
      <c r="D79" s="7">
        <f>IFERROR(XLOOKUP(A79,'Source Inventory'!$A$5:$A$200,'Source Inventory'!$D$5:$D$200),"")</f>
        <v/>
      </c>
      <c r="E79" s="7">
        <f>IFERROR(XLOOKUP(A79,'Source Inventory'!$A$5:$A$200,'Source Inventory'!$E$5:$E$200),"")</f>
        <v/>
      </c>
      <c r="F79" s="7">
        <f>IFERROR(XLOOKUP(A79,'Source Inventory'!$A$5:$A$200,'Source Inventory'!$F$5:$F$200),"")</f>
        <v/>
      </c>
      <c r="G79" s="7">
        <f>IFERROR(XLOOKUP(A79,'Source Inventory'!$A$5:$A$200,'Source Inventory'!$G$5:$G$200),"")</f>
        <v/>
      </c>
      <c r="H79" s="7" t="inlineStr">
        <is>
          <t>E0088</t>
        </is>
      </c>
      <c r="I79" s="7" t="inlineStr">
        <is>
          <t>Remote - Former Employee</t>
        </is>
      </c>
      <c r="J79" s="8" t="inlineStr">
        <is>
          <t>Return Overdue</t>
        </is>
      </c>
      <c r="K79" s="7" t="inlineStr">
        <is>
          <t>Working conclusion for MD-00075 (MD-MO-050075): Return Overdue at Remote - Former Employee; cost $1175. acquisition recorded on PO-2023-0014. hr_employee_status lists Ivy Chenoweth (E0088) as Separated. return still label-only per shipment file. Source Ledger FA-000075; net book value $647.42. equipment_transfer_log TR-00075 posted Mar 31, 2026; inbound 2026-04-01 approval APR-00075. offboarding ticket OFF-00075 referenced.</t>
        </is>
      </c>
      <c r="L79" s="7" t="inlineStr">
        <is>
          <t>2026-06-25</t>
        </is>
      </c>
      <c r="M79" s="7">
        <f>IFERROR(XLOOKUP(A79,'Source Inventory'!$A$5:$A$200,'Source Inventory'!$H$5:$H$200),"")</f>
        <v/>
      </c>
      <c r="N79" s="7" t="n">
        <v>647.42</v>
      </c>
      <c r="O79" s="7">
        <f>IFERROR(XLOOKUP(A79,'Source Ledger'!$B$5:$B$200,'Source Ledger'!$A$5:$A$200),"")</f>
        <v/>
      </c>
      <c r="P79" s="7">
        <f>IFERROR(XLOOKUP(A79,'Source Ledger'!$B$5:$B$200,'Source Ledger'!$D$5:$D$200),"")</f>
        <v/>
      </c>
      <c r="Q79" s="7" t="inlineStr">
        <is>
          <t>Low</t>
        </is>
      </c>
      <c r="R79" s="7" t="inlineStr">
        <is>
          <t>EX-0079, EX-0080</t>
        </is>
      </c>
      <c r="S79" s="7">
        <f>IF(OR(R79="",R79=0),"No","Yes")</f>
        <v/>
      </c>
      <c r="T79">
        <f>IFERROR(XLOOKUP(A79,'Source Ledger'!$B$5:$B$200,'Source Ledger'!$E$5:$E$200),"")</f>
        <v/>
      </c>
      <c r="U79">
        <f>IFERROR(XLOOKUP(A79,'Source Ledger'!$B$5:$B$200,'Source Ledger'!$H$5:$H$200),"")</f>
        <v/>
      </c>
      <c r="V79">
        <f>IFERROR(XLOOKUP(A79,'Source Ledger'!$B$5:$B$200,'Source Ledger'!$G$5:$G$200),"")</f>
        <v/>
      </c>
      <c r="W79">
        <f>IF(OR(M79="",T79=""),"",T79-M79)</f>
        <v/>
      </c>
      <c r="X79">
        <f>IF(V79="","No","Yes")</f>
        <v/>
      </c>
    </row>
    <row r="80">
      <c r="A80" s="7" t="inlineStr">
        <is>
          <t>MD-00076</t>
        </is>
      </c>
      <c r="B80" s="7">
        <f>IFERROR(XLOOKUP(A80,'Source Inventory'!$A$5:$A$200,'Source Inventory'!$B$5:$B$200),"")</f>
        <v/>
      </c>
      <c r="C80" s="7">
        <f>IFERROR(XLOOKUP(A80,'Source Inventory'!$A$5:$A$200,'Source Inventory'!$C$5:$C$200),"")</f>
        <v/>
      </c>
      <c r="D80" s="7">
        <f>IFERROR(XLOOKUP(A80,'Source Inventory'!$A$5:$A$200,'Source Inventory'!$D$5:$D$200),"")</f>
        <v/>
      </c>
      <c r="E80" s="7">
        <f>IFERROR(XLOOKUP(A80,'Source Inventory'!$A$5:$A$200,'Source Inventory'!$E$5:$E$200),"")</f>
        <v/>
      </c>
      <c r="F80" s="7">
        <f>IFERROR(XLOOKUP(A80,'Source Inventory'!$A$5:$A$200,'Source Inventory'!$F$5:$F$200),"")</f>
        <v/>
      </c>
      <c r="G80" s="7">
        <f>IFERROR(XLOOKUP(A80,'Source Inventory'!$A$5:$A$200,'Source Inventory'!$G$5:$G$200),"")</f>
        <v/>
      </c>
      <c r="H80" s="7" t="inlineStr">
        <is>
          <t>E0089</t>
        </is>
      </c>
      <c r="I80" s="7" t="inlineStr">
        <is>
          <t>Carrier Network / Unverified</t>
        </is>
      </c>
      <c r="J80" s="8" t="inlineStr">
        <is>
          <t>Return Overdue</t>
        </is>
      </c>
      <c r="K80" s="7" t="inlineStr">
        <is>
          <t>Asset MD-00076 — Cisco Meraki MS250 — reconciled to Return Overdue in Carrier Network / Unverified on $6470 acquisition. offboarding ticket OFF-00076 referenced. equipment_transfer_log TR-00076 posted May 01, 2026; inbound 2026-05-03 approval APR-00076. Source Ledger FA-000076; net book value $953.89. capital PO PO-2023-0014 supports the cost basis. shipment serial MISMATCH-0076 vs register MD-NE-050076. return still label-only per shipment file. hr_employee_status lists Percy Lambert (E0089) as Separated.</t>
        </is>
      </c>
      <c r="L80" s="7" t="inlineStr">
        <is>
          <t>2026-06-25</t>
        </is>
      </c>
      <c r="M80" s="7">
        <f>IFERROR(XLOOKUP(A80,'Source Inventory'!$A$5:$A$200,'Source Inventory'!$H$5:$H$200),"")</f>
        <v/>
      </c>
      <c r="N80" s="7" t="n">
        <v>953.89</v>
      </c>
      <c r="O80" s="7">
        <f>IFERROR(XLOOKUP(A80,'Source Ledger'!$B$5:$B$200,'Source Ledger'!$A$5:$A$200),"")</f>
        <v/>
      </c>
      <c r="P80" s="7">
        <f>IFERROR(XLOOKUP(A80,'Source Ledger'!$B$5:$B$200,'Source Ledger'!$D$5:$D$200),"")</f>
        <v/>
      </c>
      <c r="Q80" s="7" t="inlineStr">
        <is>
          <t>Low</t>
        </is>
      </c>
      <c r="R80" s="7" t="inlineStr">
        <is>
          <t>EX-0081, EX-0082, EX-0083</t>
        </is>
      </c>
      <c r="S80" s="7">
        <f>IF(OR(R80="",R80=0),"No","Yes")</f>
        <v/>
      </c>
      <c r="T80">
        <f>IFERROR(XLOOKUP(A80,'Source Ledger'!$B$5:$B$200,'Source Ledger'!$E$5:$E$200),"")</f>
        <v/>
      </c>
      <c r="U80">
        <f>IFERROR(XLOOKUP(A80,'Source Ledger'!$B$5:$B$200,'Source Ledger'!$H$5:$H$200),"")</f>
        <v/>
      </c>
      <c r="V80">
        <f>IFERROR(XLOOKUP(A80,'Source Ledger'!$B$5:$B$200,'Source Ledger'!$G$5:$G$200),"")</f>
        <v/>
      </c>
      <c r="W80">
        <f>IF(OR(M80="",T80=""),"",T80-M80)</f>
        <v/>
      </c>
      <c r="X80">
        <f>IF(V80="","No","Yes")</f>
        <v/>
      </c>
    </row>
    <row r="81">
      <c r="A81" s="7" t="inlineStr">
        <is>
          <t>MD-00077</t>
        </is>
      </c>
      <c r="B81" s="7">
        <f>IFERROR(XLOOKUP(A81,'Source Inventory'!$A$5:$A$200,'Source Inventory'!$B$5:$B$200),"")</f>
        <v/>
      </c>
      <c r="C81" s="7">
        <f>IFERROR(XLOOKUP(A81,'Source Inventory'!$A$5:$A$200,'Source Inventory'!$C$5:$C$200),"")</f>
        <v/>
      </c>
      <c r="D81" s="7">
        <f>IFERROR(XLOOKUP(A81,'Source Inventory'!$A$5:$A$200,'Source Inventory'!$D$5:$D$200),"")</f>
        <v/>
      </c>
      <c r="E81" s="7">
        <f>IFERROR(XLOOKUP(A81,'Source Inventory'!$A$5:$A$200,'Source Inventory'!$E$5:$E$200),"")</f>
        <v/>
      </c>
      <c r="F81" s="7">
        <f>IFERROR(XLOOKUP(A81,'Source Inventory'!$A$5:$A$200,'Source Inventory'!$F$5:$F$200),"")</f>
        <v/>
      </c>
      <c r="G81" s="7">
        <f>IFERROR(XLOOKUP(A81,'Source Inventory'!$A$5:$A$200,'Source Inventory'!$G$5:$G$200),"")</f>
        <v/>
      </c>
      <c r="H81" s="7" t="inlineStr">
        <is>
          <t>E0090</t>
        </is>
      </c>
      <c r="I81" s="7" t="inlineStr">
        <is>
          <t>Remote - Former Employee</t>
        </is>
      </c>
      <c r="J81" s="8" t="inlineStr">
        <is>
          <t>Return Overdue</t>
        </is>
      </c>
      <c r="K81" s="7" t="inlineStr">
        <is>
          <t>Asset MD-00077 — Fortinet FortiSwitch 148F — reconciled to Return Overdue in Remote - Former Employee on $1850 acquisition. offboarding ticket OFF-00077 referenced. equipment_transfer_log TR-00077 posted Jun 05, 2026; inbound 2026-06-06 approval APR-00077. Source Ledger FA-000077; net book value $0. buy path for MD-00077 references PO-2023-0014. hr_employee_status lists Dana Ghosh (E0090) as Separated. return still label-only per shipment file.</t>
        </is>
      </c>
      <c r="L81" s="7" t="inlineStr">
        <is>
          <t>2026-06-25</t>
        </is>
      </c>
      <c r="M81" s="7">
        <f>IFERROR(XLOOKUP(A81,'Source Inventory'!$A$5:$A$200,'Source Inventory'!$H$5:$H$200),"")</f>
        <v/>
      </c>
      <c r="N81" s="7" t="n">
        <v>0</v>
      </c>
      <c r="O81" s="7">
        <f>IFERROR(XLOOKUP(A81,'Source Ledger'!$B$5:$B$200,'Source Ledger'!$A$5:$A$200),"")</f>
        <v/>
      </c>
      <c r="P81" s="7">
        <f>IFERROR(XLOOKUP(A81,'Source Ledger'!$B$5:$B$200,'Source Ledger'!$D$5:$D$200),"")</f>
        <v/>
      </c>
      <c r="Q81" s="7" t="inlineStr">
        <is>
          <t>Low</t>
        </is>
      </c>
      <c r="R81" s="7" t="inlineStr">
        <is>
          <t>EX-0084, EX-0085</t>
        </is>
      </c>
      <c r="S81" s="7">
        <f>IF(OR(R81="",R81=0),"No","Yes")</f>
        <v/>
      </c>
      <c r="T81">
        <f>IFERROR(XLOOKUP(A81,'Source Ledger'!$B$5:$B$200,'Source Ledger'!$E$5:$E$200),"")</f>
        <v/>
      </c>
      <c r="U81">
        <f>IFERROR(XLOOKUP(A81,'Source Ledger'!$B$5:$B$200,'Source Ledger'!$H$5:$H$200),"")</f>
        <v/>
      </c>
      <c r="V81">
        <f>IFERROR(XLOOKUP(A81,'Source Ledger'!$B$5:$B$200,'Source Ledger'!$G$5:$G$200),"")</f>
        <v/>
      </c>
      <c r="W81">
        <f>IF(OR(M81="",T81=""),"",T81-M81)</f>
        <v/>
      </c>
      <c r="X81">
        <f>IF(V81="","No","Yes")</f>
        <v/>
      </c>
    </row>
    <row r="82">
      <c r="A82" s="7" t="inlineStr">
        <is>
          <t>MD-00078</t>
        </is>
      </c>
      <c r="B82" s="7">
        <f>IFERROR(XLOOKUP(A82,'Source Inventory'!$A$5:$A$200,'Source Inventory'!$B$5:$B$200),"")</f>
        <v/>
      </c>
      <c r="C82" s="7">
        <f>IFERROR(XLOOKUP(A82,'Source Inventory'!$A$5:$A$200,'Source Inventory'!$C$5:$C$200),"")</f>
        <v/>
      </c>
      <c r="D82" s="7">
        <f>IFERROR(XLOOKUP(A82,'Source Inventory'!$A$5:$A$200,'Source Inventory'!$D$5:$D$200),"")</f>
        <v/>
      </c>
      <c r="E82" s="7">
        <f>IFERROR(XLOOKUP(A82,'Source Inventory'!$A$5:$A$200,'Source Inventory'!$E$5:$E$200),"")</f>
        <v/>
      </c>
      <c r="F82" s="7">
        <f>IFERROR(XLOOKUP(A82,'Source Inventory'!$A$5:$A$200,'Source Inventory'!$F$5:$F$200),"")</f>
        <v/>
      </c>
      <c r="G82" s="7">
        <f>IFERROR(XLOOKUP(A82,'Source Inventory'!$A$5:$A$200,'Source Inventory'!$G$5:$G$200),"")</f>
        <v/>
      </c>
      <c r="H82" s="7" t="inlineStr">
        <is>
          <t>E0091</t>
        </is>
      </c>
      <c r="I82" s="7" t="inlineStr">
        <is>
          <t>Remote - Former Employee</t>
        </is>
      </c>
      <c r="J82" s="8" t="inlineStr">
        <is>
          <t>Return Overdue</t>
        </is>
      </c>
      <c r="K82" s="7" t="inlineStr">
        <is>
          <t>Asset MD-00078 — Cisco C9300 — reconciled to Return Overdue in Remote - Former Employee on $565 acquisition. offboarding ticket OFF-00078 referenced. equipment_transfer_log TR-00078 posted Jan 10, 2026; inbound 2026-01-10 approval APR-00078. Source Ledger FA-000078; net book value $328.95. capital PO PO-2024-0015 supports the cost basis. hr_employee_status lists Harlan Smith (E0091) as Separated. return still label-only per shipment file.</t>
        </is>
      </c>
      <c r="L82" s="7" t="inlineStr">
        <is>
          <t>2026-06-25</t>
        </is>
      </c>
      <c r="M82" s="7">
        <f>IFERROR(XLOOKUP(A82,'Source Inventory'!$A$5:$A$200,'Source Inventory'!$H$5:$H$200),"")</f>
        <v/>
      </c>
      <c r="N82" s="7" t="n">
        <v>328.95</v>
      </c>
      <c r="O82" s="7">
        <f>IFERROR(XLOOKUP(A82,'Source Ledger'!$B$5:$B$200,'Source Ledger'!$A$5:$A$200),"")</f>
        <v/>
      </c>
      <c r="P82" s="7">
        <f>IFERROR(XLOOKUP(A82,'Source Ledger'!$B$5:$B$200,'Source Ledger'!$D$5:$D$200),"")</f>
        <v/>
      </c>
      <c r="Q82" s="7" t="inlineStr">
        <is>
          <t>Low</t>
        </is>
      </c>
      <c r="R82" s="7" t="inlineStr">
        <is>
          <t>EX-0086, EX-0087</t>
        </is>
      </c>
      <c r="S82" s="7">
        <f>IF(OR(R82="",R82=0),"No","Yes")</f>
        <v/>
      </c>
      <c r="T82">
        <f>IFERROR(XLOOKUP(A82,'Source Ledger'!$B$5:$B$200,'Source Ledger'!$E$5:$E$200),"")</f>
        <v/>
      </c>
      <c r="U82">
        <f>IFERROR(XLOOKUP(A82,'Source Ledger'!$B$5:$B$200,'Source Ledger'!$H$5:$H$200),"")</f>
        <v/>
      </c>
      <c r="V82">
        <f>IFERROR(XLOOKUP(A82,'Source Ledger'!$B$5:$B$200,'Source Ledger'!$G$5:$G$200),"")</f>
        <v/>
      </c>
      <c r="W82">
        <f>IF(OR(M82="",T82=""),"",T82-M82)</f>
        <v/>
      </c>
      <c r="X82">
        <f>IF(V82="","No","Yes")</f>
        <v/>
      </c>
    </row>
    <row r="83">
      <c r="A83" s="7" t="inlineStr">
        <is>
          <t>MD-00079</t>
        </is>
      </c>
      <c r="B83" s="7">
        <f>IFERROR(XLOOKUP(A83,'Source Inventory'!$A$5:$A$200,'Source Inventory'!$B$5:$B$200),"")</f>
        <v/>
      </c>
      <c r="C83" s="7">
        <f>IFERROR(XLOOKUP(A83,'Source Inventory'!$A$5:$A$200,'Source Inventory'!$C$5:$C$200),"")</f>
        <v/>
      </c>
      <c r="D83" s="7">
        <f>IFERROR(XLOOKUP(A83,'Source Inventory'!$A$5:$A$200,'Source Inventory'!$D$5:$D$200),"")</f>
        <v/>
      </c>
      <c r="E83" s="7">
        <f>IFERROR(XLOOKUP(A83,'Source Inventory'!$A$5:$A$200,'Source Inventory'!$E$5:$E$200),"")</f>
        <v/>
      </c>
      <c r="F83" s="7">
        <f>IFERROR(XLOOKUP(A83,'Source Inventory'!$A$5:$A$200,'Source Inventory'!$F$5:$F$200),"")</f>
        <v/>
      </c>
      <c r="G83" s="7">
        <f>IFERROR(XLOOKUP(A83,'Source Inventory'!$A$5:$A$200,'Source Inventory'!$G$5:$G$200),"")</f>
        <v/>
      </c>
      <c r="H83" s="7" t="inlineStr">
        <is>
          <t>E0092</t>
        </is>
      </c>
      <c r="I83" s="7" t="inlineStr">
        <is>
          <t>Remote - Former Employee</t>
        </is>
      </c>
      <c r="J83" s="8" t="inlineStr">
        <is>
          <t>Return Overdue</t>
        </is>
      </c>
      <c r="K83" s="7" t="inlineStr">
        <is>
          <t>Asset MD-00079 — Aruba 6300M — reconciled to Return Overdue in Remote - Former Employee on $1040 acquisition. offboarding ticket OFF-00079 referenced. equipment_transfer_log TR-00079 posted Feb 11, 2026; inbound 2026-02-13 approval APR-00079. Source Ledger FA-000079; net book value $692.62. buy path for MD-00079 references PO-2024-0015. hr_employee_status lists June Okoye (E0092) as Separated. return still label-only per shipment file.</t>
        </is>
      </c>
      <c r="L83" s="7" t="inlineStr">
        <is>
          <t>2026-06-25</t>
        </is>
      </c>
      <c r="M83" s="7">
        <f>IFERROR(XLOOKUP(A83,'Source Inventory'!$A$5:$A$200,'Source Inventory'!$H$5:$H$200),"")</f>
        <v/>
      </c>
      <c r="N83" s="7" t="n">
        <v>692.62</v>
      </c>
      <c r="O83" s="7">
        <f>IFERROR(XLOOKUP(A83,'Source Ledger'!$B$5:$B$200,'Source Ledger'!$A$5:$A$200),"")</f>
        <v/>
      </c>
      <c r="P83" s="7">
        <f>IFERROR(XLOOKUP(A83,'Source Ledger'!$B$5:$B$200,'Source Ledger'!$D$5:$D$200),"")</f>
        <v/>
      </c>
      <c r="Q83" s="7" t="inlineStr">
        <is>
          <t>Low</t>
        </is>
      </c>
      <c r="R83" s="7" t="inlineStr">
        <is>
          <t>EX-0088, EX-0089</t>
        </is>
      </c>
      <c r="S83" s="7">
        <f>IF(OR(R83="",R83=0),"No","Yes")</f>
        <v/>
      </c>
      <c r="T83">
        <f>IFERROR(XLOOKUP(A83,'Source Ledger'!$B$5:$B$200,'Source Ledger'!$E$5:$E$200),"")</f>
        <v/>
      </c>
      <c r="U83">
        <f>IFERROR(XLOOKUP(A83,'Source Ledger'!$B$5:$B$200,'Source Ledger'!$H$5:$H$200),"")</f>
        <v/>
      </c>
      <c r="V83">
        <f>IFERROR(XLOOKUP(A83,'Source Ledger'!$B$5:$B$200,'Source Ledger'!$G$5:$G$200),"")</f>
        <v/>
      </c>
      <c r="W83">
        <f>IF(OR(M83="",T83=""),"",T83-M83)</f>
        <v/>
      </c>
      <c r="X83">
        <f>IF(V83="","No","Yes")</f>
        <v/>
      </c>
    </row>
    <row r="84">
      <c r="A84" s="7" t="inlineStr">
        <is>
          <t>MD-00080</t>
        </is>
      </c>
      <c r="B84" s="7">
        <f>IFERROR(XLOOKUP(A84,'Source Inventory'!$A$5:$A$200,'Source Inventory'!$B$5:$B$200),"")</f>
        <v/>
      </c>
      <c r="C84" s="7">
        <f>IFERROR(XLOOKUP(A84,'Source Inventory'!$A$5:$A$200,'Source Inventory'!$C$5:$C$200),"")</f>
        <v/>
      </c>
      <c r="D84" s="7">
        <f>IFERROR(XLOOKUP(A84,'Source Inventory'!$A$5:$A$200,'Source Inventory'!$D$5:$D$200),"")</f>
        <v/>
      </c>
      <c r="E84" s="7">
        <f>IFERROR(XLOOKUP(A84,'Source Inventory'!$A$5:$A$200,'Source Inventory'!$E$5:$E$200),"")</f>
        <v/>
      </c>
      <c r="F84" s="7">
        <f>IFERROR(XLOOKUP(A84,'Source Inventory'!$A$5:$A$200,'Source Inventory'!$F$5:$F$200),"")</f>
        <v/>
      </c>
      <c r="G84" s="7">
        <f>IFERROR(XLOOKUP(A84,'Source Inventory'!$A$5:$A$200,'Source Inventory'!$G$5:$G$200),"")</f>
        <v/>
      </c>
      <c r="H84" s="7" t="inlineStr">
        <is>
          <t>IT Stock</t>
        </is>
      </c>
      <c r="I84" s="7" t="inlineStr">
        <is>
          <t>Atlanta Warehouse</t>
        </is>
      </c>
      <c r="J84" s="7" t="inlineStr">
        <is>
          <t>Available</t>
        </is>
      </c>
      <c r="K84" s="7" t="inlineStr">
        <is>
          <t>Asset MD-00080 — Cisco Meraki MS250 — reconciled to Available in Atlanta Warehouse on $6335 acquisition. acquisition recorded on PO-2024-0015. Source Ledger FA-000080; net book value $1374.53. equipment_transfer_log TR-00080 posted Mar 16, 2026; inbound 2026-03-17 approval APR-00080.</t>
        </is>
      </c>
      <c r="L84" s="7" t="inlineStr">
        <is>
          <t>2026-07-07</t>
        </is>
      </c>
      <c r="M84" s="7">
        <f>IFERROR(XLOOKUP(A84,'Source Inventory'!$A$5:$A$200,'Source Inventory'!$H$5:$H$200),"")</f>
        <v/>
      </c>
      <c r="N84" s="7" t="n">
        <v>1374.53</v>
      </c>
      <c r="O84" s="7">
        <f>IFERROR(XLOOKUP(A84,'Source Ledger'!$B$5:$B$200,'Source Ledger'!$A$5:$A$200),"")</f>
        <v/>
      </c>
      <c r="P84" s="7">
        <f>IFERROR(XLOOKUP(A84,'Source Ledger'!$B$5:$B$200,'Source Ledger'!$D$5:$D$200),"")</f>
        <v/>
      </c>
      <c r="Q84" s="9" t="inlineStr">
        <is>
          <t>High</t>
        </is>
      </c>
      <c r="R84" s="7" t="inlineStr">
        <is>
          <t>EX-0090</t>
        </is>
      </c>
      <c r="S84" s="7">
        <f>IF(OR(R84="",R84=0),"No","Yes")</f>
        <v/>
      </c>
      <c r="T84">
        <f>IFERROR(XLOOKUP(A84,'Source Ledger'!$B$5:$B$200,'Source Ledger'!$E$5:$E$200),"")</f>
        <v/>
      </c>
      <c r="U84">
        <f>IFERROR(XLOOKUP(A84,'Source Ledger'!$B$5:$B$200,'Source Ledger'!$H$5:$H$200),"")</f>
        <v/>
      </c>
      <c r="V84">
        <f>IFERROR(XLOOKUP(A84,'Source Ledger'!$B$5:$B$200,'Source Ledger'!$G$5:$G$200),"")</f>
        <v/>
      </c>
      <c r="W84">
        <f>IF(OR(M84="",T84=""),"",T84-M84)</f>
        <v/>
      </c>
      <c r="X84">
        <f>IF(V84="","No","Yes")</f>
        <v/>
      </c>
    </row>
    <row r="85">
      <c r="A85" s="7" t="inlineStr">
        <is>
          <t>MD-00081</t>
        </is>
      </c>
      <c r="B85" s="7">
        <f>IFERROR(XLOOKUP(A85,'Source Inventory'!$A$5:$A$200,'Source Inventory'!$B$5:$B$200),"")</f>
        <v/>
      </c>
      <c r="C85" s="7">
        <f>IFERROR(XLOOKUP(A85,'Source Inventory'!$A$5:$A$200,'Source Inventory'!$C$5:$C$200),"")</f>
        <v/>
      </c>
      <c r="D85" s="7">
        <f>IFERROR(XLOOKUP(A85,'Source Inventory'!$A$5:$A$200,'Source Inventory'!$D$5:$D$200),"")</f>
        <v/>
      </c>
      <c r="E85" s="7">
        <f>IFERROR(XLOOKUP(A85,'Source Inventory'!$A$5:$A$200,'Source Inventory'!$E$5:$E$200),"")</f>
        <v/>
      </c>
      <c r="F85" s="7">
        <f>IFERROR(XLOOKUP(A85,'Source Inventory'!$A$5:$A$200,'Source Inventory'!$F$5:$F$200),"")</f>
        <v/>
      </c>
      <c r="G85" s="7">
        <f>IFERROR(XLOOKUP(A85,'Source Inventory'!$A$5:$A$200,'Source Inventory'!$G$5:$G$200),"")</f>
        <v/>
      </c>
      <c r="H85" s="7" t="inlineStr">
        <is>
          <t>IT Stock</t>
        </is>
      </c>
      <c r="I85" s="7" t="inlineStr">
        <is>
          <t>Atlanta Warehouse</t>
        </is>
      </c>
      <c r="J85" s="7" t="inlineStr">
        <is>
          <t>Available</t>
        </is>
      </c>
      <c r="K85" s="7" t="inlineStr">
        <is>
          <t>Asset MD-00081 — Fortinet FortiSwitch 148F — reconciled to Available in Atlanta Warehouse on $2030 acquisition. purchasing file shows PO-2024-0015 for this unit. Source Ledger FA-000081; net book value $114.4. equipment_transfer_log TR-00081 posted Apr 20, 2026; inbound 2026-04-20 approval APR-00081.</t>
        </is>
      </c>
      <c r="L85" s="7" t="inlineStr">
        <is>
          <t>2026-07-07</t>
        </is>
      </c>
      <c r="M85" s="7">
        <f>IFERROR(XLOOKUP(A85,'Source Inventory'!$A$5:$A$200,'Source Inventory'!$H$5:$H$200),"")</f>
        <v/>
      </c>
      <c r="N85" s="7" t="n">
        <v>114.4</v>
      </c>
      <c r="O85" s="7">
        <f>IFERROR(XLOOKUP(A85,'Source Ledger'!$B$5:$B$200,'Source Ledger'!$A$5:$A$200),"")</f>
        <v/>
      </c>
      <c r="P85" s="7">
        <f>IFERROR(XLOOKUP(A85,'Source Ledger'!$B$5:$B$200,'Source Ledger'!$D$5:$D$200),"")</f>
        <v/>
      </c>
      <c r="Q85" s="9" t="inlineStr">
        <is>
          <t>High</t>
        </is>
      </c>
      <c r="R85" s="7" t="inlineStr">
        <is>
          <t>EX-0091</t>
        </is>
      </c>
      <c r="S85" s="7">
        <f>IF(OR(R85="",R85=0),"No","Yes")</f>
        <v/>
      </c>
      <c r="T85">
        <f>IFERROR(XLOOKUP(A85,'Source Ledger'!$B$5:$B$200,'Source Ledger'!$E$5:$E$200),"")</f>
        <v/>
      </c>
      <c r="U85">
        <f>IFERROR(XLOOKUP(A85,'Source Ledger'!$B$5:$B$200,'Source Ledger'!$H$5:$H$200),"")</f>
        <v/>
      </c>
      <c r="V85">
        <f>IFERROR(XLOOKUP(A85,'Source Ledger'!$B$5:$B$200,'Source Ledger'!$G$5:$G$200),"")</f>
        <v/>
      </c>
      <c r="W85">
        <f>IF(OR(M85="",T85=""),"",T85-M85)</f>
        <v/>
      </c>
      <c r="X85">
        <f>IF(V85="","No","Yes")</f>
        <v/>
      </c>
    </row>
    <row r="86">
      <c r="A86" s="7" t="inlineStr">
        <is>
          <t>MD-00082</t>
        </is>
      </c>
      <c r="B86" s="7">
        <f>IFERROR(XLOOKUP(A86,'Source Inventory'!$A$5:$A$200,'Source Inventory'!$B$5:$B$200),"")</f>
        <v/>
      </c>
      <c r="C86" s="7">
        <f>IFERROR(XLOOKUP(A86,'Source Inventory'!$A$5:$A$200,'Source Inventory'!$C$5:$C$200),"")</f>
        <v/>
      </c>
      <c r="D86" s="7">
        <f>IFERROR(XLOOKUP(A86,'Source Inventory'!$A$5:$A$200,'Source Inventory'!$D$5:$D$200),"")</f>
        <v/>
      </c>
      <c r="E86" s="7">
        <f>IFERROR(XLOOKUP(A86,'Source Inventory'!$A$5:$A$200,'Source Inventory'!$E$5:$E$200),"")</f>
        <v/>
      </c>
      <c r="F86" s="7">
        <f>IFERROR(XLOOKUP(A86,'Source Inventory'!$A$5:$A$200,'Source Inventory'!$F$5:$F$200),"")</f>
        <v/>
      </c>
      <c r="G86" s="7">
        <f>IFERROR(XLOOKUP(A86,'Source Inventory'!$A$5:$A$200,'Source Inventory'!$G$5:$G$200),"")</f>
        <v/>
      </c>
      <c r="H86" s="7" t="inlineStr">
        <is>
          <t>E0095</t>
        </is>
      </c>
      <c r="I86" s="7" t="inlineStr">
        <is>
          <t>Carrier Network / Unverified</t>
        </is>
      </c>
      <c r="J86" s="8" t="inlineStr">
        <is>
          <t>In Transit - Exception</t>
        </is>
      </c>
      <c r="K86" s="7" t="inlineStr">
        <is>
          <t>Asset MD-00082 — Cisco C9300 — reconciled to In Transit - Exception in Carrier Network / Unverified on $745 acquisition. Source Ledger FA-000082; net book value $485.55. receiving_exception_scan_1ZMD00000082.png is an investigative lead only. shipment serial MISMATCH-0082 vs register MD-MO-050082. equipment_transfer_log TR-00082 posted May 22, 2026; inbound 2026-05-24 approval APR-00082. hr_employee_status lists Emmett Boyle (E0095) as Separated. order PO-2024-0015 appears in the purchasing extract. carrier label 1ZMD00000082 is not proof of receipt. offboarding ticket OFF-00082 referenced.</t>
        </is>
      </c>
      <c r="L86" s="7" t="inlineStr">
        <is>
          <t>2026-07-02</t>
        </is>
      </c>
      <c r="M86" s="7">
        <f>IFERROR(XLOOKUP(A86,'Source Inventory'!$A$5:$A$200,'Source Inventory'!$H$5:$H$200),"")</f>
        <v/>
      </c>
      <c r="N86" s="7" t="n">
        <v>485.55</v>
      </c>
      <c r="O86" s="7">
        <f>IFERROR(XLOOKUP(A86,'Source Ledger'!$B$5:$B$200,'Source Ledger'!$A$5:$A$200),"")</f>
        <v/>
      </c>
      <c r="P86" s="7">
        <f>IFERROR(XLOOKUP(A86,'Source Ledger'!$B$5:$B$200,'Source Ledger'!$D$5:$D$200),"")</f>
        <v/>
      </c>
      <c r="Q86" s="7" t="inlineStr">
        <is>
          <t>Low</t>
        </is>
      </c>
      <c r="R86" s="7" t="inlineStr">
        <is>
          <t>EX-0092, EX-0093</t>
        </is>
      </c>
      <c r="S86" s="7">
        <f>IF(OR(R86="",R86=0),"No","Yes")</f>
        <v/>
      </c>
      <c r="T86">
        <f>IFERROR(XLOOKUP(A86,'Source Ledger'!$B$5:$B$200,'Source Ledger'!$E$5:$E$200),"")</f>
        <v/>
      </c>
      <c r="U86">
        <f>IFERROR(XLOOKUP(A86,'Source Ledger'!$B$5:$B$200,'Source Ledger'!$H$5:$H$200),"")</f>
        <v/>
      </c>
      <c r="V86">
        <f>IFERROR(XLOOKUP(A86,'Source Ledger'!$B$5:$B$200,'Source Ledger'!$G$5:$G$200),"")</f>
        <v/>
      </c>
      <c r="W86">
        <f>IF(OR(M86="",T86=""),"",T86-M86)</f>
        <v/>
      </c>
      <c r="X86">
        <f>IF(V86="","No","Yes")</f>
        <v/>
      </c>
    </row>
    <row r="87">
      <c r="A87" s="7" t="inlineStr">
        <is>
          <t>MD-00083</t>
        </is>
      </c>
      <c r="B87" s="7">
        <f>IFERROR(XLOOKUP(A87,'Source Inventory'!$A$5:$A$200,'Source Inventory'!$B$5:$B$200),"")</f>
        <v/>
      </c>
      <c r="C87" s="7">
        <f>IFERROR(XLOOKUP(A87,'Source Inventory'!$A$5:$A$200,'Source Inventory'!$C$5:$C$200),"")</f>
        <v/>
      </c>
      <c r="D87" s="7">
        <f>IFERROR(XLOOKUP(A87,'Source Inventory'!$A$5:$A$200,'Source Inventory'!$D$5:$D$200),"")</f>
        <v/>
      </c>
      <c r="E87" s="7">
        <f>IFERROR(XLOOKUP(A87,'Source Inventory'!$A$5:$A$200,'Source Inventory'!$E$5:$E$200),"")</f>
        <v/>
      </c>
      <c r="F87" s="7">
        <f>IFERROR(XLOOKUP(A87,'Source Inventory'!$A$5:$A$200,'Source Inventory'!$F$5:$F$200),"")</f>
        <v/>
      </c>
      <c r="G87" s="7">
        <f>IFERROR(XLOOKUP(A87,'Source Inventory'!$A$5:$A$200,'Source Inventory'!$G$5:$G$200),"")</f>
        <v/>
      </c>
      <c r="H87" s="7" t="inlineStr">
        <is>
          <t>IT Stock</t>
        </is>
      </c>
      <c r="I87" s="7" t="inlineStr">
        <is>
          <t>Atlanta Warehouse</t>
        </is>
      </c>
      <c r="J87" s="7" t="inlineStr">
        <is>
          <t>Available</t>
        </is>
      </c>
      <c r="K87" s="7" t="inlineStr">
        <is>
          <t>Files reviewed for MD-00083: Aruba 6300M, basis $1220, operating site Atlanta Warehouse, status Available. Source Ledger FA-000083; net book value $952.79. equipment_transfer_log TR-00083 posted Jun 26, 2026; inbound 2026-06-27 approval APR-00083. purchasing file shows PO-2025-0016 for this unit.</t>
        </is>
      </c>
      <c r="L87" s="7" t="inlineStr">
        <is>
          <t>2026-07-07</t>
        </is>
      </c>
      <c r="M87" s="7">
        <f>IFERROR(XLOOKUP(A87,'Source Inventory'!$A$5:$A$200,'Source Inventory'!$H$5:$H$200),"")</f>
        <v/>
      </c>
      <c r="N87" s="7" t="n">
        <v>952.79</v>
      </c>
      <c r="O87" s="7">
        <f>IFERROR(XLOOKUP(A87,'Source Ledger'!$B$5:$B$200,'Source Ledger'!$A$5:$A$200),"")</f>
        <v/>
      </c>
      <c r="P87" s="7">
        <f>IFERROR(XLOOKUP(A87,'Source Ledger'!$B$5:$B$200,'Source Ledger'!$D$5:$D$200),"")</f>
        <v/>
      </c>
      <c r="Q87" s="9" t="inlineStr">
        <is>
          <t>High</t>
        </is>
      </c>
      <c r="R87" s="7" t="inlineStr">
        <is>
          <t>EX-0094</t>
        </is>
      </c>
      <c r="S87" s="7">
        <f>IF(OR(R87="",R87=0),"No","Yes")</f>
        <v/>
      </c>
      <c r="T87">
        <f>IFERROR(XLOOKUP(A87,'Source Ledger'!$B$5:$B$200,'Source Ledger'!$E$5:$E$200),"")</f>
        <v/>
      </c>
      <c r="U87">
        <f>IFERROR(XLOOKUP(A87,'Source Ledger'!$B$5:$B$200,'Source Ledger'!$H$5:$H$200),"")</f>
        <v/>
      </c>
      <c r="V87">
        <f>IFERROR(XLOOKUP(A87,'Source Ledger'!$B$5:$B$200,'Source Ledger'!$G$5:$G$200),"")</f>
        <v/>
      </c>
      <c r="W87">
        <f>IF(OR(M87="",T87=""),"",T87-M87)</f>
        <v/>
      </c>
      <c r="X87">
        <f>IF(V87="","No","Yes")</f>
        <v/>
      </c>
    </row>
    <row r="88">
      <c r="A88" s="7" t="inlineStr">
        <is>
          <t>MD-00084</t>
        </is>
      </c>
      <c r="B88" s="7">
        <f>IFERROR(XLOOKUP(A88,'Source Inventory'!$A$5:$A$200,'Source Inventory'!$B$5:$B$200),"")</f>
        <v/>
      </c>
      <c r="C88" s="7">
        <f>IFERROR(XLOOKUP(A88,'Source Inventory'!$A$5:$A$200,'Source Inventory'!$C$5:$C$200),"")</f>
        <v/>
      </c>
      <c r="D88" s="7">
        <f>IFERROR(XLOOKUP(A88,'Source Inventory'!$A$5:$A$200,'Source Inventory'!$D$5:$D$200),"")</f>
        <v/>
      </c>
      <c r="E88" s="7">
        <f>IFERROR(XLOOKUP(A88,'Source Inventory'!$A$5:$A$200,'Source Inventory'!$E$5:$E$200),"")</f>
        <v/>
      </c>
      <c r="F88" s="7">
        <f>IFERROR(XLOOKUP(A88,'Source Inventory'!$A$5:$A$200,'Source Inventory'!$F$5:$F$200),"")</f>
        <v/>
      </c>
      <c r="G88" s="7">
        <f>IFERROR(XLOOKUP(A88,'Source Inventory'!$A$5:$A$200,'Source Inventory'!$G$5:$G$200),"")</f>
        <v/>
      </c>
      <c r="H88" s="7" t="inlineStr">
        <is>
          <t>E0072</t>
        </is>
      </c>
      <c r="I88" s="7" t="inlineStr">
        <is>
          <t>Carrier Network / Unverified</t>
        </is>
      </c>
      <c r="J88" s="8" t="inlineStr">
        <is>
          <t>In Transit - Exception</t>
        </is>
      </c>
      <c r="K88" s="7" t="inlineStr">
        <is>
          <t>Asset MD-00084 — Juniper EX3400 — reconciled to In Transit - Exception in Carrier Network / Unverified on $6200 acquisition. Source Ledger FA-000084; net book value $533.85. shipment serial MISMATCH-0084 vs register MD-NE-050084. offboarding ticket OFF-00084 referenced. equipment_transfer_log TR-00084 posted Jan 30, 2026; inbound 2026-02-05 approval APR-00084. hr_employee_status lists Anita Bose (E0072) as Separated. order PO-2025-0016 appears in the purchasing extract.</t>
        </is>
      </c>
      <c r="L88" s="7" t="inlineStr">
        <is>
          <t>2026-07-02</t>
        </is>
      </c>
      <c r="M88" s="7">
        <f>IFERROR(XLOOKUP(A88,'Source Inventory'!$A$5:$A$200,'Source Inventory'!$H$5:$H$200),"")</f>
        <v/>
      </c>
      <c r="N88" s="7" t="n">
        <v>533.85</v>
      </c>
      <c r="O88" s="7">
        <f>IFERROR(XLOOKUP(A88,'Source Ledger'!$B$5:$B$200,'Source Ledger'!$A$5:$A$200),"")</f>
        <v/>
      </c>
      <c r="P88" s="7">
        <f>IFERROR(XLOOKUP(A88,'Source Ledger'!$B$5:$B$200,'Source Ledger'!$D$5:$D$200),"")</f>
        <v/>
      </c>
      <c r="Q88" s="7" t="inlineStr">
        <is>
          <t>Low</t>
        </is>
      </c>
      <c r="R88" s="7" t="inlineStr">
        <is>
          <t>EX-0095, EX-0096</t>
        </is>
      </c>
      <c r="S88" s="7">
        <f>IF(OR(R88="",R88=0),"No","Yes")</f>
        <v/>
      </c>
      <c r="T88">
        <f>IFERROR(XLOOKUP(A88,'Source Ledger'!$B$5:$B$200,'Source Ledger'!$E$5:$E$200),"")</f>
        <v/>
      </c>
      <c r="U88">
        <f>IFERROR(XLOOKUP(A88,'Source Ledger'!$B$5:$B$200,'Source Ledger'!$H$5:$H$200),"")</f>
        <v/>
      </c>
      <c r="V88">
        <f>IFERROR(XLOOKUP(A88,'Source Ledger'!$B$5:$B$200,'Source Ledger'!$G$5:$G$200),"")</f>
        <v/>
      </c>
      <c r="W88">
        <f>IF(OR(M88="",T88=""),"",T88-M88)</f>
        <v/>
      </c>
      <c r="X88">
        <f>IF(V88="","No","Yes")</f>
        <v/>
      </c>
    </row>
    <row r="89">
      <c r="A89" s="7" t="inlineStr">
        <is>
          <t>MD-00085</t>
        </is>
      </c>
      <c r="B89" s="7">
        <f>IFERROR(XLOOKUP(A89,'Source Inventory'!$A$5:$A$200,'Source Inventory'!$B$5:$B$200),"")</f>
        <v/>
      </c>
      <c r="C89" s="7">
        <f>IFERROR(XLOOKUP(A89,'Source Inventory'!$A$5:$A$200,'Source Inventory'!$C$5:$C$200),"")</f>
        <v/>
      </c>
      <c r="D89" s="7">
        <f>IFERROR(XLOOKUP(A89,'Source Inventory'!$A$5:$A$200,'Source Inventory'!$D$5:$D$200),"")</f>
        <v/>
      </c>
      <c r="E89" s="7">
        <f>IFERROR(XLOOKUP(A89,'Source Inventory'!$A$5:$A$200,'Source Inventory'!$E$5:$E$200),"")</f>
        <v/>
      </c>
      <c r="F89" s="7">
        <f>IFERROR(XLOOKUP(A89,'Source Inventory'!$A$5:$A$200,'Source Inventory'!$F$5:$F$200),"")</f>
        <v/>
      </c>
      <c r="G89" s="7">
        <f>IFERROR(XLOOKUP(A89,'Source Inventory'!$A$5:$A$200,'Source Inventory'!$G$5:$G$200),"")</f>
        <v/>
      </c>
      <c r="H89" s="7" t="inlineStr">
        <is>
          <t>IT Stock</t>
        </is>
      </c>
      <c r="I89" s="7" t="inlineStr">
        <is>
          <t>Atlanta Warehouse</t>
        </is>
      </c>
      <c r="J89" s="7" t="inlineStr">
        <is>
          <t>Available</t>
        </is>
      </c>
      <c r="K89" s="7" t="inlineStr">
        <is>
          <t>Working conclusion for MD-00085 (MD-LA-050085): Available at Atlanta Warehouse; cost $1895. Source Ledger FA-000085; net book value $0. equipment_transfer_log TR-00085 posted Feb 02, 2026; inbound 2026-02-03 approval APR-00085. PO-2025-0016 is the cited purchase order.</t>
        </is>
      </c>
      <c r="L89" s="7" t="inlineStr">
        <is>
          <t>2026-07-07</t>
        </is>
      </c>
      <c r="M89" s="7">
        <f>IFERROR(XLOOKUP(A89,'Source Inventory'!$A$5:$A$200,'Source Inventory'!$H$5:$H$200),"")</f>
        <v/>
      </c>
      <c r="N89" s="7" t="n">
        <v>0</v>
      </c>
      <c r="O89" s="7">
        <f>IFERROR(XLOOKUP(A89,'Source Ledger'!$B$5:$B$200,'Source Ledger'!$A$5:$A$200),"")</f>
        <v/>
      </c>
      <c r="P89" s="7">
        <f>IFERROR(XLOOKUP(A89,'Source Ledger'!$B$5:$B$200,'Source Ledger'!$D$5:$D$200),"")</f>
        <v/>
      </c>
      <c r="Q89" s="9" t="inlineStr">
        <is>
          <t>High</t>
        </is>
      </c>
      <c r="R89" s="7" t="inlineStr">
        <is>
          <t>EX-0097, EX-0098</t>
        </is>
      </c>
      <c r="S89" s="7">
        <f>IF(OR(R89="",R89=0),"No","Yes")</f>
        <v/>
      </c>
      <c r="T89">
        <f>IFERROR(XLOOKUP(A89,'Source Ledger'!$B$5:$B$200,'Source Ledger'!$E$5:$E$200),"")</f>
        <v/>
      </c>
      <c r="U89">
        <f>IFERROR(XLOOKUP(A89,'Source Ledger'!$B$5:$B$200,'Source Ledger'!$H$5:$H$200),"")</f>
        <v/>
      </c>
      <c r="V89">
        <f>IFERROR(XLOOKUP(A89,'Source Ledger'!$B$5:$B$200,'Source Ledger'!$G$5:$G$200),"")</f>
        <v/>
      </c>
      <c r="W89">
        <f>IF(OR(M89="",T89=""),"",T89-M89)</f>
        <v/>
      </c>
      <c r="X89">
        <f>IF(V89="","No","Yes")</f>
        <v/>
      </c>
    </row>
    <row r="90">
      <c r="A90" s="7" t="inlineStr">
        <is>
          <t>MD-00086</t>
        </is>
      </c>
      <c r="B90" s="7">
        <f>IFERROR(XLOOKUP(A90,'Source Inventory'!$A$5:$A$200,'Source Inventory'!$B$5:$B$200),"")</f>
        <v/>
      </c>
      <c r="C90" s="7">
        <f>IFERROR(XLOOKUP(A90,'Source Inventory'!$A$5:$A$200,'Source Inventory'!$C$5:$C$200),"")</f>
        <v/>
      </c>
      <c r="D90" s="7">
        <f>IFERROR(XLOOKUP(A90,'Source Inventory'!$A$5:$A$200,'Source Inventory'!$D$5:$D$200),"")</f>
        <v/>
      </c>
      <c r="E90" s="7">
        <f>IFERROR(XLOOKUP(A90,'Source Inventory'!$A$5:$A$200,'Source Inventory'!$E$5:$E$200),"")</f>
        <v/>
      </c>
      <c r="F90" s="7">
        <f>IFERROR(XLOOKUP(A90,'Source Inventory'!$A$5:$A$200,'Source Inventory'!$F$5:$F$200),"")</f>
        <v/>
      </c>
      <c r="G90" s="7">
        <f>IFERROR(XLOOKUP(A90,'Source Inventory'!$A$5:$A$200,'Source Inventory'!$G$5:$G$200),"")</f>
        <v/>
      </c>
      <c r="H90" s="7" t="inlineStr">
        <is>
          <t>IT Stock</t>
        </is>
      </c>
      <c r="I90" s="7" t="inlineStr">
        <is>
          <t>Atlanta Warehouse</t>
        </is>
      </c>
      <c r="J90" s="7" t="inlineStr">
        <is>
          <t>Available</t>
        </is>
      </c>
      <c r="K90" s="7" t="inlineStr">
        <is>
          <t>Working conclusion for MD-00086 (MD-MO-050086): Available at Atlanta Warehouse; cost $610. Source Ledger FA-000086; net book value $317.07. equipment_transfer_log TR-00086 posted Mar 07, 2026; inbound 2026-03-08 approval APR-00086. PO PO-2022-0017 documents the buy for MD-00086.</t>
        </is>
      </c>
      <c r="L90" s="7" t="inlineStr">
        <is>
          <t>2026-07-07</t>
        </is>
      </c>
      <c r="M90" s="7">
        <f>IFERROR(XLOOKUP(A90,'Source Inventory'!$A$5:$A$200,'Source Inventory'!$H$5:$H$200),"")</f>
        <v/>
      </c>
      <c r="N90" s="7" t="n">
        <v>317.07</v>
      </c>
      <c r="O90" s="7">
        <f>IFERROR(XLOOKUP(A90,'Source Ledger'!$B$5:$B$200,'Source Ledger'!$A$5:$A$200),"")</f>
        <v/>
      </c>
      <c r="P90" s="7">
        <f>IFERROR(XLOOKUP(A90,'Source Ledger'!$B$5:$B$200,'Source Ledger'!$D$5:$D$200),"")</f>
        <v/>
      </c>
      <c r="Q90" s="9" t="inlineStr">
        <is>
          <t>High</t>
        </is>
      </c>
      <c r="R90" s="7" t="inlineStr">
        <is>
          <t>EX-0099</t>
        </is>
      </c>
      <c r="S90" s="7">
        <f>IF(OR(R90="",R90=0),"No","Yes")</f>
        <v/>
      </c>
      <c r="T90">
        <f>IFERROR(XLOOKUP(A90,'Source Ledger'!$B$5:$B$200,'Source Ledger'!$E$5:$E$200),"")</f>
        <v/>
      </c>
      <c r="U90">
        <f>IFERROR(XLOOKUP(A90,'Source Ledger'!$B$5:$B$200,'Source Ledger'!$H$5:$H$200),"")</f>
        <v/>
      </c>
      <c r="V90">
        <f>IFERROR(XLOOKUP(A90,'Source Ledger'!$B$5:$B$200,'Source Ledger'!$G$5:$G$200),"")</f>
        <v/>
      </c>
      <c r="W90">
        <f>IF(OR(M90="",T90=""),"",T90-M90)</f>
        <v/>
      </c>
      <c r="X90">
        <f>IF(V90="","No","Yes")</f>
        <v/>
      </c>
    </row>
    <row r="91">
      <c r="A91" s="7" t="inlineStr">
        <is>
          <t>MD-00087</t>
        </is>
      </c>
      <c r="B91" s="7">
        <f>IFERROR(XLOOKUP(A91,'Source Inventory'!$A$5:$A$200,'Source Inventory'!$B$5:$B$200),"")</f>
        <v/>
      </c>
      <c r="C91" s="7">
        <f>IFERROR(XLOOKUP(A91,'Source Inventory'!$A$5:$A$200,'Source Inventory'!$C$5:$C$200),"")</f>
        <v/>
      </c>
      <c r="D91" s="7">
        <f>IFERROR(XLOOKUP(A91,'Source Inventory'!$A$5:$A$200,'Source Inventory'!$D$5:$D$200),"")</f>
        <v/>
      </c>
      <c r="E91" s="7">
        <f>IFERROR(XLOOKUP(A91,'Source Inventory'!$A$5:$A$200,'Source Inventory'!$E$5:$E$200),"")</f>
        <v/>
      </c>
      <c r="F91" s="7">
        <f>IFERROR(XLOOKUP(A91,'Source Inventory'!$A$5:$A$200,'Source Inventory'!$F$5:$F$200),"")</f>
        <v/>
      </c>
      <c r="G91" s="7">
        <f>IFERROR(XLOOKUP(A91,'Source Inventory'!$A$5:$A$200,'Source Inventory'!$G$5:$G$200),"")</f>
        <v/>
      </c>
      <c r="H91" s="7" t="inlineStr">
        <is>
          <t>IT Stock</t>
        </is>
      </c>
      <c r="I91" s="7" t="inlineStr">
        <is>
          <t>Atlanta Warehouse</t>
        </is>
      </c>
      <c r="J91" s="7" t="inlineStr">
        <is>
          <t>Available</t>
        </is>
      </c>
      <c r="K91" s="7" t="inlineStr">
        <is>
          <t>Working conclusion for MD-00087 (MD-MO-050087): Available at Atlanta Warehouse; cost $1085. Source Ledger FA-000087; net book value $609.71. equipment_transfer_log TR-00087 posted Apr 12, 2026; inbound 2026-04-12 approval APR-00087. capital PO PO-2022-0017 supports the cost basis.</t>
        </is>
      </c>
      <c r="L91" s="7" t="inlineStr">
        <is>
          <t>2026-07-07</t>
        </is>
      </c>
      <c r="M91" s="7">
        <f>IFERROR(XLOOKUP(A91,'Source Inventory'!$A$5:$A$200,'Source Inventory'!$H$5:$H$200),"")</f>
        <v/>
      </c>
      <c r="N91" s="7" t="n">
        <v>609.71</v>
      </c>
      <c r="O91" s="7">
        <f>IFERROR(XLOOKUP(A91,'Source Ledger'!$B$5:$B$200,'Source Ledger'!$A$5:$A$200),"")</f>
        <v/>
      </c>
      <c r="P91" s="7">
        <f>IFERROR(XLOOKUP(A91,'Source Ledger'!$B$5:$B$200,'Source Ledger'!$D$5:$D$200),"")</f>
        <v/>
      </c>
      <c r="Q91" s="9" t="inlineStr">
        <is>
          <t>High</t>
        </is>
      </c>
      <c r="R91" s="7" t="inlineStr">
        <is>
          <t>EX-0100</t>
        </is>
      </c>
      <c r="S91" s="7">
        <f>IF(OR(R91="",R91=0),"No","Yes")</f>
        <v/>
      </c>
      <c r="T91">
        <f>IFERROR(XLOOKUP(A91,'Source Ledger'!$B$5:$B$200,'Source Ledger'!$E$5:$E$200),"")</f>
        <v/>
      </c>
      <c r="U91">
        <f>IFERROR(XLOOKUP(A91,'Source Ledger'!$B$5:$B$200,'Source Ledger'!$H$5:$H$200),"")</f>
        <v/>
      </c>
      <c r="V91">
        <f>IFERROR(XLOOKUP(A91,'Source Ledger'!$B$5:$B$200,'Source Ledger'!$G$5:$G$200),"")</f>
        <v/>
      </c>
      <c r="W91">
        <f>IF(OR(M91="",T91=""),"",T91-M91)</f>
        <v/>
      </c>
      <c r="X91">
        <f>IF(V91="","No","Yes")</f>
        <v/>
      </c>
    </row>
    <row r="92">
      <c r="A92" s="7" t="inlineStr">
        <is>
          <t>MD-00088</t>
        </is>
      </c>
      <c r="B92" s="7">
        <f>IFERROR(XLOOKUP(A92,'Source Inventory'!$A$5:$A$200,'Source Inventory'!$B$5:$B$200),"")</f>
        <v/>
      </c>
      <c r="C92" s="7">
        <f>IFERROR(XLOOKUP(A92,'Source Inventory'!$A$5:$A$200,'Source Inventory'!$C$5:$C$200),"")</f>
        <v/>
      </c>
      <c r="D92" s="7">
        <f>IFERROR(XLOOKUP(A92,'Source Inventory'!$A$5:$A$200,'Source Inventory'!$D$5:$D$200),"")</f>
        <v/>
      </c>
      <c r="E92" s="7">
        <f>IFERROR(XLOOKUP(A92,'Source Inventory'!$A$5:$A$200,'Source Inventory'!$E$5:$E$200),"")</f>
        <v/>
      </c>
      <c r="F92" s="7">
        <f>IFERROR(XLOOKUP(A92,'Source Inventory'!$A$5:$A$200,'Source Inventory'!$F$5:$F$200),"")</f>
        <v/>
      </c>
      <c r="G92" s="7">
        <f>IFERROR(XLOOKUP(A92,'Source Inventory'!$A$5:$A$200,'Source Inventory'!$G$5:$G$200),"")</f>
        <v/>
      </c>
      <c r="H92" s="7" t="inlineStr">
        <is>
          <t>IT Stock</t>
        </is>
      </c>
      <c r="I92" s="7" t="inlineStr">
        <is>
          <t>Atlanta Warehouse</t>
        </is>
      </c>
      <c r="J92" s="7" t="inlineStr">
        <is>
          <t>Available</t>
        </is>
      </c>
      <c r="K92" s="7" t="inlineStr">
        <is>
          <t>Files reviewed for MD-00088: Aruba 6300M, basis $6380, operating site Atlanta Warehouse, status Available. Source Ledger FA-000088; net book value $982.55. duplicate serial MD-NE-050088 flagged on the register. buy path for MD-00088 references PO-2022-0017. equipment_transfer_log TR-00088 posted May 13, 2026; inbound 2026-05-14 approval APR-00088.</t>
        </is>
      </c>
      <c r="L92" s="7" t="inlineStr">
        <is>
          <t>2026-07-07</t>
        </is>
      </c>
      <c r="M92" s="7">
        <f>IFERROR(XLOOKUP(A92,'Source Inventory'!$A$5:$A$200,'Source Inventory'!$H$5:$H$200),"")</f>
        <v/>
      </c>
      <c r="N92" s="7" t="n">
        <v>982.55</v>
      </c>
      <c r="O92" s="7">
        <f>IFERROR(XLOOKUP(A92,'Source Ledger'!$B$5:$B$200,'Source Ledger'!$A$5:$A$200),"")</f>
        <v/>
      </c>
      <c r="P92" s="7">
        <f>IFERROR(XLOOKUP(A92,'Source Ledger'!$B$5:$B$200,'Source Ledger'!$D$5:$D$200),"")</f>
        <v/>
      </c>
      <c r="Q92" s="7" t="inlineStr">
        <is>
          <t>Medium</t>
        </is>
      </c>
      <c r="R92" s="7" t="inlineStr">
        <is>
          <t>EX-0101, EX-0102</t>
        </is>
      </c>
      <c r="S92" s="7">
        <f>IF(OR(R92="",R92=0),"No","Yes")</f>
        <v/>
      </c>
      <c r="T92">
        <f>IFERROR(XLOOKUP(A92,'Source Ledger'!$B$5:$B$200,'Source Ledger'!$E$5:$E$200),"")</f>
        <v/>
      </c>
      <c r="U92">
        <f>IFERROR(XLOOKUP(A92,'Source Ledger'!$B$5:$B$200,'Source Ledger'!$H$5:$H$200),"")</f>
        <v/>
      </c>
      <c r="V92">
        <f>IFERROR(XLOOKUP(A92,'Source Ledger'!$B$5:$B$200,'Source Ledger'!$G$5:$G$200),"")</f>
        <v/>
      </c>
      <c r="W92">
        <f>IF(OR(M92="",T92=""),"",T92-M92)</f>
        <v/>
      </c>
      <c r="X92">
        <f>IF(V92="","No","Yes")</f>
        <v/>
      </c>
    </row>
    <row r="93">
      <c r="A93" s="7" t="inlineStr">
        <is>
          <t>MD-00089</t>
        </is>
      </c>
      <c r="B93" s="7">
        <f>IFERROR(XLOOKUP(A93,'Source Inventory'!$A$5:$A$200,'Source Inventory'!$B$5:$B$200),"")</f>
        <v/>
      </c>
      <c r="C93" s="7">
        <f>IFERROR(XLOOKUP(A93,'Source Inventory'!$A$5:$A$200,'Source Inventory'!$C$5:$C$200),"")</f>
        <v/>
      </c>
      <c r="D93" s="7">
        <f>IFERROR(XLOOKUP(A93,'Source Inventory'!$A$5:$A$200,'Source Inventory'!$D$5:$D$200),"")</f>
        <v/>
      </c>
      <c r="E93" s="7">
        <f>IFERROR(XLOOKUP(A93,'Source Inventory'!$A$5:$A$200,'Source Inventory'!$E$5:$E$200),"")</f>
        <v/>
      </c>
      <c r="F93" s="7">
        <f>IFERROR(XLOOKUP(A93,'Source Inventory'!$A$5:$A$200,'Source Inventory'!$F$5:$F$200),"")</f>
        <v/>
      </c>
      <c r="G93" s="7">
        <f>IFERROR(XLOOKUP(A93,'Source Inventory'!$A$5:$A$200,'Source Inventory'!$G$5:$G$200),"")</f>
        <v/>
      </c>
      <c r="H93" s="7" t="inlineStr">
        <is>
          <t>E0077</t>
        </is>
      </c>
      <c r="I93" s="7" t="inlineStr">
        <is>
          <t>Unknown</t>
        </is>
      </c>
      <c r="J93" s="8" t="inlineStr">
        <is>
          <t>Missing</t>
        </is>
      </c>
      <c r="K93" s="7" t="inlineStr">
        <is>
          <t>Asset MD-00089 — Juniper EX3400 — reconciled to Missing in Unknown on $2075 acquisition. Source Ledger FA-000089; net book value $0. last operational site on register was Denver - Closed. offboarding ticket OFF-00089 referenced. equipment_transfer_log TR-00089 posted Jun 17, 2026; inbound 2026-06-17 approval APR-00089. hr_employee_status lists Jonah Freedman (E0077) as Separated. hardware_purchase_orders.csv ties MD-00089 to PO-2022-0017.</t>
        </is>
      </c>
      <c r="L93" s="7" t="inlineStr">
        <is>
          <t>2026-06-18</t>
        </is>
      </c>
      <c r="M93" s="7">
        <f>IFERROR(XLOOKUP(A93,'Source Inventory'!$A$5:$A$200,'Source Inventory'!$H$5:$H$200),"")</f>
        <v/>
      </c>
      <c r="N93" s="7" t="n">
        <v>0</v>
      </c>
      <c r="O93" s="7">
        <f>IFERROR(XLOOKUP(A93,'Source Ledger'!$B$5:$B$200,'Source Ledger'!$A$5:$A$200),"")</f>
        <v/>
      </c>
      <c r="P93" s="7">
        <f>IFERROR(XLOOKUP(A93,'Source Ledger'!$B$5:$B$200,'Source Ledger'!$D$5:$D$200),"")</f>
        <v/>
      </c>
      <c r="Q93" s="7" t="inlineStr">
        <is>
          <t>Low</t>
        </is>
      </c>
      <c r="R93" s="7" t="inlineStr">
        <is>
          <t>EX-0103, EX-0104</t>
        </is>
      </c>
      <c r="S93" s="7">
        <f>IF(OR(R93="",R93=0),"No","Yes")</f>
        <v/>
      </c>
      <c r="T93">
        <f>IFERROR(XLOOKUP(A93,'Source Ledger'!$B$5:$B$200,'Source Ledger'!$E$5:$E$200),"")</f>
        <v/>
      </c>
      <c r="U93">
        <f>IFERROR(XLOOKUP(A93,'Source Ledger'!$B$5:$B$200,'Source Ledger'!$H$5:$H$200),"")</f>
        <v/>
      </c>
      <c r="V93">
        <f>IFERROR(XLOOKUP(A93,'Source Ledger'!$B$5:$B$200,'Source Ledger'!$G$5:$G$200),"")</f>
        <v/>
      </c>
      <c r="W93">
        <f>IF(OR(M93="",T93=""),"",T93-M93)</f>
        <v/>
      </c>
      <c r="X93">
        <f>IF(V93="","No","Yes")</f>
        <v/>
      </c>
    </row>
    <row r="94">
      <c r="A94" s="7" t="inlineStr">
        <is>
          <t>MD-00090</t>
        </is>
      </c>
      <c r="B94" s="7">
        <f>IFERROR(XLOOKUP(A94,'Source Inventory'!$A$5:$A$200,'Source Inventory'!$B$5:$B$200),"")</f>
        <v/>
      </c>
      <c r="C94" s="7">
        <f>IFERROR(XLOOKUP(A94,'Source Inventory'!$A$5:$A$200,'Source Inventory'!$C$5:$C$200),"")</f>
        <v/>
      </c>
      <c r="D94" s="7">
        <f>IFERROR(XLOOKUP(A94,'Source Inventory'!$A$5:$A$200,'Source Inventory'!$D$5:$D$200),"")</f>
        <v/>
      </c>
      <c r="E94" s="7">
        <f>IFERROR(XLOOKUP(A94,'Source Inventory'!$A$5:$A$200,'Source Inventory'!$E$5:$E$200),"")</f>
        <v/>
      </c>
      <c r="F94" s="7">
        <f>IFERROR(XLOOKUP(A94,'Source Inventory'!$A$5:$A$200,'Source Inventory'!$F$5:$F$200),"")</f>
        <v/>
      </c>
      <c r="G94" s="7">
        <f>IFERROR(XLOOKUP(A94,'Source Inventory'!$A$5:$A$200,'Source Inventory'!$G$5:$G$200),"")</f>
        <v/>
      </c>
      <c r="H94" s="7" t="inlineStr">
        <is>
          <t>E0078</t>
        </is>
      </c>
      <c r="I94" s="7" t="inlineStr">
        <is>
          <t>Unknown</t>
        </is>
      </c>
      <c r="J94" s="8" t="inlineStr">
        <is>
          <t>Missing</t>
        </is>
      </c>
      <c r="K94" s="7" t="inlineStr">
        <is>
          <t>Asset MD-00090 — Fortinet FortiSwitch 148F — reconciled to Missing in Unknown on $790 acquisition. offboarding ticket OFF-00090 referenced. Source Ledger FA-000090; net book value $465.13. last operational site on register was Chicago - Closed. PO-2023-0018 is the cited purchase order. hr_employee_status lists Regina Lowe (E0078) as Separated. equipment_transfer_log TR-00090 posted Jan 22, 2026; inbound 2026-01-28 approval APR-00090.</t>
        </is>
      </c>
      <c r="L94" s="7" t="inlineStr">
        <is>
          <t>2026-06-07</t>
        </is>
      </c>
      <c r="M94" s="7">
        <f>IFERROR(XLOOKUP(A94,'Source Inventory'!$A$5:$A$200,'Source Inventory'!$H$5:$H$200),"")</f>
        <v/>
      </c>
      <c r="N94" s="7" t="n">
        <v>465.13</v>
      </c>
      <c r="O94" s="7">
        <f>IFERROR(XLOOKUP(A94,'Source Ledger'!$B$5:$B$200,'Source Ledger'!$A$5:$A$200),"")</f>
        <v/>
      </c>
      <c r="P94" s="7">
        <f>IFERROR(XLOOKUP(A94,'Source Ledger'!$B$5:$B$200,'Source Ledger'!$D$5:$D$200),"")</f>
        <v/>
      </c>
      <c r="Q94" s="7" t="inlineStr">
        <is>
          <t>Low</t>
        </is>
      </c>
      <c r="R94" s="7" t="inlineStr">
        <is>
          <t>EX-0105, EX-0106</t>
        </is>
      </c>
      <c r="S94" s="7">
        <f>IF(OR(R94="",R94=0),"No","Yes")</f>
        <v/>
      </c>
      <c r="T94">
        <f>IFERROR(XLOOKUP(A94,'Source Ledger'!$B$5:$B$200,'Source Ledger'!$E$5:$E$200),"")</f>
        <v/>
      </c>
      <c r="U94">
        <f>IFERROR(XLOOKUP(A94,'Source Ledger'!$B$5:$B$200,'Source Ledger'!$H$5:$H$200),"")</f>
        <v/>
      </c>
      <c r="V94">
        <f>IFERROR(XLOOKUP(A94,'Source Ledger'!$B$5:$B$200,'Source Ledger'!$G$5:$G$200),"")</f>
        <v/>
      </c>
      <c r="W94">
        <f>IF(OR(M94="",T94=""),"",T94-M94)</f>
        <v/>
      </c>
      <c r="X94">
        <f>IF(V94="","No","Yes")</f>
        <v/>
      </c>
    </row>
    <row r="95">
      <c r="A95" s="7" t="inlineStr">
        <is>
          <t>MD-00091</t>
        </is>
      </c>
      <c r="B95" s="7">
        <f>IFERROR(XLOOKUP(A95,'Source Inventory'!$A$5:$A$200,'Source Inventory'!$B$5:$B$200),"")</f>
        <v/>
      </c>
      <c r="C95" s="7">
        <f>IFERROR(XLOOKUP(A95,'Source Inventory'!$A$5:$A$200,'Source Inventory'!$C$5:$C$200),"")</f>
        <v/>
      </c>
      <c r="D95" s="7">
        <f>IFERROR(XLOOKUP(A95,'Source Inventory'!$A$5:$A$200,'Source Inventory'!$D$5:$D$200),"")</f>
        <v/>
      </c>
      <c r="E95" s="7">
        <f>IFERROR(XLOOKUP(A95,'Source Inventory'!$A$5:$A$200,'Source Inventory'!$E$5:$E$200),"")</f>
        <v/>
      </c>
      <c r="F95" s="7">
        <f>IFERROR(XLOOKUP(A95,'Source Inventory'!$A$5:$A$200,'Source Inventory'!$F$5:$F$200),"")</f>
        <v/>
      </c>
      <c r="G95" s="7">
        <f>IFERROR(XLOOKUP(A95,'Source Inventory'!$A$5:$A$200,'Source Inventory'!$G$5:$G$200),"")</f>
        <v/>
      </c>
      <c r="H95" s="7" t="inlineStr">
        <is>
          <t>E0079</t>
        </is>
      </c>
      <c r="I95" s="7" t="inlineStr">
        <is>
          <t>Unknown</t>
        </is>
      </c>
      <c r="J95" s="8" t="inlineStr">
        <is>
          <t>Missing</t>
        </is>
      </c>
      <c r="K95" s="7" t="inlineStr">
        <is>
          <t>Asset MD-00091 — Cisco C9300 — reconciled to Missing in Unknown on $950 acquisition. offboarding ticket OFF-00091 referenced. Source Ledger FA-000091; net book value $643.09. last operational site on register was Denver - Closed. acquisition recorded on PO-2023-0018. hr_employee_status lists Wes Carvalho (E0079) as Separated. equipment_transfer_log TR-00091 posted Feb 23, 2026; inbound 2026-02-24 approval APR-00091.</t>
        </is>
      </c>
      <c r="L95" s="7" t="inlineStr">
        <is>
          <t>2026-05-08</t>
        </is>
      </c>
      <c r="M95" s="7">
        <f>IFERROR(XLOOKUP(A95,'Source Inventory'!$A$5:$A$200,'Source Inventory'!$H$5:$H$200),"")</f>
        <v/>
      </c>
      <c r="N95" s="7" t="n">
        <v>643.09</v>
      </c>
      <c r="O95" s="7">
        <f>IFERROR(XLOOKUP(A95,'Source Ledger'!$B$5:$B$200,'Source Ledger'!$A$5:$A$200),"")</f>
        <v/>
      </c>
      <c r="P95" s="7">
        <f>IFERROR(XLOOKUP(A95,'Source Ledger'!$B$5:$B$200,'Source Ledger'!$D$5:$D$200),"")</f>
        <v/>
      </c>
      <c r="Q95" s="7" t="inlineStr">
        <is>
          <t>Low</t>
        </is>
      </c>
      <c r="R95" s="7" t="inlineStr">
        <is>
          <t>EX-0107, EX-0108</t>
        </is>
      </c>
      <c r="S95" s="7">
        <f>IF(OR(R95="",R95=0),"No","Yes")</f>
        <v/>
      </c>
      <c r="T95">
        <f>IFERROR(XLOOKUP(A95,'Source Ledger'!$B$5:$B$200,'Source Ledger'!$E$5:$E$200),"")</f>
        <v/>
      </c>
      <c r="U95">
        <f>IFERROR(XLOOKUP(A95,'Source Ledger'!$B$5:$B$200,'Source Ledger'!$H$5:$H$200),"")</f>
        <v/>
      </c>
      <c r="V95">
        <f>IFERROR(XLOOKUP(A95,'Source Ledger'!$B$5:$B$200,'Source Ledger'!$G$5:$G$200),"")</f>
        <v/>
      </c>
      <c r="W95">
        <f>IF(OR(M95="",T95=""),"",T95-M95)</f>
        <v/>
      </c>
      <c r="X95">
        <f>IF(V95="","No","Yes")</f>
        <v/>
      </c>
    </row>
    <row r="96">
      <c r="A96" s="7" t="inlineStr">
        <is>
          <t>MD-00092</t>
        </is>
      </c>
      <c r="B96" s="7">
        <f>IFERROR(XLOOKUP(A96,'Source Inventory'!$A$5:$A$200,'Source Inventory'!$B$5:$B$200),"")</f>
        <v/>
      </c>
      <c r="C96" s="7">
        <f>IFERROR(XLOOKUP(A96,'Source Inventory'!$A$5:$A$200,'Source Inventory'!$C$5:$C$200),"")</f>
        <v/>
      </c>
      <c r="D96" s="7">
        <f>IFERROR(XLOOKUP(A96,'Source Inventory'!$A$5:$A$200,'Source Inventory'!$D$5:$D$200),"")</f>
        <v/>
      </c>
      <c r="E96" s="7">
        <f>IFERROR(XLOOKUP(A96,'Source Inventory'!$A$5:$A$200,'Source Inventory'!$E$5:$E$200),"")</f>
        <v/>
      </c>
      <c r="F96" s="7">
        <f>IFERROR(XLOOKUP(A96,'Source Inventory'!$A$5:$A$200,'Source Inventory'!$F$5:$F$200),"")</f>
        <v/>
      </c>
      <c r="G96" s="7">
        <f>IFERROR(XLOOKUP(A96,'Source Inventory'!$A$5:$A$200,'Source Inventory'!$G$5:$G$200),"")</f>
        <v/>
      </c>
      <c r="H96" s="7" t="inlineStr">
        <is>
          <t>E0080</t>
        </is>
      </c>
      <c r="I96" s="7" t="inlineStr">
        <is>
          <t>Unknown</t>
        </is>
      </c>
      <c r="J96" s="8" t="inlineStr">
        <is>
          <t>Missing</t>
        </is>
      </c>
      <c r="K96" s="7" t="inlineStr">
        <is>
          <t>Asset MD-00092 — Aruba 6300M — reconciled to Missing in Unknown on $6245 acquisition. offboarding ticket OFF-00092 referenced. Source Ledger FA-000092; net book value $1396.04. last operational site on register was Chicago - Closed. duplicate serial MD-NE-050088 flagged on the register. hr_employee_status lists Tara Singh (E0080) as Separated. equipment_transfer_log TR-00092 posted Mar 28, 2026; inbound 2026-03-28 approval APR-00092. purchasing file shows PO-2023-0018 for this unit.</t>
        </is>
      </c>
      <c r="L96" s="7" t="inlineStr">
        <is>
          <t>2026-06-09</t>
        </is>
      </c>
      <c r="M96" s="7">
        <f>IFERROR(XLOOKUP(A96,'Source Inventory'!$A$5:$A$200,'Source Inventory'!$H$5:$H$200),"")</f>
        <v/>
      </c>
      <c r="N96" s="7" t="n">
        <v>1396.04</v>
      </c>
      <c r="O96" s="7">
        <f>IFERROR(XLOOKUP(A96,'Source Ledger'!$B$5:$B$200,'Source Ledger'!$A$5:$A$200),"")</f>
        <v/>
      </c>
      <c r="P96" s="7">
        <f>IFERROR(XLOOKUP(A96,'Source Ledger'!$B$5:$B$200,'Source Ledger'!$D$5:$D$200),"")</f>
        <v/>
      </c>
      <c r="Q96" s="7" t="inlineStr">
        <is>
          <t>Low</t>
        </is>
      </c>
      <c r="R96" s="7" t="inlineStr">
        <is>
          <t>EX-0109, EX-0110, EX-0111</t>
        </is>
      </c>
      <c r="S96" s="7">
        <f>IF(OR(R96="",R96=0),"No","Yes")</f>
        <v/>
      </c>
      <c r="T96">
        <f>IFERROR(XLOOKUP(A96,'Source Ledger'!$B$5:$B$200,'Source Ledger'!$E$5:$E$200),"")</f>
        <v/>
      </c>
      <c r="U96">
        <f>IFERROR(XLOOKUP(A96,'Source Ledger'!$B$5:$B$200,'Source Ledger'!$H$5:$H$200),"")</f>
        <v/>
      </c>
      <c r="V96">
        <f>IFERROR(XLOOKUP(A96,'Source Ledger'!$B$5:$B$200,'Source Ledger'!$G$5:$G$200),"")</f>
        <v/>
      </c>
      <c r="W96">
        <f>IF(OR(M96="",T96=""),"",T96-M96)</f>
        <v/>
      </c>
      <c r="X96">
        <f>IF(V96="","No","Yes")</f>
        <v/>
      </c>
    </row>
    <row r="97">
      <c r="A97" s="7" t="inlineStr">
        <is>
          <t>MD-00093</t>
        </is>
      </c>
      <c r="B97" s="7">
        <f>IFERROR(XLOOKUP(A97,'Source Inventory'!$A$5:$A$200,'Source Inventory'!$B$5:$B$200),"")</f>
        <v/>
      </c>
      <c r="C97" s="7">
        <f>IFERROR(XLOOKUP(A97,'Source Inventory'!$A$5:$A$200,'Source Inventory'!$C$5:$C$200),"")</f>
        <v/>
      </c>
      <c r="D97" s="7">
        <f>IFERROR(XLOOKUP(A97,'Source Inventory'!$A$5:$A$200,'Source Inventory'!$D$5:$D$200),"")</f>
        <v/>
      </c>
      <c r="E97" s="7">
        <f>IFERROR(XLOOKUP(A97,'Source Inventory'!$A$5:$A$200,'Source Inventory'!$E$5:$E$200),"")</f>
        <v/>
      </c>
      <c r="F97" s="7">
        <f>IFERROR(XLOOKUP(A97,'Source Inventory'!$A$5:$A$200,'Source Inventory'!$F$5:$F$200),"")</f>
        <v/>
      </c>
      <c r="G97" s="7">
        <f>IFERROR(XLOOKUP(A97,'Source Inventory'!$A$5:$A$200,'Source Inventory'!$G$5:$G$200),"")</f>
        <v/>
      </c>
      <c r="H97" s="7" t="inlineStr">
        <is>
          <t>E0081</t>
        </is>
      </c>
      <c r="I97" s="7" t="inlineStr">
        <is>
          <t>Unknown</t>
        </is>
      </c>
      <c r="J97" s="8" t="inlineStr">
        <is>
          <t>Missing</t>
        </is>
      </c>
      <c r="K97" s="7" t="inlineStr">
        <is>
          <t>Files reviewed for MD-00093: Juniper EX3400, basis $1940, operating site Unknown, status Missing. equipment_transfer_log TR-00093 posted May 02, 2026; inbound 2026-05-06 approval APR-00093. order PO-2023-0018 appears in the purchasing extract. last operational site on register was Denver - Closed. Source Ledger FA-000093; net book value $130.57. offboarding ticket OFF-00093 referenced. hr_employee_status lists Elliott Park (E0081) as Separated.</t>
        </is>
      </c>
      <c r="L97" s="7" t="inlineStr">
        <is>
          <t>2026-05-10</t>
        </is>
      </c>
      <c r="M97" s="7">
        <f>IFERROR(XLOOKUP(A97,'Source Inventory'!$A$5:$A$200,'Source Inventory'!$H$5:$H$200),"")</f>
        <v/>
      </c>
      <c r="N97" s="7" t="n">
        <v>130.57</v>
      </c>
      <c r="O97" s="7">
        <f>IFERROR(XLOOKUP(A97,'Source Ledger'!$B$5:$B$200,'Source Ledger'!$A$5:$A$200),"")</f>
        <v/>
      </c>
      <c r="P97" s="7">
        <f>IFERROR(XLOOKUP(A97,'Source Ledger'!$B$5:$B$200,'Source Ledger'!$D$5:$D$200),"")</f>
        <v/>
      </c>
      <c r="Q97" s="7" t="inlineStr">
        <is>
          <t>Low</t>
        </is>
      </c>
      <c r="R97" s="7" t="inlineStr">
        <is>
          <t>EX-0112, EX-0113</t>
        </is>
      </c>
      <c r="S97" s="7">
        <f>IF(OR(R97="",R97=0),"No","Yes")</f>
        <v/>
      </c>
      <c r="T97">
        <f>IFERROR(XLOOKUP(A97,'Source Ledger'!$B$5:$B$200,'Source Ledger'!$E$5:$E$200),"")</f>
        <v/>
      </c>
      <c r="U97">
        <f>IFERROR(XLOOKUP(A97,'Source Ledger'!$B$5:$B$200,'Source Ledger'!$H$5:$H$200),"")</f>
        <v/>
      </c>
      <c r="V97">
        <f>IFERROR(XLOOKUP(A97,'Source Ledger'!$B$5:$B$200,'Source Ledger'!$G$5:$G$200),"")</f>
        <v/>
      </c>
      <c r="W97">
        <f>IF(OR(M97="",T97=""),"",T97-M97)</f>
        <v/>
      </c>
      <c r="X97">
        <f>IF(V97="","No","Yes")</f>
        <v/>
      </c>
    </row>
    <row r="98">
      <c r="A98" s="7" t="inlineStr">
        <is>
          <t>MD-00094</t>
        </is>
      </c>
      <c r="B98" s="7">
        <f>IFERROR(XLOOKUP(A98,'Source Inventory'!$A$5:$A$200,'Source Inventory'!$B$5:$B$200),"")</f>
        <v/>
      </c>
      <c r="C98" s="7">
        <f>IFERROR(XLOOKUP(A98,'Source Inventory'!$A$5:$A$200,'Source Inventory'!$C$5:$C$200),"")</f>
        <v/>
      </c>
      <c r="D98" s="7">
        <f>IFERROR(XLOOKUP(A98,'Source Inventory'!$A$5:$A$200,'Source Inventory'!$D$5:$D$200),"")</f>
        <v/>
      </c>
      <c r="E98" s="7">
        <f>IFERROR(XLOOKUP(A98,'Source Inventory'!$A$5:$A$200,'Source Inventory'!$E$5:$E$200),"")</f>
        <v/>
      </c>
      <c r="F98" s="7">
        <f>IFERROR(XLOOKUP(A98,'Source Inventory'!$A$5:$A$200,'Source Inventory'!$F$5:$F$200),"")</f>
        <v/>
      </c>
      <c r="G98" s="7">
        <f>IFERROR(XLOOKUP(A98,'Source Inventory'!$A$5:$A$200,'Source Inventory'!$G$5:$G$200),"")</f>
        <v/>
      </c>
      <c r="H98" s="7" t="inlineStr">
        <is>
          <t>E0082</t>
        </is>
      </c>
      <c r="I98" s="7" t="inlineStr">
        <is>
          <t>Unknown</t>
        </is>
      </c>
      <c r="J98" s="8" t="inlineStr">
        <is>
          <t>Missing</t>
        </is>
      </c>
      <c r="K98" s="7" t="inlineStr">
        <is>
          <t>Asset MD-00094 — Cisco Meraki MS250 — reconciled to Missing in Unknown on $655 acquisition. offboarding ticket OFF-00094 referenced. Source Ledger FA-000094; net book value $431.2. last operational site on register was Chicago - Closed. PO-2023-0018 is the cited purchase order. hr_employee_status lists Carmen Diaz (E0082) as Separated. equipment_transfer_log TR-00094 posted Jun 03, 2026; inbound 2026-06-04 approval APR-00094.</t>
        </is>
      </c>
      <c r="L98" s="7" t="inlineStr">
        <is>
          <t>2026-06-11</t>
        </is>
      </c>
      <c r="M98" s="7">
        <f>IFERROR(XLOOKUP(A98,'Source Inventory'!$A$5:$A$200,'Source Inventory'!$H$5:$H$200),"")</f>
        <v/>
      </c>
      <c r="N98" s="7" t="n">
        <v>431.2</v>
      </c>
      <c r="O98" s="7">
        <f>IFERROR(XLOOKUP(A98,'Source Ledger'!$B$5:$B$200,'Source Ledger'!$A$5:$A$200),"")</f>
        <v/>
      </c>
      <c r="P98" s="7">
        <f>IFERROR(XLOOKUP(A98,'Source Ledger'!$B$5:$B$200,'Source Ledger'!$D$5:$D$200),"")</f>
        <v/>
      </c>
      <c r="Q98" s="7" t="inlineStr">
        <is>
          <t>Low</t>
        </is>
      </c>
      <c r="R98" s="7" t="inlineStr">
        <is>
          <t>EX-0114, EX-0115</t>
        </is>
      </c>
      <c r="S98" s="7">
        <f>IF(OR(R98="",R98=0),"No","Yes")</f>
        <v/>
      </c>
      <c r="T98">
        <f>IFERROR(XLOOKUP(A98,'Source Ledger'!$B$5:$B$200,'Source Ledger'!$E$5:$E$200),"")</f>
        <v/>
      </c>
      <c r="U98">
        <f>IFERROR(XLOOKUP(A98,'Source Ledger'!$B$5:$B$200,'Source Ledger'!$H$5:$H$200),"")</f>
        <v/>
      </c>
      <c r="V98">
        <f>IFERROR(XLOOKUP(A98,'Source Ledger'!$B$5:$B$200,'Source Ledger'!$G$5:$G$200),"")</f>
        <v/>
      </c>
      <c r="W98">
        <f>IF(OR(M98="",T98=""),"",T98-M98)</f>
        <v/>
      </c>
      <c r="X98">
        <f>IF(V98="","No","Yes")</f>
        <v/>
      </c>
    </row>
    <row r="99">
      <c r="A99" s="7" t="inlineStr">
        <is>
          <t>MD-00095</t>
        </is>
      </c>
      <c r="B99" s="7">
        <f>IFERROR(XLOOKUP(A99,'Source Inventory'!$A$5:$A$200,'Source Inventory'!$B$5:$B$200),"")</f>
        <v/>
      </c>
      <c r="C99" s="7">
        <f>IFERROR(XLOOKUP(A99,'Source Inventory'!$A$5:$A$200,'Source Inventory'!$C$5:$C$200),"")</f>
        <v/>
      </c>
      <c r="D99" s="7">
        <f>IFERROR(XLOOKUP(A99,'Source Inventory'!$A$5:$A$200,'Source Inventory'!$D$5:$D$200),"")</f>
        <v/>
      </c>
      <c r="E99" s="7">
        <f>IFERROR(XLOOKUP(A99,'Source Inventory'!$A$5:$A$200,'Source Inventory'!$E$5:$E$200),"")</f>
        <v/>
      </c>
      <c r="F99" s="7">
        <f>IFERROR(XLOOKUP(A99,'Source Inventory'!$A$5:$A$200,'Source Inventory'!$F$5:$F$200),"")</f>
        <v/>
      </c>
      <c r="G99" s="7">
        <f>IFERROR(XLOOKUP(A99,'Source Inventory'!$A$5:$A$200,'Source Inventory'!$G$5:$G$200),"")</f>
        <v/>
      </c>
      <c r="H99" s="7" t="inlineStr">
        <is>
          <t>E0083</t>
        </is>
      </c>
      <c r="I99" s="7" t="inlineStr">
        <is>
          <t>Unknown</t>
        </is>
      </c>
      <c r="J99" s="8" t="inlineStr">
        <is>
          <t>Missing</t>
        </is>
      </c>
      <c r="K99" s="7" t="inlineStr">
        <is>
          <t>Asset MD-00095 — Fortinet FortiSwitch 148F — reconciled to Missing in Unknown on $1130 acquisition. offboarding ticket OFF-00095 referenced. Source Ledger FA-000095; net book value $894.87. last operational site on register was Denver - Closed. acquisition recorded on PO-2023-0018. hr_employee_status lists Hugh Talbot (E0083) as Separated. equipment_transfer_log TR-00095 posted Jul 08, 2026; inbound 2026-07-08 approval APR-00095.</t>
        </is>
      </c>
      <c r="L99" s="7" t="inlineStr">
        <is>
          <t>2026-06-24</t>
        </is>
      </c>
      <c r="M99" s="7">
        <f>IFERROR(XLOOKUP(A99,'Source Inventory'!$A$5:$A$200,'Source Inventory'!$H$5:$H$200),"")</f>
        <v/>
      </c>
      <c r="N99" s="7" t="n">
        <v>894.87</v>
      </c>
      <c r="O99" s="7">
        <f>IFERROR(XLOOKUP(A99,'Source Ledger'!$B$5:$B$200,'Source Ledger'!$A$5:$A$200),"")</f>
        <v/>
      </c>
      <c r="P99" s="7">
        <f>IFERROR(XLOOKUP(A99,'Source Ledger'!$B$5:$B$200,'Source Ledger'!$D$5:$D$200),"")</f>
        <v/>
      </c>
      <c r="Q99" s="7" t="inlineStr">
        <is>
          <t>Low</t>
        </is>
      </c>
      <c r="R99" s="7" t="inlineStr">
        <is>
          <t>EX-0116, EX-0117</t>
        </is>
      </c>
      <c r="S99" s="7">
        <f>IF(OR(R99="",R99=0),"No","Yes")</f>
        <v/>
      </c>
      <c r="T99">
        <f>IFERROR(XLOOKUP(A99,'Source Ledger'!$B$5:$B$200,'Source Ledger'!$E$5:$E$200),"")</f>
        <v/>
      </c>
      <c r="U99">
        <f>IFERROR(XLOOKUP(A99,'Source Ledger'!$B$5:$B$200,'Source Ledger'!$H$5:$H$200),"")</f>
        <v/>
      </c>
      <c r="V99">
        <f>IFERROR(XLOOKUP(A99,'Source Ledger'!$B$5:$B$200,'Source Ledger'!$G$5:$G$200),"")</f>
        <v/>
      </c>
      <c r="W99">
        <f>IF(OR(M99="",T99=""),"",T99-M99)</f>
        <v/>
      </c>
      <c r="X99">
        <f>IF(V99="","No","Yes")</f>
        <v/>
      </c>
    </row>
    <row r="100">
      <c r="A100" s="7" t="inlineStr">
        <is>
          <t>MD-00096</t>
        </is>
      </c>
      <c r="B100" s="7">
        <f>IFERROR(XLOOKUP(A100,'Source Inventory'!$A$5:$A$200,'Source Inventory'!$B$5:$B$200),"")</f>
        <v/>
      </c>
      <c r="C100" s="7">
        <f>IFERROR(XLOOKUP(A100,'Source Inventory'!$A$5:$A$200,'Source Inventory'!$C$5:$C$200),"")</f>
        <v/>
      </c>
      <c r="D100" s="7">
        <f>IFERROR(XLOOKUP(A100,'Source Inventory'!$A$5:$A$200,'Source Inventory'!$D$5:$D$200),"")</f>
        <v/>
      </c>
      <c r="E100" s="7">
        <f>IFERROR(XLOOKUP(A100,'Source Inventory'!$A$5:$A$200,'Source Inventory'!$E$5:$E$200),"")</f>
        <v/>
      </c>
      <c r="F100" s="7">
        <f>IFERROR(XLOOKUP(A100,'Source Inventory'!$A$5:$A$200,'Source Inventory'!$F$5:$F$200),"")</f>
        <v/>
      </c>
      <c r="G100" s="7">
        <f>IFERROR(XLOOKUP(A100,'Source Inventory'!$A$5:$A$200,'Source Inventory'!$G$5:$G$200),"")</f>
        <v/>
      </c>
      <c r="H100" s="7" t="inlineStr">
        <is>
          <t>E0084</t>
        </is>
      </c>
      <c r="I100" s="7" t="inlineStr">
        <is>
          <t>Unknown</t>
        </is>
      </c>
      <c r="J100" s="8" t="inlineStr">
        <is>
          <t>Missing</t>
        </is>
      </c>
      <c r="K100" s="7" t="inlineStr">
        <is>
          <t>Asset MD-00096 — Cisco C9300 — reconciled to Missing in Unknown on $6425 acquisition. offboarding ticket OFF-00096 referenced. Source Ledger FA-000096; net book value $511.01. last operational site on register was Chicago - Closed. purchasing file shows PO-2023-0018 for this unit. hr_employee_status lists Mira Adelman (E0084) as Separated. equipment_transfer_log TR-00096 posted Jan 18, 2026; inbound 2026-01-19 approval APR-00096.</t>
        </is>
      </c>
      <c r="L100" s="7" t="inlineStr">
        <is>
          <t>2026-06-13</t>
        </is>
      </c>
      <c r="M100" s="7">
        <f>IFERROR(XLOOKUP(A100,'Source Inventory'!$A$5:$A$200,'Source Inventory'!$H$5:$H$200),"")</f>
        <v/>
      </c>
      <c r="N100" s="7" t="n">
        <v>511.01</v>
      </c>
      <c r="O100" s="7">
        <f>IFERROR(XLOOKUP(A100,'Source Ledger'!$B$5:$B$200,'Source Ledger'!$A$5:$A$200),"")</f>
        <v/>
      </c>
      <c r="P100" s="7">
        <f>IFERROR(XLOOKUP(A100,'Source Ledger'!$B$5:$B$200,'Source Ledger'!$D$5:$D$200),"")</f>
        <v/>
      </c>
      <c r="Q100" s="7" t="inlineStr">
        <is>
          <t>Low</t>
        </is>
      </c>
      <c r="R100" s="7" t="inlineStr">
        <is>
          <t>EX-0118, EX-0119</t>
        </is>
      </c>
      <c r="S100" s="7">
        <f>IF(OR(R100="",R100=0),"No","Yes")</f>
        <v/>
      </c>
      <c r="T100">
        <f>IFERROR(XLOOKUP(A100,'Source Ledger'!$B$5:$B$200,'Source Ledger'!$E$5:$E$200),"")</f>
        <v/>
      </c>
      <c r="U100">
        <f>IFERROR(XLOOKUP(A100,'Source Ledger'!$B$5:$B$200,'Source Ledger'!$H$5:$H$200),"")</f>
        <v/>
      </c>
      <c r="V100">
        <f>IFERROR(XLOOKUP(A100,'Source Ledger'!$B$5:$B$200,'Source Ledger'!$G$5:$G$200),"")</f>
        <v/>
      </c>
      <c r="W100">
        <f>IF(OR(M100="",T100=""),"",T100-M100)</f>
        <v/>
      </c>
      <c r="X100">
        <f>IF(V100="","No","Yes")</f>
        <v/>
      </c>
    </row>
    <row r="101">
      <c r="A101" s="7" t="inlineStr">
        <is>
          <t>MD-00097</t>
        </is>
      </c>
      <c r="B101" s="7">
        <f>IFERROR(XLOOKUP(A101,'Source Inventory'!$A$5:$A$200,'Source Inventory'!$B$5:$B$200),"")</f>
        <v/>
      </c>
      <c r="C101" s="7">
        <f>IFERROR(XLOOKUP(A101,'Source Inventory'!$A$5:$A$200,'Source Inventory'!$C$5:$C$200),"")</f>
        <v/>
      </c>
      <c r="D101" s="7">
        <f>IFERROR(XLOOKUP(A101,'Source Inventory'!$A$5:$A$200,'Source Inventory'!$D$5:$D$200),"")</f>
        <v/>
      </c>
      <c r="E101" s="7">
        <f>IFERROR(XLOOKUP(A101,'Source Inventory'!$A$5:$A$200,'Source Inventory'!$E$5:$E$200),"")</f>
        <v/>
      </c>
      <c r="F101" s="7">
        <f>IFERROR(XLOOKUP(A101,'Source Inventory'!$A$5:$A$200,'Source Inventory'!$F$5:$F$200),"")</f>
        <v/>
      </c>
      <c r="G101" s="7">
        <f>IFERROR(XLOOKUP(A101,'Source Inventory'!$A$5:$A$200,'Source Inventory'!$G$5:$G$200),"")</f>
        <v/>
      </c>
      <c r="H101" s="7" t="inlineStr">
        <is>
          <t>E0085</t>
        </is>
      </c>
      <c r="I101" s="7" t="inlineStr">
        <is>
          <t>Unknown</t>
        </is>
      </c>
      <c r="J101" s="8" t="inlineStr">
        <is>
          <t>Missing</t>
        </is>
      </c>
      <c r="K101" s="7" t="inlineStr">
        <is>
          <t>Working conclusion for MD-00097 (MD-LA-050097): Missing at Unknown; cost $2120. offboarding ticket OFF-00097 referenced. PO-2023-0018 is the cited purchase order. last operational site on register was Denver - Closed. Source Ledger FA-000097; net book value $0. equipment_transfer_log TR-00097 posted Jan 21, 2026; inbound 2026-01-27 approval APR-00097. hr_employee_status lists Quincy Rhodes (E0085) as Separated.</t>
        </is>
      </c>
      <c r="L101" s="7" t="inlineStr">
        <is>
          <t>2026-05-14</t>
        </is>
      </c>
      <c r="M101" s="7">
        <f>IFERROR(XLOOKUP(A101,'Source Inventory'!$A$5:$A$200,'Source Inventory'!$H$5:$H$200),"")</f>
        <v/>
      </c>
      <c r="N101" s="7" t="n">
        <v>0</v>
      </c>
      <c r="O101" s="7">
        <f>IFERROR(XLOOKUP(A101,'Source Ledger'!$B$5:$B$200,'Source Ledger'!$A$5:$A$200),"")</f>
        <v/>
      </c>
      <c r="P101" s="7">
        <f>IFERROR(XLOOKUP(A101,'Source Ledger'!$B$5:$B$200,'Source Ledger'!$D$5:$D$200),"")</f>
        <v/>
      </c>
      <c r="Q101" s="7" t="inlineStr">
        <is>
          <t>Low</t>
        </is>
      </c>
      <c r="R101" s="7" t="inlineStr">
        <is>
          <t>EX-0120, EX-0121</t>
        </is>
      </c>
      <c r="S101" s="7">
        <f>IF(OR(R101="",R101=0),"No","Yes")</f>
        <v/>
      </c>
      <c r="T101">
        <f>IFERROR(XLOOKUP(A101,'Source Ledger'!$B$5:$B$200,'Source Ledger'!$E$5:$E$200),"")</f>
        <v/>
      </c>
      <c r="U101">
        <f>IFERROR(XLOOKUP(A101,'Source Ledger'!$B$5:$B$200,'Source Ledger'!$H$5:$H$200),"")</f>
        <v/>
      </c>
      <c r="V101">
        <f>IFERROR(XLOOKUP(A101,'Source Ledger'!$B$5:$B$200,'Source Ledger'!$G$5:$G$200),"")</f>
        <v/>
      </c>
      <c r="W101">
        <f>IF(OR(M101="",T101=""),"",T101-M101)</f>
        <v/>
      </c>
      <c r="X101">
        <f>IF(V101="","No","Yes")</f>
        <v/>
      </c>
    </row>
    <row r="102">
      <c r="A102" s="7" t="inlineStr">
        <is>
          <t>MD-00098</t>
        </is>
      </c>
      <c r="B102" s="7">
        <f>IFERROR(XLOOKUP(A102,'Source Inventory'!$A$5:$A$200,'Source Inventory'!$B$5:$B$200),"")</f>
        <v/>
      </c>
      <c r="C102" s="7">
        <f>IFERROR(XLOOKUP(A102,'Source Inventory'!$A$5:$A$200,'Source Inventory'!$C$5:$C$200),"")</f>
        <v/>
      </c>
      <c r="D102" s="7">
        <f>IFERROR(XLOOKUP(A102,'Source Inventory'!$A$5:$A$200,'Source Inventory'!$D$5:$D$200),"")</f>
        <v/>
      </c>
      <c r="E102" s="7">
        <f>IFERROR(XLOOKUP(A102,'Source Inventory'!$A$5:$A$200,'Source Inventory'!$E$5:$E$200),"")</f>
        <v/>
      </c>
      <c r="F102" s="7">
        <f>IFERROR(XLOOKUP(A102,'Source Inventory'!$A$5:$A$200,'Source Inventory'!$F$5:$F$200),"")</f>
        <v/>
      </c>
      <c r="G102" s="7">
        <f>IFERROR(XLOOKUP(A102,'Source Inventory'!$A$5:$A$200,'Source Inventory'!$G$5:$G$200),"")</f>
        <v/>
      </c>
      <c r="H102" s="7" t="inlineStr">
        <is>
          <t>E0086</t>
        </is>
      </c>
      <c r="I102" s="7" t="inlineStr">
        <is>
          <t>Unknown</t>
        </is>
      </c>
      <c r="J102" s="8" t="inlineStr">
        <is>
          <t>Missing</t>
        </is>
      </c>
      <c r="K102" s="7" t="inlineStr">
        <is>
          <t>Asset MD-00098 — Juniper EX3400 — reconciled to Missing in Unknown on $520 acquisition. offboarding ticket OFF-00098 referenced. PO-2024-0019 is the cited purchase order. Source Ledger FA-000098; net book value $266.87. equipment_transfer_log TR-00098 posted Feb 23, 2026; inbound 2026-02-24 approval APR-00098. hr_employee_status lists Sloane Richter (E0086) as Separated. last operational site on register was Chicago - Closed.</t>
        </is>
      </c>
      <c r="L102" s="7" t="inlineStr">
        <is>
          <t>2026-06-15</t>
        </is>
      </c>
      <c r="M102" s="7">
        <f>IFERROR(XLOOKUP(A102,'Source Inventory'!$A$5:$A$200,'Source Inventory'!$H$5:$H$200),"")</f>
        <v/>
      </c>
      <c r="N102" s="7" t="n">
        <v>266.87</v>
      </c>
      <c r="O102" s="7">
        <f>IFERROR(XLOOKUP(A102,'Source Ledger'!$B$5:$B$200,'Source Ledger'!$A$5:$A$200),"")</f>
        <v/>
      </c>
      <c r="P102" s="7">
        <f>IFERROR(XLOOKUP(A102,'Source Ledger'!$B$5:$B$200,'Source Ledger'!$D$5:$D$200),"")</f>
        <v/>
      </c>
      <c r="Q102" s="7" t="inlineStr">
        <is>
          <t>Low</t>
        </is>
      </c>
      <c r="R102" s="7" t="inlineStr">
        <is>
          <t>EX-0122, EX-0123</t>
        </is>
      </c>
      <c r="S102" s="7">
        <f>IF(OR(R102="",R102=0),"No","Yes")</f>
        <v/>
      </c>
      <c r="T102">
        <f>IFERROR(XLOOKUP(A102,'Source Ledger'!$B$5:$B$200,'Source Ledger'!$E$5:$E$200),"")</f>
        <v/>
      </c>
      <c r="U102">
        <f>IFERROR(XLOOKUP(A102,'Source Ledger'!$B$5:$B$200,'Source Ledger'!$H$5:$H$200),"")</f>
        <v/>
      </c>
      <c r="V102">
        <f>IFERROR(XLOOKUP(A102,'Source Ledger'!$B$5:$B$200,'Source Ledger'!$G$5:$G$200),"")</f>
        <v/>
      </c>
      <c r="W102">
        <f>IF(OR(M102="",T102=""),"",T102-M102)</f>
        <v/>
      </c>
      <c r="X102">
        <f>IF(V102="","No","Yes")</f>
        <v/>
      </c>
    </row>
    <row r="103">
      <c r="A103" s="7" t="inlineStr">
        <is>
          <t>MD-00099</t>
        </is>
      </c>
      <c r="B103" s="7">
        <f>IFERROR(XLOOKUP(A103,'Source Inventory'!$A$5:$A$200,'Source Inventory'!$B$5:$B$200),"")</f>
        <v/>
      </c>
      <c r="C103" s="7">
        <f>IFERROR(XLOOKUP(A103,'Source Inventory'!$A$5:$A$200,'Source Inventory'!$C$5:$C$200),"")</f>
        <v/>
      </c>
      <c r="D103" s="7">
        <f>IFERROR(XLOOKUP(A103,'Source Inventory'!$A$5:$A$200,'Source Inventory'!$D$5:$D$200),"")</f>
        <v/>
      </c>
      <c r="E103" s="7">
        <f>IFERROR(XLOOKUP(A103,'Source Inventory'!$A$5:$A$200,'Source Inventory'!$E$5:$E$200),"")</f>
        <v/>
      </c>
      <c r="F103" s="7">
        <f>IFERROR(XLOOKUP(A103,'Source Inventory'!$A$5:$A$200,'Source Inventory'!$F$5:$F$200),"")</f>
        <v/>
      </c>
      <c r="G103" s="7">
        <f>IFERROR(XLOOKUP(A103,'Source Inventory'!$A$5:$A$200,'Source Inventory'!$G$5:$G$200),"")</f>
        <v/>
      </c>
      <c r="H103" s="7" t="inlineStr">
        <is>
          <t>E0087</t>
        </is>
      </c>
      <c r="I103" s="7" t="inlineStr">
        <is>
          <t>Unknown</t>
        </is>
      </c>
      <c r="J103" s="8" t="inlineStr">
        <is>
          <t>Missing</t>
        </is>
      </c>
      <c r="K103" s="7" t="inlineStr">
        <is>
          <t>Working conclusion for MD-00099 (MD-MO-050099): Missing at Unknown; cost $995. offboarding ticket OFF-00099 referenced. purchasing file shows PO-2024-0019 for this unit. last operational site on register was Denver - Closed. Source Ledger FA-000099; net book value $548.24. equipment_transfer_log TR-00099 posted Mar 31, 2026; inbound 2026-04-02 approval APR-00099. hr_employee_status lists Nolan Vega (E0087) as Separated.</t>
        </is>
      </c>
      <c r="L103" s="7" t="inlineStr">
        <is>
          <t>2026-05-16</t>
        </is>
      </c>
      <c r="M103" s="7">
        <f>IFERROR(XLOOKUP(A103,'Source Inventory'!$A$5:$A$200,'Source Inventory'!$H$5:$H$200),"")</f>
        <v/>
      </c>
      <c r="N103" s="7" t="n">
        <v>548.24</v>
      </c>
      <c r="O103" s="7">
        <f>IFERROR(XLOOKUP(A103,'Source Ledger'!$B$5:$B$200,'Source Ledger'!$A$5:$A$200),"")</f>
        <v/>
      </c>
      <c r="P103" s="7">
        <f>IFERROR(XLOOKUP(A103,'Source Ledger'!$B$5:$B$200,'Source Ledger'!$D$5:$D$200),"")</f>
        <v/>
      </c>
      <c r="Q103" s="7" t="inlineStr">
        <is>
          <t>Low</t>
        </is>
      </c>
      <c r="R103" s="7" t="inlineStr">
        <is>
          <t>EX-0124, EX-0125</t>
        </is>
      </c>
      <c r="S103" s="7">
        <f>IF(OR(R103="",R103=0),"No","Yes")</f>
        <v/>
      </c>
      <c r="T103">
        <f>IFERROR(XLOOKUP(A103,'Source Ledger'!$B$5:$B$200,'Source Ledger'!$E$5:$E$200),"")</f>
        <v/>
      </c>
      <c r="U103">
        <f>IFERROR(XLOOKUP(A103,'Source Ledger'!$B$5:$B$200,'Source Ledger'!$H$5:$H$200),"")</f>
        <v/>
      </c>
      <c r="V103">
        <f>IFERROR(XLOOKUP(A103,'Source Ledger'!$B$5:$B$200,'Source Ledger'!$G$5:$G$200),"")</f>
        <v/>
      </c>
      <c r="W103">
        <f>IF(OR(M103="",T103=""),"",T103-M103)</f>
        <v/>
      </c>
      <c r="X103">
        <f>IF(V103="","No","Yes")</f>
        <v/>
      </c>
    </row>
    <row r="104">
      <c r="A104" s="7" t="inlineStr">
        <is>
          <t>MD-00100</t>
        </is>
      </c>
      <c r="B104" s="7">
        <f>IFERROR(XLOOKUP(A104,'Source Inventory'!$A$5:$A$200,'Source Inventory'!$B$5:$B$200),"")</f>
        <v/>
      </c>
      <c r="C104" s="7">
        <f>IFERROR(XLOOKUP(A104,'Source Inventory'!$A$5:$A$200,'Source Inventory'!$C$5:$C$200),"")</f>
        <v/>
      </c>
      <c r="D104" s="7">
        <f>IFERROR(XLOOKUP(A104,'Source Inventory'!$A$5:$A$200,'Source Inventory'!$D$5:$D$200),"")</f>
        <v/>
      </c>
      <c r="E104" s="7">
        <f>IFERROR(XLOOKUP(A104,'Source Inventory'!$A$5:$A$200,'Source Inventory'!$E$5:$E$200),"")</f>
        <v/>
      </c>
      <c r="F104" s="7">
        <f>IFERROR(XLOOKUP(A104,'Source Inventory'!$A$5:$A$200,'Source Inventory'!$F$5:$F$200),"")</f>
        <v/>
      </c>
      <c r="G104" s="7">
        <f>IFERROR(XLOOKUP(A104,'Source Inventory'!$A$5:$A$200,'Source Inventory'!$G$5:$G$200),"")</f>
        <v/>
      </c>
      <c r="H104" s="7" t="inlineStr">
        <is>
          <t>E0088</t>
        </is>
      </c>
      <c r="I104" s="7" t="inlineStr">
        <is>
          <t>Unknown</t>
        </is>
      </c>
      <c r="J104" s="8" t="inlineStr">
        <is>
          <t>Missing</t>
        </is>
      </c>
      <c r="K104" s="7" t="inlineStr">
        <is>
          <t>Working conclusion for MD-00100 (MD-NE-050100): Missing at Unknown; cost $6290. offboarding ticket OFF-00100 referenced. hr_employee_status lists Ivy Chenoweth (E0088) as Separated. purchasing file shows PO-2024-0019 for this unit. last operational site on register was Chicago - Closed. equipment_transfer_log TR-00100 posted May 01, 2026; inbound 2026-05-05 approval APR-00100. Source Ledger FA-000100; net book value $927.36.</t>
        </is>
      </c>
      <c r="L104" s="7" t="inlineStr">
        <is>
          <t>2026-06-17</t>
        </is>
      </c>
      <c r="M104" s="7">
        <f>IFERROR(XLOOKUP(A104,'Source Inventory'!$A$5:$A$200,'Source Inventory'!$H$5:$H$200),"")</f>
        <v/>
      </c>
      <c r="N104" s="7" t="n">
        <v>927.36</v>
      </c>
      <c r="O104" s="7">
        <f>IFERROR(XLOOKUP(A104,'Source Ledger'!$B$5:$B$200,'Source Ledger'!$A$5:$A$200),"")</f>
        <v/>
      </c>
      <c r="P104" s="7">
        <f>IFERROR(XLOOKUP(A104,'Source Ledger'!$B$5:$B$200,'Source Ledger'!$D$5:$D$200),"")</f>
        <v/>
      </c>
      <c r="Q104" s="7" t="inlineStr">
        <is>
          <t>Low</t>
        </is>
      </c>
      <c r="R104" s="7" t="inlineStr">
        <is>
          <t>EX-0126, EX-0127</t>
        </is>
      </c>
      <c r="S104" s="7">
        <f>IF(OR(R104="",R104=0),"No","Yes")</f>
        <v/>
      </c>
      <c r="T104">
        <f>IFERROR(XLOOKUP(A104,'Source Ledger'!$B$5:$B$200,'Source Ledger'!$E$5:$E$200),"")</f>
        <v/>
      </c>
      <c r="U104">
        <f>IFERROR(XLOOKUP(A104,'Source Ledger'!$B$5:$B$200,'Source Ledger'!$H$5:$H$200),"")</f>
        <v/>
      </c>
      <c r="V104">
        <f>IFERROR(XLOOKUP(A104,'Source Ledger'!$B$5:$B$200,'Source Ledger'!$G$5:$G$200),"")</f>
        <v/>
      </c>
      <c r="W104">
        <f>IF(OR(M104="",T104=""),"",T104-M104)</f>
        <v/>
      </c>
      <c r="X104">
        <f>IF(V104="","No","Yes")</f>
        <v/>
      </c>
    </row>
    <row r="105">
      <c r="A105" s="7" t="inlineStr">
        <is>
          <t>MD-00101</t>
        </is>
      </c>
      <c r="B105" s="7">
        <f>IFERROR(XLOOKUP(A105,'Source Inventory'!$A$5:$A$200,'Source Inventory'!$B$5:$B$200),"")</f>
        <v/>
      </c>
      <c r="C105" s="7">
        <f>IFERROR(XLOOKUP(A105,'Source Inventory'!$A$5:$A$200,'Source Inventory'!$C$5:$C$200),"")</f>
        <v/>
      </c>
      <c r="D105" s="7">
        <f>IFERROR(XLOOKUP(A105,'Source Inventory'!$A$5:$A$200,'Source Inventory'!$D$5:$D$200),"")</f>
        <v/>
      </c>
      <c r="E105" s="7">
        <f>IFERROR(XLOOKUP(A105,'Source Inventory'!$A$5:$A$200,'Source Inventory'!$E$5:$E$200),"")</f>
        <v/>
      </c>
      <c r="F105" s="7">
        <f>IFERROR(XLOOKUP(A105,'Source Inventory'!$A$5:$A$200,'Source Inventory'!$F$5:$F$200),"")</f>
        <v/>
      </c>
      <c r="G105" s="7">
        <f>IFERROR(XLOOKUP(A105,'Source Inventory'!$A$5:$A$200,'Source Inventory'!$G$5:$G$200),"")</f>
        <v/>
      </c>
      <c r="H105" s="7" t="inlineStr">
        <is>
          <t>Regional IT</t>
        </is>
      </c>
      <c r="I105" s="7" t="inlineStr">
        <is>
          <t>Seattle</t>
        </is>
      </c>
      <c r="J105" s="7" t="inlineStr">
        <is>
          <t>Retired/Pending Disposal</t>
        </is>
      </c>
      <c r="K105" s="7" t="inlineStr">
        <is>
          <t>Asset MD-00101 — Microsoft Surface Laptop 5 — reconciled to Retired/Pending Disposal in Seattle on $1985 acquisition. PO-2024-0019 is the cited purchase order. Source Ledger FA-000101; net book value $0. equipment_transfer_log TR-00101 posted Jun 05, 2026; inbound 2026-06-07 approval APR-00101. offboarding ticket RET-00101 referenced.</t>
        </is>
      </c>
      <c r="L105" s="7" t="inlineStr">
        <is>
          <t>2026-06-07</t>
        </is>
      </c>
      <c r="M105" s="7">
        <f>IFERROR(XLOOKUP(A105,'Source Inventory'!$A$5:$A$200,'Source Inventory'!$H$5:$H$200),"")</f>
        <v/>
      </c>
      <c r="N105" s="7" t="n">
        <v>0</v>
      </c>
      <c r="O105" s="7">
        <f>IFERROR(XLOOKUP(A105,'Source Ledger'!$B$5:$B$200,'Source Ledger'!$A$5:$A$200),"")</f>
        <v/>
      </c>
      <c r="P105" s="7">
        <f>IFERROR(XLOOKUP(A105,'Source Ledger'!$B$5:$B$200,'Source Ledger'!$D$5:$D$200),"")</f>
        <v/>
      </c>
      <c r="Q105" s="7" t="inlineStr">
        <is>
          <t>Medium</t>
        </is>
      </c>
      <c r="R105" s="7" t="inlineStr">
        <is>
          <t>EX-0128, EX-0129</t>
        </is>
      </c>
      <c r="S105" s="7">
        <f>IF(OR(R105="",R105=0),"No","Yes")</f>
        <v/>
      </c>
      <c r="T105">
        <f>IFERROR(XLOOKUP(A105,'Source Ledger'!$B$5:$B$200,'Source Ledger'!$E$5:$E$200),"")</f>
        <v/>
      </c>
      <c r="U105">
        <f>IFERROR(XLOOKUP(A105,'Source Ledger'!$B$5:$B$200,'Source Ledger'!$H$5:$H$200),"")</f>
        <v/>
      </c>
      <c r="V105">
        <f>IFERROR(XLOOKUP(A105,'Source Ledger'!$B$5:$B$200,'Source Ledger'!$G$5:$G$200),"")</f>
        <v/>
      </c>
      <c r="W105">
        <f>IF(OR(M105="",T105=""),"",T105-M105)</f>
        <v/>
      </c>
      <c r="X105">
        <f>IF(V105="","No","Yes")</f>
        <v/>
      </c>
    </row>
    <row r="106">
      <c r="A106" s="7" t="inlineStr">
        <is>
          <t>MD-00102</t>
        </is>
      </c>
      <c r="B106" s="7">
        <f>IFERROR(XLOOKUP(A106,'Source Inventory'!$A$5:$A$200,'Source Inventory'!$B$5:$B$200),"")</f>
        <v/>
      </c>
      <c r="C106" s="7">
        <f>IFERROR(XLOOKUP(A106,'Source Inventory'!$A$5:$A$200,'Source Inventory'!$C$5:$C$200),"")</f>
        <v/>
      </c>
      <c r="D106" s="7">
        <f>IFERROR(XLOOKUP(A106,'Source Inventory'!$A$5:$A$200,'Source Inventory'!$D$5:$D$200),"")</f>
        <v/>
      </c>
      <c r="E106" s="7">
        <f>IFERROR(XLOOKUP(A106,'Source Inventory'!$A$5:$A$200,'Source Inventory'!$E$5:$E$200),"")</f>
        <v/>
      </c>
      <c r="F106" s="7">
        <f>IFERROR(XLOOKUP(A106,'Source Inventory'!$A$5:$A$200,'Source Inventory'!$F$5:$F$200),"")</f>
        <v/>
      </c>
      <c r="G106" s="7">
        <f>IFERROR(XLOOKUP(A106,'Source Inventory'!$A$5:$A$200,'Source Inventory'!$G$5:$G$200),"")</f>
        <v/>
      </c>
      <c r="H106" s="7" t="inlineStr">
        <is>
          <t>Regional IT</t>
        </is>
      </c>
      <c r="I106" s="7" t="inlineStr">
        <is>
          <t>Atlanta</t>
        </is>
      </c>
      <c r="J106" s="7" t="inlineStr">
        <is>
          <t>Retired/Pending Disposal</t>
        </is>
      </c>
      <c r="K106" s="7" t="inlineStr">
        <is>
          <t>Files reviewed for MD-00102: Lenovo ThinkPad X1 Carbon, basis $700, operating site Atlanta, status Retired/Pending Disposal. Source Ledger FA-000102; net book value $407.54. equipment_transfer_log TR-00102 posted Jan 10, 2026; inbound 2026-01-11 approval APR-00102. offboarding ticket RET-00102 referenced. purchasing file shows PO-2024-0019 for this unit.</t>
        </is>
      </c>
      <c r="L106" s="7" t="inlineStr">
        <is>
          <t>2026-05-31</t>
        </is>
      </c>
      <c r="M106" s="7">
        <f>IFERROR(XLOOKUP(A106,'Source Inventory'!$A$5:$A$200,'Source Inventory'!$H$5:$H$200),"")</f>
        <v/>
      </c>
      <c r="N106" s="7" t="n">
        <v>407.54</v>
      </c>
      <c r="O106" s="7">
        <f>IFERROR(XLOOKUP(A106,'Source Ledger'!$B$5:$B$200,'Source Ledger'!$A$5:$A$200),"")</f>
        <v/>
      </c>
      <c r="P106" s="7">
        <f>IFERROR(XLOOKUP(A106,'Source Ledger'!$B$5:$B$200,'Source Ledger'!$D$5:$D$200),"")</f>
        <v/>
      </c>
      <c r="Q106" s="7" t="inlineStr">
        <is>
          <t>Medium</t>
        </is>
      </c>
      <c r="R106" s="7" t="inlineStr">
        <is>
          <t>EX-0130, EX-0131, EX-0132</t>
        </is>
      </c>
      <c r="S106" s="7">
        <f>IF(OR(R106="",R106=0),"No","Yes")</f>
        <v/>
      </c>
      <c r="T106">
        <f>IFERROR(XLOOKUP(A106,'Source Ledger'!$B$5:$B$200,'Source Ledger'!$E$5:$E$200),"")</f>
        <v/>
      </c>
      <c r="U106">
        <f>IFERROR(XLOOKUP(A106,'Source Ledger'!$B$5:$B$200,'Source Ledger'!$H$5:$H$200),"")</f>
        <v/>
      </c>
      <c r="V106">
        <f>IFERROR(XLOOKUP(A106,'Source Ledger'!$B$5:$B$200,'Source Ledger'!$G$5:$G$200),"")</f>
        <v/>
      </c>
      <c r="W106">
        <f>IF(OR(M106="",T106=""),"",T106-M106)</f>
        <v/>
      </c>
      <c r="X106">
        <f>IF(V106="","No","Yes")</f>
        <v/>
      </c>
    </row>
    <row r="107">
      <c r="A107" s="7" t="inlineStr">
        <is>
          <t>MD-00103</t>
        </is>
      </c>
      <c r="B107" s="7">
        <f>IFERROR(XLOOKUP(A107,'Source Inventory'!$A$5:$A$200,'Source Inventory'!$B$5:$B$200),"")</f>
        <v/>
      </c>
      <c r="C107" s="7">
        <f>IFERROR(XLOOKUP(A107,'Source Inventory'!$A$5:$A$200,'Source Inventory'!$C$5:$C$200),"")</f>
        <v/>
      </c>
      <c r="D107" s="7">
        <f>IFERROR(XLOOKUP(A107,'Source Inventory'!$A$5:$A$200,'Source Inventory'!$D$5:$D$200),"")</f>
        <v/>
      </c>
      <c r="E107" s="7">
        <f>IFERROR(XLOOKUP(A107,'Source Inventory'!$A$5:$A$200,'Source Inventory'!$E$5:$E$200),"")</f>
        <v/>
      </c>
      <c r="F107" s="7">
        <f>IFERROR(XLOOKUP(A107,'Source Inventory'!$A$5:$A$200,'Source Inventory'!$F$5:$F$200),"")</f>
        <v/>
      </c>
      <c r="G107" s="7">
        <f>IFERROR(XLOOKUP(A107,'Source Inventory'!$A$5:$A$200,'Source Inventory'!$G$5:$G$200),"")</f>
        <v/>
      </c>
      <c r="H107" s="7" t="inlineStr">
        <is>
          <t>Regional IT</t>
        </is>
      </c>
      <c r="I107" s="7" t="inlineStr">
        <is>
          <t>Chicago</t>
        </is>
      </c>
      <c r="J107" s="7" t="inlineStr">
        <is>
          <t>Retired/Pending Disposal</t>
        </is>
      </c>
      <c r="K107" s="7" t="inlineStr">
        <is>
          <t>Files reviewed for MD-00103: Lenovo ThinkPad T14, basis $1175, operating site Chicago, status Retired/Pending Disposal. Source Ledger FA-000103; net book value $782.53. equipment_transfer_log TR-00103 posted Feb 11, 2026; inbound 2026-02-14 approval APR-00103. offboarding ticket RET-00103 referenced. PO-2024-0019 is the cited purchase order.</t>
        </is>
      </c>
      <c r="L107" s="7" t="inlineStr">
        <is>
          <t>2026-05-31</t>
        </is>
      </c>
      <c r="M107" s="7">
        <f>IFERROR(XLOOKUP(A107,'Source Inventory'!$A$5:$A$200,'Source Inventory'!$H$5:$H$200),"")</f>
        <v/>
      </c>
      <c r="N107" s="7" t="n">
        <v>782.53</v>
      </c>
      <c r="O107" s="7">
        <f>IFERROR(XLOOKUP(A107,'Source Ledger'!$B$5:$B$200,'Source Ledger'!$A$5:$A$200),"")</f>
        <v/>
      </c>
      <c r="P107" s="7">
        <f>IFERROR(XLOOKUP(A107,'Source Ledger'!$B$5:$B$200,'Source Ledger'!$D$5:$D$200),"")</f>
        <v/>
      </c>
      <c r="Q107" s="7" t="inlineStr">
        <is>
          <t>Medium</t>
        </is>
      </c>
      <c r="R107" s="7" t="inlineStr">
        <is>
          <t>EX-0133, EX-0134</t>
        </is>
      </c>
      <c r="S107" s="7">
        <f>IF(OR(R107="",R107=0),"No","Yes")</f>
        <v/>
      </c>
      <c r="T107">
        <f>IFERROR(XLOOKUP(A107,'Source Ledger'!$B$5:$B$200,'Source Ledger'!$E$5:$E$200),"")</f>
        <v/>
      </c>
      <c r="U107">
        <f>IFERROR(XLOOKUP(A107,'Source Ledger'!$B$5:$B$200,'Source Ledger'!$H$5:$H$200),"")</f>
        <v/>
      </c>
      <c r="V107">
        <f>IFERROR(XLOOKUP(A107,'Source Ledger'!$B$5:$B$200,'Source Ledger'!$G$5:$G$200),"")</f>
        <v/>
      </c>
      <c r="W107">
        <f>IF(OR(M107="",T107=""),"",T107-M107)</f>
        <v/>
      </c>
      <c r="X107">
        <f>IF(V107="","No","Yes")</f>
        <v/>
      </c>
    </row>
    <row r="108">
      <c r="A108" s="7" t="inlineStr">
        <is>
          <t>MD-00104</t>
        </is>
      </c>
      <c r="B108" s="7">
        <f>IFERROR(XLOOKUP(A108,'Source Inventory'!$A$5:$A$200,'Source Inventory'!$B$5:$B$200),"")</f>
        <v/>
      </c>
      <c r="C108" s="7">
        <f>IFERROR(XLOOKUP(A108,'Source Inventory'!$A$5:$A$200,'Source Inventory'!$C$5:$C$200),"")</f>
        <v/>
      </c>
      <c r="D108" s="7">
        <f>IFERROR(XLOOKUP(A108,'Source Inventory'!$A$5:$A$200,'Source Inventory'!$D$5:$D$200),"")</f>
        <v/>
      </c>
      <c r="E108" s="7">
        <f>IFERROR(XLOOKUP(A108,'Source Inventory'!$A$5:$A$200,'Source Inventory'!$E$5:$E$200),"")</f>
        <v/>
      </c>
      <c r="F108" s="7">
        <f>IFERROR(XLOOKUP(A108,'Source Inventory'!$A$5:$A$200,'Source Inventory'!$F$5:$F$200),"")</f>
        <v/>
      </c>
      <c r="G108" s="7">
        <f>IFERROR(XLOOKUP(A108,'Source Inventory'!$A$5:$A$200,'Source Inventory'!$G$5:$G$200),"")</f>
        <v/>
      </c>
      <c r="H108" s="7" t="inlineStr">
        <is>
          <t>Regional IT</t>
        </is>
      </c>
      <c r="I108" s="7" t="inlineStr">
        <is>
          <t>Dallas</t>
        </is>
      </c>
      <c r="J108" s="7" t="inlineStr">
        <is>
          <t>Retired/Pending Disposal</t>
        </is>
      </c>
      <c r="K108" s="7" t="inlineStr">
        <is>
          <t>Files reviewed for MD-00104: MacBook Pro 14, basis $6470, operating site Dallas, status Retired/Pending Disposal. Source Ledger FA-000104; net book value $1403.83. equipment_transfer_log TR-00104 posted Mar 16, 2026; inbound 2026-03-18 approval APR-00104. offboarding ticket RET-00104 referenced. PO PO-2025-0020 documents the buy for MD-00104.</t>
        </is>
      </c>
      <c r="L108" s="7" t="inlineStr">
        <is>
          <t>2026-05-31</t>
        </is>
      </c>
      <c r="M108" s="7">
        <f>IFERROR(XLOOKUP(A108,'Source Inventory'!$A$5:$A$200,'Source Inventory'!$H$5:$H$200),"")</f>
        <v/>
      </c>
      <c r="N108" s="7" t="n">
        <v>1403.83</v>
      </c>
      <c r="O108" s="7">
        <f>IFERROR(XLOOKUP(A108,'Source Ledger'!$B$5:$B$200,'Source Ledger'!$A$5:$A$200),"")</f>
        <v/>
      </c>
      <c r="P108" s="7">
        <f>IFERROR(XLOOKUP(A108,'Source Ledger'!$B$5:$B$200,'Source Ledger'!$D$5:$D$200),"")</f>
        <v/>
      </c>
      <c r="Q108" s="7" t="inlineStr">
        <is>
          <t>Medium</t>
        </is>
      </c>
      <c r="R108" s="7" t="inlineStr">
        <is>
          <t>EX-0135, EX-0136</t>
        </is>
      </c>
      <c r="S108" s="7">
        <f>IF(OR(R108="",R108=0),"No","Yes")</f>
        <v/>
      </c>
      <c r="T108">
        <f>IFERROR(XLOOKUP(A108,'Source Ledger'!$B$5:$B$200,'Source Ledger'!$E$5:$E$200),"")</f>
        <v/>
      </c>
      <c r="U108">
        <f>IFERROR(XLOOKUP(A108,'Source Ledger'!$B$5:$B$200,'Source Ledger'!$H$5:$H$200),"")</f>
        <v/>
      </c>
      <c r="V108">
        <f>IFERROR(XLOOKUP(A108,'Source Ledger'!$B$5:$B$200,'Source Ledger'!$G$5:$G$200),"")</f>
        <v/>
      </c>
      <c r="W108">
        <f>IF(OR(M108="",T108=""),"",T108-M108)</f>
        <v/>
      </c>
      <c r="X108">
        <f>IF(V108="","No","Yes")</f>
        <v/>
      </c>
    </row>
    <row r="109">
      <c r="A109" s="7" t="inlineStr">
        <is>
          <t>MD-00105</t>
        </is>
      </c>
      <c r="B109" s="7">
        <f>IFERROR(XLOOKUP(A109,'Source Inventory'!$A$5:$A$200,'Source Inventory'!$B$5:$B$200),"")</f>
        <v/>
      </c>
      <c r="C109" s="7">
        <f>IFERROR(XLOOKUP(A109,'Source Inventory'!$A$5:$A$200,'Source Inventory'!$C$5:$C$200),"")</f>
        <v/>
      </c>
      <c r="D109" s="7">
        <f>IFERROR(XLOOKUP(A109,'Source Inventory'!$A$5:$A$200,'Source Inventory'!$D$5:$D$200),"")</f>
        <v/>
      </c>
      <c r="E109" s="7">
        <f>IFERROR(XLOOKUP(A109,'Source Inventory'!$A$5:$A$200,'Source Inventory'!$E$5:$E$200),"")</f>
        <v/>
      </c>
      <c r="F109" s="7">
        <f>IFERROR(XLOOKUP(A109,'Source Inventory'!$A$5:$A$200,'Source Inventory'!$F$5:$F$200),"")</f>
        <v/>
      </c>
      <c r="G109" s="7">
        <f>IFERROR(XLOOKUP(A109,'Source Inventory'!$A$5:$A$200,'Source Inventory'!$G$5:$G$200),"")</f>
        <v/>
      </c>
      <c r="H109" s="7" t="inlineStr">
        <is>
          <t>Regional IT</t>
        </is>
      </c>
      <c r="I109" s="7" t="inlineStr">
        <is>
          <t>Denver</t>
        </is>
      </c>
      <c r="J109" s="7" t="inlineStr">
        <is>
          <t>Retired/Pending Disposal</t>
        </is>
      </c>
      <c r="K109" s="7" t="inlineStr">
        <is>
          <t>Asset MD-00105 — Dell Latitude 7440 — reconciled to Retired/Pending Disposal in Denver on $1850 acquisition. buy path for MD-00105 references PO-2025-0020. Source Ledger FA-000105; net book value $104.26. equipment_transfer_log TR-00105 posted Apr 20, 2026; inbound 2026-04-21 approval APR-00105. offboarding ticket RET-00105 referenced.</t>
        </is>
      </c>
      <c r="L109" s="7" t="inlineStr">
        <is>
          <t>2026-05-31</t>
        </is>
      </c>
      <c r="M109" s="7">
        <f>IFERROR(XLOOKUP(A109,'Source Inventory'!$A$5:$A$200,'Source Inventory'!$H$5:$H$200),"")</f>
        <v/>
      </c>
      <c r="N109" s="7" t="n">
        <v>104.26</v>
      </c>
      <c r="O109" s="7">
        <f>IFERROR(XLOOKUP(A109,'Source Ledger'!$B$5:$B$200,'Source Ledger'!$A$5:$A$200),"")</f>
        <v/>
      </c>
      <c r="P109" s="7">
        <f>IFERROR(XLOOKUP(A109,'Source Ledger'!$B$5:$B$200,'Source Ledger'!$D$5:$D$200),"")</f>
        <v/>
      </c>
      <c r="Q109" s="7" t="inlineStr">
        <is>
          <t>Medium</t>
        </is>
      </c>
      <c r="R109" s="7" t="inlineStr">
        <is>
          <t>EX-0137, EX-0138</t>
        </is>
      </c>
      <c r="S109" s="7">
        <f>IF(OR(R109="",R109=0),"No","Yes")</f>
        <v/>
      </c>
      <c r="T109">
        <f>IFERROR(XLOOKUP(A109,'Source Ledger'!$B$5:$B$200,'Source Ledger'!$E$5:$E$200),"")</f>
        <v/>
      </c>
      <c r="U109">
        <f>IFERROR(XLOOKUP(A109,'Source Ledger'!$B$5:$B$200,'Source Ledger'!$H$5:$H$200),"")</f>
        <v/>
      </c>
      <c r="V109">
        <f>IFERROR(XLOOKUP(A109,'Source Ledger'!$B$5:$B$200,'Source Ledger'!$G$5:$G$200),"")</f>
        <v/>
      </c>
      <c r="W109">
        <f>IF(OR(M109="",T109=""),"",T109-M109)</f>
        <v/>
      </c>
      <c r="X109">
        <f>IF(V109="","No","Yes")</f>
        <v/>
      </c>
    </row>
    <row r="110">
      <c r="A110" s="7" t="inlineStr">
        <is>
          <t>MD-00106</t>
        </is>
      </c>
      <c r="B110" s="7">
        <f>IFERROR(XLOOKUP(A110,'Source Inventory'!$A$5:$A$200,'Source Inventory'!$B$5:$B$200),"")</f>
        <v/>
      </c>
      <c r="C110" s="7">
        <f>IFERROR(XLOOKUP(A110,'Source Inventory'!$A$5:$A$200,'Source Inventory'!$C$5:$C$200),"")</f>
        <v/>
      </c>
      <c r="D110" s="7">
        <f>IFERROR(XLOOKUP(A110,'Source Inventory'!$A$5:$A$200,'Source Inventory'!$D$5:$D$200),"")</f>
        <v/>
      </c>
      <c r="E110" s="7">
        <f>IFERROR(XLOOKUP(A110,'Source Inventory'!$A$5:$A$200,'Source Inventory'!$E$5:$E$200),"")</f>
        <v/>
      </c>
      <c r="F110" s="7">
        <f>IFERROR(XLOOKUP(A110,'Source Inventory'!$A$5:$A$200,'Source Inventory'!$F$5:$F$200),"")</f>
        <v/>
      </c>
      <c r="G110" s="7">
        <f>IFERROR(XLOOKUP(A110,'Source Inventory'!$A$5:$A$200,'Source Inventory'!$G$5:$G$200),"")</f>
        <v/>
      </c>
      <c r="H110" s="7" t="inlineStr">
        <is>
          <t>Regional IT</t>
        </is>
      </c>
      <c r="I110" s="7" t="inlineStr">
        <is>
          <t>New York</t>
        </is>
      </c>
      <c r="J110" s="7" t="inlineStr">
        <is>
          <t>Retired/Pending Disposal</t>
        </is>
      </c>
      <c r="K110" s="7" t="inlineStr">
        <is>
          <t>Asset MD-00106 — HP EliteBook 840 G10 — reconciled to Retired/Pending Disposal in New York on $565 acquisition. purchasing file shows PO-2025-0020 for this unit. Source Ledger FA-000106; net book value $368.24. equipment_transfer_log TR-00106 posted May 22, 2026; inbound 2026-05-25 approval APR-00106. offboarding ticket RET-00106 referenced.</t>
        </is>
      </c>
      <c r="L110" s="7" t="inlineStr">
        <is>
          <t>2026-05-31</t>
        </is>
      </c>
      <c r="M110" s="7">
        <f>IFERROR(XLOOKUP(A110,'Source Inventory'!$A$5:$A$200,'Source Inventory'!$H$5:$H$200),"")</f>
        <v/>
      </c>
      <c r="N110" s="7" t="n">
        <v>368.24</v>
      </c>
      <c r="O110" s="7">
        <f>IFERROR(XLOOKUP(A110,'Source Ledger'!$B$5:$B$200,'Source Ledger'!$A$5:$A$200),"")</f>
        <v/>
      </c>
      <c r="P110" s="7">
        <f>IFERROR(XLOOKUP(A110,'Source Ledger'!$B$5:$B$200,'Source Ledger'!$D$5:$D$200),"")</f>
        <v/>
      </c>
      <c r="Q110" s="7" t="inlineStr">
        <is>
          <t>Medium</t>
        </is>
      </c>
      <c r="R110" s="7" t="inlineStr">
        <is>
          <t>EX-0139, EX-0140</t>
        </is>
      </c>
      <c r="S110" s="7">
        <f>IF(OR(R110="",R110=0),"No","Yes")</f>
        <v/>
      </c>
      <c r="T110">
        <f>IFERROR(XLOOKUP(A110,'Source Ledger'!$B$5:$B$200,'Source Ledger'!$E$5:$E$200),"")</f>
        <v/>
      </c>
      <c r="U110">
        <f>IFERROR(XLOOKUP(A110,'Source Ledger'!$B$5:$B$200,'Source Ledger'!$H$5:$H$200),"")</f>
        <v/>
      </c>
      <c r="V110">
        <f>IFERROR(XLOOKUP(A110,'Source Ledger'!$B$5:$B$200,'Source Ledger'!$G$5:$G$200),"")</f>
        <v/>
      </c>
      <c r="W110">
        <f>IF(OR(M110="",T110=""),"",T110-M110)</f>
        <v/>
      </c>
      <c r="X110">
        <f>IF(V110="","No","Yes")</f>
        <v/>
      </c>
    </row>
    <row r="111">
      <c r="A111" s="7" t="inlineStr">
        <is>
          <t>MD-00107</t>
        </is>
      </c>
      <c r="B111" s="7">
        <f>IFERROR(XLOOKUP(A111,'Source Inventory'!$A$5:$A$200,'Source Inventory'!$B$5:$B$200),"")</f>
        <v/>
      </c>
      <c r="C111" s="7">
        <f>IFERROR(XLOOKUP(A111,'Source Inventory'!$A$5:$A$200,'Source Inventory'!$C$5:$C$200),"")</f>
        <v/>
      </c>
      <c r="D111" s="7">
        <f>IFERROR(XLOOKUP(A111,'Source Inventory'!$A$5:$A$200,'Source Inventory'!$D$5:$D$200),"")</f>
        <v/>
      </c>
      <c r="E111" s="7">
        <f>IFERROR(XLOOKUP(A111,'Source Inventory'!$A$5:$A$200,'Source Inventory'!$E$5:$E$200),"")</f>
        <v/>
      </c>
      <c r="F111" s="7">
        <f>IFERROR(XLOOKUP(A111,'Source Inventory'!$A$5:$A$200,'Source Inventory'!$F$5:$F$200),"")</f>
        <v/>
      </c>
      <c r="G111" s="7">
        <f>IFERROR(XLOOKUP(A111,'Source Inventory'!$A$5:$A$200,'Source Inventory'!$G$5:$G$200),"")</f>
        <v/>
      </c>
      <c r="H111" s="7" t="inlineStr">
        <is>
          <t>Regional IT</t>
        </is>
      </c>
      <c r="I111" s="7" t="inlineStr">
        <is>
          <t>Seattle</t>
        </is>
      </c>
      <c r="J111" s="7" t="inlineStr">
        <is>
          <t>Retired/Pending Disposal</t>
        </is>
      </c>
      <c r="K111" s="7" t="inlineStr">
        <is>
          <t>Files reviewed for MD-00107: Microsoft Surface Laptop 5, basis $1040, operating site Seattle, status Retired/Pending Disposal. Source Ledger FA-000107; net book value $812.21. equipment_transfer_log TR-00107 posted Jun 26, 2026; inbound 2026-06-27 approval APR-00107. offboarding ticket RET-00107 referenced. PO-2022-0021 is the cited purchase order.</t>
        </is>
      </c>
      <c r="L111" s="7" t="inlineStr">
        <is>
          <t>2026-06-13</t>
        </is>
      </c>
      <c r="M111" s="7">
        <f>IFERROR(XLOOKUP(A111,'Source Inventory'!$A$5:$A$200,'Source Inventory'!$H$5:$H$200),"")</f>
        <v/>
      </c>
      <c r="N111" s="7" t="n">
        <v>812.21</v>
      </c>
      <c r="O111" s="7">
        <f>IFERROR(XLOOKUP(A111,'Source Ledger'!$B$5:$B$200,'Source Ledger'!$A$5:$A$200),"")</f>
        <v/>
      </c>
      <c r="P111" s="7">
        <f>IFERROR(XLOOKUP(A111,'Source Ledger'!$B$5:$B$200,'Source Ledger'!$D$5:$D$200),"")</f>
        <v/>
      </c>
      <c r="Q111" s="7" t="inlineStr">
        <is>
          <t>Medium</t>
        </is>
      </c>
      <c r="R111" s="7" t="inlineStr">
        <is>
          <t>EX-0141, EX-0142</t>
        </is>
      </c>
      <c r="S111" s="7">
        <f>IF(OR(R111="",R111=0),"No","Yes")</f>
        <v/>
      </c>
      <c r="T111">
        <f>IFERROR(XLOOKUP(A111,'Source Ledger'!$B$5:$B$200,'Source Ledger'!$E$5:$E$200),"")</f>
        <v/>
      </c>
      <c r="U111">
        <f>IFERROR(XLOOKUP(A111,'Source Ledger'!$B$5:$B$200,'Source Ledger'!$H$5:$H$200),"")</f>
        <v/>
      </c>
      <c r="V111">
        <f>IFERROR(XLOOKUP(A111,'Source Ledger'!$B$5:$B$200,'Source Ledger'!$G$5:$G$200),"")</f>
        <v/>
      </c>
      <c r="W111">
        <f>IF(OR(M111="",T111=""),"",T111-M111)</f>
        <v/>
      </c>
      <c r="X111">
        <f>IF(V111="","No","Yes")</f>
        <v/>
      </c>
    </row>
    <row r="112">
      <c r="A112" s="7" t="inlineStr">
        <is>
          <t>MD-00108</t>
        </is>
      </c>
      <c r="B112" s="7">
        <f>IFERROR(XLOOKUP(A112,'Source Inventory'!$A$5:$A$200,'Source Inventory'!$B$5:$B$200),"")</f>
        <v/>
      </c>
      <c r="C112" s="7">
        <f>IFERROR(XLOOKUP(A112,'Source Inventory'!$A$5:$A$200,'Source Inventory'!$C$5:$C$200),"")</f>
        <v/>
      </c>
      <c r="D112" s="7">
        <f>IFERROR(XLOOKUP(A112,'Source Inventory'!$A$5:$A$200,'Source Inventory'!$D$5:$D$200),"")</f>
        <v/>
      </c>
      <c r="E112" s="7">
        <f>IFERROR(XLOOKUP(A112,'Source Inventory'!$A$5:$A$200,'Source Inventory'!$E$5:$E$200),"")</f>
        <v/>
      </c>
      <c r="F112" s="7">
        <f>IFERROR(XLOOKUP(A112,'Source Inventory'!$A$5:$A$200,'Source Inventory'!$F$5:$F$200),"")</f>
        <v/>
      </c>
      <c r="G112" s="7">
        <f>IFERROR(XLOOKUP(A112,'Source Inventory'!$A$5:$A$200,'Source Inventory'!$G$5:$G$200),"")</f>
        <v/>
      </c>
      <c r="H112" s="7" t="inlineStr">
        <is>
          <t>Regional IT</t>
        </is>
      </c>
      <c r="I112" s="7" t="inlineStr">
        <is>
          <t>Atlanta</t>
        </is>
      </c>
      <c r="J112" s="7" t="inlineStr">
        <is>
          <t>Retired/Pending Disposal</t>
        </is>
      </c>
      <c r="K112" s="7" t="inlineStr">
        <is>
          <t>Files reviewed for MD-00108: Lenovo ThinkPad X1 Carbon, basis $6335, operating site Atlanta, status Retired/Pending Disposal. Source Ledger FA-000108; net book value $545.48. equipment_transfer_log TR-00108 posted Jan 30, 2026; inbound 2026-01-30 approval APR-00108. offboarding ticket RET-00108 referenced. purchasing file shows PO-2022-0021 for this unit.</t>
        </is>
      </c>
      <c r="L112" s="7" t="inlineStr">
        <is>
          <t>2026-05-31</t>
        </is>
      </c>
      <c r="M112" s="7">
        <f>IFERROR(XLOOKUP(A112,'Source Inventory'!$A$5:$A$200,'Source Inventory'!$H$5:$H$200),"")</f>
        <v/>
      </c>
      <c r="N112" s="7" t="n">
        <v>545.48</v>
      </c>
      <c r="O112" s="7">
        <f>IFERROR(XLOOKUP(A112,'Source Ledger'!$B$5:$B$200,'Source Ledger'!$A$5:$A$200),"")</f>
        <v/>
      </c>
      <c r="P112" s="7">
        <f>IFERROR(XLOOKUP(A112,'Source Ledger'!$B$5:$B$200,'Source Ledger'!$D$5:$D$200),"")</f>
        <v/>
      </c>
      <c r="Q112" s="7" t="inlineStr">
        <is>
          <t>Medium</t>
        </is>
      </c>
      <c r="R112" s="7" t="inlineStr">
        <is>
          <t>EX-0143, EX-0144</t>
        </is>
      </c>
      <c r="S112" s="7">
        <f>IF(OR(R112="",R112=0),"No","Yes")</f>
        <v/>
      </c>
      <c r="T112">
        <f>IFERROR(XLOOKUP(A112,'Source Ledger'!$B$5:$B$200,'Source Ledger'!$E$5:$E$200),"")</f>
        <v/>
      </c>
      <c r="U112">
        <f>IFERROR(XLOOKUP(A112,'Source Ledger'!$B$5:$B$200,'Source Ledger'!$H$5:$H$200),"")</f>
        <v/>
      </c>
      <c r="V112">
        <f>IFERROR(XLOOKUP(A112,'Source Ledger'!$B$5:$B$200,'Source Ledger'!$G$5:$G$200),"")</f>
        <v/>
      </c>
      <c r="W112">
        <f>IF(OR(M112="",T112=""),"",T112-M112)</f>
        <v/>
      </c>
      <c r="X112">
        <f>IF(V112="","No","Yes")</f>
        <v/>
      </c>
    </row>
    <row r="113">
      <c r="A113" s="7" t="inlineStr">
        <is>
          <t>MD-00109</t>
        </is>
      </c>
      <c r="B113" s="7">
        <f>IFERROR(XLOOKUP(A113,'Source Inventory'!$A$5:$A$200,'Source Inventory'!$B$5:$B$200),"")</f>
        <v/>
      </c>
      <c r="C113" s="7">
        <f>IFERROR(XLOOKUP(A113,'Source Inventory'!$A$5:$A$200,'Source Inventory'!$C$5:$C$200),"")</f>
        <v/>
      </c>
      <c r="D113" s="7">
        <f>IFERROR(XLOOKUP(A113,'Source Inventory'!$A$5:$A$200,'Source Inventory'!$D$5:$D$200),"")</f>
        <v/>
      </c>
      <c r="E113" s="7">
        <f>IFERROR(XLOOKUP(A113,'Source Inventory'!$A$5:$A$200,'Source Inventory'!$E$5:$E$200),"")</f>
        <v/>
      </c>
      <c r="F113" s="7">
        <f>IFERROR(XLOOKUP(A113,'Source Inventory'!$A$5:$A$200,'Source Inventory'!$F$5:$F$200),"")</f>
        <v/>
      </c>
      <c r="G113" s="7">
        <f>IFERROR(XLOOKUP(A113,'Source Inventory'!$A$5:$A$200,'Source Inventory'!$G$5:$G$200),"")</f>
        <v/>
      </c>
      <c r="H113" s="7" t="inlineStr">
        <is>
          <t>Regional IT</t>
        </is>
      </c>
      <c r="I113" s="7" t="inlineStr">
        <is>
          <t>Chicago</t>
        </is>
      </c>
      <c r="J113" s="7" t="inlineStr">
        <is>
          <t>Retired/Pending Disposal</t>
        </is>
      </c>
      <c r="K113" s="7" t="inlineStr">
        <is>
          <t>Files reviewed for MD-00109: Lenovo ThinkPad T14, basis $2030, operating site Chicago, status Retired/Pending Disposal. Source Ledger FA-000109; net book value $0. equipment_transfer_log TR-00109 posted Feb 02, 2026; inbound 2026-02-04 approval APR-00109. offboarding ticket RET-00109 referenced. PO-2022-0021 is the cited purchase order.</t>
        </is>
      </c>
      <c r="L113" s="7" t="inlineStr">
        <is>
          <t>2026-05-31</t>
        </is>
      </c>
      <c r="M113" s="7">
        <f>IFERROR(XLOOKUP(A113,'Source Inventory'!$A$5:$A$200,'Source Inventory'!$H$5:$H$200),"")</f>
        <v/>
      </c>
      <c r="N113" s="7" t="n">
        <v>0</v>
      </c>
      <c r="O113" s="7">
        <f>IFERROR(XLOOKUP(A113,'Source Ledger'!$B$5:$B$200,'Source Ledger'!$A$5:$A$200),"")</f>
        <v/>
      </c>
      <c r="P113" s="7">
        <f>IFERROR(XLOOKUP(A113,'Source Ledger'!$B$5:$B$200,'Source Ledger'!$D$5:$D$200),"")</f>
        <v/>
      </c>
      <c r="Q113" s="7" t="inlineStr">
        <is>
          <t>Medium</t>
        </is>
      </c>
      <c r="R113" s="7" t="inlineStr">
        <is>
          <t>EX-0145, EX-0146</t>
        </is>
      </c>
      <c r="S113" s="7">
        <f>IF(OR(R113="",R113=0),"No","Yes")</f>
        <v/>
      </c>
      <c r="T113">
        <f>IFERROR(XLOOKUP(A113,'Source Ledger'!$B$5:$B$200,'Source Ledger'!$E$5:$E$200),"")</f>
        <v/>
      </c>
      <c r="U113">
        <f>IFERROR(XLOOKUP(A113,'Source Ledger'!$B$5:$B$200,'Source Ledger'!$H$5:$H$200),"")</f>
        <v/>
      </c>
      <c r="V113">
        <f>IFERROR(XLOOKUP(A113,'Source Ledger'!$B$5:$B$200,'Source Ledger'!$G$5:$G$200),"")</f>
        <v/>
      </c>
      <c r="W113">
        <f>IF(OR(M113="",T113=""),"",T113-M113)</f>
        <v/>
      </c>
      <c r="X113">
        <f>IF(V113="","No","Yes")</f>
        <v/>
      </c>
    </row>
    <row r="114">
      <c r="A114" s="7" t="inlineStr">
        <is>
          <t>MD-00110</t>
        </is>
      </c>
      <c r="B114" s="7">
        <f>IFERROR(XLOOKUP(A114,'Source Inventory'!$A$5:$A$200,'Source Inventory'!$B$5:$B$200),"")</f>
        <v/>
      </c>
      <c r="C114" s="7">
        <f>IFERROR(XLOOKUP(A114,'Source Inventory'!$A$5:$A$200,'Source Inventory'!$C$5:$C$200),"")</f>
        <v/>
      </c>
      <c r="D114" s="7">
        <f>IFERROR(XLOOKUP(A114,'Source Inventory'!$A$5:$A$200,'Source Inventory'!$D$5:$D$200),"")</f>
        <v/>
      </c>
      <c r="E114" s="7">
        <f>IFERROR(XLOOKUP(A114,'Source Inventory'!$A$5:$A$200,'Source Inventory'!$E$5:$E$200),"")</f>
        <v/>
      </c>
      <c r="F114" s="7">
        <f>IFERROR(XLOOKUP(A114,'Source Inventory'!$A$5:$A$200,'Source Inventory'!$F$5:$F$200),"")</f>
        <v/>
      </c>
      <c r="G114" s="7">
        <f>IFERROR(XLOOKUP(A114,'Source Inventory'!$A$5:$A$200,'Source Inventory'!$G$5:$G$200),"")</f>
        <v/>
      </c>
      <c r="H114" s="7" t="inlineStr">
        <is>
          <t>Regional IT</t>
        </is>
      </c>
      <c r="I114" s="7" t="inlineStr">
        <is>
          <t>Dallas</t>
        </is>
      </c>
      <c r="J114" s="7" t="inlineStr">
        <is>
          <t>Retired/Pending Disposal</t>
        </is>
      </c>
      <c r="K114" s="7" t="inlineStr">
        <is>
          <t>Asset MD-00110 — Dell Latitude 7440 — reconciled to Retired/Pending Disposal in Dallas on $745 acquisition. equipment_transfer_log TR-00110 posted Mar 07, 2026; inbound 2026-03-08 approval APR-00110. Source Ledger FA-000110; net book value $387.24. buy path for MD-00110 references PO-2022-0021. offboarding ticket RET-00110 referenced.</t>
        </is>
      </c>
      <c r="L114" s="7" t="inlineStr">
        <is>
          <t>2026-05-31</t>
        </is>
      </c>
      <c r="M114" s="7">
        <f>IFERROR(XLOOKUP(A114,'Source Inventory'!$A$5:$A$200,'Source Inventory'!$H$5:$H$200),"")</f>
        <v/>
      </c>
      <c r="N114" s="7" t="n">
        <v>387.24</v>
      </c>
      <c r="O114" s="7">
        <f>IFERROR(XLOOKUP(A114,'Source Ledger'!$B$5:$B$200,'Source Ledger'!$A$5:$A$200),"")</f>
        <v/>
      </c>
      <c r="P114" s="7">
        <f>IFERROR(XLOOKUP(A114,'Source Ledger'!$B$5:$B$200,'Source Ledger'!$D$5:$D$200),"")</f>
        <v/>
      </c>
      <c r="Q114" s="7" t="inlineStr">
        <is>
          <t>Medium</t>
        </is>
      </c>
      <c r="R114" s="7" t="inlineStr">
        <is>
          <t>EX-0147, EX-0148</t>
        </is>
      </c>
      <c r="S114" s="7">
        <f>IF(OR(R114="",R114=0),"No","Yes")</f>
        <v/>
      </c>
      <c r="T114">
        <f>IFERROR(XLOOKUP(A114,'Source Ledger'!$B$5:$B$200,'Source Ledger'!$E$5:$E$200),"")</f>
        <v/>
      </c>
      <c r="U114">
        <f>IFERROR(XLOOKUP(A114,'Source Ledger'!$B$5:$B$200,'Source Ledger'!$H$5:$H$200),"")</f>
        <v/>
      </c>
      <c r="V114">
        <f>IFERROR(XLOOKUP(A114,'Source Ledger'!$B$5:$B$200,'Source Ledger'!$G$5:$G$200),"")</f>
        <v/>
      </c>
      <c r="W114">
        <f>IF(OR(M114="",T114=""),"",T114-M114)</f>
        <v/>
      </c>
      <c r="X114">
        <f>IF(V114="","No","Yes")</f>
        <v/>
      </c>
    </row>
    <row r="115">
      <c r="A115" s="7" t="inlineStr">
        <is>
          <t>MD-00111</t>
        </is>
      </c>
      <c r="B115" s="7">
        <f>IFERROR(XLOOKUP(A115,'Source Inventory'!$A$5:$A$200,'Source Inventory'!$B$5:$B$200),"")</f>
        <v/>
      </c>
      <c r="C115" s="7">
        <f>IFERROR(XLOOKUP(A115,'Source Inventory'!$A$5:$A$200,'Source Inventory'!$C$5:$C$200),"")</f>
        <v/>
      </c>
      <c r="D115" s="7">
        <f>IFERROR(XLOOKUP(A115,'Source Inventory'!$A$5:$A$200,'Source Inventory'!$D$5:$D$200),"")</f>
        <v/>
      </c>
      <c r="E115" s="7">
        <f>IFERROR(XLOOKUP(A115,'Source Inventory'!$A$5:$A$200,'Source Inventory'!$E$5:$E$200),"")</f>
        <v/>
      </c>
      <c r="F115" s="7">
        <f>IFERROR(XLOOKUP(A115,'Source Inventory'!$A$5:$A$200,'Source Inventory'!$F$5:$F$200),"")</f>
        <v/>
      </c>
      <c r="G115" s="7">
        <f>IFERROR(XLOOKUP(A115,'Source Inventory'!$A$5:$A$200,'Source Inventory'!$G$5:$G$200),"")</f>
        <v/>
      </c>
      <c r="H115" s="7" t="inlineStr">
        <is>
          <t>Certified Recycler</t>
        </is>
      </c>
      <c r="I115" s="7" t="inlineStr">
        <is>
          <t>Disposed</t>
        </is>
      </c>
      <c r="J115" s="7" t="inlineStr">
        <is>
          <t>Disposed</t>
        </is>
      </c>
      <c r="K115" s="7" t="inlineStr">
        <is>
          <t>Working conclusion for MD-00111 (MD-MO-050111): Disposed at Disposed; cost $1220. Source Ledger FA-000111; net book value $0. PO PO-2022-0021 documents the buy for MD-00111. equipment_transfer_log TR-00111 posted Apr 12, 2026; inbound 2026-04-13 approval APR-00111.</t>
        </is>
      </c>
      <c r="L115" s="7" t="inlineStr">
        <is>
          <t>2026-07-20</t>
        </is>
      </c>
      <c r="M115" s="7">
        <f>IFERROR(XLOOKUP(A115,'Source Inventory'!$A$5:$A$200,'Source Inventory'!$H$5:$H$200),"")</f>
        <v/>
      </c>
      <c r="N115" s="7" t="n">
        <v>0</v>
      </c>
      <c r="O115" s="7">
        <f>IFERROR(XLOOKUP(A115,'Source Ledger'!$B$5:$B$200,'Source Ledger'!$A$5:$A$200),"")</f>
        <v/>
      </c>
      <c r="P115" s="7">
        <f>IFERROR(XLOOKUP(A115,'Source Ledger'!$B$5:$B$200,'Source Ledger'!$D$5:$D$200),"")</f>
        <v/>
      </c>
      <c r="Q115" s="9" t="inlineStr">
        <is>
          <t>High</t>
        </is>
      </c>
      <c r="R115" s="7" t="inlineStr"/>
      <c r="S115" s="7">
        <f>IF(OR(R115="",R115=0),"No","Yes")</f>
        <v/>
      </c>
      <c r="T115">
        <f>IFERROR(XLOOKUP(A115,'Source Ledger'!$B$5:$B$200,'Source Ledger'!$E$5:$E$200),"")</f>
        <v/>
      </c>
      <c r="U115">
        <f>IFERROR(XLOOKUP(A115,'Source Ledger'!$B$5:$B$200,'Source Ledger'!$H$5:$H$200),"")</f>
        <v/>
      </c>
      <c r="V115">
        <f>IFERROR(XLOOKUP(A115,'Source Ledger'!$B$5:$B$200,'Source Ledger'!$G$5:$G$200),"")</f>
        <v/>
      </c>
      <c r="W115">
        <f>IF(OR(M115="",T115=""),"",T115-M115)</f>
        <v/>
      </c>
      <c r="X115">
        <f>IF(V115="","No","Yes")</f>
        <v/>
      </c>
    </row>
    <row r="116">
      <c r="A116" s="7" t="inlineStr">
        <is>
          <t>MD-00112</t>
        </is>
      </c>
      <c r="B116" s="7">
        <f>IFERROR(XLOOKUP(A116,'Source Inventory'!$A$5:$A$200,'Source Inventory'!$B$5:$B$200),"")</f>
        <v/>
      </c>
      <c r="C116" s="7">
        <f>IFERROR(XLOOKUP(A116,'Source Inventory'!$A$5:$A$200,'Source Inventory'!$C$5:$C$200),"")</f>
        <v/>
      </c>
      <c r="D116" s="7">
        <f>IFERROR(XLOOKUP(A116,'Source Inventory'!$A$5:$A$200,'Source Inventory'!$D$5:$D$200),"")</f>
        <v/>
      </c>
      <c r="E116" s="7">
        <f>IFERROR(XLOOKUP(A116,'Source Inventory'!$A$5:$A$200,'Source Inventory'!$E$5:$E$200),"")</f>
        <v/>
      </c>
      <c r="F116" s="7">
        <f>IFERROR(XLOOKUP(A116,'Source Inventory'!$A$5:$A$200,'Source Inventory'!$F$5:$F$200),"")</f>
        <v/>
      </c>
      <c r="G116" s="7">
        <f>IFERROR(XLOOKUP(A116,'Source Inventory'!$A$5:$A$200,'Source Inventory'!$G$5:$G$200),"")</f>
        <v/>
      </c>
      <c r="H116" s="7" t="inlineStr">
        <is>
          <t>Certified Recycler</t>
        </is>
      </c>
      <c r="I116" s="7" t="inlineStr">
        <is>
          <t>Disposed</t>
        </is>
      </c>
      <c r="J116" s="7" t="inlineStr">
        <is>
          <t>Disposed</t>
        </is>
      </c>
      <c r="K116" s="7" t="inlineStr">
        <is>
          <t>Asset MD-00112 — Microsoft Surface Laptop 5 — reconciled to Disposed in Disposed on $6200 acquisition. equipment_transfer_log TR-00112 posted May 13, 2026; inbound 2026-05-15 approval APR-00112. Source Ledger FA-000112; net book value $0. acquisition recorded on PO-2024-0024.</t>
        </is>
      </c>
      <c r="L116" s="7" t="inlineStr">
        <is>
          <t>2026-07-20</t>
        </is>
      </c>
      <c r="M116" s="7">
        <f>IFERROR(XLOOKUP(A116,'Source Inventory'!$A$5:$A$200,'Source Inventory'!$H$5:$H$200),"")</f>
        <v/>
      </c>
      <c r="N116" s="7" t="n">
        <v>0</v>
      </c>
      <c r="O116" s="7">
        <f>IFERROR(XLOOKUP(A116,'Source Ledger'!$B$5:$B$200,'Source Ledger'!$A$5:$A$200),"")</f>
        <v/>
      </c>
      <c r="P116" s="7">
        <f>IFERROR(XLOOKUP(A116,'Source Ledger'!$B$5:$B$200,'Source Ledger'!$D$5:$D$200),"")</f>
        <v/>
      </c>
      <c r="Q116" s="9" t="inlineStr">
        <is>
          <t>High</t>
        </is>
      </c>
      <c r="R116" s="7" t="inlineStr"/>
      <c r="S116" s="7">
        <f>IF(OR(R116="",R116=0),"No","Yes")</f>
        <v/>
      </c>
      <c r="T116">
        <f>IFERROR(XLOOKUP(A116,'Source Ledger'!$B$5:$B$200,'Source Ledger'!$E$5:$E$200),"")</f>
        <v/>
      </c>
      <c r="U116">
        <f>IFERROR(XLOOKUP(A116,'Source Ledger'!$B$5:$B$200,'Source Ledger'!$H$5:$H$200),"")</f>
        <v/>
      </c>
      <c r="V116">
        <f>IFERROR(XLOOKUP(A116,'Source Ledger'!$B$5:$B$200,'Source Ledger'!$G$5:$G$200),"")</f>
        <v/>
      </c>
      <c r="W116">
        <f>IF(OR(M116="",T116=""),"",T116-M116)</f>
        <v/>
      </c>
      <c r="X116">
        <f>IF(V116="","No","Yes")</f>
        <v/>
      </c>
    </row>
    <row r="117">
      <c r="A117" s="7" t="inlineStr">
        <is>
          <t>MD-00113</t>
        </is>
      </c>
      <c r="B117" s="7">
        <f>IFERROR(XLOOKUP(A117,'Source Inventory'!$A$5:$A$200,'Source Inventory'!$B$5:$B$200),"")</f>
        <v/>
      </c>
      <c r="C117" s="7">
        <f>IFERROR(XLOOKUP(A117,'Source Inventory'!$A$5:$A$200,'Source Inventory'!$C$5:$C$200),"")</f>
        <v/>
      </c>
      <c r="D117" s="7">
        <f>IFERROR(XLOOKUP(A117,'Source Inventory'!$A$5:$A$200,'Source Inventory'!$D$5:$D$200),"")</f>
        <v/>
      </c>
      <c r="E117" s="7">
        <f>IFERROR(XLOOKUP(A117,'Source Inventory'!$A$5:$A$200,'Source Inventory'!$E$5:$E$200),"")</f>
        <v/>
      </c>
      <c r="F117" s="7">
        <f>IFERROR(XLOOKUP(A117,'Source Inventory'!$A$5:$A$200,'Source Inventory'!$F$5:$F$200),"")</f>
        <v/>
      </c>
      <c r="G117" s="7">
        <f>IFERROR(XLOOKUP(A117,'Source Inventory'!$A$5:$A$200,'Source Inventory'!$G$5:$G$200),"")</f>
        <v/>
      </c>
      <c r="H117" s="7" t="inlineStr">
        <is>
          <t>Certified Recycler</t>
        </is>
      </c>
      <c r="I117" s="7" t="inlineStr">
        <is>
          <t>Disposed</t>
        </is>
      </c>
      <c r="J117" s="7" t="inlineStr">
        <is>
          <t>Disposed</t>
        </is>
      </c>
      <c r="K117" s="7" t="inlineStr">
        <is>
          <t>Files reviewed for MD-00113: Lenovo ThinkPad X1 Carbon, basis $1895, operating site Disposed, status Disposed. Source Ledger FA-000113; net book value $0. order PO-2024-0024 appears in the purchasing extract. equipment_transfer_log TR-00113 posted Jun 17, 2026; inbound 2026-06-18 approval APR-00113.</t>
        </is>
      </c>
      <c r="L117" s="7" t="inlineStr">
        <is>
          <t>2026-07-20</t>
        </is>
      </c>
      <c r="M117" s="7">
        <f>IFERROR(XLOOKUP(A117,'Source Inventory'!$A$5:$A$200,'Source Inventory'!$H$5:$H$200),"")</f>
        <v/>
      </c>
      <c r="N117" s="7" t="n">
        <v>0</v>
      </c>
      <c r="O117" s="7">
        <f>IFERROR(XLOOKUP(A117,'Source Ledger'!$B$5:$B$200,'Source Ledger'!$A$5:$A$200),"")</f>
        <v/>
      </c>
      <c r="P117" s="7">
        <f>IFERROR(XLOOKUP(A117,'Source Ledger'!$B$5:$B$200,'Source Ledger'!$D$5:$D$200),"")</f>
        <v/>
      </c>
      <c r="Q117" s="9" t="inlineStr">
        <is>
          <t>High</t>
        </is>
      </c>
      <c r="R117" s="7" t="inlineStr"/>
      <c r="S117" s="7">
        <f>IF(OR(R117="",R117=0),"No","Yes")</f>
        <v/>
      </c>
      <c r="T117">
        <f>IFERROR(XLOOKUP(A117,'Source Ledger'!$B$5:$B$200,'Source Ledger'!$E$5:$E$200),"")</f>
        <v/>
      </c>
      <c r="U117">
        <f>IFERROR(XLOOKUP(A117,'Source Ledger'!$B$5:$B$200,'Source Ledger'!$H$5:$H$200),"")</f>
        <v/>
      </c>
      <c r="V117">
        <f>IFERROR(XLOOKUP(A117,'Source Ledger'!$B$5:$B$200,'Source Ledger'!$G$5:$G$200),"")</f>
        <v/>
      </c>
      <c r="W117">
        <f>IF(OR(M117="",T117=""),"",T117-M117)</f>
        <v/>
      </c>
      <c r="X117">
        <f>IF(V117="","No","Yes")</f>
        <v/>
      </c>
    </row>
    <row r="118">
      <c r="A118" s="7" t="inlineStr">
        <is>
          <t>MD-00114</t>
        </is>
      </c>
      <c r="B118" s="7">
        <f>IFERROR(XLOOKUP(A118,'Source Inventory'!$A$5:$A$200,'Source Inventory'!$B$5:$B$200),"")</f>
        <v/>
      </c>
      <c r="C118" s="7">
        <f>IFERROR(XLOOKUP(A118,'Source Inventory'!$A$5:$A$200,'Source Inventory'!$C$5:$C$200),"")</f>
        <v/>
      </c>
      <c r="D118" s="7">
        <f>IFERROR(XLOOKUP(A118,'Source Inventory'!$A$5:$A$200,'Source Inventory'!$D$5:$D$200),"")</f>
        <v/>
      </c>
      <c r="E118" s="7">
        <f>IFERROR(XLOOKUP(A118,'Source Inventory'!$A$5:$A$200,'Source Inventory'!$E$5:$E$200),"")</f>
        <v/>
      </c>
      <c r="F118" s="7">
        <f>IFERROR(XLOOKUP(A118,'Source Inventory'!$A$5:$A$200,'Source Inventory'!$F$5:$F$200),"")</f>
        <v/>
      </c>
      <c r="G118" s="7">
        <f>IFERROR(XLOOKUP(A118,'Source Inventory'!$A$5:$A$200,'Source Inventory'!$G$5:$G$200),"")</f>
        <v/>
      </c>
      <c r="H118" s="7" t="inlineStr">
        <is>
          <t>Certified Recycler</t>
        </is>
      </c>
      <c r="I118" s="7" t="inlineStr">
        <is>
          <t>Disposed (certificate missing)</t>
        </is>
      </c>
      <c r="J118" s="7" t="inlineStr">
        <is>
          <t>Retired/Pending Disposal</t>
        </is>
      </c>
      <c r="K118" s="7" t="inlineStr">
        <is>
          <t>Files reviewed for MD-00114: Lenovo ThinkPad T14, basis $610, operating site Disposed (certificate missing), status Retired/Pending Disposal. Source Ledger FA-000114; net book value $0. acquisition recorded on PO-2024-0024. offboarding ticket RET-00114 referenced. equipment_transfer_log TR-00114 posted Jan 22, 2026; inbound 2026-01-22 approval APR-00114. no verified disposal certificate located.</t>
        </is>
      </c>
      <c r="L118" s="7" t="inlineStr">
        <is>
          <t>2026-01-20</t>
        </is>
      </c>
      <c r="M118" s="7">
        <f>IFERROR(XLOOKUP(A118,'Source Inventory'!$A$5:$A$200,'Source Inventory'!$H$5:$H$200),"")</f>
        <v/>
      </c>
      <c r="N118" s="7" t="n">
        <v>0</v>
      </c>
      <c r="O118" s="7">
        <f>IFERROR(XLOOKUP(A118,'Source Ledger'!$B$5:$B$200,'Source Ledger'!$A$5:$A$200),"")</f>
        <v/>
      </c>
      <c r="P118" s="7">
        <f>IFERROR(XLOOKUP(A118,'Source Ledger'!$B$5:$B$200,'Source Ledger'!$D$5:$D$200),"")</f>
        <v/>
      </c>
      <c r="Q118" s="7" t="inlineStr">
        <is>
          <t>Low</t>
        </is>
      </c>
      <c r="R118" s="7" t="inlineStr">
        <is>
          <t>EX-0149, EX-0150</t>
        </is>
      </c>
      <c r="S118" s="7">
        <f>IF(OR(R118="",R118=0),"No","Yes")</f>
        <v/>
      </c>
      <c r="T118">
        <f>IFERROR(XLOOKUP(A118,'Source Ledger'!$B$5:$B$200,'Source Ledger'!$E$5:$E$200),"")</f>
        <v/>
      </c>
      <c r="U118">
        <f>IFERROR(XLOOKUP(A118,'Source Ledger'!$B$5:$B$200,'Source Ledger'!$H$5:$H$200),"")</f>
        <v/>
      </c>
      <c r="V118">
        <f>IFERROR(XLOOKUP(A118,'Source Ledger'!$B$5:$B$200,'Source Ledger'!$G$5:$G$200),"")</f>
        <v/>
      </c>
      <c r="W118">
        <f>IF(OR(M118="",T118=""),"",T118-M118)</f>
        <v/>
      </c>
      <c r="X118">
        <f>IF(V118="","No","Yes")</f>
        <v/>
      </c>
    </row>
    <row r="119">
      <c r="A119" s="7" t="inlineStr">
        <is>
          <t>MD-00115</t>
        </is>
      </c>
      <c r="B119" s="7">
        <f>IFERROR(XLOOKUP(A119,'Source Inventory'!$A$5:$A$200,'Source Inventory'!$B$5:$B$200),"")</f>
        <v/>
      </c>
      <c r="C119" s="7">
        <f>IFERROR(XLOOKUP(A119,'Source Inventory'!$A$5:$A$200,'Source Inventory'!$C$5:$C$200),"")</f>
        <v/>
      </c>
      <c r="D119" s="7">
        <f>IFERROR(XLOOKUP(A119,'Source Inventory'!$A$5:$A$200,'Source Inventory'!$D$5:$D$200),"")</f>
        <v/>
      </c>
      <c r="E119" s="7">
        <f>IFERROR(XLOOKUP(A119,'Source Inventory'!$A$5:$A$200,'Source Inventory'!$E$5:$E$200),"")</f>
        <v/>
      </c>
      <c r="F119" s="7">
        <f>IFERROR(XLOOKUP(A119,'Source Inventory'!$A$5:$A$200,'Source Inventory'!$F$5:$F$200),"")</f>
        <v/>
      </c>
      <c r="G119" s="7">
        <f>IFERROR(XLOOKUP(A119,'Source Inventory'!$A$5:$A$200,'Source Inventory'!$G$5:$G$200),"")</f>
        <v/>
      </c>
      <c r="H119" s="7" t="inlineStr">
        <is>
          <t>Certified Recycler</t>
        </is>
      </c>
      <c r="I119" s="7" t="inlineStr">
        <is>
          <t>Disposed</t>
        </is>
      </c>
      <c r="J119" s="7" t="inlineStr">
        <is>
          <t>Disposed</t>
        </is>
      </c>
      <c r="K119" s="7" t="inlineStr">
        <is>
          <t>Files reviewed for MD-00115: MacBook Pro 14, basis $1085, operating site Disposed, status Disposed. Source Ledger FA-000115; net book value $0. order PO-2024-0024 appears in the purchasing extract. equipment_transfer_log TR-00115 posted Feb 23, 2026; inbound 2026-02-25 approval APR-00115.</t>
        </is>
      </c>
      <c r="L119" s="7" t="inlineStr">
        <is>
          <t>2026-07-20</t>
        </is>
      </c>
      <c r="M119" s="7">
        <f>IFERROR(XLOOKUP(A119,'Source Inventory'!$A$5:$A$200,'Source Inventory'!$H$5:$H$200),"")</f>
        <v/>
      </c>
      <c r="N119" s="7" t="n">
        <v>0</v>
      </c>
      <c r="O119" s="7">
        <f>IFERROR(XLOOKUP(A119,'Source Ledger'!$B$5:$B$200,'Source Ledger'!$A$5:$A$200),"")</f>
        <v/>
      </c>
      <c r="P119" s="7">
        <f>IFERROR(XLOOKUP(A119,'Source Ledger'!$B$5:$B$200,'Source Ledger'!$D$5:$D$200),"")</f>
        <v/>
      </c>
      <c r="Q119" s="9" t="inlineStr">
        <is>
          <t>High</t>
        </is>
      </c>
      <c r="R119" s="7" t="inlineStr"/>
      <c r="S119" s="7">
        <f>IF(OR(R119="",R119=0),"No","Yes")</f>
        <v/>
      </c>
      <c r="T119">
        <f>IFERROR(XLOOKUP(A119,'Source Ledger'!$B$5:$B$200,'Source Ledger'!$E$5:$E$200),"")</f>
        <v/>
      </c>
      <c r="U119">
        <f>IFERROR(XLOOKUP(A119,'Source Ledger'!$B$5:$B$200,'Source Ledger'!$H$5:$H$200),"")</f>
        <v/>
      </c>
      <c r="V119">
        <f>IFERROR(XLOOKUP(A119,'Source Ledger'!$B$5:$B$200,'Source Ledger'!$G$5:$G$200),"")</f>
        <v/>
      </c>
      <c r="W119">
        <f>IF(OR(M119="",T119=""),"",T119-M119)</f>
        <v/>
      </c>
      <c r="X119">
        <f>IF(V119="","No","Yes")</f>
        <v/>
      </c>
    </row>
    <row r="120">
      <c r="A120" s="7" t="inlineStr">
        <is>
          <t>MD-00116</t>
        </is>
      </c>
      <c r="B120" s="7">
        <f>IFERROR(XLOOKUP(A120,'Source Inventory'!$A$5:$A$200,'Source Inventory'!$B$5:$B$200),"")</f>
        <v/>
      </c>
      <c r="C120" s="7">
        <f>IFERROR(XLOOKUP(A120,'Source Inventory'!$A$5:$A$200,'Source Inventory'!$C$5:$C$200),"")</f>
        <v/>
      </c>
      <c r="D120" s="7">
        <f>IFERROR(XLOOKUP(A120,'Source Inventory'!$A$5:$A$200,'Source Inventory'!$D$5:$D$200),"")</f>
        <v/>
      </c>
      <c r="E120" s="7">
        <f>IFERROR(XLOOKUP(A120,'Source Inventory'!$A$5:$A$200,'Source Inventory'!$E$5:$E$200),"")</f>
        <v/>
      </c>
      <c r="F120" s="7">
        <f>IFERROR(XLOOKUP(A120,'Source Inventory'!$A$5:$A$200,'Source Inventory'!$F$5:$F$200),"")</f>
        <v/>
      </c>
      <c r="G120" s="7">
        <f>IFERROR(XLOOKUP(A120,'Source Inventory'!$A$5:$A$200,'Source Inventory'!$G$5:$G$200),"")</f>
        <v/>
      </c>
      <c r="H120" s="7" t="inlineStr">
        <is>
          <t>Certified Recycler</t>
        </is>
      </c>
      <c r="I120" s="7" t="inlineStr">
        <is>
          <t>Disposed</t>
        </is>
      </c>
      <c r="J120" s="7" t="inlineStr">
        <is>
          <t>Disposed</t>
        </is>
      </c>
      <c r="K120" s="7" t="inlineStr">
        <is>
          <t>Asset MD-00116 — Dell Latitude 7440 — reconciled to Disposed in Disposed on $6380 acquisition. equipment_transfer_log TR-00116 posted Mar 28, 2026; inbound 2026-03-29 approval APR-00116. PO PO-2024-0024 documents the buy for MD-00116. Source Ledger FA-000116; net book value $0.</t>
        </is>
      </c>
      <c r="L120" s="7" t="inlineStr">
        <is>
          <t>2026-07-20</t>
        </is>
      </c>
      <c r="M120" s="7">
        <f>IFERROR(XLOOKUP(A120,'Source Inventory'!$A$5:$A$200,'Source Inventory'!$H$5:$H$200),"")</f>
        <v/>
      </c>
      <c r="N120" s="7" t="n">
        <v>0</v>
      </c>
      <c r="O120" s="7">
        <f>IFERROR(XLOOKUP(A120,'Source Ledger'!$B$5:$B$200,'Source Ledger'!$A$5:$A$200),"")</f>
        <v/>
      </c>
      <c r="P120" s="7">
        <f>IFERROR(XLOOKUP(A120,'Source Ledger'!$B$5:$B$200,'Source Ledger'!$D$5:$D$200),"")</f>
        <v/>
      </c>
      <c r="Q120" s="9" t="inlineStr">
        <is>
          <t>High</t>
        </is>
      </c>
      <c r="R120" s="7" t="inlineStr"/>
      <c r="S120" s="7">
        <f>IF(OR(R120="",R120=0),"No","Yes")</f>
        <v/>
      </c>
      <c r="T120">
        <f>IFERROR(XLOOKUP(A120,'Source Ledger'!$B$5:$B$200,'Source Ledger'!$E$5:$E$200),"")</f>
        <v/>
      </c>
      <c r="U120">
        <f>IFERROR(XLOOKUP(A120,'Source Ledger'!$B$5:$B$200,'Source Ledger'!$H$5:$H$200),"")</f>
        <v/>
      </c>
      <c r="V120">
        <f>IFERROR(XLOOKUP(A120,'Source Ledger'!$B$5:$B$200,'Source Ledger'!$G$5:$G$200),"")</f>
        <v/>
      </c>
      <c r="W120">
        <f>IF(OR(M120="",T120=""),"",T120-M120)</f>
        <v/>
      </c>
      <c r="X120">
        <f>IF(V120="","No","Yes")</f>
        <v/>
      </c>
    </row>
    <row r="121">
      <c r="A121" s="7" t="inlineStr">
        <is>
          <t>MD-00117</t>
        </is>
      </c>
      <c r="B121" s="7">
        <f>IFERROR(XLOOKUP(A121,'Source Inventory'!$A$5:$A$200,'Source Inventory'!$B$5:$B$200),"")</f>
        <v/>
      </c>
      <c r="C121" s="7">
        <f>IFERROR(XLOOKUP(A121,'Source Inventory'!$A$5:$A$200,'Source Inventory'!$C$5:$C$200),"")</f>
        <v/>
      </c>
      <c r="D121" s="7">
        <f>IFERROR(XLOOKUP(A121,'Source Inventory'!$A$5:$A$200,'Source Inventory'!$D$5:$D$200),"")</f>
        <v/>
      </c>
      <c r="E121" s="7">
        <f>IFERROR(XLOOKUP(A121,'Source Inventory'!$A$5:$A$200,'Source Inventory'!$E$5:$E$200),"")</f>
        <v/>
      </c>
      <c r="F121" s="7">
        <f>IFERROR(XLOOKUP(A121,'Source Inventory'!$A$5:$A$200,'Source Inventory'!$F$5:$F$200),"")</f>
        <v/>
      </c>
      <c r="G121" s="7">
        <f>IFERROR(XLOOKUP(A121,'Source Inventory'!$A$5:$A$200,'Source Inventory'!$G$5:$G$200),"")</f>
        <v/>
      </c>
      <c r="H121" s="7" t="inlineStr">
        <is>
          <t>Certified Recycler</t>
        </is>
      </c>
      <c r="I121" s="7" t="inlineStr">
        <is>
          <t>Disposed</t>
        </is>
      </c>
      <c r="J121" s="7" t="inlineStr">
        <is>
          <t>Disposed</t>
        </is>
      </c>
      <c r="K121" s="7" t="inlineStr">
        <is>
          <t>Files reviewed for MD-00117: HP EliteBook 840 G10, basis $2075, operating site Disposed, status Disposed. Source Ledger FA-000117; net book value $0. buy path for MD-00117 references PO-2024-0024. equipment_transfer_log TR-00117 posted May 02, 2026; inbound 2026-05-02 approval APR-00117.</t>
        </is>
      </c>
      <c r="L121" s="7" t="inlineStr">
        <is>
          <t>2026-07-20</t>
        </is>
      </c>
      <c r="M121" s="7">
        <f>IFERROR(XLOOKUP(A121,'Source Inventory'!$A$5:$A$200,'Source Inventory'!$H$5:$H$200),"")</f>
        <v/>
      </c>
      <c r="N121" s="7" t="n">
        <v>0</v>
      </c>
      <c r="O121" s="7">
        <f>IFERROR(XLOOKUP(A121,'Source Ledger'!$B$5:$B$200,'Source Ledger'!$A$5:$A$200),"")</f>
        <v/>
      </c>
      <c r="P121" s="7">
        <f>IFERROR(XLOOKUP(A121,'Source Ledger'!$B$5:$B$200,'Source Ledger'!$D$5:$D$200),"")</f>
        <v/>
      </c>
      <c r="Q121" s="9" t="inlineStr">
        <is>
          <t>High</t>
        </is>
      </c>
      <c r="R121" s="7" t="inlineStr"/>
      <c r="S121" s="7">
        <f>IF(OR(R121="",R121=0),"No","Yes")</f>
        <v/>
      </c>
      <c r="T121">
        <f>IFERROR(XLOOKUP(A121,'Source Ledger'!$B$5:$B$200,'Source Ledger'!$E$5:$E$200),"")</f>
        <v/>
      </c>
      <c r="U121">
        <f>IFERROR(XLOOKUP(A121,'Source Ledger'!$B$5:$B$200,'Source Ledger'!$H$5:$H$200),"")</f>
        <v/>
      </c>
      <c r="V121">
        <f>IFERROR(XLOOKUP(A121,'Source Ledger'!$B$5:$B$200,'Source Ledger'!$G$5:$G$200),"")</f>
        <v/>
      </c>
      <c r="W121">
        <f>IF(OR(M121="",T121=""),"",T121-M121)</f>
        <v/>
      </c>
      <c r="X121">
        <f>IF(V121="","No","Yes")</f>
        <v/>
      </c>
    </row>
    <row r="122">
      <c r="A122" s="7" t="inlineStr">
        <is>
          <t>MD-00118</t>
        </is>
      </c>
      <c r="B122" s="7">
        <f>IFERROR(XLOOKUP(A122,'Source Inventory'!$A$5:$A$200,'Source Inventory'!$B$5:$B$200),"")</f>
        <v/>
      </c>
      <c r="C122" s="7">
        <f>IFERROR(XLOOKUP(A122,'Source Inventory'!$A$5:$A$200,'Source Inventory'!$C$5:$C$200),"")</f>
        <v/>
      </c>
      <c r="D122" s="7">
        <f>IFERROR(XLOOKUP(A122,'Source Inventory'!$A$5:$A$200,'Source Inventory'!$D$5:$D$200),"")</f>
        <v/>
      </c>
      <c r="E122" s="7">
        <f>IFERROR(XLOOKUP(A122,'Source Inventory'!$A$5:$A$200,'Source Inventory'!$E$5:$E$200),"")</f>
        <v/>
      </c>
      <c r="F122" s="7">
        <f>IFERROR(XLOOKUP(A122,'Source Inventory'!$A$5:$A$200,'Source Inventory'!$F$5:$F$200),"")</f>
        <v/>
      </c>
      <c r="G122" s="7">
        <f>IFERROR(XLOOKUP(A122,'Source Inventory'!$A$5:$A$200,'Source Inventory'!$G$5:$G$200),"")</f>
        <v/>
      </c>
      <c r="H122" s="7" t="inlineStr">
        <is>
          <t>Certified Recycler</t>
        </is>
      </c>
      <c r="I122" s="7" t="inlineStr">
        <is>
          <t>Disposed (certificate missing)</t>
        </is>
      </c>
      <c r="J122" s="7" t="inlineStr">
        <is>
          <t>Retired/Pending Disposal</t>
        </is>
      </c>
      <c r="K122" s="7" t="inlineStr">
        <is>
          <t>Files reviewed for MD-00118: Microsoft Surface Laptop 5, basis $790, operating site Disposed (certificate missing), status Retired/Pending Disposal. Source Ledger FA-000118; net book value $0. PO PO-2024-0024 documents the buy for MD-00118. offboarding ticket RET-00118 referenced. equipment_transfer_log TR-00118 posted Jun 03, 2026; inbound 2026-06-04 approval APR-00118. no verified disposal certificate located.</t>
        </is>
      </c>
      <c r="L122" s="7" t="inlineStr">
        <is>
          <t>2026-05-24</t>
        </is>
      </c>
      <c r="M122" s="7">
        <f>IFERROR(XLOOKUP(A122,'Source Inventory'!$A$5:$A$200,'Source Inventory'!$H$5:$H$200),"")</f>
        <v/>
      </c>
      <c r="N122" s="7" t="n">
        <v>0</v>
      </c>
      <c r="O122" s="7">
        <f>IFERROR(XLOOKUP(A122,'Source Ledger'!$B$5:$B$200,'Source Ledger'!$A$5:$A$200),"")</f>
        <v/>
      </c>
      <c r="P122" s="7">
        <f>IFERROR(XLOOKUP(A122,'Source Ledger'!$B$5:$B$200,'Source Ledger'!$D$5:$D$200),"")</f>
        <v/>
      </c>
      <c r="Q122" s="7" t="inlineStr">
        <is>
          <t>Low</t>
        </is>
      </c>
      <c r="R122" s="7" t="inlineStr">
        <is>
          <t>EX-0151, EX-0152</t>
        </is>
      </c>
      <c r="S122" s="7">
        <f>IF(OR(R122="",R122=0),"No","Yes")</f>
        <v/>
      </c>
      <c r="T122">
        <f>IFERROR(XLOOKUP(A122,'Source Ledger'!$B$5:$B$200,'Source Ledger'!$E$5:$E$200),"")</f>
        <v/>
      </c>
      <c r="U122">
        <f>IFERROR(XLOOKUP(A122,'Source Ledger'!$B$5:$B$200,'Source Ledger'!$H$5:$H$200),"")</f>
        <v/>
      </c>
      <c r="V122">
        <f>IFERROR(XLOOKUP(A122,'Source Ledger'!$B$5:$B$200,'Source Ledger'!$G$5:$G$200),"")</f>
        <v/>
      </c>
      <c r="W122">
        <f>IF(OR(M122="",T122=""),"",T122-M122)</f>
        <v/>
      </c>
      <c r="X122">
        <f>IF(V122="","No","Yes")</f>
        <v/>
      </c>
    </row>
    <row r="123">
      <c r="A123" s="7" t="inlineStr">
        <is>
          <t>MD-00119</t>
        </is>
      </c>
      <c r="B123" s="7">
        <f>IFERROR(XLOOKUP(A123,'Source Inventory'!$A$5:$A$200,'Source Inventory'!$B$5:$B$200),"")</f>
        <v/>
      </c>
      <c r="C123" s="7">
        <f>IFERROR(XLOOKUP(A123,'Source Inventory'!$A$5:$A$200,'Source Inventory'!$C$5:$C$200),"")</f>
        <v/>
      </c>
      <c r="D123" s="7">
        <f>IFERROR(XLOOKUP(A123,'Source Inventory'!$A$5:$A$200,'Source Inventory'!$D$5:$D$200),"")</f>
        <v/>
      </c>
      <c r="E123" s="7">
        <f>IFERROR(XLOOKUP(A123,'Source Inventory'!$A$5:$A$200,'Source Inventory'!$E$5:$E$200),"")</f>
        <v/>
      </c>
      <c r="F123" s="7">
        <f>IFERROR(XLOOKUP(A123,'Source Inventory'!$A$5:$A$200,'Source Inventory'!$F$5:$F$200),"")</f>
        <v/>
      </c>
      <c r="G123" s="7">
        <f>IFERROR(XLOOKUP(A123,'Source Inventory'!$A$5:$A$200,'Source Inventory'!$G$5:$G$200),"")</f>
        <v/>
      </c>
      <c r="H123" s="7" t="inlineStr">
        <is>
          <t>Certified Recycler</t>
        </is>
      </c>
      <c r="I123" s="7" t="inlineStr">
        <is>
          <t>Disposed</t>
        </is>
      </c>
      <c r="J123" s="7" t="inlineStr">
        <is>
          <t>Disposed</t>
        </is>
      </c>
      <c r="K123" s="7" t="inlineStr">
        <is>
          <t>Files reviewed for MD-00119: Lenovo ThinkPad X1 Carbon, basis $950, operating site Disposed, status Disposed. Source Ledger FA-000119; net book value $0. buy path for MD-00119 references PO-2024-0024. equipment_transfer_log TR-00119 posted Jul 08, 2026; inbound 2026-07-09 approval APR-00119.</t>
        </is>
      </c>
      <c r="L123" s="7" t="inlineStr">
        <is>
          <t>2026-07-20</t>
        </is>
      </c>
      <c r="M123" s="7">
        <f>IFERROR(XLOOKUP(A123,'Source Inventory'!$A$5:$A$200,'Source Inventory'!$H$5:$H$200),"")</f>
        <v/>
      </c>
      <c r="N123" s="7" t="n">
        <v>0</v>
      </c>
      <c r="O123" s="7">
        <f>IFERROR(XLOOKUP(A123,'Source Ledger'!$B$5:$B$200,'Source Ledger'!$A$5:$A$200),"")</f>
        <v/>
      </c>
      <c r="P123" s="7">
        <f>IFERROR(XLOOKUP(A123,'Source Ledger'!$B$5:$B$200,'Source Ledger'!$D$5:$D$200),"")</f>
        <v/>
      </c>
      <c r="Q123" s="9" t="inlineStr">
        <is>
          <t>High</t>
        </is>
      </c>
      <c r="R123" s="7" t="inlineStr">
        <is>
          <t>EX-0153</t>
        </is>
      </c>
      <c r="S123" s="7">
        <f>IF(OR(R123="",R123=0),"No","Yes")</f>
        <v/>
      </c>
      <c r="T123">
        <f>IFERROR(XLOOKUP(A123,'Source Ledger'!$B$5:$B$200,'Source Ledger'!$E$5:$E$200),"")</f>
        <v/>
      </c>
      <c r="U123">
        <f>IFERROR(XLOOKUP(A123,'Source Ledger'!$B$5:$B$200,'Source Ledger'!$H$5:$H$200),"")</f>
        <v/>
      </c>
      <c r="V123">
        <f>IFERROR(XLOOKUP(A123,'Source Ledger'!$B$5:$B$200,'Source Ledger'!$G$5:$G$200),"")</f>
        <v/>
      </c>
      <c r="W123">
        <f>IF(OR(M123="",T123=""),"",T123-M123)</f>
        <v/>
      </c>
      <c r="X123">
        <f>IF(V123="","No","Yes")</f>
        <v/>
      </c>
    </row>
    <row r="124">
      <c r="A124" s="7" t="inlineStr">
        <is>
          <t>MD-00120</t>
        </is>
      </c>
      <c r="B124" s="7">
        <f>IFERROR(XLOOKUP(A124,'Source Inventory'!$A$5:$A$200,'Source Inventory'!$B$5:$B$200),"")</f>
        <v/>
      </c>
      <c r="C124" s="7">
        <f>IFERROR(XLOOKUP(A124,'Source Inventory'!$A$5:$A$200,'Source Inventory'!$C$5:$C$200),"")</f>
        <v/>
      </c>
      <c r="D124" s="7">
        <f>IFERROR(XLOOKUP(A124,'Source Inventory'!$A$5:$A$200,'Source Inventory'!$D$5:$D$200),"")</f>
        <v/>
      </c>
      <c r="E124" s="7">
        <f>IFERROR(XLOOKUP(A124,'Source Inventory'!$A$5:$A$200,'Source Inventory'!$E$5:$E$200),"")</f>
        <v/>
      </c>
      <c r="F124" s="7">
        <f>IFERROR(XLOOKUP(A124,'Source Inventory'!$A$5:$A$200,'Source Inventory'!$F$5:$F$200),"")</f>
        <v/>
      </c>
      <c r="G124" s="7">
        <f>IFERROR(XLOOKUP(A124,'Source Inventory'!$A$5:$A$200,'Source Inventory'!$G$5:$G$200),"")</f>
        <v/>
      </c>
      <c r="H124" s="7" t="inlineStr">
        <is>
          <t>Certified Recycler</t>
        </is>
      </c>
      <c r="I124" s="7" t="inlineStr">
        <is>
          <t>Disposed</t>
        </is>
      </c>
      <c r="J124" s="7" t="inlineStr">
        <is>
          <t>Disposed</t>
        </is>
      </c>
      <c r="K124" s="7" t="inlineStr">
        <is>
          <t>Files reviewed for MD-00120: MacBook Pro 14, basis $6245, operating site Disposed, status Disposed. acquisition recorded on PO-2025-0025. equipment_transfer_log TR-00120 posted Jan 18, 2026; inbound 2026-01-20 approval APR-00120. Source Ledger FA-000120; net book value $0.</t>
        </is>
      </c>
      <c r="L124" s="7" t="inlineStr">
        <is>
          <t>2026-07-20</t>
        </is>
      </c>
      <c r="M124" s="7">
        <f>IFERROR(XLOOKUP(A124,'Source Inventory'!$A$5:$A$200,'Source Inventory'!$H$5:$H$200),"")</f>
        <v/>
      </c>
      <c r="N124" s="7" t="n">
        <v>0</v>
      </c>
      <c r="O124" s="7">
        <f>IFERROR(XLOOKUP(A124,'Source Ledger'!$B$5:$B$200,'Source Ledger'!$A$5:$A$200),"")</f>
        <v/>
      </c>
      <c r="P124" s="7">
        <f>IFERROR(XLOOKUP(A124,'Source Ledger'!$B$5:$B$200,'Source Ledger'!$D$5:$D$200),"")</f>
        <v/>
      </c>
      <c r="Q124" s="9" t="inlineStr">
        <is>
          <t>High</t>
        </is>
      </c>
      <c r="R124" s="7" t="inlineStr"/>
      <c r="S124" s="7">
        <f>IF(OR(R124="",R124=0),"No","Yes")</f>
        <v/>
      </c>
      <c r="T124">
        <f>IFERROR(XLOOKUP(A124,'Source Ledger'!$B$5:$B$200,'Source Ledger'!$E$5:$E$200),"")</f>
        <v/>
      </c>
      <c r="U124">
        <f>IFERROR(XLOOKUP(A124,'Source Ledger'!$B$5:$B$200,'Source Ledger'!$H$5:$H$200),"")</f>
        <v/>
      </c>
      <c r="V124">
        <f>IFERROR(XLOOKUP(A124,'Source Ledger'!$B$5:$B$200,'Source Ledger'!$G$5:$G$200),"")</f>
        <v/>
      </c>
      <c r="W124">
        <f>IF(OR(M124="",T124=""),"",T124-M124)</f>
        <v/>
      </c>
      <c r="X124">
        <f>IF(V124="","No","Yes")</f>
        <v/>
      </c>
    </row>
    <row r="125">
      <c r="A125" s="7" t="inlineStr">
        <is>
          <t>MD-00121</t>
        </is>
      </c>
      <c r="B125" s="7">
        <f>IFERROR(XLOOKUP(A125,'Source Inventory'!$A$5:$A$200,'Source Inventory'!$B$5:$B$200),"")</f>
        <v/>
      </c>
      <c r="C125" s="7">
        <f>IFERROR(XLOOKUP(A125,'Source Inventory'!$A$5:$A$200,'Source Inventory'!$C$5:$C$200),"")</f>
        <v/>
      </c>
      <c r="D125" s="7">
        <f>IFERROR(XLOOKUP(A125,'Source Inventory'!$A$5:$A$200,'Source Inventory'!$D$5:$D$200),"")</f>
        <v/>
      </c>
      <c r="E125" s="7">
        <f>IFERROR(XLOOKUP(A125,'Source Inventory'!$A$5:$A$200,'Source Inventory'!$E$5:$E$200),"")</f>
        <v/>
      </c>
      <c r="F125" s="7">
        <f>IFERROR(XLOOKUP(A125,'Source Inventory'!$A$5:$A$200,'Source Inventory'!$F$5:$F$200),"")</f>
        <v/>
      </c>
      <c r="G125" s="7">
        <f>IFERROR(XLOOKUP(A125,'Source Inventory'!$A$5:$A$200,'Source Inventory'!$G$5:$G$200),"")</f>
        <v/>
      </c>
      <c r="H125" s="7" t="inlineStr">
        <is>
          <t>IT Stock</t>
        </is>
      </c>
      <c r="I125" s="7" t="inlineStr">
        <is>
          <t>Chicago</t>
        </is>
      </c>
      <c r="J125" s="7" t="inlineStr">
        <is>
          <t>Available</t>
        </is>
      </c>
      <c r="K125" s="7" t="inlineStr">
        <is>
          <t>Asset MD-00121 — Dell Latitude 7440 — reconciled to Available in Chicago on $1940 acquisition. equipment_transfer_log TR-00121 posted Jan 21, 2026; inbound 2026-01-21 approval APR-00121. Source Ledger FA-000121; net book value $0. order PO-2025-0025 appears in the purchasing extract.</t>
        </is>
      </c>
      <c r="L125" s="7" t="inlineStr">
        <is>
          <t>2026-02-03</t>
        </is>
      </c>
      <c r="M125" s="7">
        <f>IFERROR(XLOOKUP(A125,'Source Inventory'!$A$5:$A$200,'Source Inventory'!$H$5:$H$200),"")</f>
        <v/>
      </c>
      <c r="N125" s="7" t="n">
        <v>0</v>
      </c>
      <c r="O125" s="7">
        <f>IFERROR(XLOOKUP(A125,'Source Ledger'!$B$5:$B$200,'Source Ledger'!$A$5:$A$200),"")</f>
        <v/>
      </c>
      <c r="P125" s="7">
        <f>IFERROR(XLOOKUP(A125,'Source Ledger'!$B$5:$B$200,'Source Ledger'!$D$5:$D$200),"")</f>
        <v/>
      </c>
      <c r="Q125" s="9" t="inlineStr">
        <is>
          <t>High</t>
        </is>
      </c>
      <c r="R125" s="7" t="inlineStr">
        <is>
          <t>EX-0154</t>
        </is>
      </c>
      <c r="S125" s="7">
        <f>IF(OR(R125="",R125=0),"No","Yes")</f>
        <v/>
      </c>
      <c r="T125">
        <f>IFERROR(XLOOKUP(A125,'Source Ledger'!$B$5:$B$200,'Source Ledger'!$E$5:$E$200),"")</f>
        <v/>
      </c>
      <c r="U125">
        <f>IFERROR(XLOOKUP(A125,'Source Ledger'!$B$5:$B$200,'Source Ledger'!$H$5:$H$200),"")</f>
        <v/>
      </c>
      <c r="V125">
        <f>IFERROR(XLOOKUP(A125,'Source Ledger'!$B$5:$B$200,'Source Ledger'!$G$5:$G$200),"")</f>
        <v/>
      </c>
      <c r="W125">
        <f>IF(OR(M125="",T125=""),"",T125-M125)</f>
        <v/>
      </c>
      <c r="X125">
        <f>IF(V125="","No","Yes")</f>
        <v/>
      </c>
    </row>
    <row r="126">
      <c r="A126" s="7" t="inlineStr">
        <is>
          <t>MD-00122</t>
        </is>
      </c>
      <c r="B126" s="7">
        <f>IFERROR(XLOOKUP(A126,'Source Inventory'!$A$5:$A$200,'Source Inventory'!$B$5:$B$200),"")</f>
        <v/>
      </c>
      <c r="C126" s="7">
        <f>IFERROR(XLOOKUP(A126,'Source Inventory'!$A$5:$A$200,'Source Inventory'!$C$5:$C$200),"")</f>
        <v/>
      </c>
      <c r="D126" s="7">
        <f>IFERROR(XLOOKUP(A126,'Source Inventory'!$A$5:$A$200,'Source Inventory'!$D$5:$D$200),"")</f>
        <v/>
      </c>
      <c r="E126" s="7">
        <f>IFERROR(XLOOKUP(A126,'Source Inventory'!$A$5:$A$200,'Source Inventory'!$E$5:$E$200),"")</f>
        <v/>
      </c>
      <c r="F126" s="7">
        <f>IFERROR(XLOOKUP(A126,'Source Inventory'!$A$5:$A$200,'Source Inventory'!$F$5:$F$200),"")</f>
        <v/>
      </c>
      <c r="G126" s="7">
        <f>IFERROR(XLOOKUP(A126,'Source Inventory'!$A$5:$A$200,'Source Inventory'!$G$5:$G$200),"")</f>
        <v/>
      </c>
      <c r="H126" s="7" t="inlineStr">
        <is>
          <t>IT Stock</t>
        </is>
      </c>
      <c r="I126" s="7" t="inlineStr">
        <is>
          <t>Dallas</t>
        </is>
      </c>
      <c r="J126" s="7" t="inlineStr">
        <is>
          <t>Available</t>
        </is>
      </c>
      <c r="K126" s="7" t="inlineStr">
        <is>
          <t>Files reviewed for MD-00122: HP EliteBook 840 G10, basis $655, operating site Dallas, status Available. acquisition recorded on PO-2025-0025. equipment_transfer_log TR-00122 posted Feb 23, 2026; inbound 2026-02-25 approval APR-00122. Source Ledger FA-000122; net book value $336.15.</t>
        </is>
      </c>
      <c r="L126" s="7" t="inlineStr">
        <is>
          <t>2026-03-04</t>
        </is>
      </c>
      <c r="M126" s="7">
        <f>IFERROR(XLOOKUP(A126,'Source Inventory'!$A$5:$A$200,'Source Inventory'!$H$5:$H$200),"")</f>
        <v/>
      </c>
      <c r="N126" s="7" t="n">
        <v>336.15</v>
      </c>
      <c r="O126" s="7">
        <f>IFERROR(XLOOKUP(A126,'Source Ledger'!$B$5:$B$200,'Source Ledger'!$A$5:$A$200),"")</f>
        <v/>
      </c>
      <c r="P126" s="7">
        <f>IFERROR(XLOOKUP(A126,'Source Ledger'!$B$5:$B$200,'Source Ledger'!$D$5:$D$200),"")</f>
        <v/>
      </c>
      <c r="Q126" s="9" t="inlineStr">
        <is>
          <t>High</t>
        </is>
      </c>
      <c r="R126" s="7" t="inlineStr">
        <is>
          <t>EX-0155</t>
        </is>
      </c>
      <c r="S126" s="7">
        <f>IF(OR(R126="",R126=0),"No","Yes")</f>
        <v/>
      </c>
      <c r="T126">
        <f>IFERROR(XLOOKUP(A126,'Source Ledger'!$B$5:$B$200,'Source Ledger'!$E$5:$E$200),"")</f>
        <v/>
      </c>
      <c r="U126">
        <f>IFERROR(XLOOKUP(A126,'Source Ledger'!$B$5:$B$200,'Source Ledger'!$H$5:$H$200),"")</f>
        <v/>
      </c>
      <c r="V126">
        <f>IFERROR(XLOOKUP(A126,'Source Ledger'!$B$5:$B$200,'Source Ledger'!$G$5:$G$200),"")</f>
        <v/>
      </c>
      <c r="W126">
        <f>IF(OR(M126="",T126=""),"",T126-M126)</f>
        <v/>
      </c>
      <c r="X126">
        <f>IF(V126="","No","Yes")</f>
        <v/>
      </c>
    </row>
    <row r="127">
      <c r="A127" s="7" t="inlineStr">
        <is>
          <t>MD-00123</t>
        </is>
      </c>
      <c r="B127" s="7">
        <f>IFERROR(XLOOKUP(A127,'Source Inventory'!$A$5:$A$200,'Source Inventory'!$B$5:$B$200),"")</f>
        <v/>
      </c>
      <c r="C127" s="7">
        <f>IFERROR(XLOOKUP(A127,'Source Inventory'!$A$5:$A$200,'Source Inventory'!$C$5:$C$200),"")</f>
        <v/>
      </c>
      <c r="D127" s="7">
        <f>IFERROR(XLOOKUP(A127,'Source Inventory'!$A$5:$A$200,'Source Inventory'!$D$5:$D$200),"")</f>
        <v/>
      </c>
      <c r="E127" s="7">
        <f>IFERROR(XLOOKUP(A127,'Source Inventory'!$A$5:$A$200,'Source Inventory'!$E$5:$E$200),"")</f>
        <v/>
      </c>
      <c r="F127" s="7">
        <f>IFERROR(XLOOKUP(A127,'Source Inventory'!$A$5:$A$200,'Source Inventory'!$F$5:$F$200),"")</f>
        <v/>
      </c>
      <c r="G127" s="7">
        <f>IFERROR(XLOOKUP(A127,'Source Inventory'!$A$5:$A$200,'Source Inventory'!$G$5:$G$200),"")</f>
        <v/>
      </c>
      <c r="H127" s="7" t="inlineStr">
        <is>
          <t>IT Stock</t>
        </is>
      </c>
      <c r="I127" s="7" t="inlineStr">
        <is>
          <t>Denver</t>
        </is>
      </c>
      <c r="J127" s="7" t="inlineStr">
        <is>
          <t>Available</t>
        </is>
      </c>
      <c r="K127" s="7" t="inlineStr">
        <is>
          <t>Files reviewed for MD-00123: Microsoft Surface Laptop 5, basis $1130, operating site Denver, status Available. order PO-2025-0025 appears in the purchasing extract. equipment_transfer_log TR-00123 posted Mar 31, 2026; inbound 2026-04-03 approval APR-00123. Source Ledger FA-000123; net book value $622.62.</t>
        </is>
      </c>
      <c r="L127" s="7" t="inlineStr">
        <is>
          <t>2026-04-05</t>
        </is>
      </c>
      <c r="M127" s="7">
        <f>IFERROR(XLOOKUP(A127,'Source Inventory'!$A$5:$A$200,'Source Inventory'!$H$5:$H$200),"")</f>
        <v/>
      </c>
      <c r="N127" s="7" t="n">
        <v>622.62</v>
      </c>
      <c r="O127" s="7">
        <f>IFERROR(XLOOKUP(A127,'Source Ledger'!$B$5:$B$200,'Source Ledger'!$A$5:$A$200),"")</f>
        <v/>
      </c>
      <c r="P127" s="7">
        <f>IFERROR(XLOOKUP(A127,'Source Ledger'!$B$5:$B$200,'Source Ledger'!$D$5:$D$200),"")</f>
        <v/>
      </c>
      <c r="Q127" s="9" t="inlineStr">
        <is>
          <t>High</t>
        </is>
      </c>
      <c r="R127" s="7" t="inlineStr">
        <is>
          <t>EX-0156</t>
        </is>
      </c>
      <c r="S127" s="7">
        <f>IF(OR(R127="",R127=0),"No","Yes")</f>
        <v/>
      </c>
      <c r="T127">
        <f>IFERROR(XLOOKUP(A127,'Source Ledger'!$B$5:$B$200,'Source Ledger'!$E$5:$E$200),"")</f>
        <v/>
      </c>
      <c r="U127">
        <f>IFERROR(XLOOKUP(A127,'Source Ledger'!$B$5:$B$200,'Source Ledger'!$H$5:$H$200),"")</f>
        <v/>
      </c>
      <c r="V127">
        <f>IFERROR(XLOOKUP(A127,'Source Ledger'!$B$5:$B$200,'Source Ledger'!$G$5:$G$200),"")</f>
        <v/>
      </c>
      <c r="W127">
        <f>IF(OR(M127="",T127=""),"",T127-M127)</f>
        <v/>
      </c>
      <c r="X127">
        <f>IF(V127="","No","Yes")</f>
        <v/>
      </c>
    </row>
    <row r="128">
      <c r="A128" s="7" t="inlineStr">
        <is>
          <t>MD-00124</t>
        </is>
      </c>
      <c r="B128" s="7">
        <f>IFERROR(XLOOKUP(A128,'Source Inventory'!$A$5:$A$200,'Source Inventory'!$B$5:$B$200),"")</f>
        <v/>
      </c>
      <c r="C128" s="7">
        <f>IFERROR(XLOOKUP(A128,'Source Inventory'!$A$5:$A$200,'Source Inventory'!$C$5:$C$200),"")</f>
        <v/>
      </c>
      <c r="D128" s="7">
        <f>IFERROR(XLOOKUP(A128,'Source Inventory'!$A$5:$A$200,'Source Inventory'!$D$5:$D$200),"")</f>
        <v/>
      </c>
      <c r="E128" s="7">
        <f>IFERROR(XLOOKUP(A128,'Source Inventory'!$A$5:$A$200,'Source Inventory'!$E$5:$E$200),"")</f>
        <v/>
      </c>
      <c r="F128" s="7">
        <f>IFERROR(XLOOKUP(A128,'Source Inventory'!$A$5:$A$200,'Source Inventory'!$F$5:$F$200),"")</f>
        <v/>
      </c>
      <c r="G128" s="7">
        <f>IFERROR(XLOOKUP(A128,'Source Inventory'!$A$5:$A$200,'Source Inventory'!$G$5:$G$200),"")</f>
        <v/>
      </c>
      <c r="H128" s="7" t="inlineStr">
        <is>
          <t>IT Stock</t>
        </is>
      </c>
      <c r="I128" s="7" t="inlineStr">
        <is>
          <t>New York</t>
        </is>
      </c>
      <c r="J128" s="7" t="inlineStr">
        <is>
          <t>Available</t>
        </is>
      </c>
      <c r="K128" s="7" t="inlineStr">
        <is>
          <t>Files reviewed for MD-00124: Lenovo ThinkPad X1 Carbon, basis $6425, operating site New York, status Available. acquisition recorded on PO-2022-0026. equipment_transfer_log TR-00124 posted May 01, 2026; inbound 2026-05-01 approval APR-00124. Source Ledger FA-000124; net book value $947.26.</t>
        </is>
      </c>
      <c r="L128" s="7" t="inlineStr">
        <is>
          <t>2026-05-06</t>
        </is>
      </c>
      <c r="M128" s="7">
        <f>IFERROR(XLOOKUP(A128,'Source Inventory'!$A$5:$A$200,'Source Inventory'!$H$5:$H$200),"")</f>
        <v/>
      </c>
      <c r="N128" s="7" t="n">
        <v>947.26</v>
      </c>
      <c r="O128" s="7">
        <f>IFERROR(XLOOKUP(A128,'Source Ledger'!$B$5:$B$200,'Source Ledger'!$A$5:$A$200),"")</f>
        <v/>
      </c>
      <c r="P128" s="7">
        <f>IFERROR(XLOOKUP(A128,'Source Ledger'!$B$5:$B$200,'Source Ledger'!$D$5:$D$200),"")</f>
        <v/>
      </c>
      <c r="Q128" s="9" t="inlineStr">
        <is>
          <t>High</t>
        </is>
      </c>
      <c r="R128" s="7" t="inlineStr">
        <is>
          <t>EX-0157</t>
        </is>
      </c>
      <c r="S128" s="7">
        <f>IF(OR(R128="",R128=0),"No","Yes")</f>
        <v/>
      </c>
      <c r="T128">
        <f>IFERROR(XLOOKUP(A128,'Source Ledger'!$B$5:$B$200,'Source Ledger'!$E$5:$E$200),"")</f>
        <v/>
      </c>
      <c r="U128">
        <f>IFERROR(XLOOKUP(A128,'Source Ledger'!$B$5:$B$200,'Source Ledger'!$H$5:$H$200),"")</f>
        <v/>
      </c>
      <c r="V128">
        <f>IFERROR(XLOOKUP(A128,'Source Ledger'!$B$5:$B$200,'Source Ledger'!$G$5:$G$200),"")</f>
        <v/>
      </c>
      <c r="W128">
        <f>IF(OR(M128="",T128=""),"",T128-M128)</f>
        <v/>
      </c>
      <c r="X128">
        <f>IF(V128="","No","Yes")</f>
        <v/>
      </c>
    </row>
    <row r="129">
      <c r="A129" s="7" t="inlineStr">
        <is>
          <t>MD-00125</t>
        </is>
      </c>
      <c r="B129" s="7">
        <f>IFERROR(XLOOKUP(A129,'Source Inventory'!$A$5:$A$200,'Source Inventory'!$B$5:$B$200),"")</f>
        <v/>
      </c>
      <c r="C129" s="7">
        <f>IFERROR(XLOOKUP(A129,'Source Inventory'!$A$5:$A$200,'Source Inventory'!$C$5:$C$200),"")</f>
        <v/>
      </c>
      <c r="D129" s="7">
        <f>IFERROR(XLOOKUP(A129,'Source Inventory'!$A$5:$A$200,'Source Inventory'!$D$5:$D$200),"")</f>
        <v/>
      </c>
      <c r="E129" s="7">
        <f>IFERROR(XLOOKUP(A129,'Source Inventory'!$A$5:$A$200,'Source Inventory'!$E$5:$E$200),"")</f>
        <v/>
      </c>
      <c r="F129" s="7">
        <f>IFERROR(XLOOKUP(A129,'Source Inventory'!$A$5:$A$200,'Source Inventory'!$F$5:$F$200),"")</f>
        <v/>
      </c>
      <c r="G129" s="7">
        <f>IFERROR(XLOOKUP(A129,'Source Inventory'!$A$5:$A$200,'Source Inventory'!$G$5:$G$200),"")</f>
        <v/>
      </c>
      <c r="H129" s="7" t="inlineStr">
        <is>
          <t>IT Stock</t>
        </is>
      </c>
      <c r="I129" s="7" t="inlineStr">
        <is>
          <t>Seattle</t>
        </is>
      </c>
      <c r="J129" s="7" t="inlineStr">
        <is>
          <t>Available</t>
        </is>
      </c>
      <c r="K129" s="7" t="inlineStr">
        <is>
          <t>Reconciliation packet cites MD-00125 with acquisition $2120 and custody Available at Seattle. equipment_transfer_log TR-00125 posted Jun 05, 2026; inbound 2026-06-08 approval APR-00125. Source Ledger FA-000125; net book value $0. order PO-2022-0026 appears in the purchasing extract.</t>
        </is>
      </c>
      <c r="L129" s="7" t="inlineStr">
        <is>
          <t>2026-06-07</t>
        </is>
      </c>
      <c r="M129" s="7">
        <f>IFERROR(XLOOKUP(A129,'Source Inventory'!$A$5:$A$200,'Source Inventory'!$H$5:$H$200),"")</f>
        <v/>
      </c>
      <c r="N129" s="7" t="n">
        <v>0</v>
      </c>
      <c r="O129" s="7">
        <f>IFERROR(XLOOKUP(A129,'Source Ledger'!$B$5:$B$200,'Source Ledger'!$A$5:$A$200),"")</f>
        <v/>
      </c>
      <c r="P129" s="7">
        <f>IFERROR(XLOOKUP(A129,'Source Ledger'!$B$5:$B$200,'Source Ledger'!$D$5:$D$200),"")</f>
        <v/>
      </c>
      <c r="Q129" s="9" t="inlineStr">
        <is>
          <t>High</t>
        </is>
      </c>
      <c r="R129" s="7" t="inlineStr">
        <is>
          <t>EX-0158</t>
        </is>
      </c>
      <c r="S129" s="7">
        <f>IF(OR(R129="",R129=0),"No","Yes")</f>
        <v/>
      </c>
      <c r="T129">
        <f>IFERROR(XLOOKUP(A129,'Source Ledger'!$B$5:$B$200,'Source Ledger'!$E$5:$E$200),"")</f>
        <v/>
      </c>
      <c r="U129">
        <f>IFERROR(XLOOKUP(A129,'Source Ledger'!$B$5:$B$200,'Source Ledger'!$H$5:$H$200),"")</f>
        <v/>
      </c>
      <c r="V129">
        <f>IFERROR(XLOOKUP(A129,'Source Ledger'!$B$5:$B$200,'Source Ledger'!$G$5:$G$200),"")</f>
        <v/>
      </c>
      <c r="W129">
        <f>IF(OR(M129="",T129=""),"",T129-M129)</f>
        <v/>
      </c>
      <c r="X129">
        <f>IF(V129="","No","Yes")</f>
        <v/>
      </c>
    </row>
    <row r="130">
      <c r="A130" s="7" t="inlineStr">
        <is>
          <t>MD-00126</t>
        </is>
      </c>
      <c r="B130" s="7">
        <f>IFERROR(XLOOKUP(A130,'Source Inventory'!$A$5:$A$200,'Source Inventory'!$B$5:$B$200),"")</f>
        <v/>
      </c>
      <c r="C130" s="7">
        <f>IFERROR(XLOOKUP(A130,'Source Inventory'!$A$5:$A$200,'Source Inventory'!$C$5:$C$200),"")</f>
        <v/>
      </c>
      <c r="D130" s="7">
        <f>IFERROR(XLOOKUP(A130,'Source Inventory'!$A$5:$A$200,'Source Inventory'!$D$5:$D$200),"")</f>
        <v/>
      </c>
      <c r="E130" s="7">
        <f>IFERROR(XLOOKUP(A130,'Source Inventory'!$A$5:$A$200,'Source Inventory'!$E$5:$E$200),"")</f>
        <v/>
      </c>
      <c r="F130" s="7">
        <f>IFERROR(XLOOKUP(A130,'Source Inventory'!$A$5:$A$200,'Source Inventory'!$F$5:$F$200),"")</f>
        <v/>
      </c>
      <c r="G130" s="7">
        <f>IFERROR(XLOOKUP(A130,'Source Inventory'!$A$5:$A$200,'Source Inventory'!$G$5:$G$200),"")</f>
        <v/>
      </c>
      <c r="H130" s="7" t="inlineStr">
        <is>
          <t>IT Stock</t>
        </is>
      </c>
      <c r="I130" s="7" t="inlineStr">
        <is>
          <t>Atlanta</t>
        </is>
      </c>
      <c r="J130" s="7" t="inlineStr">
        <is>
          <t>Available</t>
        </is>
      </c>
      <c r="K130" s="7" t="inlineStr">
        <is>
          <t>Reconciliation packet cites MD-00126 with acquisition $520 and custody Available at Atlanta. equipment_transfer_log TR-00126 posted Jan 10, 2026; inbound 2026-01-12 approval APR-00126. Source Ledger FA-000126; net book value $302.75. PO PO-2022-0026 documents the buy for MD-00126.</t>
        </is>
      </c>
      <c r="L130" s="7" t="inlineStr">
        <is>
          <t>2026-01-08</t>
        </is>
      </c>
      <c r="M130" s="7">
        <f>IFERROR(XLOOKUP(A130,'Source Inventory'!$A$5:$A$200,'Source Inventory'!$H$5:$H$200),"")</f>
        <v/>
      </c>
      <c r="N130" s="7" t="n">
        <v>302.75</v>
      </c>
      <c r="O130" s="7">
        <f>IFERROR(XLOOKUP(A130,'Source Ledger'!$B$5:$B$200,'Source Ledger'!$A$5:$A$200),"")</f>
        <v/>
      </c>
      <c r="P130" s="7">
        <f>IFERROR(XLOOKUP(A130,'Source Ledger'!$B$5:$B$200,'Source Ledger'!$D$5:$D$200),"")</f>
        <v/>
      </c>
      <c r="Q130" s="9" t="inlineStr">
        <is>
          <t>High</t>
        </is>
      </c>
      <c r="R130" s="7" t="inlineStr">
        <is>
          <t>EX-0159</t>
        </is>
      </c>
      <c r="S130" s="7">
        <f>IF(OR(R130="",R130=0),"No","Yes")</f>
        <v/>
      </c>
      <c r="T130">
        <f>IFERROR(XLOOKUP(A130,'Source Ledger'!$B$5:$B$200,'Source Ledger'!$E$5:$E$200),"")</f>
        <v/>
      </c>
      <c r="U130">
        <f>IFERROR(XLOOKUP(A130,'Source Ledger'!$B$5:$B$200,'Source Ledger'!$H$5:$H$200),"")</f>
        <v/>
      </c>
      <c r="V130">
        <f>IFERROR(XLOOKUP(A130,'Source Ledger'!$B$5:$B$200,'Source Ledger'!$G$5:$G$200),"")</f>
        <v/>
      </c>
      <c r="W130">
        <f>IF(OR(M130="",T130=""),"",T130-M130)</f>
        <v/>
      </c>
      <c r="X130">
        <f>IF(V130="","No","Yes")</f>
        <v/>
      </c>
    </row>
    <row r="131">
      <c r="A131" s="7" t="inlineStr">
        <is>
          <t>MD-00127</t>
        </is>
      </c>
      <c r="B131" s="7">
        <f>IFERROR(XLOOKUP(A131,'Source Inventory'!$A$5:$A$200,'Source Inventory'!$B$5:$B$200),"")</f>
        <v/>
      </c>
      <c r="C131" s="7">
        <f>IFERROR(XLOOKUP(A131,'Source Inventory'!$A$5:$A$200,'Source Inventory'!$C$5:$C$200),"")</f>
        <v/>
      </c>
      <c r="D131" s="7">
        <f>IFERROR(XLOOKUP(A131,'Source Inventory'!$A$5:$A$200,'Source Inventory'!$D$5:$D$200),"")</f>
        <v/>
      </c>
      <c r="E131" s="7">
        <f>IFERROR(XLOOKUP(A131,'Source Inventory'!$A$5:$A$200,'Source Inventory'!$E$5:$E$200),"")</f>
        <v/>
      </c>
      <c r="F131" s="7">
        <f>IFERROR(XLOOKUP(A131,'Source Inventory'!$A$5:$A$200,'Source Inventory'!$F$5:$F$200),"")</f>
        <v/>
      </c>
      <c r="G131" s="7">
        <f>IFERROR(XLOOKUP(A131,'Source Inventory'!$A$5:$A$200,'Source Inventory'!$G$5:$G$200),"")</f>
        <v/>
      </c>
      <c r="H131" s="7" t="inlineStr">
        <is>
          <t>E0061</t>
        </is>
      </c>
      <c r="I131" s="7" t="inlineStr">
        <is>
          <t>Denver</t>
        </is>
      </c>
      <c r="J131" s="7" t="inlineStr">
        <is>
          <t>In Use</t>
        </is>
      </c>
      <c r="K131" s="7" t="inlineStr">
        <is>
          <t>Reconciliation packet cites MD-00127 with acquisition $995 and custody In Use at Denver. hr_employee_status lists Liam Keane (E0061) as Transferred. equipment_transfer_log TR-00127 posted Feb 11, 2026; inbound 2026-02-17 blank approval field. Source Ledger FA-000127; net book value $662.65. buy path for MD-00127 references PO-2022-0026.</t>
        </is>
      </c>
      <c r="L131" s="7" t="inlineStr">
        <is>
          <t>2026-08-05</t>
        </is>
      </c>
      <c r="M131" s="7">
        <f>IFERROR(XLOOKUP(A131,'Source Inventory'!$A$5:$A$200,'Source Inventory'!$H$5:$H$200),"")</f>
        <v/>
      </c>
      <c r="N131" s="7" t="n">
        <v>662.65</v>
      </c>
      <c r="O131" s="7">
        <f>IFERROR(XLOOKUP(A131,'Source Ledger'!$B$5:$B$200,'Source Ledger'!$A$5:$A$200),"")</f>
        <v/>
      </c>
      <c r="P131" s="7">
        <f>IFERROR(XLOOKUP(A131,'Source Ledger'!$B$5:$B$200,'Source Ledger'!$D$5:$D$200),"")</f>
        <v/>
      </c>
      <c r="Q131" s="7" t="inlineStr">
        <is>
          <t>Medium</t>
        </is>
      </c>
      <c r="R131" s="7" t="inlineStr">
        <is>
          <t>EX-0160</t>
        </is>
      </c>
      <c r="S131" s="7">
        <f>IF(OR(R131="",R131=0),"No","Yes")</f>
        <v/>
      </c>
      <c r="T131">
        <f>IFERROR(XLOOKUP(A131,'Source Ledger'!$B$5:$B$200,'Source Ledger'!$E$5:$E$200),"")</f>
        <v/>
      </c>
      <c r="U131">
        <f>IFERROR(XLOOKUP(A131,'Source Ledger'!$B$5:$B$200,'Source Ledger'!$H$5:$H$200),"")</f>
        <v/>
      </c>
      <c r="V131">
        <f>IFERROR(XLOOKUP(A131,'Source Ledger'!$B$5:$B$200,'Source Ledger'!$G$5:$G$200),"")</f>
        <v/>
      </c>
      <c r="W131">
        <f>IF(OR(M131="",T131=""),"",T131-M131)</f>
        <v/>
      </c>
      <c r="X131">
        <f>IF(V131="","No","Yes")</f>
        <v/>
      </c>
    </row>
    <row r="132">
      <c r="A132" s="7" t="inlineStr">
        <is>
          <t>MD-00128</t>
        </is>
      </c>
      <c r="B132" s="7">
        <f>IFERROR(XLOOKUP(A132,'Source Inventory'!$A$5:$A$200,'Source Inventory'!$B$5:$B$200),"")</f>
        <v/>
      </c>
      <c r="C132" s="7">
        <f>IFERROR(XLOOKUP(A132,'Source Inventory'!$A$5:$A$200,'Source Inventory'!$C$5:$C$200),"")</f>
        <v/>
      </c>
      <c r="D132" s="7">
        <f>IFERROR(XLOOKUP(A132,'Source Inventory'!$A$5:$A$200,'Source Inventory'!$D$5:$D$200),"")</f>
        <v/>
      </c>
      <c r="E132" s="7">
        <f>IFERROR(XLOOKUP(A132,'Source Inventory'!$A$5:$A$200,'Source Inventory'!$E$5:$E$200),"")</f>
        <v/>
      </c>
      <c r="F132" s="7">
        <f>IFERROR(XLOOKUP(A132,'Source Inventory'!$A$5:$A$200,'Source Inventory'!$F$5:$F$200),"")</f>
        <v/>
      </c>
      <c r="G132" s="7">
        <f>IFERROR(XLOOKUP(A132,'Source Inventory'!$A$5:$A$200,'Source Inventory'!$G$5:$G$200),"")</f>
        <v/>
      </c>
      <c r="H132" s="7" t="inlineStr">
        <is>
          <t>E0062</t>
        </is>
      </c>
      <c r="I132" s="7" t="inlineStr">
        <is>
          <t>New York</t>
        </is>
      </c>
      <c r="J132" s="7" t="inlineStr">
        <is>
          <t>In Use</t>
        </is>
      </c>
      <c r="K132" s="7" t="inlineStr">
        <is>
          <t>Reconciliation packet cites MD-00128 with acquisition $6290 and custody In Use at New York. hr_employee_status lists Bianca Silva (E0062) as Transferred. equipment_transfer_log TR-00128 posted Mar 16, 2026; inbound 2026-03-19 approval APR-00128. Source Ledger FA-000128; net book value $1364.77. PO PO-2022-0026 documents the buy for MD-00128.</t>
        </is>
      </c>
      <c r="L132" s="7" t="inlineStr">
        <is>
          <t>2026-08-05</t>
        </is>
      </c>
      <c r="M132" s="7">
        <f>IFERROR(XLOOKUP(A132,'Source Inventory'!$A$5:$A$200,'Source Inventory'!$H$5:$H$200),"")</f>
        <v/>
      </c>
      <c r="N132" s="7" t="n">
        <v>1364.77</v>
      </c>
      <c r="O132" s="7">
        <f>IFERROR(XLOOKUP(A132,'Source Ledger'!$B$5:$B$200,'Source Ledger'!$A$5:$A$200),"")</f>
        <v/>
      </c>
      <c r="P132" s="7">
        <f>IFERROR(XLOOKUP(A132,'Source Ledger'!$B$5:$B$200,'Source Ledger'!$D$5:$D$200),"")</f>
        <v/>
      </c>
      <c r="Q132" s="9" t="inlineStr">
        <is>
          <t>High</t>
        </is>
      </c>
      <c r="R132" s="7" t="inlineStr"/>
      <c r="S132" s="7">
        <f>IF(OR(R132="",R132=0),"No","Yes")</f>
        <v/>
      </c>
      <c r="T132">
        <f>IFERROR(XLOOKUP(A132,'Source Ledger'!$B$5:$B$200,'Source Ledger'!$E$5:$E$200),"")</f>
        <v/>
      </c>
      <c r="U132">
        <f>IFERROR(XLOOKUP(A132,'Source Ledger'!$B$5:$B$200,'Source Ledger'!$H$5:$H$200),"")</f>
        <v/>
      </c>
      <c r="V132">
        <f>IFERROR(XLOOKUP(A132,'Source Ledger'!$B$5:$B$200,'Source Ledger'!$G$5:$G$200),"")</f>
        <v/>
      </c>
      <c r="W132">
        <f>IF(OR(M132="",T132=""),"",T132-M132)</f>
        <v/>
      </c>
      <c r="X132">
        <f>IF(V132="","No","Yes")</f>
        <v/>
      </c>
    </row>
    <row r="133">
      <c r="A133" s="7" t="inlineStr">
        <is>
          <t>MD-00129</t>
        </is>
      </c>
      <c r="B133" s="7">
        <f>IFERROR(XLOOKUP(A133,'Source Inventory'!$A$5:$A$200,'Source Inventory'!$B$5:$B$200),"")</f>
        <v/>
      </c>
      <c r="C133" s="7">
        <f>IFERROR(XLOOKUP(A133,'Source Inventory'!$A$5:$A$200,'Source Inventory'!$C$5:$C$200),"")</f>
        <v/>
      </c>
      <c r="D133" s="7">
        <f>IFERROR(XLOOKUP(A133,'Source Inventory'!$A$5:$A$200,'Source Inventory'!$D$5:$D$200),"")</f>
        <v/>
      </c>
      <c r="E133" s="7">
        <f>IFERROR(XLOOKUP(A133,'Source Inventory'!$A$5:$A$200,'Source Inventory'!$E$5:$E$200),"")</f>
        <v/>
      </c>
      <c r="F133" s="7">
        <f>IFERROR(XLOOKUP(A133,'Source Inventory'!$A$5:$A$200,'Source Inventory'!$F$5:$F$200),"")</f>
        <v/>
      </c>
      <c r="G133" s="7">
        <f>IFERROR(XLOOKUP(A133,'Source Inventory'!$A$5:$A$200,'Source Inventory'!$G$5:$G$200),"")</f>
        <v/>
      </c>
      <c r="H133" s="7" t="inlineStr">
        <is>
          <t>E0063</t>
        </is>
      </c>
      <c r="I133" s="7" t="inlineStr">
        <is>
          <t>Seattle</t>
        </is>
      </c>
      <c r="J133" s="7" t="inlineStr">
        <is>
          <t>In Use</t>
        </is>
      </c>
      <c r="K133" s="7" t="inlineStr">
        <is>
          <t>Reconciliation packet cites MD-00129 with acquisition $1985 and custody In Use at Seattle. hr_employee_status lists Greg Hollis (E0063) as Transferred. equipment_transfer_log TR-00129 posted Apr 20, 2026; inbound 2026-04-21 approval APR-00129. Source Ledger FA-000129; net book value $111.86. buy path for MD-00129 references PO-2022-0026.</t>
        </is>
      </c>
      <c r="L133" s="7" t="inlineStr">
        <is>
          <t>2026-08-05</t>
        </is>
      </c>
      <c r="M133" s="7">
        <f>IFERROR(XLOOKUP(A133,'Source Inventory'!$A$5:$A$200,'Source Inventory'!$H$5:$H$200),"")</f>
        <v/>
      </c>
      <c r="N133" s="7" t="n">
        <v>111.86</v>
      </c>
      <c r="O133" s="7">
        <f>IFERROR(XLOOKUP(A133,'Source Ledger'!$B$5:$B$200,'Source Ledger'!$A$5:$A$200),"")</f>
        <v/>
      </c>
      <c r="P133" s="7">
        <f>IFERROR(XLOOKUP(A133,'Source Ledger'!$B$5:$B$200,'Source Ledger'!$D$5:$D$200),"")</f>
        <v/>
      </c>
      <c r="Q133" s="9" t="inlineStr">
        <is>
          <t>High</t>
        </is>
      </c>
      <c r="R133" s="7" t="inlineStr"/>
      <c r="S133" s="7">
        <f>IF(OR(R133="",R133=0),"No","Yes")</f>
        <v/>
      </c>
      <c r="T133">
        <f>IFERROR(XLOOKUP(A133,'Source Ledger'!$B$5:$B$200,'Source Ledger'!$E$5:$E$200),"")</f>
        <v/>
      </c>
      <c r="U133">
        <f>IFERROR(XLOOKUP(A133,'Source Ledger'!$B$5:$B$200,'Source Ledger'!$H$5:$H$200),"")</f>
        <v/>
      </c>
      <c r="V133">
        <f>IFERROR(XLOOKUP(A133,'Source Ledger'!$B$5:$B$200,'Source Ledger'!$G$5:$G$200),"")</f>
        <v/>
      </c>
      <c r="W133">
        <f>IF(OR(M133="",T133=""),"",T133-M133)</f>
        <v/>
      </c>
      <c r="X133">
        <f>IF(V133="","No","Yes")</f>
        <v/>
      </c>
    </row>
    <row r="134">
      <c r="A134" s="7" t="inlineStr">
        <is>
          <t>MD-00130</t>
        </is>
      </c>
      <c r="B134" s="7">
        <f>IFERROR(XLOOKUP(A134,'Source Inventory'!$A$5:$A$200,'Source Inventory'!$B$5:$B$200),"")</f>
        <v/>
      </c>
      <c r="C134" s="7">
        <f>IFERROR(XLOOKUP(A134,'Source Inventory'!$A$5:$A$200,'Source Inventory'!$C$5:$C$200),"")</f>
        <v/>
      </c>
      <c r="D134" s="7">
        <f>IFERROR(XLOOKUP(A134,'Source Inventory'!$A$5:$A$200,'Source Inventory'!$D$5:$D$200),"")</f>
        <v/>
      </c>
      <c r="E134" s="7">
        <f>IFERROR(XLOOKUP(A134,'Source Inventory'!$A$5:$A$200,'Source Inventory'!$E$5:$E$200),"")</f>
        <v/>
      </c>
      <c r="F134" s="7">
        <f>IFERROR(XLOOKUP(A134,'Source Inventory'!$A$5:$A$200,'Source Inventory'!$F$5:$F$200),"")</f>
        <v/>
      </c>
      <c r="G134" s="7">
        <f>IFERROR(XLOOKUP(A134,'Source Inventory'!$A$5:$A$200,'Source Inventory'!$G$5:$G$200),"")</f>
        <v/>
      </c>
      <c r="H134" s="7" t="inlineStr">
        <is>
          <t>E0064</t>
        </is>
      </c>
      <c r="I134" s="7" t="inlineStr">
        <is>
          <t>Atlanta</t>
        </is>
      </c>
      <c r="J134" s="7" t="inlineStr">
        <is>
          <t>In Use</t>
        </is>
      </c>
      <c r="K134" s="7" t="inlineStr">
        <is>
          <t>Files reviewed for MD-00130: Lenovo ThinkPad T14, basis $700, operating site Atlanta, status In Use. equipment_transfer_log TR-00130 posted May 22, 2026; inbound 2026-05-28 approval APR-00130. hr_employee_status lists Naomi Berger (E0064) as Transferred. PO-2023-0023 covers under-threshold MD-00130; no FAR row expected under ITAM-001 §7.</t>
        </is>
      </c>
      <c r="L134" s="7" t="inlineStr">
        <is>
          <t>2026-08-05</t>
        </is>
      </c>
      <c r="M134" s="7">
        <f>IFERROR(XLOOKUP(A134,'Source Inventory'!$A$5:$A$200,'Source Inventory'!$H$5:$H$200),"")</f>
        <v/>
      </c>
      <c r="N134" s="7">
        <f>IF(V134="","",V134)</f>
        <v/>
      </c>
      <c r="O134" s="7">
        <f>IFERROR(XLOOKUP(A134,'Source Ledger'!$B$5:$B$200,'Source Ledger'!$A$5:$A$200),"")</f>
        <v/>
      </c>
      <c r="P134" s="7">
        <f>IFERROR(XLOOKUP(A134,'Source Ledger'!$B$5:$B$200,'Source Ledger'!$D$5:$D$200),"")</f>
        <v/>
      </c>
      <c r="Q134" s="9" t="inlineStr">
        <is>
          <t>High</t>
        </is>
      </c>
      <c r="R134" s="7" t="inlineStr">
        <is>
          <t>EX-0161</t>
        </is>
      </c>
      <c r="S134" s="7">
        <f>IF(OR(R134="",R134=0),"No","Yes")</f>
        <v/>
      </c>
      <c r="T134">
        <f>IFERROR(XLOOKUP(A134,'Source Ledger'!$B$5:$B$200,'Source Ledger'!$E$5:$E$200),"")</f>
        <v/>
      </c>
      <c r="U134">
        <f>IFERROR(XLOOKUP(A134,'Source Ledger'!$B$5:$B$200,'Source Ledger'!$H$5:$H$200),"")</f>
        <v/>
      </c>
      <c r="V134">
        <f>IFERROR(XLOOKUP(A134,'Source Ledger'!$B$5:$B$200,'Source Ledger'!$G$5:$G$200),"")</f>
        <v/>
      </c>
      <c r="W134">
        <f>IF(OR(M134="",T134=""),"",T134-M134)</f>
        <v/>
      </c>
      <c r="X134">
        <f>IF(V134="","No","Yes")</f>
        <v/>
      </c>
    </row>
    <row r="135">
      <c r="A135" s="7" t="inlineStr">
        <is>
          <t>MD-00131</t>
        </is>
      </c>
      <c r="B135" s="7">
        <f>IFERROR(XLOOKUP(A135,'Source Inventory'!$A$5:$A$200,'Source Inventory'!$B$5:$B$200),"")</f>
        <v/>
      </c>
      <c r="C135" s="7">
        <f>IFERROR(XLOOKUP(A135,'Source Inventory'!$A$5:$A$200,'Source Inventory'!$C$5:$C$200),"")</f>
        <v/>
      </c>
      <c r="D135" s="7">
        <f>IFERROR(XLOOKUP(A135,'Source Inventory'!$A$5:$A$200,'Source Inventory'!$D$5:$D$200),"")</f>
        <v/>
      </c>
      <c r="E135" s="7">
        <f>IFERROR(XLOOKUP(A135,'Source Inventory'!$A$5:$A$200,'Source Inventory'!$E$5:$E$200),"")</f>
        <v/>
      </c>
      <c r="F135" s="7">
        <f>IFERROR(XLOOKUP(A135,'Source Inventory'!$A$5:$A$200,'Source Inventory'!$F$5:$F$200),"")</f>
        <v/>
      </c>
      <c r="G135" s="7">
        <f>IFERROR(XLOOKUP(A135,'Source Inventory'!$A$5:$A$200,'Source Inventory'!$G$5:$G$200),"")</f>
        <v/>
      </c>
      <c r="H135" s="7" t="inlineStr">
        <is>
          <t>E0065</t>
        </is>
      </c>
      <c r="I135" s="7" t="inlineStr">
        <is>
          <t>Chicago</t>
        </is>
      </c>
      <c r="J135" s="7" t="inlineStr">
        <is>
          <t>In Use</t>
        </is>
      </c>
      <c r="K135" s="7" t="inlineStr">
        <is>
          <t>Files reviewed for MD-00131: MacBook Pro 14, basis $1175, operating site Chicago, status In Use. equipment_transfer_log TR-00131 posted Jun 26, 2026; inbound 2026-06-28 approval APR-00131. hr_employee_status lists Felix Moreno (E0065) as Transferred. PO-2023-0023 covers under-threshold MD-00131; no FAR row expected under ITAM-001 §7.</t>
        </is>
      </c>
      <c r="L135" s="7" t="inlineStr">
        <is>
          <t>2026-08-05</t>
        </is>
      </c>
      <c r="M135" s="7">
        <f>IFERROR(XLOOKUP(A135,'Source Inventory'!$A$5:$A$200,'Source Inventory'!$H$5:$H$200),"")</f>
        <v/>
      </c>
      <c r="N135" s="7">
        <f>IF(V135="","",V135)</f>
        <v/>
      </c>
      <c r="O135" s="7">
        <f>IFERROR(XLOOKUP(A135,'Source Ledger'!$B$5:$B$200,'Source Ledger'!$A$5:$A$200),"")</f>
        <v/>
      </c>
      <c r="P135" s="7">
        <f>IFERROR(XLOOKUP(A135,'Source Ledger'!$B$5:$B$200,'Source Ledger'!$D$5:$D$200),"")</f>
        <v/>
      </c>
      <c r="Q135" s="9" t="inlineStr">
        <is>
          <t>High</t>
        </is>
      </c>
      <c r="R135" s="7" t="inlineStr">
        <is>
          <t>EX-0162</t>
        </is>
      </c>
      <c r="S135" s="7">
        <f>IF(OR(R135="",R135=0),"No","Yes")</f>
        <v/>
      </c>
      <c r="T135">
        <f>IFERROR(XLOOKUP(A135,'Source Ledger'!$B$5:$B$200,'Source Ledger'!$E$5:$E$200),"")</f>
        <v/>
      </c>
      <c r="U135">
        <f>IFERROR(XLOOKUP(A135,'Source Ledger'!$B$5:$B$200,'Source Ledger'!$H$5:$H$200),"")</f>
        <v/>
      </c>
      <c r="V135">
        <f>IFERROR(XLOOKUP(A135,'Source Ledger'!$B$5:$B$200,'Source Ledger'!$G$5:$G$200),"")</f>
        <v/>
      </c>
      <c r="W135">
        <f>IF(OR(M135="",T135=""),"",T135-M135)</f>
        <v/>
      </c>
      <c r="X135">
        <f>IF(V135="","No","Yes")</f>
        <v/>
      </c>
    </row>
    <row r="136">
      <c r="A136" s="7" t="inlineStr">
        <is>
          <t>MD-00132</t>
        </is>
      </c>
      <c r="B136" s="7">
        <f>IFERROR(XLOOKUP(A136,'Source Inventory'!$A$5:$A$200,'Source Inventory'!$B$5:$B$200),"")</f>
        <v/>
      </c>
      <c r="C136" s="7">
        <f>IFERROR(XLOOKUP(A136,'Source Inventory'!$A$5:$A$200,'Source Inventory'!$C$5:$C$200),"")</f>
        <v/>
      </c>
      <c r="D136" s="7">
        <f>IFERROR(XLOOKUP(A136,'Source Inventory'!$A$5:$A$200,'Source Inventory'!$D$5:$D$200),"")</f>
        <v/>
      </c>
      <c r="E136" s="7">
        <f>IFERROR(XLOOKUP(A136,'Source Inventory'!$A$5:$A$200,'Source Inventory'!$E$5:$E$200),"")</f>
        <v/>
      </c>
      <c r="F136" s="7">
        <f>IFERROR(XLOOKUP(A136,'Source Inventory'!$A$5:$A$200,'Source Inventory'!$F$5:$F$200),"")</f>
        <v/>
      </c>
      <c r="G136" s="7">
        <f>IFERROR(XLOOKUP(A136,'Source Inventory'!$A$5:$A$200,'Source Inventory'!$G$5:$G$200),"")</f>
        <v/>
      </c>
      <c r="H136" s="7" t="inlineStr">
        <is>
          <t>E0066</t>
        </is>
      </c>
      <c r="I136" s="7" t="inlineStr">
        <is>
          <t>Dallas</t>
        </is>
      </c>
      <c r="J136" s="7" t="inlineStr">
        <is>
          <t>In Use</t>
        </is>
      </c>
      <c r="K136" s="7" t="inlineStr">
        <is>
          <t>Files reviewed for MD-00132: Dell Latitude 7440, basis $6470, operating site Dallas, status In Use. equipment_transfer_log TR-00132 posted Jan 30, 2026; inbound 2026-01-31 approval APR-00132. hr_employee_status lists Sharon Quinlan (E0066) as Transferred. RN-0132 under-threshold claim rejected; $6,470 exceeds gate with no FA row.</t>
        </is>
      </c>
      <c r="L136" s="7" t="inlineStr">
        <is>
          <t>2026-08-05</t>
        </is>
      </c>
      <c r="M136" s="7">
        <f>IFERROR(XLOOKUP(A136,'Source Inventory'!$A$5:$A$200,'Source Inventory'!$H$5:$H$200),"")</f>
        <v/>
      </c>
      <c r="N136" s="7">
        <f>IF(V136="","",V136)</f>
        <v/>
      </c>
      <c r="O136" s="7">
        <f>IFERROR(XLOOKUP(A136,'Source Ledger'!$B$5:$B$200,'Source Ledger'!$A$5:$A$200),"")</f>
        <v/>
      </c>
      <c r="P136" s="7">
        <f>IFERROR(XLOOKUP(A136,'Source Ledger'!$B$5:$B$200,'Source Ledger'!$D$5:$D$200),"")</f>
        <v/>
      </c>
      <c r="Q136" s="9" t="inlineStr">
        <is>
          <t>High</t>
        </is>
      </c>
      <c r="R136" s="7" t="inlineStr">
        <is>
          <t>EX-0163</t>
        </is>
      </c>
      <c r="S136" s="7">
        <f>IF(OR(R136="",R136=0),"No","Yes")</f>
        <v/>
      </c>
      <c r="T136">
        <f>IFERROR(XLOOKUP(A136,'Source Ledger'!$B$5:$B$200,'Source Ledger'!$E$5:$E$200),"")</f>
        <v/>
      </c>
      <c r="U136">
        <f>IFERROR(XLOOKUP(A136,'Source Ledger'!$B$5:$B$200,'Source Ledger'!$H$5:$H$200),"")</f>
        <v/>
      </c>
      <c r="V136">
        <f>IFERROR(XLOOKUP(A136,'Source Ledger'!$B$5:$B$200,'Source Ledger'!$G$5:$G$200),"")</f>
        <v/>
      </c>
      <c r="W136">
        <f>IF(OR(M136="",T136=""),"",T136-M136)</f>
        <v/>
      </c>
      <c r="X136">
        <f>IF(V136="","No","Yes")</f>
        <v/>
      </c>
    </row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1" customWidth="1" min="4" max="4"/>
    <col width="15" customWidth="1" min="5" max="5"/>
    <col width="40" customWidth="1" min="6" max="6"/>
    <col width="20" customWidth="1" min="7" max="7"/>
    <col width="40" customWidth="1" min="8" max="8"/>
    <col width="23" customWidth="1" min="9" max="9"/>
    <col width="21" customWidth="1" min="10" max="10"/>
    <col width="10" customWidth="1" min="11" max="11"/>
    <col width="40" customWidth="1" min="12" max="12"/>
    <col width="22" customWidth="1" min="13" max="13"/>
  </cols>
  <sheetData>
    <row r="1">
      <c r="A1" s="24" t="inlineStr">
        <is>
          <t>Exception Register</t>
        </is>
      </c>
    </row>
    <row r="2" ht="36" customHeight="1">
      <c r="A2" s="23" t="inlineStr">
        <is>
          <t>Each exception cites exact related records. Image leads are labeled as leads, not clearance. Flags duplicate serial MD-LA-050021 across MD-00021 and MD-00025, and duplicate serial MD-NE-050088 across MD-00088 and MD-00092.</t>
        </is>
      </c>
    </row>
    <row r="4">
      <c r="A4" s="25" t="inlineStr">
        <is>
          <t>Exception ID</t>
        </is>
      </c>
      <c r="B4" s="25" t="inlineStr">
        <is>
          <t>Type</t>
        </is>
      </c>
      <c r="C4" s="25" t="inlineStr">
        <is>
          <t>Severity</t>
        </is>
      </c>
      <c r="D4" s="25" t="inlineStr">
        <is>
          <t>Asset Tag</t>
        </is>
      </c>
      <c r="E4" s="25" t="inlineStr">
        <is>
          <t>Serial Number</t>
        </is>
      </c>
      <c r="F4" s="25" t="inlineStr">
        <is>
          <t>Related Record(s)</t>
        </is>
      </c>
      <c r="G4" s="25" t="inlineStr">
        <is>
          <t>Financial Exposure</t>
        </is>
      </c>
      <c r="H4" s="25" t="inlineStr">
        <is>
          <t>Required Action</t>
        </is>
      </c>
      <c r="I4" s="25" t="inlineStr">
        <is>
          <t>Owner by Role</t>
        </is>
      </c>
      <c r="J4" s="25" t="inlineStr">
        <is>
          <t>Resolution Deadline</t>
        </is>
      </c>
      <c r="K4" s="25" t="inlineStr">
        <is>
          <t>Status</t>
        </is>
      </c>
      <c r="L4" s="25" t="inlineStr">
        <is>
          <t>Evidence Assessment</t>
        </is>
      </c>
      <c r="M4" s="25" t="inlineStr">
        <is>
          <t>Certification Impact</t>
        </is>
      </c>
    </row>
    <row r="5">
      <c r="A5" s="7" t="inlineStr">
        <is>
          <t>EX-0001</t>
        </is>
      </c>
      <c r="B5" s="7" t="inlineStr">
        <is>
          <t>Inventory-to-Ledger Difference</t>
        </is>
      </c>
      <c r="C5" s="10" t="inlineStr">
        <is>
          <t>High</t>
        </is>
      </c>
      <c r="D5" s="7" t="inlineStr">
        <is>
          <t>MD-00017</t>
        </is>
      </c>
      <c r="E5" s="7" t="inlineStr">
        <is>
          <t>MD-LA-050017</t>
        </is>
      </c>
      <c r="F5" s="7" t="inlineStr">
        <is>
          <t>Ledger:FA-000017; PO:PO-2025-0004; RegisterCost:1985.0; LedgerCost:2070.0; OverDepreciation:90.0</t>
        </is>
      </c>
      <c r="G5" s="7" t="n">
        <v>85</v>
      </c>
      <c r="H5" s="7" t="inlineStr">
        <is>
          <t>Finance Controller: clear FA-000017 over-depreciation and cost basis on MD-00017 before relying on NBV.</t>
        </is>
      </c>
      <c r="I5" s="7" t="inlineStr">
        <is>
          <t>Finance Controller</t>
        </is>
      </c>
      <c r="J5" s="7" t="inlineStr">
        <is>
          <t>2026-08-21</t>
        </is>
      </c>
      <c r="K5" s="7" t="inlineStr">
        <is>
          <t>Open</t>
        </is>
      </c>
      <c r="L5" s="7" t="inlineStr">
        <is>
          <t>Pulled PO-2025-0004 and FA-000017 for MD-00017: register $1985.0 vs ledger $2070.0. FA-000017 accumulated depreciation $2160 exceeds acquisition $2070 by $90.</t>
        </is>
      </c>
      <c r="M5" s="7" t="inlineStr">
        <is>
          <t>Requires remediation</t>
        </is>
      </c>
    </row>
    <row r="6">
      <c r="A6" s="7" t="inlineStr">
        <is>
          <t>EX-0002</t>
        </is>
      </c>
      <c r="B6" s="7" t="inlineStr">
        <is>
          <t>Duplicate Serial Number</t>
        </is>
      </c>
      <c r="C6" s="10" t="inlineStr">
        <is>
          <t>High</t>
        </is>
      </c>
      <c r="D6" s="7" t="inlineStr">
        <is>
          <t>MD-00021</t>
        </is>
      </c>
      <c r="E6" s="7" t="inlineStr">
        <is>
          <t>MD-LA-050021</t>
        </is>
      </c>
      <c r="F6" s="7" t="inlineStr">
        <is>
          <t>Duplicate serial MD-LA-050021 across MD-00021 and MD-00025; Serial:MD-LA-050021; AlsoTagged:MD-00021,MD-00025</t>
        </is>
      </c>
      <c r="G6" s="7" t="n">
        <v>124.52</v>
      </c>
      <c r="H6" s="7" t="inlineStr">
        <is>
          <t>Bench-validate and retag duplicate serial MD-LA-050021 involving MD-00021 (EX-0002).</t>
        </is>
      </c>
      <c r="I6" s="7" t="inlineStr">
        <is>
          <t>IT Asset Specialist</t>
        </is>
      </c>
      <c r="J6" s="7" t="inlineStr">
        <is>
          <t>2026-08-18</t>
        </is>
      </c>
      <c r="K6" s="7" t="inlineStr">
        <is>
          <t>Open</t>
        </is>
      </c>
      <c r="L6" s="7" t="inlineStr">
        <is>
          <t>Serial MD-LA-050021 appears on MD-00021 and MD-00021,MD-00025; bench validation required (EX-0002).</t>
        </is>
      </c>
      <c r="M6" s="7" t="inlineStr">
        <is>
          <t>Requires remediation</t>
        </is>
      </c>
    </row>
    <row r="7">
      <c r="A7" s="7" t="inlineStr">
        <is>
          <t>EX-0003</t>
        </is>
      </c>
      <c r="B7" s="7" t="inlineStr">
        <is>
          <t>Closed Location Assignment</t>
        </is>
      </c>
      <c r="C7" s="11" t="inlineStr">
        <is>
          <t>Medium</t>
        </is>
      </c>
      <c r="D7" s="7" t="inlineStr">
        <is>
          <t>MD-00025</t>
        </is>
      </c>
      <c r="E7" s="7" t="inlineStr">
        <is>
          <t>MD-LA-050021</t>
        </is>
      </c>
      <c r="F7" s="7" t="inlineStr">
        <is>
          <t>RegisterLocation:Denver - Closed; Transfer:TR-00025; HRLocation:Chicago</t>
        </is>
      </c>
      <c r="G7" s="7" t="n">
        <v>0</v>
      </c>
      <c r="H7" s="7" t="inlineStr">
        <is>
          <t>Retire the closed-office code on MD-00025 and post Chicago as the working site; cite TR-00025 in the update (EX-0003)</t>
        </is>
      </c>
      <c r="I7" s="7" t="inlineStr">
        <is>
          <t>IT Asset Specialist</t>
        </is>
      </c>
      <c r="J7" s="7" t="inlineStr">
        <is>
          <t>2026-08-19</t>
        </is>
      </c>
      <c r="K7" s="7" t="inlineStr">
        <is>
          <t>Open</t>
        </is>
      </c>
      <c r="L7" s="7" t="inlineStr">
        <is>
          <t>Site code Denver - Closed on MD-00025 was retired during consolidation but remains on the asset row. equipment_transfer_log TR-00025 points to Chicago. operating footprint for MD-00025 is Chicago, not Denver - Closed. finding EX-0003.</t>
        </is>
      </c>
      <c r="M7" s="7" t="inlineStr">
        <is>
          <t>Requires remediation</t>
        </is>
      </c>
    </row>
    <row r="8">
      <c r="A8" s="7" t="inlineStr">
        <is>
          <t>EX-0004</t>
        </is>
      </c>
      <c r="B8" s="7" t="inlineStr">
        <is>
          <t>Duplicate Serial Number</t>
        </is>
      </c>
      <c r="C8" s="10" t="inlineStr">
        <is>
          <t>High</t>
        </is>
      </c>
      <c r="D8" s="7" t="inlineStr">
        <is>
          <t>MD-00025</t>
        </is>
      </c>
      <c r="E8" s="7" t="inlineStr">
        <is>
          <t>MD-LA-050021</t>
        </is>
      </c>
      <c r="F8" s="7" t="inlineStr">
        <is>
          <t>Duplicate serial MD-LA-050021 across MD-00021 and MD-00025; Serial:MD-LA-050021; AlsoTagged:MD-00021,MD-00025</t>
        </is>
      </c>
      <c r="G8" s="7" t="n">
        <v>0</v>
      </c>
      <c r="H8" s="7" t="inlineStr">
        <is>
          <t>Bench-validate and retag duplicate serial MD-LA-050021 involving MD-00025 (EX-0004).</t>
        </is>
      </c>
      <c r="I8" s="7" t="inlineStr">
        <is>
          <t>IT Asset Specialist</t>
        </is>
      </c>
      <c r="J8" s="7" t="inlineStr">
        <is>
          <t>2026-08-18</t>
        </is>
      </c>
      <c r="K8" s="7" t="inlineStr">
        <is>
          <t>Open</t>
        </is>
      </c>
      <c r="L8" s="7" t="inlineStr">
        <is>
          <t>Serial MD-LA-050021 appears on MD-00025 and MD-00021,MD-00025; bench validation required (EX-0004).</t>
        </is>
      </c>
      <c r="M8" s="7" t="inlineStr">
        <is>
          <t>Requires remediation</t>
        </is>
      </c>
    </row>
    <row r="9">
      <c r="A9" s="7" t="inlineStr">
        <is>
          <t>EX-0005</t>
        </is>
      </c>
      <c r="B9" s="7" t="inlineStr">
        <is>
          <t>Closed Location Assignment</t>
        </is>
      </c>
      <c r="C9" s="11" t="inlineStr">
        <is>
          <t>Medium</t>
        </is>
      </c>
      <c r="D9" s="7" t="inlineStr">
        <is>
          <t>MD-00026</t>
        </is>
      </c>
      <c r="E9" s="7" t="inlineStr">
        <is>
          <t>MD-MO-050026</t>
        </is>
      </c>
      <c r="F9" s="7" t="inlineStr">
        <is>
          <t>RegisterLocation:Chicago - Closed; Transfer:TR-00026; HRLocation:Dallas</t>
        </is>
      </c>
      <c r="G9" s="7" t="n">
        <v>382.34</v>
      </c>
      <c r="H9" s="7" t="inlineStr">
        <is>
          <t>Replace shuttered site Chicago - Closed on MD-00026 with Dallas on the register; cite TR-00026 in the update (EX-0005)</t>
        </is>
      </c>
      <c r="I9" s="7" t="inlineStr">
        <is>
          <t>IT Asset Specialist</t>
        </is>
      </c>
      <c r="J9" s="7" t="inlineStr">
        <is>
          <t>2026-08-19</t>
        </is>
      </c>
      <c r="K9" s="7" t="inlineStr">
        <is>
          <t>Open</t>
        </is>
      </c>
      <c r="L9" s="7" t="inlineStr">
        <is>
          <t>equipment_transfer_log TR-00026 points to Dallas. operating footprint for MD-00026 is Dallas, not Chicago - Closed. finding EX-0005. Site code Chicago - Closed on MD-00026 was retired during consolidation but remains on the asset row.</t>
        </is>
      </c>
      <c r="M9" s="7" t="inlineStr">
        <is>
          <t>Requires remediation</t>
        </is>
      </c>
    </row>
    <row r="10">
      <c r="A10" s="7" t="inlineStr">
        <is>
          <t>EX-0006</t>
        </is>
      </c>
      <c r="B10" s="7" t="inlineStr">
        <is>
          <t>Closed Location Assignment</t>
        </is>
      </c>
      <c r="C10" s="11" t="inlineStr">
        <is>
          <t>Medium</t>
        </is>
      </c>
      <c r="D10" s="7" t="inlineStr">
        <is>
          <t>MD-00027</t>
        </is>
      </c>
      <c r="E10" s="7" t="inlineStr">
        <is>
          <t>MD-MO-050027</t>
        </is>
      </c>
      <c r="F10" s="7" t="inlineStr">
        <is>
          <t>RegisterLocation:Denver - Closed; Transfer:TR-00027; HRLocation:Denver</t>
        </is>
      </c>
      <c r="G10" s="7" t="n">
        <v>672.21</v>
      </c>
      <c r="H10" s="7" t="inlineStr">
        <is>
          <t>Correct the stale location on MD-00027 (Denver - Closed → Denver); cite TR-00027 in the update (EX-0006)</t>
        </is>
      </c>
      <c r="I10" s="7" t="inlineStr">
        <is>
          <t>IT Asset Specialist</t>
        </is>
      </c>
      <c r="J10" s="7" t="inlineStr">
        <is>
          <t>2026-08-19</t>
        </is>
      </c>
      <c r="K10" s="7" t="inlineStr">
        <is>
          <t>Open</t>
        </is>
      </c>
      <c r="L10" s="7" t="inlineStr">
        <is>
          <t>The register extract for MD-00027 carries location Denver - Closed after that floor was vacated. operating footprint for MD-00027 is Denver, not Denver - Closed. equipment_transfer_log TR-00027 points to Denver. finding EX-0006.</t>
        </is>
      </c>
      <c r="M10" s="7" t="inlineStr">
        <is>
          <t>Requires remediation</t>
        </is>
      </c>
    </row>
    <row r="11">
      <c r="A11" s="7" t="inlineStr">
        <is>
          <t>EX-0007</t>
        </is>
      </c>
      <c r="B11" s="7" t="inlineStr">
        <is>
          <t>Closed Location Assignment</t>
        </is>
      </c>
      <c r="C11" s="11" t="inlineStr">
        <is>
          <t>Medium</t>
        </is>
      </c>
      <c r="D11" s="7" t="inlineStr">
        <is>
          <t>MD-00028</t>
        </is>
      </c>
      <c r="E11" s="7" t="inlineStr">
        <is>
          <t>MD-NE-050028</t>
        </is>
      </c>
      <c r="F11" s="7" t="inlineStr">
        <is>
          <t>RegisterLocation:Chicago - Closed; Transfer:TR-00028; HRLocation:New York</t>
        </is>
      </c>
      <c r="G11" s="7" t="n">
        <v>914.09</v>
      </c>
      <c r="H11" s="7" t="inlineStr">
        <is>
          <t>Replace shuttered site Chicago - Closed on MD-00028 with New York on the register; cite TR-00028 in the update (EX-0007)</t>
        </is>
      </c>
      <c r="I11" s="7" t="inlineStr">
        <is>
          <t>IT Asset Specialist</t>
        </is>
      </c>
      <c r="J11" s="7" t="inlineStr">
        <is>
          <t>2026-08-19</t>
        </is>
      </c>
      <c r="K11" s="7" t="inlineStr">
        <is>
          <t>Open</t>
        </is>
      </c>
      <c r="L11" s="7" t="inlineStr">
        <is>
          <t>equipment_transfer_log TR-00028 points to New York. finding EX-0007. operating footprint for MD-00028 is New York, not Chicago - Closed. Inventory row MD-00028 (serial MD-NE-050028) still lists site Chicago - Closed.</t>
        </is>
      </c>
      <c r="M11" s="7" t="inlineStr">
        <is>
          <t>Requires remediation</t>
        </is>
      </c>
    </row>
    <row r="12">
      <c r="A12" s="7" t="inlineStr">
        <is>
          <t>EX-0008</t>
        </is>
      </c>
      <c r="B12" s="7" t="inlineStr">
        <is>
          <t>Closed Location Assignment</t>
        </is>
      </c>
      <c r="C12" s="11" t="inlineStr">
        <is>
          <t>Medium</t>
        </is>
      </c>
      <c r="D12" s="7" t="inlineStr">
        <is>
          <t>MD-00029</t>
        </is>
      </c>
      <c r="E12" s="7" t="inlineStr">
        <is>
          <t>MD-LA-050029</t>
        </is>
      </c>
      <c r="F12" s="7" t="inlineStr">
        <is>
          <t>RegisterLocation:Denver - Closed; Transfer:TR-00029; HRLocation:Seattle</t>
        </is>
      </c>
      <c r="G12" s="7" t="n">
        <v>0</v>
      </c>
      <c r="H12" s="7" t="inlineStr">
        <is>
          <t>Correct the stale location on MD-00029 (Denver - Closed → Seattle); cite TR-00029 in the update (EX-0008)</t>
        </is>
      </c>
      <c r="I12" s="7" t="inlineStr">
        <is>
          <t>IT Asset Specialist</t>
        </is>
      </c>
      <c r="J12" s="7" t="inlineStr">
        <is>
          <t>2026-08-19</t>
        </is>
      </c>
      <c r="K12" s="7" t="inlineStr">
        <is>
          <t>Open</t>
        </is>
      </c>
      <c r="L12" s="7" t="inlineStr">
        <is>
          <t>finding EX-0008. Site code Denver - Closed on MD-00029 was retired during consolidation but remains on the asset row. equipment_transfer_log TR-00029 points to Seattle. operating footprint for MD-00029 is Seattle, not Denver - Closed.</t>
        </is>
      </c>
      <c r="M12" s="7" t="inlineStr">
        <is>
          <t>Requires remediation</t>
        </is>
      </c>
    </row>
    <row r="13">
      <c r="A13" s="7" t="inlineStr">
        <is>
          <t>EX-0009</t>
        </is>
      </c>
      <c r="B13" s="7" t="inlineStr">
        <is>
          <t>Closed Location Assignment</t>
        </is>
      </c>
      <c r="C13" s="11" t="inlineStr">
        <is>
          <t>Medium</t>
        </is>
      </c>
      <c r="D13" s="7" t="inlineStr">
        <is>
          <t>MD-00030</t>
        </is>
      </c>
      <c r="E13" s="7" t="inlineStr">
        <is>
          <t>MD-MO-050030</t>
        </is>
      </c>
      <c r="F13" s="7" t="inlineStr">
        <is>
          <t>RegisterLocation:Chicago - Closed; Transfer:TR-00030; HRLocation:Atlanta</t>
        </is>
      </c>
      <c r="G13" s="7" t="n">
        <v>355.14</v>
      </c>
      <c r="H13" s="7" t="inlineStr">
        <is>
          <t>Retire the closed-office code on MD-00030 and post Atlanta as the working site; cite TR-00030 in the update (EX-0009)</t>
        </is>
      </c>
      <c r="I13" s="7" t="inlineStr">
        <is>
          <t>IT Asset Specialist</t>
        </is>
      </c>
      <c r="J13" s="7" t="inlineStr">
        <is>
          <t>2026-08-19</t>
        </is>
      </c>
      <c r="K13" s="7" t="inlineStr">
        <is>
          <t>Open</t>
        </is>
      </c>
      <c r="L13" s="7" t="inlineStr">
        <is>
          <t>equipment_transfer_log TR-00030 points to Atlanta. operating footprint for MD-00030 is Atlanta, not Chicago - Closed. finding EX-0009. Site code Chicago - Closed on MD-00030 was retired during consolidation but remains on the asset row.</t>
        </is>
      </c>
      <c r="M13" s="7" t="inlineStr">
        <is>
          <t>Requires remediation</t>
        </is>
      </c>
    </row>
    <row r="14">
      <c r="A14" s="7" t="inlineStr">
        <is>
          <t>EX-0010</t>
        </is>
      </c>
      <c r="B14" s="7" t="inlineStr">
        <is>
          <t>Closed Location Assignment</t>
        </is>
      </c>
      <c r="C14" s="11" t="inlineStr">
        <is>
          <t>Medium</t>
        </is>
      </c>
      <c r="D14" s="7" t="inlineStr">
        <is>
          <t>MD-00031</t>
        </is>
      </c>
      <c r="E14" s="7" t="inlineStr">
        <is>
          <t>MD-MO-050031</t>
        </is>
      </c>
      <c r="F14" s="7" t="inlineStr">
        <is>
          <t>RegisterLocation:Denver - Closed; Transfer:TR-00031; HRLocation:Chicago</t>
        </is>
      </c>
      <c r="G14" s="7" t="n">
        <v>722.59</v>
      </c>
      <c r="H14" s="7" t="inlineStr">
        <is>
          <t>Replace shuttered site Denver - Closed on MD-00031 with Chicago on the register; cite TR-00031 in the update (EX-0010)</t>
        </is>
      </c>
      <c r="I14" s="7" t="inlineStr">
        <is>
          <t>IT Asset Specialist</t>
        </is>
      </c>
      <c r="J14" s="7" t="inlineStr">
        <is>
          <t>2026-08-19</t>
        </is>
      </c>
      <c r="K14" s="7" t="inlineStr">
        <is>
          <t>Open</t>
        </is>
      </c>
      <c r="L14" s="7" t="inlineStr">
        <is>
          <t>Site code Denver - Closed on MD-00031 was retired during consolidation but remains on the asset row. operating footprint for MD-00031 is Chicago, not Denver - Closed. finding EX-0010. equipment_transfer_log TR-00031 points to Chicago.</t>
        </is>
      </c>
      <c r="M14" s="7" t="inlineStr">
        <is>
          <t>Requires remediation</t>
        </is>
      </c>
    </row>
    <row r="15">
      <c r="A15" s="7" t="inlineStr">
        <is>
          <t>EX-0011</t>
        </is>
      </c>
      <c r="B15" s="7" t="inlineStr">
        <is>
          <t>Closed Location Assignment</t>
        </is>
      </c>
      <c r="C15" s="11" t="inlineStr">
        <is>
          <t>Medium</t>
        </is>
      </c>
      <c r="D15" s="7" t="inlineStr">
        <is>
          <t>MD-00032</t>
        </is>
      </c>
      <c r="E15" s="7" t="inlineStr">
        <is>
          <t>MD-NE-050032</t>
        </is>
      </c>
      <c r="F15" s="7" t="inlineStr">
        <is>
          <t>RegisterLocation:Chicago - Closed; Transfer:TR-00032; HRLocation:Dallas</t>
        </is>
      </c>
      <c r="G15" s="7" t="n">
        <v>1384.3</v>
      </c>
      <c r="H15" s="7" t="inlineStr">
        <is>
          <t>Correct the stale location on MD-00032 (Chicago - Closed → Dallas); cite TR-00032 in the update (EX-0011)</t>
        </is>
      </c>
      <c r="I15" s="7" t="inlineStr">
        <is>
          <t>IT Asset Specialist</t>
        </is>
      </c>
      <c r="J15" s="7" t="inlineStr">
        <is>
          <t>2026-08-19</t>
        </is>
      </c>
      <c r="K15" s="7" t="inlineStr">
        <is>
          <t>Open</t>
        </is>
      </c>
      <c r="L15" s="7" t="inlineStr">
        <is>
          <t>The register extract for MD-00032 carries location Chicago - Closed after that floor was vacated. equipment_transfer_log TR-00032 points to Dallas. operating footprint for MD-00032 is Dallas, not Chicago - Closed. finding EX-0011.</t>
        </is>
      </c>
      <c r="M15" s="7" t="inlineStr">
        <is>
          <t>Requires remediation</t>
        </is>
      </c>
    </row>
    <row r="16">
      <c r="A16" s="7" t="inlineStr">
        <is>
          <t>EX-0012</t>
        </is>
      </c>
      <c r="B16" s="7" t="inlineStr">
        <is>
          <t>Closed Location Assignment</t>
        </is>
      </c>
      <c r="C16" s="11" t="inlineStr">
        <is>
          <t>Medium</t>
        </is>
      </c>
      <c r="D16" s="7" t="inlineStr">
        <is>
          <t>MD-00033</t>
        </is>
      </c>
      <c r="E16" s="7" t="inlineStr">
        <is>
          <t>MD-LA-050033</t>
        </is>
      </c>
      <c r="F16" s="7" t="inlineStr">
        <is>
          <t>RegisterLocation:Denver - Closed; Transfer:TR-00033; HRLocation:Denver</t>
        </is>
      </c>
      <c r="G16" s="7" t="n">
        <v>116.93</v>
      </c>
      <c r="H16" s="7" t="inlineStr">
        <is>
          <t>Replace shuttered site Denver - Closed on MD-00033 with Denver on the register; cite TR-00033 in the update (EX-0012)</t>
        </is>
      </c>
      <c r="I16" s="7" t="inlineStr">
        <is>
          <t>IT Asset Specialist</t>
        </is>
      </c>
      <c r="J16" s="7" t="inlineStr">
        <is>
          <t>2026-08-19</t>
        </is>
      </c>
      <c r="K16" s="7" t="inlineStr">
        <is>
          <t>Open</t>
        </is>
      </c>
      <c r="L16" s="7" t="inlineStr">
        <is>
          <t>operating footprint for MD-00033 is Denver, not Denver - Closed. equipment_transfer_log TR-00033 points to Denver. Inventory row MD-00033 (serial MD-LA-050033) still lists site Denver - Closed. finding EX-0012.</t>
        </is>
      </c>
      <c r="M16" s="7" t="inlineStr">
        <is>
          <t>Requires remediation</t>
        </is>
      </c>
    </row>
    <row r="17">
      <c r="A17" s="7" t="inlineStr">
        <is>
          <t>EX-0013</t>
        </is>
      </c>
      <c r="B17" s="7" t="inlineStr">
        <is>
          <t>Closed Location Assignment</t>
        </is>
      </c>
      <c r="C17" s="11" t="inlineStr">
        <is>
          <t>Medium</t>
        </is>
      </c>
      <c r="D17" s="7" t="inlineStr">
        <is>
          <t>MD-00034</t>
        </is>
      </c>
      <c r="E17" s="7" t="inlineStr">
        <is>
          <t>MD-MO-050034</t>
        </is>
      </c>
      <c r="F17" s="7" t="inlineStr">
        <is>
          <t>RegisterLocation:Chicago - Closed; Transfer:TR-00034; HRLocation:New York</t>
        </is>
      </c>
      <c r="G17" s="7" t="n">
        <v>479.88</v>
      </c>
      <c r="H17" s="7" t="inlineStr">
        <is>
          <t>Correct the stale location on MD-00034 (Chicago - Closed → New York); cite TR-00034 in the update (EX-0013)</t>
        </is>
      </c>
      <c r="I17" s="7" t="inlineStr">
        <is>
          <t>IT Asset Specialist</t>
        </is>
      </c>
      <c r="J17" s="7" t="inlineStr">
        <is>
          <t>2026-08-19</t>
        </is>
      </c>
      <c r="K17" s="7" t="inlineStr">
        <is>
          <t>Open</t>
        </is>
      </c>
      <c r="L17" s="7" t="inlineStr">
        <is>
          <t>Site code Chicago - Closed on MD-00034 was retired during consolidation but remains on the asset row. operating footprint for MD-00034 is New York, not Chicago - Closed. equipment_transfer_log TR-00034 points to New York. finding EX-0013.</t>
        </is>
      </c>
      <c r="M17" s="7" t="inlineStr">
        <is>
          <t>Requires remediation</t>
        </is>
      </c>
    </row>
    <row r="18">
      <c r="A18" s="7" t="inlineStr">
        <is>
          <t>EX-0014</t>
        </is>
      </c>
      <c r="B18" s="7" t="inlineStr">
        <is>
          <t>Inventory-to-Ledger Difference</t>
        </is>
      </c>
      <c r="C18" s="10" t="inlineStr">
        <is>
          <t>High</t>
        </is>
      </c>
      <c r="D18" s="7" t="inlineStr">
        <is>
          <t>MD-00034</t>
        </is>
      </c>
      <c r="E18" s="7" t="inlineStr">
        <is>
          <t>MD-MO-050034</t>
        </is>
      </c>
      <c r="F18" s="7" t="inlineStr">
        <is>
          <t>Ledger:FA-000034; PO:PO-2024-0007; RegisterCost:790.0; LedgerCost:930.0</t>
        </is>
      </c>
      <c r="G18" s="7" t="n">
        <v>140</v>
      </c>
      <c r="H18" s="7" t="inlineStr">
        <is>
          <t>Finance Controller: reconcile register $790.0 vs ledger $930.0 on FA-000034 for MD-00034 and confirm NBV $479.88 on FA-000034.</t>
        </is>
      </c>
      <c r="I18" s="7" t="inlineStr">
        <is>
          <t>Finance Controller</t>
        </is>
      </c>
      <c r="J18" s="7" t="inlineStr">
        <is>
          <t>2026-08-21</t>
        </is>
      </c>
      <c r="K18" s="7" t="inlineStr">
        <is>
          <t>Open</t>
        </is>
      </c>
      <c r="L18" s="7" t="inlineStr">
        <is>
          <t>Compared PO-2024-0007 and FA-000034 for MD-00034: register acquisition $790.0 vs ledger $930.0. NBV on FA-000034 should be $479.88 (acquisition $930 less accumulated depreciation $450.12).</t>
        </is>
      </c>
      <c r="M18" s="7" t="inlineStr">
        <is>
          <t>Requires remediation</t>
        </is>
      </c>
    </row>
    <row r="19">
      <c r="A19" s="7" t="inlineStr">
        <is>
          <t>EX-0015</t>
        </is>
      </c>
      <c r="B19" s="7" t="inlineStr">
        <is>
          <t>Closed Location Assignment</t>
        </is>
      </c>
      <c r="C19" s="11" t="inlineStr">
        <is>
          <t>Medium</t>
        </is>
      </c>
      <c r="D19" s="7" t="inlineStr">
        <is>
          <t>MD-00035</t>
        </is>
      </c>
      <c r="E19" s="7" t="inlineStr">
        <is>
          <t>MD-MO-050035</t>
        </is>
      </c>
      <c r="F19" s="7" t="inlineStr">
        <is>
          <t>RegisterLocation:Denver - Closed; Transfer:TR-00035; HRLocation:Seattle</t>
        </is>
      </c>
      <c r="G19" s="7" t="n">
        <v>741.92</v>
      </c>
      <c r="H19" s="7" t="inlineStr">
        <is>
          <t>Retire the closed-office code on MD-00035 and post Seattle as the working site; cite TR-00035 in the update (EX-0015)</t>
        </is>
      </c>
      <c r="I19" s="7" t="inlineStr">
        <is>
          <t>IT Asset Specialist</t>
        </is>
      </c>
      <c r="J19" s="7" t="inlineStr">
        <is>
          <t>2026-08-19</t>
        </is>
      </c>
      <c r="K19" s="7" t="inlineStr">
        <is>
          <t>Open</t>
        </is>
      </c>
      <c r="L19" s="7" t="inlineStr">
        <is>
          <t>equipment_transfer_log TR-00035 points to Seattle. finding EX-0015. Site code Denver - Closed on MD-00035 was retired during consolidation but remains on the asset row. operating footprint for MD-00035 is Seattle, not Denver - Closed.</t>
        </is>
      </c>
      <c r="M19" s="7" t="inlineStr">
        <is>
          <t>Requires remediation</t>
        </is>
      </c>
    </row>
    <row r="20">
      <c r="A20" s="7" t="inlineStr">
        <is>
          <t>EX-0016</t>
        </is>
      </c>
      <c r="B20" s="7" t="inlineStr">
        <is>
          <t>Closed Location Assignment</t>
        </is>
      </c>
      <c r="C20" s="11" t="inlineStr">
        <is>
          <t>Medium</t>
        </is>
      </c>
      <c r="D20" s="7" t="inlineStr">
        <is>
          <t>MD-00036</t>
        </is>
      </c>
      <c r="E20" s="7" t="inlineStr">
        <is>
          <t>MD-NE-050036</t>
        </is>
      </c>
      <c r="F20" s="7" t="inlineStr">
        <is>
          <t>RegisterLocation:Chicago - Closed; Transfer:TR-00036; HRLocation:Atlanta</t>
        </is>
      </c>
      <c r="G20" s="7" t="n">
        <v>537.73</v>
      </c>
      <c r="H20" s="7" t="inlineStr">
        <is>
          <t>IT Asset Specialist: change MD-00036 location from Chicago - Closed to Atlanta; cite TR-00036 in the update (EX-0016)</t>
        </is>
      </c>
      <c r="I20" s="7" t="inlineStr">
        <is>
          <t>IT Asset Specialist</t>
        </is>
      </c>
      <c r="J20" s="7" t="inlineStr">
        <is>
          <t>2026-08-19</t>
        </is>
      </c>
      <c r="K20" s="7" t="inlineStr">
        <is>
          <t>Open</t>
        </is>
      </c>
      <c r="L20" s="7" t="inlineStr">
        <is>
          <t>finding EX-0016. The register extract for MD-00036 carries location Chicago - Closed after that floor was vacated. equipment_transfer_log TR-00036 points to Atlanta. operating footprint for MD-00036 is Atlanta, not Chicago - Closed.</t>
        </is>
      </c>
      <c r="M20" s="7" t="inlineStr">
        <is>
          <t>Requires remediation</t>
        </is>
      </c>
    </row>
    <row r="21">
      <c r="A21" s="7" t="inlineStr">
        <is>
          <t>EX-0017</t>
        </is>
      </c>
      <c r="B21" s="7" t="inlineStr">
        <is>
          <t>Closed Location Assignment</t>
        </is>
      </c>
      <c r="C21" s="11" t="inlineStr">
        <is>
          <t>Medium</t>
        </is>
      </c>
      <c r="D21" s="7" t="inlineStr">
        <is>
          <t>MD-00037</t>
        </is>
      </c>
      <c r="E21" s="7" t="inlineStr">
        <is>
          <t>MD-LA-050037</t>
        </is>
      </c>
      <c r="F21" s="7" t="inlineStr">
        <is>
          <t>RegisterLocation:Denver - Closed; Transfer:TR-00037; HRLocation:Chicago</t>
        </is>
      </c>
      <c r="G21" s="7" t="n">
        <v>0</v>
      </c>
      <c r="H21" s="7" t="inlineStr">
        <is>
          <t>Retire the closed-office code on MD-00037 and post Chicago as the working site; cite TR-00037 in the update (EX-0017)</t>
        </is>
      </c>
      <c r="I21" s="7" t="inlineStr">
        <is>
          <t>IT Asset Specialist</t>
        </is>
      </c>
      <c r="J21" s="7" t="inlineStr">
        <is>
          <t>2026-08-19</t>
        </is>
      </c>
      <c r="K21" s="7" t="inlineStr">
        <is>
          <t>Open</t>
        </is>
      </c>
      <c r="L21" s="7" t="inlineStr">
        <is>
          <t>equipment_transfer_log TR-00037 points to Chicago. finding EX-0017. operating footprint for MD-00037 is Chicago, not Denver - Closed. Inventory row MD-00037 (serial MD-LA-050037) still lists site Denver - Closed.</t>
        </is>
      </c>
      <c r="M21" s="7" t="inlineStr">
        <is>
          <t>Requires remediation</t>
        </is>
      </c>
    </row>
    <row r="22">
      <c r="A22" s="7" t="inlineStr">
        <is>
          <t>EX-0018</t>
        </is>
      </c>
      <c r="B22" s="7" t="inlineStr">
        <is>
          <t>Closed Location Assignment</t>
        </is>
      </c>
      <c r="C22" s="11" t="inlineStr">
        <is>
          <t>Medium</t>
        </is>
      </c>
      <c r="D22" s="7" t="inlineStr">
        <is>
          <t>MD-00038</t>
        </is>
      </c>
      <c r="E22" s="7" t="inlineStr">
        <is>
          <t>MD-MO-050038</t>
        </is>
      </c>
      <c r="F22" s="7" t="inlineStr">
        <is>
          <t>RegisterLocation:Chicago - Closed; Transfer:TR-00038; HRLocation:Dallas</t>
        </is>
      </c>
      <c r="G22" s="7" t="n">
        <v>340.46</v>
      </c>
      <c r="H22" s="7" t="inlineStr">
        <is>
          <t>IT Asset Specialist: change MD-00038 location from Chicago - Closed to Dallas; cite TR-00038 in the update (EX-0018)</t>
        </is>
      </c>
      <c r="I22" s="7" t="inlineStr">
        <is>
          <t>IT Asset Specialist</t>
        </is>
      </c>
      <c r="J22" s="7" t="inlineStr">
        <is>
          <t>2026-08-19</t>
        </is>
      </c>
      <c r="K22" s="7" t="inlineStr">
        <is>
          <t>Open</t>
        </is>
      </c>
      <c r="L22" s="7" t="inlineStr">
        <is>
          <t>equipment_transfer_log TR-00038 points to Dallas. finding EX-0018. Site code Chicago - Closed on MD-00038 was retired during consolidation but remains on the asset row. operating footprint for MD-00038 is Dallas, not Chicago - Closed.</t>
        </is>
      </c>
      <c r="M22" s="7" t="inlineStr">
        <is>
          <t>Requires remediation</t>
        </is>
      </c>
    </row>
    <row r="23">
      <c r="A23" s="7" t="inlineStr">
        <is>
          <t>EX-0019</t>
        </is>
      </c>
      <c r="B23" s="7" t="inlineStr">
        <is>
          <t>Closed Location Assignment</t>
        </is>
      </c>
      <c r="C23" s="11" t="inlineStr">
        <is>
          <t>Medium</t>
        </is>
      </c>
      <c r="D23" s="7" t="inlineStr">
        <is>
          <t>MD-00039</t>
        </is>
      </c>
      <c r="E23" s="7" t="inlineStr">
        <is>
          <t>MD-MO-050039</t>
        </is>
      </c>
      <c r="F23" s="7" t="inlineStr">
        <is>
          <t>RegisterLocation:Denver - Closed; Transfer:TR-00039; HRLocation:Denver</t>
        </is>
      </c>
      <c r="G23" s="7" t="n">
        <v>635</v>
      </c>
      <c r="H23" s="7" t="inlineStr">
        <is>
          <t>Retire the closed-office code on MD-00039 and post Denver as the working site; cite TR-00039 in the update (EX-0019)</t>
        </is>
      </c>
      <c r="I23" s="7" t="inlineStr">
        <is>
          <t>IT Asset Specialist</t>
        </is>
      </c>
      <c r="J23" s="7" t="inlineStr">
        <is>
          <t>2026-08-19</t>
        </is>
      </c>
      <c r="K23" s="7" t="inlineStr">
        <is>
          <t>Open</t>
        </is>
      </c>
      <c r="L23" s="7" t="inlineStr">
        <is>
          <t>finding EX-0019. The register extract for MD-00039 carries location Denver - Closed after that floor was vacated. equipment_transfer_log TR-00039 points to Denver. operating footprint for MD-00039 is Denver, not Denver - Closed.</t>
        </is>
      </c>
      <c r="M23" s="7" t="inlineStr">
        <is>
          <t>Requires remediation</t>
        </is>
      </c>
    </row>
    <row r="24">
      <c r="A24" s="7" t="inlineStr">
        <is>
          <t>EX-0020</t>
        </is>
      </c>
      <c r="B24" s="7" t="inlineStr">
        <is>
          <t>Closed Location Assignment</t>
        </is>
      </c>
      <c r="C24" s="11" t="inlineStr">
        <is>
          <t>Medium</t>
        </is>
      </c>
      <c r="D24" s="7" t="inlineStr">
        <is>
          <t>MD-00040</t>
        </is>
      </c>
      <c r="E24" s="7" t="inlineStr">
        <is>
          <t>MD-NE-050040</t>
        </is>
      </c>
      <c r="F24" s="7" t="inlineStr">
        <is>
          <t>RegisterLocation:Chicago - Closed; Transfer:TR-00040; HRLocation:New York</t>
        </is>
      </c>
      <c r="G24" s="7" t="n">
        <v>989.48</v>
      </c>
      <c r="H24" s="7" t="inlineStr">
        <is>
          <t>Retire the closed-office code on MD-00040 and post New York as the working site; cite TR-00040 in the update (EX-0020)</t>
        </is>
      </c>
      <c r="I24" s="7" t="inlineStr">
        <is>
          <t>IT Asset Specialist</t>
        </is>
      </c>
      <c r="J24" s="7" t="inlineStr">
        <is>
          <t>2026-08-19</t>
        </is>
      </c>
      <c r="K24" s="7" t="inlineStr">
        <is>
          <t>Open</t>
        </is>
      </c>
      <c r="L24" s="7" t="inlineStr">
        <is>
          <t>equipment_transfer_log TR-00040 points to New York. Site code Chicago - Closed on MD-00040 was retired during consolidation but remains on the asset row. finding EX-0020. operating footprint for MD-00040 is New York, not Chicago - Closed.</t>
        </is>
      </c>
      <c r="M24" s="7" t="inlineStr">
        <is>
          <t>Requires remediation</t>
        </is>
      </c>
    </row>
    <row r="25">
      <c r="A25" s="7" t="inlineStr">
        <is>
          <t>EX-0021</t>
        </is>
      </c>
      <c r="B25" s="7" t="inlineStr">
        <is>
          <t>Closed Location Assignment</t>
        </is>
      </c>
      <c r="C25" s="11" t="inlineStr">
        <is>
          <t>Medium</t>
        </is>
      </c>
      <c r="D25" s="7" t="inlineStr">
        <is>
          <t>MD-00041</t>
        </is>
      </c>
      <c r="E25" s="7" t="inlineStr">
        <is>
          <t>MD-LA-050041</t>
        </is>
      </c>
      <c r="F25" s="7" t="inlineStr">
        <is>
          <t>RegisterLocation:Denver - Closed; Transfer:TR-00041; HRLocation:Seattle</t>
        </is>
      </c>
      <c r="G25" s="7" t="n">
        <v>0</v>
      </c>
      <c r="H25" s="7" t="inlineStr">
        <is>
          <t>IT Asset Specialist: change MD-00041 location from Denver - Closed to Seattle; cite TR-00041 in the update (EX-0021)</t>
        </is>
      </c>
      <c r="I25" s="7" t="inlineStr">
        <is>
          <t>IT Asset Specialist</t>
        </is>
      </c>
      <c r="J25" s="7" t="inlineStr">
        <is>
          <t>2026-08-19</t>
        </is>
      </c>
      <c r="K25" s="7" t="inlineStr">
        <is>
          <t>Open</t>
        </is>
      </c>
      <c r="L25" s="7" t="inlineStr">
        <is>
          <t>The register extract for MD-00041 carries location Denver - Closed after that floor was vacated. operating footprint for MD-00041 is Seattle, not Denver - Closed. finding EX-0021. equipment_transfer_log TR-00041 points to Seattle.</t>
        </is>
      </c>
      <c r="M25" s="7" t="inlineStr">
        <is>
          <t>Requires remediation</t>
        </is>
      </c>
    </row>
    <row r="26">
      <c r="A26" s="7" t="inlineStr">
        <is>
          <t>EX-0022</t>
        </is>
      </c>
      <c r="B26" s="7" t="inlineStr">
        <is>
          <t>Closed Location Assignment</t>
        </is>
      </c>
      <c r="C26" s="11" t="inlineStr">
        <is>
          <t>Medium</t>
        </is>
      </c>
      <c r="D26" s="7" t="inlineStr">
        <is>
          <t>MD-00042</t>
        </is>
      </c>
      <c r="E26" s="7" t="inlineStr">
        <is>
          <t>MD-MO-050042</t>
        </is>
      </c>
      <c r="F26" s="7" t="inlineStr">
        <is>
          <t>RegisterLocation:Chicago - Closed; Transfer:TR-00042; HRLocation:Atlanta</t>
        </is>
      </c>
      <c r="G26" s="7" t="n">
        <v>306.16</v>
      </c>
      <c r="H26" s="7" t="inlineStr">
        <is>
          <t>Retire the closed-office code on MD-00042 and post Atlanta as the working site; cite TR-00042 in the update (EX-0022)</t>
        </is>
      </c>
      <c r="I26" s="7" t="inlineStr">
        <is>
          <t>IT Asset Specialist</t>
        </is>
      </c>
      <c r="J26" s="7" t="inlineStr">
        <is>
          <t>2026-08-19</t>
        </is>
      </c>
      <c r="K26" s="7" t="inlineStr">
        <is>
          <t>Open</t>
        </is>
      </c>
      <c r="L26" s="7" t="inlineStr">
        <is>
          <t>operating footprint for MD-00042 is Atlanta, not Chicago - Closed. finding EX-0022. Inventory row MD-00042 (serial MD-MO-050042) still lists site Chicago - Closed. equipment_transfer_log TR-00042 points to Atlanta.</t>
        </is>
      </c>
      <c r="M26" s="7" t="inlineStr">
        <is>
          <t>Requires remediation</t>
        </is>
      </c>
    </row>
    <row r="27">
      <c r="A27" s="7" t="inlineStr">
        <is>
          <t>EX-0023</t>
        </is>
      </c>
      <c r="B27" s="7" t="inlineStr">
        <is>
          <t>Closed Location Assignment</t>
        </is>
      </c>
      <c r="C27" s="11" t="inlineStr">
        <is>
          <t>Medium</t>
        </is>
      </c>
      <c r="D27" s="7" t="inlineStr">
        <is>
          <t>MD-00043</t>
        </is>
      </c>
      <c r="E27" s="7" t="inlineStr">
        <is>
          <t>MD-MO-050043</t>
        </is>
      </c>
      <c r="F27" s="7" t="inlineStr">
        <is>
          <t>RegisterLocation:Denver - Closed; Transfer:TR-00043; HRLocation:Chicago</t>
        </is>
      </c>
      <c r="G27" s="7" t="n">
        <v>673.55</v>
      </c>
      <c r="H27" s="7" t="inlineStr">
        <is>
          <t>IT Asset Specialist: change MD-00043 location from Denver - Closed to Chicago; cite TR-00043 in the update (EX-0023)</t>
        </is>
      </c>
      <c r="I27" s="7" t="inlineStr">
        <is>
          <t>IT Asset Specialist</t>
        </is>
      </c>
      <c r="J27" s="7" t="inlineStr">
        <is>
          <t>2026-08-19</t>
        </is>
      </c>
      <c r="K27" s="7" t="inlineStr">
        <is>
          <t>Open</t>
        </is>
      </c>
      <c r="L27" s="7" t="inlineStr">
        <is>
          <t>operating footprint for MD-00043 is Chicago, not Denver - Closed. finding EX-0023. equipment_transfer_log TR-00043 points to Chicago. Site code Denver - Closed on MD-00043 was retired during consolidation but remains on the asset row.</t>
        </is>
      </c>
      <c r="M27" s="7" t="inlineStr">
        <is>
          <t>Requires remediation</t>
        </is>
      </c>
    </row>
    <row r="28">
      <c r="A28" s="7" t="inlineStr">
        <is>
          <t>EX-0024</t>
        </is>
      </c>
      <c r="B28" s="7" t="inlineStr">
        <is>
          <t>Closed Location Assignment</t>
        </is>
      </c>
      <c r="C28" s="11" t="inlineStr">
        <is>
          <t>Medium</t>
        </is>
      </c>
      <c r="D28" s="7" t="inlineStr">
        <is>
          <t>MD-00044</t>
        </is>
      </c>
      <c r="E28" s="7" t="inlineStr">
        <is>
          <t>MD-NE-050044</t>
        </is>
      </c>
      <c r="F28" s="7" t="inlineStr">
        <is>
          <t>RegisterLocation:Chicago - Closed; Transfer:TR-00044; HRLocation:Dallas</t>
        </is>
      </c>
      <c r="G28" s="7" t="n">
        <v>1406.1</v>
      </c>
      <c r="H28" s="7" t="inlineStr">
        <is>
          <t>Retire the closed-office code on MD-00044 and post Dallas as the working site; cite TR-00044 in the update (EX-0024)</t>
        </is>
      </c>
      <c r="I28" s="7" t="inlineStr">
        <is>
          <t>IT Asset Specialist</t>
        </is>
      </c>
      <c r="J28" s="7" t="inlineStr">
        <is>
          <t>2026-08-19</t>
        </is>
      </c>
      <c r="K28" s="7" t="inlineStr">
        <is>
          <t>Open</t>
        </is>
      </c>
      <c r="L28" s="7" t="inlineStr">
        <is>
          <t>operating footprint for MD-00044 is Dallas, not Chicago - Closed. finding EX-0024. equipment_transfer_log TR-00044 points to Dallas. The register extract for MD-00044 carries location Chicago - Closed after that floor was vacated.</t>
        </is>
      </c>
      <c r="M28" s="7" t="inlineStr">
        <is>
          <t>Requires remediation</t>
        </is>
      </c>
    </row>
    <row r="29">
      <c r="A29" s="7" t="inlineStr">
        <is>
          <t>EX-0025</t>
        </is>
      </c>
      <c r="B29" s="7" t="inlineStr">
        <is>
          <t>Closed Location Assignment</t>
        </is>
      </c>
      <c r="C29" s="11" t="inlineStr">
        <is>
          <t>Medium</t>
        </is>
      </c>
      <c r="D29" s="7" t="inlineStr">
        <is>
          <t>MD-00045</t>
        </is>
      </c>
      <c r="E29" s="7" t="inlineStr">
        <is>
          <t>MD-LA-050045</t>
        </is>
      </c>
      <c r="F29" s="7" t="inlineStr">
        <is>
          <t>RegisterLocation:Denver - Closed; Transfer:TR-00045; HRLocation:Denver</t>
        </is>
      </c>
      <c r="G29" s="7" t="n">
        <v>133.6</v>
      </c>
      <c r="H29" s="7" t="inlineStr">
        <is>
          <t>IT Asset Specialist: change MD-00045 location from Denver - Closed to Denver; cite TR-00045 in the update (EX-0025)</t>
        </is>
      </c>
      <c r="I29" s="7" t="inlineStr">
        <is>
          <t>IT Asset Specialist</t>
        </is>
      </c>
      <c r="J29" s="7" t="inlineStr">
        <is>
          <t>2026-08-19</t>
        </is>
      </c>
      <c r="K29" s="7" t="inlineStr">
        <is>
          <t>Open</t>
        </is>
      </c>
      <c r="L29" s="7" t="inlineStr">
        <is>
          <t>equipment_transfer_log TR-00045 points to Denver. finding EX-0025. Inventory row MD-00045 (serial MD-LA-050045) still lists site Denver - Closed. operating footprint for MD-00045 is Denver, not Denver - Closed.</t>
        </is>
      </c>
      <c r="M29" s="7" t="inlineStr">
        <is>
          <t>Requires remediation</t>
        </is>
      </c>
    </row>
    <row r="30">
      <c r="A30" s="7" t="inlineStr">
        <is>
          <t>EX-0026</t>
        </is>
      </c>
      <c r="B30" s="7" t="inlineStr">
        <is>
          <t>Closed Location Assignment</t>
        </is>
      </c>
      <c r="C30" s="11" t="inlineStr">
        <is>
          <t>Medium</t>
        </is>
      </c>
      <c r="D30" s="7" t="inlineStr">
        <is>
          <t>MD-00046</t>
        </is>
      </c>
      <c r="E30" s="7" t="inlineStr">
        <is>
          <t>MD-MO-050046</t>
        </is>
      </c>
      <c r="F30" s="7" t="inlineStr">
        <is>
          <t>RegisterLocation:Chicago - Closed; Transfer:TR-00046; VerifiedLocation:New York</t>
        </is>
      </c>
      <c r="G30" s="7" t="n">
        <v>460.82</v>
      </c>
      <c r="H30" s="7" t="inlineStr">
        <is>
          <t>Retire the closed-office code on MD-00046 and post New York as the working site; cite TR-00046 in the update (EX-0026)</t>
        </is>
      </c>
      <c r="I30" s="7" t="inlineStr">
        <is>
          <t>IT Asset Specialist</t>
        </is>
      </c>
      <c r="J30" s="7" t="inlineStr">
        <is>
          <t>2026-08-19</t>
        </is>
      </c>
      <c r="K30" s="7" t="inlineStr">
        <is>
          <t>Open</t>
        </is>
      </c>
      <c r="L30" s="7" t="inlineStr">
        <is>
          <t>equipment_transfer_log TR-00046 points to New York. operating footprint for MD-00046 is New York, not Chicago - Closed. finding EX-0026. Site code Chicago - Closed on MD-00046 was retired during consolidation but remains on the asset row.</t>
        </is>
      </c>
      <c r="M30" s="7" t="inlineStr">
        <is>
          <t>Requires remediation</t>
        </is>
      </c>
    </row>
    <row r="31">
      <c r="A31" s="7" t="inlineStr">
        <is>
          <t>EX-0027</t>
        </is>
      </c>
      <c r="B31" s="7" t="inlineStr">
        <is>
          <t>Closed Location Assignment</t>
        </is>
      </c>
      <c r="C31" s="11" t="inlineStr">
        <is>
          <t>Medium</t>
        </is>
      </c>
      <c r="D31" s="7" t="inlineStr">
        <is>
          <t>MD-00047</t>
        </is>
      </c>
      <c r="E31" s="7" t="inlineStr">
        <is>
          <t>MD-MO-050047</t>
        </is>
      </c>
      <c r="F31" s="7" t="inlineStr">
        <is>
          <t>RegisterLocation:Denver - Closed; Transfer:TR-00047; VerifiedLocation:Seattle</t>
        </is>
      </c>
      <c r="G31" s="7" t="n">
        <v>930.51</v>
      </c>
      <c r="H31" s="7" t="inlineStr">
        <is>
          <t>IT Asset Specialist: change MD-00047 location from Denver - Closed to Seattle; cite TR-00047 in the update (EX-0027)</t>
        </is>
      </c>
      <c r="I31" s="7" t="inlineStr">
        <is>
          <t>IT Asset Specialist</t>
        </is>
      </c>
      <c r="J31" s="7" t="inlineStr">
        <is>
          <t>2026-08-19</t>
        </is>
      </c>
      <c r="K31" s="7" t="inlineStr">
        <is>
          <t>Open</t>
        </is>
      </c>
      <c r="L31" s="7" t="inlineStr">
        <is>
          <t>equipment_transfer_log TR-00047 points to Seattle. finding EX-0027. operating footprint for MD-00047 is Seattle, not Denver - Closed. The register extract for MD-00047 carries location Denver - Closed after that floor was vacated.</t>
        </is>
      </c>
      <c r="M31" s="7" t="inlineStr">
        <is>
          <t>Requires remediation</t>
        </is>
      </c>
    </row>
    <row r="32">
      <c r="A32" s="7" t="inlineStr">
        <is>
          <t>EX-0028</t>
        </is>
      </c>
      <c r="B32" s="7" t="inlineStr">
        <is>
          <t>Closed Location Assignment</t>
        </is>
      </c>
      <c r="C32" s="11" t="inlineStr">
        <is>
          <t>Medium</t>
        </is>
      </c>
      <c r="D32" s="7" t="inlineStr">
        <is>
          <t>MD-00048</t>
        </is>
      </c>
      <c r="E32" s="7" t="inlineStr">
        <is>
          <t>MD-NE-050048</t>
        </is>
      </c>
      <c r="F32" s="7" t="inlineStr">
        <is>
          <t>RegisterLocation:Chicago - Closed; Transfer:TR-00048; VerifiedLocation:Atlanta</t>
        </is>
      </c>
      <c r="G32" s="7" t="n">
        <v>514.59</v>
      </c>
      <c r="H32" s="7" t="inlineStr">
        <is>
          <t>Retire the closed-office code on MD-00048 and post Atlanta as the working site; cite TR-00048 in the update (EX-0028)</t>
        </is>
      </c>
      <c r="I32" s="7" t="inlineStr">
        <is>
          <t>IT Asset Specialist</t>
        </is>
      </c>
      <c r="J32" s="7" t="inlineStr">
        <is>
          <t>2026-08-19</t>
        </is>
      </c>
      <c r="K32" s="7" t="inlineStr">
        <is>
          <t>Open</t>
        </is>
      </c>
      <c r="L32" s="7" t="inlineStr">
        <is>
          <t>equipment_transfer_log TR-00048 points to Atlanta. finding EX-0028. operating footprint for MD-00048 is Atlanta, not Chicago - Closed. Inventory row MD-00048 (serial MD-NE-050048) still lists site Chicago - Closed.</t>
        </is>
      </c>
      <c r="M32" s="7" t="inlineStr">
        <is>
          <t>Requires remediation</t>
        </is>
      </c>
    </row>
    <row r="33">
      <c r="A33" s="7" t="inlineStr">
        <is>
          <t>EX-0029</t>
        </is>
      </c>
      <c r="B33" s="7" t="inlineStr">
        <is>
          <t>Closed Location Assignment</t>
        </is>
      </c>
      <c r="C33" s="11" t="inlineStr">
        <is>
          <t>Medium</t>
        </is>
      </c>
      <c r="D33" s="7" t="inlineStr">
        <is>
          <t>MD-00049</t>
        </is>
      </c>
      <c r="E33" s="7" t="inlineStr">
        <is>
          <t>MD-LA-050049</t>
        </is>
      </c>
      <c r="F33" s="7" t="inlineStr">
        <is>
          <t>RegisterLocation:Denver - Closed; Transfer:TR-00049; VerifiedLocation:Chicago</t>
        </is>
      </c>
      <c r="G33" s="7" t="n">
        <v>0</v>
      </c>
      <c r="H33" s="7" t="inlineStr">
        <is>
          <t>IT Asset Specialist: change MD-00049 location from Denver - Closed to Chicago; cite TR-00049 in the update (EX-0029)</t>
        </is>
      </c>
      <c r="I33" s="7" t="inlineStr">
        <is>
          <t>IT Asset Specialist</t>
        </is>
      </c>
      <c r="J33" s="7" t="inlineStr">
        <is>
          <t>2026-08-19</t>
        </is>
      </c>
      <c r="K33" s="7" t="inlineStr">
        <is>
          <t>Open</t>
        </is>
      </c>
      <c r="L33" s="7" t="inlineStr">
        <is>
          <t>equipment_transfer_log TR-00049 points to Chicago. finding EX-0029. Site code Denver - Closed on MD-00049 was retired during consolidation but remains on the asset row. operating footprint for MD-00049 is Chicago, not Denver - Closed.</t>
        </is>
      </c>
      <c r="M33" s="7" t="inlineStr">
        <is>
          <t>Requires remediation</t>
        </is>
      </c>
    </row>
    <row r="34">
      <c r="A34" s="7" t="inlineStr">
        <is>
          <t>EX-0030</t>
        </is>
      </c>
      <c r="B34" s="7" t="inlineStr">
        <is>
          <t>Closed Location Assignment</t>
        </is>
      </c>
      <c r="C34" s="11" t="inlineStr">
        <is>
          <t>Medium</t>
        </is>
      </c>
      <c r="D34" s="7" t="inlineStr">
        <is>
          <t>MD-00050</t>
        </is>
      </c>
      <c r="E34" s="7" t="inlineStr">
        <is>
          <t>MD-MO-050050</t>
        </is>
      </c>
      <c r="F34" s="7" t="inlineStr">
        <is>
          <t>RegisterLocation:Chicago - Closed; Transfer:TR-00050; VerifiedLocation:Dallas</t>
        </is>
      </c>
      <c r="G34" s="7" t="n">
        <v>289.96</v>
      </c>
      <c r="H34" s="7" t="inlineStr">
        <is>
          <t>IT Asset Specialist: change MD-00050 location from Chicago - Closed to Dallas; cite TR-00050 in the update (EX-0030)</t>
        </is>
      </c>
      <c r="I34" s="7" t="inlineStr">
        <is>
          <t>IT Asset Specialist</t>
        </is>
      </c>
      <c r="J34" s="7" t="inlineStr">
        <is>
          <t>2026-08-19</t>
        </is>
      </c>
      <c r="K34" s="7" t="inlineStr">
        <is>
          <t>Open</t>
        </is>
      </c>
      <c r="L34" s="7" t="inlineStr">
        <is>
          <t>operating footprint for MD-00050 is Dallas, not Chicago - Closed. equipment_transfer_log TR-00050 points to Dallas. Inventory row MD-00050 (serial MD-MO-050050) still lists site Chicago - Closed. finding EX-0030.</t>
        </is>
      </c>
      <c r="M34" s="7" t="inlineStr">
        <is>
          <t>Requires remediation</t>
        </is>
      </c>
    </row>
    <row r="35">
      <c r="A35" s="7" t="inlineStr">
        <is>
          <t>EX-0031</t>
        </is>
      </c>
      <c r="B35" s="7" t="inlineStr">
        <is>
          <t>Closed Location Assignment</t>
        </is>
      </c>
      <c r="C35" s="11" t="inlineStr">
        <is>
          <t>Medium</t>
        </is>
      </c>
      <c r="D35" s="7" t="inlineStr">
        <is>
          <t>MD-00051</t>
        </is>
      </c>
      <c r="E35" s="7" t="inlineStr">
        <is>
          <t>MD-MO-050051</t>
        </is>
      </c>
      <c r="F35" s="7" t="inlineStr">
        <is>
          <t>RegisterLocation:Denver - Closed; Transfer:TR-00051; VerifiedLocation:Denver</t>
        </is>
      </c>
      <c r="G35" s="7" t="n">
        <v>573.03</v>
      </c>
      <c r="H35" s="7" t="inlineStr">
        <is>
          <t>Retire the closed-office code on MD-00051 and post Denver as the working site; cite TR-00051 in the update (EX-0031)</t>
        </is>
      </c>
      <c r="I35" s="7" t="inlineStr">
        <is>
          <t>IT Asset Specialist</t>
        </is>
      </c>
      <c r="J35" s="7" t="inlineStr">
        <is>
          <t>2026-08-19</t>
        </is>
      </c>
      <c r="K35" s="7" t="inlineStr">
        <is>
          <t>Open</t>
        </is>
      </c>
      <c r="L35" s="7" t="inlineStr">
        <is>
          <t>operating footprint for MD-00051 is Denver, not Denver - Closed. finding EX-0031. Site code Denver - Closed on MD-00051 was retired during consolidation but remains on the asset row. equipment_transfer_log TR-00051 points to Denver.</t>
        </is>
      </c>
      <c r="M35" s="7" t="inlineStr">
        <is>
          <t>Requires remediation</t>
        </is>
      </c>
    </row>
    <row r="36">
      <c r="A36" s="7" t="inlineStr">
        <is>
          <t>EX-0032</t>
        </is>
      </c>
      <c r="B36" s="7" t="inlineStr">
        <is>
          <t>Inventory-to-Ledger Difference</t>
        </is>
      </c>
      <c r="C36" s="10" t="inlineStr">
        <is>
          <t>High</t>
        </is>
      </c>
      <c r="D36" s="7" t="inlineStr">
        <is>
          <t>MD-00051</t>
        </is>
      </c>
      <c r="E36" s="7" t="inlineStr">
        <is>
          <t>MD-MO-050051</t>
        </is>
      </c>
      <c r="F36" s="7" t="inlineStr">
        <is>
          <t>Ledger:FA-000051; PO:PO-2023-0010; RegisterCost:1040.0; LedgerCost:1250.0</t>
        </is>
      </c>
      <c r="G36" s="7" t="n">
        <v>210</v>
      </c>
      <c r="H36" s="7" t="inlineStr">
        <is>
          <t>Align cost on MD-00051: register 1040.0 vs ledger 1250.0 (FA-000051) (EX-0032).</t>
        </is>
      </c>
      <c r="I36" s="7" t="inlineStr">
        <is>
          <t>Finance Controller</t>
        </is>
      </c>
      <c r="J36" s="7" t="inlineStr">
        <is>
          <t>2026-08-21</t>
        </is>
      </c>
      <c r="K36" s="7" t="inlineStr">
        <is>
          <t>Open</t>
        </is>
      </c>
      <c r="L36" s="7" t="inlineStr">
        <is>
          <t>Register cost $1040.0 on MD-00051 does not match ledger $1250.0 on FA-000051 (EX-0032).</t>
        </is>
      </c>
      <c r="M36" s="7" t="inlineStr">
        <is>
          <t>Requires remediation</t>
        </is>
      </c>
    </row>
    <row r="37">
      <c r="A37" s="7" t="inlineStr">
        <is>
          <t>EX-0033</t>
        </is>
      </c>
      <c r="B37" s="7" t="inlineStr">
        <is>
          <t>Closed Location Assignment</t>
        </is>
      </c>
      <c r="C37" s="11" t="inlineStr">
        <is>
          <t>Medium</t>
        </is>
      </c>
      <c r="D37" s="7" t="inlineStr">
        <is>
          <t>MD-00052</t>
        </is>
      </c>
      <c r="E37" s="7" t="inlineStr">
        <is>
          <t>MD-NE-050052</t>
        </is>
      </c>
      <c r="F37" s="7" t="inlineStr">
        <is>
          <t>RegisterLocation:Chicago - Closed; Transfer:TR-00052; VerifiedLocation:New York</t>
        </is>
      </c>
      <c r="G37" s="7" t="n">
        <v>933.99</v>
      </c>
      <c r="H37" s="7" t="inlineStr">
        <is>
          <t>Replace shuttered site Chicago - Closed on MD-00052 with New York on the register; cite TR-00052 in the update (EX-0033)</t>
        </is>
      </c>
      <c r="I37" s="7" t="inlineStr">
        <is>
          <t>IT Asset Specialist</t>
        </is>
      </c>
      <c r="J37" s="7" t="inlineStr">
        <is>
          <t>2026-08-19</t>
        </is>
      </c>
      <c r="K37" s="7" t="inlineStr">
        <is>
          <t>Open</t>
        </is>
      </c>
      <c r="L37" s="7" t="inlineStr">
        <is>
          <t>Site code Chicago - Closed on MD-00052 was retired during consolidation but remains on the asset row. operating footprint for MD-00052 is New York, not Chicago - Closed. equipment_transfer_log TR-00052 points to New York. finding EX-0033.</t>
        </is>
      </c>
      <c r="M37" s="7" t="inlineStr">
        <is>
          <t>Requires remediation</t>
        </is>
      </c>
    </row>
    <row r="38">
      <c r="A38" s="7" t="inlineStr">
        <is>
          <t>EX-0034</t>
        </is>
      </c>
      <c r="B38" s="7" t="inlineStr">
        <is>
          <t>Closed Location Assignment</t>
        </is>
      </c>
      <c r="C38" s="11" t="inlineStr">
        <is>
          <t>Medium</t>
        </is>
      </c>
      <c r="D38" s="7" t="inlineStr">
        <is>
          <t>MD-00053</t>
        </is>
      </c>
      <c r="E38" s="7" t="inlineStr">
        <is>
          <t>MD-LA-050053</t>
        </is>
      </c>
      <c r="F38" s="7" t="inlineStr">
        <is>
          <t>RegisterLocation:Denver - Closed; Transfer:TR-00053; VerifiedLocation:Seattle</t>
        </is>
      </c>
      <c r="G38" s="7" t="n">
        <v>0</v>
      </c>
      <c r="H38" s="7" t="inlineStr">
        <is>
          <t>Correct the stale location on MD-00053 (Denver - Closed → Seattle); cite TR-00053 in the update (EX-0034)</t>
        </is>
      </c>
      <c r="I38" s="7" t="inlineStr">
        <is>
          <t>IT Asset Specialist</t>
        </is>
      </c>
      <c r="J38" s="7" t="inlineStr">
        <is>
          <t>2026-08-19</t>
        </is>
      </c>
      <c r="K38" s="7" t="inlineStr">
        <is>
          <t>Open</t>
        </is>
      </c>
      <c r="L38" s="7" t="inlineStr">
        <is>
          <t>The register extract for MD-00053 carries location Denver - Closed after that floor was vacated. finding EX-0034. operating footprint for MD-00053 is Seattle, not Denver - Closed. equipment_transfer_log TR-00053 points to Seattle.</t>
        </is>
      </c>
      <c r="M38" s="7" t="inlineStr">
        <is>
          <t>Requires remediation</t>
        </is>
      </c>
    </row>
    <row r="39">
      <c r="A39" s="7" t="inlineStr">
        <is>
          <t>EX-0035</t>
        </is>
      </c>
      <c r="B39" s="7" t="inlineStr">
        <is>
          <t>Closed Location Assignment</t>
        </is>
      </c>
      <c r="C39" s="11" t="inlineStr">
        <is>
          <t>Medium</t>
        </is>
      </c>
      <c r="D39" s="7" t="inlineStr">
        <is>
          <t>MD-00054</t>
        </is>
      </c>
      <c r="E39" s="7" t="inlineStr">
        <is>
          <t>MD-MO-050054</t>
        </is>
      </c>
      <c r="F39" s="7" t="inlineStr">
        <is>
          <t>RegisterLocation:Chicago - Closed; Transfer:TR-00054; VerifiedLocation:Atlanta</t>
        </is>
      </c>
      <c r="G39" s="7" t="n">
        <v>433.74</v>
      </c>
      <c r="H39" s="7" t="inlineStr">
        <is>
          <t>Replace shuttered site Chicago - Closed on MD-00054 with Atlanta on the register; cite TR-00054 in the update (EX-0035)</t>
        </is>
      </c>
      <c r="I39" s="7" t="inlineStr">
        <is>
          <t>IT Asset Specialist</t>
        </is>
      </c>
      <c r="J39" s="7" t="inlineStr">
        <is>
          <t>2026-08-19</t>
        </is>
      </c>
      <c r="K39" s="7" t="inlineStr">
        <is>
          <t>Open</t>
        </is>
      </c>
      <c r="L39" s="7" t="inlineStr">
        <is>
          <t>equipment_transfer_log TR-00054 points to Atlanta. Inventory row MD-00054 (serial MD-MO-050054) still lists site Chicago - Closed. finding EX-0035. operating footprint for MD-00054 is Atlanta, not Chicago - Closed.</t>
        </is>
      </c>
      <c r="M39" s="7" t="inlineStr">
        <is>
          <t>Requires remediation</t>
        </is>
      </c>
    </row>
    <row r="40">
      <c r="A40" s="7" t="inlineStr">
        <is>
          <t>EX-0036</t>
        </is>
      </c>
      <c r="B40" s="7" t="inlineStr">
        <is>
          <t>Closed Location Assignment</t>
        </is>
      </c>
      <c r="C40" s="11" t="inlineStr">
        <is>
          <t>Medium</t>
        </is>
      </c>
      <c r="D40" s="7" t="inlineStr">
        <is>
          <t>MD-00055</t>
        </is>
      </c>
      <c r="E40" s="7" t="inlineStr">
        <is>
          <t>MD-MO-050055</t>
        </is>
      </c>
      <c r="F40" s="7" t="inlineStr">
        <is>
          <t>RegisterLocation:Denver - Closed; Transfer:TR-00055; VerifiedLocation:Chicago</t>
        </is>
      </c>
      <c r="G40" s="7" t="n">
        <v>812.5</v>
      </c>
      <c r="H40" s="7" t="inlineStr">
        <is>
          <t>Correct the stale location on MD-00055 (Denver - Closed → Chicago); cite TR-00055 in the update (EX-0036)</t>
        </is>
      </c>
      <c r="I40" s="7" t="inlineStr">
        <is>
          <t>IT Asset Specialist</t>
        </is>
      </c>
      <c r="J40" s="7" t="inlineStr">
        <is>
          <t>2026-08-19</t>
        </is>
      </c>
      <c r="K40" s="7" t="inlineStr">
        <is>
          <t>Open</t>
        </is>
      </c>
      <c r="L40" s="7" t="inlineStr">
        <is>
          <t>equipment_transfer_log TR-00055 points to Chicago. finding EX-0036. operating footprint for MD-00055 is Chicago, not Denver - Closed. Site code Denver - Closed on MD-00055 was retired during consolidation but remains on the asset row.</t>
        </is>
      </c>
      <c r="M40" s="7" t="inlineStr">
        <is>
          <t>Requires remediation</t>
        </is>
      </c>
    </row>
    <row r="41">
      <c r="A41" s="7" t="inlineStr">
        <is>
          <t>EX-0037</t>
        </is>
      </c>
      <c r="B41" s="7" t="inlineStr">
        <is>
          <t>Closed Location Assignment</t>
        </is>
      </c>
      <c r="C41" s="11" t="inlineStr">
        <is>
          <t>Medium</t>
        </is>
      </c>
      <c r="D41" s="7" t="inlineStr">
        <is>
          <t>MD-00056</t>
        </is>
      </c>
      <c r="E41" s="7" t="inlineStr">
        <is>
          <t>MD-NE-050056</t>
        </is>
      </c>
      <c r="F41" s="7" t="inlineStr">
        <is>
          <t>RegisterLocation:Chicago - Closed; Transfer:TR-00056; VerifiedLocation:Dallas</t>
        </is>
      </c>
      <c r="G41" s="7" t="n">
        <v>1345.24</v>
      </c>
      <c r="H41" s="7" t="inlineStr">
        <is>
          <t>Replace shuttered site Chicago - Closed on MD-00056 with Dallas on the register; cite TR-00056 in the update (EX-0037)</t>
        </is>
      </c>
      <c r="I41" s="7" t="inlineStr">
        <is>
          <t>IT Asset Specialist</t>
        </is>
      </c>
      <c r="J41" s="7" t="inlineStr">
        <is>
          <t>2026-08-19</t>
        </is>
      </c>
      <c r="K41" s="7" t="inlineStr">
        <is>
          <t>Open</t>
        </is>
      </c>
      <c r="L41" s="7" t="inlineStr">
        <is>
          <t>finding EX-0037. The register extract for MD-00056 carries location Chicago - Closed after that floor was vacated. equipment_transfer_log TR-00056 points to Dallas. operating footprint for MD-00056 is Dallas, not Chicago - Closed.</t>
        </is>
      </c>
      <c r="M41" s="7" t="inlineStr">
        <is>
          <t>Requires remediation</t>
        </is>
      </c>
    </row>
    <row r="42">
      <c r="A42" s="7" t="inlineStr">
        <is>
          <t>EX-0038</t>
        </is>
      </c>
      <c r="B42" s="7" t="inlineStr">
        <is>
          <t>Closed Location Assignment</t>
        </is>
      </c>
      <c r="C42" s="11" t="inlineStr">
        <is>
          <t>Medium</t>
        </is>
      </c>
      <c r="D42" s="7" t="inlineStr">
        <is>
          <t>MD-00057</t>
        </is>
      </c>
      <c r="E42" s="7" t="inlineStr">
        <is>
          <t>MD-LA-050057</t>
        </is>
      </c>
      <c r="F42" s="7" t="inlineStr">
        <is>
          <t>RegisterLocation:Denver - Closed; Transfer:TR-00057; VerifiedLocation:Denver</t>
        </is>
      </c>
      <c r="G42" s="7" t="n">
        <v>106.79</v>
      </c>
      <c r="H42" s="7" t="inlineStr">
        <is>
          <t>Correct the stale location on MD-00057 (Denver - Closed → Denver); cite TR-00057 in the update (EX-0038)</t>
        </is>
      </c>
      <c r="I42" s="7" t="inlineStr">
        <is>
          <t>IT Asset Specialist</t>
        </is>
      </c>
      <c r="J42" s="7" t="inlineStr">
        <is>
          <t>2026-08-19</t>
        </is>
      </c>
      <c r="K42" s="7" t="inlineStr">
        <is>
          <t>Open</t>
        </is>
      </c>
      <c r="L42" s="7" t="inlineStr">
        <is>
          <t>finding EX-0038. Inventory row MD-00057 (serial MD-LA-050057) still lists site Denver - Closed. equipment_transfer_log TR-00057 points to Denver. operating footprint for MD-00057 is Denver, not Denver - Closed.</t>
        </is>
      </c>
      <c r="M42" s="7" t="inlineStr">
        <is>
          <t>Requires remediation</t>
        </is>
      </c>
    </row>
    <row r="43">
      <c r="A43" s="7" t="inlineStr">
        <is>
          <t>EX-0039</t>
        </is>
      </c>
      <c r="B43" s="7" t="inlineStr">
        <is>
          <t>Former Employee Assignment</t>
        </is>
      </c>
      <c r="C43" s="10" t="inlineStr">
        <is>
          <t>High</t>
        </is>
      </c>
      <c r="D43" s="7" t="inlineStr">
        <is>
          <t>MD-00058</t>
        </is>
      </c>
      <c r="E43" s="7" t="inlineStr">
        <is>
          <t>MD-MO-050058</t>
        </is>
      </c>
      <c r="F43" s="7" t="inlineStr">
        <is>
          <t>Employee:E0071; Ticket:OFF-00058; Transfer:TR-00058</t>
        </is>
      </c>
      <c r="G43" s="7" t="n">
        <v>397.56</v>
      </c>
      <c r="H43" s="7" t="inlineStr">
        <is>
          <t>Remove E0071 as custodian on MD-00058; park under Regional IT or IT Stock (EX-0039).</t>
        </is>
      </c>
      <c r="I43" s="7" t="inlineStr">
        <is>
          <t>HR Operations Lead</t>
        </is>
      </c>
      <c r="J43" s="7" t="inlineStr">
        <is>
          <t>2026-08-16</t>
        </is>
      </c>
      <c r="K43" s="7" t="inlineStr">
        <is>
          <t>Open</t>
        </is>
      </c>
      <c r="L43" s="7" t="inlineStr">
        <is>
          <t>hr_employee_status shows E0071 as separated. Register still assigns MD-00058 to E0071. EX-0039. offboarding ticket OFF-00058 closed without a custodian change on MD-00058.</t>
        </is>
      </c>
      <c r="M43" s="7" t="inlineStr">
        <is>
          <t>Requires remediation</t>
        </is>
      </c>
    </row>
    <row r="44">
      <c r="A44" s="7" t="inlineStr">
        <is>
          <t>EX-0040</t>
        </is>
      </c>
      <c r="B44" s="7" t="inlineStr">
        <is>
          <t>Closed Location Assignment</t>
        </is>
      </c>
      <c r="C44" s="11" t="inlineStr">
        <is>
          <t>Medium</t>
        </is>
      </c>
      <c r="D44" s="7" t="inlineStr">
        <is>
          <t>MD-00058</t>
        </is>
      </c>
      <c r="E44" s="7" t="inlineStr">
        <is>
          <t>MD-MO-050058</t>
        </is>
      </c>
      <c r="F44" s="7" t="inlineStr">
        <is>
          <t>RegisterLocation:Chicago - Closed; Transfer:TR-00058; VerifiedLocation:New York</t>
        </is>
      </c>
      <c r="G44" s="7" t="n">
        <v>397.56</v>
      </c>
      <c r="H44" s="7" t="inlineStr">
        <is>
          <t>Correct the stale location on MD-00058 (Chicago - Closed → New York); cite TR-00058 in the update (EX-0040)</t>
        </is>
      </c>
      <c r="I44" s="7" t="inlineStr">
        <is>
          <t>IT Asset Specialist</t>
        </is>
      </c>
      <c r="J44" s="7" t="inlineStr">
        <is>
          <t>2026-08-19</t>
        </is>
      </c>
      <c r="K44" s="7" t="inlineStr">
        <is>
          <t>Open</t>
        </is>
      </c>
      <c r="L44" s="7" t="inlineStr">
        <is>
          <t>The register extract for MD-00058 carries location Chicago - Closed after that floor was vacated. finding EX-0040. operating footprint for MD-00058 is New York, not Chicago - Closed. equipment_transfer_log TR-00058 points to New York.</t>
        </is>
      </c>
      <c r="M44" s="7" t="inlineStr">
        <is>
          <t>Requires remediation</t>
        </is>
      </c>
    </row>
    <row r="45">
      <c r="A45" s="7" t="inlineStr">
        <is>
          <t>EX-0041</t>
        </is>
      </c>
      <c r="B45" s="7" t="inlineStr">
        <is>
          <t>Unapproved Transfer</t>
        </is>
      </c>
      <c r="C45" s="11" t="inlineStr">
        <is>
          <t>Medium</t>
        </is>
      </c>
      <c r="D45" s="7" t="inlineStr">
        <is>
          <t>MD-00058</t>
        </is>
      </c>
      <c r="E45" s="7" t="inlineStr">
        <is>
          <t>MD-MO-050058</t>
        </is>
      </c>
      <c r="F45" s="7" t="inlineStr">
        <is>
          <t>Transfer:TR-00058; Approval:missing</t>
        </is>
      </c>
      <c r="G45" s="7" t="n">
        <v>397.56</v>
      </c>
      <c r="H45" s="7" t="inlineStr">
        <is>
          <t>Obtain APR on TR-00058 or reverse move for MD-00058 (EX-0041).</t>
        </is>
      </c>
      <c r="I45" s="7" t="inlineStr">
        <is>
          <t>IT Operations Manager</t>
        </is>
      </c>
      <c r="J45" s="7" t="inlineStr">
        <is>
          <t>2026-08-20</t>
        </is>
      </c>
      <c r="K45" s="7" t="inlineStr">
        <is>
          <t>Open</t>
        </is>
      </c>
      <c r="L45" s="7" t="inlineStr">
        <is>
          <t>Transfer TR-00058 for MD-00058 has a blank approval_id per ITAM-001 §4 (EX-0041).</t>
        </is>
      </c>
      <c r="M45" s="7" t="inlineStr">
        <is>
          <t>Requires remediation</t>
        </is>
      </c>
    </row>
    <row r="46">
      <c r="A46" s="7" t="inlineStr">
        <is>
          <t>EX-0042</t>
        </is>
      </c>
      <c r="B46" s="7" t="inlineStr">
        <is>
          <t>Former Employee Assignment</t>
        </is>
      </c>
      <c r="C46" s="10" t="inlineStr">
        <is>
          <t>High</t>
        </is>
      </c>
      <c r="D46" s="7" t="inlineStr">
        <is>
          <t>MD-00059</t>
        </is>
      </c>
      <c r="E46" s="7" t="inlineStr">
        <is>
          <t>MD-MO-050059</t>
        </is>
      </c>
      <c r="F46" s="7" t="inlineStr">
        <is>
          <t>Employee:E0072; Ticket:OFF-00059; Transfer:TR-00059</t>
        </is>
      </c>
      <c r="G46" s="7" t="n">
        <v>847.35</v>
      </c>
      <c r="H46" s="7" t="inlineStr">
        <is>
          <t>Remove E0072 as custodian on MD-00059; park under Regional IT or IT Stock (EX-0042).</t>
        </is>
      </c>
      <c r="I46" s="7" t="inlineStr">
        <is>
          <t>HR Operations Lead</t>
        </is>
      </c>
      <c r="J46" s="7" t="inlineStr">
        <is>
          <t>2026-08-16</t>
        </is>
      </c>
      <c r="K46" s="7" t="inlineStr">
        <is>
          <t>Open</t>
        </is>
      </c>
      <c r="L46" s="7" t="inlineStr">
        <is>
          <t>hr_employee_status shows E0072 as separated. Register still assigns MD-00059 to E0072. EX-0042. offboarding ticket OFF-00059 closed without a custodian change on MD-00059.</t>
        </is>
      </c>
      <c r="M46" s="7" t="inlineStr">
        <is>
          <t>Requires remediation</t>
        </is>
      </c>
    </row>
    <row r="47">
      <c r="A47" s="7" t="inlineStr">
        <is>
          <t>EX-0043</t>
        </is>
      </c>
      <c r="B47" s="7" t="inlineStr">
        <is>
          <t>Closed Location Assignment</t>
        </is>
      </c>
      <c r="C47" s="11" t="inlineStr">
        <is>
          <t>Medium</t>
        </is>
      </c>
      <c r="D47" s="7" t="inlineStr">
        <is>
          <t>MD-00059</t>
        </is>
      </c>
      <c r="E47" s="7" t="inlineStr">
        <is>
          <t>MD-MO-050059</t>
        </is>
      </c>
      <c r="F47" s="7" t="inlineStr">
        <is>
          <t>RegisterLocation:Denver - Closed; Transfer:TR-00059; VerifiedLocation:Seattle</t>
        </is>
      </c>
      <c r="G47" s="7" t="n">
        <v>847.35</v>
      </c>
      <c r="H47" s="7" t="inlineStr">
        <is>
          <t>Correct the stale location on MD-00059 (Denver - Closed → Seattle); cite TR-00059 in the update (EX-0043)</t>
        </is>
      </c>
      <c r="I47" s="7" t="inlineStr">
        <is>
          <t>IT Asset Specialist</t>
        </is>
      </c>
      <c r="J47" s="7" t="inlineStr">
        <is>
          <t>2026-08-19</t>
        </is>
      </c>
      <c r="K47" s="7" t="inlineStr">
        <is>
          <t>Open</t>
        </is>
      </c>
      <c r="L47" s="7" t="inlineStr">
        <is>
          <t>operating footprint for MD-00059 is Seattle, not Denver - Closed. finding EX-0043. Site code Denver - Closed on MD-00059 was retired during consolidation but remains on the asset row. equipment_transfer_log TR-00059 points to Seattle.</t>
        </is>
      </c>
      <c r="M47" s="7" t="inlineStr">
        <is>
          <t>Requires remediation</t>
        </is>
      </c>
    </row>
    <row r="48">
      <c r="A48" s="7" t="inlineStr">
        <is>
          <t>EX-0044</t>
        </is>
      </c>
      <c r="B48" s="7" t="inlineStr">
        <is>
          <t>Unapproved Transfer</t>
        </is>
      </c>
      <c r="C48" s="11" t="inlineStr">
        <is>
          <t>Medium</t>
        </is>
      </c>
      <c r="D48" s="7" t="inlineStr">
        <is>
          <t>MD-00059</t>
        </is>
      </c>
      <c r="E48" s="7" t="inlineStr">
        <is>
          <t>MD-MO-050059</t>
        </is>
      </c>
      <c r="F48" s="7" t="inlineStr">
        <is>
          <t>Transfer:TR-00059; Approval:missing</t>
        </is>
      </c>
      <c r="G48" s="7" t="n">
        <v>847.35</v>
      </c>
      <c r="H48" s="7" t="inlineStr">
        <is>
          <t>Obtain APR on TR-00059 or reverse move for MD-00059 (EX-0044).</t>
        </is>
      </c>
      <c r="I48" s="7" t="inlineStr">
        <is>
          <t>IT Operations Manager</t>
        </is>
      </c>
      <c r="J48" s="7" t="inlineStr">
        <is>
          <t>2026-08-20</t>
        </is>
      </c>
      <c r="K48" s="7" t="inlineStr">
        <is>
          <t>Open</t>
        </is>
      </c>
      <c r="L48" s="7" t="inlineStr">
        <is>
          <t>Transfer TR-00059 for MD-00059 has a blank approval_id per ITAM-001 §4 (EX-0044).</t>
        </is>
      </c>
      <c r="M48" s="7" t="inlineStr">
        <is>
          <t>Requires remediation</t>
        </is>
      </c>
    </row>
    <row r="49">
      <c r="A49" s="7" t="inlineStr">
        <is>
          <t>EX-0045</t>
        </is>
      </c>
      <c r="B49" s="7" t="inlineStr">
        <is>
          <t>Former Employee Assignment</t>
        </is>
      </c>
      <c r="C49" s="10" t="inlineStr">
        <is>
          <t>High</t>
        </is>
      </c>
      <c r="D49" s="7" t="inlineStr">
        <is>
          <t>MD-00060</t>
        </is>
      </c>
      <c r="E49" s="7" t="inlineStr">
        <is>
          <t>MD-NE-050060</t>
        </is>
      </c>
      <c r="F49" s="7" t="inlineStr">
        <is>
          <t>Employee:E0073; Ticket:OFF-00060; Transfer:TR-00060</t>
        </is>
      </c>
      <c r="G49" s="7" t="n">
        <v>549.35</v>
      </c>
      <c r="H49" s="7" t="inlineStr">
        <is>
          <t>Remove E0073 as custodian on MD-00060; park under Regional IT or IT Stock (EX-0045).</t>
        </is>
      </c>
      <c r="I49" s="7" t="inlineStr">
        <is>
          <t>HR Operations Lead</t>
        </is>
      </c>
      <c r="J49" s="7" t="inlineStr">
        <is>
          <t>2026-08-16</t>
        </is>
      </c>
      <c r="K49" s="7" t="inlineStr">
        <is>
          <t>Open</t>
        </is>
      </c>
      <c r="L49" s="7" t="inlineStr">
        <is>
          <t>hr_employee_status shows E0073 as separated. EX-0045. Register still assigns MD-00060 to E0073. offboarding ticket OFF-00060 closed without a custodian change on MD-00060.</t>
        </is>
      </c>
      <c r="M49" s="7" t="inlineStr">
        <is>
          <t>Requires remediation</t>
        </is>
      </c>
    </row>
    <row r="50">
      <c r="A50" s="7" t="inlineStr">
        <is>
          <t>EX-0046</t>
        </is>
      </c>
      <c r="B50" s="7" t="inlineStr">
        <is>
          <t>Closed Location Assignment</t>
        </is>
      </c>
      <c r="C50" s="11" t="inlineStr">
        <is>
          <t>Medium</t>
        </is>
      </c>
      <c r="D50" s="7" t="inlineStr">
        <is>
          <t>MD-00060</t>
        </is>
      </c>
      <c r="E50" s="7" t="inlineStr">
        <is>
          <t>MD-NE-050060</t>
        </is>
      </c>
      <c r="F50" s="7" t="inlineStr">
        <is>
          <t>RegisterLocation:Chicago - Closed; Transfer:TR-00060; VerifiedLocation:Atlanta</t>
        </is>
      </c>
      <c r="G50" s="7" t="n">
        <v>549.35</v>
      </c>
      <c r="H50" s="7" t="inlineStr">
        <is>
          <t>IT Asset Specialist: change MD-00060 location from Chicago - Closed to Atlanta; cite TR-00060 in the update (EX-0046)</t>
        </is>
      </c>
      <c r="I50" s="7" t="inlineStr">
        <is>
          <t>IT Asset Specialist</t>
        </is>
      </c>
      <c r="J50" s="7" t="inlineStr">
        <is>
          <t>2026-08-19</t>
        </is>
      </c>
      <c r="K50" s="7" t="inlineStr">
        <is>
          <t>Open</t>
        </is>
      </c>
      <c r="L50" s="7" t="inlineStr">
        <is>
          <t>equipment_transfer_log TR-00060 points to Atlanta. operating footprint for MD-00060 is Atlanta, not Chicago - Closed. finding EX-0046. The register extract for MD-00060 carries location Chicago - Closed after that floor was vacated.</t>
        </is>
      </c>
      <c r="M50" s="7" t="inlineStr">
        <is>
          <t>Requires remediation</t>
        </is>
      </c>
    </row>
    <row r="51">
      <c r="A51" s="7" t="inlineStr">
        <is>
          <t>EX-0047</t>
        </is>
      </c>
      <c r="B51" s="7" t="inlineStr">
        <is>
          <t>Former Employee Assignment</t>
        </is>
      </c>
      <c r="C51" s="10" t="inlineStr">
        <is>
          <t>High</t>
        </is>
      </c>
      <c r="D51" s="7" t="inlineStr">
        <is>
          <t>MD-00061</t>
        </is>
      </c>
      <c r="E51" s="7" t="inlineStr">
        <is>
          <t>MD-LA-050061</t>
        </is>
      </c>
      <c r="F51" s="7" t="inlineStr">
        <is>
          <t>Employee:E0074; Ticket:OFF-00061; Transfer:TR-00061</t>
        </is>
      </c>
      <c r="G51" s="7" t="n">
        <v>0</v>
      </c>
      <c r="H51" s="7" t="inlineStr">
        <is>
          <t>Remove E0074 as custodian on MD-00061; park under Regional IT or IT Stock (EX-0047).</t>
        </is>
      </c>
      <c r="I51" s="7" t="inlineStr">
        <is>
          <t>HR Operations Lead</t>
        </is>
      </c>
      <c r="J51" s="7" t="inlineStr">
        <is>
          <t>2026-08-16</t>
        </is>
      </c>
      <c r="K51" s="7" t="inlineStr">
        <is>
          <t>Open</t>
        </is>
      </c>
      <c r="L51" s="7" t="inlineStr">
        <is>
          <t>Register still assigns MD-00061 to E0074. offboarding ticket OFF-00061 closed without a custodian change on MD-00061. hr_employee_status shows E0074 as separated. EX-0047.</t>
        </is>
      </c>
      <c r="M51" s="7" t="inlineStr">
        <is>
          <t>Requires remediation</t>
        </is>
      </c>
    </row>
    <row r="52">
      <c r="A52" s="7" t="inlineStr">
        <is>
          <t>EX-0048</t>
        </is>
      </c>
      <c r="B52" s="7" t="inlineStr">
        <is>
          <t>Closed Location Assignment</t>
        </is>
      </c>
      <c r="C52" s="11" t="inlineStr">
        <is>
          <t>Medium</t>
        </is>
      </c>
      <c r="D52" s="7" t="inlineStr">
        <is>
          <t>MD-00061</t>
        </is>
      </c>
      <c r="E52" s="7" t="inlineStr">
        <is>
          <t>MD-LA-050061</t>
        </is>
      </c>
      <c r="F52" s="7" t="inlineStr">
        <is>
          <t>RegisterLocation:Denver - Closed; Transfer:TR-00061; VerifiedLocation:Chicago</t>
        </is>
      </c>
      <c r="G52" s="7" t="n">
        <v>0</v>
      </c>
      <c r="H52" s="7" t="inlineStr">
        <is>
          <t>Correct the stale location on MD-00061 (Denver - Closed → Chicago); cite TR-00061 in the update (EX-0048)</t>
        </is>
      </c>
      <c r="I52" s="7" t="inlineStr">
        <is>
          <t>IT Asset Specialist</t>
        </is>
      </c>
      <c r="J52" s="7" t="inlineStr">
        <is>
          <t>2026-08-19</t>
        </is>
      </c>
      <c r="K52" s="7" t="inlineStr">
        <is>
          <t>Open</t>
        </is>
      </c>
      <c r="L52" s="7" t="inlineStr">
        <is>
          <t>operating footprint for MD-00061 is Chicago, not Denver - Closed. equipment_transfer_log TR-00061 points to Chicago. The register extract for MD-00061 carries location Denver - Closed after that floor was vacated. finding EX-0048.</t>
        </is>
      </c>
      <c r="M52" s="7" t="inlineStr">
        <is>
          <t>Requires remediation</t>
        </is>
      </c>
    </row>
    <row r="53">
      <c r="A53" s="7" t="inlineStr">
        <is>
          <t>EX-0049</t>
        </is>
      </c>
      <c r="B53" s="7" t="inlineStr">
        <is>
          <t>Former Employee Assignment</t>
        </is>
      </c>
      <c r="C53" s="10" t="inlineStr">
        <is>
          <t>High</t>
        </is>
      </c>
      <c r="D53" s="7" t="inlineStr">
        <is>
          <t>MD-00062</t>
        </is>
      </c>
      <c r="E53" s="7" t="inlineStr">
        <is>
          <t>MD-MO-050062</t>
        </is>
      </c>
      <c r="F53" s="7" t="inlineStr">
        <is>
          <t>Employee:E0075; Ticket:OFF-00062; Transfer:TR-00062</t>
        </is>
      </c>
      <c r="G53" s="7" t="n">
        <v>410.63</v>
      </c>
      <c r="H53" s="7" t="inlineStr">
        <is>
          <t>Remove E0075 as custodian on MD-00062; park under Regional IT or IT Stock (EX-0049).</t>
        </is>
      </c>
      <c r="I53" s="7" t="inlineStr">
        <is>
          <t>HR Operations Lead</t>
        </is>
      </c>
      <c r="J53" s="7" t="inlineStr">
        <is>
          <t>2026-08-16</t>
        </is>
      </c>
      <c r="K53" s="7" t="inlineStr">
        <is>
          <t>Open</t>
        </is>
      </c>
      <c r="L53" s="7" t="inlineStr">
        <is>
          <t>hr_employee_status shows E0075 as separated. EX-0049. offboarding ticket OFF-00062 closed without a custodian change on MD-00062. Register still assigns MD-00062 to E0075.</t>
        </is>
      </c>
      <c r="M53" s="7" t="inlineStr">
        <is>
          <t>Requires remediation</t>
        </is>
      </c>
    </row>
    <row r="54">
      <c r="A54" s="7" t="inlineStr">
        <is>
          <t>EX-0050</t>
        </is>
      </c>
      <c r="B54" s="7" t="inlineStr">
        <is>
          <t>Closed Location Assignment</t>
        </is>
      </c>
      <c r="C54" s="11" t="inlineStr">
        <is>
          <t>Medium</t>
        </is>
      </c>
      <c r="D54" s="7" t="inlineStr">
        <is>
          <t>MD-00062</t>
        </is>
      </c>
      <c r="E54" s="7" t="inlineStr">
        <is>
          <t>MD-MO-050062</t>
        </is>
      </c>
      <c r="F54" s="7" t="inlineStr">
        <is>
          <t>RegisterLocation:Chicago - Closed; Transfer:TR-00062; VerifiedLocation:Dallas</t>
        </is>
      </c>
      <c r="G54" s="7" t="n">
        <v>410.63</v>
      </c>
      <c r="H54" s="7" t="inlineStr">
        <is>
          <t>Correct the stale location on MD-00062 (Chicago - Closed → Dallas); cite TR-00062 in the update (EX-0050)</t>
        </is>
      </c>
      <c r="I54" s="7" t="inlineStr">
        <is>
          <t>IT Asset Specialist</t>
        </is>
      </c>
      <c r="J54" s="7" t="inlineStr">
        <is>
          <t>2026-08-19</t>
        </is>
      </c>
      <c r="K54" s="7" t="inlineStr">
        <is>
          <t>Open</t>
        </is>
      </c>
      <c r="L54" s="7" t="inlineStr">
        <is>
          <t>operating footprint for MD-00062 is Dallas, not Chicago - Closed. equipment_transfer_log TR-00062 points to Dallas. Site code Chicago - Closed on MD-00062 was retired during consolidation but remains on the asset row. finding EX-0050.</t>
        </is>
      </c>
      <c r="M54" s="7" t="inlineStr">
        <is>
          <t>Requires remediation</t>
        </is>
      </c>
    </row>
    <row r="55">
      <c r="A55" s="7" t="inlineStr">
        <is>
          <t>EX-0051</t>
        </is>
      </c>
      <c r="B55" s="7" t="inlineStr">
        <is>
          <t>Former Employee Assignment</t>
        </is>
      </c>
      <c r="C55" s="10" t="inlineStr">
        <is>
          <t>High</t>
        </is>
      </c>
      <c r="D55" s="7" t="inlineStr">
        <is>
          <t>MD-00063</t>
        </is>
      </c>
      <c r="E55" s="7" t="inlineStr">
        <is>
          <t>MD-MO-050063</t>
        </is>
      </c>
      <c r="F55" s="7" t="inlineStr">
        <is>
          <t>Employee:E0076; Ticket:OFF-00063; Transfer:TR-00063</t>
        </is>
      </c>
      <c r="G55" s="7" t="n">
        <v>533.85</v>
      </c>
      <c r="H55" s="7" t="inlineStr">
        <is>
          <t>Remove E0076 as custodian on MD-00063; park under Regional IT or IT Stock (EX-0051).</t>
        </is>
      </c>
      <c r="I55" s="7" t="inlineStr">
        <is>
          <t>HR Operations Lead</t>
        </is>
      </c>
      <c r="J55" s="7" t="inlineStr">
        <is>
          <t>2026-08-16</t>
        </is>
      </c>
      <c r="K55" s="7" t="inlineStr">
        <is>
          <t>Open</t>
        </is>
      </c>
      <c r="L55" s="7" t="inlineStr">
        <is>
          <t>offboarding ticket OFF-00063 closed without a custodian change on MD-00063. EX-0051. Register still assigns MD-00063 to E0076. hr_employee_status shows E0076 as separated.</t>
        </is>
      </c>
      <c r="M55" s="7" t="inlineStr">
        <is>
          <t>Requires remediation</t>
        </is>
      </c>
    </row>
    <row r="56">
      <c r="A56" s="7" t="inlineStr">
        <is>
          <t>EX-0052</t>
        </is>
      </c>
      <c r="B56" s="7" t="inlineStr">
        <is>
          <t>Closed Location Assignment</t>
        </is>
      </c>
      <c r="C56" s="11" t="inlineStr">
        <is>
          <t>Medium</t>
        </is>
      </c>
      <c r="D56" s="7" t="inlineStr">
        <is>
          <t>MD-00063</t>
        </is>
      </c>
      <c r="E56" s="7" t="inlineStr">
        <is>
          <t>MD-MO-050063</t>
        </is>
      </c>
      <c r="F56" s="7" t="inlineStr">
        <is>
          <t>RegisterLocation:Denver - Closed; Transfer:TR-00063; VerifiedLocation:Denver</t>
        </is>
      </c>
      <c r="G56" s="7" t="n">
        <v>533.85</v>
      </c>
      <c r="H56" s="7" t="inlineStr">
        <is>
          <t>Retire the closed-office code on MD-00063 and post Denver as the working site; cite TR-00063 in the update (EX-0052)</t>
        </is>
      </c>
      <c r="I56" s="7" t="inlineStr">
        <is>
          <t>IT Asset Specialist</t>
        </is>
      </c>
      <c r="J56" s="7" t="inlineStr">
        <is>
          <t>2026-08-19</t>
        </is>
      </c>
      <c r="K56" s="7" t="inlineStr">
        <is>
          <t>Open</t>
        </is>
      </c>
      <c r="L56" s="7" t="inlineStr">
        <is>
          <t>equipment_transfer_log TR-00063 points to Denver. Site code Denver - Closed on MD-00063 was retired during consolidation but remains on the asset row. finding EX-0052. operating footprint for MD-00063 is Denver, not Denver - Closed.</t>
        </is>
      </c>
      <c r="M56" s="7" t="inlineStr">
        <is>
          <t>Requires remediation</t>
        </is>
      </c>
    </row>
    <row r="57">
      <c r="A57" s="7" t="inlineStr">
        <is>
          <t>EX-0053</t>
        </is>
      </c>
      <c r="B57" s="7" t="inlineStr">
        <is>
          <t>Former Employee Assignment</t>
        </is>
      </c>
      <c r="C57" s="10" t="inlineStr">
        <is>
          <t>High</t>
        </is>
      </c>
      <c r="D57" s="7" t="inlineStr">
        <is>
          <t>MD-00064</t>
        </is>
      </c>
      <c r="E57" s="7" t="inlineStr">
        <is>
          <t>MD-NE-050064</t>
        </is>
      </c>
      <c r="F57" s="7" t="inlineStr">
        <is>
          <t>Employee:E0077; Ticket:OFF-00064; Transfer:TR-00064</t>
        </is>
      </c>
      <c r="G57" s="7" t="n">
        <v>961.76</v>
      </c>
      <c r="H57" s="7" t="inlineStr">
        <is>
          <t>Remove E0077 as custodian on MD-00064; park under Regional IT or IT Stock (EX-0053).</t>
        </is>
      </c>
      <c r="I57" s="7" t="inlineStr">
        <is>
          <t>HR Operations Lead</t>
        </is>
      </c>
      <c r="J57" s="7" t="inlineStr">
        <is>
          <t>2026-08-16</t>
        </is>
      </c>
      <c r="K57" s="7" t="inlineStr">
        <is>
          <t>Open</t>
        </is>
      </c>
      <c r="L57" s="7" t="inlineStr">
        <is>
          <t>EX-0053. Register still assigns MD-00064 to E0077. hr_employee_status shows E0077 as separated. offboarding ticket OFF-00064 closed without a custodian change on MD-00064.</t>
        </is>
      </c>
      <c r="M57" s="7" t="inlineStr">
        <is>
          <t>Requires remediation</t>
        </is>
      </c>
    </row>
    <row r="58">
      <c r="A58" s="7" t="inlineStr">
        <is>
          <t>EX-0054</t>
        </is>
      </c>
      <c r="B58" s="7" t="inlineStr">
        <is>
          <t>Closed Location Assignment</t>
        </is>
      </c>
      <c r="C58" s="11" t="inlineStr">
        <is>
          <t>Medium</t>
        </is>
      </c>
      <c r="D58" s="7" t="inlineStr">
        <is>
          <t>MD-00064</t>
        </is>
      </c>
      <c r="E58" s="7" t="inlineStr">
        <is>
          <t>MD-NE-050064</t>
        </is>
      </c>
      <c r="F58" s="7" t="inlineStr">
        <is>
          <t>RegisterLocation:Chicago - Closed; Transfer:TR-00064; VerifiedLocation:New York</t>
        </is>
      </c>
      <c r="G58" s="7" t="n">
        <v>961.76</v>
      </c>
      <c r="H58" s="7" t="inlineStr">
        <is>
          <t>Replace shuttered site Chicago - Closed on MD-00064 with New York on the register; cite TR-00064 in the update (EX-0054)</t>
        </is>
      </c>
      <c r="I58" s="7" t="inlineStr">
        <is>
          <t>IT Asset Specialist</t>
        </is>
      </c>
      <c r="J58" s="7" t="inlineStr">
        <is>
          <t>2026-08-19</t>
        </is>
      </c>
      <c r="K58" s="7" t="inlineStr">
        <is>
          <t>Open</t>
        </is>
      </c>
      <c r="L58" s="7" t="inlineStr">
        <is>
          <t>equipment_transfer_log TR-00064 points to New York. Site code Chicago - Closed on MD-00064 was retired during consolidation but remains on the asset row. finding EX-0054. operating footprint for MD-00064 is New York, not Chicago - Closed.</t>
        </is>
      </c>
      <c r="M58" s="7" t="inlineStr">
        <is>
          <t>Requires remediation</t>
        </is>
      </c>
    </row>
    <row r="59">
      <c r="A59" s="7" t="inlineStr">
        <is>
          <t>EX-0055</t>
        </is>
      </c>
      <c r="B59" s="7" t="inlineStr">
        <is>
          <t>Unapproved Transfer</t>
        </is>
      </c>
      <c r="C59" s="11" t="inlineStr">
        <is>
          <t>Medium</t>
        </is>
      </c>
      <c r="D59" s="7" t="inlineStr">
        <is>
          <t>MD-00064</t>
        </is>
      </c>
      <c r="E59" s="7" t="inlineStr">
        <is>
          <t>MD-NE-050064</t>
        </is>
      </c>
      <c r="F59" s="7" t="inlineStr">
        <is>
          <t>Transfer:TR-00064; Approval:missing</t>
        </is>
      </c>
      <c r="G59" s="7" t="n">
        <v>961.76</v>
      </c>
      <c r="H59" s="7" t="inlineStr">
        <is>
          <t>Obtain APR on TR-00064 or reverse move for MD-00064 (EX-0055).</t>
        </is>
      </c>
      <c r="I59" s="7" t="inlineStr">
        <is>
          <t>IT Operations Manager</t>
        </is>
      </c>
      <c r="J59" s="7" t="inlineStr">
        <is>
          <t>2026-08-20</t>
        </is>
      </c>
      <c r="K59" s="7" t="inlineStr">
        <is>
          <t>Open</t>
        </is>
      </c>
      <c r="L59" s="7" t="inlineStr">
        <is>
          <t>Transfer TR-00064 for MD-00064 has a blank approval_id per ITAM-001 §4 (EX-0055).</t>
        </is>
      </c>
      <c r="M59" s="7" t="inlineStr">
        <is>
          <t>Requires remediation</t>
        </is>
      </c>
    </row>
    <row r="60">
      <c r="A60" s="7" t="inlineStr">
        <is>
          <t>EX-0056</t>
        </is>
      </c>
      <c r="B60" s="7" t="inlineStr">
        <is>
          <t>Former Employee Assignment</t>
        </is>
      </c>
      <c r="C60" s="10" t="inlineStr">
        <is>
          <t>High</t>
        </is>
      </c>
      <c r="D60" s="7" t="inlineStr">
        <is>
          <t>MD-00065</t>
        </is>
      </c>
      <c r="E60" s="7" t="inlineStr">
        <is>
          <t>MD-LA-050065</t>
        </is>
      </c>
      <c r="F60" s="7" t="inlineStr">
        <is>
          <t>Employee:E0078; Ticket:OFF-00065; Transfer:TR-00065</t>
        </is>
      </c>
      <c r="G60" s="7" t="n">
        <v>0</v>
      </c>
      <c r="H60" s="7" t="inlineStr">
        <is>
          <t>Remove E0078 as custodian on MD-00065; park under Regional IT or IT Stock (EX-0056).</t>
        </is>
      </c>
      <c r="I60" s="7" t="inlineStr">
        <is>
          <t>HR Operations Lead</t>
        </is>
      </c>
      <c r="J60" s="7" t="inlineStr">
        <is>
          <t>2026-08-16</t>
        </is>
      </c>
      <c r="K60" s="7" t="inlineStr">
        <is>
          <t>Open</t>
        </is>
      </c>
      <c r="L60" s="7" t="inlineStr">
        <is>
          <t>hr_employee_status shows E0078 as separated. offboarding ticket OFF-00065 closed without a custodian change on MD-00065. EX-0056. Register still assigns MD-00065 to E0078.</t>
        </is>
      </c>
      <c r="M60" s="7" t="inlineStr">
        <is>
          <t>Requires remediation</t>
        </is>
      </c>
    </row>
    <row r="61">
      <c r="A61" s="7" t="inlineStr">
        <is>
          <t>EX-0057</t>
        </is>
      </c>
      <c r="B61" s="7" t="inlineStr">
        <is>
          <t>Closed Location Assignment</t>
        </is>
      </c>
      <c r="C61" s="11" t="inlineStr">
        <is>
          <t>Medium</t>
        </is>
      </c>
      <c r="D61" s="7" t="inlineStr">
        <is>
          <t>MD-00065</t>
        </is>
      </c>
      <c r="E61" s="7" t="inlineStr">
        <is>
          <t>MD-LA-050065</t>
        </is>
      </c>
      <c r="F61" s="7" t="inlineStr">
        <is>
          <t>RegisterLocation:Denver - Closed; Transfer:TR-00065; VerifiedLocation:Seattle</t>
        </is>
      </c>
      <c r="G61" s="7" t="n">
        <v>0</v>
      </c>
      <c r="H61" s="7" t="inlineStr">
        <is>
          <t>Replace shuttered site Denver - Closed on MD-00065 with Seattle on the register; cite TR-00065 in the update (EX-0057)</t>
        </is>
      </c>
      <c r="I61" s="7" t="inlineStr">
        <is>
          <t>IT Asset Specialist</t>
        </is>
      </c>
      <c r="J61" s="7" t="inlineStr">
        <is>
          <t>2026-08-19</t>
        </is>
      </c>
      <c r="K61" s="7" t="inlineStr">
        <is>
          <t>Open</t>
        </is>
      </c>
      <c r="L61" s="7" t="inlineStr">
        <is>
          <t>operating footprint for MD-00065 is Seattle, not Denver - Closed. finding EX-0057. equipment_transfer_log TR-00065 points to Seattle. Inventory row MD-00065 (serial MD-LA-050065) still lists site Denver - Closed.</t>
        </is>
      </c>
      <c r="M61" s="7" t="inlineStr">
        <is>
          <t>Requires remediation</t>
        </is>
      </c>
    </row>
    <row r="62">
      <c r="A62" s="7" t="inlineStr">
        <is>
          <t>EX-0058</t>
        </is>
      </c>
      <c r="B62" s="7" t="inlineStr">
        <is>
          <t>Unapproved Transfer</t>
        </is>
      </c>
      <c r="C62" s="11" t="inlineStr">
        <is>
          <t>Medium</t>
        </is>
      </c>
      <c r="D62" s="7" t="inlineStr">
        <is>
          <t>MD-00065</t>
        </is>
      </c>
      <c r="E62" s="7" t="inlineStr">
        <is>
          <t>MD-LA-050065</t>
        </is>
      </c>
      <c r="F62" s="7" t="inlineStr">
        <is>
          <t>Transfer:TR-00065; Approval:missing</t>
        </is>
      </c>
      <c r="G62" s="7" t="n">
        <v>0</v>
      </c>
      <c r="H62" s="7" t="inlineStr">
        <is>
          <t>Obtain APR on TR-00065 or reverse move for MD-00065 (EX-0058).</t>
        </is>
      </c>
      <c r="I62" s="7" t="inlineStr">
        <is>
          <t>IT Operations Manager</t>
        </is>
      </c>
      <c r="J62" s="7" t="inlineStr">
        <is>
          <t>2026-08-20</t>
        </is>
      </c>
      <c r="K62" s="7" t="inlineStr">
        <is>
          <t>Open</t>
        </is>
      </c>
      <c r="L62" s="7" t="inlineStr">
        <is>
          <t>Transfer TR-00065 for MD-00065 has a blank approval_id per ITAM-001 §4 (EX-0058).</t>
        </is>
      </c>
      <c r="M62" s="7" t="inlineStr">
        <is>
          <t>Requires remediation</t>
        </is>
      </c>
    </row>
    <row r="63">
      <c r="A63" s="7" t="inlineStr">
        <is>
          <t>EX-0059</t>
        </is>
      </c>
      <c r="B63" s="7" t="inlineStr">
        <is>
          <t>Former Employee Assignment</t>
        </is>
      </c>
      <c r="C63" s="10" t="inlineStr">
        <is>
          <t>High</t>
        </is>
      </c>
      <c r="D63" s="7" t="inlineStr">
        <is>
          <t>MD-00066</t>
        </is>
      </c>
      <c r="E63" s="7" t="inlineStr">
        <is>
          <t>MD-MO-050066</t>
        </is>
      </c>
      <c r="F63" s="7" t="inlineStr">
        <is>
          <t>Employee:E0079; Ticket:OFF-00066; Transfer:TR-00066</t>
        </is>
      </c>
      <c r="G63" s="7" t="n">
        <v>385.65</v>
      </c>
      <c r="H63" s="7" t="inlineStr">
        <is>
          <t>Remove E0079 as custodian on MD-00066; park under Regional IT or IT Stock (EX-0059).</t>
        </is>
      </c>
      <c r="I63" s="7" t="inlineStr">
        <is>
          <t>HR Operations Lead</t>
        </is>
      </c>
      <c r="J63" s="7" t="inlineStr">
        <is>
          <t>2026-08-16</t>
        </is>
      </c>
      <c r="K63" s="7" t="inlineStr">
        <is>
          <t>Open</t>
        </is>
      </c>
      <c r="L63" s="7" t="inlineStr">
        <is>
          <t>hr_employee_status shows E0079 as separated. Register still assigns MD-00066 to E0079. EX-0059. offboarding ticket OFF-00066 closed without a custodian change on MD-00066.</t>
        </is>
      </c>
      <c r="M63" s="7" t="inlineStr">
        <is>
          <t>Requires remediation</t>
        </is>
      </c>
    </row>
    <row r="64">
      <c r="A64" s="7" t="inlineStr">
        <is>
          <t>EX-0060</t>
        </is>
      </c>
      <c r="B64" s="7" t="inlineStr">
        <is>
          <t>Closed Location Assignment</t>
        </is>
      </c>
      <c r="C64" s="11" t="inlineStr">
        <is>
          <t>Medium</t>
        </is>
      </c>
      <c r="D64" s="7" t="inlineStr">
        <is>
          <t>MD-00066</t>
        </is>
      </c>
      <c r="E64" s="7" t="inlineStr">
        <is>
          <t>MD-MO-050066</t>
        </is>
      </c>
      <c r="F64" s="7" t="inlineStr">
        <is>
          <t>RegisterLocation:Chicago - Closed; Transfer:TR-00066; VerifiedLocation:Atlanta</t>
        </is>
      </c>
      <c r="G64" s="7" t="n">
        <v>385.65</v>
      </c>
      <c r="H64" s="7" t="inlineStr">
        <is>
          <t>Retire the closed-office code on MD-00066 and post Atlanta as the working site; cite TR-00066 in the update (EX-0060)</t>
        </is>
      </c>
      <c r="I64" s="7" t="inlineStr">
        <is>
          <t>IT Asset Specialist</t>
        </is>
      </c>
      <c r="J64" s="7" t="inlineStr">
        <is>
          <t>2026-08-19</t>
        </is>
      </c>
      <c r="K64" s="7" t="inlineStr">
        <is>
          <t>Open</t>
        </is>
      </c>
      <c r="L64" s="7" t="inlineStr">
        <is>
          <t>operating footprint for MD-00066 is Atlanta, not Chicago - Closed. finding EX-0060. equipment_transfer_log TR-00066 points to Atlanta. Site code Chicago - Closed on MD-00066 was retired during consolidation but remains on the asset row.</t>
        </is>
      </c>
      <c r="M64" s="7" t="inlineStr">
        <is>
          <t>Requires remediation</t>
        </is>
      </c>
    </row>
    <row r="65">
      <c r="A65" s="7" t="inlineStr">
        <is>
          <t>EX-0061</t>
        </is>
      </c>
      <c r="B65" s="7" t="inlineStr">
        <is>
          <t>Former Employee Assignment</t>
        </is>
      </c>
      <c r="C65" s="10" t="inlineStr">
        <is>
          <t>High</t>
        </is>
      </c>
      <c r="D65" s="7" t="inlineStr">
        <is>
          <t>MD-00067</t>
        </is>
      </c>
      <c r="E65" s="7" t="inlineStr">
        <is>
          <t>MD-MO-050067</t>
        </is>
      </c>
      <c r="F65" s="7" t="inlineStr">
        <is>
          <t>Employee:E0080; Ticket:OFF-00067; Transfer:TR-00067</t>
        </is>
      </c>
      <c r="G65" s="7" t="n">
        <v>764.9299999999999</v>
      </c>
      <c r="H65" s="7" t="inlineStr">
        <is>
          <t>Remove E0080 as custodian on MD-00067; park under Regional IT or IT Stock (EX-0061).</t>
        </is>
      </c>
      <c r="I65" s="7" t="inlineStr">
        <is>
          <t>HR Operations Lead</t>
        </is>
      </c>
      <c r="J65" s="7" t="inlineStr">
        <is>
          <t>2026-08-16</t>
        </is>
      </c>
      <c r="K65" s="7" t="inlineStr">
        <is>
          <t>Open</t>
        </is>
      </c>
      <c r="L65" s="7" t="inlineStr">
        <is>
          <t>hr_employee_status shows E0080 as separated. Register still assigns MD-00067 to E0080. EX-0061. offboarding ticket OFF-00067 closed without a custodian change on MD-00067.</t>
        </is>
      </c>
      <c r="M65" s="7" t="inlineStr">
        <is>
          <t>Requires remediation</t>
        </is>
      </c>
    </row>
    <row r="66">
      <c r="A66" s="7" t="inlineStr">
        <is>
          <t>EX-0062</t>
        </is>
      </c>
      <c r="B66" s="7" t="inlineStr">
        <is>
          <t>Closed Location Assignment</t>
        </is>
      </c>
      <c r="C66" s="11" t="inlineStr">
        <is>
          <t>Medium</t>
        </is>
      </c>
      <c r="D66" s="7" t="inlineStr">
        <is>
          <t>MD-00067</t>
        </is>
      </c>
      <c r="E66" s="7" t="inlineStr">
        <is>
          <t>MD-MO-050067</t>
        </is>
      </c>
      <c r="F66" s="7" t="inlineStr">
        <is>
          <t>RegisterLocation:Denver - Closed; Transfer:TR-00067; VerifiedLocation:Chicago</t>
        </is>
      </c>
      <c r="G66" s="7" t="n">
        <v>764.9299999999999</v>
      </c>
      <c r="H66" s="7" t="inlineStr">
        <is>
          <t>Replace shuttered site Denver - Closed on MD-00067 with Chicago on the register; cite TR-00067 in the update (EX-0062)</t>
        </is>
      </c>
      <c r="I66" s="7" t="inlineStr">
        <is>
          <t>IT Asset Specialist</t>
        </is>
      </c>
      <c r="J66" s="7" t="inlineStr">
        <is>
          <t>2026-08-19</t>
        </is>
      </c>
      <c r="K66" s="7" t="inlineStr">
        <is>
          <t>Open</t>
        </is>
      </c>
      <c r="L66" s="7" t="inlineStr">
        <is>
          <t>operating footprint for MD-00067 is Chicago, not Denver - Closed. finding EX-0062. equipment_transfer_log TR-00067 points to Chicago. Site code Denver - Closed on MD-00067 was retired during consolidation but remains on the asset row.</t>
        </is>
      </c>
      <c r="M66" s="7" t="inlineStr">
        <is>
          <t>Requires remediation</t>
        </is>
      </c>
    </row>
    <row r="67">
      <c r="A67" s="7" t="inlineStr">
        <is>
          <t>EX-0063</t>
        </is>
      </c>
      <c r="B67" s="7" t="inlineStr">
        <is>
          <t>Overdue Return</t>
        </is>
      </c>
      <c r="C67" s="8" t="inlineStr">
        <is>
          <t>Critical</t>
        </is>
      </c>
      <c r="D67" s="7" t="inlineStr">
        <is>
          <t>MD-00068</t>
        </is>
      </c>
      <c r="E67" s="7" t="inlineStr">
        <is>
          <t>MD-NE-050068</t>
        </is>
      </c>
      <c r="F67" s="7" t="inlineStr">
        <is>
          <t>Ticket:OFF-00068; Tracking:1ZMD00000068; ReturnDue:2026-07-15</t>
        </is>
      </c>
      <c r="G67" s="7" t="n">
        <v>1436.28</v>
      </c>
      <c r="H67" s="7" t="inlineStr">
        <is>
          <t>Escalate recovery on MD-00068; 1ZMD00000068 is not a return (EX-0063).</t>
        </is>
      </c>
      <c r="I67" s="7" t="inlineStr">
        <is>
          <t>IT Asset Specialist</t>
        </is>
      </c>
      <c r="J67" s="7" t="inlineStr">
        <is>
          <t>2026-08-14</t>
        </is>
      </c>
      <c r="K67" s="7" t="inlineStr">
        <is>
          <t>Open</t>
        </is>
      </c>
      <c r="L67" s="7" t="inlineStr">
        <is>
          <t>OFF-00068 return window elapsed. no acceptance, delivery, or receiving scan tied to serial MD-NE-050068. Carrier file 1ZMD00000068 shows Label Created only for MD-00068.</t>
        </is>
      </c>
      <c r="M67" s="12" t="inlineStr">
        <is>
          <t>Blocks certification</t>
        </is>
      </c>
    </row>
    <row r="68">
      <c r="A68" s="7" t="inlineStr">
        <is>
          <t>EX-0064</t>
        </is>
      </c>
      <c r="B68" s="7" t="inlineStr">
        <is>
          <t>Former Employee Assignment</t>
        </is>
      </c>
      <c r="C68" s="10" t="inlineStr">
        <is>
          <t>High</t>
        </is>
      </c>
      <c r="D68" s="7" t="inlineStr">
        <is>
          <t>MD-00068</t>
        </is>
      </c>
      <c r="E68" s="7" t="inlineStr">
        <is>
          <t>MD-NE-050068</t>
        </is>
      </c>
      <c r="F68" s="7" t="inlineStr">
        <is>
          <t>Employee:E0081; Ticket:OFF-00068</t>
        </is>
      </c>
      <c r="G68" s="7" t="n">
        <v>1436.28</v>
      </c>
      <c r="H68" s="7" t="inlineStr">
        <is>
          <t>Remove E0081 as custodian on MD-00068; park under Regional IT or IT Stock (EX-0064).</t>
        </is>
      </c>
      <c r="I68" s="7" t="inlineStr">
        <is>
          <t>HR Operations Lead</t>
        </is>
      </c>
      <c r="J68" s="7" t="inlineStr">
        <is>
          <t>2026-08-16</t>
        </is>
      </c>
      <c r="K68" s="7" t="inlineStr">
        <is>
          <t>Open</t>
        </is>
      </c>
      <c r="L68" s="7" t="inlineStr">
        <is>
          <t>offboarding ticket OFF-00068 closed without a custodian change on MD-00068. EX-0064. hr_employee_status shows E0081 as separated. Register still assigns MD-00068 to E0081.</t>
        </is>
      </c>
      <c r="M68" s="7" t="inlineStr">
        <is>
          <t>Requires remediation</t>
        </is>
      </c>
    </row>
    <row r="69">
      <c r="A69" s="7" t="inlineStr">
        <is>
          <t>EX-0065</t>
        </is>
      </c>
      <c r="B69" s="7" t="inlineStr">
        <is>
          <t>Inventory-to-Ledger Difference</t>
        </is>
      </c>
      <c r="C69" s="10" t="inlineStr">
        <is>
          <t>High</t>
        </is>
      </c>
      <c r="D69" s="7" t="inlineStr">
        <is>
          <t>MD-00068</t>
        </is>
      </c>
      <c r="E69" s="7" t="inlineStr">
        <is>
          <t>MD-NE-050068</t>
        </is>
      </c>
      <c r="F69" s="7" t="inlineStr">
        <is>
          <t>Ledger:FA-000068; PO:PO-2022-0013; RegisterCost:6425.0; LedgerCost:6480.0</t>
        </is>
      </c>
      <c r="G69" s="7" t="n">
        <v>55</v>
      </c>
      <c r="H69" s="7" t="inlineStr">
        <is>
          <t>Align cost on MD-00068: register 6425.0 vs ledger 6480.0 (FA-000068) (EX-0065).</t>
        </is>
      </c>
      <c r="I69" s="7" t="inlineStr">
        <is>
          <t>Finance Controller</t>
        </is>
      </c>
      <c r="J69" s="7" t="inlineStr">
        <is>
          <t>2026-08-21</t>
        </is>
      </c>
      <c r="K69" s="7" t="inlineStr">
        <is>
          <t>Open</t>
        </is>
      </c>
      <c r="L69" s="7" t="inlineStr">
        <is>
          <t>Register cost $6425.0 on MD-00068 does not match ledger $6480.0 on FA-000068 (EX-0065).</t>
        </is>
      </c>
      <c r="M69" s="7" t="inlineStr">
        <is>
          <t>Requires remediation</t>
        </is>
      </c>
    </row>
    <row r="70">
      <c r="A70" s="7" t="inlineStr">
        <is>
          <t>EX-0066</t>
        </is>
      </c>
      <c r="B70" s="7" t="inlineStr">
        <is>
          <t>Overdue Return</t>
        </is>
      </c>
      <c r="C70" s="8" t="inlineStr">
        <is>
          <t>Critical</t>
        </is>
      </c>
      <c r="D70" s="7" t="inlineStr">
        <is>
          <t>MD-00069</t>
        </is>
      </c>
      <c r="E70" s="7" t="inlineStr">
        <is>
          <t>MD-LA-050069</t>
        </is>
      </c>
      <c r="F70" s="7" t="inlineStr">
        <is>
          <t>Ticket:OFF-00069; Tracking:1ZMD00000069; ReturnDue:2026-07-15</t>
        </is>
      </c>
      <c r="G70" s="7" t="n">
        <v>142.69</v>
      </c>
      <c r="H70" s="7" t="inlineStr">
        <is>
          <t>Escalate recovery on MD-00069; 1ZMD00000069 is not a return (EX-0066).</t>
        </is>
      </c>
      <c r="I70" s="7" t="inlineStr">
        <is>
          <t>IT Asset Specialist</t>
        </is>
      </c>
      <c r="J70" s="7" t="inlineStr">
        <is>
          <t>2026-08-14</t>
        </is>
      </c>
      <c r="K70" s="7" t="inlineStr">
        <is>
          <t>Open</t>
        </is>
      </c>
      <c r="L70" s="7" t="inlineStr">
        <is>
          <t>no acceptance, delivery, or receiving scan tied to serial MD-LA-050069. OFF-00069 return window elapsed. Carrier file 1ZMD00000069 shows Label Created only for MD-00069.</t>
        </is>
      </c>
      <c r="M70" s="12" t="inlineStr">
        <is>
          <t>Blocks certification</t>
        </is>
      </c>
    </row>
    <row r="71">
      <c r="A71" s="7" t="inlineStr">
        <is>
          <t>EX-0067</t>
        </is>
      </c>
      <c r="B71" s="7" t="inlineStr">
        <is>
          <t>Former Employee Assignment</t>
        </is>
      </c>
      <c r="C71" s="10" t="inlineStr">
        <is>
          <t>High</t>
        </is>
      </c>
      <c r="D71" s="7" t="inlineStr">
        <is>
          <t>MD-00069</t>
        </is>
      </c>
      <c r="E71" s="7" t="inlineStr">
        <is>
          <t>MD-LA-050069</t>
        </is>
      </c>
      <c r="F71" s="7" t="inlineStr">
        <is>
          <t>Employee:E0082; Ticket:OFF-00069</t>
        </is>
      </c>
      <c r="G71" s="7" t="n">
        <v>142.69</v>
      </c>
      <c r="H71" s="7" t="inlineStr">
        <is>
          <t>Remove E0082 as custodian on MD-00069; park under Regional IT or IT Stock (EX-0067).</t>
        </is>
      </c>
      <c r="I71" s="7" t="inlineStr">
        <is>
          <t>HR Operations Lead</t>
        </is>
      </c>
      <c r="J71" s="7" t="inlineStr">
        <is>
          <t>2026-08-16</t>
        </is>
      </c>
      <c r="K71" s="7" t="inlineStr">
        <is>
          <t>Open</t>
        </is>
      </c>
      <c r="L71" s="7" t="inlineStr">
        <is>
          <t>Register still assigns MD-00069 to E0082. EX-0067. offboarding ticket OFF-00069 closed without a custodian change on MD-00069. hr_employee_status shows E0082 as separated.</t>
        </is>
      </c>
      <c r="M71" s="7" t="inlineStr">
        <is>
          <t>Requires remediation</t>
        </is>
      </c>
    </row>
    <row r="72">
      <c r="A72" s="7" t="inlineStr">
        <is>
          <t>EX-0068</t>
        </is>
      </c>
      <c r="B72" s="7" t="inlineStr">
        <is>
          <t>Overdue Return</t>
        </is>
      </c>
      <c r="C72" s="8" t="inlineStr">
        <is>
          <t>Critical</t>
        </is>
      </c>
      <c r="D72" s="7" t="inlineStr">
        <is>
          <t>MD-00070</t>
        </is>
      </c>
      <c r="E72" s="7" t="inlineStr">
        <is>
          <t>MD-MO-050070</t>
        </is>
      </c>
      <c r="F72" s="7" t="inlineStr">
        <is>
          <t>Ticket:OFF-00070; Tracking:1ZMD00000070; ReturnDue:2026-07-15</t>
        </is>
      </c>
      <c r="G72" s="7" t="n">
        <v>342.32</v>
      </c>
      <c r="H72" s="7" t="inlineStr">
        <is>
          <t>Escalate recovery on MD-00070; 1ZMD00000070 is not a return (EX-0068).</t>
        </is>
      </c>
      <c r="I72" s="7" t="inlineStr">
        <is>
          <t>IT Asset Specialist</t>
        </is>
      </c>
      <c r="J72" s="7" t="inlineStr">
        <is>
          <t>2026-08-14</t>
        </is>
      </c>
      <c r="K72" s="7" t="inlineStr">
        <is>
          <t>Open</t>
        </is>
      </c>
      <c r="L72" s="7" t="inlineStr">
        <is>
          <t>OFF-00070 return window elapsed. no acceptance, delivery, or receiving scan tied to serial MD-MO-050070. Carrier file 1ZMD00000070 shows Label Created only for MD-00070.</t>
        </is>
      </c>
      <c r="M72" s="12" t="inlineStr">
        <is>
          <t>Blocks certification</t>
        </is>
      </c>
    </row>
    <row r="73">
      <c r="A73" s="7" t="inlineStr">
        <is>
          <t>EX-0069</t>
        </is>
      </c>
      <c r="B73" s="7" t="inlineStr">
        <is>
          <t>Former Employee Assignment</t>
        </is>
      </c>
      <c r="C73" s="10" t="inlineStr">
        <is>
          <t>High</t>
        </is>
      </c>
      <c r="D73" s="7" t="inlineStr">
        <is>
          <t>MD-00070</t>
        </is>
      </c>
      <c r="E73" s="7" t="inlineStr">
        <is>
          <t>MD-MO-050070</t>
        </is>
      </c>
      <c r="F73" s="7" t="inlineStr">
        <is>
          <t>Employee:E0083; Ticket:OFF-00070</t>
        </is>
      </c>
      <c r="G73" s="7" t="n">
        <v>342.32</v>
      </c>
      <c r="H73" s="7" t="inlineStr">
        <is>
          <t>Remove E0083 as custodian on MD-00070; park under Regional IT or IT Stock (EX-0069).</t>
        </is>
      </c>
      <c r="I73" s="7" t="inlineStr">
        <is>
          <t>HR Operations Lead</t>
        </is>
      </c>
      <c r="J73" s="7" t="inlineStr">
        <is>
          <t>2026-08-16</t>
        </is>
      </c>
      <c r="K73" s="7" t="inlineStr">
        <is>
          <t>Open</t>
        </is>
      </c>
      <c r="L73" s="7" t="inlineStr">
        <is>
          <t>hr_employee_status shows E0083 as separated. EX-0069. offboarding ticket OFF-00070 closed without a custodian change on MD-00070. Register still assigns MD-00070 to E0083.</t>
        </is>
      </c>
      <c r="M73" s="7" t="inlineStr">
        <is>
          <t>Requires remediation</t>
        </is>
      </c>
    </row>
    <row r="74">
      <c r="A74" s="7" t="inlineStr">
        <is>
          <t>EX-0070</t>
        </is>
      </c>
      <c r="B74" s="7" t="inlineStr">
        <is>
          <t>Overdue Return</t>
        </is>
      </c>
      <c r="C74" s="8" t="inlineStr">
        <is>
          <t>Critical</t>
        </is>
      </c>
      <c r="D74" s="7" t="inlineStr">
        <is>
          <t>MD-00071</t>
        </is>
      </c>
      <c r="E74" s="7" t="inlineStr">
        <is>
          <t>MD-MO-050071</t>
        </is>
      </c>
      <c r="F74" s="7" t="inlineStr">
        <is>
          <t>Ticket:OFF-00071; Tracking:1ZMD00000071; ReturnDue:2026-07-15</t>
        </is>
      </c>
      <c r="G74" s="7" t="n">
        <v>787.96</v>
      </c>
      <c r="H74" s="7" t="inlineStr">
        <is>
          <t>Escalate recovery on MD-00071; 1ZMD00000071 is not a return (EX-0070).</t>
        </is>
      </c>
      <c r="I74" s="7" t="inlineStr">
        <is>
          <t>IT Asset Specialist</t>
        </is>
      </c>
      <c r="J74" s="7" t="inlineStr">
        <is>
          <t>2026-08-14</t>
        </is>
      </c>
      <c r="K74" s="7" t="inlineStr">
        <is>
          <t>Open</t>
        </is>
      </c>
      <c r="L74" s="7" t="inlineStr">
        <is>
          <t>OFF-00071 return window elapsed. no acceptance, delivery, or receiving scan tied to serial MD-MO-050071. Carrier file 1ZMD00000071 shows Label Created only for MD-00071.</t>
        </is>
      </c>
      <c r="M74" s="12" t="inlineStr">
        <is>
          <t>Blocks certification</t>
        </is>
      </c>
    </row>
    <row r="75">
      <c r="A75" s="7" t="inlineStr">
        <is>
          <t>EX-0071</t>
        </is>
      </c>
      <c r="B75" s="7" t="inlineStr">
        <is>
          <t>Former Employee Assignment</t>
        </is>
      </c>
      <c r="C75" s="10" t="inlineStr">
        <is>
          <t>High</t>
        </is>
      </c>
      <c r="D75" s="7" t="inlineStr">
        <is>
          <t>MD-00071</t>
        </is>
      </c>
      <c r="E75" s="7" t="inlineStr">
        <is>
          <t>MD-MO-050071</t>
        </is>
      </c>
      <c r="F75" s="7" t="inlineStr">
        <is>
          <t>Employee:E0084; Ticket:OFF-00071</t>
        </is>
      </c>
      <c r="G75" s="7" t="n">
        <v>787.96</v>
      </c>
      <c r="H75" s="7" t="inlineStr">
        <is>
          <t>Remove E0084 as custodian on MD-00071; park under Regional IT or IT Stock (EX-0071).</t>
        </is>
      </c>
      <c r="I75" s="7" t="inlineStr">
        <is>
          <t>HR Operations Lead</t>
        </is>
      </c>
      <c r="J75" s="7" t="inlineStr">
        <is>
          <t>2026-08-16</t>
        </is>
      </c>
      <c r="K75" s="7" t="inlineStr">
        <is>
          <t>Open</t>
        </is>
      </c>
      <c r="L75" s="7" t="inlineStr">
        <is>
          <t>hr_employee_status shows E0084 as separated. EX-0071. offboarding ticket OFF-00071 closed without a custodian change on MD-00071. Register still assigns MD-00071 to E0084.</t>
        </is>
      </c>
      <c r="M75" s="7" t="inlineStr">
        <is>
          <t>Requires remediation</t>
        </is>
      </c>
    </row>
    <row r="76">
      <c r="A76" s="7" t="inlineStr">
        <is>
          <t>EX-0072</t>
        </is>
      </c>
      <c r="B76" s="7" t="inlineStr">
        <is>
          <t>Overdue Return</t>
        </is>
      </c>
      <c r="C76" s="8" t="inlineStr">
        <is>
          <t>Critical</t>
        </is>
      </c>
      <c r="D76" s="7" t="inlineStr">
        <is>
          <t>MD-00072</t>
        </is>
      </c>
      <c r="E76" s="7" t="inlineStr">
        <is>
          <t>MD-NE-050072</t>
        </is>
      </c>
      <c r="F76" s="7" t="inlineStr">
        <is>
          <t>Ticket:OFF-00072; Tracking:1ZMD00000072; ReturnDue:2026-07-15</t>
        </is>
      </c>
      <c r="G76" s="7" t="n">
        <v>500.27</v>
      </c>
      <c r="H76" s="7" t="inlineStr">
        <is>
          <t>Escalate recovery on MD-00072; 1ZMD00000072 is not a return (EX-0072).</t>
        </is>
      </c>
      <c r="I76" s="7" t="inlineStr">
        <is>
          <t>IT Asset Specialist</t>
        </is>
      </c>
      <c r="J76" s="7" t="inlineStr">
        <is>
          <t>2026-08-14</t>
        </is>
      </c>
      <c r="K76" s="7" t="inlineStr">
        <is>
          <t>Open</t>
        </is>
      </c>
      <c r="L76" s="7" t="inlineStr">
        <is>
          <t>Carrier file 1ZMD00000072 shows Label Created only for MD-00072. OFF-00072 return window elapsed. no acceptance, delivery, or receiving scan tied to serial MD-NE-050072.</t>
        </is>
      </c>
      <c r="M76" s="12" t="inlineStr">
        <is>
          <t>Blocks certification</t>
        </is>
      </c>
    </row>
    <row r="77">
      <c r="A77" s="7" t="inlineStr">
        <is>
          <t>EX-0073</t>
        </is>
      </c>
      <c r="B77" s="7" t="inlineStr">
        <is>
          <t>Former Employee Assignment</t>
        </is>
      </c>
      <c r="C77" s="10" t="inlineStr">
        <is>
          <t>High</t>
        </is>
      </c>
      <c r="D77" s="7" t="inlineStr">
        <is>
          <t>MD-00072</t>
        </is>
      </c>
      <c r="E77" s="7" t="inlineStr">
        <is>
          <t>MD-NE-050072</t>
        </is>
      </c>
      <c r="F77" s="7" t="inlineStr">
        <is>
          <t>Employee:E0085; Ticket:OFF-00072</t>
        </is>
      </c>
      <c r="G77" s="7" t="n">
        <v>500.27</v>
      </c>
      <c r="H77" s="7" t="inlineStr">
        <is>
          <t>Remove E0085 as custodian on MD-00072; park under Regional IT or IT Stock (EX-0073).</t>
        </is>
      </c>
      <c r="I77" s="7" t="inlineStr">
        <is>
          <t>HR Operations Lead</t>
        </is>
      </c>
      <c r="J77" s="7" t="inlineStr">
        <is>
          <t>2026-08-16</t>
        </is>
      </c>
      <c r="K77" s="7" t="inlineStr">
        <is>
          <t>Open</t>
        </is>
      </c>
      <c r="L77" s="7" t="inlineStr">
        <is>
          <t>EX-0073. Register still assigns MD-00072 to E0085. hr_employee_status shows E0085 as separated. offboarding ticket OFF-00072 closed without a custodian change on MD-00072.</t>
        </is>
      </c>
      <c r="M77" s="7" t="inlineStr">
        <is>
          <t>Requires remediation</t>
        </is>
      </c>
    </row>
    <row r="78">
      <c r="A78" s="7" t="inlineStr">
        <is>
          <t>EX-0074</t>
        </is>
      </c>
      <c r="B78" s="7" t="inlineStr">
        <is>
          <t>Overdue Return</t>
        </is>
      </c>
      <c r="C78" s="8" t="inlineStr">
        <is>
          <t>Critical</t>
        </is>
      </c>
      <c r="D78" s="7" t="inlineStr">
        <is>
          <t>MD-00073</t>
        </is>
      </c>
      <c r="E78" s="7" t="inlineStr">
        <is>
          <t>MD-LA-050073</t>
        </is>
      </c>
      <c r="F78" s="7" t="inlineStr">
        <is>
          <t>Ticket:OFF-00073; Tracking:1ZMD00000073; ReturnDue:2026-07-15</t>
        </is>
      </c>
      <c r="G78" s="7" t="n">
        <v>0</v>
      </c>
      <c r="H78" s="7" t="inlineStr">
        <is>
          <t>Escalate recovery on MD-00073; 1ZMD00000073 is not a return (EX-0074).</t>
        </is>
      </c>
      <c r="I78" s="7" t="inlineStr">
        <is>
          <t>IT Asset Specialist</t>
        </is>
      </c>
      <c r="J78" s="7" t="inlineStr">
        <is>
          <t>2026-08-14</t>
        </is>
      </c>
      <c r="K78" s="7" t="inlineStr">
        <is>
          <t>Open</t>
        </is>
      </c>
      <c r="L78" s="7" t="inlineStr">
        <is>
          <t>no acceptance, delivery, or receiving scan tied to serial MD-LA-050073. Carrier file 1ZMD00000073 shows Label Created only for MD-00073. OFF-00073 return window elapsed.</t>
        </is>
      </c>
      <c r="M78" s="12" t="inlineStr">
        <is>
          <t>Blocks certification</t>
        </is>
      </c>
    </row>
    <row r="79">
      <c r="A79" s="7" t="inlineStr">
        <is>
          <t>EX-0075</t>
        </is>
      </c>
      <c r="B79" s="7" t="inlineStr">
        <is>
          <t>Former Employee Assignment</t>
        </is>
      </c>
      <c r="C79" s="10" t="inlineStr">
        <is>
          <t>High</t>
        </is>
      </c>
      <c r="D79" s="7" t="inlineStr">
        <is>
          <t>MD-00073</t>
        </is>
      </c>
      <c r="E79" s="7" t="inlineStr">
        <is>
          <t>MD-LA-050073</t>
        </is>
      </c>
      <c r="F79" s="7" t="inlineStr">
        <is>
          <t>Employee:E0086; Ticket:OFF-00073</t>
        </is>
      </c>
      <c r="G79" s="7" t="n">
        <v>0</v>
      </c>
      <c r="H79" s="7" t="inlineStr">
        <is>
          <t>Remove E0086 as custodian on MD-00073; park under Regional IT or IT Stock (EX-0075).</t>
        </is>
      </c>
      <c r="I79" s="7" t="inlineStr">
        <is>
          <t>HR Operations Lead</t>
        </is>
      </c>
      <c r="J79" s="7" t="inlineStr">
        <is>
          <t>2026-08-16</t>
        </is>
      </c>
      <c r="K79" s="7" t="inlineStr">
        <is>
          <t>Open</t>
        </is>
      </c>
      <c r="L79" s="7" t="inlineStr">
        <is>
          <t>Register still assigns MD-00073 to E0086. hr_employee_status shows E0086 as separated. offboarding ticket OFF-00073 closed without a custodian change on MD-00073. EX-0075.</t>
        </is>
      </c>
      <c r="M79" s="7" t="inlineStr">
        <is>
          <t>Requires remediation</t>
        </is>
      </c>
    </row>
    <row r="80">
      <c r="A80" s="7" t="inlineStr">
        <is>
          <t>EX-0076</t>
        </is>
      </c>
      <c r="B80" s="7" t="inlineStr">
        <is>
          <t>Shipment Mismatch</t>
        </is>
      </c>
      <c r="C80" s="8" t="inlineStr">
        <is>
          <t>Critical</t>
        </is>
      </c>
      <c r="D80" s="7" t="inlineStr">
        <is>
          <t>MD-00074</t>
        </is>
      </c>
      <c r="E80" s="7" t="inlineStr">
        <is>
          <t>MD-MO-050074</t>
        </is>
      </c>
      <c r="F80" s="7" t="inlineStr">
        <is>
          <t>Ticket:OFF-00074; Tracking:1ZMD00000074; ShipmentSerial:MISMATCH-0074</t>
        </is>
      </c>
      <c r="G80" s="7" t="n">
        <v>359.25</v>
      </c>
      <c r="H80" s="7" t="inlineStr">
        <is>
          <t>Critical certification blocker — Resolve serial conflict on 1ZMD00000074 for MD-00074 (MISMATCH-0074 vs MD-MO-050074) (EX-0076).</t>
        </is>
      </c>
      <c r="I80" s="7" t="inlineStr">
        <is>
          <t>IT Operations Manager</t>
        </is>
      </c>
      <c r="J80" s="7" t="inlineStr">
        <is>
          <t>2026-08-13</t>
        </is>
      </c>
      <c r="K80" s="7" t="inlineStr">
        <is>
          <t>Open</t>
        </is>
      </c>
      <c r="L80" s="7" t="inlineStr">
        <is>
          <t>Critical certification blocker — unresolved shipment serial mismatch on MD-00074. Inbound serial MISMATCH-0074 on 1ZMD00000074 disagrees with register MD-MO-050074. MD-00074 remains In Transit - Exception until serials align.</t>
        </is>
      </c>
      <c r="M80" s="12" t="inlineStr">
        <is>
          <t>Blocks certification</t>
        </is>
      </c>
    </row>
    <row r="81">
      <c r="A81" s="7" t="inlineStr">
        <is>
          <t>EX-0077</t>
        </is>
      </c>
      <c r="B81" s="7" t="inlineStr">
        <is>
          <t>Former Employee Assignment</t>
        </is>
      </c>
      <c r="C81" s="10" t="inlineStr">
        <is>
          <t>High</t>
        </is>
      </c>
      <c r="D81" s="7" t="inlineStr">
        <is>
          <t>MD-00074</t>
        </is>
      </c>
      <c r="E81" s="7" t="inlineStr">
        <is>
          <t>MD-MO-050074</t>
        </is>
      </c>
      <c r="F81" s="7" t="inlineStr">
        <is>
          <t>Employee:E0087; Ticket:OFF-00074</t>
        </is>
      </c>
      <c r="G81" s="7" t="n">
        <v>359.25</v>
      </c>
      <c r="H81" s="7" t="inlineStr">
        <is>
          <t>Remove E0087 as custodian on MD-00074; park under Regional IT or IT Stock (EX-0077).</t>
        </is>
      </c>
      <c r="I81" s="7" t="inlineStr">
        <is>
          <t>HR Operations Lead</t>
        </is>
      </c>
      <c r="J81" s="7" t="inlineStr">
        <is>
          <t>2026-08-16</t>
        </is>
      </c>
      <c r="K81" s="7" t="inlineStr">
        <is>
          <t>Open</t>
        </is>
      </c>
      <c r="L81" s="7" t="inlineStr">
        <is>
          <t>Register still assigns MD-00074 to E0087. offboarding ticket OFF-00074 closed without a custodian change on MD-00074. EX-0077. hr_employee_status shows E0087 as separated.</t>
        </is>
      </c>
      <c r="M81" s="7" t="inlineStr">
        <is>
          <t>Requires remediation</t>
        </is>
      </c>
    </row>
    <row r="82">
      <c r="A82" s="7" t="inlineStr">
        <is>
          <t>EX-0078</t>
        </is>
      </c>
      <c r="B82" s="7" t="inlineStr">
        <is>
          <t>Overdue Return</t>
        </is>
      </c>
      <c r="C82" s="8" t="inlineStr">
        <is>
          <t>Critical</t>
        </is>
      </c>
      <c r="D82" s="7" t="inlineStr">
        <is>
          <t>MD-00074</t>
        </is>
      </c>
      <c r="E82" s="7" t="inlineStr">
        <is>
          <t>MD-MO-050074</t>
        </is>
      </c>
      <c r="F82" s="7" t="inlineStr">
        <is>
          <t>Ticket:OFF-00074; Tracking:1ZMD00000074; ReturnDue:2026-07-15</t>
        </is>
      </c>
      <c r="G82" s="7" t="n">
        <v>359.25</v>
      </c>
      <c r="H82" s="7" t="inlineStr">
        <is>
          <t>Escalate recovery on MD-00074; 1ZMD00000074 is not a return (EX-0078).</t>
        </is>
      </c>
      <c r="I82" s="7" t="inlineStr">
        <is>
          <t>IT Asset Specialist</t>
        </is>
      </c>
      <c r="J82" s="7" t="inlineStr">
        <is>
          <t>2026-08-14</t>
        </is>
      </c>
      <c r="K82" s="7" t="inlineStr">
        <is>
          <t>Open</t>
        </is>
      </c>
      <c r="L82" s="7" t="inlineStr">
        <is>
          <t>Carrier file 1ZMD00000074 shows Label Created only for MD-00074. no acceptance, delivery, or receiving scan tied to serial MD-MO-050074. OFF-00074 return window elapsed.</t>
        </is>
      </c>
      <c r="M82" s="12" t="inlineStr">
        <is>
          <t>Blocks certification</t>
        </is>
      </c>
    </row>
    <row r="83">
      <c r="A83" s="7" t="inlineStr">
        <is>
          <t>EX-0079</t>
        </is>
      </c>
      <c r="B83" s="7" t="inlineStr">
        <is>
          <t>Overdue Return</t>
        </is>
      </c>
      <c r="C83" s="8" t="inlineStr">
        <is>
          <t>Critical</t>
        </is>
      </c>
      <c r="D83" s="7" t="inlineStr">
        <is>
          <t>MD-00075</t>
        </is>
      </c>
      <c r="E83" s="7" t="inlineStr">
        <is>
          <t>MD-MO-050075</t>
        </is>
      </c>
      <c r="F83" s="7" t="inlineStr">
        <is>
          <t>Ticket:OFF-00075; Tracking:1ZMD00000075; ReturnDue:2026-07-15</t>
        </is>
      </c>
      <c r="G83" s="7" t="n">
        <v>647.42</v>
      </c>
      <c r="H83" s="7" t="inlineStr">
        <is>
          <t>Escalate recovery on MD-00075; 1ZMD00000075 is not a return (EX-0079).</t>
        </is>
      </c>
      <c r="I83" s="7" t="inlineStr">
        <is>
          <t>IT Asset Specialist</t>
        </is>
      </c>
      <c r="J83" s="7" t="inlineStr">
        <is>
          <t>2026-08-14</t>
        </is>
      </c>
      <c r="K83" s="7" t="inlineStr">
        <is>
          <t>Open</t>
        </is>
      </c>
      <c r="L83" s="7" t="inlineStr">
        <is>
          <t>OFF-00075 return window elapsed. Carrier file 1ZMD00000075 shows Label Created only for MD-00075. no acceptance, delivery, or receiving scan tied to serial MD-MO-050075.</t>
        </is>
      </c>
      <c r="M83" s="12" t="inlineStr">
        <is>
          <t>Blocks certification</t>
        </is>
      </c>
    </row>
    <row r="84">
      <c r="A84" s="7" t="inlineStr">
        <is>
          <t>EX-0080</t>
        </is>
      </c>
      <c r="B84" s="7" t="inlineStr">
        <is>
          <t>Former Employee Assignment</t>
        </is>
      </c>
      <c r="C84" s="10" t="inlineStr">
        <is>
          <t>High</t>
        </is>
      </c>
      <c r="D84" s="7" t="inlineStr">
        <is>
          <t>MD-00075</t>
        </is>
      </c>
      <c r="E84" s="7" t="inlineStr">
        <is>
          <t>MD-MO-050075</t>
        </is>
      </c>
      <c r="F84" s="7" t="inlineStr">
        <is>
          <t>Employee:E0088; Ticket:OFF-00075</t>
        </is>
      </c>
      <c r="G84" s="7" t="n">
        <v>647.42</v>
      </c>
      <c r="H84" s="7" t="inlineStr">
        <is>
          <t>Remove E0088 as custodian on MD-00075; park under Regional IT or IT Stock (EX-0080).</t>
        </is>
      </c>
      <c r="I84" s="7" t="inlineStr">
        <is>
          <t>HR Operations Lead</t>
        </is>
      </c>
      <c r="J84" s="7" t="inlineStr">
        <is>
          <t>2026-08-16</t>
        </is>
      </c>
      <c r="K84" s="7" t="inlineStr">
        <is>
          <t>Open</t>
        </is>
      </c>
      <c r="L84" s="7" t="inlineStr">
        <is>
          <t>Register still assigns MD-00075 to E0088. offboarding ticket OFF-00075 closed without a custodian change on MD-00075. EX-0080. hr_employee_status shows E0088 as separated.</t>
        </is>
      </c>
      <c r="M84" s="7" t="inlineStr">
        <is>
          <t>Requires remediation</t>
        </is>
      </c>
    </row>
    <row r="85">
      <c r="A85" s="7" t="inlineStr">
        <is>
          <t>EX-0081</t>
        </is>
      </c>
      <c r="B85" s="7" t="inlineStr">
        <is>
          <t>Shipment Mismatch</t>
        </is>
      </c>
      <c r="C85" s="8" t="inlineStr">
        <is>
          <t>Critical</t>
        </is>
      </c>
      <c r="D85" s="7" t="inlineStr">
        <is>
          <t>MD-00076</t>
        </is>
      </c>
      <c r="E85" s="7" t="inlineStr">
        <is>
          <t>MD-NE-050076</t>
        </is>
      </c>
      <c r="F85" s="7" t="inlineStr">
        <is>
          <t>Ticket:OFF-00076; Tracking:1ZMD00000076; ShipmentSerial:MISMATCH-0076</t>
        </is>
      </c>
      <c r="G85" s="7" t="n">
        <v>953.89</v>
      </c>
      <c r="H85" s="7" t="inlineStr">
        <is>
          <t>Critical certification blocker — Resolve serial conflict on 1ZMD00000076 for MD-00076 (MISMATCH-0076 vs MD-NE-050076) (EX-0081).</t>
        </is>
      </c>
      <c r="I85" s="7" t="inlineStr">
        <is>
          <t>IT Operations Manager</t>
        </is>
      </c>
      <c r="J85" s="7" t="inlineStr">
        <is>
          <t>2026-08-13</t>
        </is>
      </c>
      <c r="K85" s="7" t="inlineStr">
        <is>
          <t>Open</t>
        </is>
      </c>
      <c r="L85" s="7" t="inlineStr">
        <is>
          <t>Critical certification blocker — unresolved shipment serial mismatch on MD-00076. MD-00076 remains In Transit - Exception until serials align. Inbound serial MISMATCH-0076 on 1ZMD00000076 disagrees with register MD-NE-050076.</t>
        </is>
      </c>
      <c r="M85" s="12" t="inlineStr">
        <is>
          <t>Blocks certification</t>
        </is>
      </c>
    </row>
    <row r="86">
      <c r="A86" s="7" t="inlineStr">
        <is>
          <t>EX-0082</t>
        </is>
      </c>
      <c r="B86" s="7" t="inlineStr">
        <is>
          <t>Former Employee Assignment</t>
        </is>
      </c>
      <c r="C86" s="10" t="inlineStr">
        <is>
          <t>High</t>
        </is>
      </c>
      <c r="D86" s="7" t="inlineStr">
        <is>
          <t>MD-00076</t>
        </is>
      </c>
      <c r="E86" s="7" t="inlineStr">
        <is>
          <t>MD-NE-050076</t>
        </is>
      </c>
      <c r="F86" s="7" t="inlineStr">
        <is>
          <t>Employee:E0089; Ticket:OFF-00076</t>
        </is>
      </c>
      <c r="G86" s="7" t="n">
        <v>953.89</v>
      </c>
      <c r="H86" s="7" t="inlineStr">
        <is>
          <t>Remove E0089 as custodian on MD-00076; park under Regional IT or IT Stock (EX-0082).</t>
        </is>
      </c>
      <c r="I86" s="7" t="inlineStr">
        <is>
          <t>HR Operations Lead</t>
        </is>
      </c>
      <c r="J86" s="7" t="inlineStr">
        <is>
          <t>2026-08-16</t>
        </is>
      </c>
      <c r="K86" s="7" t="inlineStr">
        <is>
          <t>Open</t>
        </is>
      </c>
      <c r="L86" s="7" t="inlineStr">
        <is>
          <t>offboarding ticket OFF-00076 closed without a custodian change on MD-00076. hr_employee_status shows E0089 as separated. Register still assigns MD-00076 to E0089. EX-0082.</t>
        </is>
      </c>
      <c r="M86" s="7" t="inlineStr">
        <is>
          <t>Requires remediation</t>
        </is>
      </c>
    </row>
    <row r="87">
      <c r="A87" s="7" t="inlineStr">
        <is>
          <t>EX-0083</t>
        </is>
      </c>
      <c r="B87" s="7" t="inlineStr">
        <is>
          <t>Overdue Return</t>
        </is>
      </c>
      <c r="C87" s="8" t="inlineStr">
        <is>
          <t>Critical</t>
        </is>
      </c>
      <c r="D87" s="7" t="inlineStr">
        <is>
          <t>MD-00076</t>
        </is>
      </c>
      <c r="E87" s="7" t="inlineStr">
        <is>
          <t>MD-NE-050076</t>
        </is>
      </c>
      <c r="F87" s="7" t="inlineStr">
        <is>
          <t>Ticket:OFF-00076; Tracking:1ZMD00000076; ReturnDue:2026-07-15</t>
        </is>
      </c>
      <c r="G87" s="7" t="n">
        <v>953.89</v>
      </c>
      <c r="H87" s="7" t="inlineStr">
        <is>
          <t>Escalate recovery on MD-00076; 1ZMD00000076 is not a return (EX-0083).</t>
        </is>
      </c>
      <c r="I87" s="7" t="inlineStr">
        <is>
          <t>IT Asset Specialist</t>
        </is>
      </c>
      <c r="J87" s="7" t="inlineStr">
        <is>
          <t>2026-08-14</t>
        </is>
      </c>
      <c r="K87" s="7" t="inlineStr">
        <is>
          <t>Open</t>
        </is>
      </c>
      <c r="L87" s="7" t="inlineStr">
        <is>
          <t>no acceptance, delivery, or receiving scan tied to serial MD-NE-050076. Carrier file 1ZMD00000076 shows Label Created only for MD-00076. OFF-00076 return window elapsed.</t>
        </is>
      </c>
      <c r="M87" s="12" t="inlineStr">
        <is>
          <t>Blocks certification</t>
        </is>
      </c>
    </row>
    <row r="88">
      <c r="A88" s="7" t="inlineStr">
        <is>
          <t>EX-0084</t>
        </is>
      </c>
      <c r="B88" s="7" t="inlineStr">
        <is>
          <t>Overdue Return</t>
        </is>
      </c>
      <c r="C88" s="8" t="inlineStr">
        <is>
          <t>Critical</t>
        </is>
      </c>
      <c r="D88" s="7" t="inlineStr">
        <is>
          <t>MD-00077</t>
        </is>
      </c>
      <c r="E88" s="7" t="inlineStr">
        <is>
          <t>MD-LA-050077</t>
        </is>
      </c>
      <c r="F88" s="7" t="inlineStr">
        <is>
          <t>Ticket:OFF-00077; Tracking:1ZMD00000077; ReturnDue:2026-07-15</t>
        </is>
      </c>
      <c r="G88" s="7" t="n">
        <v>0</v>
      </c>
      <c r="H88" s="7" t="inlineStr">
        <is>
          <t>Escalate recovery on MD-00077; 1ZMD00000077 is not a return (EX-0084).</t>
        </is>
      </c>
      <c r="I88" s="7" t="inlineStr">
        <is>
          <t>IT Asset Specialist</t>
        </is>
      </c>
      <c r="J88" s="7" t="inlineStr">
        <is>
          <t>2026-08-14</t>
        </is>
      </c>
      <c r="K88" s="7" t="inlineStr">
        <is>
          <t>Open</t>
        </is>
      </c>
      <c r="L88" s="7" t="inlineStr">
        <is>
          <t>Carrier file 1ZMD00000077 shows Label Created only for MD-00077. OFF-00077 return window elapsed. no acceptance, delivery, or receiving scan tied to serial MD-LA-050077.</t>
        </is>
      </c>
      <c r="M88" s="12" t="inlineStr">
        <is>
          <t>Blocks certification</t>
        </is>
      </c>
    </row>
    <row r="89">
      <c r="A89" s="7" t="inlineStr">
        <is>
          <t>EX-0085</t>
        </is>
      </c>
      <c r="B89" s="7" t="inlineStr">
        <is>
          <t>Former Employee Assignment</t>
        </is>
      </c>
      <c r="C89" s="10" t="inlineStr">
        <is>
          <t>High</t>
        </is>
      </c>
      <c r="D89" s="7" t="inlineStr">
        <is>
          <t>MD-00077</t>
        </is>
      </c>
      <c r="E89" s="7" t="inlineStr">
        <is>
          <t>MD-LA-050077</t>
        </is>
      </c>
      <c r="F89" s="7" t="inlineStr">
        <is>
          <t>Employee:E0090; Ticket:OFF-00077</t>
        </is>
      </c>
      <c r="G89" s="7" t="n">
        <v>0</v>
      </c>
      <c r="H89" s="7" t="inlineStr">
        <is>
          <t>Remove E0090 as custodian on MD-00077; park under Regional IT or IT Stock (EX-0085).</t>
        </is>
      </c>
      <c r="I89" s="7" t="inlineStr">
        <is>
          <t>HR Operations Lead</t>
        </is>
      </c>
      <c r="J89" s="7" t="inlineStr">
        <is>
          <t>2026-08-16</t>
        </is>
      </c>
      <c r="K89" s="7" t="inlineStr">
        <is>
          <t>Open</t>
        </is>
      </c>
      <c r="L89" s="7" t="inlineStr">
        <is>
          <t>offboarding ticket OFF-00077 closed without a custodian change on MD-00077. EX-0085. hr_employee_status shows E0090 as separated. Register still assigns MD-00077 to E0090.</t>
        </is>
      </c>
      <c r="M89" s="7" t="inlineStr">
        <is>
          <t>Requires remediation</t>
        </is>
      </c>
    </row>
    <row r="90">
      <c r="A90" s="7" t="inlineStr">
        <is>
          <t>EX-0086</t>
        </is>
      </c>
      <c r="B90" s="7" t="inlineStr">
        <is>
          <t>Overdue Return</t>
        </is>
      </c>
      <c r="C90" s="8" t="inlineStr">
        <is>
          <t>Critical</t>
        </is>
      </c>
      <c r="D90" s="7" t="inlineStr">
        <is>
          <t>MD-00078</t>
        </is>
      </c>
      <c r="E90" s="7" t="inlineStr">
        <is>
          <t>MD-MO-050078</t>
        </is>
      </c>
      <c r="F90" s="7" t="inlineStr">
        <is>
          <t>Ticket:OFF-00078; Tracking:1ZMD00000078; ReturnDue:2026-07-15</t>
        </is>
      </c>
      <c r="G90" s="7" t="n">
        <v>328.95</v>
      </c>
      <c r="H90" s="7" t="inlineStr">
        <is>
          <t>Escalate recovery on MD-00078; 1ZMD00000078 is not a return (EX-0086).</t>
        </is>
      </c>
      <c r="I90" s="7" t="inlineStr">
        <is>
          <t>IT Asset Specialist</t>
        </is>
      </c>
      <c r="J90" s="7" t="inlineStr">
        <is>
          <t>2026-08-14</t>
        </is>
      </c>
      <c r="K90" s="7" t="inlineStr">
        <is>
          <t>Open</t>
        </is>
      </c>
      <c r="L90" s="7" t="inlineStr">
        <is>
          <t>OFF-00078 return window elapsed. Carrier file 1ZMD00000078 shows Label Created only for MD-00078. no acceptance, delivery, or receiving scan tied to serial MD-MO-050078.</t>
        </is>
      </c>
      <c r="M90" s="12" t="inlineStr">
        <is>
          <t>Blocks certification</t>
        </is>
      </c>
    </row>
    <row r="91">
      <c r="A91" s="7" t="inlineStr">
        <is>
          <t>EX-0087</t>
        </is>
      </c>
      <c r="B91" s="7" t="inlineStr">
        <is>
          <t>Former Employee Assignment</t>
        </is>
      </c>
      <c r="C91" s="10" t="inlineStr">
        <is>
          <t>High</t>
        </is>
      </c>
      <c r="D91" s="7" t="inlineStr">
        <is>
          <t>MD-00078</t>
        </is>
      </c>
      <c r="E91" s="7" t="inlineStr">
        <is>
          <t>MD-MO-050078</t>
        </is>
      </c>
      <c r="F91" s="7" t="inlineStr">
        <is>
          <t>Employee:E0091; Ticket:OFF-00078</t>
        </is>
      </c>
      <c r="G91" s="7" t="n">
        <v>328.95</v>
      </c>
      <c r="H91" s="7" t="inlineStr">
        <is>
          <t>Remove E0091 as custodian on MD-00078; park under Regional IT or IT Stock (EX-0087).</t>
        </is>
      </c>
      <c r="I91" s="7" t="inlineStr">
        <is>
          <t>HR Operations Lead</t>
        </is>
      </c>
      <c r="J91" s="7" t="inlineStr">
        <is>
          <t>2026-08-16</t>
        </is>
      </c>
      <c r="K91" s="7" t="inlineStr">
        <is>
          <t>Open</t>
        </is>
      </c>
      <c r="L91" s="7" t="inlineStr">
        <is>
          <t>hr_employee_status shows E0091 as separated. EX-0087. Register still assigns MD-00078 to E0091. offboarding ticket OFF-00078 closed without a custodian change on MD-00078.</t>
        </is>
      </c>
      <c r="M91" s="7" t="inlineStr">
        <is>
          <t>Requires remediation</t>
        </is>
      </c>
    </row>
    <row r="92">
      <c r="A92" s="7" t="inlineStr">
        <is>
          <t>EX-0088</t>
        </is>
      </c>
      <c r="B92" s="7" t="inlineStr">
        <is>
          <t>Overdue Return</t>
        </is>
      </c>
      <c r="C92" s="8" t="inlineStr">
        <is>
          <t>Critical</t>
        </is>
      </c>
      <c r="D92" s="7" t="inlineStr">
        <is>
          <t>MD-00079</t>
        </is>
      </c>
      <c r="E92" s="7" t="inlineStr">
        <is>
          <t>MD-MO-050079</t>
        </is>
      </c>
      <c r="F92" s="7" t="inlineStr">
        <is>
          <t>Ticket:OFF-00079; Tracking:1ZMD00000079; ReturnDue:2026-07-15</t>
        </is>
      </c>
      <c r="G92" s="7" t="n">
        <v>692.62</v>
      </c>
      <c r="H92" s="7" t="inlineStr">
        <is>
          <t>Escalate recovery on MD-00079; 1ZMD00000079 is not a return (EX-0088).</t>
        </is>
      </c>
      <c r="I92" s="7" t="inlineStr">
        <is>
          <t>IT Asset Specialist</t>
        </is>
      </c>
      <c r="J92" s="7" t="inlineStr">
        <is>
          <t>2026-08-14</t>
        </is>
      </c>
      <c r="K92" s="7" t="inlineStr">
        <is>
          <t>Open</t>
        </is>
      </c>
      <c r="L92" s="7" t="inlineStr">
        <is>
          <t>no acceptance, delivery, or receiving scan tied to serial MD-MO-050079. Carrier file 1ZMD00000079 shows Label Created only for MD-00079. OFF-00079 return window elapsed.</t>
        </is>
      </c>
      <c r="M92" s="12" t="inlineStr">
        <is>
          <t>Blocks certification</t>
        </is>
      </c>
    </row>
    <row r="93">
      <c r="A93" s="7" t="inlineStr">
        <is>
          <t>EX-0089</t>
        </is>
      </c>
      <c r="B93" s="7" t="inlineStr">
        <is>
          <t>Former Employee Assignment</t>
        </is>
      </c>
      <c r="C93" s="10" t="inlineStr">
        <is>
          <t>High</t>
        </is>
      </c>
      <c r="D93" s="7" t="inlineStr">
        <is>
          <t>MD-00079</t>
        </is>
      </c>
      <c r="E93" s="7" t="inlineStr">
        <is>
          <t>MD-MO-050079</t>
        </is>
      </c>
      <c r="F93" s="7" t="inlineStr">
        <is>
          <t>Employee:E0092; Ticket:OFF-00079</t>
        </is>
      </c>
      <c r="G93" s="7" t="n">
        <v>692.62</v>
      </c>
      <c r="H93" s="7" t="inlineStr">
        <is>
          <t>Remove E0092 as custodian on MD-00079; park under Regional IT or IT Stock (EX-0089).</t>
        </is>
      </c>
      <c r="I93" s="7" t="inlineStr">
        <is>
          <t>HR Operations Lead</t>
        </is>
      </c>
      <c r="J93" s="7" t="inlineStr">
        <is>
          <t>2026-08-16</t>
        </is>
      </c>
      <c r="K93" s="7" t="inlineStr">
        <is>
          <t>Open</t>
        </is>
      </c>
      <c r="L93" s="7" t="inlineStr">
        <is>
          <t>Register still assigns MD-00079 to E0092. offboarding ticket OFF-00079 closed without a custodian change on MD-00079. hr_employee_status shows E0092 as separated. EX-0089.</t>
        </is>
      </c>
      <c r="M93" s="7" t="inlineStr">
        <is>
          <t>Requires remediation</t>
        </is>
      </c>
    </row>
    <row r="94">
      <c r="A94" s="7" t="inlineStr">
        <is>
          <t>EX-0090</t>
        </is>
      </c>
      <c r="B94" s="7" t="inlineStr">
        <is>
          <t>Former Employee Assignment</t>
        </is>
      </c>
      <c r="C94" s="10" t="inlineStr">
        <is>
          <t>High</t>
        </is>
      </c>
      <c r="D94" s="7" t="inlineStr">
        <is>
          <t>MD-00080</t>
        </is>
      </c>
      <c r="E94" s="7" t="inlineStr">
        <is>
          <t>MD-NE-050080</t>
        </is>
      </c>
      <c r="F94" s="7" t="inlineStr">
        <is>
          <t>Employee:E0093; Ticket:OFF-00080; Tracking:1ZMD00000080</t>
        </is>
      </c>
      <c r="G94" s="7" t="n">
        <v>1374.53</v>
      </c>
      <c r="H94" s="7" t="inlineStr">
        <is>
          <t>Remove E0093 as custodian on MD-00080; park under Regional IT or IT Stock (EX-0090).</t>
        </is>
      </c>
      <c r="I94" s="7" t="inlineStr">
        <is>
          <t>HR Operations Lead</t>
        </is>
      </c>
      <c r="J94" s="7" t="inlineStr">
        <is>
          <t>2026-08-16</t>
        </is>
      </c>
      <c r="K94" s="7" t="inlineStr">
        <is>
          <t>Open</t>
        </is>
      </c>
      <c r="L94" s="7" t="inlineStr">
        <is>
          <t>hr_employee_status shows E0093 as separated. EX-0090. offboarding ticket OFF-00080 closed without a custodian change on MD-00080. Register still assigns MD-00080 to E0093.</t>
        </is>
      </c>
      <c r="M94" s="7" t="inlineStr">
        <is>
          <t>Requires remediation</t>
        </is>
      </c>
    </row>
    <row r="95">
      <c r="A95" s="7" t="inlineStr">
        <is>
          <t>EX-0091</t>
        </is>
      </c>
      <c r="B95" s="7" t="inlineStr">
        <is>
          <t>Former Employee Assignment</t>
        </is>
      </c>
      <c r="C95" s="10" t="inlineStr">
        <is>
          <t>High</t>
        </is>
      </c>
      <c r="D95" s="7" t="inlineStr">
        <is>
          <t>MD-00081</t>
        </is>
      </c>
      <c r="E95" s="7" t="inlineStr">
        <is>
          <t>MD-LA-050081</t>
        </is>
      </c>
      <c r="F95" s="7" t="inlineStr">
        <is>
          <t>Employee:E0094; Ticket:OFF-00081; Tracking:1ZMD00000081</t>
        </is>
      </c>
      <c r="G95" s="7" t="n">
        <v>114.4</v>
      </c>
      <c r="H95" s="7" t="inlineStr">
        <is>
          <t>Remove E0094 as custodian on MD-00081; park under Regional IT or IT Stock (EX-0091).</t>
        </is>
      </c>
      <c r="I95" s="7" t="inlineStr">
        <is>
          <t>HR Operations Lead</t>
        </is>
      </c>
      <c r="J95" s="7" t="inlineStr">
        <is>
          <t>2026-08-16</t>
        </is>
      </c>
      <c r="K95" s="7" t="inlineStr">
        <is>
          <t>Open</t>
        </is>
      </c>
      <c r="L95" s="7" t="inlineStr">
        <is>
          <t>EX-0091. Register still assigns MD-00081 to E0094. hr_employee_status shows E0094 as separated. offboarding ticket OFF-00081 closed without a custodian change on MD-00081.</t>
        </is>
      </c>
      <c r="M95" s="7" t="inlineStr">
        <is>
          <t>Requires remediation</t>
        </is>
      </c>
    </row>
    <row r="96">
      <c r="A96" s="7" t="inlineStr">
        <is>
          <t>EX-0092</t>
        </is>
      </c>
      <c r="B96" s="7" t="inlineStr">
        <is>
          <t>Shipment Mismatch</t>
        </is>
      </c>
      <c r="C96" s="8" t="inlineStr">
        <is>
          <t>Critical</t>
        </is>
      </c>
      <c r="D96" s="7" t="inlineStr">
        <is>
          <t>MD-00082</t>
        </is>
      </c>
      <c r="E96" s="7" t="inlineStr">
        <is>
          <t>MD-MO-050082</t>
        </is>
      </c>
      <c r="F96" s="7" t="inlineStr">
        <is>
          <t>Ticket:OFF-00082; Tracking:1ZMD00000082; ShipmentSerial:MISMATCH-0082; Image:receiving_exception_scan_1ZMD00000082.png</t>
        </is>
      </c>
      <c r="G96" s="7" t="n">
        <v>485.55</v>
      </c>
      <c r="H96" s="7" t="inlineStr">
        <is>
          <t>Critical certification blocker — Hold MD-00082; resolve MISMATCH-0082 vs MD-MO-050082 before clearing custody.</t>
        </is>
      </c>
      <c r="I96" s="7" t="inlineStr">
        <is>
          <t>IT Operations Manager</t>
        </is>
      </c>
      <c r="J96" s="7" t="inlineStr">
        <is>
          <t>2026-08-13</t>
        </is>
      </c>
      <c r="K96" s="7" t="inlineStr">
        <is>
          <t>Open</t>
        </is>
      </c>
      <c r="L96" s="7" t="inlineStr">
        <is>
          <t>Critical certification blocker — unresolved shipment serial mismatch on MD-00082. Dock photo receiving_exception_scan_1ZMD00000082.png is a HOLD lead for MD-00082; MISMATCH-0082 on inbound 1ZMD00000082 does not match register serial MD-MO-050082.</t>
        </is>
      </c>
      <c r="M96" s="12" t="inlineStr">
        <is>
          <t>Blocks certification</t>
        </is>
      </c>
    </row>
    <row r="97">
      <c r="A97" s="7" t="inlineStr">
        <is>
          <t>EX-0093</t>
        </is>
      </c>
      <c r="B97" s="7" t="inlineStr">
        <is>
          <t>Former Employee Assignment</t>
        </is>
      </c>
      <c r="C97" s="10" t="inlineStr">
        <is>
          <t>High</t>
        </is>
      </c>
      <c r="D97" s="7" t="inlineStr">
        <is>
          <t>MD-00082</t>
        </is>
      </c>
      <c r="E97" s="7" t="inlineStr">
        <is>
          <t>MD-MO-050082</t>
        </is>
      </c>
      <c r="F97" s="7" t="inlineStr">
        <is>
          <t>Employee:E0095; Ticket:OFF-00082</t>
        </is>
      </c>
      <c r="G97" s="7" t="n">
        <v>485.55</v>
      </c>
      <c r="H97" s="7" t="inlineStr">
        <is>
          <t>Remove E0095 as custodian on MD-00082; park under Regional IT or IT Stock (EX-0093).</t>
        </is>
      </c>
      <c r="I97" s="7" t="inlineStr">
        <is>
          <t>HR Operations Lead</t>
        </is>
      </c>
      <c r="J97" s="7" t="inlineStr">
        <is>
          <t>2026-08-16</t>
        </is>
      </c>
      <c r="K97" s="7" t="inlineStr">
        <is>
          <t>Open</t>
        </is>
      </c>
      <c r="L97" s="7" t="inlineStr">
        <is>
          <t>EX-0093. Register still assigns MD-00082 to E0095. hr_employee_status shows E0095 as separated. offboarding ticket OFF-00082 closed without a custodian change on MD-00082.</t>
        </is>
      </c>
      <c r="M97" s="7" t="inlineStr">
        <is>
          <t>Requires remediation</t>
        </is>
      </c>
    </row>
    <row r="98">
      <c r="A98" s="7" t="inlineStr">
        <is>
          <t>EX-0094</t>
        </is>
      </c>
      <c r="B98" s="7" t="inlineStr">
        <is>
          <t>Former Employee Assignment</t>
        </is>
      </c>
      <c r="C98" s="10" t="inlineStr">
        <is>
          <t>High</t>
        </is>
      </c>
      <c r="D98" s="7" t="inlineStr">
        <is>
          <t>MD-00083</t>
        </is>
      </c>
      <c r="E98" s="7" t="inlineStr">
        <is>
          <t>MD-MO-050083</t>
        </is>
      </c>
      <c r="F98" s="7" t="inlineStr">
        <is>
          <t>Employee:E0071; Ticket:OFF-00083; Tracking:1ZMD00000083</t>
        </is>
      </c>
      <c r="G98" s="7" t="n">
        <v>952.79</v>
      </c>
      <c r="H98" s="7" t="inlineStr">
        <is>
          <t>Remove E0071 as custodian on MD-00083; park under Regional IT or IT Stock (EX-0094).</t>
        </is>
      </c>
      <c r="I98" s="7" t="inlineStr">
        <is>
          <t>HR Operations Lead</t>
        </is>
      </c>
      <c r="J98" s="7" t="inlineStr">
        <is>
          <t>2026-08-16</t>
        </is>
      </c>
      <c r="K98" s="7" t="inlineStr">
        <is>
          <t>Open</t>
        </is>
      </c>
      <c r="L98" s="7" t="inlineStr">
        <is>
          <t>offboarding ticket OFF-00083 closed without a custodian change on MD-00083. hr_employee_status shows E0071 as separated. Register still assigns MD-00083 to E0071. EX-0094.</t>
        </is>
      </c>
      <c r="M98" s="7" t="inlineStr">
        <is>
          <t>Requires remediation</t>
        </is>
      </c>
    </row>
    <row r="99">
      <c r="A99" s="7" t="inlineStr">
        <is>
          <t>EX-0095</t>
        </is>
      </c>
      <c r="B99" s="7" t="inlineStr">
        <is>
          <t>Shipment Mismatch</t>
        </is>
      </c>
      <c r="C99" s="8" t="inlineStr">
        <is>
          <t>Critical</t>
        </is>
      </c>
      <c r="D99" s="7" t="inlineStr">
        <is>
          <t>MD-00084</t>
        </is>
      </c>
      <c r="E99" s="7" t="inlineStr">
        <is>
          <t>MD-NE-050084</t>
        </is>
      </c>
      <c r="F99" s="7" t="inlineStr">
        <is>
          <t>Ticket:OFF-00084; Tracking:1ZMD00000084; ShipmentSerial:MISMATCH-0084</t>
        </is>
      </c>
      <c r="G99" s="7" t="n">
        <v>533.85</v>
      </c>
      <c r="H99" s="7" t="inlineStr">
        <is>
          <t>Critical certification blocker — Resolve serial conflict on 1ZMD00000084 for MD-00084 (MISMATCH-0084 vs MD-NE-050084) (EX-0095).</t>
        </is>
      </c>
      <c r="I99" s="7" t="inlineStr">
        <is>
          <t>IT Operations Manager</t>
        </is>
      </c>
      <c r="J99" s="7" t="inlineStr">
        <is>
          <t>2026-08-13</t>
        </is>
      </c>
      <c r="K99" s="7" t="inlineStr">
        <is>
          <t>Open</t>
        </is>
      </c>
      <c r="L99" s="7" t="inlineStr">
        <is>
          <t>Critical certification blocker — unresolved shipment serial mismatch on MD-00084. Inbound serial MISMATCH-0084 on 1ZMD00000084 disagrees with register MD-NE-050084. MD-00084 remains In Transit - Exception until serials align.</t>
        </is>
      </c>
      <c r="M99" s="12" t="inlineStr">
        <is>
          <t>Blocks certification</t>
        </is>
      </c>
    </row>
    <row r="100">
      <c r="A100" s="7" t="inlineStr">
        <is>
          <t>EX-0096</t>
        </is>
      </c>
      <c r="B100" s="7" t="inlineStr">
        <is>
          <t>Former Employee Assignment</t>
        </is>
      </c>
      <c r="C100" s="10" t="inlineStr">
        <is>
          <t>High</t>
        </is>
      </c>
      <c r="D100" s="7" t="inlineStr">
        <is>
          <t>MD-00084</t>
        </is>
      </c>
      <c r="E100" s="7" t="inlineStr">
        <is>
          <t>MD-NE-050084</t>
        </is>
      </c>
      <c r="F100" s="7" t="inlineStr">
        <is>
          <t>Employee:E0072; Ticket:OFF-00084</t>
        </is>
      </c>
      <c r="G100" s="7" t="n">
        <v>533.85</v>
      </c>
      <c r="H100" s="7" t="inlineStr">
        <is>
          <t>Remove E0072 as custodian on MD-00084; park under Regional IT or IT Stock (EX-0096).</t>
        </is>
      </c>
      <c r="I100" s="7" t="inlineStr">
        <is>
          <t>HR Operations Lead</t>
        </is>
      </c>
      <c r="J100" s="7" t="inlineStr">
        <is>
          <t>2026-08-16</t>
        </is>
      </c>
      <c r="K100" s="7" t="inlineStr">
        <is>
          <t>Open</t>
        </is>
      </c>
      <c r="L100" s="7" t="inlineStr">
        <is>
          <t>offboarding ticket OFF-00084 closed without a custodian change on MD-00084. hr_employee_status shows E0072 as separated. Register still assigns MD-00084 to E0072. EX-0096.</t>
        </is>
      </c>
      <c r="M100" s="7" t="inlineStr">
        <is>
          <t>Requires remediation</t>
        </is>
      </c>
    </row>
    <row r="101">
      <c r="A101" s="7" t="inlineStr">
        <is>
          <t>EX-0097</t>
        </is>
      </c>
      <c r="B101" s="7" t="inlineStr">
        <is>
          <t>Former Employee Assignment</t>
        </is>
      </c>
      <c r="C101" s="10" t="inlineStr">
        <is>
          <t>High</t>
        </is>
      </c>
      <c r="D101" s="7" t="inlineStr">
        <is>
          <t>MD-00085</t>
        </is>
      </c>
      <c r="E101" s="7" t="inlineStr">
        <is>
          <t>MD-LA-050085</t>
        </is>
      </c>
      <c r="F101" s="7" t="inlineStr">
        <is>
          <t>Employee:E0073; Ticket:OFF-00085; Tracking:1ZMD00000085</t>
        </is>
      </c>
      <c r="G101" s="7" t="n">
        <v>0</v>
      </c>
      <c r="H101" s="7" t="inlineStr">
        <is>
          <t>Remove E0073 as custodian on MD-00085; park under Regional IT or IT Stock (EX-0097).</t>
        </is>
      </c>
      <c r="I101" s="7" t="inlineStr">
        <is>
          <t>HR Operations Lead</t>
        </is>
      </c>
      <c r="J101" s="7" t="inlineStr">
        <is>
          <t>2026-08-16</t>
        </is>
      </c>
      <c r="K101" s="7" t="inlineStr">
        <is>
          <t>Open</t>
        </is>
      </c>
      <c r="L101" s="7" t="inlineStr">
        <is>
          <t>Register still assigns MD-00085 to E0073. EX-0097. offboarding ticket OFF-00085 closed without a custodian change on MD-00085. hr_employee_status shows E0073 as separated.</t>
        </is>
      </c>
      <c r="M101" s="7" t="inlineStr">
        <is>
          <t>Requires remediation</t>
        </is>
      </c>
    </row>
    <row r="102">
      <c r="A102" s="7" t="inlineStr">
        <is>
          <t>EX-0098</t>
        </is>
      </c>
      <c r="B102" s="7" t="inlineStr">
        <is>
          <t>Inventory-to-Ledger Difference</t>
        </is>
      </c>
      <c r="C102" s="10" t="inlineStr">
        <is>
          <t>High</t>
        </is>
      </c>
      <c r="D102" s="7" t="inlineStr">
        <is>
          <t>MD-00085</t>
        </is>
      </c>
      <c r="E102" s="7" t="inlineStr">
        <is>
          <t>MD-LA-050085</t>
        </is>
      </c>
      <c r="F102" s="7" t="inlineStr">
        <is>
          <t>Ledger:FA-000085; PO:PO-2025-0016; RegisterCost:1895.0; LedgerCost:2090.0; OverDepreciation:20.0</t>
        </is>
      </c>
      <c r="G102" s="7" t="n">
        <v>195</v>
      </c>
      <c r="H102" s="7" t="inlineStr">
        <is>
          <t>Finance Controller: align register $1895.0 vs ledger $2090.0 on FA-000085 for MD-00085 and correct NBV to $20 on FA-000085.</t>
        </is>
      </c>
      <c r="I102" s="7" t="inlineStr">
        <is>
          <t>Finance Controller</t>
        </is>
      </c>
      <c r="J102" s="7" t="inlineStr">
        <is>
          <t>2026-08-21</t>
        </is>
      </c>
      <c r="K102" s="7" t="inlineStr">
        <is>
          <t>Open</t>
        </is>
      </c>
      <c r="L102" s="7" t="inlineStr">
        <is>
          <t>Pulled PO-2025-0016 and FA-000085 for MD-00085: register cost $1895.0 vs ledger $2090.0. FA-000085 accumulated depreciation $2070 exceeds what $2090 acquisition less $0 NBV allows; correct NBV is $20.</t>
        </is>
      </c>
      <c r="M102" s="7" t="inlineStr">
        <is>
          <t>Requires remediation</t>
        </is>
      </c>
    </row>
    <row r="103">
      <c r="A103" s="7" t="inlineStr">
        <is>
          <t>EX-0099</t>
        </is>
      </c>
      <c r="B103" s="7" t="inlineStr">
        <is>
          <t>Former Employee Assignment</t>
        </is>
      </c>
      <c r="C103" s="10" t="inlineStr">
        <is>
          <t>High</t>
        </is>
      </c>
      <c r="D103" s="7" t="inlineStr">
        <is>
          <t>MD-00086</t>
        </is>
      </c>
      <c r="E103" s="7" t="inlineStr">
        <is>
          <t>MD-MO-050086</t>
        </is>
      </c>
      <c r="F103" s="7" t="inlineStr">
        <is>
          <t>Employee:E0074; Ticket:OFF-00086; Tracking:1ZMD00000086</t>
        </is>
      </c>
      <c r="G103" s="7" t="n">
        <v>317.07</v>
      </c>
      <c r="H103" s="7" t="inlineStr">
        <is>
          <t>Remove E0074 as custodian on MD-00086; park under Regional IT or IT Stock (EX-0099).</t>
        </is>
      </c>
      <c r="I103" s="7" t="inlineStr">
        <is>
          <t>HR Operations Lead</t>
        </is>
      </c>
      <c r="J103" s="7" t="inlineStr">
        <is>
          <t>2026-08-16</t>
        </is>
      </c>
      <c r="K103" s="7" t="inlineStr">
        <is>
          <t>Open</t>
        </is>
      </c>
      <c r="L103" s="7" t="inlineStr">
        <is>
          <t>hr_employee_status shows E0074 as separated. EX-0099. Register still assigns MD-00086 to E0074. offboarding ticket OFF-00086 closed without a custodian change on MD-00086.</t>
        </is>
      </c>
      <c r="M103" s="7" t="inlineStr">
        <is>
          <t>Requires remediation</t>
        </is>
      </c>
    </row>
    <row r="104">
      <c r="A104" s="7" t="inlineStr">
        <is>
          <t>EX-0100</t>
        </is>
      </c>
      <c r="B104" s="7" t="inlineStr">
        <is>
          <t>Former Employee Assignment</t>
        </is>
      </c>
      <c r="C104" s="10" t="inlineStr">
        <is>
          <t>High</t>
        </is>
      </c>
      <c r="D104" s="7" t="inlineStr">
        <is>
          <t>MD-00087</t>
        </is>
      </c>
      <c r="E104" s="7" t="inlineStr">
        <is>
          <t>MD-MO-050087</t>
        </is>
      </c>
      <c r="F104" s="7" t="inlineStr">
        <is>
          <t>Employee:E0075; Ticket:OFF-00087; Tracking:1ZMD00000087</t>
        </is>
      </c>
      <c r="G104" s="7" t="n">
        <v>609.71</v>
      </c>
      <c r="H104" s="7" t="inlineStr">
        <is>
          <t>Remove E0075 as custodian on MD-00087; park under Regional IT or IT Stock (EX-0100).</t>
        </is>
      </c>
      <c r="I104" s="7" t="inlineStr">
        <is>
          <t>HR Operations Lead</t>
        </is>
      </c>
      <c r="J104" s="7" t="inlineStr">
        <is>
          <t>2026-08-16</t>
        </is>
      </c>
      <c r="K104" s="7" t="inlineStr">
        <is>
          <t>Open</t>
        </is>
      </c>
      <c r="L104" s="7" t="inlineStr">
        <is>
          <t>offboarding ticket OFF-00087 closed without a custodian change on MD-00087. EX-0100. hr_employee_status shows E0075 as separated. Register still assigns MD-00087 to E0075.</t>
        </is>
      </c>
      <c r="M104" s="7" t="inlineStr">
        <is>
          <t>Requires remediation</t>
        </is>
      </c>
    </row>
    <row r="105">
      <c r="A105" s="7" t="inlineStr">
        <is>
          <t>EX-0101</t>
        </is>
      </c>
      <c r="B105" s="7" t="inlineStr">
        <is>
          <t>Former Employee Assignment</t>
        </is>
      </c>
      <c r="C105" s="10" t="inlineStr">
        <is>
          <t>High</t>
        </is>
      </c>
      <c r="D105" s="7" t="inlineStr">
        <is>
          <t>MD-00088</t>
        </is>
      </c>
      <c r="E105" s="7" t="inlineStr">
        <is>
          <t>MD-NE-050088</t>
        </is>
      </c>
      <c r="F105" s="7" t="inlineStr">
        <is>
          <t>Employee:E0076; Ticket:OFF-00088; Tracking:1ZMD00000088</t>
        </is>
      </c>
      <c r="G105" s="7" t="n">
        <v>982.55</v>
      </c>
      <c r="H105" s="7" t="inlineStr">
        <is>
          <t>Remove E0076 as custodian on MD-00088; park under Regional IT or IT Stock (EX-0101).</t>
        </is>
      </c>
      <c r="I105" s="7" t="inlineStr">
        <is>
          <t>HR Operations Lead</t>
        </is>
      </c>
      <c r="J105" s="7" t="inlineStr">
        <is>
          <t>2026-08-16</t>
        </is>
      </c>
      <c r="K105" s="7" t="inlineStr">
        <is>
          <t>Open</t>
        </is>
      </c>
      <c r="L105" s="7" t="inlineStr">
        <is>
          <t>offboarding ticket OFF-00088 closed without a custodian change on MD-00088. EX-0101. hr_employee_status shows E0076 as separated. Register still assigns MD-00088 to E0076.</t>
        </is>
      </c>
      <c r="M105" s="7" t="inlineStr">
        <is>
          <t>Requires remediation</t>
        </is>
      </c>
    </row>
    <row r="106">
      <c r="A106" s="7" t="inlineStr">
        <is>
          <t>EX-0102</t>
        </is>
      </c>
      <c r="B106" s="7" t="inlineStr">
        <is>
          <t>Duplicate Serial Number</t>
        </is>
      </c>
      <c r="C106" s="10" t="inlineStr">
        <is>
          <t>High</t>
        </is>
      </c>
      <c r="D106" s="7" t="inlineStr">
        <is>
          <t>MD-00088</t>
        </is>
      </c>
      <c r="E106" s="7" t="inlineStr">
        <is>
          <t>MD-NE-050088</t>
        </is>
      </c>
      <c r="F106" s="7" t="inlineStr">
        <is>
          <t>Duplicate serial MD-NE-050088 across MD-00088 and MD-00092; Serial:MD-NE-050088; AlsoTagged:MD-00088,MD-00092</t>
        </is>
      </c>
      <c r="G106" s="7" t="n">
        <v>982.55</v>
      </c>
      <c r="H106" s="7" t="inlineStr">
        <is>
          <t>Bench-validate and retag duplicate serial MD-NE-050088 involving MD-00088 (EX-0102).</t>
        </is>
      </c>
      <c r="I106" s="7" t="inlineStr">
        <is>
          <t>IT Asset Specialist</t>
        </is>
      </c>
      <c r="J106" s="7" t="inlineStr">
        <is>
          <t>2026-08-18</t>
        </is>
      </c>
      <c r="K106" s="7" t="inlineStr">
        <is>
          <t>Open</t>
        </is>
      </c>
      <c r="L106" s="7" t="inlineStr">
        <is>
          <t>Serial MD-NE-050088 appears on MD-00088 and MD-00088,MD-00092; bench validation required (EX-0102).</t>
        </is>
      </c>
      <c r="M106" s="7" t="inlineStr">
        <is>
          <t>Requires remediation</t>
        </is>
      </c>
    </row>
    <row r="107">
      <c r="A107" s="7" t="inlineStr">
        <is>
          <t>EX-0103</t>
        </is>
      </c>
      <c r="B107" s="7" t="inlineStr">
        <is>
          <t>Cannot Locate</t>
        </is>
      </c>
      <c r="C107" s="8" t="inlineStr">
        <is>
          <t>Critical</t>
        </is>
      </c>
      <c r="D107" s="7" t="inlineStr">
        <is>
          <t>MD-00089</t>
        </is>
      </c>
      <c r="E107" s="7" t="inlineStr">
        <is>
          <t>MD-LA-050089</t>
        </is>
      </c>
      <c r="F107" s="7" t="inlineStr">
        <is>
          <t>Ticket:OFF-00089; Transfer:TR-00089; LastRegisterLocation:Denver - Closed</t>
        </is>
      </c>
      <c r="G107" s="7" t="n">
        <v>0</v>
      </c>
      <c r="H107" s="7" t="inlineStr">
        <is>
          <t>Run loss investigation on MD-00089; keep Missing until located or approved write-off (EX-0103).</t>
        </is>
      </c>
      <c r="I107" s="7" t="inlineStr">
        <is>
          <t>IT Operations Manager</t>
        </is>
      </c>
      <c r="J107" s="7" t="inlineStr">
        <is>
          <t>2026-08-12</t>
        </is>
      </c>
      <c r="K107" s="7" t="inlineStr">
        <is>
          <t>Open</t>
        </is>
      </c>
      <c r="L107" s="7" t="inlineStr">
        <is>
          <t>EX-0103. last register site was Denver - Closed. No dock scan, disposal certificate, or count places MD-00089.</t>
        </is>
      </c>
      <c r="M107" s="12" t="inlineStr">
        <is>
          <t>Blocks certification</t>
        </is>
      </c>
    </row>
    <row r="108">
      <c r="A108" s="7" t="inlineStr">
        <is>
          <t>EX-0104</t>
        </is>
      </c>
      <c r="B108" s="7" t="inlineStr">
        <is>
          <t>Former Employee Assignment</t>
        </is>
      </c>
      <c r="C108" s="8" t="inlineStr">
        <is>
          <t>Critical</t>
        </is>
      </c>
      <c r="D108" s="7" t="inlineStr">
        <is>
          <t>MD-00089</t>
        </is>
      </c>
      <c r="E108" s="7" t="inlineStr">
        <is>
          <t>MD-LA-050089</t>
        </is>
      </c>
      <c r="F108" s="7" t="inlineStr">
        <is>
          <t>Employee:E0077; Ticket:OFF-00089</t>
        </is>
      </c>
      <c r="G108" s="7" t="n">
        <v>0</v>
      </c>
      <c r="H108" s="7" t="inlineStr">
        <is>
          <t>Remove E0077 as custodian on MD-00089; park under Regional IT or IT Stock (EX-0104).</t>
        </is>
      </c>
      <c r="I108" s="7" t="inlineStr">
        <is>
          <t>HR Operations Lead</t>
        </is>
      </c>
      <c r="J108" s="7" t="inlineStr">
        <is>
          <t>2026-08-16</t>
        </is>
      </c>
      <c r="K108" s="7" t="inlineStr">
        <is>
          <t>Open</t>
        </is>
      </c>
      <c r="L108" s="7" t="inlineStr">
        <is>
          <t>hr_employee_status shows E0077 as separated. EX-0104. Register still assigns MD-00089 to E0077. offboarding ticket OFF-00089 closed without a custodian change on MD-00089.</t>
        </is>
      </c>
      <c r="M108" s="12" t="inlineStr">
        <is>
          <t>Blocks certification</t>
        </is>
      </c>
    </row>
    <row r="109">
      <c r="A109" s="7" t="inlineStr">
        <is>
          <t>EX-0105</t>
        </is>
      </c>
      <c r="B109" s="7" t="inlineStr">
        <is>
          <t>Cannot Locate</t>
        </is>
      </c>
      <c r="C109" s="8" t="inlineStr">
        <is>
          <t>Critical</t>
        </is>
      </c>
      <c r="D109" s="7" t="inlineStr">
        <is>
          <t>MD-00090</t>
        </is>
      </c>
      <c r="E109" s="7" t="inlineStr">
        <is>
          <t>MD-MO-050090</t>
        </is>
      </c>
      <c r="F109" s="7" t="inlineStr">
        <is>
          <t>Ticket:OFF-00090; Transfer:TR-00090; LastRegisterLocation:Chicago - Closed</t>
        </is>
      </c>
      <c r="G109" s="7" t="n">
        <v>465.13</v>
      </c>
      <c r="H109" s="7" t="inlineStr">
        <is>
          <t>Run loss investigation on MD-00090; keep Missing until located or approved write-off (EX-0105).</t>
        </is>
      </c>
      <c r="I109" s="7" t="inlineStr">
        <is>
          <t>IT Operations Manager</t>
        </is>
      </c>
      <c r="J109" s="7" t="inlineStr">
        <is>
          <t>2026-08-12</t>
        </is>
      </c>
      <c r="K109" s="7" t="inlineStr">
        <is>
          <t>Open</t>
        </is>
      </c>
      <c r="L109" s="7" t="inlineStr">
        <is>
          <t>last register site was Chicago - Closed. No dock scan, disposal certificate, or count places MD-00090. EX-0105.</t>
        </is>
      </c>
      <c r="M109" s="12" t="inlineStr">
        <is>
          <t>Blocks certification</t>
        </is>
      </c>
    </row>
    <row r="110">
      <c r="A110" s="7" t="inlineStr">
        <is>
          <t>EX-0106</t>
        </is>
      </c>
      <c r="B110" s="7" t="inlineStr">
        <is>
          <t>Former Employee Assignment</t>
        </is>
      </c>
      <c r="C110" s="8" t="inlineStr">
        <is>
          <t>Critical</t>
        </is>
      </c>
      <c r="D110" s="7" t="inlineStr">
        <is>
          <t>MD-00090</t>
        </is>
      </c>
      <c r="E110" s="7" t="inlineStr">
        <is>
          <t>MD-MO-050090</t>
        </is>
      </c>
      <c r="F110" s="7" t="inlineStr">
        <is>
          <t>Employee:E0078; Ticket:OFF-00090</t>
        </is>
      </c>
      <c r="G110" s="7" t="n">
        <v>465.13</v>
      </c>
      <c r="H110" s="7" t="inlineStr">
        <is>
          <t>Remove E0078 as custodian on MD-00090; park under Regional IT or IT Stock (EX-0106).</t>
        </is>
      </c>
      <c r="I110" s="7" t="inlineStr">
        <is>
          <t>HR Operations Lead</t>
        </is>
      </c>
      <c r="J110" s="7" t="inlineStr">
        <is>
          <t>2026-08-16</t>
        </is>
      </c>
      <c r="K110" s="7" t="inlineStr">
        <is>
          <t>Open</t>
        </is>
      </c>
      <c r="L110" s="7" t="inlineStr">
        <is>
          <t>offboarding ticket OFF-00090 closed without a custodian change on MD-00090. EX-0106. Register still assigns MD-00090 to E0078. hr_employee_status shows E0078 as separated.</t>
        </is>
      </c>
      <c r="M110" s="12" t="inlineStr">
        <is>
          <t>Blocks certification</t>
        </is>
      </c>
    </row>
    <row r="111">
      <c r="A111" s="7" t="inlineStr">
        <is>
          <t>EX-0107</t>
        </is>
      </c>
      <c r="B111" s="7" t="inlineStr">
        <is>
          <t>Cannot Locate</t>
        </is>
      </c>
      <c r="C111" s="8" t="inlineStr">
        <is>
          <t>Critical</t>
        </is>
      </c>
      <c r="D111" s="7" t="inlineStr">
        <is>
          <t>MD-00091</t>
        </is>
      </c>
      <c r="E111" s="7" t="inlineStr">
        <is>
          <t>MD-MO-050091</t>
        </is>
      </c>
      <c r="F111" s="7" t="inlineStr">
        <is>
          <t>Ticket:OFF-00091; Transfer:TR-00091; LastRegisterLocation:Denver - Closed</t>
        </is>
      </c>
      <c r="G111" s="7" t="n">
        <v>643.09</v>
      </c>
      <c r="H111" s="7" t="inlineStr">
        <is>
          <t>Run loss investigation on MD-00091; keep Missing until located or approved write-off (EX-0107).</t>
        </is>
      </c>
      <c r="I111" s="7" t="inlineStr">
        <is>
          <t>IT Operations Manager</t>
        </is>
      </c>
      <c r="J111" s="7" t="inlineStr">
        <is>
          <t>2026-08-12</t>
        </is>
      </c>
      <c r="K111" s="7" t="inlineStr">
        <is>
          <t>Open</t>
        </is>
      </c>
      <c r="L111" s="7" t="inlineStr">
        <is>
          <t>EX-0107. No dock scan, disposal certificate, or count places MD-00091. last register site was Denver - Closed.</t>
        </is>
      </c>
      <c r="M111" s="12" t="inlineStr">
        <is>
          <t>Blocks certification</t>
        </is>
      </c>
    </row>
    <row r="112">
      <c r="A112" s="7" t="inlineStr">
        <is>
          <t>EX-0108</t>
        </is>
      </c>
      <c r="B112" s="7" t="inlineStr">
        <is>
          <t>Former Employee Assignment</t>
        </is>
      </c>
      <c r="C112" s="8" t="inlineStr">
        <is>
          <t>Critical</t>
        </is>
      </c>
      <c r="D112" s="7" t="inlineStr">
        <is>
          <t>MD-00091</t>
        </is>
      </c>
      <c r="E112" s="7" t="inlineStr">
        <is>
          <t>MD-MO-050091</t>
        </is>
      </c>
      <c r="F112" s="7" t="inlineStr">
        <is>
          <t>Employee:E0079; Ticket:OFF-00091</t>
        </is>
      </c>
      <c r="G112" s="7" t="n">
        <v>643.09</v>
      </c>
      <c r="H112" s="7" t="inlineStr">
        <is>
          <t>Remove E0079 as custodian on MD-00091; park under Regional IT or IT Stock (EX-0108).</t>
        </is>
      </c>
      <c r="I112" s="7" t="inlineStr">
        <is>
          <t>HR Operations Lead</t>
        </is>
      </c>
      <c r="J112" s="7" t="inlineStr">
        <is>
          <t>2026-08-16</t>
        </is>
      </c>
      <c r="K112" s="7" t="inlineStr">
        <is>
          <t>Open</t>
        </is>
      </c>
      <c r="L112" s="7" t="inlineStr">
        <is>
          <t>Register still assigns MD-00091 to E0079. hr_employee_status shows E0079 as separated. offboarding ticket OFF-00091 closed without a custodian change on MD-00091. EX-0108.</t>
        </is>
      </c>
      <c r="M112" s="12" t="inlineStr">
        <is>
          <t>Blocks certification</t>
        </is>
      </c>
    </row>
    <row r="113">
      <c r="A113" s="7" t="inlineStr">
        <is>
          <t>EX-0109</t>
        </is>
      </c>
      <c r="B113" s="7" t="inlineStr">
        <is>
          <t>Cannot Locate</t>
        </is>
      </c>
      <c r="C113" s="8" t="inlineStr">
        <is>
          <t>Critical</t>
        </is>
      </c>
      <c r="D113" s="7" t="inlineStr">
        <is>
          <t>MD-00092</t>
        </is>
      </c>
      <c r="E113" s="7" t="inlineStr">
        <is>
          <t>MD-NE-050088</t>
        </is>
      </c>
      <c r="F113" s="7" t="inlineStr">
        <is>
          <t>Ticket:OFF-00092; Transfer:TR-00092; LastRegisterLocation:Chicago - Closed</t>
        </is>
      </c>
      <c r="G113" s="7" t="n">
        <v>1396.04</v>
      </c>
      <c r="H113" s="7" t="inlineStr">
        <is>
          <t>Run loss investigation on MD-00092; keep Missing until located or approved write-off (EX-0109).</t>
        </is>
      </c>
      <c r="I113" s="7" t="inlineStr">
        <is>
          <t>IT Operations Manager</t>
        </is>
      </c>
      <c r="J113" s="7" t="inlineStr">
        <is>
          <t>2026-08-12</t>
        </is>
      </c>
      <c r="K113" s="7" t="inlineStr">
        <is>
          <t>Open</t>
        </is>
      </c>
      <c r="L113" s="7" t="inlineStr">
        <is>
          <t>last register site was Chicago - Closed. No dock scan, disposal certificate, or count places MD-00092. EX-0109.</t>
        </is>
      </c>
      <c r="M113" s="12" t="inlineStr">
        <is>
          <t>Blocks certification</t>
        </is>
      </c>
    </row>
    <row r="114">
      <c r="A114" s="7" t="inlineStr">
        <is>
          <t>EX-0110</t>
        </is>
      </c>
      <c r="B114" s="7" t="inlineStr">
        <is>
          <t>Former Employee Assignment</t>
        </is>
      </c>
      <c r="C114" s="8" t="inlineStr">
        <is>
          <t>Critical</t>
        </is>
      </c>
      <c r="D114" s="7" t="inlineStr">
        <is>
          <t>MD-00092</t>
        </is>
      </c>
      <c r="E114" s="7" t="inlineStr">
        <is>
          <t>MD-NE-050088</t>
        </is>
      </c>
      <c r="F114" s="7" t="inlineStr">
        <is>
          <t>Employee:E0080; Ticket:OFF-00092</t>
        </is>
      </c>
      <c r="G114" s="7" t="n">
        <v>1396.04</v>
      </c>
      <c r="H114" s="7" t="inlineStr">
        <is>
          <t>Remove E0080 as custodian on MD-00092; park under Regional IT or IT Stock (EX-0110).</t>
        </is>
      </c>
      <c r="I114" s="7" t="inlineStr">
        <is>
          <t>HR Operations Lead</t>
        </is>
      </c>
      <c r="J114" s="7" t="inlineStr">
        <is>
          <t>2026-08-16</t>
        </is>
      </c>
      <c r="K114" s="7" t="inlineStr">
        <is>
          <t>Open</t>
        </is>
      </c>
      <c r="L114" s="7" t="inlineStr">
        <is>
          <t>Register still assigns MD-00092 to E0080. hr_employee_status shows E0080 as separated. offboarding ticket OFF-00092 closed without a custodian change on MD-00092. EX-0110.</t>
        </is>
      </c>
      <c r="M114" s="12" t="inlineStr">
        <is>
          <t>Blocks certification</t>
        </is>
      </c>
    </row>
    <row r="115">
      <c r="A115" s="7" t="inlineStr">
        <is>
          <t>EX-0111</t>
        </is>
      </c>
      <c r="B115" s="7" t="inlineStr">
        <is>
          <t>Duplicate Serial Number</t>
        </is>
      </c>
      <c r="C115" s="10" t="inlineStr">
        <is>
          <t>High</t>
        </is>
      </c>
      <c r="D115" s="7" t="inlineStr">
        <is>
          <t>MD-00092</t>
        </is>
      </c>
      <c r="E115" s="7" t="inlineStr">
        <is>
          <t>MD-NE-050088</t>
        </is>
      </c>
      <c r="F115" s="7" t="inlineStr">
        <is>
          <t>Duplicate serial MD-NE-050088 across MD-00088 and MD-00092; Serial:MD-NE-050088; AlsoTagged:MD-00088,MD-00092</t>
        </is>
      </c>
      <c r="G115" s="7" t="n">
        <v>1396.04</v>
      </c>
      <c r="H115" s="7" t="inlineStr">
        <is>
          <t>Bench-validate and retag duplicate serial MD-NE-050088 involving MD-00092 (EX-0111).</t>
        </is>
      </c>
      <c r="I115" s="7" t="inlineStr">
        <is>
          <t>IT Asset Specialist</t>
        </is>
      </c>
      <c r="J115" s="7" t="inlineStr">
        <is>
          <t>2026-08-18</t>
        </is>
      </c>
      <c r="K115" s="7" t="inlineStr">
        <is>
          <t>Open</t>
        </is>
      </c>
      <c r="L115" s="7" t="inlineStr">
        <is>
          <t>Serial MD-NE-050088 appears on MD-00092 and MD-00088,MD-00092; bench validation required (EX-0111).</t>
        </is>
      </c>
      <c r="M115" s="7" t="inlineStr">
        <is>
          <t>Requires remediation</t>
        </is>
      </c>
    </row>
    <row r="116">
      <c r="A116" s="7" t="inlineStr">
        <is>
          <t>EX-0112</t>
        </is>
      </c>
      <c r="B116" s="7" t="inlineStr">
        <is>
          <t>Cannot Locate</t>
        </is>
      </c>
      <c r="C116" s="8" t="inlineStr">
        <is>
          <t>Critical</t>
        </is>
      </c>
      <c r="D116" s="7" t="inlineStr">
        <is>
          <t>MD-00093</t>
        </is>
      </c>
      <c r="E116" s="7" t="inlineStr">
        <is>
          <t>MD-LA-050093</t>
        </is>
      </c>
      <c r="F116" s="7" t="inlineStr">
        <is>
          <t>Ticket:OFF-00093; Transfer:TR-00093; LastRegisterLocation:Denver - Closed</t>
        </is>
      </c>
      <c r="G116" s="7" t="n">
        <v>130.57</v>
      </c>
      <c r="H116" s="7" t="inlineStr">
        <is>
          <t>Run loss investigation on MD-00093; keep Missing until located or approved write-off (EX-0112).</t>
        </is>
      </c>
      <c r="I116" s="7" t="inlineStr">
        <is>
          <t>IT Operations Manager</t>
        </is>
      </c>
      <c r="J116" s="7" t="inlineStr">
        <is>
          <t>2026-08-12</t>
        </is>
      </c>
      <c r="K116" s="7" t="inlineStr">
        <is>
          <t>Open</t>
        </is>
      </c>
      <c r="L116" s="7" t="inlineStr">
        <is>
          <t>last register site was Denver - Closed. EX-0112. No dock scan, disposal certificate, or count places MD-00093.</t>
        </is>
      </c>
      <c r="M116" s="12" t="inlineStr">
        <is>
          <t>Blocks certification</t>
        </is>
      </c>
    </row>
    <row r="117">
      <c r="A117" s="7" t="inlineStr">
        <is>
          <t>EX-0113</t>
        </is>
      </c>
      <c r="B117" s="7" t="inlineStr">
        <is>
          <t>Former Employee Assignment</t>
        </is>
      </c>
      <c r="C117" s="8" t="inlineStr">
        <is>
          <t>Critical</t>
        </is>
      </c>
      <c r="D117" s="7" t="inlineStr">
        <is>
          <t>MD-00093</t>
        </is>
      </c>
      <c r="E117" s="7" t="inlineStr">
        <is>
          <t>MD-LA-050093</t>
        </is>
      </c>
      <c r="F117" s="7" t="inlineStr">
        <is>
          <t>Employee:E0081; Ticket:OFF-00093</t>
        </is>
      </c>
      <c r="G117" s="7" t="n">
        <v>130.57</v>
      </c>
      <c r="H117" s="7" t="inlineStr">
        <is>
          <t>Remove E0081 as custodian on MD-00093; park under Regional IT or IT Stock (EX-0113).</t>
        </is>
      </c>
      <c r="I117" s="7" t="inlineStr">
        <is>
          <t>HR Operations Lead</t>
        </is>
      </c>
      <c r="J117" s="7" t="inlineStr">
        <is>
          <t>2026-08-16</t>
        </is>
      </c>
      <c r="K117" s="7" t="inlineStr">
        <is>
          <t>Open</t>
        </is>
      </c>
      <c r="L117" s="7" t="inlineStr">
        <is>
          <t>Register still assigns MD-00093 to E0081. offboarding ticket OFF-00093 closed without a custodian change on MD-00093. EX-0113. hr_employee_status shows E0081 as separated.</t>
        </is>
      </c>
      <c r="M117" s="12" t="inlineStr">
        <is>
          <t>Blocks certification</t>
        </is>
      </c>
    </row>
    <row r="118">
      <c r="A118" s="7" t="inlineStr">
        <is>
          <t>EX-0114</t>
        </is>
      </c>
      <c r="B118" s="7" t="inlineStr">
        <is>
          <t>Cannot Locate</t>
        </is>
      </c>
      <c r="C118" s="8" t="inlineStr">
        <is>
          <t>Critical</t>
        </is>
      </c>
      <c r="D118" s="7" t="inlineStr">
        <is>
          <t>MD-00094</t>
        </is>
      </c>
      <c r="E118" s="7" t="inlineStr">
        <is>
          <t>MD-MO-050094</t>
        </is>
      </c>
      <c r="F118" s="7" t="inlineStr">
        <is>
          <t>Ticket:OFF-00094; Transfer:TR-00094; LastRegisterLocation:Chicago - Closed</t>
        </is>
      </c>
      <c r="G118" s="7" t="n">
        <v>431.2</v>
      </c>
      <c r="H118" s="7" t="inlineStr">
        <is>
          <t>Run loss investigation on MD-00094; keep Missing until located or approved write-off (EX-0114).</t>
        </is>
      </c>
      <c r="I118" s="7" t="inlineStr">
        <is>
          <t>IT Operations Manager</t>
        </is>
      </c>
      <c r="J118" s="7" t="inlineStr">
        <is>
          <t>2026-08-12</t>
        </is>
      </c>
      <c r="K118" s="7" t="inlineStr">
        <is>
          <t>Open</t>
        </is>
      </c>
      <c r="L118" s="7" t="inlineStr">
        <is>
          <t>EX-0114. No dock scan, disposal certificate, or count places MD-00094. last register site was Chicago - Closed.</t>
        </is>
      </c>
      <c r="M118" s="12" t="inlineStr">
        <is>
          <t>Blocks certification</t>
        </is>
      </c>
    </row>
    <row r="119">
      <c r="A119" s="7" t="inlineStr">
        <is>
          <t>EX-0115</t>
        </is>
      </c>
      <c r="B119" s="7" t="inlineStr">
        <is>
          <t>Former Employee Assignment</t>
        </is>
      </c>
      <c r="C119" s="8" t="inlineStr">
        <is>
          <t>Critical</t>
        </is>
      </c>
      <c r="D119" s="7" t="inlineStr">
        <is>
          <t>MD-00094</t>
        </is>
      </c>
      <c r="E119" s="7" t="inlineStr">
        <is>
          <t>MD-MO-050094</t>
        </is>
      </c>
      <c r="F119" s="7" t="inlineStr">
        <is>
          <t>Employee:E0082; Ticket:OFF-00094</t>
        </is>
      </c>
      <c r="G119" s="7" t="n">
        <v>431.2</v>
      </c>
      <c r="H119" s="7" t="inlineStr">
        <is>
          <t>Remove E0082 as custodian on MD-00094; park under Regional IT or IT Stock (EX-0115).</t>
        </is>
      </c>
      <c r="I119" s="7" t="inlineStr">
        <is>
          <t>HR Operations Lead</t>
        </is>
      </c>
      <c r="J119" s="7" t="inlineStr">
        <is>
          <t>2026-08-16</t>
        </is>
      </c>
      <c r="K119" s="7" t="inlineStr">
        <is>
          <t>Open</t>
        </is>
      </c>
      <c r="L119" s="7" t="inlineStr">
        <is>
          <t>Register still assigns MD-00094 to E0082. offboarding ticket OFF-00094 closed without a custodian change on MD-00094. EX-0115. hr_employee_status shows E0082 as separated.</t>
        </is>
      </c>
      <c r="M119" s="12" t="inlineStr">
        <is>
          <t>Blocks certification</t>
        </is>
      </c>
    </row>
    <row r="120">
      <c r="A120" s="7" t="inlineStr">
        <is>
          <t>EX-0116</t>
        </is>
      </c>
      <c r="B120" s="7" t="inlineStr">
        <is>
          <t>Cannot Locate</t>
        </is>
      </c>
      <c r="C120" s="8" t="inlineStr">
        <is>
          <t>Critical</t>
        </is>
      </c>
      <c r="D120" s="7" t="inlineStr">
        <is>
          <t>MD-00095</t>
        </is>
      </c>
      <c r="E120" s="7" t="inlineStr">
        <is>
          <t>MD-MO-050095</t>
        </is>
      </c>
      <c r="F120" s="7" t="inlineStr">
        <is>
          <t>Ticket:OFF-00095; Transfer:TR-00095; LastRegisterLocation:Denver - Closed</t>
        </is>
      </c>
      <c r="G120" s="7" t="n">
        <v>894.87</v>
      </c>
      <c r="H120" s="7" t="inlineStr">
        <is>
          <t>Run loss investigation on MD-00095; keep Missing until located or approved write-off (EX-0116).</t>
        </is>
      </c>
      <c r="I120" s="7" t="inlineStr">
        <is>
          <t>IT Operations Manager</t>
        </is>
      </c>
      <c r="J120" s="7" t="inlineStr">
        <is>
          <t>2026-08-12</t>
        </is>
      </c>
      <c r="K120" s="7" t="inlineStr">
        <is>
          <t>Open</t>
        </is>
      </c>
      <c r="L120" s="7" t="inlineStr">
        <is>
          <t>last register site was Denver - Closed. No dock scan, disposal certificate, or count places MD-00095. EX-0116.</t>
        </is>
      </c>
      <c r="M120" s="12" t="inlineStr">
        <is>
          <t>Blocks certification</t>
        </is>
      </c>
    </row>
    <row r="121">
      <c r="A121" s="7" t="inlineStr">
        <is>
          <t>EX-0117</t>
        </is>
      </c>
      <c r="B121" s="7" t="inlineStr">
        <is>
          <t>Former Employee Assignment</t>
        </is>
      </c>
      <c r="C121" s="8" t="inlineStr">
        <is>
          <t>Critical</t>
        </is>
      </c>
      <c r="D121" s="7" t="inlineStr">
        <is>
          <t>MD-00095</t>
        </is>
      </c>
      <c r="E121" s="7" t="inlineStr">
        <is>
          <t>MD-MO-050095</t>
        </is>
      </c>
      <c r="F121" s="7" t="inlineStr">
        <is>
          <t>Employee:E0083; Ticket:OFF-00095</t>
        </is>
      </c>
      <c r="G121" s="7" t="n">
        <v>894.87</v>
      </c>
      <c r="H121" s="7" t="inlineStr">
        <is>
          <t>Remove E0083 as custodian on MD-00095; park under Regional IT or IT Stock (EX-0117).</t>
        </is>
      </c>
      <c r="I121" s="7" t="inlineStr">
        <is>
          <t>HR Operations Lead</t>
        </is>
      </c>
      <c r="J121" s="7" t="inlineStr">
        <is>
          <t>2026-08-16</t>
        </is>
      </c>
      <c r="K121" s="7" t="inlineStr">
        <is>
          <t>Open</t>
        </is>
      </c>
      <c r="L121" s="7" t="inlineStr">
        <is>
          <t>offboarding ticket OFF-00095 closed without a custodian change on MD-00095. hr_employee_status shows E0083 as separated. Register still assigns MD-00095 to E0083. EX-0117.</t>
        </is>
      </c>
      <c r="M121" s="12" t="inlineStr">
        <is>
          <t>Blocks certification</t>
        </is>
      </c>
    </row>
    <row r="122">
      <c r="A122" s="7" t="inlineStr">
        <is>
          <t>EX-0118</t>
        </is>
      </c>
      <c r="B122" s="7" t="inlineStr">
        <is>
          <t>Cannot Locate</t>
        </is>
      </c>
      <c r="C122" s="8" t="inlineStr">
        <is>
          <t>Critical</t>
        </is>
      </c>
      <c r="D122" s="7" t="inlineStr">
        <is>
          <t>MD-00096</t>
        </is>
      </c>
      <c r="E122" s="7" t="inlineStr">
        <is>
          <t>MD-NE-050096</t>
        </is>
      </c>
      <c r="F122" s="7" t="inlineStr">
        <is>
          <t>Ticket:OFF-00096; Transfer:TR-00096; LastRegisterLocation:Chicago - Closed</t>
        </is>
      </c>
      <c r="G122" s="7" t="n">
        <v>511.01</v>
      </c>
      <c r="H122" s="7" t="inlineStr">
        <is>
          <t>Run loss investigation on MD-00096; keep Missing until located or approved write-off (EX-0118).</t>
        </is>
      </c>
      <c r="I122" s="7" t="inlineStr">
        <is>
          <t>IT Operations Manager</t>
        </is>
      </c>
      <c r="J122" s="7" t="inlineStr">
        <is>
          <t>2026-08-12</t>
        </is>
      </c>
      <c r="K122" s="7" t="inlineStr">
        <is>
          <t>Open</t>
        </is>
      </c>
      <c r="L122" s="7" t="inlineStr">
        <is>
          <t>EX-0118. No dock scan, disposal certificate, or count places MD-00096. last register site was Chicago - Closed.</t>
        </is>
      </c>
      <c r="M122" s="12" t="inlineStr">
        <is>
          <t>Blocks certification</t>
        </is>
      </c>
    </row>
    <row r="123">
      <c r="A123" s="7" t="inlineStr">
        <is>
          <t>EX-0119</t>
        </is>
      </c>
      <c r="B123" s="7" t="inlineStr">
        <is>
          <t>Former Employee Assignment</t>
        </is>
      </c>
      <c r="C123" s="8" t="inlineStr">
        <is>
          <t>Critical</t>
        </is>
      </c>
      <c r="D123" s="7" t="inlineStr">
        <is>
          <t>MD-00096</t>
        </is>
      </c>
      <c r="E123" s="7" t="inlineStr">
        <is>
          <t>MD-NE-050096</t>
        </is>
      </c>
      <c r="F123" s="7" t="inlineStr">
        <is>
          <t>Employee:E0084; Ticket:OFF-00096</t>
        </is>
      </c>
      <c r="G123" s="7" t="n">
        <v>511.01</v>
      </c>
      <c r="H123" s="7" t="inlineStr">
        <is>
          <t>Remove E0084 as custodian on MD-00096; park under Regional IT or IT Stock (EX-0119).</t>
        </is>
      </c>
      <c r="I123" s="7" t="inlineStr">
        <is>
          <t>HR Operations Lead</t>
        </is>
      </c>
      <c r="J123" s="7" t="inlineStr">
        <is>
          <t>2026-08-16</t>
        </is>
      </c>
      <c r="K123" s="7" t="inlineStr">
        <is>
          <t>Open</t>
        </is>
      </c>
      <c r="L123" s="7" t="inlineStr">
        <is>
          <t>Register still assigns MD-00096 to E0084. EX-0119. offboarding ticket OFF-00096 closed without a custodian change on MD-00096. hr_employee_status shows E0084 as separated.</t>
        </is>
      </c>
      <c r="M123" s="12" t="inlineStr">
        <is>
          <t>Blocks certification</t>
        </is>
      </c>
    </row>
    <row r="124">
      <c r="A124" s="7" t="inlineStr">
        <is>
          <t>EX-0120</t>
        </is>
      </c>
      <c r="B124" s="7" t="inlineStr">
        <is>
          <t>Cannot Locate</t>
        </is>
      </c>
      <c r="C124" s="8" t="inlineStr">
        <is>
          <t>Critical</t>
        </is>
      </c>
      <c r="D124" s="7" t="inlineStr">
        <is>
          <t>MD-00097</t>
        </is>
      </c>
      <c r="E124" s="7" t="inlineStr">
        <is>
          <t>MD-LA-050097</t>
        </is>
      </c>
      <c r="F124" s="7" t="inlineStr">
        <is>
          <t>Ticket:OFF-00097; Transfer:TR-00097; LastRegisterLocation:Denver - Closed</t>
        </is>
      </c>
      <c r="G124" s="7" t="n">
        <v>0</v>
      </c>
      <c r="H124" s="7" t="inlineStr">
        <is>
          <t>Run loss investigation on MD-00097; keep Missing until located or approved write-off (EX-0120).</t>
        </is>
      </c>
      <c r="I124" s="7" t="inlineStr">
        <is>
          <t>IT Operations Manager</t>
        </is>
      </c>
      <c r="J124" s="7" t="inlineStr">
        <is>
          <t>2026-08-12</t>
        </is>
      </c>
      <c r="K124" s="7" t="inlineStr">
        <is>
          <t>Open</t>
        </is>
      </c>
      <c r="L124" s="7" t="inlineStr">
        <is>
          <t>EX-0120. No dock scan, disposal certificate, or count places MD-00097. last register site was Denver - Closed.</t>
        </is>
      </c>
      <c r="M124" s="12" t="inlineStr">
        <is>
          <t>Blocks certification</t>
        </is>
      </c>
    </row>
    <row r="125">
      <c r="A125" s="7" t="inlineStr">
        <is>
          <t>EX-0121</t>
        </is>
      </c>
      <c r="B125" s="7" t="inlineStr">
        <is>
          <t>Former Employee Assignment</t>
        </is>
      </c>
      <c r="C125" s="8" t="inlineStr">
        <is>
          <t>Critical</t>
        </is>
      </c>
      <c r="D125" s="7" t="inlineStr">
        <is>
          <t>MD-00097</t>
        </is>
      </c>
      <c r="E125" s="7" t="inlineStr">
        <is>
          <t>MD-LA-050097</t>
        </is>
      </c>
      <c r="F125" s="7" t="inlineStr">
        <is>
          <t>Employee:E0085; Ticket:OFF-00097</t>
        </is>
      </c>
      <c r="G125" s="7" t="n">
        <v>0</v>
      </c>
      <c r="H125" s="7" t="inlineStr">
        <is>
          <t>Remove E0085 as custodian on MD-00097; park under Regional IT or IT Stock (EX-0121).</t>
        </is>
      </c>
      <c r="I125" s="7" t="inlineStr">
        <is>
          <t>HR Operations Lead</t>
        </is>
      </c>
      <c r="J125" s="7" t="inlineStr">
        <is>
          <t>2026-08-16</t>
        </is>
      </c>
      <c r="K125" s="7" t="inlineStr">
        <is>
          <t>Open</t>
        </is>
      </c>
      <c r="L125" s="7" t="inlineStr">
        <is>
          <t>Register still assigns MD-00097 to E0085. EX-0121. offboarding ticket OFF-00097 closed without a custodian change on MD-00097. hr_employee_status shows E0085 as separated.</t>
        </is>
      </c>
      <c r="M125" s="12" t="inlineStr">
        <is>
          <t>Blocks certification</t>
        </is>
      </c>
    </row>
    <row r="126">
      <c r="A126" s="7" t="inlineStr">
        <is>
          <t>EX-0122</t>
        </is>
      </c>
      <c r="B126" s="7" t="inlineStr">
        <is>
          <t>Cannot Locate</t>
        </is>
      </c>
      <c r="C126" s="8" t="inlineStr">
        <is>
          <t>Critical</t>
        </is>
      </c>
      <c r="D126" s="7" t="inlineStr">
        <is>
          <t>MD-00098</t>
        </is>
      </c>
      <c r="E126" s="7" t="inlineStr">
        <is>
          <t>MD-MO-050098</t>
        </is>
      </c>
      <c r="F126" s="7" t="inlineStr">
        <is>
          <t>Ticket:OFF-00098; Transfer:TR-00098; LastRegisterLocation:Chicago - Closed</t>
        </is>
      </c>
      <c r="G126" s="7" t="n">
        <v>266.87</v>
      </c>
      <c r="H126" s="7" t="inlineStr">
        <is>
          <t>Run loss investigation on MD-00098; keep Missing until located or approved write-off (EX-0122).</t>
        </is>
      </c>
      <c r="I126" s="7" t="inlineStr">
        <is>
          <t>IT Operations Manager</t>
        </is>
      </c>
      <c r="J126" s="7" t="inlineStr">
        <is>
          <t>2026-08-12</t>
        </is>
      </c>
      <c r="K126" s="7" t="inlineStr">
        <is>
          <t>Open</t>
        </is>
      </c>
      <c r="L126" s="7" t="inlineStr">
        <is>
          <t>last register site was Chicago - Closed. EX-0122. No dock scan, disposal certificate, or count places MD-00098.</t>
        </is>
      </c>
      <c r="M126" s="12" t="inlineStr">
        <is>
          <t>Blocks certification</t>
        </is>
      </c>
    </row>
    <row r="127">
      <c r="A127" s="7" t="inlineStr">
        <is>
          <t>EX-0123</t>
        </is>
      </c>
      <c r="B127" s="7" t="inlineStr">
        <is>
          <t>Former Employee Assignment</t>
        </is>
      </c>
      <c r="C127" s="8" t="inlineStr">
        <is>
          <t>Critical</t>
        </is>
      </c>
      <c r="D127" s="7" t="inlineStr">
        <is>
          <t>MD-00098</t>
        </is>
      </c>
      <c r="E127" s="7" t="inlineStr">
        <is>
          <t>MD-MO-050098</t>
        </is>
      </c>
      <c r="F127" s="7" t="inlineStr">
        <is>
          <t>Employee:E0086; Ticket:OFF-00098</t>
        </is>
      </c>
      <c r="G127" s="7" t="n">
        <v>266.87</v>
      </c>
      <c r="H127" s="7" t="inlineStr">
        <is>
          <t>Remove E0086 as custodian on MD-00098; park under Regional IT or IT Stock (EX-0123).</t>
        </is>
      </c>
      <c r="I127" s="7" t="inlineStr">
        <is>
          <t>HR Operations Lead</t>
        </is>
      </c>
      <c r="J127" s="7" t="inlineStr">
        <is>
          <t>2026-08-16</t>
        </is>
      </c>
      <c r="K127" s="7" t="inlineStr">
        <is>
          <t>Open</t>
        </is>
      </c>
      <c r="L127" s="7" t="inlineStr">
        <is>
          <t>hr_employee_status shows E0086 as separated. EX-0123. Register still assigns MD-00098 to E0086. offboarding ticket OFF-00098 closed without a custodian change on MD-00098.</t>
        </is>
      </c>
      <c r="M127" s="12" t="inlineStr">
        <is>
          <t>Blocks certification</t>
        </is>
      </c>
    </row>
    <row r="128">
      <c r="A128" s="7" t="inlineStr">
        <is>
          <t>EX-0124</t>
        </is>
      </c>
      <c r="B128" s="7" t="inlineStr">
        <is>
          <t>Cannot Locate</t>
        </is>
      </c>
      <c r="C128" s="8" t="inlineStr">
        <is>
          <t>Critical</t>
        </is>
      </c>
      <c r="D128" s="7" t="inlineStr">
        <is>
          <t>MD-00099</t>
        </is>
      </c>
      <c r="E128" s="7" t="inlineStr">
        <is>
          <t>MD-MO-050099</t>
        </is>
      </c>
      <c r="F128" s="7" t="inlineStr">
        <is>
          <t>Ticket:OFF-00099; Transfer:TR-00099; LastRegisterLocation:Denver - Closed</t>
        </is>
      </c>
      <c r="G128" s="7" t="n">
        <v>548.24</v>
      </c>
      <c r="H128" s="7" t="inlineStr">
        <is>
          <t>Run loss investigation on MD-00099; keep Missing until located or approved write-off (EX-0124).</t>
        </is>
      </c>
      <c r="I128" s="7" t="inlineStr">
        <is>
          <t>IT Operations Manager</t>
        </is>
      </c>
      <c r="J128" s="7" t="inlineStr">
        <is>
          <t>2026-08-12</t>
        </is>
      </c>
      <c r="K128" s="7" t="inlineStr">
        <is>
          <t>Open</t>
        </is>
      </c>
      <c r="L128" s="7" t="inlineStr">
        <is>
          <t>EX-0124. No dock scan, disposal certificate, or count places MD-00099. last register site was Denver - Closed.</t>
        </is>
      </c>
      <c r="M128" s="12" t="inlineStr">
        <is>
          <t>Blocks certification</t>
        </is>
      </c>
    </row>
    <row r="129">
      <c r="A129" s="7" t="inlineStr">
        <is>
          <t>EX-0125</t>
        </is>
      </c>
      <c r="B129" s="7" t="inlineStr">
        <is>
          <t>Former Employee Assignment</t>
        </is>
      </c>
      <c r="C129" s="8" t="inlineStr">
        <is>
          <t>Critical</t>
        </is>
      </c>
      <c r="D129" s="7" t="inlineStr">
        <is>
          <t>MD-00099</t>
        </is>
      </c>
      <c r="E129" s="7" t="inlineStr">
        <is>
          <t>MD-MO-050099</t>
        </is>
      </c>
      <c r="F129" s="7" t="inlineStr">
        <is>
          <t>Employee:E0087; Ticket:OFF-00099</t>
        </is>
      </c>
      <c r="G129" s="7" t="n">
        <v>548.24</v>
      </c>
      <c r="H129" s="7" t="inlineStr">
        <is>
          <t>Remove E0087 as custodian on MD-00099; park under Regional IT or IT Stock (EX-0125).</t>
        </is>
      </c>
      <c r="I129" s="7" t="inlineStr">
        <is>
          <t>HR Operations Lead</t>
        </is>
      </c>
      <c r="J129" s="7" t="inlineStr">
        <is>
          <t>2026-08-16</t>
        </is>
      </c>
      <c r="K129" s="7" t="inlineStr">
        <is>
          <t>Open</t>
        </is>
      </c>
      <c r="L129" s="7" t="inlineStr">
        <is>
          <t>Register still assigns MD-00099 to E0087. offboarding ticket OFF-00099 closed without a custodian change on MD-00099. hr_employee_status shows E0087 as separated. EX-0125.</t>
        </is>
      </c>
      <c r="M129" s="12" t="inlineStr">
        <is>
          <t>Blocks certification</t>
        </is>
      </c>
    </row>
    <row r="130">
      <c r="A130" s="7" t="inlineStr">
        <is>
          <t>EX-0126</t>
        </is>
      </c>
      <c r="B130" s="7" t="inlineStr">
        <is>
          <t>Cannot Locate</t>
        </is>
      </c>
      <c r="C130" s="8" t="inlineStr">
        <is>
          <t>Critical</t>
        </is>
      </c>
      <c r="D130" s="7" t="inlineStr">
        <is>
          <t>MD-00100</t>
        </is>
      </c>
      <c r="E130" s="7" t="inlineStr">
        <is>
          <t>MD-NE-050100</t>
        </is>
      </c>
      <c r="F130" s="7" t="inlineStr">
        <is>
          <t>Ticket:OFF-00100; Transfer:TR-00100; LastRegisterLocation:Chicago - Closed</t>
        </is>
      </c>
      <c r="G130" s="7" t="n">
        <v>927.36</v>
      </c>
      <c r="H130" s="7" t="inlineStr">
        <is>
          <t>Run loss investigation on MD-00100; keep Missing until located or approved write-off (EX-0126).</t>
        </is>
      </c>
      <c r="I130" s="7" t="inlineStr">
        <is>
          <t>IT Operations Manager</t>
        </is>
      </c>
      <c r="J130" s="7" t="inlineStr">
        <is>
          <t>2026-08-12</t>
        </is>
      </c>
      <c r="K130" s="7" t="inlineStr">
        <is>
          <t>Open</t>
        </is>
      </c>
      <c r="L130" s="7" t="inlineStr">
        <is>
          <t>EX-0126. last register site was Chicago - Closed. No dock scan, disposal certificate, or count places MD-00100.</t>
        </is>
      </c>
      <c r="M130" s="12" t="inlineStr">
        <is>
          <t>Blocks certification</t>
        </is>
      </c>
    </row>
    <row r="131">
      <c r="A131" s="7" t="inlineStr">
        <is>
          <t>EX-0127</t>
        </is>
      </c>
      <c r="B131" s="7" t="inlineStr">
        <is>
          <t>Former Employee Assignment</t>
        </is>
      </c>
      <c r="C131" s="8" t="inlineStr">
        <is>
          <t>Critical</t>
        </is>
      </c>
      <c r="D131" s="7" t="inlineStr">
        <is>
          <t>MD-00100</t>
        </is>
      </c>
      <c r="E131" s="7" t="inlineStr">
        <is>
          <t>MD-NE-050100</t>
        </is>
      </c>
      <c r="F131" s="7" t="inlineStr">
        <is>
          <t>Employee:E0088; Ticket:OFF-00100</t>
        </is>
      </c>
      <c r="G131" s="7" t="n">
        <v>927.36</v>
      </c>
      <c r="H131" s="7" t="inlineStr">
        <is>
          <t>Remove E0088 as custodian on MD-00100; park under Regional IT or IT Stock (EX-0127).</t>
        </is>
      </c>
      <c r="I131" s="7" t="inlineStr">
        <is>
          <t>HR Operations Lead</t>
        </is>
      </c>
      <c r="J131" s="7" t="inlineStr">
        <is>
          <t>2026-08-16</t>
        </is>
      </c>
      <c r="K131" s="7" t="inlineStr">
        <is>
          <t>Open</t>
        </is>
      </c>
      <c r="L131" s="7" t="inlineStr">
        <is>
          <t>offboarding ticket OFF-00100 closed without a custodian change on MD-00100. hr_employee_status shows E0088 as separated. Register still assigns MD-00100 to E0088. EX-0127.</t>
        </is>
      </c>
      <c r="M131" s="12" t="inlineStr">
        <is>
          <t>Blocks certification</t>
        </is>
      </c>
    </row>
    <row r="132">
      <c r="A132" s="7" t="inlineStr">
        <is>
          <t>EX-0128</t>
        </is>
      </c>
      <c r="B132" s="7" t="inlineStr">
        <is>
          <t>Missing Disposal Evidence</t>
        </is>
      </c>
      <c r="C132" s="10" t="inlineStr">
        <is>
          <t>High</t>
        </is>
      </c>
      <c r="D132" s="7" t="inlineStr">
        <is>
          <t>MD-00101</t>
        </is>
      </c>
      <c r="E132" s="7" t="inlineStr">
        <is>
          <t>MD-LA-050101</t>
        </is>
      </c>
      <c r="F132" s="7" t="inlineStr">
        <is>
          <t>Ticket:RET-00101; Transfer:TR-00101; Certificate:missing</t>
        </is>
      </c>
      <c r="G132" s="7" t="n">
        <v>0</v>
      </c>
      <c r="H132" s="7" t="inlineStr">
        <is>
          <t>Obtain disposal certificate for MD-00101 or reverse retirement (EX-0128).</t>
        </is>
      </c>
      <c r="I132" s="7" t="inlineStr">
        <is>
          <t>IT Asset Manager</t>
        </is>
      </c>
      <c r="J132" s="7" t="inlineStr">
        <is>
          <t>2026-08-23</t>
        </is>
      </c>
      <c r="K132" s="7" t="inlineStr">
        <is>
          <t>Open</t>
        </is>
      </c>
      <c r="L132" s="7" t="inlineStr">
        <is>
          <t>EX-0128. Retirement path for MD-00101 lacks a verified disposal certificate. transfer TR-00101 to recycler without DC. serial MD-LA-050101 not matched in asset_disposal_records.</t>
        </is>
      </c>
      <c r="M132" s="7" t="inlineStr">
        <is>
          <t>Requires remediation</t>
        </is>
      </c>
    </row>
    <row r="133">
      <c r="A133" s="7" t="inlineStr">
        <is>
          <t>EX-0129</t>
        </is>
      </c>
      <c r="B133" s="7" t="inlineStr">
        <is>
          <t>Closed Location Assignment</t>
        </is>
      </c>
      <c r="C133" s="11" t="inlineStr">
        <is>
          <t>Medium</t>
        </is>
      </c>
      <c r="D133" s="7" t="inlineStr">
        <is>
          <t>MD-00101</t>
        </is>
      </c>
      <c r="E133" s="7" t="inlineStr">
        <is>
          <t>MD-LA-050101</t>
        </is>
      </c>
      <c r="F133" s="7" t="inlineStr">
        <is>
          <t>RegisterLocation:Denver - Closed; Transfer:TR-00101</t>
        </is>
      </c>
      <c r="G133" s="7" t="n">
        <v>0</v>
      </c>
      <c r="H133" s="7" t="inlineStr">
        <is>
          <t>Retire the closed-office code on MD-00101 and post Seattle as the working site; cite TR-00101 in the update (EX-0129)</t>
        </is>
      </c>
      <c r="I133" s="7" t="inlineStr">
        <is>
          <t>IT Asset Specialist</t>
        </is>
      </c>
      <c r="J133" s="7" t="inlineStr">
        <is>
          <t>2026-08-19</t>
        </is>
      </c>
      <c r="K133" s="7" t="inlineStr">
        <is>
          <t>Open</t>
        </is>
      </c>
      <c r="L133" s="7" t="inlineStr">
        <is>
          <t>equipment_transfer_log TR-00101 points to Seattle. Inventory row MD-00101 (serial MD-LA-050101) still lists site Denver - Closed. finding EX-0129. operating footprint for MD-00101 is Seattle, not Denver - Closed.</t>
        </is>
      </c>
      <c r="M133" s="7" t="inlineStr">
        <is>
          <t>Requires remediation</t>
        </is>
      </c>
    </row>
    <row r="134">
      <c r="A134" s="7" t="inlineStr">
        <is>
          <t>EX-0130</t>
        </is>
      </c>
      <c r="B134" s="7" t="inlineStr">
        <is>
          <t>Missing Disposal Evidence</t>
        </is>
      </c>
      <c r="C134" s="10" t="inlineStr">
        <is>
          <t>High</t>
        </is>
      </c>
      <c r="D134" s="7" t="inlineStr">
        <is>
          <t>MD-00102</t>
        </is>
      </c>
      <c r="E134" s="7" t="inlineStr">
        <is>
          <t>MD-MO-050102</t>
        </is>
      </c>
      <c r="F134" s="7" t="inlineStr">
        <is>
          <t>Ticket:RET-00102; Transfer:TR-00102; Certificate:missing</t>
        </is>
      </c>
      <c r="G134" s="7" t="n">
        <v>407.54</v>
      </c>
      <c r="H134" s="7" t="inlineStr">
        <is>
          <t>Obtain disposal certificate for MD-00102 or reverse retirement (EX-0130).</t>
        </is>
      </c>
      <c r="I134" s="7" t="inlineStr">
        <is>
          <t>IT Asset Manager</t>
        </is>
      </c>
      <c r="J134" s="7" t="inlineStr">
        <is>
          <t>2026-08-23</t>
        </is>
      </c>
      <c r="K134" s="7" t="inlineStr">
        <is>
          <t>Open</t>
        </is>
      </c>
      <c r="L134" s="7" t="inlineStr">
        <is>
          <t>EX-0130. Retirement path for MD-00102 lacks a verified disposal certificate. transfer TR-00102 to recycler without DC. serial MD-MO-050102 not matched in asset_disposal_records.</t>
        </is>
      </c>
      <c r="M134" s="7" t="inlineStr">
        <is>
          <t>Requires remediation</t>
        </is>
      </c>
    </row>
    <row r="135">
      <c r="A135" s="7" t="inlineStr">
        <is>
          <t>EX-0131</t>
        </is>
      </c>
      <c r="B135" s="7" t="inlineStr">
        <is>
          <t>Inventory-to-Ledger Difference</t>
        </is>
      </c>
      <c r="C135" s="10" t="inlineStr">
        <is>
          <t>High</t>
        </is>
      </c>
      <c r="D135" s="7" t="inlineStr">
        <is>
          <t>MD-00102</t>
        </is>
      </c>
      <c r="E135" s="7" t="inlineStr">
        <is>
          <t>MD-MO-050102</t>
        </is>
      </c>
      <c r="F135" s="7" t="inlineStr">
        <is>
          <t>Ledger:FA-000102; PO:PO-2024-0019; RegisterCost:700.0; LedgerCost:820.0</t>
        </is>
      </c>
      <c r="G135" s="7" t="n">
        <v>120</v>
      </c>
      <c r="H135" s="7" t="inlineStr">
        <is>
          <t>Align cost on MD-00102: register 700.0 vs ledger 820.0 (FA-000102) (EX-0131).</t>
        </is>
      </c>
      <c r="I135" s="7" t="inlineStr">
        <is>
          <t>Finance Controller</t>
        </is>
      </c>
      <c r="J135" s="7" t="inlineStr">
        <is>
          <t>2026-08-21</t>
        </is>
      </c>
      <c r="K135" s="7" t="inlineStr">
        <is>
          <t>Open</t>
        </is>
      </c>
      <c r="L135" s="7" t="inlineStr">
        <is>
          <t>Register cost $700.0 on MD-00102 does not match ledger $820.0 on FA-000102 (EX-0131).</t>
        </is>
      </c>
      <c r="M135" s="7" t="inlineStr">
        <is>
          <t>Requires remediation</t>
        </is>
      </c>
    </row>
    <row r="136">
      <c r="A136" s="7" t="inlineStr">
        <is>
          <t>EX-0132</t>
        </is>
      </c>
      <c r="B136" s="7" t="inlineStr">
        <is>
          <t>Closed Location Assignment</t>
        </is>
      </c>
      <c r="C136" s="11" t="inlineStr">
        <is>
          <t>Medium</t>
        </is>
      </c>
      <c r="D136" s="7" t="inlineStr">
        <is>
          <t>MD-00102</t>
        </is>
      </c>
      <c r="E136" s="7" t="inlineStr">
        <is>
          <t>MD-MO-050102</t>
        </is>
      </c>
      <c r="F136" s="7" t="inlineStr">
        <is>
          <t>RegisterLocation:Chicago - Closed; Transfer:TR-00102</t>
        </is>
      </c>
      <c r="G136" s="7" t="n">
        <v>407.54</v>
      </c>
      <c r="H136" s="7" t="inlineStr">
        <is>
          <t>Correct the stale location on MD-00102 (Chicago - Closed → Atlanta); cite TR-00102 in the update (EX-0132)</t>
        </is>
      </c>
      <c r="I136" s="7" t="inlineStr">
        <is>
          <t>IT Asset Specialist</t>
        </is>
      </c>
      <c r="J136" s="7" t="inlineStr">
        <is>
          <t>2026-08-19</t>
        </is>
      </c>
      <c r="K136" s="7" t="inlineStr">
        <is>
          <t>Open</t>
        </is>
      </c>
      <c r="L136" s="7" t="inlineStr">
        <is>
          <t>Site code Chicago - Closed on MD-00102 was retired during consolidation but remains on the asset row. operating footprint for MD-00102 is Atlanta, not Chicago - Closed. equipment_transfer_log TR-00102 points to Atlanta. finding EX-0132.</t>
        </is>
      </c>
      <c r="M136" s="7" t="inlineStr">
        <is>
          <t>Requires remediation</t>
        </is>
      </c>
    </row>
    <row r="137">
      <c r="A137" s="7" t="inlineStr">
        <is>
          <t>EX-0133</t>
        </is>
      </c>
      <c r="B137" s="7" t="inlineStr">
        <is>
          <t>Missing Disposal Evidence</t>
        </is>
      </c>
      <c r="C137" s="10" t="inlineStr">
        <is>
          <t>High</t>
        </is>
      </c>
      <c r="D137" s="7" t="inlineStr">
        <is>
          <t>MD-00103</t>
        </is>
      </c>
      <c r="E137" s="7" t="inlineStr">
        <is>
          <t>MD-MO-050103</t>
        </is>
      </c>
      <c r="F137" s="7" t="inlineStr">
        <is>
          <t>Ticket:RET-00103; Transfer:TR-00103; Certificate:missing</t>
        </is>
      </c>
      <c r="G137" s="7" t="n">
        <v>782.53</v>
      </c>
      <c r="H137" s="7" t="inlineStr">
        <is>
          <t>Obtain disposal certificate for MD-00103 or reverse retirement (EX-0133).</t>
        </is>
      </c>
      <c r="I137" s="7" t="inlineStr">
        <is>
          <t>IT Asset Manager</t>
        </is>
      </c>
      <c r="J137" s="7" t="inlineStr">
        <is>
          <t>2026-08-23</t>
        </is>
      </c>
      <c r="K137" s="7" t="inlineStr">
        <is>
          <t>Open</t>
        </is>
      </c>
      <c r="L137" s="7" t="inlineStr">
        <is>
          <t>Retirement path for MD-00103 lacks a verified disposal certificate. serial MD-MO-050103 not matched in asset_disposal_records. transfer TR-00103 to recycler without DC. EX-0133.</t>
        </is>
      </c>
      <c r="M137" s="7" t="inlineStr">
        <is>
          <t>Requires remediation</t>
        </is>
      </c>
    </row>
    <row r="138">
      <c r="A138" s="7" t="inlineStr">
        <is>
          <t>EX-0134</t>
        </is>
      </c>
      <c r="B138" s="7" t="inlineStr">
        <is>
          <t>Closed Location Assignment</t>
        </is>
      </c>
      <c r="C138" s="11" t="inlineStr">
        <is>
          <t>Medium</t>
        </is>
      </c>
      <c r="D138" s="7" t="inlineStr">
        <is>
          <t>MD-00103</t>
        </is>
      </c>
      <c r="E138" s="7" t="inlineStr">
        <is>
          <t>MD-MO-050103</t>
        </is>
      </c>
      <c r="F138" s="7" t="inlineStr">
        <is>
          <t>RegisterLocation:Denver - Closed; Transfer:TR-00103</t>
        </is>
      </c>
      <c r="G138" s="7" t="n">
        <v>782.53</v>
      </c>
      <c r="H138" s="7" t="inlineStr">
        <is>
          <t>Retire the closed-office code on MD-00103 and post Chicago as the working site; cite TR-00103 in the update (EX-0134)</t>
        </is>
      </c>
      <c r="I138" s="7" t="inlineStr">
        <is>
          <t>IT Asset Specialist</t>
        </is>
      </c>
      <c r="J138" s="7" t="inlineStr">
        <is>
          <t>2026-08-19</t>
        </is>
      </c>
      <c r="K138" s="7" t="inlineStr">
        <is>
          <t>Open</t>
        </is>
      </c>
      <c r="L138" s="7" t="inlineStr">
        <is>
          <t>equipment_transfer_log TR-00103 points to Chicago. finding EX-0134. Site code Denver - Closed on MD-00103 was retired during consolidation but remains on the asset row. operating footprint for MD-00103 is Chicago, not Denver - Closed.</t>
        </is>
      </c>
      <c r="M138" s="7" t="inlineStr">
        <is>
          <t>Requires remediation</t>
        </is>
      </c>
    </row>
    <row r="139">
      <c r="A139" s="7" t="inlineStr">
        <is>
          <t>EX-0135</t>
        </is>
      </c>
      <c r="B139" s="7" t="inlineStr">
        <is>
          <t>Missing Disposal Evidence</t>
        </is>
      </c>
      <c r="C139" s="10" t="inlineStr">
        <is>
          <t>High</t>
        </is>
      </c>
      <c r="D139" s="7" t="inlineStr">
        <is>
          <t>MD-00104</t>
        </is>
      </c>
      <c r="E139" s="7" t="inlineStr">
        <is>
          <t>MD-NE-050104</t>
        </is>
      </c>
      <c r="F139" s="7" t="inlineStr">
        <is>
          <t>Ticket:RET-00104; Transfer:TR-00104; Certificate:missing</t>
        </is>
      </c>
      <c r="G139" s="7" t="n">
        <v>1403.83</v>
      </c>
      <c r="H139" s="7" t="inlineStr">
        <is>
          <t>Obtain disposal certificate for MD-00104 or reverse retirement (EX-0135).</t>
        </is>
      </c>
      <c r="I139" s="7" t="inlineStr">
        <is>
          <t>IT Asset Manager</t>
        </is>
      </c>
      <c r="J139" s="7" t="inlineStr">
        <is>
          <t>2026-08-23</t>
        </is>
      </c>
      <c r="K139" s="7" t="inlineStr">
        <is>
          <t>Open</t>
        </is>
      </c>
      <c r="L139" s="7" t="inlineStr">
        <is>
          <t>transfer TR-00104 to recycler without DC. serial MD-NE-050104 not matched in asset_disposal_records. EX-0135. Retirement path for MD-00104 lacks a verified disposal certificate.</t>
        </is>
      </c>
      <c r="M139" s="7" t="inlineStr">
        <is>
          <t>Requires remediation</t>
        </is>
      </c>
    </row>
    <row r="140">
      <c r="A140" s="7" t="inlineStr">
        <is>
          <t>EX-0136</t>
        </is>
      </c>
      <c r="B140" s="7" t="inlineStr">
        <is>
          <t>Closed Location Assignment</t>
        </is>
      </c>
      <c r="C140" s="11" t="inlineStr">
        <is>
          <t>Medium</t>
        </is>
      </c>
      <c r="D140" s="7" t="inlineStr">
        <is>
          <t>MD-00104</t>
        </is>
      </c>
      <c r="E140" s="7" t="inlineStr">
        <is>
          <t>MD-NE-050104</t>
        </is>
      </c>
      <c r="F140" s="7" t="inlineStr">
        <is>
          <t>RegisterLocation:Chicago - Closed; Transfer:TR-00104</t>
        </is>
      </c>
      <c r="G140" s="7" t="n">
        <v>1403.83</v>
      </c>
      <c r="H140" s="7" t="inlineStr">
        <is>
          <t>Replace shuttered site Chicago - Closed on MD-00104 with Dallas on the register; cite TR-00104 in the update (EX-0136)</t>
        </is>
      </c>
      <c r="I140" s="7" t="inlineStr">
        <is>
          <t>IT Asset Specialist</t>
        </is>
      </c>
      <c r="J140" s="7" t="inlineStr">
        <is>
          <t>2026-08-19</t>
        </is>
      </c>
      <c r="K140" s="7" t="inlineStr">
        <is>
          <t>Open</t>
        </is>
      </c>
      <c r="L140" s="7" t="inlineStr">
        <is>
          <t>Site code Chicago - Closed on MD-00104 was retired during consolidation but remains on the asset row. operating footprint for MD-00104 is Dallas, not Chicago - Closed. finding EX-0136. equipment_transfer_log TR-00104 points to Dallas.</t>
        </is>
      </c>
      <c r="M140" s="7" t="inlineStr">
        <is>
          <t>Requires remediation</t>
        </is>
      </c>
    </row>
    <row r="141">
      <c r="A141" s="7" t="inlineStr">
        <is>
          <t>EX-0137</t>
        </is>
      </c>
      <c r="B141" s="7" t="inlineStr">
        <is>
          <t>Missing Disposal Evidence</t>
        </is>
      </c>
      <c r="C141" s="10" t="inlineStr">
        <is>
          <t>High</t>
        </is>
      </c>
      <c r="D141" s="7" t="inlineStr">
        <is>
          <t>MD-00105</t>
        </is>
      </c>
      <c r="E141" s="7" t="inlineStr">
        <is>
          <t>MD-LA-050105</t>
        </is>
      </c>
      <c r="F141" s="7" t="inlineStr">
        <is>
          <t>Ticket:RET-00105; Transfer:TR-00105; Certificate:missing</t>
        </is>
      </c>
      <c r="G141" s="7" t="n">
        <v>104.26</v>
      </c>
      <c r="H141" s="7" t="inlineStr">
        <is>
          <t>Obtain disposal certificate for MD-00105 or reverse retirement (EX-0137).</t>
        </is>
      </c>
      <c r="I141" s="7" t="inlineStr">
        <is>
          <t>IT Asset Manager</t>
        </is>
      </c>
      <c r="J141" s="7" t="inlineStr">
        <is>
          <t>2026-08-23</t>
        </is>
      </c>
      <c r="K141" s="7" t="inlineStr">
        <is>
          <t>Open</t>
        </is>
      </c>
      <c r="L141" s="7" t="inlineStr">
        <is>
          <t>serial MD-LA-050105 not matched in asset_disposal_records. EX-0137. transfer TR-00105 to recycler without DC. Retirement path for MD-00105 lacks a verified disposal certificate.</t>
        </is>
      </c>
      <c r="M141" s="7" t="inlineStr">
        <is>
          <t>Requires remediation</t>
        </is>
      </c>
    </row>
    <row r="142">
      <c r="A142" s="7" t="inlineStr">
        <is>
          <t>EX-0138</t>
        </is>
      </c>
      <c r="B142" s="7" t="inlineStr">
        <is>
          <t>Closed Location Assignment</t>
        </is>
      </c>
      <c r="C142" s="11" t="inlineStr">
        <is>
          <t>Medium</t>
        </is>
      </c>
      <c r="D142" s="7" t="inlineStr">
        <is>
          <t>MD-00105</t>
        </is>
      </c>
      <c r="E142" s="7" t="inlineStr">
        <is>
          <t>MD-LA-050105</t>
        </is>
      </c>
      <c r="F142" s="7" t="inlineStr">
        <is>
          <t>RegisterLocation:Denver - Closed; Transfer:TR-00105</t>
        </is>
      </c>
      <c r="G142" s="7" t="n">
        <v>104.26</v>
      </c>
      <c r="H142" s="7" t="inlineStr">
        <is>
          <t>IT Asset Specialist: change MD-00105 location from Denver - Closed to Denver; cite TR-00105 in the update (EX-0138)</t>
        </is>
      </c>
      <c r="I142" s="7" t="inlineStr">
        <is>
          <t>IT Asset Specialist</t>
        </is>
      </c>
      <c r="J142" s="7" t="inlineStr">
        <is>
          <t>2026-08-19</t>
        </is>
      </c>
      <c r="K142" s="7" t="inlineStr">
        <is>
          <t>Open</t>
        </is>
      </c>
      <c r="L142" s="7" t="inlineStr">
        <is>
          <t>operating footprint for MD-00105 is Denver, not Denver - Closed. equipment_transfer_log TR-00105 points to Denver. Site code Denver - Closed on MD-00105 was retired during consolidation but remains on the asset row. finding EX-0138.</t>
        </is>
      </c>
      <c r="M142" s="7" t="inlineStr">
        <is>
          <t>Requires remediation</t>
        </is>
      </c>
    </row>
    <row r="143">
      <c r="A143" s="7" t="inlineStr">
        <is>
          <t>EX-0139</t>
        </is>
      </c>
      <c r="B143" s="7" t="inlineStr">
        <is>
          <t>Missing Disposal Evidence</t>
        </is>
      </c>
      <c r="C143" s="10" t="inlineStr">
        <is>
          <t>High</t>
        </is>
      </c>
      <c r="D143" s="7" t="inlineStr">
        <is>
          <t>MD-00106</t>
        </is>
      </c>
      <c r="E143" s="7" t="inlineStr">
        <is>
          <t>MD-MO-050106</t>
        </is>
      </c>
      <c r="F143" s="7" t="inlineStr">
        <is>
          <t>Ticket:RET-00106; Transfer:TR-00106; Certificate:missing</t>
        </is>
      </c>
      <c r="G143" s="7" t="n">
        <v>368.24</v>
      </c>
      <c r="H143" s="7" t="inlineStr">
        <is>
          <t>Obtain disposal certificate for MD-00106 or reverse retirement (EX-0139).</t>
        </is>
      </c>
      <c r="I143" s="7" t="inlineStr">
        <is>
          <t>IT Asset Manager</t>
        </is>
      </c>
      <c r="J143" s="7" t="inlineStr">
        <is>
          <t>2026-08-23</t>
        </is>
      </c>
      <c r="K143" s="7" t="inlineStr">
        <is>
          <t>Open</t>
        </is>
      </c>
      <c r="L143" s="7" t="inlineStr">
        <is>
          <t>transfer TR-00106 to recycler without DC. EX-0139. serial MD-MO-050106 not matched in asset_disposal_records. Retirement path for MD-00106 lacks a verified disposal certificate.</t>
        </is>
      </c>
      <c r="M143" s="7" t="inlineStr">
        <is>
          <t>Requires remediation</t>
        </is>
      </c>
    </row>
    <row r="144">
      <c r="A144" s="7" t="inlineStr">
        <is>
          <t>EX-0140</t>
        </is>
      </c>
      <c r="B144" s="7" t="inlineStr">
        <is>
          <t>Closed Location Assignment</t>
        </is>
      </c>
      <c r="C144" s="11" t="inlineStr">
        <is>
          <t>Medium</t>
        </is>
      </c>
      <c r="D144" s="7" t="inlineStr">
        <is>
          <t>MD-00106</t>
        </is>
      </c>
      <c r="E144" s="7" t="inlineStr">
        <is>
          <t>MD-MO-050106</t>
        </is>
      </c>
      <c r="F144" s="7" t="inlineStr">
        <is>
          <t>RegisterLocation:Chicago - Closed; Transfer:TR-00106</t>
        </is>
      </c>
      <c r="G144" s="7" t="n">
        <v>368.24</v>
      </c>
      <c r="H144" s="7" t="inlineStr">
        <is>
          <t>IT Asset Specialist: change MD-00106 location from Chicago - Closed to New York; cite TR-00106 in the update (EX-0140)</t>
        </is>
      </c>
      <c r="I144" s="7" t="inlineStr">
        <is>
          <t>IT Asset Specialist</t>
        </is>
      </c>
      <c r="J144" s="7" t="inlineStr">
        <is>
          <t>2026-08-19</t>
        </is>
      </c>
      <c r="K144" s="7" t="inlineStr">
        <is>
          <t>Open</t>
        </is>
      </c>
      <c r="L144" s="7" t="inlineStr">
        <is>
          <t>operating footprint for MD-00106 is New York, not Chicago - Closed. finding EX-0140. Inventory row MD-00106 (serial MD-MO-050106) still lists site Chicago - Closed. equipment_transfer_log TR-00106 points to New York.</t>
        </is>
      </c>
      <c r="M144" s="7" t="inlineStr">
        <is>
          <t>Requires remediation</t>
        </is>
      </c>
    </row>
    <row r="145">
      <c r="A145" s="7" t="inlineStr">
        <is>
          <t>EX-0141</t>
        </is>
      </c>
      <c r="B145" s="7" t="inlineStr">
        <is>
          <t>Missing Disposal Evidence</t>
        </is>
      </c>
      <c r="C145" s="10" t="inlineStr">
        <is>
          <t>High</t>
        </is>
      </c>
      <c r="D145" s="7" t="inlineStr">
        <is>
          <t>MD-00107</t>
        </is>
      </c>
      <c r="E145" s="7" t="inlineStr">
        <is>
          <t>MD-MO-050107</t>
        </is>
      </c>
      <c r="F145" s="7" t="inlineStr">
        <is>
          <t>Ticket:RET-00107; Transfer:TR-00107; Certificate:missing</t>
        </is>
      </c>
      <c r="G145" s="7" t="n">
        <v>812.21</v>
      </c>
      <c r="H145" s="7" t="inlineStr">
        <is>
          <t>Obtain disposal certificate for MD-00107 or reverse retirement (EX-0141).</t>
        </is>
      </c>
      <c r="I145" s="7" t="inlineStr">
        <is>
          <t>IT Asset Manager</t>
        </is>
      </c>
      <c r="J145" s="7" t="inlineStr">
        <is>
          <t>2026-08-23</t>
        </is>
      </c>
      <c r="K145" s="7" t="inlineStr">
        <is>
          <t>Open</t>
        </is>
      </c>
      <c r="L145" s="7" t="inlineStr">
        <is>
          <t>transfer TR-00107 to recycler without DC. EX-0141. serial MD-MO-050107 not matched in asset_disposal_records. Retirement path for MD-00107 lacks a verified disposal certificate.</t>
        </is>
      </c>
      <c r="M145" s="7" t="inlineStr">
        <is>
          <t>Requires remediation</t>
        </is>
      </c>
    </row>
    <row r="146">
      <c r="A146" s="7" t="inlineStr">
        <is>
          <t>EX-0142</t>
        </is>
      </c>
      <c r="B146" s="7" t="inlineStr">
        <is>
          <t>Closed Location Assignment</t>
        </is>
      </c>
      <c r="C146" s="11" t="inlineStr">
        <is>
          <t>Medium</t>
        </is>
      </c>
      <c r="D146" s="7" t="inlineStr">
        <is>
          <t>MD-00107</t>
        </is>
      </c>
      <c r="E146" s="7" t="inlineStr">
        <is>
          <t>MD-MO-050107</t>
        </is>
      </c>
      <c r="F146" s="7" t="inlineStr">
        <is>
          <t>RegisterLocation:Denver - Closed; Transfer:TR-00107</t>
        </is>
      </c>
      <c r="G146" s="7" t="n">
        <v>812.21</v>
      </c>
      <c r="H146" s="7" t="inlineStr">
        <is>
          <t>Correct the stale location on MD-00107 (Denver - Closed → Seattle); cite TR-00107 in the update (EX-0142)</t>
        </is>
      </c>
      <c r="I146" s="7" t="inlineStr">
        <is>
          <t>IT Asset Specialist</t>
        </is>
      </c>
      <c r="J146" s="7" t="inlineStr">
        <is>
          <t>2026-08-19</t>
        </is>
      </c>
      <c r="K146" s="7" t="inlineStr">
        <is>
          <t>Open</t>
        </is>
      </c>
      <c r="L146" s="7" t="inlineStr">
        <is>
          <t>equipment_transfer_log TR-00107 points to Seattle. Inventory row MD-00107 (serial MD-MO-050107) still lists site Denver - Closed. finding EX-0142. operating footprint for MD-00107 is Seattle, not Denver - Closed.</t>
        </is>
      </c>
      <c r="M146" s="7" t="inlineStr">
        <is>
          <t>Requires remediation</t>
        </is>
      </c>
    </row>
    <row r="147">
      <c r="A147" s="7" t="inlineStr">
        <is>
          <t>EX-0143</t>
        </is>
      </c>
      <c r="B147" s="7" t="inlineStr">
        <is>
          <t>Missing Disposal Evidence</t>
        </is>
      </c>
      <c r="C147" s="10" t="inlineStr">
        <is>
          <t>High</t>
        </is>
      </c>
      <c r="D147" s="7" t="inlineStr">
        <is>
          <t>MD-00108</t>
        </is>
      </c>
      <c r="E147" s="7" t="inlineStr">
        <is>
          <t>MD-NE-050108</t>
        </is>
      </c>
      <c r="F147" s="7" t="inlineStr">
        <is>
          <t>Ticket:RET-00108; Transfer:TR-00108; Certificate:missing</t>
        </is>
      </c>
      <c r="G147" s="7" t="n">
        <v>545.48</v>
      </c>
      <c r="H147" s="7" t="inlineStr">
        <is>
          <t>Obtain disposal certificate for MD-00108 or reverse retirement (EX-0143).</t>
        </is>
      </c>
      <c r="I147" s="7" t="inlineStr">
        <is>
          <t>IT Asset Manager</t>
        </is>
      </c>
      <c r="J147" s="7" t="inlineStr">
        <is>
          <t>2026-08-23</t>
        </is>
      </c>
      <c r="K147" s="7" t="inlineStr">
        <is>
          <t>Open</t>
        </is>
      </c>
      <c r="L147" s="7" t="inlineStr">
        <is>
          <t>transfer TR-00108 to recycler without DC. serial MD-NE-050108 not matched in asset_disposal_records. EX-0143. Retirement path for MD-00108 lacks a verified disposal certificate.</t>
        </is>
      </c>
      <c r="M147" s="7" t="inlineStr">
        <is>
          <t>Requires remediation</t>
        </is>
      </c>
    </row>
    <row r="148">
      <c r="A148" s="7" t="inlineStr">
        <is>
          <t>EX-0144</t>
        </is>
      </c>
      <c r="B148" s="7" t="inlineStr">
        <is>
          <t>Closed Location Assignment</t>
        </is>
      </c>
      <c r="C148" s="11" t="inlineStr">
        <is>
          <t>Medium</t>
        </is>
      </c>
      <c r="D148" s="7" t="inlineStr">
        <is>
          <t>MD-00108</t>
        </is>
      </c>
      <c r="E148" s="7" t="inlineStr">
        <is>
          <t>MD-NE-050108</t>
        </is>
      </c>
      <c r="F148" s="7" t="inlineStr">
        <is>
          <t>RegisterLocation:Chicago - Closed; Transfer:TR-00108</t>
        </is>
      </c>
      <c r="G148" s="7" t="n">
        <v>545.48</v>
      </c>
      <c r="H148" s="7" t="inlineStr">
        <is>
          <t>Retire the closed-office code on MD-00108 and post Atlanta as the working site; cite TR-00108 in the update (EX-0144)</t>
        </is>
      </c>
      <c r="I148" s="7" t="inlineStr">
        <is>
          <t>IT Asset Specialist</t>
        </is>
      </c>
      <c r="J148" s="7" t="inlineStr">
        <is>
          <t>2026-08-19</t>
        </is>
      </c>
      <c r="K148" s="7" t="inlineStr">
        <is>
          <t>Open</t>
        </is>
      </c>
      <c r="L148" s="7" t="inlineStr">
        <is>
          <t>operating footprint for MD-00108 is Atlanta, not Chicago - Closed. finding EX-0144. equipment_transfer_log TR-00108 points to Atlanta. Inventory row MD-00108 (serial MD-NE-050108) still lists site Chicago - Closed.</t>
        </is>
      </c>
      <c r="M148" s="7" t="inlineStr">
        <is>
          <t>Requires remediation</t>
        </is>
      </c>
    </row>
    <row r="149">
      <c r="A149" s="7" t="inlineStr">
        <is>
          <t>EX-0145</t>
        </is>
      </c>
      <c r="B149" s="7" t="inlineStr">
        <is>
          <t>Missing Disposal Evidence</t>
        </is>
      </c>
      <c r="C149" s="10" t="inlineStr">
        <is>
          <t>High</t>
        </is>
      </c>
      <c r="D149" s="7" t="inlineStr">
        <is>
          <t>MD-00109</t>
        </is>
      </c>
      <c r="E149" s="7" t="inlineStr">
        <is>
          <t>MD-LA-050109</t>
        </is>
      </c>
      <c r="F149" s="7" t="inlineStr">
        <is>
          <t>Ticket:RET-00109; Transfer:TR-00109; Certificate:missing</t>
        </is>
      </c>
      <c r="G149" s="7" t="n">
        <v>0</v>
      </c>
      <c r="H149" s="7" t="inlineStr">
        <is>
          <t>Obtain disposal certificate for MD-00109 or reverse retirement (EX-0145).</t>
        </is>
      </c>
      <c r="I149" s="7" t="inlineStr">
        <is>
          <t>IT Asset Manager</t>
        </is>
      </c>
      <c r="J149" s="7" t="inlineStr">
        <is>
          <t>2026-08-23</t>
        </is>
      </c>
      <c r="K149" s="7" t="inlineStr">
        <is>
          <t>Open</t>
        </is>
      </c>
      <c r="L149" s="7" t="inlineStr">
        <is>
          <t>Retirement path for MD-00109 lacks a verified disposal certificate. EX-0145. serial MD-LA-050109 not matched in asset_disposal_records. transfer TR-00109 to recycler without DC.</t>
        </is>
      </c>
      <c r="M149" s="7" t="inlineStr">
        <is>
          <t>Requires remediation</t>
        </is>
      </c>
    </row>
    <row r="150">
      <c r="A150" s="7" t="inlineStr">
        <is>
          <t>EX-0146</t>
        </is>
      </c>
      <c r="B150" s="7" t="inlineStr">
        <is>
          <t>Closed Location Assignment</t>
        </is>
      </c>
      <c r="C150" s="11" t="inlineStr">
        <is>
          <t>Medium</t>
        </is>
      </c>
      <c r="D150" s="7" t="inlineStr">
        <is>
          <t>MD-00109</t>
        </is>
      </c>
      <c r="E150" s="7" t="inlineStr">
        <is>
          <t>MD-LA-050109</t>
        </is>
      </c>
      <c r="F150" s="7" t="inlineStr">
        <is>
          <t>RegisterLocation:Denver - Closed; Transfer:TR-00109</t>
        </is>
      </c>
      <c r="G150" s="7" t="n">
        <v>0</v>
      </c>
      <c r="H150" s="7" t="inlineStr">
        <is>
          <t>Replace shuttered site Denver - Closed on MD-00109 with Chicago on the register; cite TR-00109 in the update (EX-0146)</t>
        </is>
      </c>
      <c r="I150" s="7" t="inlineStr">
        <is>
          <t>IT Asset Specialist</t>
        </is>
      </c>
      <c r="J150" s="7" t="inlineStr">
        <is>
          <t>2026-08-19</t>
        </is>
      </c>
      <c r="K150" s="7" t="inlineStr">
        <is>
          <t>Open</t>
        </is>
      </c>
      <c r="L150" s="7" t="inlineStr">
        <is>
          <t>finding EX-0146. Inventory row MD-00109 (serial MD-LA-050109) still lists site Denver - Closed. equipment_transfer_log TR-00109 points to Chicago. operating footprint for MD-00109 is Chicago, not Denver - Closed.</t>
        </is>
      </c>
      <c r="M150" s="7" t="inlineStr">
        <is>
          <t>Requires remediation</t>
        </is>
      </c>
    </row>
    <row r="151">
      <c r="A151" s="7" t="inlineStr">
        <is>
          <t>EX-0147</t>
        </is>
      </c>
      <c r="B151" s="7" t="inlineStr">
        <is>
          <t>Missing Disposal Evidence</t>
        </is>
      </c>
      <c r="C151" s="10" t="inlineStr">
        <is>
          <t>High</t>
        </is>
      </c>
      <c r="D151" s="7" t="inlineStr">
        <is>
          <t>MD-00110</t>
        </is>
      </c>
      <c r="E151" s="7" t="inlineStr">
        <is>
          <t>MD-MO-050110</t>
        </is>
      </c>
      <c r="F151" s="7" t="inlineStr">
        <is>
          <t>Ticket:RET-00110; Transfer:TR-00110; Certificate:missing</t>
        </is>
      </c>
      <c r="G151" s="7" t="n">
        <v>387.24</v>
      </c>
      <c r="H151" s="7" t="inlineStr">
        <is>
          <t>Obtain disposal certificate for MD-00110 or reverse retirement (EX-0147).</t>
        </is>
      </c>
      <c r="I151" s="7" t="inlineStr">
        <is>
          <t>IT Asset Manager</t>
        </is>
      </c>
      <c r="J151" s="7" t="inlineStr">
        <is>
          <t>2026-08-23</t>
        </is>
      </c>
      <c r="K151" s="7" t="inlineStr">
        <is>
          <t>Open</t>
        </is>
      </c>
      <c r="L151" s="7" t="inlineStr">
        <is>
          <t>Retirement path for MD-00110 lacks a verified disposal certificate. serial MD-MO-050110 not matched in asset_disposal_records. EX-0147. transfer TR-00110 to recycler without DC.</t>
        </is>
      </c>
      <c r="M151" s="7" t="inlineStr">
        <is>
          <t>Requires remediation</t>
        </is>
      </c>
    </row>
    <row r="152">
      <c r="A152" s="7" t="inlineStr">
        <is>
          <t>EX-0148</t>
        </is>
      </c>
      <c r="B152" s="7" t="inlineStr">
        <is>
          <t>Closed Location Assignment</t>
        </is>
      </c>
      <c r="C152" s="11" t="inlineStr">
        <is>
          <t>Medium</t>
        </is>
      </c>
      <c r="D152" s="7" t="inlineStr">
        <is>
          <t>MD-00110</t>
        </is>
      </c>
      <c r="E152" s="7" t="inlineStr">
        <is>
          <t>MD-MO-050110</t>
        </is>
      </c>
      <c r="F152" s="7" t="inlineStr">
        <is>
          <t>RegisterLocation:Chicago - Closed; Transfer:TR-00110</t>
        </is>
      </c>
      <c r="G152" s="7" t="n">
        <v>387.24</v>
      </c>
      <c r="H152" s="7" t="inlineStr">
        <is>
          <t>Replace shuttered site Chicago - Closed on MD-00110 with Dallas on the register; cite TR-00110 in the update (EX-0148)</t>
        </is>
      </c>
      <c r="I152" s="7" t="inlineStr">
        <is>
          <t>IT Asset Specialist</t>
        </is>
      </c>
      <c r="J152" s="7" t="inlineStr">
        <is>
          <t>2026-08-19</t>
        </is>
      </c>
      <c r="K152" s="7" t="inlineStr">
        <is>
          <t>Open</t>
        </is>
      </c>
      <c r="L152" s="7" t="inlineStr">
        <is>
          <t>The register extract for MD-00110 carries location Chicago - Closed after that floor was vacated. finding EX-0148. operating footprint for MD-00110 is Dallas, not Chicago - Closed. equipment_transfer_log TR-00110 points to Dallas.</t>
        </is>
      </c>
      <c r="M152" s="7" t="inlineStr">
        <is>
          <t>Requires remediation</t>
        </is>
      </c>
    </row>
    <row r="153">
      <c r="A153" s="7" t="inlineStr">
        <is>
          <t>EX-0149</t>
        </is>
      </c>
      <c r="B153" s="7" t="inlineStr">
        <is>
          <t>Missing Disposal Evidence</t>
        </is>
      </c>
      <c r="C153" s="8" t="inlineStr">
        <is>
          <t>Critical</t>
        </is>
      </c>
      <c r="D153" s="7" t="inlineStr">
        <is>
          <t>MD-00114</t>
        </is>
      </c>
      <c r="E153" s="7" t="inlineStr">
        <is>
          <t>MD-MO-050114</t>
        </is>
      </c>
      <c r="F153" s="7" t="inlineStr">
        <is>
          <t>Ticket:RET-00114; Transfer:TR-00114; Certificate:missing</t>
        </is>
      </c>
      <c r="G153" s="7" t="n">
        <v>0</v>
      </c>
      <c r="H153" s="7" t="inlineStr">
        <is>
          <t>Critical certification blocker — Obtain disposal certificate for MD-00114 or reverse retirement (EX-0149).</t>
        </is>
      </c>
      <c r="I153" s="7" t="inlineStr">
        <is>
          <t>IT Asset Manager</t>
        </is>
      </c>
      <c r="J153" s="7" t="inlineStr">
        <is>
          <t>2026-08-12</t>
        </is>
      </c>
      <c r="K153" s="7" t="inlineStr">
        <is>
          <t>Open</t>
        </is>
      </c>
      <c r="L153" s="7" t="inlineStr">
        <is>
          <t>Critical certification blocker — MD-00114 is Retired/Pending Disposal without a verified disposal certificate. transfer TR-00114 to recycler without DC. Retirement path for MD-00114 lacks a verified disposal certificate. EX-0149. serial MD-MO-050114 not matched in asset_disposal_records.</t>
        </is>
      </c>
      <c r="M153" s="12" t="inlineStr">
        <is>
          <t>Blocks certification</t>
        </is>
      </c>
    </row>
    <row r="154">
      <c r="A154" s="7" t="inlineStr">
        <is>
          <t>EX-0150</t>
        </is>
      </c>
      <c r="B154" s="7" t="inlineStr">
        <is>
          <t>Closed Location Assignment</t>
        </is>
      </c>
      <c r="C154" s="11" t="inlineStr">
        <is>
          <t>Medium</t>
        </is>
      </c>
      <c r="D154" s="7" t="inlineStr">
        <is>
          <t>MD-00114</t>
        </is>
      </c>
      <c r="E154" s="7" t="inlineStr">
        <is>
          <t>MD-MO-050114</t>
        </is>
      </c>
      <c r="F154" s="7" t="inlineStr">
        <is>
          <t>RegisterLocation:Chicago - Closed; Transfer:TR-00114</t>
        </is>
      </c>
      <c r="G154" s="7" t="n">
        <v>0</v>
      </c>
      <c r="H154" s="7" t="inlineStr">
        <is>
          <t>IT Asset Specialist: change MD-00114 location from Chicago - Closed to Disposed (certificate missing); cite TR-00114 in the update (EX-0150)</t>
        </is>
      </c>
      <c r="I154" s="7" t="inlineStr">
        <is>
          <t>IT Asset Specialist</t>
        </is>
      </c>
      <c r="J154" s="7" t="inlineStr">
        <is>
          <t>2026-08-19</t>
        </is>
      </c>
      <c r="K154" s="7" t="inlineStr">
        <is>
          <t>Open</t>
        </is>
      </c>
      <c r="L154" s="7" t="inlineStr">
        <is>
          <t>operating footprint for MD-00114 is Disposed (certificate missing), not Chicago - Closed. equipment_transfer_log TR-00114 points to Disposed (certificate missing). Site code Chicago - Closed on MD-00114 was retired during consolidation but remains on the asset row. finding EX-0150.</t>
        </is>
      </c>
      <c r="M154" s="7" t="inlineStr">
        <is>
          <t>Requires remediation</t>
        </is>
      </c>
    </row>
    <row r="155">
      <c r="A155" s="7" t="inlineStr">
        <is>
          <t>EX-0151</t>
        </is>
      </c>
      <c r="B155" s="7" t="inlineStr">
        <is>
          <t>Missing Disposal Evidence</t>
        </is>
      </c>
      <c r="C155" s="8" t="inlineStr">
        <is>
          <t>Critical</t>
        </is>
      </c>
      <c r="D155" s="7" t="inlineStr">
        <is>
          <t>MD-00118</t>
        </is>
      </c>
      <c r="E155" s="7" t="inlineStr">
        <is>
          <t>MD-MO-050118</t>
        </is>
      </c>
      <c r="F155" s="7" t="inlineStr">
        <is>
          <t>Ticket:RET-00118; Transfer:TR-00118; Certificate:missing</t>
        </is>
      </c>
      <c r="G155" s="7" t="n">
        <v>0</v>
      </c>
      <c r="H155" s="7" t="inlineStr">
        <is>
          <t>Critical certification blocker — Obtain disposal certificate for MD-00118 or reverse retirement (EX-0151).</t>
        </is>
      </c>
      <c r="I155" s="7" t="inlineStr">
        <is>
          <t>IT Asset Manager</t>
        </is>
      </c>
      <c r="J155" s="7" t="inlineStr">
        <is>
          <t>2026-08-12</t>
        </is>
      </c>
      <c r="K155" s="7" t="inlineStr">
        <is>
          <t>Open</t>
        </is>
      </c>
      <c r="L155" s="7" t="inlineStr">
        <is>
          <t>Critical certification blocker — MD-00118 is Retired/Pending Disposal without a verified disposal certificate. Retirement path for MD-00118 lacks a verified disposal certificate. serial MD-MO-050118 not matched in asset_disposal_records. transfer TR-00118 to recycler without DC. EX-0151.</t>
        </is>
      </c>
      <c r="M155" s="12" t="inlineStr">
        <is>
          <t>Blocks certification</t>
        </is>
      </c>
    </row>
    <row r="156">
      <c r="A156" s="7" t="inlineStr">
        <is>
          <t>EX-0152</t>
        </is>
      </c>
      <c r="B156" s="7" t="inlineStr">
        <is>
          <t>Closed Location Assignment</t>
        </is>
      </c>
      <c r="C156" s="11" t="inlineStr">
        <is>
          <t>Medium</t>
        </is>
      </c>
      <c r="D156" s="7" t="inlineStr">
        <is>
          <t>MD-00118</t>
        </is>
      </c>
      <c r="E156" s="7" t="inlineStr">
        <is>
          <t>MD-MO-050118</t>
        </is>
      </c>
      <c r="F156" s="7" t="inlineStr">
        <is>
          <t>RegisterLocation:Chicago - Closed; Transfer:TR-00118</t>
        </is>
      </c>
      <c r="G156" s="7" t="n">
        <v>0</v>
      </c>
      <c r="H156" s="7" t="inlineStr">
        <is>
          <t>Retire the closed-office code on MD-00118 and post Disposed (certificate missing) as the working site; cite TR-00118 in the update (EX-0152)</t>
        </is>
      </c>
      <c r="I156" s="7" t="inlineStr">
        <is>
          <t>IT Asset Specialist</t>
        </is>
      </c>
      <c r="J156" s="7" t="inlineStr">
        <is>
          <t>2026-08-19</t>
        </is>
      </c>
      <c r="K156" s="7" t="inlineStr">
        <is>
          <t>Open</t>
        </is>
      </c>
      <c r="L156" s="7" t="inlineStr">
        <is>
          <t>Site code Chicago - Closed on MD-00118 was retired during consolidation but remains on the asset row. operating footprint for MD-00118 is Disposed (certificate missing), not Chicago - Closed. equipment_transfer_log TR-00118 points to Disposed (certificate missing). finding EX-0152.</t>
        </is>
      </c>
      <c r="M156" s="7" t="inlineStr">
        <is>
          <t>Requires remediation</t>
        </is>
      </c>
    </row>
    <row r="157">
      <c r="A157" s="7" t="inlineStr">
        <is>
          <t>EX-0153</t>
        </is>
      </c>
      <c r="B157" s="7" t="inlineStr">
        <is>
          <t>Inventory-to-Ledger Difference</t>
        </is>
      </c>
      <c r="C157" s="10" t="inlineStr">
        <is>
          <t>High</t>
        </is>
      </c>
      <c r="D157" s="7" t="inlineStr">
        <is>
          <t>MD-00119</t>
        </is>
      </c>
      <c r="E157" s="7" t="inlineStr">
        <is>
          <t>MD-MO-050119</t>
        </is>
      </c>
      <c r="F157" s="7" t="inlineStr">
        <is>
          <t>Ledger:FA-000119; PO:PO-2024-0024; RegisterCost:950.0; LedgerCost:1115.0</t>
        </is>
      </c>
      <c r="G157" s="7" t="n">
        <v>0</v>
      </c>
      <c r="H157" s="7" t="inlineStr">
        <is>
          <t>Align cost on MD-00119: register 950.0 vs ledger 1115.0 (FA-000119) (EX-0153).</t>
        </is>
      </c>
      <c r="I157" s="7" t="inlineStr">
        <is>
          <t>Finance Controller</t>
        </is>
      </c>
      <c r="J157" s="7" t="inlineStr">
        <is>
          <t>2026-08-21</t>
        </is>
      </c>
      <c r="K157" s="7" t="inlineStr">
        <is>
          <t>Open</t>
        </is>
      </c>
      <c r="L157" s="7" t="inlineStr">
        <is>
          <t>Register cost $950.0 on MD-00119 does not match ledger $1115.0 on FA-000119 (EX-0153).</t>
        </is>
      </c>
      <c r="M157" s="7" t="inlineStr">
        <is>
          <t>Requires remediation</t>
        </is>
      </c>
    </row>
    <row r="158">
      <c r="A158" s="7" t="inlineStr">
        <is>
          <t>EX-0154</t>
        </is>
      </c>
      <c r="B158" s="7" t="inlineStr">
        <is>
          <t>Closed Location Assignment</t>
        </is>
      </c>
      <c r="C158" s="11" t="inlineStr">
        <is>
          <t>Medium</t>
        </is>
      </c>
      <c r="D158" s="7" t="inlineStr">
        <is>
          <t>MD-00121</t>
        </is>
      </c>
      <c r="E158" s="7" t="inlineStr">
        <is>
          <t>MD-LA-050121</t>
        </is>
      </c>
      <c r="F158" s="7" t="inlineStr">
        <is>
          <t>RegisterLocation:Denver - Closed; Transfer:TR-00121; VerifiedLocation:Chicago</t>
        </is>
      </c>
      <c r="G158" s="7" t="n">
        <v>0</v>
      </c>
      <c r="H158" s="7" t="inlineStr">
        <is>
          <t>IT Asset Specialist: change MD-00121 location from Denver - Closed to Chicago; cite TR-00121 in the update (EX-0154)</t>
        </is>
      </c>
      <c r="I158" s="7" t="inlineStr">
        <is>
          <t>IT Asset Specialist</t>
        </is>
      </c>
      <c r="J158" s="7" t="inlineStr">
        <is>
          <t>2026-08-19</t>
        </is>
      </c>
      <c r="K158" s="7" t="inlineStr">
        <is>
          <t>Open</t>
        </is>
      </c>
      <c r="L158" s="7" t="inlineStr">
        <is>
          <t>equipment_transfer_log TR-00121 points to Chicago. finding EX-0154. Site code Denver - Closed on MD-00121 was retired during consolidation but remains on the asset row. operating footprint for MD-00121 is Chicago, not Denver - Closed.</t>
        </is>
      </c>
      <c r="M158" s="7" t="inlineStr">
        <is>
          <t>Requires remediation</t>
        </is>
      </c>
    </row>
    <row r="159">
      <c r="A159" s="7" t="inlineStr">
        <is>
          <t>EX-0155</t>
        </is>
      </c>
      <c r="B159" s="7" t="inlineStr">
        <is>
          <t>Closed Location Assignment</t>
        </is>
      </c>
      <c r="C159" s="11" t="inlineStr">
        <is>
          <t>Medium</t>
        </is>
      </c>
      <c r="D159" s="7" t="inlineStr">
        <is>
          <t>MD-00122</t>
        </is>
      </c>
      <c r="E159" s="7" t="inlineStr">
        <is>
          <t>MD-MO-050122</t>
        </is>
      </c>
      <c r="F159" s="7" t="inlineStr">
        <is>
          <t>RegisterLocation:Chicago - Closed; Transfer:TR-00122; VerifiedLocation:Dallas</t>
        </is>
      </c>
      <c r="G159" s="7" t="n">
        <v>336.15</v>
      </c>
      <c r="H159" s="7" t="inlineStr">
        <is>
          <t>Retire the closed-office code on MD-00122 and post Dallas as the working site; cite TR-00122 in the update (EX-0155)</t>
        </is>
      </c>
      <c r="I159" s="7" t="inlineStr">
        <is>
          <t>IT Asset Specialist</t>
        </is>
      </c>
      <c r="J159" s="7" t="inlineStr">
        <is>
          <t>2026-08-19</t>
        </is>
      </c>
      <c r="K159" s="7" t="inlineStr">
        <is>
          <t>Open</t>
        </is>
      </c>
      <c r="L159" s="7" t="inlineStr">
        <is>
          <t>finding EX-0155. The register extract for MD-00122 carries location Chicago - Closed after that floor was vacated. equipment_transfer_log TR-00122 points to Dallas. operating footprint for MD-00122 is Dallas, not Chicago - Closed.</t>
        </is>
      </c>
      <c r="M159" s="7" t="inlineStr">
        <is>
          <t>Requires remediation</t>
        </is>
      </c>
    </row>
    <row r="160">
      <c r="A160" s="7" t="inlineStr">
        <is>
          <t>EX-0156</t>
        </is>
      </c>
      <c r="B160" s="7" t="inlineStr">
        <is>
          <t>Closed Location Assignment</t>
        </is>
      </c>
      <c r="C160" s="11" t="inlineStr">
        <is>
          <t>Medium</t>
        </is>
      </c>
      <c r="D160" s="7" t="inlineStr">
        <is>
          <t>MD-00123</t>
        </is>
      </c>
      <c r="E160" s="7" t="inlineStr">
        <is>
          <t>MD-MO-050123</t>
        </is>
      </c>
      <c r="F160" s="7" t="inlineStr">
        <is>
          <t>RegisterLocation:Denver - Closed; Transfer:TR-00123; VerifiedLocation:Denver</t>
        </is>
      </c>
      <c r="G160" s="7" t="n">
        <v>622.62</v>
      </c>
      <c r="H160" s="7" t="inlineStr">
        <is>
          <t>IT Asset Specialist: change MD-00123 location from Denver - Closed to Denver; cite TR-00123 in the update (EX-0156)</t>
        </is>
      </c>
      <c r="I160" s="7" t="inlineStr">
        <is>
          <t>IT Asset Specialist</t>
        </is>
      </c>
      <c r="J160" s="7" t="inlineStr">
        <is>
          <t>2026-08-19</t>
        </is>
      </c>
      <c r="K160" s="7" t="inlineStr">
        <is>
          <t>Open</t>
        </is>
      </c>
      <c r="L160" s="7" t="inlineStr">
        <is>
          <t>equipment_transfer_log TR-00123 points to Denver. finding EX-0156. operating footprint for MD-00123 is Denver, not Denver - Closed. Inventory row MD-00123 (serial MD-MO-050123) still lists site Denver - Closed.</t>
        </is>
      </c>
      <c r="M160" s="7" t="inlineStr">
        <is>
          <t>Requires remediation</t>
        </is>
      </c>
    </row>
    <row r="161">
      <c r="A161" s="7" t="inlineStr">
        <is>
          <t>EX-0157</t>
        </is>
      </c>
      <c r="B161" s="7" t="inlineStr">
        <is>
          <t>Closed Location Assignment</t>
        </is>
      </c>
      <c r="C161" s="11" t="inlineStr">
        <is>
          <t>Medium</t>
        </is>
      </c>
      <c r="D161" s="7" t="inlineStr">
        <is>
          <t>MD-00124</t>
        </is>
      </c>
      <c r="E161" s="7" t="inlineStr">
        <is>
          <t>MD-NE-050124</t>
        </is>
      </c>
      <c r="F161" s="7" t="inlineStr">
        <is>
          <t>RegisterLocation:Chicago - Closed; Transfer:TR-00124; VerifiedLocation:New York</t>
        </is>
      </c>
      <c r="G161" s="7" t="n">
        <v>947.26</v>
      </c>
      <c r="H161" s="7" t="inlineStr">
        <is>
          <t>Retire the closed-office code on MD-00124 and post New York as the working site; cite TR-00124 in the update (EX-0157)</t>
        </is>
      </c>
      <c r="I161" s="7" t="inlineStr">
        <is>
          <t>IT Asset Specialist</t>
        </is>
      </c>
      <c r="J161" s="7" t="inlineStr">
        <is>
          <t>2026-08-19</t>
        </is>
      </c>
      <c r="K161" s="7" t="inlineStr">
        <is>
          <t>Open</t>
        </is>
      </c>
      <c r="L161" s="7" t="inlineStr">
        <is>
          <t>equipment_transfer_log TR-00124 points to New York. finding EX-0157. Site code Chicago - Closed on MD-00124 was retired during consolidation but remains on the asset row. operating footprint for MD-00124 is New York, not Chicago - Closed.</t>
        </is>
      </c>
      <c r="M161" s="7" t="inlineStr">
        <is>
          <t>Requires remediation</t>
        </is>
      </c>
    </row>
    <row r="162">
      <c r="A162" s="7" t="inlineStr">
        <is>
          <t>EX-0158</t>
        </is>
      </c>
      <c r="B162" s="7" t="inlineStr">
        <is>
          <t>Closed Location Assignment</t>
        </is>
      </c>
      <c r="C162" s="11" t="inlineStr">
        <is>
          <t>Medium</t>
        </is>
      </c>
      <c r="D162" s="7" t="inlineStr">
        <is>
          <t>MD-00125</t>
        </is>
      </c>
      <c r="E162" s="7" t="inlineStr">
        <is>
          <t>MD-LA-050125</t>
        </is>
      </c>
      <c r="F162" s="7" t="inlineStr">
        <is>
          <t>RegisterLocation:Denver - Closed; Transfer:TR-00125; VerifiedLocation:Seattle</t>
        </is>
      </c>
      <c r="G162" s="7" t="n">
        <v>0</v>
      </c>
      <c r="H162" s="7" t="inlineStr">
        <is>
          <t>IT Asset Specialist: change MD-00125 location from Denver - Closed to Seattle; cite TR-00125 in the update (EX-0158)</t>
        </is>
      </c>
      <c r="I162" s="7" t="inlineStr">
        <is>
          <t>IT Asset Specialist</t>
        </is>
      </c>
      <c r="J162" s="7" t="inlineStr">
        <is>
          <t>2026-08-19</t>
        </is>
      </c>
      <c r="K162" s="7" t="inlineStr">
        <is>
          <t>Open</t>
        </is>
      </c>
      <c r="L162" s="7" t="inlineStr">
        <is>
          <t>The register extract for MD-00125 carries location Denver - Closed after that floor was vacated. equipment_transfer_log TR-00125 points to Seattle. operating footprint for MD-00125 is Seattle, not Denver - Closed. finding EX-0158.</t>
        </is>
      </c>
      <c r="M162" s="7" t="inlineStr">
        <is>
          <t>Requires remediation</t>
        </is>
      </c>
    </row>
    <row r="163">
      <c r="A163" s="7" t="inlineStr">
        <is>
          <t>EX-0159</t>
        </is>
      </c>
      <c r="B163" s="7" t="inlineStr">
        <is>
          <t>Closed Location Assignment</t>
        </is>
      </c>
      <c r="C163" s="11" t="inlineStr">
        <is>
          <t>Medium</t>
        </is>
      </c>
      <c r="D163" s="7" t="inlineStr">
        <is>
          <t>MD-00126</t>
        </is>
      </c>
      <c r="E163" s="7" t="inlineStr">
        <is>
          <t>MD-MO-050126</t>
        </is>
      </c>
      <c r="F163" s="7" t="inlineStr">
        <is>
          <t>RegisterLocation:Chicago - Closed; Transfer:TR-00126; VerifiedLocation:Atlanta</t>
        </is>
      </c>
      <c r="G163" s="7" t="n">
        <v>302.75</v>
      </c>
      <c r="H163" s="7" t="inlineStr">
        <is>
          <t>Retire the closed-office code on MD-00126 and post Atlanta as the working site; cite TR-00126 in the update (EX-0159)</t>
        </is>
      </c>
      <c r="I163" s="7" t="inlineStr">
        <is>
          <t>IT Asset Specialist</t>
        </is>
      </c>
      <c r="J163" s="7" t="inlineStr">
        <is>
          <t>2026-08-19</t>
        </is>
      </c>
      <c r="K163" s="7" t="inlineStr">
        <is>
          <t>Open</t>
        </is>
      </c>
      <c r="L163" s="7" t="inlineStr">
        <is>
          <t>operating footprint for MD-00126 is Atlanta, not Chicago - Closed. finding EX-0159. Inventory row MD-00126 (serial MD-MO-050126) still lists site Chicago - Closed. equipment_transfer_log TR-00126 points to Atlanta.</t>
        </is>
      </c>
      <c r="M163" s="7" t="inlineStr">
        <is>
          <t>Requires remediation</t>
        </is>
      </c>
    </row>
    <row r="164">
      <c r="A164" s="7" t="inlineStr">
        <is>
          <t>EX-0160</t>
        </is>
      </c>
      <c r="B164" s="7" t="inlineStr">
        <is>
          <t>Unapproved Transfer</t>
        </is>
      </c>
      <c r="C164" s="11" t="inlineStr">
        <is>
          <t>Medium</t>
        </is>
      </c>
      <c r="D164" s="7" t="inlineStr">
        <is>
          <t>MD-00127</t>
        </is>
      </c>
      <c r="E164" s="7" t="inlineStr">
        <is>
          <t>MD-MO-050127</t>
        </is>
      </c>
      <c r="F164" s="7" t="inlineStr">
        <is>
          <t>Transfer:TR-00127; Approval:missing</t>
        </is>
      </c>
      <c r="G164" s="7" t="n">
        <v>662.65</v>
      </c>
      <c r="H164" s="7" t="inlineStr">
        <is>
          <t>Obtain APR on TR-00127 or reverse move for MD-00127 (EX-0160).</t>
        </is>
      </c>
      <c r="I164" s="7" t="inlineStr">
        <is>
          <t>IT Operations Manager</t>
        </is>
      </c>
      <c r="J164" s="7" t="inlineStr">
        <is>
          <t>2026-08-20</t>
        </is>
      </c>
      <c r="K164" s="7" t="inlineStr">
        <is>
          <t>Open</t>
        </is>
      </c>
      <c r="L164" s="7" t="inlineStr">
        <is>
          <t>Transfer TR-00127 for MD-00127 has a blank approval_id per ITAM-001 §4 (EX-0160).</t>
        </is>
      </c>
      <c r="M164" s="7" t="inlineStr">
        <is>
          <t>Requires remediation</t>
        </is>
      </c>
    </row>
    <row r="165">
      <c r="A165" s="7" t="inlineStr">
        <is>
          <t>EX-0161</t>
        </is>
      </c>
      <c r="B165" s="7" t="inlineStr">
        <is>
          <t>Below Capitalization Threshold</t>
        </is>
      </c>
      <c r="C165" s="8" t="inlineStr">
        <is>
          <t>Low</t>
        </is>
      </c>
      <c r="D165" s="7" t="inlineStr">
        <is>
          <t>MD-00130</t>
        </is>
      </c>
      <c r="E165" s="7" t="inlineStr">
        <is>
          <t>MD-MO-050130</t>
        </is>
      </c>
      <c r="F165" s="7" t="inlineStr">
        <is>
          <t>PO:PO-2023-0023; RegisterCost:700; Policy:ITAM-001 §7 per-asset threshold $2500; PO capitalization_approved does not override under-threshold lines; Ledger absence expected</t>
        </is>
      </c>
      <c r="G165" s="7" t="n">
        <v>0</v>
      </c>
      <c r="H165" s="7" t="inlineStr">
        <is>
          <t>Informational only — MD-00130 under $2,500 gate (EX-0161).</t>
        </is>
      </c>
      <c r="I165" s="7" t="inlineStr">
        <is>
          <t>Finance Controller</t>
        </is>
      </c>
      <c r="J165" s="7" t="inlineStr">
        <is>
          <t>2026-08-15</t>
        </is>
      </c>
      <c r="K165" s="7" t="inlineStr">
        <is>
          <t>Open</t>
        </is>
      </c>
      <c r="L165" s="7" t="inlineStr">
        <is>
          <t>MD-00130 at $700 is below the $2,500 gate; FAR silence is expected (EX-0161).</t>
        </is>
      </c>
      <c r="M165" s="12" t="inlineStr">
        <is>
          <t>Informational only</t>
        </is>
      </c>
    </row>
    <row r="166">
      <c r="A166" s="7" t="inlineStr">
        <is>
          <t>EX-0162</t>
        </is>
      </c>
      <c r="B166" s="7" t="inlineStr">
        <is>
          <t>Below Capitalization Threshold</t>
        </is>
      </c>
      <c r="C166" s="8" t="inlineStr">
        <is>
          <t>Low</t>
        </is>
      </c>
      <c r="D166" s="7" t="inlineStr">
        <is>
          <t>MD-00131</t>
        </is>
      </c>
      <c r="E166" s="7" t="inlineStr">
        <is>
          <t>MD-MO-050131</t>
        </is>
      </c>
      <c r="F166" s="7" t="inlineStr">
        <is>
          <t>PO:PO-2023-0023; RegisterCost:1175; Policy:ITAM-001 §7 per-asset threshold $2500; PO capitalization_approved does not override under-threshold lines; Ledger absence expected</t>
        </is>
      </c>
      <c r="G166" s="7" t="n">
        <v>0</v>
      </c>
      <c r="H166" s="7" t="inlineStr">
        <is>
          <t>Informational only — MD-00131 under $2,500 gate (EX-0162).</t>
        </is>
      </c>
      <c r="I166" s="7" t="inlineStr">
        <is>
          <t>Finance Controller</t>
        </is>
      </c>
      <c r="J166" s="7" t="inlineStr">
        <is>
          <t>2026-08-15</t>
        </is>
      </c>
      <c r="K166" s="7" t="inlineStr">
        <is>
          <t>Open</t>
        </is>
      </c>
      <c r="L166" s="7" t="inlineStr">
        <is>
          <t>MD-00131 at $1175 is below the $2,500 gate; FAR silence is expected (EX-0162).</t>
        </is>
      </c>
      <c r="M166" s="12" t="inlineStr">
        <is>
          <t>Informational only</t>
        </is>
      </c>
    </row>
    <row r="167">
      <c r="A167" s="7" t="inlineStr">
        <is>
          <t>EX-0163</t>
        </is>
      </c>
      <c r="B167" s="7" t="inlineStr">
        <is>
          <t>Inventory-to-Ledger Difference</t>
        </is>
      </c>
      <c r="C167" s="8" t="inlineStr">
        <is>
          <t>Critical</t>
        </is>
      </c>
      <c r="D167" s="7" t="inlineStr">
        <is>
          <t>MD-00132</t>
        </is>
      </c>
      <c r="E167" s="7" t="inlineStr">
        <is>
          <t>MD-NE-050132</t>
        </is>
      </c>
      <c r="F167" s="7" t="inlineStr">
        <is>
          <t>PO:PO-2023-0022; RegisterCost:6470.0; Policy:ITAM-001 §7 threshold $2500; capitalization_approved on PO does not excuse missing FA row for qualifying asset; regional note RN-0132 is non-authoritative</t>
        </is>
      </c>
      <c r="G167" s="7" t="n">
        <v>6470</v>
      </c>
      <c r="H167" s="7" t="inlineStr">
        <is>
          <t>Capitalize MD-00132 or obtain approved write-off; reject RN-0132 claim (EX-0163).</t>
        </is>
      </c>
      <c r="I167" s="7" t="inlineStr">
        <is>
          <t>Finance Controller</t>
        </is>
      </c>
      <c r="J167" s="7" t="inlineStr">
        <is>
          <t>2026-08-15</t>
        </is>
      </c>
      <c r="K167" s="7" t="inlineStr">
        <is>
          <t>Open</t>
        </is>
      </c>
      <c r="L167" s="7" t="inlineStr">
        <is>
          <t>MD-00132 acquisition $6470.0 exceeds the $2,500 capitalization gate with no FA row; RN-0132 under-threshold claim rejected (EX-0163).</t>
        </is>
      </c>
      <c r="M167" s="12" t="inlineStr">
        <is>
          <t>Blocks certification</t>
        </is>
      </c>
    </row>
    <row r="168"/>
    <row r="169">
      <c r="A169" t="inlineStr">
        <is>
          <t>Total Financial Exposure</t>
        </is>
      </c>
      <c r="G169" t="n">
        <v>0</v>
      </c>
      <c r="H169" t="inlineStr">
        <is>
          <t>IT Asset Specialist: remediate Total Financial Exposure on None per cited records.</t>
        </is>
      </c>
      <c r="L169" t="inlineStr">
        <is>
          <t>Reviewed cited records for None under Total Financial Exposure: .</t>
        </is>
      </c>
    </row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7" customWidth="1" min="3" max="3"/>
    <col width="19" customWidth="1" min="4" max="4"/>
    <col width="19" customWidth="1" min="5" max="5"/>
    <col width="19" customWidth="1" min="6" max="6"/>
    <col width="45" customWidth="1" min="7" max="7"/>
    <col width="18" customWidth="1" min="8" max="8"/>
    <col width="45" customWidth="1" min="9" max="9"/>
  </cols>
  <sheetData>
    <row r="1">
      <c r="A1" s="24" t="inlineStr">
        <is>
          <t>Custody Chain - High-Risk and Unresolved Assets</t>
        </is>
      </c>
    </row>
    <row r="2">
      <c r="A2" s="2" t="inlineStr">
        <is>
          <t>Confirmed Fact vs Technician Claim vs Unresolved Assumption. Includes policy figure and dock image leads where applicable.</t>
        </is>
      </c>
    </row>
    <row r="4">
      <c r="A4" s="25" t="inlineStr">
        <is>
          <t>Asset Tag</t>
        </is>
      </c>
      <c r="B4" s="25" t="inlineStr">
        <is>
          <t>Event Date</t>
        </is>
      </c>
      <c r="C4" s="25" t="inlineStr">
        <is>
          <t>Event Type</t>
        </is>
      </c>
      <c r="D4" s="25" t="inlineStr">
        <is>
          <t>From Party</t>
        </is>
      </c>
      <c r="E4" s="25" t="inlineStr">
        <is>
          <t>To Party</t>
        </is>
      </c>
      <c r="F4" s="25" t="inlineStr">
        <is>
          <t>Location</t>
        </is>
      </c>
      <c r="G4" s="25" t="inlineStr">
        <is>
          <t>Record Reference</t>
        </is>
      </c>
      <c r="H4" s="25" t="inlineStr">
        <is>
          <t>Fact Type</t>
        </is>
      </c>
      <c r="I4" s="25" t="inlineStr">
        <is>
          <t>Detail</t>
        </is>
      </c>
    </row>
    <row r="5">
      <c r="A5" s="7" t="inlineStr">
        <is>
          <t>MD-00017</t>
        </is>
      </c>
      <c r="B5" s="7" t="inlineStr">
        <is>
          <t>2023-06-18</t>
        </is>
      </c>
      <c r="C5" s="7" t="inlineStr">
        <is>
          <t>Purchase</t>
        </is>
      </c>
      <c r="D5" s="7" t="inlineStr">
        <is>
          <t>Vendor</t>
        </is>
      </c>
      <c r="E5" s="7" t="inlineStr">
        <is>
          <t>Central Receiving</t>
        </is>
      </c>
      <c r="F5" s="7" t="inlineStr">
        <is>
          <t>Atlanta Warehouse</t>
        </is>
      </c>
      <c r="G5" s="7" t="inlineStr">
        <is>
          <t>PO:PO-2025-0004</t>
        </is>
      </c>
      <c r="H5" s="7" t="inlineStr">
        <is>
          <t>Confirmed Fact</t>
        </is>
      </c>
      <c r="I5" s="7" t="inlineStr">
        <is>
          <t>Acquisition MD-00017: Samsung ViewFinity S8, $1985, PO PO-2025-0004.</t>
        </is>
      </c>
    </row>
    <row r="6">
      <c r="A6" s="7" t="inlineStr">
        <is>
          <t>MD-00017</t>
        </is>
      </c>
      <c r="B6" s="7" t="inlineStr">
        <is>
          <t>2026-08-09</t>
        </is>
      </c>
      <c r="C6" s="7" t="inlineStr">
        <is>
          <t>Policy Control Figure</t>
        </is>
      </c>
      <c r="D6" s="7" t="inlineStr">
        <is>
          <t>ITAM-001</t>
        </is>
      </c>
      <c r="E6" s="7" t="n"/>
      <c r="F6" s="7" t="n"/>
      <c r="G6" s="7" t="inlineStr">
        <is>
          <t>ITAM_control_matrix.png; IT_asset_management_policy.pdf</t>
        </is>
      </c>
      <c r="H6" s="7" t="inlineStr">
        <is>
          <t>Confirmed Fact</t>
        </is>
      </c>
      <c r="I6" s="7" t="inlineStr">
        <is>
          <t>Matrix return criteria applied to MD-00017; figure is reference, not inbound proof for chain row 6.</t>
        </is>
      </c>
    </row>
    <row r="7">
      <c r="A7" s="7" t="inlineStr">
        <is>
          <t>MD-00017</t>
        </is>
      </c>
      <c r="B7" s="7" t="inlineStr">
        <is>
          <t>2026-06-18</t>
        </is>
      </c>
      <c r="C7" s="7" t="inlineStr">
        <is>
          <t>Assignment/Transfer</t>
        </is>
      </c>
      <c r="D7" s="7" t="inlineStr">
        <is>
          <t>Central Receiving</t>
        </is>
      </c>
      <c r="E7" s="7" t="inlineStr">
        <is>
          <t>E0017</t>
        </is>
      </c>
      <c r="F7" s="7" t="inlineStr">
        <is>
          <t>Seattle</t>
        </is>
      </c>
      <c r="G7" s="7" t="inlineStr">
        <is>
          <t>Transfer:TR-00017; Approval:APR-00017</t>
        </is>
      </c>
      <c r="H7" s="7" t="inlineStr">
        <is>
          <t>Confirmed Fact</t>
        </is>
      </c>
      <c r="I7" s="7" t="inlineStr">
        <is>
          <t>Transfer TR-00017 for MD-00017: posted 06/17/2026, inbound Jun 19, 2026, APR APR-00017.</t>
        </is>
      </c>
    </row>
    <row r="8">
      <c r="A8" s="7" t="inlineStr">
        <is>
          <t>MD-00017</t>
        </is>
      </c>
      <c r="B8" s="7" t="inlineStr">
        <is>
          <t>2026-08-09</t>
        </is>
      </c>
      <c r="C8" s="7" t="inlineStr">
        <is>
          <t>Reconciliation Conclusion</t>
        </is>
      </c>
      <c r="D8" s="7" t="inlineStr">
        <is>
          <t>Evidence review</t>
        </is>
      </c>
      <c r="E8" s="7" t="inlineStr">
        <is>
          <t>E0017</t>
        </is>
      </c>
      <c r="F8" s="7" t="inlineStr">
        <is>
          <t>Seattle</t>
        </is>
      </c>
      <c r="G8" s="7" t="inlineStr">
        <is>
          <t>HR:E0017:Active; Transfer:TR-00017; Approval:APR-00017; PO:PO-2025-0004; Ledger:FA-000017; PolicyFigure:ITAM_control_matrix.png</t>
        </is>
      </c>
      <c r="H8" s="7" t="inlineStr">
        <is>
          <t>Confirmed Fact</t>
        </is>
      </c>
      <c r="I8" s="7" t="inlineStr">
        <is>
          <t>Verified outcome MD-00017: In Use / Seattle (High). EX-0001.</t>
        </is>
      </c>
    </row>
    <row r="9">
      <c r="A9" s="7" t="inlineStr">
        <is>
          <t>MD-00021</t>
        </is>
      </c>
      <c r="B9" s="7" t="inlineStr">
        <is>
          <t>2023-10-22</t>
        </is>
      </c>
      <c r="C9" s="7" t="inlineStr">
        <is>
          <t>Purchase</t>
        </is>
      </c>
      <c r="D9" s="7" t="inlineStr">
        <is>
          <t>Vendor</t>
        </is>
      </c>
      <c r="E9" s="7" t="inlineStr">
        <is>
          <t>Central Receiving</t>
        </is>
      </c>
      <c r="F9" s="7" t="inlineStr">
        <is>
          <t>Atlanta Warehouse</t>
        </is>
      </c>
      <c r="G9" s="7" t="inlineStr">
        <is>
          <t>PO:PO-2022-0005</t>
        </is>
      </c>
      <c r="H9" s="7" t="inlineStr">
        <is>
          <t>Confirmed Fact</t>
        </is>
      </c>
      <c r="I9" s="7" t="inlineStr">
        <is>
          <t>Acquisition MD-00021: Samsung ViewFinity S8, $1850, PO PO-2022-0005.</t>
        </is>
      </c>
    </row>
    <row r="10">
      <c r="A10" s="7" t="inlineStr">
        <is>
          <t>MD-00021</t>
        </is>
      </c>
      <c r="B10" s="7" t="inlineStr">
        <is>
          <t>2026-04-22</t>
        </is>
      </c>
      <c r="C10" s="7" t="inlineStr">
        <is>
          <t>Assignment/Transfer</t>
        </is>
      </c>
      <c r="D10" s="7" t="inlineStr">
        <is>
          <t>Central Receiving</t>
        </is>
      </c>
      <c r="E10" s="7" t="inlineStr">
        <is>
          <t>E0021</t>
        </is>
      </c>
      <c r="F10" s="7" t="inlineStr">
        <is>
          <t>Denver</t>
        </is>
      </c>
      <c r="G10" s="7" t="inlineStr">
        <is>
          <t>Transfer:TR-00021; Approval:APR-00021</t>
        </is>
      </c>
      <c r="H10" s="7" t="inlineStr">
        <is>
          <t>Confirmed Fact</t>
        </is>
      </c>
      <c r="I10" s="7" t="inlineStr">
        <is>
          <t>Transfer TR-00021 for MD-00021: posted 2026-05-02, inbound 05/03/2026, APR APR-00021.</t>
        </is>
      </c>
    </row>
    <row r="11">
      <c r="A11" s="7" t="inlineStr">
        <is>
          <t>MD-00021</t>
        </is>
      </c>
      <c r="B11" s="7" t="inlineStr">
        <is>
          <t>2026-08-09</t>
        </is>
      </c>
      <c r="C11" s="7" t="inlineStr">
        <is>
          <t>Policy Control Figure</t>
        </is>
      </c>
      <c r="D11" s="7" t="inlineStr">
        <is>
          <t>ITAM-001</t>
        </is>
      </c>
      <c r="E11" s="7" t="inlineStr"/>
      <c r="F11" s="7" t="inlineStr"/>
      <c r="G11" s="7" t="inlineStr">
        <is>
          <t>ITAM_control_matrix.png; IT_asset_management_policy.pdf</t>
        </is>
      </c>
      <c r="H11" s="7" t="inlineStr">
        <is>
          <t>Confirmed Fact</t>
        </is>
      </c>
      <c r="I11" s="7" t="inlineStr">
        <is>
          <t>Policy figure sets transfer evidence expectations for MD-00021; chain row 11 remains the audit trail.</t>
        </is>
      </c>
    </row>
    <row r="12">
      <c r="A12" s="7" t="inlineStr">
        <is>
          <t>MD-00021</t>
        </is>
      </c>
      <c r="B12" s="7" t="inlineStr">
        <is>
          <t>2026-08-09</t>
        </is>
      </c>
      <c r="C12" s="7" t="inlineStr">
        <is>
          <t>Reconciliation Conclusion</t>
        </is>
      </c>
      <c r="D12" s="7" t="inlineStr">
        <is>
          <t>Evidence review</t>
        </is>
      </c>
      <c r="E12" s="7" t="inlineStr">
        <is>
          <t>E0021</t>
        </is>
      </c>
      <c r="F12" s="7" t="inlineStr">
        <is>
          <t>Denver</t>
        </is>
      </c>
      <c r="G12" s="7" t="inlineStr">
        <is>
          <t>HR:E0021:Active; Transfer:TR-00021; Approval:APR-00021; PO:PO-2022-0005; Ledger:FA-000021; PolicyFigure:ITAM_control_matrix.png</t>
        </is>
      </c>
      <c r="H12" s="7" t="inlineStr">
        <is>
          <t>Confirmed Fact</t>
        </is>
      </c>
      <c r="I12" s="7" t="inlineStr">
        <is>
          <t>Verified outcome MD-00021: In Use / Denver (Medium). EX-0002.</t>
        </is>
      </c>
    </row>
    <row r="13">
      <c r="A13" s="7" t="inlineStr">
        <is>
          <t>MD-00025</t>
        </is>
      </c>
      <c r="B13" s="7" t="inlineStr">
        <is>
          <t>2023-02-02</t>
        </is>
      </c>
      <c r="C13" s="7" t="inlineStr">
        <is>
          <t>Purchase</t>
        </is>
      </c>
      <c r="D13" s="7" t="inlineStr">
        <is>
          <t>Vendor</t>
        </is>
      </c>
      <c r="E13" s="7" t="inlineStr">
        <is>
          <t>Central Receiving</t>
        </is>
      </c>
      <c r="F13" s="7" t="inlineStr">
        <is>
          <t>Atlanta Warehouse</t>
        </is>
      </c>
      <c r="G13" s="7" t="inlineStr">
        <is>
          <t>PO:PO-2022-0005</t>
        </is>
      </c>
      <c r="H13" s="7" t="inlineStr">
        <is>
          <t>Confirmed Fact</t>
        </is>
      </c>
      <c r="I13" s="7" t="inlineStr">
        <is>
          <t>Vendor shipment for MD-00025 (LG UltraFine 27MD5KL) recorded at $2030 on PO-2022-0005.</t>
        </is>
      </c>
    </row>
    <row r="14">
      <c r="A14" s="7" t="inlineStr">
        <is>
          <t>MD-00025</t>
        </is>
      </c>
      <c r="B14" s="7" t="inlineStr">
        <is>
          <t>2026-02-02</t>
        </is>
      </c>
      <c r="C14" s="7" t="inlineStr">
        <is>
          <t>Assignment/Transfer</t>
        </is>
      </c>
      <c r="D14" s="7" t="inlineStr">
        <is>
          <t>Central Receiving</t>
        </is>
      </c>
      <c r="E14" s="7" t="inlineStr">
        <is>
          <t>E0025</t>
        </is>
      </c>
      <c r="F14" s="7" t="inlineStr">
        <is>
          <t>Chicago</t>
        </is>
      </c>
      <c r="G14" s="7" t="inlineStr">
        <is>
          <t>Transfer:TR-00025; Approval:APR-00025</t>
        </is>
      </c>
      <c r="H14" s="7" t="inlineStr">
        <is>
          <t>Confirmed Fact</t>
        </is>
      </c>
      <c r="I14" s="7" t="inlineStr">
        <is>
          <t>Transfer TR-00025 for MD-00025: posted 01/21/2026, inbound Jan 22, 2026, APR APR-00025.</t>
        </is>
      </c>
    </row>
    <row r="15">
      <c r="A15" s="7" t="inlineStr">
        <is>
          <t>MD-00025</t>
        </is>
      </c>
      <c r="B15" s="7" t="inlineStr">
        <is>
          <t>2026-08-05</t>
        </is>
      </c>
      <c r="C15" s="7" t="inlineStr">
        <is>
          <t>Regional IT Note Lead</t>
        </is>
      </c>
      <c r="D15" s="7" t="inlineStr">
        <is>
          <t>Regional IT</t>
        </is>
      </c>
      <c r="E15" s="7" t="inlineStr"/>
      <c r="F15" s="7" t="inlineStr">
        <is>
          <t>Denver - Closed</t>
        </is>
      </c>
      <c r="G15" s="7" t="inlineStr">
        <is>
          <t>regional_IT_notes.docx</t>
        </is>
      </c>
      <c r="H15" s="7" t="inlineStr">
        <is>
          <t>Technician Claim</t>
        </is>
      </c>
      <c r="I15" s="7" t="inlineStr">
        <is>
          <t>regional_IT_notes.docx checked for MD-00025; no corroborated RN entry found.</t>
        </is>
      </c>
    </row>
    <row r="16">
      <c r="A16" s="7" t="inlineStr">
        <is>
          <t>MD-00025</t>
        </is>
      </c>
      <c r="B16" s="7" t="inlineStr">
        <is>
          <t>2026-08-09</t>
        </is>
      </c>
      <c r="C16" s="7" t="inlineStr">
        <is>
          <t>Policy Control Figure</t>
        </is>
      </c>
      <c r="D16" s="7" t="inlineStr">
        <is>
          <t>ITAM-001</t>
        </is>
      </c>
      <c r="E16" s="7" t="inlineStr"/>
      <c r="F16" s="7" t="inlineStr"/>
      <c r="G16" s="7" t="inlineStr">
        <is>
          <t>ITAM_control_matrix.png; IT_asset_management_policy.pdf</t>
        </is>
      </c>
      <c r="H16" s="7" t="inlineStr">
        <is>
          <t>Confirmed Fact</t>
        </is>
      </c>
      <c r="I16" s="7" t="inlineStr">
        <is>
          <t>Policy figure sets assignment evidence expectations for MD-00025; chain row 16 remains the audit trail.</t>
        </is>
      </c>
    </row>
    <row r="17">
      <c r="A17" s="7" t="inlineStr">
        <is>
          <t>MD-00025</t>
        </is>
      </c>
      <c r="B17" s="7" t="inlineStr">
        <is>
          <t>2026-08-09</t>
        </is>
      </c>
      <c r="C17" s="7" t="inlineStr">
        <is>
          <t>Reconciliation Conclusion</t>
        </is>
      </c>
      <c r="D17" s="7" t="inlineStr">
        <is>
          <t>Evidence review</t>
        </is>
      </c>
      <c r="E17" s="7" t="inlineStr">
        <is>
          <t>E0025</t>
        </is>
      </c>
      <c r="F17" s="7" t="inlineStr">
        <is>
          <t>Chicago</t>
        </is>
      </c>
      <c r="G17" s="7" t="inlineStr">
        <is>
          <t>HR:E0025:Active; Transfer:TR-00025; Approval:APR-00025; PO:PO-2022-0005; Ledger:FA-000025; PolicyFigure:ITAM_control_matrix.png</t>
        </is>
      </c>
      <c r="H17" s="7" t="inlineStr">
        <is>
          <t>Confirmed Fact</t>
        </is>
      </c>
      <c r="I17" s="7" t="inlineStr">
        <is>
          <t>Final status on MD-00025 — In Use, site Chicago, Medium. EX-0003, EX-0004.</t>
        </is>
      </c>
    </row>
    <row r="18">
      <c r="A18" s="7" t="inlineStr">
        <is>
          <t>MD-00034</t>
        </is>
      </c>
      <c r="B18" s="7" t="inlineStr">
        <is>
          <t>2024-11-11</t>
        </is>
      </c>
      <c r="C18" s="7" t="inlineStr">
        <is>
          <t>Purchase</t>
        </is>
      </c>
      <c r="D18" s="7" t="inlineStr">
        <is>
          <t>Vendor</t>
        </is>
      </c>
      <c r="E18" s="7" t="inlineStr">
        <is>
          <t>Central Receiving</t>
        </is>
      </c>
      <c r="F18" s="7" t="inlineStr">
        <is>
          <t>Atlanta Warehouse</t>
        </is>
      </c>
      <c r="G18" s="7" t="inlineStr">
        <is>
          <t>PO:PO-2024-0007</t>
        </is>
      </c>
      <c r="H18" s="7" t="inlineStr">
        <is>
          <t>Confirmed Fact</t>
        </is>
      </c>
      <c r="I18" s="7" t="inlineStr">
        <is>
          <t>Acquisition MD-00034: LG UltraFine 27MD5KL, $790, PO PO-2024-0007.</t>
        </is>
      </c>
    </row>
    <row r="19">
      <c r="A19" s="7" t="inlineStr">
        <is>
          <t>MD-00034</t>
        </is>
      </c>
      <c r="B19" s="7" t="inlineStr">
        <is>
          <t>2026-05-11</t>
        </is>
      </c>
      <c r="C19" s="7" t="inlineStr">
        <is>
          <t>Assignment/Transfer</t>
        </is>
      </c>
      <c r="D19" s="7" t="inlineStr">
        <is>
          <t>Central Receiving</t>
        </is>
      </c>
      <c r="E19" s="7" t="inlineStr">
        <is>
          <t>E0034</t>
        </is>
      </c>
      <c r="F19" s="7" t="inlineStr">
        <is>
          <t>New York</t>
        </is>
      </c>
      <c r="G19" s="7" t="inlineStr">
        <is>
          <t>Transfer:TR-00034; Approval:APR-00034</t>
        </is>
      </c>
      <c r="H19" s="7" t="inlineStr">
        <is>
          <t>Confirmed Fact</t>
        </is>
      </c>
      <c r="I19" s="7" t="inlineStr">
        <is>
          <t>Transfer TR-00034 for MD-00034: posted May 22, 2026, inbound 2026-05-22, APR APR-00034.</t>
        </is>
      </c>
    </row>
    <row r="20">
      <c r="A20" s="7" t="inlineStr">
        <is>
          <t>MD-00034</t>
        </is>
      </c>
      <c r="B20" s="7" t="inlineStr">
        <is>
          <t>2026-08-05</t>
        </is>
      </c>
      <c r="C20" s="7" t="inlineStr">
        <is>
          <t>Regional IT Note Lead</t>
        </is>
      </c>
      <c r="D20" s="7" t="inlineStr">
        <is>
          <t>Regional IT</t>
        </is>
      </c>
      <c r="E20" s="7" t="inlineStr"/>
      <c r="F20" s="7" t="inlineStr">
        <is>
          <t>Chicago - Closed</t>
        </is>
      </c>
      <c r="G20" s="7" t="inlineStr">
        <is>
          <t>regional_IT_notes.docx</t>
        </is>
      </c>
      <c r="H20" s="7" t="inlineStr">
        <is>
          <t>Technician Claim</t>
        </is>
      </c>
      <c r="I20" s="7" t="inlineStr">
        <is>
          <t>regional_IT_notes.docx checked for MD-00034; no corroborated RN entry found.</t>
        </is>
      </c>
    </row>
    <row r="21">
      <c r="A21" s="7" t="inlineStr">
        <is>
          <t>MD-00034</t>
        </is>
      </c>
      <c r="B21" s="7" t="inlineStr">
        <is>
          <t>2026-08-09</t>
        </is>
      </c>
      <c r="C21" s="7" t="inlineStr">
        <is>
          <t>Policy Control Figure</t>
        </is>
      </c>
      <c r="D21" s="7" t="inlineStr">
        <is>
          <t>ITAM-001</t>
        </is>
      </c>
      <c r="E21" s="7" t="inlineStr"/>
      <c r="F21" s="7" t="inlineStr"/>
      <c r="G21" s="7" t="inlineStr">
        <is>
          <t>ITAM_control_matrix.png; IT_asset_management_policy.pdf</t>
        </is>
      </c>
      <c r="H21" s="7" t="inlineStr">
        <is>
          <t>Confirmed Fact</t>
        </is>
      </c>
      <c r="I21" s="7" t="inlineStr">
        <is>
          <t>ITAM_control_matrix.png Appendix A transfer row consulted while tracing MD-00034; transactional proof stays with chain row 21.</t>
        </is>
      </c>
    </row>
    <row r="22">
      <c r="A22" s="7" t="inlineStr">
        <is>
          <t>MD-00034</t>
        </is>
      </c>
      <c r="B22" s="7" t="inlineStr">
        <is>
          <t>2026-08-09</t>
        </is>
      </c>
      <c r="C22" s="7" t="inlineStr">
        <is>
          <t>Reconciliation Conclusion</t>
        </is>
      </c>
      <c r="D22" s="7" t="inlineStr">
        <is>
          <t>Evidence review</t>
        </is>
      </c>
      <c r="E22" s="7" t="inlineStr">
        <is>
          <t>E0034</t>
        </is>
      </c>
      <c r="F22" s="7" t="inlineStr">
        <is>
          <t>New York</t>
        </is>
      </c>
      <c r="G22" s="7" t="inlineStr">
        <is>
          <t>HR:E0034:Active; Transfer:TR-00034; Approval:APR-00034; PO:PO-2024-0007; Ledger:FA-000034; PolicyFigure:ITAM_control_matrix.png</t>
        </is>
      </c>
      <c r="H22" s="7" t="inlineStr">
        <is>
          <t>Confirmed Fact</t>
        </is>
      </c>
      <c r="I22" s="7" t="inlineStr">
        <is>
          <t>Verified outcome MD-00034: In Use / New York (High). EX-0013, EX-0014.</t>
        </is>
      </c>
    </row>
    <row r="23">
      <c r="A23" s="7" t="inlineStr">
        <is>
          <t>MD-00051</t>
        </is>
      </c>
      <c r="B23" s="7" t="inlineStr">
        <is>
          <t>2025-04-04</t>
        </is>
      </c>
      <c r="C23" s="7" t="inlineStr">
        <is>
          <t>Purchase</t>
        </is>
      </c>
      <c r="D23" s="7" t="inlineStr">
        <is>
          <t>Vendor</t>
        </is>
      </c>
      <c r="E23" s="7" t="inlineStr">
        <is>
          <t>Central Receiving</t>
        </is>
      </c>
      <c r="F23" s="7" t="inlineStr">
        <is>
          <t>Atlanta Warehouse</t>
        </is>
      </c>
      <c r="G23" s="7" t="inlineStr">
        <is>
          <t>PO:PO-2023-0010</t>
        </is>
      </c>
      <c r="H23" s="7" t="inlineStr">
        <is>
          <t>Confirmed Fact</t>
        </is>
      </c>
      <c r="I23" s="7" t="inlineStr">
        <is>
          <t>PO PO-2023-0010 covers MD-00051 (Samsung Galaxy S24) for $1040.</t>
        </is>
      </c>
    </row>
    <row r="24">
      <c r="A24" s="7" t="inlineStr">
        <is>
          <t>MD-00051</t>
        </is>
      </c>
      <c r="B24" s="7" t="inlineStr">
        <is>
          <t>2026-04-04</t>
        </is>
      </c>
      <c r="C24" s="7" t="inlineStr">
        <is>
          <t>Assignment/Transfer</t>
        </is>
      </c>
      <c r="D24" s="7" t="inlineStr">
        <is>
          <t>Central Receiving</t>
        </is>
      </c>
      <c r="E24" s="7" t="inlineStr">
        <is>
          <t>IT Stock</t>
        </is>
      </c>
      <c r="F24" s="7" t="inlineStr">
        <is>
          <t>Denver</t>
        </is>
      </c>
      <c r="G24" s="7" t="inlineStr">
        <is>
          <t>Transfer:TR-00051; Approval:APR-00051</t>
        </is>
      </c>
      <c r="H24" s="7" t="inlineStr">
        <is>
          <t>Confirmed Fact</t>
        </is>
      </c>
      <c r="I24" s="7" t="inlineStr">
        <is>
          <t>Transfer TR-00051 for MD-00051: posted 03/31/2026, inbound Mar 31, 2026, APR APR-00051.</t>
        </is>
      </c>
    </row>
    <row r="25">
      <c r="A25" s="7" t="inlineStr">
        <is>
          <t>MD-00051</t>
        </is>
      </c>
      <c r="B25" s="7" t="inlineStr">
        <is>
          <t>2026-08-05</t>
        </is>
      </c>
      <c r="C25" s="7" t="inlineStr">
        <is>
          <t>Regional IT Note Lead</t>
        </is>
      </c>
      <c r="D25" s="7" t="inlineStr">
        <is>
          <t>Regional IT</t>
        </is>
      </c>
      <c r="E25" s="7" t="inlineStr"/>
      <c r="F25" s="7" t="inlineStr">
        <is>
          <t>Denver - Closed</t>
        </is>
      </c>
      <c r="G25" s="7" t="inlineStr">
        <is>
          <t>regional_IT_notes.docx</t>
        </is>
      </c>
      <c r="H25" s="7" t="inlineStr">
        <is>
          <t>Technician Claim</t>
        </is>
      </c>
      <c r="I25" s="7" t="inlineStr">
        <is>
          <t>regional_IT_notes.docx checked for MD-00051; no corroborated RN entry found.</t>
        </is>
      </c>
    </row>
    <row r="26">
      <c r="A26" s="7" t="inlineStr">
        <is>
          <t>MD-00051</t>
        </is>
      </c>
      <c r="B26" s="7" t="inlineStr">
        <is>
          <t>2026-08-09</t>
        </is>
      </c>
      <c r="C26" s="7" t="inlineStr">
        <is>
          <t>Policy Control Figure</t>
        </is>
      </c>
      <c r="D26" s="7" t="inlineStr">
        <is>
          <t>ITAM-001</t>
        </is>
      </c>
      <c r="E26" s="7" t="inlineStr"/>
      <c r="F26" s="7" t="inlineStr"/>
      <c r="G26" s="7" t="inlineStr">
        <is>
          <t>ITAM_control_matrix.png; IT_asset_management_policy.pdf</t>
        </is>
      </c>
      <c r="H26" s="7" t="inlineStr">
        <is>
          <t>Confirmed Fact</t>
        </is>
      </c>
      <c r="I26" s="7" t="inlineStr">
        <is>
          <t>Read IT_asset_management_policy.pdf §4–§9 with the matrix assignment line for MD-00051; cite chain row 26.</t>
        </is>
      </c>
    </row>
    <row r="27">
      <c r="A27" s="7" t="inlineStr">
        <is>
          <t>MD-00051</t>
        </is>
      </c>
      <c r="B27" s="7" t="inlineStr">
        <is>
          <t>2026-08-09</t>
        </is>
      </c>
      <c r="C27" s="7" t="inlineStr">
        <is>
          <t>Reconciliation Conclusion</t>
        </is>
      </c>
      <c r="D27" s="7" t="inlineStr">
        <is>
          <t>Evidence review</t>
        </is>
      </c>
      <c r="E27" s="7" t="inlineStr">
        <is>
          <t>IT Stock</t>
        </is>
      </c>
      <c r="F27" s="7" t="inlineStr">
        <is>
          <t>Denver</t>
        </is>
      </c>
      <c r="G27" s="7" t="inlineStr">
        <is>
          <t>Transfer:TR-00051; Approval:APR-00051; Received:2026-04-05; PO:PO-2023-0010; Ledger:FA-000051; PolicyFigure:ITAM_control_matrix.png</t>
        </is>
      </c>
      <c r="H27" s="7" t="inlineStr">
        <is>
          <t>Confirmed Fact</t>
        </is>
      </c>
      <c r="I27" s="7" t="inlineStr">
        <is>
          <t>Verified outcome MD-00051: Available / Denver (High). EX-0031, EX-0032.</t>
        </is>
      </c>
    </row>
    <row r="28">
      <c r="A28" s="7" t="inlineStr">
        <is>
          <t>MD-00058</t>
        </is>
      </c>
      <c r="B28" s="7" t="inlineStr">
        <is>
          <t>2024-11-11</t>
        </is>
      </c>
      <c r="C28" s="7" t="inlineStr">
        <is>
          <t>Purchase</t>
        </is>
      </c>
      <c r="D28" s="7" t="inlineStr">
        <is>
          <t>Vendor</t>
        </is>
      </c>
      <c r="E28" s="7" t="inlineStr">
        <is>
          <t>Central Receiving</t>
        </is>
      </c>
      <c r="F28" s="7" t="inlineStr">
        <is>
          <t>Atlanta Warehouse</t>
        </is>
      </c>
      <c r="G28" s="7" t="inlineStr">
        <is>
          <t>PO:PO-2024-0011</t>
        </is>
      </c>
      <c r="H28" s="7" t="inlineStr">
        <is>
          <t>Confirmed Fact</t>
        </is>
      </c>
      <c r="I28" s="7" t="inlineStr">
        <is>
          <t>Acquisition MD-00058: Google Pixel 8, $610, PO PO-2024-0011.</t>
        </is>
      </c>
    </row>
    <row r="29">
      <c r="A29" s="7" t="inlineStr">
        <is>
          <t>MD-00058</t>
        </is>
      </c>
      <c r="B29" s="7" t="inlineStr">
        <is>
          <t>2026-05-11</t>
        </is>
      </c>
      <c r="C29" s="7" t="inlineStr">
        <is>
          <t>Assignment/Transfer</t>
        </is>
      </c>
      <c r="D29" s="7" t="inlineStr">
        <is>
          <t>Central Receiving</t>
        </is>
      </c>
      <c r="E29" s="7" t="inlineStr">
        <is>
          <t>Regional IT</t>
        </is>
      </c>
      <c r="F29" s="7" t="inlineStr">
        <is>
          <t>New York</t>
        </is>
      </c>
      <c r="G29" s="7" t="inlineStr">
        <is>
          <t>Transfer:TR-00058; Approval:missing</t>
        </is>
      </c>
      <c r="H29" s="7" t="inlineStr">
        <is>
          <t>Confirmed Fact</t>
        </is>
      </c>
      <c r="I29" s="7" t="inlineStr">
        <is>
          <t>Transfer TR-00058 for MD-00058: posted 05/22/2026, inbound May 23, 2026, APR missing.</t>
        </is>
      </c>
    </row>
    <row r="30">
      <c r="A30" s="7" t="inlineStr">
        <is>
          <t>MD-00058</t>
        </is>
      </c>
      <c r="B30" s="7" t="inlineStr">
        <is>
          <t>2026-05-24</t>
        </is>
      </c>
      <c r="C30" s="7" t="inlineStr">
        <is>
          <t>Offboarding Ticket</t>
        </is>
      </c>
      <c r="D30" s="7" t="inlineStr">
        <is>
          <t>E0071</t>
        </is>
      </c>
      <c r="E30" s="7" t="inlineStr">
        <is>
          <t>IT Service Desk</t>
        </is>
      </c>
      <c r="F30" s="7" t="inlineStr"/>
      <c r="G30" s="7" t="inlineStr">
        <is>
          <t>Ticket:OFF-00058; Status:Closed</t>
        </is>
      </c>
      <c r="H30" s="7" t="inlineStr">
        <is>
          <t>Confirmed Fact</t>
        </is>
      </c>
      <c r="I30" s="7" t="inlineStr">
        <is>
          <t>Service desk OFF-00058: Closed; return required Yes; due 2026-07-15. Ticket alone does not dock MD-00058.</t>
        </is>
      </c>
    </row>
    <row r="31">
      <c r="A31" s="7" t="inlineStr">
        <is>
          <t>MD-00058</t>
        </is>
      </c>
      <c r="B31" s="7" t="inlineStr">
        <is>
          <t>2026-05-24</t>
        </is>
      </c>
      <c r="C31" s="7" t="inlineStr">
        <is>
          <t>Technician Comment</t>
        </is>
      </c>
      <c r="D31" s="7" t="inlineStr">
        <is>
          <t>Service Desk</t>
        </is>
      </c>
      <c r="E31" s="7" t="inlineStr"/>
      <c r="F31" s="7" t="inlineStr"/>
      <c r="G31" s="7" t="inlineStr">
        <is>
          <t>Ticket:OFF-00058</t>
        </is>
      </c>
      <c r="H31" s="7" t="inlineStr">
        <is>
          <t>Technician Claim</t>
        </is>
      </c>
      <c r="I31" s="7" t="inlineStr">
        <is>
          <t>Opened return kit after HR closeout. Label printed, waiting on the person. Ref MD-00058.</t>
        </is>
      </c>
    </row>
    <row r="32">
      <c r="A32" s="7" t="inlineStr">
        <is>
          <t>MD-00058</t>
        </is>
      </c>
      <c r="B32" s="7" t="inlineStr">
        <is>
          <t>2026-08-05</t>
        </is>
      </c>
      <c r="C32" s="7" t="inlineStr">
        <is>
          <t>Regional IT Note Lead</t>
        </is>
      </c>
      <c r="D32" s="7" t="inlineStr">
        <is>
          <t>Regional IT</t>
        </is>
      </c>
      <c r="E32" s="7" t="inlineStr"/>
      <c r="F32" s="7" t="inlineStr">
        <is>
          <t>Chicago - Closed</t>
        </is>
      </c>
      <c r="G32" s="7" t="inlineStr">
        <is>
          <t>regional_IT_notes.docx</t>
        </is>
      </c>
      <c r="H32" s="7" t="inlineStr">
        <is>
          <t>Technician Claim</t>
        </is>
      </c>
      <c r="I32" s="7" t="inlineStr">
        <is>
          <t>regional_IT_notes.docx checked for MD-00058; no corroborated RN entry found.</t>
        </is>
      </c>
    </row>
    <row r="33">
      <c r="A33" s="7" t="inlineStr">
        <is>
          <t>MD-00058</t>
        </is>
      </c>
      <c r="B33" s="7" t="inlineStr">
        <is>
          <t>2026-08-09</t>
        </is>
      </c>
      <c r="C33" s="7" t="inlineStr">
        <is>
          <t>Policy Control Figure</t>
        </is>
      </c>
      <c r="D33" s="7" t="inlineStr">
        <is>
          <t>ITAM-001</t>
        </is>
      </c>
      <c r="E33" s="7" t="inlineStr"/>
      <c r="F33" s="7" t="inlineStr"/>
      <c r="G33" s="7" t="inlineStr">
        <is>
          <t>ITAM_control_matrix.png; IT_asset_management_policy.pdf</t>
        </is>
      </c>
      <c r="H33" s="7" t="inlineStr">
        <is>
          <t>Confirmed Fact</t>
        </is>
      </c>
      <c r="I33" s="7" t="inlineStr">
        <is>
          <t>Policy figure sets assignment evidence expectations for MD-00058; chain row 33 remains the audit trail.</t>
        </is>
      </c>
    </row>
    <row r="34">
      <c r="A34" s="7" t="inlineStr">
        <is>
          <t>MD-00058</t>
        </is>
      </c>
      <c r="B34" s="7" t="inlineStr">
        <is>
          <t>2026-08-09</t>
        </is>
      </c>
      <c r="C34" s="7" t="inlineStr">
        <is>
          <t>Reconciliation Conclusion</t>
        </is>
      </c>
      <c r="D34" s="7" t="inlineStr">
        <is>
          <t>Evidence review</t>
        </is>
      </c>
      <c r="E34" s="7" t="inlineStr">
        <is>
          <t>Regional IT</t>
        </is>
      </c>
      <c r="F34" s="7" t="inlineStr">
        <is>
          <t>New York</t>
        </is>
      </c>
      <c r="G34" s="7" t="inlineStr">
        <is>
          <t>Transfer:TR-00058; Received:2026-05-12; Ticket:OFF-00058; PO:PO-2024-0011; Ledger:FA-000058; PolicyFigure:ITAM_control_matrix.png</t>
        </is>
      </c>
      <c r="H34" s="7" t="inlineStr">
        <is>
          <t>Confirmed Fact</t>
        </is>
      </c>
      <c r="I34" s="7" t="inlineStr">
        <is>
          <t>Custody conclusion for MD-00058: Pending Redeployment at New York (Medium). EX-0039, EX-0040, EX-0041.</t>
        </is>
      </c>
    </row>
    <row r="35">
      <c r="A35" s="7" t="inlineStr">
        <is>
          <t>MD-00059</t>
        </is>
      </c>
      <c r="B35" s="7" t="inlineStr">
        <is>
          <t>2025-12-12</t>
        </is>
      </c>
      <c r="C35" s="7" t="inlineStr">
        <is>
          <t>Purchase</t>
        </is>
      </c>
      <c r="D35" s="7" t="inlineStr">
        <is>
          <t>Vendor</t>
        </is>
      </c>
      <c r="E35" s="7" t="inlineStr">
        <is>
          <t>Central Receiving</t>
        </is>
      </c>
      <c r="F35" s="7" t="inlineStr">
        <is>
          <t>Atlanta Warehouse</t>
        </is>
      </c>
      <c r="G35" s="7" t="inlineStr">
        <is>
          <t>PO:PO-2024-0011</t>
        </is>
      </c>
      <c r="H35" s="7" t="inlineStr">
        <is>
          <t>Confirmed Fact</t>
        </is>
      </c>
      <c r="I35" s="7" t="inlineStr">
        <is>
          <t>Acquisition MD-00059: Samsung Galaxy S23 FE, $1085, PO PO-2024-0011.</t>
        </is>
      </c>
    </row>
    <row r="36">
      <c r="A36" s="7" t="inlineStr">
        <is>
          <t>MD-00059</t>
        </is>
      </c>
      <c r="B36" s="7" t="inlineStr">
        <is>
          <t>2026-06-12</t>
        </is>
      </c>
      <c r="C36" s="7" t="inlineStr">
        <is>
          <t>Assignment/Transfer</t>
        </is>
      </c>
      <c r="D36" s="7" t="inlineStr">
        <is>
          <t>Central Receiving</t>
        </is>
      </c>
      <c r="E36" s="7" t="inlineStr">
        <is>
          <t>Regional IT</t>
        </is>
      </c>
      <c r="F36" s="7" t="inlineStr">
        <is>
          <t>Seattle</t>
        </is>
      </c>
      <c r="G36" s="7" t="inlineStr">
        <is>
          <t>Transfer:TR-00059; Approval:missing</t>
        </is>
      </c>
      <c r="H36" s="7" t="inlineStr">
        <is>
          <t>Confirmed Fact</t>
        </is>
      </c>
      <c r="I36" s="7" t="inlineStr">
        <is>
          <t>Transfer TR-00059 for MD-00059: posted Jun 26, 2026, inbound 2026-06-26, APR missing.</t>
        </is>
      </c>
    </row>
    <row r="37">
      <c r="A37" s="7" t="inlineStr">
        <is>
          <t>MD-00059</t>
        </is>
      </c>
      <c r="B37" s="7" t="inlineStr">
        <is>
          <t>2026-06-01</t>
        </is>
      </c>
      <c r="C37" s="7" t="inlineStr">
        <is>
          <t>Offboarding Ticket</t>
        </is>
      </c>
      <c r="D37" s="7" t="inlineStr">
        <is>
          <t>E0072</t>
        </is>
      </c>
      <c r="E37" s="7" t="inlineStr">
        <is>
          <t>IT Service Desk</t>
        </is>
      </c>
      <c r="F37" s="7" t="inlineStr"/>
      <c r="G37" s="7" t="inlineStr">
        <is>
          <t>Ticket:OFF-00059; Status:Closed</t>
        </is>
      </c>
      <c r="H37" s="7" t="inlineStr">
        <is>
          <t>Confirmed Fact</t>
        </is>
      </c>
      <c r="I37" s="7" t="inlineStr">
        <is>
          <t>Service desk OFF-00059: Closed; return required Yes; due Jul 15, 2026. Ticket alone does not dock MD-00059.</t>
        </is>
      </c>
    </row>
    <row r="38">
      <c r="A38" s="7" t="inlineStr">
        <is>
          <t>MD-00059</t>
        </is>
      </c>
      <c r="B38" s="7" t="inlineStr">
        <is>
          <t>2026-06-01</t>
        </is>
      </c>
      <c r="C38" s="7" t="inlineStr">
        <is>
          <t>Technician Comment</t>
        </is>
      </c>
      <c r="D38" s="7" t="inlineStr">
        <is>
          <t>Service Desk</t>
        </is>
      </c>
      <c r="E38" s="7" t="inlineStr"/>
      <c r="F38" s="7" t="inlineStr"/>
      <c r="G38" s="7" t="inlineStr">
        <is>
          <t>Ticket:OFF-00059</t>
        </is>
      </c>
      <c r="H38" s="7" t="inlineStr">
        <is>
          <t>Technician Claim</t>
        </is>
      </c>
      <c r="I38" s="7" t="inlineStr">
        <is>
          <t>Mailed prepaid pouch 6/25. No SCAN-86 yet. Ref MD-00059.</t>
        </is>
      </c>
    </row>
    <row r="39">
      <c r="A39" s="7" t="inlineStr">
        <is>
          <t>MD-00059</t>
        </is>
      </c>
      <c r="B39" s="7" t="inlineStr">
        <is>
          <t>2026-08-05</t>
        </is>
      </c>
      <c r="C39" s="7" t="inlineStr">
        <is>
          <t>Regional IT Note Lead</t>
        </is>
      </c>
      <c r="D39" s="7" t="inlineStr">
        <is>
          <t>Regional IT</t>
        </is>
      </c>
      <c r="E39" s="7" t="inlineStr"/>
      <c r="F39" s="7" t="inlineStr">
        <is>
          <t>Denver - Closed</t>
        </is>
      </c>
      <c r="G39" s="7" t="inlineStr">
        <is>
          <t>regional_IT_notes.docx</t>
        </is>
      </c>
      <c r="H39" s="7" t="inlineStr">
        <is>
          <t>Technician Claim</t>
        </is>
      </c>
      <c r="I39" s="7" t="inlineStr">
        <is>
          <t>regional_IT_notes.docx checked for MD-00059; no corroborated RN entry found.</t>
        </is>
      </c>
    </row>
    <row r="40">
      <c r="A40" s="7" t="inlineStr">
        <is>
          <t>MD-00059</t>
        </is>
      </c>
      <c r="B40" s="7" t="inlineStr">
        <is>
          <t>2026-08-09</t>
        </is>
      </c>
      <c r="C40" s="7" t="inlineStr">
        <is>
          <t>Policy Control Figure</t>
        </is>
      </c>
      <c r="D40" s="7" t="inlineStr">
        <is>
          <t>ITAM-001</t>
        </is>
      </c>
      <c r="E40" s="7" t="inlineStr"/>
      <c r="F40" s="7" t="inlineStr"/>
      <c r="G40" s="7" t="inlineStr">
        <is>
          <t>ITAM_control_matrix.png; IT_asset_management_policy.pdf</t>
        </is>
      </c>
      <c r="H40" s="7" t="inlineStr">
        <is>
          <t>Confirmed Fact</t>
        </is>
      </c>
      <c r="I40" s="7" t="inlineStr">
        <is>
          <t>Read IT_asset_management_policy.pdf §4–§9 with the matrix financial line for MD-00059; cite chain row 40.</t>
        </is>
      </c>
    </row>
    <row r="41">
      <c r="A41" s="7" t="inlineStr">
        <is>
          <t>MD-00059</t>
        </is>
      </c>
      <c r="B41" s="7" t="inlineStr">
        <is>
          <t>2026-08-09</t>
        </is>
      </c>
      <c r="C41" s="7" t="inlineStr">
        <is>
          <t>Reconciliation Conclusion</t>
        </is>
      </c>
      <c r="D41" s="7" t="inlineStr">
        <is>
          <t>Evidence review</t>
        </is>
      </c>
      <c r="E41" s="7" t="inlineStr">
        <is>
          <t>Regional IT</t>
        </is>
      </c>
      <c r="F41" s="7" t="inlineStr">
        <is>
          <t>Seattle</t>
        </is>
      </c>
      <c r="G41" s="7" t="inlineStr">
        <is>
          <t>Transfer:TR-00059; Received:2026-06-13; Ticket:OFF-00059; PO:PO-2024-0011; Ledger:FA-000059; PolicyFigure:ITAM_control_matrix.png</t>
        </is>
      </c>
      <c r="H41" s="7" t="inlineStr">
        <is>
          <t>Confirmed Fact</t>
        </is>
      </c>
      <c r="I41" s="7" t="inlineStr">
        <is>
          <t>Custody conclusion for MD-00059: Pending Redeployment at Seattle (Medium). EX-0042, EX-0043, EX-0044.</t>
        </is>
      </c>
    </row>
    <row r="42">
      <c r="A42" s="7" t="inlineStr">
        <is>
          <t>MD-00060</t>
        </is>
      </c>
      <c r="B42" s="7" t="inlineStr">
        <is>
          <t>2022-01-13</t>
        </is>
      </c>
      <c r="C42" s="7" t="inlineStr">
        <is>
          <t>Purchase</t>
        </is>
      </c>
      <c r="D42" s="7" t="inlineStr">
        <is>
          <t>Vendor</t>
        </is>
      </c>
      <c r="E42" s="7" t="inlineStr">
        <is>
          <t>Central Receiving</t>
        </is>
      </c>
      <c r="F42" s="7" t="inlineStr">
        <is>
          <t>Atlanta Warehouse</t>
        </is>
      </c>
      <c r="G42" s="7" t="inlineStr">
        <is>
          <t>PO:PO-2024-0011</t>
        </is>
      </c>
      <c r="H42" s="7" t="inlineStr">
        <is>
          <t>Confirmed Fact</t>
        </is>
      </c>
      <c r="I42" s="7" t="inlineStr">
        <is>
          <t>Vendor shipment for MD-00060 (Samsung Galaxy S24) recorded at $6380 on PO-2024-0011.</t>
        </is>
      </c>
    </row>
    <row r="43">
      <c r="A43" s="7" t="inlineStr">
        <is>
          <t>MD-00060</t>
        </is>
      </c>
      <c r="B43" s="7" t="inlineStr">
        <is>
          <t>2026-01-13</t>
        </is>
      </c>
      <c r="C43" s="7" t="inlineStr">
        <is>
          <t>Assignment/Transfer</t>
        </is>
      </c>
      <c r="D43" s="7" t="inlineStr">
        <is>
          <t>Central Receiving</t>
        </is>
      </c>
      <c r="E43" s="7" t="inlineStr">
        <is>
          <t>Regional IT</t>
        </is>
      </c>
      <c r="F43" s="7" t="inlineStr">
        <is>
          <t>Atlanta</t>
        </is>
      </c>
      <c r="G43" s="7" t="inlineStr">
        <is>
          <t>Transfer:TR-00060; Approval:APR-00060</t>
        </is>
      </c>
      <c r="H43" s="7" t="inlineStr">
        <is>
          <t>Confirmed Fact</t>
        </is>
      </c>
      <c r="I43" s="7" t="inlineStr">
        <is>
          <t>Transfer TR-00060 for MD-00060: posted 2026-01-30, inbound 02/02/2026, APR APR-00060.</t>
        </is>
      </c>
    </row>
    <row r="44">
      <c r="A44" s="7" t="inlineStr">
        <is>
          <t>MD-00060</t>
        </is>
      </c>
      <c r="B44" s="7" t="inlineStr">
        <is>
          <t>2026-05-02</t>
        </is>
      </c>
      <c r="C44" s="7" t="inlineStr">
        <is>
          <t>Offboarding Ticket</t>
        </is>
      </c>
      <c r="D44" s="7" t="inlineStr">
        <is>
          <t>E0073</t>
        </is>
      </c>
      <c r="E44" s="7" t="inlineStr">
        <is>
          <t>IT Service Desk</t>
        </is>
      </c>
      <c r="F44" s="7" t="inlineStr"/>
      <c r="G44" s="7" t="inlineStr">
        <is>
          <t>Ticket:OFF-00060; Status:Closed</t>
        </is>
      </c>
      <c r="H44" s="7" t="inlineStr">
        <is>
          <t>Confirmed Fact</t>
        </is>
      </c>
      <c r="I44" s="7" t="inlineStr">
        <is>
          <t>Service desk OFF-00060: Closed; return required Yes; due 07/15/2026. Ticket alone does not dock MD-00060.</t>
        </is>
      </c>
    </row>
    <row r="45">
      <c r="A45" s="7" t="inlineStr">
        <is>
          <t>MD-00060</t>
        </is>
      </c>
      <c r="B45" s="7" t="inlineStr">
        <is>
          <t>2026-05-02</t>
        </is>
      </c>
      <c r="C45" s="7" t="inlineStr">
        <is>
          <t>Technician Comment</t>
        </is>
      </c>
      <c r="D45" s="7" t="inlineStr">
        <is>
          <t>Service Desk</t>
        </is>
      </c>
      <c r="E45" s="7" t="inlineStr"/>
      <c r="F45" s="7" t="inlineStr"/>
      <c r="G45" s="7" t="inlineStr">
        <is>
          <t>Ticket:OFF-00060</t>
        </is>
      </c>
      <c r="H45" s="7" t="inlineStr">
        <is>
          <t>Technician Claim</t>
        </is>
      </c>
      <c r="I45" s="7" t="inlineStr">
        <is>
          <t>User said they'd drop at UPS on the way out. Ticket remains open until dock confirms. Ref MD-00060.</t>
        </is>
      </c>
    </row>
    <row r="46">
      <c r="A46" s="7" t="inlineStr">
        <is>
          <t>MD-00060</t>
        </is>
      </c>
      <c r="B46" s="7" t="inlineStr">
        <is>
          <t>2026-08-05</t>
        </is>
      </c>
      <c r="C46" s="7" t="inlineStr">
        <is>
          <t>Regional IT Note Lead</t>
        </is>
      </c>
      <c r="D46" s="7" t="inlineStr">
        <is>
          <t>Regional IT</t>
        </is>
      </c>
      <c r="E46" s="7" t="inlineStr"/>
      <c r="F46" s="7" t="inlineStr">
        <is>
          <t>Chicago - Closed</t>
        </is>
      </c>
      <c r="G46" s="7" t="inlineStr">
        <is>
          <t>regional_IT_notes.docx</t>
        </is>
      </c>
      <c r="H46" s="7" t="inlineStr">
        <is>
          <t>Technician Claim</t>
        </is>
      </c>
      <c r="I46" s="7" t="inlineStr">
        <is>
          <t>regional_IT_notes.docx checked for MD-00060; no corroborated RN entry found.</t>
        </is>
      </c>
    </row>
    <row r="47">
      <c r="A47" s="7" t="inlineStr">
        <is>
          <t>MD-00060</t>
        </is>
      </c>
      <c r="B47" s="7" t="inlineStr">
        <is>
          <t>2026-08-09</t>
        </is>
      </c>
      <c r="C47" s="7" t="inlineStr">
        <is>
          <t>Policy Control Figure</t>
        </is>
      </c>
      <c r="D47" s="7" t="inlineStr">
        <is>
          <t>ITAM-001</t>
        </is>
      </c>
      <c r="E47" s="7" t="inlineStr"/>
      <c r="F47" s="7" t="inlineStr"/>
      <c r="G47" s="7" t="inlineStr">
        <is>
          <t>ITAM_control_matrix.png; IT_asset_management_policy.pdf</t>
        </is>
      </c>
      <c r="H47" s="7" t="inlineStr">
        <is>
          <t>Confirmed Fact</t>
        </is>
      </c>
      <c r="I47" s="7" t="inlineStr">
        <is>
          <t>Read IT_asset_management_policy.pdf §4–§9 with the matrix disposal line for MD-00060; cite chain row 47.</t>
        </is>
      </c>
    </row>
    <row r="48">
      <c r="A48" s="7" t="inlineStr">
        <is>
          <t>MD-00060</t>
        </is>
      </c>
      <c r="B48" s="7" t="inlineStr">
        <is>
          <t>2026-08-09</t>
        </is>
      </c>
      <c r="C48" s="7" t="inlineStr">
        <is>
          <t>Reconciliation Conclusion</t>
        </is>
      </c>
      <c r="D48" s="7" t="inlineStr">
        <is>
          <t>Evidence review</t>
        </is>
      </c>
      <c r="E48" s="7" t="inlineStr">
        <is>
          <t>Regional IT</t>
        </is>
      </c>
      <c r="F48" s="7" t="inlineStr">
        <is>
          <t>Atlanta</t>
        </is>
      </c>
      <c r="G48" s="7" t="inlineStr">
        <is>
          <t>Transfer:TR-00060; Approval:APR-00060; Received:2026-01-14; Ticket:OFF-00060; PO:PO-2024-0011; Ledger:FA-000060; PolicyFigure:ITAM_control_matrix.png</t>
        </is>
      </c>
      <c r="H48" s="7" t="inlineStr">
        <is>
          <t>Confirmed Fact</t>
        </is>
      </c>
      <c r="I48" s="7" t="inlineStr">
        <is>
          <t>Chain ends with MD-00060 as Pending Redeployment in Atlanta; confidence High. EX-0045, EX-0046.</t>
        </is>
      </c>
    </row>
    <row r="49">
      <c r="A49" s="7" t="inlineStr">
        <is>
          <t>MD-00061</t>
        </is>
      </c>
      <c r="B49" s="7" t="inlineStr">
        <is>
          <t>2023-02-14</t>
        </is>
      </c>
      <c r="C49" s="7" t="inlineStr">
        <is>
          <t>Purchase</t>
        </is>
      </c>
      <c r="D49" s="7" t="inlineStr">
        <is>
          <t>Vendor</t>
        </is>
      </c>
      <c r="E49" s="7" t="inlineStr">
        <is>
          <t>Central Receiving</t>
        </is>
      </c>
      <c r="F49" s="7" t="inlineStr">
        <is>
          <t>Atlanta Warehouse</t>
        </is>
      </c>
      <c r="G49" s="7" t="inlineStr">
        <is>
          <t>PO:PO-2025-0012</t>
        </is>
      </c>
      <c r="H49" s="7" t="inlineStr">
        <is>
          <t>Confirmed Fact</t>
        </is>
      </c>
      <c r="I49" s="7" t="inlineStr">
        <is>
          <t>Acquisition MD-00061: iPhone 15, $2075, PO PO-2025-0012.</t>
        </is>
      </c>
    </row>
    <row r="50">
      <c r="A50" s="7" t="inlineStr">
        <is>
          <t>MD-00061</t>
        </is>
      </c>
      <c r="B50" s="7" t="inlineStr">
        <is>
          <t>2026-02-14</t>
        </is>
      </c>
      <c r="C50" s="7" t="inlineStr">
        <is>
          <t>Assignment/Transfer</t>
        </is>
      </c>
      <c r="D50" s="7" t="inlineStr">
        <is>
          <t>Central Receiving</t>
        </is>
      </c>
      <c r="E50" s="7" t="inlineStr">
        <is>
          <t>Regional IT</t>
        </is>
      </c>
      <c r="F50" s="7" t="inlineStr">
        <is>
          <t>Chicago</t>
        </is>
      </c>
      <c r="G50" s="7" t="inlineStr">
        <is>
          <t>Transfer:TR-00061; Approval:APR-00061</t>
        </is>
      </c>
      <c r="H50" s="7" t="inlineStr">
        <is>
          <t>Confirmed Fact</t>
        </is>
      </c>
      <c r="I50" s="7" t="inlineStr">
        <is>
          <t>Transfer TR-00061 for MD-00061: posted 02/02/2026, inbound Feb 03, 2026, APR APR-00061.</t>
        </is>
      </c>
    </row>
    <row r="51">
      <c r="A51" s="7" t="inlineStr">
        <is>
          <t>MD-00061</t>
        </is>
      </c>
      <c r="B51" s="7" t="inlineStr">
        <is>
          <t>2026-06-03</t>
        </is>
      </c>
      <c r="C51" s="7" t="inlineStr">
        <is>
          <t>Offboarding Ticket</t>
        </is>
      </c>
      <c r="D51" s="7" t="inlineStr">
        <is>
          <t>E0074</t>
        </is>
      </c>
      <c r="E51" s="7" t="inlineStr">
        <is>
          <t>IT Service Desk</t>
        </is>
      </c>
      <c r="F51" s="7" t="inlineStr"/>
      <c r="G51" s="7" t="inlineStr">
        <is>
          <t>Ticket:OFF-00061; Status:Closed</t>
        </is>
      </c>
      <c r="H51" s="7" t="inlineStr">
        <is>
          <t>Confirmed Fact</t>
        </is>
      </c>
      <c r="I51" s="7" t="inlineStr">
        <is>
          <t>Service desk OFF-00061: Closed; return required Yes; due 2026-07-15. Ticket alone does not dock MD-00061.</t>
        </is>
      </c>
    </row>
    <row r="52">
      <c r="A52" s="7" t="inlineStr">
        <is>
          <t>MD-00061</t>
        </is>
      </c>
      <c r="B52" s="7" t="inlineStr">
        <is>
          <t>2026-06-03</t>
        </is>
      </c>
      <c r="C52" s="7" t="inlineStr">
        <is>
          <t>Technician Comment</t>
        </is>
      </c>
      <c r="D52" s="7" t="inlineStr">
        <is>
          <t>Service Desk</t>
        </is>
      </c>
      <c r="E52" s="7" t="inlineStr"/>
      <c r="F52" s="7" t="inlineStr"/>
      <c r="G52" s="7" t="inlineStr">
        <is>
          <t>Ticket:OFF-00061</t>
        </is>
      </c>
      <c r="H52" s="7" t="inlineStr">
        <is>
          <t>Technician Claim</t>
        </is>
      </c>
      <c r="I52" s="7" t="inlineStr">
        <is>
          <t>Looping with site ops — laptop still showing assigned post-term. Ref MD-00061.</t>
        </is>
      </c>
    </row>
    <row r="53">
      <c r="A53" s="7" t="inlineStr">
        <is>
          <t>MD-00061</t>
        </is>
      </c>
      <c r="B53" s="7" t="inlineStr">
        <is>
          <t>2026-08-05</t>
        </is>
      </c>
      <c r="C53" s="7" t="inlineStr">
        <is>
          <t>Regional IT Note Lead</t>
        </is>
      </c>
      <c r="D53" s="7" t="inlineStr">
        <is>
          <t>Regional IT</t>
        </is>
      </c>
      <c r="E53" s="7" t="inlineStr"/>
      <c r="F53" s="7" t="inlineStr">
        <is>
          <t>Denver - Closed</t>
        </is>
      </c>
      <c r="G53" s="7" t="inlineStr">
        <is>
          <t>regional_IT_notes.docx</t>
        </is>
      </c>
      <c r="H53" s="7" t="inlineStr">
        <is>
          <t>Technician Claim</t>
        </is>
      </c>
      <c r="I53" s="7" t="inlineStr">
        <is>
          <t>regional_IT_notes.docx checked for MD-00061; no corroborated RN entry found.</t>
        </is>
      </c>
    </row>
    <row r="54">
      <c r="A54" s="7" t="inlineStr">
        <is>
          <t>MD-00061</t>
        </is>
      </c>
      <c r="B54" s="7" t="inlineStr">
        <is>
          <t>2026-08-09</t>
        </is>
      </c>
      <c r="C54" s="7" t="inlineStr">
        <is>
          <t>Policy Control Figure</t>
        </is>
      </c>
      <c r="D54" s="7" t="inlineStr">
        <is>
          <t>ITAM-001</t>
        </is>
      </c>
      <c r="E54" s="7" t="inlineStr"/>
      <c r="F54" s="7" t="inlineStr"/>
      <c r="G54" s="7" t="inlineStr">
        <is>
          <t>ITAM_control_matrix.png; IT_asset_management_policy.pdf</t>
        </is>
      </c>
      <c r="H54" s="7" t="inlineStr">
        <is>
          <t>Confirmed Fact</t>
        </is>
      </c>
      <c r="I54" s="7" t="inlineStr">
        <is>
          <t>Policy figure sets return evidence expectations for MD-00061; chain row 54 remains the audit trail.</t>
        </is>
      </c>
    </row>
    <row r="55">
      <c r="A55" s="7" t="inlineStr">
        <is>
          <t>MD-00061</t>
        </is>
      </c>
      <c r="B55" s="7" t="inlineStr">
        <is>
          <t>2026-08-09</t>
        </is>
      </c>
      <c r="C55" s="7" t="inlineStr">
        <is>
          <t>Reconciliation Conclusion</t>
        </is>
      </c>
      <c r="D55" s="7" t="inlineStr">
        <is>
          <t>Evidence review</t>
        </is>
      </c>
      <c r="E55" s="7" t="inlineStr">
        <is>
          <t>Regional IT</t>
        </is>
      </c>
      <c r="F55" s="7" t="inlineStr">
        <is>
          <t>Chicago</t>
        </is>
      </c>
      <c r="G55" s="7" t="inlineStr">
        <is>
          <t>Transfer:TR-00061; Approval:APR-00061; Received:2026-02-15; Ticket:OFF-00061; PO:PO-2025-0012; Ledger:FA-000061; PolicyFigure:ITAM_control_matrix.png</t>
        </is>
      </c>
      <c r="H55" s="7" t="inlineStr">
        <is>
          <t>Confirmed Fact</t>
        </is>
      </c>
      <c r="I55" s="7" t="inlineStr">
        <is>
          <t>Chain ends with MD-00061 as Pending Redeployment in Chicago; confidence High. EX-0047, EX-0048.</t>
        </is>
      </c>
    </row>
    <row r="56">
      <c r="A56" s="7" t="inlineStr">
        <is>
          <t>MD-00062</t>
        </is>
      </c>
      <c r="B56" s="7" t="inlineStr">
        <is>
          <t>2024-03-15</t>
        </is>
      </c>
      <c r="C56" s="7" t="inlineStr">
        <is>
          <t>Purchase</t>
        </is>
      </c>
      <c r="D56" s="7" t="inlineStr">
        <is>
          <t>Vendor</t>
        </is>
      </c>
      <c r="E56" s="7" t="inlineStr">
        <is>
          <t>Central Receiving</t>
        </is>
      </c>
      <c r="F56" s="7" t="inlineStr">
        <is>
          <t>Atlanta Warehouse</t>
        </is>
      </c>
      <c r="G56" s="7" t="inlineStr">
        <is>
          <t>PO:PO-2025-0012</t>
        </is>
      </c>
      <c r="H56" s="7" t="inlineStr">
        <is>
          <t>Confirmed Fact</t>
        </is>
      </c>
      <c r="I56" s="7" t="inlineStr">
        <is>
          <t>PO PO-2025-0012 covers MD-00062 (Google Pixel 8) for $790.</t>
        </is>
      </c>
    </row>
    <row r="57">
      <c r="A57" s="7" t="inlineStr">
        <is>
          <t>MD-00062</t>
        </is>
      </c>
      <c r="B57" s="7" t="inlineStr">
        <is>
          <t>2026-03-15</t>
        </is>
      </c>
      <c r="C57" s="7" t="inlineStr">
        <is>
          <t>Assignment/Transfer</t>
        </is>
      </c>
      <c r="D57" s="7" t="inlineStr">
        <is>
          <t>Central Receiving</t>
        </is>
      </c>
      <c r="E57" s="7" t="inlineStr">
        <is>
          <t>Regional IT</t>
        </is>
      </c>
      <c r="F57" s="7" t="inlineStr">
        <is>
          <t>Dallas</t>
        </is>
      </c>
      <c r="G57" s="7" t="inlineStr">
        <is>
          <t>Transfer:TR-00062; Approval:APR-00062</t>
        </is>
      </c>
      <c r="H57" s="7" t="inlineStr">
        <is>
          <t>Confirmed Fact</t>
        </is>
      </c>
      <c r="I57" s="7" t="inlineStr">
        <is>
          <t>Transfer TR-00062 for MD-00062: posted Mar 07, 2026, inbound 2026-03-07, APR APR-00062.</t>
        </is>
      </c>
    </row>
    <row r="58">
      <c r="A58" s="7" t="inlineStr">
        <is>
          <t>MD-00062</t>
        </is>
      </c>
      <c r="B58" s="7" t="inlineStr">
        <is>
          <t>2026-05-04</t>
        </is>
      </c>
      <c r="C58" s="7" t="inlineStr">
        <is>
          <t>Offboarding Ticket</t>
        </is>
      </c>
      <c r="D58" s="7" t="inlineStr">
        <is>
          <t>E0075</t>
        </is>
      </c>
      <c r="E58" s="7" t="inlineStr">
        <is>
          <t>IT Service Desk</t>
        </is>
      </c>
      <c r="F58" s="7" t="inlineStr"/>
      <c r="G58" s="7" t="inlineStr">
        <is>
          <t>Ticket:OFF-00062; Status:Closed</t>
        </is>
      </c>
      <c r="H58" s="7" t="inlineStr">
        <is>
          <t>Confirmed Fact</t>
        </is>
      </c>
      <c r="I58" s="7" t="inlineStr">
        <is>
          <t>Service desk OFF-00062: Closed; return required Yes; due Jul 15, 2026. Ticket alone does not dock MD-00062.</t>
        </is>
      </c>
    </row>
    <row r="59">
      <c r="A59" s="7" t="inlineStr">
        <is>
          <t>MD-00062</t>
        </is>
      </c>
      <c r="B59" s="7" t="inlineStr">
        <is>
          <t>2026-05-04</t>
        </is>
      </c>
      <c r="C59" s="7" t="inlineStr">
        <is>
          <t>Technician Comment</t>
        </is>
      </c>
      <c r="D59" s="7" t="inlineStr">
        <is>
          <t>Service Desk</t>
        </is>
      </c>
      <c r="E59" s="7" t="inlineStr"/>
      <c r="F59" s="7" t="inlineStr"/>
      <c r="G59" s="7" t="inlineStr">
        <is>
          <t>Ticket:OFF-00062</t>
        </is>
      </c>
      <c r="H59" s="7" t="inlineStr">
        <is>
          <t>Technician Claim</t>
        </is>
      </c>
      <c r="I59" s="7" t="inlineStr">
        <is>
          <t>Return SLA missed; reminder sent to personal email on file. Ref MD-00062.</t>
        </is>
      </c>
    </row>
    <row r="60">
      <c r="A60" s="7" t="inlineStr">
        <is>
          <t>MD-00062</t>
        </is>
      </c>
      <c r="B60" s="7" t="inlineStr">
        <is>
          <t>2026-08-05</t>
        </is>
      </c>
      <c r="C60" s="7" t="inlineStr">
        <is>
          <t>Regional IT Note Lead</t>
        </is>
      </c>
      <c r="D60" s="7" t="inlineStr">
        <is>
          <t>Regional IT</t>
        </is>
      </c>
      <c r="E60" s="7" t="inlineStr"/>
      <c r="F60" s="7" t="inlineStr">
        <is>
          <t>Chicago - Closed</t>
        </is>
      </c>
      <c r="G60" s="7" t="inlineStr">
        <is>
          <t>regional_IT_notes.docx</t>
        </is>
      </c>
      <c r="H60" s="7" t="inlineStr">
        <is>
          <t>Technician Claim</t>
        </is>
      </c>
      <c r="I60" s="7" t="inlineStr">
        <is>
          <t>regional_IT_notes.docx checked for MD-00062; no corroborated RN entry found.</t>
        </is>
      </c>
    </row>
    <row r="61">
      <c r="A61" s="7" t="inlineStr">
        <is>
          <t>MD-00062</t>
        </is>
      </c>
      <c r="B61" s="7" t="inlineStr">
        <is>
          <t>2026-08-09</t>
        </is>
      </c>
      <c r="C61" s="7" t="inlineStr">
        <is>
          <t>Policy Control Figure</t>
        </is>
      </c>
      <c r="D61" s="7" t="inlineStr">
        <is>
          <t>ITAM-001</t>
        </is>
      </c>
      <c r="E61" s="7" t="inlineStr"/>
      <c r="F61" s="7" t="inlineStr"/>
      <c r="G61" s="7" t="inlineStr">
        <is>
          <t>ITAM_control_matrix.png; IT_asset_management_policy.pdf</t>
        </is>
      </c>
      <c r="H61" s="7" t="inlineStr">
        <is>
          <t>Confirmed Fact</t>
        </is>
      </c>
      <c r="I61" s="7" t="inlineStr">
        <is>
          <t>ITAM_control_matrix.png Appendix A transfer row consulted while tracing MD-00062; transactional proof stays with chain row 61.</t>
        </is>
      </c>
    </row>
    <row r="62">
      <c r="A62" s="7" t="inlineStr">
        <is>
          <t>MD-00062</t>
        </is>
      </c>
      <c r="B62" s="7" t="inlineStr">
        <is>
          <t>2026-08-09</t>
        </is>
      </c>
      <c r="C62" s="7" t="inlineStr">
        <is>
          <t>Reconciliation Conclusion</t>
        </is>
      </c>
      <c r="D62" s="7" t="inlineStr">
        <is>
          <t>Evidence review</t>
        </is>
      </c>
      <c r="E62" s="7" t="inlineStr">
        <is>
          <t>Regional IT</t>
        </is>
      </c>
      <c r="F62" s="7" t="inlineStr">
        <is>
          <t>Dallas</t>
        </is>
      </c>
      <c r="G62" s="7" t="inlineStr">
        <is>
          <t>Transfer:TR-00062; Approval:APR-00062; Received:2026-03-16; Ticket:OFF-00062; PO:PO-2025-0012; Ledger:FA-000062; PolicyFigure:ITAM_control_matrix.png</t>
        </is>
      </c>
      <c r="H62" s="7" t="inlineStr">
        <is>
          <t>Confirmed Fact</t>
        </is>
      </c>
      <c r="I62" s="7" t="inlineStr">
        <is>
          <t>Verified outcome MD-00062: Pending Redeployment / Dallas (High). EX-0049, EX-0050.</t>
        </is>
      </c>
    </row>
    <row r="63">
      <c r="A63" s="7" t="inlineStr">
        <is>
          <t>MD-00063</t>
        </is>
      </c>
      <c r="B63" s="7" t="inlineStr">
        <is>
          <t>2025-04-16</t>
        </is>
      </c>
      <c r="C63" s="7" t="inlineStr">
        <is>
          <t>Purchase</t>
        </is>
      </c>
      <c r="D63" s="7" t="inlineStr">
        <is>
          <t>Vendor</t>
        </is>
      </c>
      <c r="E63" s="7" t="inlineStr">
        <is>
          <t>Central Receiving</t>
        </is>
      </c>
      <c r="F63" s="7" t="inlineStr">
        <is>
          <t>Atlanta Warehouse</t>
        </is>
      </c>
      <c r="G63" s="7" t="inlineStr">
        <is>
          <t>PO:PO-2025-0012</t>
        </is>
      </c>
      <c r="H63" s="7" t="inlineStr">
        <is>
          <t>Confirmed Fact</t>
        </is>
      </c>
      <c r="I63" s="7" t="inlineStr">
        <is>
          <t>Vendor shipment for MD-00063 (Samsung Galaxy S23 FE) recorded at $950 on PO-2025-0012.</t>
        </is>
      </c>
    </row>
    <row r="64">
      <c r="A64" s="7" t="inlineStr">
        <is>
          <t>MD-00063</t>
        </is>
      </c>
      <c r="B64" s="7" t="inlineStr">
        <is>
          <t>2026-04-16</t>
        </is>
      </c>
      <c r="C64" s="7" t="inlineStr">
        <is>
          <t>Assignment/Transfer</t>
        </is>
      </c>
      <c r="D64" s="7" t="inlineStr">
        <is>
          <t>Central Receiving</t>
        </is>
      </c>
      <c r="E64" s="7" t="inlineStr">
        <is>
          <t>Regional IT</t>
        </is>
      </c>
      <c r="F64" s="7" t="inlineStr">
        <is>
          <t>Denver</t>
        </is>
      </c>
      <c r="G64" s="7" t="inlineStr">
        <is>
          <t>Transfer:TR-00063; Approval:APR-00063</t>
        </is>
      </c>
      <c r="H64" s="7" t="inlineStr">
        <is>
          <t>Confirmed Fact</t>
        </is>
      </c>
      <c r="I64" s="7" t="inlineStr">
        <is>
          <t>Transfer TR-00063 for MD-00063: posted 2026-04-12, inbound 04/16/2026, APR APR-00063.</t>
        </is>
      </c>
    </row>
    <row r="65">
      <c r="A65" s="7" t="inlineStr">
        <is>
          <t>MD-00063</t>
        </is>
      </c>
      <c r="B65" s="7" t="inlineStr">
        <is>
          <t>2026-06-05</t>
        </is>
      </c>
      <c r="C65" s="7" t="inlineStr">
        <is>
          <t>Offboarding Ticket</t>
        </is>
      </c>
      <c r="D65" s="7" t="inlineStr">
        <is>
          <t>E0076</t>
        </is>
      </c>
      <c r="E65" s="7" t="inlineStr">
        <is>
          <t>IT Service Desk</t>
        </is>
      </c>
      <c r="F65" s="7" t="inlineStr"/>
      <c r="G65" s="7" t="inlineStr">
        <is>
          <t>Ticket:OFF-00063; Status:Closed</t>
        </is>
      </c>
      <c r="H65" s="7" t="inlineStr">
        <is>
          <t>Confirmed Fact</t>
        </is>
      </c>
      <c r="I65" s="7" t="inlineStr">
        <is>
          <t>Service desk OFF-00063: Closed; return required Yes; due 07/15/2026. Ticket alone does not dock MD-00063.</t>
        </is>
      </c>
    </row>
    <row r="66">
      <c r="A66" s="7" t="inlineStr">
        <is>
          <t>MD-00063</t>
        </is>
      </c>
      <c r="B66" s="7" t="inlineStr">
        <is>
          <t>2026-06-05</t>
        </is>
      </c>
      <c r="C66" s="7" t="inlineStr">
        <is>
          <t>Technician Comment</t>
        </is>
      </c>
      <c r="D66" s="7" t="inlineStr">
        <is>
          <t>Service Desk</t>
        </is>
      </c>
      <c r="E66" s="7" t="inlineStr"/>
      <c r="F66" s="7" t="inlineStr"/>
      <c r="G66" s="7" t="inlineStr">
        <is>
          <t>Ticket:OFF-00063</t>
        </is>
      </c>
      <c r="H66" s="7" t="inlineStr">
        <is>
          <t>Technician Claim</t>
        </is>
      </c>
      <c r="I66" s="7" t="inlineStr">
        <is>
          <t>Created 1Z label. Box not in Atlanta inbound as of last check. Ref MD-00063.</t>
        </is>
      </c>
    </row>
    <row r="67">
      <c r="A67" s="7" t="inlineStr">
        <is>
          <t>MD-00063</t>
        </is>
      </c>
      <c r="B67" s="7" t="inlineStr">
        <is>
          <t>2026-08-05</t>
        </is>
      </c>
      <c r="C67" s="7" t="inlineStr">
        <is>
          <t>Regional IT Note Lead</t>
        </is>
      </c>
      <c r="D67" s="7" t="inlineStr">
        <is>
          <t>Regional IT</t>
        </is>
      </c>
      <c r="E67" s="7" t="inlineStr"/>
      <c r="F67" s="7" t="inlineStr">
        <is>
          <t>Denver - Closed</t>
        </is>
      </c>
      <c r="G67" s="7" t="inlineStr">
        <is>
          <t>regional_IT_notes.docx</t>
        </is>
      </c>
      <c r="H67" s="7" t="inlineStr">
        <is>
          <t>Technician Claim</t>
        </is>
      </c>
      <c r="I67" s="7" t="inlineStr">
        <is>
          <t>regional_IT_notes.docx checked for MD-00063; no corroborated RN entry found.</t>
        </is>
      </c>
    </row>
    <row r="68">
      <c r="A68" s="7" t="inlineStr">
        <is>
          <t>MD-00063</t>
        </is>
      </c>
      <c r="B68" s="7" t="inlineStr">
        <is>
          <t>2026-08-09</t>
        </is>
      </c>
      <c r="C68" s="7" t="inlineStr">
        <is>
          <t>Policy Control Figure</t>
        </is>
      </c>
      <c r="D68" s="7" t="inlineStr">
        <is>
          <t>ITAM-001</t>
        </is>
      </c>
      <c r="E68" s="7" t="inlineStr"/>
      <c r="F68" s="7" t="inlineStr"/>
      <c r="G68" s="7" t="inlineStr">
        <is>
          <t>ITAM_control_matrix.png; IT_asset_management_policy.pdf</t>
        </is>
      </c>
      <c r="H68" s="7" t="inlineStr">
        <is>
          <t>Confirmed Fact</t>
        </is>
      </c>
      <c r="I68" s="7" t="inlineStr">
        <is>
          <t>Policy figure sets financial evidence expectations for MD-00063; chain row 68 remains the audit trail.</t>
        </is>
      </c>
    </row>
    <row r="69">
      <c r="A69" s="7" t="inlineStr">
        <is>
          <t>MD-00063</t>
        </is>
      </c>
      <c r="B69" s="7" t="inlineStr">
        <is>
          <t>2026-08-09</t>
        </is>
      </c>
      <c r="C69" s="7" t="inlineStr">
        <is>
          <t>Reconciliation Conclusion</t>
        </is>
      </c>
      <c r="D69" s="7" t="inlineStr">
        <is>
          <t>Evidence review</t>
        </is>
      </c>
      <c r="E69" s="7" t="inlineStr">
        <is>
          <t>Regional IT</t>
        </is>
      </c>
      <c r="F69" s="7" t="inlineStr">
        <is>
          <t>Denver</t>
        </is>
      </c>
      <c r="G69" s="7" t="inlineStr">
        <is>
          <t>Transfer:TR-00063; Approval:APR-00063; Received:2026-04-17; Ticket:OFF-00063; PO:PO-2025-0012; Ledger:FA-000063; PolicyFigure:ITAM_control_matrix.png</t>
        </is>
      </c>
      <c r="H69" s="7" t="inlineStr">
        <is>
          <t>Confirmed Fact</t>
        </is>
      </c>
      <c r="I69" s="7" t="inlineStr">
        <is>
          <t>Final status on MD-00063 — Pending Redeployment, site Denver, High. EX-0051, EX-0052.</t>
        </is>
      </c>
    </row>
    <row r="70">
      <c r="A70" s="7" t="inlineStr">
        <is>
          <t>MD-00064</t>
        </is>
      </c>
      <c r="B70" s="7" t="inlineStr">
        <is>
          <t>2022-05-17</t>
        </is>
      </c>
      <c r="C70" s="7" t="inlineStr">
        <is>
          <t>Purchase</t>
        </is>
      </c>
      <c r="D70" s="7" t="inlineStr">
        <is>
          <t>Vendor</t>
        </is>
      </c>
      <c r="E70" s="7" t="inlineStr">
        <is>
          <t>Central Receiving</t>
        </is>
      </c>
      <c r="F70" s="7" t="inlineStr">
        <is>
          <t>Atlanta Warehouse</t>
        </is>
      </c>
      <c r="G70" s="7" t="inlineStr">
        <is>
          <t>PO:PO-2025-0012</t>
        </is>
      </c>
      <c r="H70" s="7" t="inlineStr">
        <is>
          <t>Confirmed Fact</t>
        </is>
      </c>
      <c r="I70" s="7" t="inlineStr">
        <is>
          <t>Vendor shipment for MD-00064 (iPhone 14) recorded at $6245 on PO-2025-0012.</t>
        </is>
      </c>
    </row>
    <row r="71">
      <c r="A71" s="7" t="inlineStr">
        <is>
          <t>MD-00064</t>
        </is>
      </c>
      <c r="B71" s="7" t="inlineStr">
        <is>
          <t>2026-05-17</t>
        </is>
      </c>
      <c r="C71" s="7" t="inlineStr">
        <is>
          <t>Assignment/Transfer</t>
        </is>
      </c>
      <c r="D71" s="7" t="inlineStr">
        <is>
          <t>Central Receiving</t>
        </is>
      </c>
      <c r="E71" s="7" t="inlineStr">
        <is>
          <t>Regional IT</t>
        </is>
      </c>
      <c r="F71" s="7" t="inlineStr">
        <is>
          <t>New York</t>
        </is>
      </c>
      <c r="G71" s="7" t="inlineStr">
        <is>
          <t>Transfer:TR-00064; Approval:missing</t>
        </is>
      </c>
      <c r="H71" s="7" t="inlineStr">
        <is>
          <t>Confirmed Fact</t>
        </is>
      </c>
      <c r="I71" s="7" t="inlineStr">
        <is>
          <t>Transfer TR-00064 for MD-00064: posted 05/13/2026, inbound May 14, 2026, APR missing.</t>
        </is>
      </c>
    </row>
    <row r="72">
      <c r="A72" s="7" t="inlineStr">
        <is>
          <t>MD-00064</t>
        </is>
      </c>
      <c r="B72" s="7" t="inlineStr">
        <is>
          <t>2026-05-06</t>
        </is>
      </c>
      <c r="C72" s="7" t="inlineStr">
        <is>
          <t>Offboarding Ticket</t>
        </is>
      </c>
      <c r="D72" s="7" t="inlineStr">
        <is>
          <t>E0077</t>
        </is>
      </c>
      <c r="E72" s="7" t="inlineStr">
        <is>
          <t>IT Service Desk</t>
        </is>
      </c>
      <c r="F72" s="7" t="inlineStr"/>
      <c r="G72" s="7" t="inlineStr">
        <is>
          <t>Ticket:OFF-00064; Status:Closed</t>
        </is>
      </c>
      <c r="H72" s="7" t="inlineStr">
        <is>
          <t>Confirmed Fact</t>
        </is>
      </c>
      <c r="I72" s="7" t="inlineStr">
        <is>
          <t>Service desk OFF-00064: Closed; return required Yes; due 2026-07-15. Ticket alone does not dock MD-00064.</t>
        </is>
      </c>
    </row>
    <row r="73">
      <c r="A73" s="7" t="inlineStr">
        <is>
          <t>MD-00064</t>
        </is>
      </c>
      <c r="B73" s="7" t="inlineStr">
        <is>
          <t>2026-05-06</t>
        </is>
      </c>
      <c r="C73" s="7" t="inlineStr">
        <is>
          <t>Technician Comment</t>
        </is>
      </c>
      <c r="D73" s="7" t="inlineStr">
        <is>
          <t>Service Desk</t>
        </is>
      </c>
      <c r="E73" s="7" t="inlineStr"/>
      <c r="F73" s="7" t="inlineStr"/>
      <c r="G73" s="7" t="inlineStr">
        <is>
          <t>Ticket:OFF-00064</t>
        </is>
      </c>
      <c r="H73" s="7" t="inlineStr">
        <is>
          <t>Technician Claim</t>
        </is>
      </c>
      <c r="I73" s="7" t="inlineStr">
        <is>
          <t>Desk copy of the offboarding packet marked 'ship later.' Ref MD-00064.</t>
        </is>
      </c>
    </row>
    <row r="74">
      <c r="A74" s="7" t="inlineStr">
        <is>
          <t>MD-00064</t>
        </is>
      </c>
      <c r="B74" s="7" t="inlineStr">
        <is>
          <t>2026-08-05</t>
        </is>
      </c>
      <c r="C74" s="7" t="inlineStr">
        <is>
          <t>Regional IT Note Lead</t>
        </is>
      </c>
      <c r="D74" s="7" t="inlineStr">
        <is>
          <t>Regional IT</t>
        </is>
      </c>
      <c r="E74" s="7" t="inlineStr"/>
      <c r="F74" s="7" t="inlineStr">
        <is>
          <t>Chicago - Closed</t>
        </is>
      </c>
      <c r="G74" s="7" t="inlineStr">
        <is>
          <t>regional_IT_notes.docx</t>
        </is>
      </c>
      <c r="H74" s="7" t="inlineStr">
        <is>
          <t>Technician Claim</t>
        </is>
      </c>
      <c r="I74" s="7" t="inlineStr">
        <is>
          <t>regional_IT_notes.docx checked for MD-00064; no corroborated RN entry found.</t>
        </is>
      </c>
    </row>
    <row r="75">
      <c r="A75" s="7" t="inlineStr">
        <is>
          <t>MD-00064</t>
        </is>
      </c>
      <c r="B75" s="7" t="inlineStr">
        <is>
          <t>2026-08-09</t>
        </is>
      </c>
      <c r="C75" s="7" t="inlineStr">
        <is>
          <t>Policy Control Figure</t>
        </is>
      </c>
      <c r="D75" s="7" t="inlineStr">
        <is>
          <t>ITAM-001</t>
        </is>
      </c>
      <c r="E75" s="7" t="inlineStr"/>
      <c r="F75" s="7" t="inlineStr"/>
      <c r="G75" s="7" t="inlineStr">
        <is>
          <t>ITAM_control_matrix.png; IT_asset_management_policy.pdf</t>
        </is>
      </c>
      <c r="H75" s="7" t="inlineStr">
        <is>
          <t>Confirmed Fact</t>
        </is>
      </c>
      <c r="I75" s="7" t="inlineStr">
        <is>
          <t>ITAM_control_matrix.png Appendix A disposal row consulted while tracing MD-00064; transactional proof stays with chain row 75.</t>
        </is>
      </c>
    </row>
    <row r="76">
      <c r="A76" s="7" t="inlineStr">
        <is>
          <t>MD-00064</t>
        </is>
      </c>
      <c r="B76" s="7" t="inlineStr">
        <is>
          <t>2026-08-09</t>
        </is>
      </c>
      <c r="C76" s="7" t="inlineStr">
        <is>
          <t>Reconciliation Conclusion</t>
        </is>
      </c>
      <c r="D76" s="7" t="inlineStr">
        <is>
          <t>Evidence review</t>
        </is>
      </c>
      <c r="E76" s="7" t="inlineStr">
        <is>
          <t>Regional IT</t>
        </is>
      </c>
      <c r="F76" s="7" t="inlineStr">
        <is>
          <t>New York</t>
        </is>
      </c>
      <c r="G76" s="7" t="inlineStr">
        <is>
          <t>Transfer:TR-00064; Received:2026-05-18; Ticket:OFF-00064; PO:PO-2025-0012; Ledger:FA-000064; PolicyFigure:ITAM_control_matrix.png</t>
        </is>
      </c>
      <c r="H76" s="7" t="inlineStr">
        <is>
          <t>Confirmed Fact</t>
        </is>
      </c>
      <c r="I76" s="7" t="inlineStr">
        <is>
          <t>Verified outcome MD-00064: Pending Redeployment / New York (Medium). EX-0053, EX-0054, EX-0055.</t>
        </is>
      </c>
    </row>
    <row r="77">
      <c r="A77" s="7" t="inlineStr">
        <is>
          <t>MD-00065</t>
        </is>
      </c>
      <c r="B77" s="7" t="inlineStr">
        <is>
          <t>2023-06-18</t>
        </is>
      </c>
      <c r="C77" s="7" t="inlineStr">
        <is>
          <t>Purchase</t>
        </is>
      </c>
      <c r="D77" s="7" t="inlineStr">
        <is>
          <t>Vendor</t>
        </is>
      </c>
      <c r="E77" s="7" t="inlineStr">
        <is>
          <t>Central Receiving</t>
        </is>
      </c>
      <c r="F77" s="7" t="inlineStr">
        <is>
          <t>Atlanta Warehouse</t>
        </is>
      </c>
      <c r="G77" s="7" t="inlineStr">
        <is>
          <t>PO:PO-2022-0013</t>
        </is>
      </c>
      <c r="H77" s="7" t="inlineStr">
        <is>
          <t>Confirmed Fact</t>
        </is>
      </c>
      <c r="I77" s="7" t="inlineStr">
        <is>
          <t>Vendor shipment for MD-00065 (Samsung Galaxy S24) recorded at $1940 on PO-2022-0013.</t>
        </is>
      </c>
    </row>
    <row r="78">
      <c r="A78" s="7" t="inlineStr">
        <is>
          <t>MD-00065</t>
        </is>
      </c>
      <c r="B78" s="7" t="inlineStr">
        <is>
          <t>2026-06-18</t>
        </is>
      </c>
      <c r="C78" s="7" t="inlineStr">
        <is>
          <t>Assignment/Transfer</t>
        </is>
      </c>
      <c r="D78" s="7" t="inlineStr">
        <is>
          <t>Central Receiving</t>
        </is>
      </c>
      <c r="E78" s="7" t="inlineStr">
        <is>
          <t>Regional IT</t>
        </is>
      </c>
      <c r="F78" s="7" t="inlineStr">
        <is>
          <t>Seattle</t>
        </is>
      </c>
      <c r="G78" s="7" t="inlineStr">
        <is>
          <t>Transfer:TR-00065; Approval:missing</t>
        </is>
      </c>
      <c r="H78" s="7" t="inlineStr">
        <is>
          <t>Confirmed Fact</t>
        </is>
      </c>
      <c r="I78" s="7" t="inlineStr">
        <is>
          <t>Transfer TR-00065 for MD-00065: posted Jun 17, 2026, inbound 2026-06-23, APR missing.</t>
        </is>
      </c>
    </row>
    <row r="79">
      <c r="A79" s="7" t="inlineStr">
        <is>
          <t>MD-00065</t>
        </is>
      </c>
      <c r="B79" s="7" t="inlineStr">
        <is>
          <t>2026-06-07</t>
        </is>
      </c>
      <c r="C79" s="7" t="inlineStr">
        <is>
          <t>Offboarding Ticket</t>
        </is>
      </c>
      <c r="D79" s="7" t="inlineStr">
        <is>
          <t>E0078</t>
        </is>
      </c>
      <c r="E79" s="7" t="inlineStr">
        <is>
          <t>IT Service Desk</t>
        </is>
      </c>
      <c r="F79" s="7" t="inlineStr"/>
      <c r="G79" s="7" t="inlineStr">
        <is>
          <t>Ticket:OFF-00065; Status:Closed</t>
        </is>
      </c>
      <c r="H79" s="7" t="inlineStr">
        <is>
          <t>Confirmed Fact</t>
        </is>
      </c>
      <c r="I79" s="7" t="inlineStr">
        <is>
          <t>Service desk OFF-00065: Closed; return required Yes; due Jul 15, 2026. Ticket alone does not dock MD-00065.</t>
        </is>
      </c>
    </row>
    <row r="80">
      <c r="A80" s="7" t="inlineStr">
        <is>
          <t>MD-00065</t>
        </is>
      </c>
      <c r="B80" s="7" t="inlineStr">
        <is>
          <t>2026-06-07</t>
        </is>
      </c>
      <c r="C80" s="7" t="inlineStr">
        <is>
          <t>Technician Comment</t>
        </is>
      </c>
      <c r="D80" s="7" t="inlineStr">
        <is>
          <t>Service Desk</t>
        </is>
      </c>
      <c r="E80" s="7" t="inlineStr"/>
      <c r="F80" s="7" t="inlineStr"/>
      <c r="G80" s="7" t="inlineStr">
        <is>
          <t>Ticket:OFF-00065</t>
        </is>
      </c>
      <c r="H80" s="7" t="inlineStr">
        <is>
          <t>Technician Claim</t>
        </is>
      </c>
      <c r="I80" s="7" t="inlineStr">
        <is>
          <t>Manager thought IT already had it. We don't. Ref MD-00065.</t>
        </is>
      </c>
    </row>
    <row r="81">
      <c r="A81" s="7" t="inlineStr">
        <is>
          <t>MD-00065</t>
        </is>
      </c>
      <c r="B81" s="7" t="inlineStr">
        <is>
          <t>2026-08-05</t>
        </is>
      </c>
      <c r="C81" s="7" t="inlineStr">
        <is>
          <t>Regional IT Note Lead</t>
        </is>
      </c>
      <c r="D81" s="7" t="inlineStr">
        <is>
          <t>Regional IT</t>
        </is>
      </c>
      <c r="E81" s="7" t="inlineStr"/>
      <c r="F81" s="7" t="inlineStr">
        <is>
          <t>Denver - Closed</t>
        </is>
      </c>
      <c r="G81" s="7" t="inlineStr">
        <is>
          <t>regional_IT_notes.docx</t>
        </is>
      </c>
      <c r="H81" s="7" t="inlineStr">
        <is>
          <t>Technician Claim</t>
        </is>
      </c>
      <c r="I81" s="7" t="inlineStr">
        <is>
          <t>regional_IT_notes.docx checked for MD-00065; no corroborated RN entry found.</t>
        </is>
      </c>
    </row>
    <row r="82">
      <c r="A82" s="7" t="inlineStr">
        <is>
          <t>MD-00065</t>
        </is>
      </c>
      <c r="B82" s="7" t="inlineStr">
        <is>
          <t>2026-08-09</t>
        </is>
      </c>
      <c r="C82" s="7" t="inlineStr">
        <is>
          <t>Policy Control Figure</t>
        </is>
      </c>
      <c r="D82" s="7" t="inlineStr">
        <is>
          <t>ITAM-001</t>
        </is>
      </c>
      <c r="E82" s="7" t="inlineStr"/>
      <c r="F82" s="7" t="inlineStr"/>
      <c r="G82" s="7" t="inlineStr">
        <is>
          <t>ITAM_control_matrix.png; IT_asset_management_policy.pdf</t>
        </is>
      </c>
      <c r="H82" s="7" t="inlineStr">
        <is>
          <t>Confirmed Fact</t>
        </is>
      </c>
      <c r="I82" s="7" t="inlineStr">
        <is>
          <t>Matrix return criteria applied to MD-00065; figure is reference, not inbound proof for chain row 82.</t>
        </is>
      </c>
    </row>
    <row r="83">
      <c r="A83" s="7" t="inlineStr">
        <is>
          <t>MD-00065</t>
        </is>
      </c>
      <c r="B83" s="7" t="inlineStr">
        <is>
          <t>2026-08-09</t>
        </is>
      </c>
      <c r="C83" s="7" t="inlineStr">
        <is>
          <t>Reconciliation Conclusion</t>
        </is>
      </c>
      <c r="D83" s="7" t="inlineStr">
        <is>
          <t>Evidence review</t>
        </is>
      </c>
      <c r="E83" s="7" t="inlineStr">
        <is>
          <t>Regional IT</t>
        </is>
      </c>
      <c r="F83" s="7" t="inlineStr">
        <is>
          <t>Seattle</t>
        </is>
      </c>
      <c r="G83" s="7" t="inlineStr">
        <is>
          <t>Transfer:TR-00065; Received:2026-06-19; Ticket:OFF-00065; PO:PO-2022-0013; Ledger:FA-000065; PolicyFigure:ITAM_control_matrix.png</t>
        </is>
      </c>
      <c r="H83" s="7" t="inlineStr">
        <is>
          <t>Confirmed Fact</t>
        </is>
      </c>
      <c r="I83" s="7" t="inlineStr">
        <is>
          <t>Verified outcome MD-00065: Pending Redeployment / Seattle (Medium). EX-0056, EX-0057, EX-0058.</t>
        </is>
      </c>
    </row>
    <row r="84">
      <c r="A84" s="7" t="inlineStr">
        <is>
          <t>MD-00066</t>
        </is>
      </c>
      <c r="B84" s="7" t="inlineStr">
        <is>
          <t>2024-07-19</t>
        </is>
      </c>
      <c r="C84" s="7" t="inlineStr">
        <is>
          <t>Purchase</t>
        </is>
      </c>
      <c r="D84" s="7" t="inlineStr">
        <is>
          <t>Vendor</t>
        </is>
      </c>
      <c r="E84" s="7" t="inlineStr">
        <is>
          <t>Central Receiving</t>
        </is>
      </c>
      <c r="F84" s="7" t="inlineStr">
        <is>
          <t>Atlanta Warehouse</t>
        </is>
      </c>
      <c r="G84" s="7" t="inlineStr">
        <is>
          <t>PO:PO-2022-0013</t>
        </is>
      </c>
      <c r="H84" s="7" t="inlineStr">
        <is>
          <t>Confirmed Fact</t>
        </is>
      </c>
      <c r="I84" s="7" t="inlineStr">
        <is>
          <t>Acquisition MD-00066: iPhone 15, $655, PO PO-2022-0013.</t>
        </is>
      </c>
    </row>
    <row r="85">
      <c r="A85" s="7" t="inlineStr">
        <is>
          <t>MD-00066</t>
        </is>
      </c>
      <c r="B85" s="7" t="inlineStr">
        <is>
          <t>2026-01-19</t>
        </is>
      </c>
      <c r="C85" s="7" t="inlineStr">
        <is>
          <t>Assignment/Transfer</t>
        </is>
      </c>
      <c r="D85" s="7" t="inlineStr">
        <is>
          <t>Central Receiving</t>
        </is>
      </c>
      <c r="E85" s="7" t="inlineStr">
        <is>
          <t>Regional IT</t>
        </is>
      </c>
      <c r="F85" s="7" t="inlineStr">
        <is>
          <t>Atlanta</t>
        </is>
      </c>
      <c r="G85" s="7" t="inlineStr">
        <is>
          <t>Transfer:TR-00066; Approval:APR-00066</t>
        </is>
      </c>
      <c r="H85" s="7" t="inlineStr">
        <is>
          <t>Confirmed Fact</t>
        </is>
      </c>
      <c r="I85" s="7" t="inlineStr">
        <is>
          <t>Transfer TR-00066 for MD-00066: posted 2026-01-22, inbound 01/25/2026, APR APR-00066.</t>
        </is>
      </c>
    </row>
    <row r="86">
      <c r="A86" s="7" t="inlineStr">
        <is>
          <t>MD-00066</t>
        </is>
      </c>
      <c r="B86" s="7" t="inlineStr">
        <is>
          <t>2026-05-08</t>
        </is>
      </c>
      <c r="C86" s="7" t="inlineStr">
        <is>
          <t>Offboarding Ticket</t>
        </is>
      </c>
      <c r="D86" s="7" t="inlineStr">
        <is>
          <t>E0079</t>
        </is>
      </c>
      <c r="E86" s="7" t="inlineStr">
        <is>
          <t>IT Service Desk</t>
        </is>
      </c>
      <c r="F86" s="7" t="inlineStr"/>
      <c r="G86" s="7" t="inlineStr">
        <is>
          <t>Ticket:OFF-00066; Status:Closed</t>
        </is>
      </c>
      <c r="H86" s="7" t="inlineStr">
        <is>
          <t>Confirmed Fact</t>
        </is>
      </c>
      <c r="I86" s="7" t="inlineStr">
        <is>
          <t>Service desk OFF-00066: Closed; return required Yes; due 07/15/2026. Ticket alone does not dock MD-00066.</t>
        </is>
      </c>
    </row>
    <row r="87">
      <c r="A87" s="7" t="inlineStr">
        <is>
          <t>MD-00066</t>
        </is>
      </c>
      <c r="B87" s="7" t="inlineStr">
        <is>
          <t>2026-05-08</t>
        </is>
      </c>
      <c r="C87" s="7" t="inlineStr">
        <is>
          <t>Technician Comment</t>
        </is>
      </c>
      <c r="D87" s="7" t="inlineStr">
        <is>
          <t>Service Desk</t>
        </is>
      </c>
      <c r="E87" s="7" t="inlineStr"/>
      <c r="F87" s="7" t="inlineStr"/>
      <c r="G87" s="7" t="inlineStr">
        <is>
          <t>Ticket:OFF-00066</t>
        </is>
      </c>
      <c r="H87" s="7" t="inlineStr">
        <is>
          <t>Technician Claim</t>
        </is>
      </c>
      <c r="I87" s="7" t="inlineStr">
        <is>
          <t>Pushed a second reminder. Carrier still has no acceptance. Ref MD-00066.</t>
        </is>
      </c>
    </row>
    <row r="88">
      <c r="A88" s="7" t="inlineStr">
        <is>
          <t>MD-00066</t>
        </is>
      </c>
      <c r="B88" s="7" t="inlineStr">
        <is>
          <t>2026-08-05</t>
        </is>
      </c>
      <c r="C88" s="7" t="inlineStr">
        <is>
          <t>Regional IT Note Lead</t>
        </is>
      </c>
      <c r="D88" s="7" t="inlineStr">
        <is>
          <t>Regional IT</t>
        </is>
      </c>
      <c r="E88" s="7" t="inlineStr"/>
      <c r="F88" s="7" t="inlineStr">
        <is>
          <t>Chicago - Closed</t>
        </is>
      </c>
      <c r="G88" s="7" t="inlineStr">
        <is>
          <t>regional_IT_notes.docx</t>
        </is>
      </c>
      <c r="H88" s="7" t="inlineStr">
        <is>
          <t>Technician Claim</t>
        </is>
      </c>
      <c r="I88" s="7" t="inlineStr">
        <is>
          <t>regional_IT_notes.docx checked for MD-00066; no corroborated RN entry found.</t>
        </is>
      </c>
    </row>
    <row r="89">
      <c r="A89" s="7" t="inlineStr">
        <is>
          <t>MD-00066</t>
        </is>
      </c>
      <c r="B89" s="7" t="inlineStr">
        <is>
          <t>2026-08-09</t>
        </is>
      </c>
      <c r="C89" s="7" t="inlineStr">
        <is>
          <t>Policy Control Figure</t>
        </is>
      </c>
      <c r="D89" s="7" t="inlineStr">
        <is>
          <t>ITAM-001</t>
        </is>
      </c>
      <c r="E89" s="7" t="inlineStr"/>
      <c r="F89" s="7" t="inlineStr"/>
      <c r="G89" s="7" t="inlineStr">
        <is>
          <t>ITAM_control_matrix.png; IT_asset_management_policy.pdf</t>
        </is>
      </c>
      <c r="H89" s="7" t="inlineStr">
        <is>
          <t>Confirmed Fact</t>
        </is>
      </c>
      <c r="I89" s="7" t="inlineStr">
        <is>
          <t>Policy figure sets assignment evidence expectations for MD-00066; chain row 89 remains the audit trail.</t>
        </is>
      </c>
    </row>
    <row r="90">
      <c r="A90" s="7" t="inlineStr">
        <is>
          <t>MD-00066</t>
        </is>
      </c>
      <c r="B90" s="7" t="inlineStr">
        <is>
          <t>2026-08-09</t>
        </is>
      </c>
      <c r="C90" s="7" t="inlineStr">
        <is>
          <t>Reconciliation Conclusion</t>
        </is>
      </c>
      <c r="D90" s="7" t="inlineStr">
        <is>
          <t>Evidence review</t>
        </is>
      </c>
      <c r="E90" s="7" t="inlineStr">
        <is>
          <t>Regional IT</t>
        </is>
      </c>
      <c r="F90" s="7" t="inlineStr">
        <is>
          <t>Atlanta</t>
        </is>
      </c>
      <c r="G90" s="7" t="inlineStr">
        <is>
          <t>Transfer:TR-00066; Approval:APR-00066; Received:2026-01-20; Ticket:OFF-00066; PO:PO-2022-0013; Ledger:FA-000066; PolicyFigure:ITAM_control_matrix.png</t>
        </is>
      </c>
      <c r="H90" s="7" t="inlineStr">
        <is>
          <t>Confirmed Fact</t>
        </is>
      </c>
      <c r="I90" s="7" t="inlineStr">
        <is>
          <t>Custody conclusion for MD-00066: Pending Redeployment at Atlanta (High). EX-0059, EX-0060.</t>
        </is>
      </c>
    </row>
    <row r="91">
      <c r="A91" s="7" t="inlineStr">
        <is>
          <t>MD-00067</t>
        </is>
      </c>
      <c r="B91" s="7" t="inlineStr">
        <is>
          <t>2025-08-20</t>
        </is>
      </c>
      <c r="C91" s="7" t="inlineStr">
        <is>
          <t>Purchase</t>
        </is>
      </c>
      <c r="D91" s="7" t="inlineStr">
        <is>
          <t>Vendor</t>
        </is>
      </c>
      <c r="E91" s="7" t="inlineStr">
        <is>
          <t>Central Receiving</t>
        </is>
      </c>
      <c r="F91" s="7" t="inlineStr">
        <is>
          <t>Atlanta Warehouse</t>
        </is>
      </c>
      <c r="G91" s="7" t="inlineStr">
        <is>
          <t>PO:PO-2022-0013</t>
        </is>
      </c>
      <c r="H91" s="7" t="inlineStr">
        <is>
          <t>Confirmed Fact</t>
        </is>
      </c>
      <c r="I91" s="7" t="inlineStr">
        <is>
          <t>PO PO-2022-0013 covers MD-00067 (Google Pixel 8) for $1130.</t>
        </is>
      </c>
    </row>
    <row r="92">
      <c r="A92" s="7" t="inlineStr">
        <is>
          <t>MD-00067</t>
        </is>
      </c>
      <c r="B92" s="7" t="inlineStr">
        <is>
          <t>2026-02-20</t>
        </is>
      </c>
      <c r="C92" s="7" t="inlineStr">
        <is>
          <t>Assignment/Transfer</t>
        </is>
      </c>
      <c r="D92" s="7" t="inlineStr">
        <is>
          <t>Central Receiving</t>
        </is>
      </c>
      <c r="E92" s="7" t="inlineStr">
        <is>
          <t>Regional IT</t>
        </is>
      </c>
      <c r="F92" s="7" t="inlineStr">
        <is>
          <t>Chicago</t>
        </is>
      </c>
      <c r="G92" s="7" t="inlineStr">
        <is>
          <t>Transfer:TR-00067; Approval:APR-00067</t>
        </is>
      </c>
      <c r="H92" s="7" t="inlineStr">
        <is>
          <t>Confirmed Fact</t>
        </is>
      </c>
      <c r="I92" s="7" t="inlineStr">
        <is>
          <t>Transfer TR-00067 for MD-00067: posted 02/23/2026, inbound Feb 23, 2026, APR APR-00067.</t>
        </is>
      </c>
    </row>
    <row r="93">
      <c r="A93" s="7" t="inlineStr">
        <is>
          <t>MD-00067</t>
        </is>
      </c>
      <c r="B93" s="7" t="inlineStr">
        <is>
          <t>2026-06-09</t>
        </is>
      </c>
      <c r="C93" s="7" t="inlineStr">
        <is>
          <t>Offboarding Ticket</t>
        </is>
      </c>
      <c r="D93" s="7" t="inlineStr">
        <is>
          <t>E0080</t>
        </is>
      </c>
      <c r="E93" s="7" t="inlineStr">
        <is>
          <t>IT Service Desk</t>
        </is>
      </c>
      <c r="F93" s="7" t="inlineStr"/>
      <c r="G93" s="7" t="inlineStr">
        <is>
          <t>Ticket:OFF-00067; Status:Closed</t>
        </is>
      </c>
      <c r="H93" s="7" t="inlineStr">
        <is>
          <t>Confirmed Fact</t>
        </is>
      </c>
      <c r="I93" s="7" t="inlineStr">
        <is>
          <t>Service desk OFF-00067: Closed; return required Yes; due 2026-07-15. Ticket alone does not dock MD-00067.</t>
        </is>
      </c>
    </row>
    <row r="94">
      <c r="A94" s="7" t="inlineStr">
        <is>
          <t>MD-00067</t>
        </is>
      </c>
      <c r="B94" s="7" t="inlineStr">
        <is>
          <t>2026-06-09</t>
        </is>
      </c>
      <c r="C94" s="7" t="inlineStr">
        <is>
          <t>Technician Comment</t>
        </is>
      </c>
      <c r="D94" s="7" t="inlineStr">
        <is>
          <t>Service Desk</t>
        </is>
      </c>
      <c r="E94" s="7" t="inlineStr"/>
      <c r="F94" s="7" t="inlineStr"/>
      <c r="G94" s="7" t="inlineStr">
        <is>
          <t>Ticket:OFF-00067</t>
        </is>
      </c>
      <c r="H94" s="7" t="inlineStr">
        <is>
          <t>Technician Claim</t>
        </is>
      </c>
      <c r="I94" s="7" t="inlineStr">
        <is>
          <t>WFH return; waiting on tracking to leave 'label created.' Ref MD-00067.</t>
        </is>
      </c>
    </row>
    <row r="95">
      <c r="A95" s="7" t="inlineStr">
        <is>
          <t>MD-00067</t>
        </is>
      </c>
      <c r="B95" s="7" t="inlineStr">
        <is>
          <t>2026-08-05</t>
        </is>
      </c>
      <c r="C95" s="7" t="inlineStr">
        <is>
          <t>Regional IT Note Lead</t>
        </is>
      </c>
      <c r="D95" s="7" t="inlineStr">
        <is>
          <t>Regional IT</t>
        </is>
      </c>
      <c r="E95" s="7" t="inlineStr"/>
      <c r="F95" s="7" t="inlineStr">
        <is>
          <t>Denver - Closed</t>
        </is>
      </c>
      <c r="G95" s="7" t="inlineStr">
        <is>
          <t>regional_IT_notes.docx</t>
        </is>
      </c>
      <c r="H95" s="7" t="inlineStr">
        <is>
          <t>Technician Claim</t>
        </is>
      </c>
      <c r="I95" s="7" t="inlineStr">
        <is>
          <t>regional_IT_notes.docx checked for MD-00067; no corroborated RN entry found.</t>
        </is>
      </c>
    </row>
    <row r="96">
      <c r="A96" s="7" t="inlineStr">
        <is>
          <t>MD-00067</t>
        </is>
      </c>
      <c r="B96" s="7" t="inlineStr">
        <is>
          <t>2026-08-09</t>
        </is>
      </c>
      <c r="C96" s="7" t="inlineStr">
        <is>
          <t>Policy Control Figure</t>
        </is>
      </c>
      <c r="D96" s="7" t="inlineStr">
        <is>
          <t>ITAM-001</t>
        </is>
      </c>
      <c r="E96" s="7" t="inlineStr"/>
      <c r="F96" s="7" t="inlineStr"/>
      <c r="G96" s="7" t="inlineStr">
        <is>
          <t>ITAM_control_matrix.png; IT_asset_management_policy.pdf</t>
        </is>
      </c>
      <c r="H96" s="7" t="inlineStr">
        <is>
          <t>Confirmed Fact</t>
        </is>
      </c>
      <c r="I96" s="7" t="inlineStr">
        <is>
          <t>Matrix financial criteria applied to MD-00067; figure is reference, not inbound proof for chain row 96.</t>
        </is>
      </c>
    </row>
    <row r="97">
      <c r="A97" s="7" t="inlineStr">
        <is>
          <t>MD-00067</t>
        </is>
      </c>
      <c r="B97" s="7" t="inlineStr">
        <is>
          <t>2026-08-09</t>
        </is>
      </c>
      <c r="C97" s="7" t="inlineStr">
        <is>
          <t>Reconciliation Conclusion</t>
        </is>
      </c>
      <c r="D97" s="7" t="inlineStr">
        <is>
          <t>Evidence review</t>
        </is>
      </c>
      <c r="E97" s="7" t="inlineStr">
        <is>
          <t>Regional IT</t>
        </is>
      </c>
      <c r="F97" s="7" t="inlineStr">
        <is>
          <t>Chicago</t>
        </is>
      </c>
      <c r="G97" s="7" t="inlineStr">
        <is>
          <t>Transfer:TR-00067; Approval:APR-00067; Received:2026-02-21; Ticket:OFF-00067; PO:PO-2022-0013; Ledger:FA-000067; PolicyFigure:ITAM_control_matrix.png</t>
        </is>
      </c>
      <c r="H97" s="7" t="inlineStr">
        <is>
          <t>Confirmed Fact</t>
        </is>
      </c>
      <c r="I97" s="7" t="inlineStr">
        <is>
          <t>Custody conclusion for MD-00067: Pending Redeployment at Chicago (High). EX-0061, EX-0062.</t>
        </is>
      </c>
    </row>
    <row r="98">
      <c r="A98" s="7" t="inlineStr">
        <is>
          <t>MD-00068</t>
        </is>
      </c>
      <c r="B98" s="7" t="inlineStr">
        <is>
          <t>2022-09-21</t>
        </is>
      </c>
      <c r="C98" s="7" t="inlineStr">
        <is>
          <t>Purchase</t>
        </is>
      </c>
      <c r="D98" s="7" t="inlineStr">
        <is>
          <t>Vendor</t>
        </is>
      </c>
      <c r="E98" s="7" t="inlineStr">
        <is>
          <t>Central Receiving</t>
        </is>
      </c>
      <c r="F98" s="7" t="inlineStr">
        <is>
          <t>Atlanta Warehouse</t>
        </is>
      </c>
      <c r="G98" s="7" t="inlineStr">
        <is>
          <t>PO:PO-2022-0013</t>
        </is>
      </c>
      <c r="H98" s="7" t="inlineStr">
        <is>
          <t>Confirmed Fact</t>
        </is>
      </c>
      <c r="I98" s="7" t="inlineStr">
        <is>
          <t>PO PO-2022-0013 covers MD-00068 (Samsung Galaxy S23 FE) for $6425.</t>
        </is>
      </c>
    </row>
    <row r="99">
      <c r="A99" s="7" t="inlineStr">
        <is>
          <t>MD-00068</t>
        </is>
      </c>
      <c r="B99" s="7" t="inlineStr">
        <is>
          <t>2026-03-21</t>
        </is>
      </c>
      <c r="C99" s="7" t="inlineStr">
        <is>
          <t>Assignment/Transfer</t>
        </is>
      </c>
      <c r="D99" s="7" t="inlineStr">
        <is>
          <t>Central Receiving</t>
        </is>
      </c>
      <c r="E99" s="7" t="inlineStr">
        <is>
          <t>E0071</t>
        </is>
      </c>
      <c r="F99" s="7" t="inlineStr">
        <is>
          <t>Remote - Former Employee</t>
        </is>
      </c>
      <c r="G99" s="7" t="inlineStr">
        <is>
          <t>Transfer:TR-00068; Approval:APR-00068</t>
        </is>
      </c>
      <c r="H99" s="7" t="inlineStr">
        <is>
          <t>Confirmed Fact</t>
        </is>
      </c>
      <c r="I99" s="7" t="inlineStr">
        <is>
          <t>Transfer TR-00068 for MD-00068: posted Mar 28, 2026, inbound 2026-04-03, APR APR-00068.</t>
        </is>
      </c>
    </row>
    <row r="100">
      <c r="A100" s="7" t="inlineStr">
        <is>
          <t>MD-00068</t>
        </is>
      </c>
      <c r="B100" s="7" t="inlineStr">
        <is>
          <t>2026-05-10</t>
        </is>
      </c>
      <c r="C100" s="7" t="inlineStr">
        <is>
          <t>Offboarding Ticket</t>
        </is>
      </c>
      <c r="D100" s="7" t="inlineStr">
        <is>
          <t>E0081</t>
        </is>
      </c>
      <c r="E100" s="7" t="inlineStr">
        <is>
          <t>IT Service Desk</t>
        </is>
      </c>
      <c r="F100" s="7" t="inlineStr"/>
      <c r="G100" s="7" t="inlineStr">
        <is>
          <t>Ticket:OFF-00068; Status:Past Due</t>
        </is>
      </c>
      <c r="H100" s="7" t="inlineStr">
        <is>
          <t>Confirmed Fact</t>
        </is>
      </c>
      <c r="I100" s="7" t="inlineStr">
        <is>
          <t>Service desk OFF-00068: Past Due; return required Yes; due Jul 15, 2026. Ticket alone does not dock MD-00068.</t>
        </is>
      </c>
    </row>
    <row r="101">
      <c r="A101" s="7" t="inlineStr">
        <is>
          <t>MD-00068</t>
        </is>
      </c>
      <c r="B101" s="7" t="inlineStr">
        <is>
          <t>2026-05-10</t>
        </is>
      </c>
      <c r="C101" s="7" t="inlineStr">
        <is>
          <t>Technician Comment</t>
        </is>
      </c>
      <c r="D101" s="7" t="inlineStr">
        <is>
          <t>Service Desk</t>
        </is>
      </c>
      <c r="E101" s="7" t="inlineStr"/>
      <c r="F101" s="7" t="inlineStr"/>
      <c r="G101" s="7" t="inlineStr">
        <is>
          <t>Ticket:OFF-00068</t>
        </is>
      </c>
      <c r="H101" s="7" t="inlineStr">
        <is>
          <t>Technician Claim</t>
        </is>
      </c>
      <c r="I101" s="7" t="inlineStr">
        <is>
          <t>Coordinator asked if we can close on the label. No. Ref MD-00068.</t>
        </is>
      </c>
    </row>
    <row r="102">
      <c r="A102" s="7" t="inlineStr">
        <is>
          <t>MD-00068</t>
        </is>
      </c>
      <c r="B102" s="7" t="inlineStr">
        <is>
          <t>2026-06-25</t>
        </is>
      </c>
      <c r="C102" s="7" t="inlineStr">
        <is>
          <t>Return Label Created</t>
        </is>
      </c>
      <c r="D102" s="7" t="inlineStr">
        <is>
          <t>E0081</t>
        </is>
      </c>
      <c r="E102" s="7" t="inlineStr">
        <is>
          <t>Return Carrier</t>
        </is>
      </c>
      <c r="F102" s="7" t="inlineStr">
        <is>
          <t>Carrier Network</t>
        </is>
      </c>
      <c r="G102" s="7" t="inlineStr">
        <is>
          <t>Tracking:1ZMD00000068; Status:Label Created</t>
        </is>
      </c>
      <c r="H102" s="7" t="inlineStr">
        <is>
          <t>Confirmed Fact</t>
        </is>
      </c>
      <c r="I102" s="7" t="inlineStr">
        <is>
          <t>Prepaid label 1ZMD00000068 for MD-00068 — Label Created only; not a return clearance.</t>
        </is>
      </c>
    </row>
    <row r="103">
      <c r="A103" s="7" t="inlineStr">
        <is>
          <t>MD-00068</t>
        </is>
      </c>
      <c r="B103" s="7" t="inlineStr">
        <is>
          <t>2026-08-05</t>
        </is>
      </c>
      <c r="C103" s="7" t="inlineStr">
        <is>
          <t>Regional IT Note Lead</t>
        </is>
      </c>
      <c r="D103" s="7" t="inlineStr">
        <is>
          <t>Regional IT</t>
        </is>
      </c>
      <c r="E103" s="7" t="inlineStr"/>
      <c r="F103" s="7" t="inlineStr">
        <is>
          <t>Chicago - Closed</t>
        </is>
      </c>
      <c r="G103" s="7" t="inlineStr">
        <is>
          <t>regional_IT_notes.docx</t>
        </is>
      </c>
      <c r="H103" s="7" t="inlineStr">
        <is>
          <t>Technician Claim</t>
        </is>
      </c>
      <c r="I103" s="7" t="inlineStr">
        <is>
          <t>regional_IT_notes.docx checked for MD-00068; no corroborated RN entry found.</t>
        </is>
      </c>
    </row>
    <row r="104">
      <c r="A104" s="7" t="inlineStr">
        <is>
          <t>MD-00068</t>
        </is>
      </c>
      <c r="B104" s="7" t="inlineStr">
        <is>
          <t>2026-08-09</t>
        </is>
      </c>
      <c r="C104" s="7" t="inlineStr">
        <is>
          <t>Policy Control Figure</t>
        </is>
      </c>
      <c r="D104" s="7" t="inlineStr">
        <is>
          <t>ITAM-001</t>
        </is>
      </c>
      <c r="E104" s="7" t="inlineStr"/>
      <c r="F104" s="7" t="inlineStr"/>
      <c r="G104" s="7" t="inlineStr">
        <is>
          <t>ITAM_control_matrix.png; IT_asset_management_policy.pdf</t>
        </is>
      </c>
      <c r="H104" s="7" t="inlineStr">
        <is>
          <t>Confirmed Fact</t>
        </is>
      </c>
      <c r="I104" s="7" t="inlineStr">
        <is>
          <t>Read IT_asset_management_policy.pdf §4–§9 with the matrix disposal line for MD-00068; cite chain row 104.</t>
        </is>
      </c>
    </row>
    <row r="105">
      <c r="A105" s="7" t="inlineStr">
        <is>
          <t>MD-00068</t>
        </is>
      </c>
      <c r="B105" s="7" t="inlineStr">
        <is>
          <t>2026-08-09</t>
        </is>
      </c>
      <c r="C105" s="7" t="inlineStr">
        <is>
          <t>Reconciliation Conclusion</t>
        </is>
      </c>
      <c r="D105" s="7" t="inlineStr">
        <is>
          <t>Evidence review</t>
        </is>
      </c>
      <c r="E105" s="7" t="inlineStr">
        <is>
          <t>E0081</t>
        </is>
      </c>
      <c r="F105" s="7" t="inlineStr">
        <is>
          <t>Remote - Former Employee</t>
        </is>
      </c>
      <c r="G105" s="7" t="inlineStr">
        <is>
          <t>Ticket:OFF-00068; Tracking:1ZMD00000068; ReturnProof:absent (label only); Transfer:TR-00068; HR:E0081:Separated; PO:PO-2022-0013; Ledger:FA-000068; PolicyFigure:ITAM_control_matrix.png</t>
        </is>
      </c>
      <c r="H105" s="7" t="inlineStr">
        <is>
          <t>Unresolved Assumption</t>
        </is>
      </c>
      <c r="I105" s="7" t="inlineStr">
        <is>
          <t>Chain ends with MD-00068 as Return Overdue in Remote - Former Employee; confidence Low. EX-0063, EX-0064, EX-0065.</t>
        </is>
      </c>
    </row>
    <row r="106">
      <c r="A106" s="7" t="inlineStr">
        <is>
          <t>MD-00069</t>
        </is>
      </c>
      <c r="B106" s="7" t="inlineStr">
        <is>
          <t>2023-10-22</t>
        </is>
      </c>
      <c r="C106" s="7" t="inlineStr">
        <is>
          <t>Purchase</t>
        </is>
      </c>
      <c r="D106" s="7" t="inlineStr">
        <is>
          <t>Vendor</t>
        </is>
      </c>
      <c r="E106" s="7" t="inlineStr">
        <is>
          <t>Central Receiving</t>
        </is>
      </c>
      <c r="F106" s="7" t="inlineStr">
        <is>
          <t>Atlanta Warehouse</t>
        </is>
      </c>
      <c r="G106" s="7" t="inlineStr">
        <is>
          <t>PO:PO-2022-0013</t>
        </is>
      </c>
      <c r="H106" s="7" t="inlineStr">
        <is>
          <t>Confirmed Fact</t>
        </is>
      </c>
      <c r="I106" s="7" t="inlineStr">
        <is>
          <t>PO PO-2022-0013 covers MD-00069 (iPhone 14) for $2120.</t>
        </is>
      </c>
    </row>
    <row r="107">
      <c r="A107" s="7" t="inlineStr">
        <is>
          <t>MD-00069</t>
        </is>
      </c>
      <c r="B107" s="7" t="inlineStr">
        <is>
          <t>2026-04-22</t>
        </is>
      </c>
      <c r="C107" s="7" t="inlineStr">
        <is>
          <t>Assignment/Transfer</t>
        </is>
      </c>
      <c r="D107" s="7" t="inlineStr">
        <is>
          <t>Central Receiving</t>
        </is>
      </c>
      <c r="E107" s="7" t="inlineStr">
        <is>
          <t>E0072</t>
        </is>
      </c>
      <c r="F107" s="7" t="inlineStr">
        <is>
          <t>Remote - Former Employee</t>
        </is>
      </c>
      <c r="G107" s="7" t="inlineStr">
        <is>
          <t>Transfer:TR-00069; Approval:APR-00069</t>
        </is>
      </c>
      <c r="H107" s="7" t="inlineStr">
        <is>
          <t>Confirmed Fact</t>
        </is>
      </c>
      <c r="I107" s="7" t="inlineStr">
        <is>
          <t>Transfer TR-00069 for MD-00069: posted May 02, 2026, inbound 2026-05-04, APR APR-00069.</t>
        </is>
      </c>
    </row>
    <row r="108">
      <c r="A108" s="7" t="inlineStr">
        <is>
          <t>MD-00069</t>
        </is>
      </c>
      <c r="B108" s="7" t="inlineStr">
        <is>
          <t>2026-06-11</t>
        </is>
      </c>
      <c r="C108" s="7" t="inlineStr">
        <is>
          <t>Offboarding Ticket</t>
        </is>
      </c>
      <c r="D108" s="7" t="inlineStr">
        <is>
          <t>E0082</t>
        </is>
      </c>
      <c r="E108" s="7" t="inlineStr">
        <is>
          <t>IT Service Desk</t>
        </is>
      </c>
      <c r="F108" s="7" t="inlineStr"/>
      <c r="G108" s="7" t="inlineStr">
        <is>
          <t>Ticket:OFF-00069; Status:Past Due</t>
        </is>
      </c>
      <c r="H108" s="7" t="inlineStr">
        <is>
          <t>Confirmed Fact</t>
        </is>
      </c>
      <c r="I108" s="7" t="inlineStr">
        <is>
          <t>Service desk OFF-00069: Past Due; return required Yes; due 2026-07-15. Ticket alone does not dock MD-00069.</t>
        </is>
      </c>
    </row>
    <row r="109">
      <c r="A109" s="7" t="inlineStr">
        <is>
          <t>MD-00069</t>
        </is>
      </c>
      <c r="B109" s="7" t="inlineStr">
        <is>
          <t>2026-06-11</t>
        </is>
      </c>
      <c r="C109" s="7" t="inlineStr">
        <is>
          <t>Technician Comment</t>
        </is>
      </c>
      <c r="D109" s="7" t="inlineStr">
        <is>
          <t>Service Desk</t>
        </is>
      </c>
      <c r="E109" s="7" t="inlineStr"/>
      <c r="F109" s="7" t="inlineStr"/>
      <c r="G109" s="7" t="inlineStr">
        <is>
          <t>Ticket:OFF-00069</t>
        </is>
      </c>
      <c r="H109" s="7" t="inlineStr">
        <is>
          <t>Technician Claim</t>
        </is>
      </c>
      <c r="I109" s="7" t="inlineStr">
        <is>
          <t>Requested photo of packed carton. Nothing came back. Ref MD-00069.</t>
        </is>
      </c>
    </row>
    <row r="110">
      <c r="A110" s="7" t="inlineStr">
        <is>
          <t>MD-00069</t>
        </is>
      </c>
      <c r="B110" s="7" t="inlineStr">
        <is>
          <t>2026-06-25</t>
        </is>
      </c>
      <c r="C110" s="7" t="inlineStr">
        <is>
          <t>Return Label Created</t>
        </is>
      </c>
      <c r="D110" s="7" t="inlineStr">
        <is>
          <t>E0082</t>
        </is>
      </c>
      <c r="E110" s="7" t="inlineStr">
        <is>
          <t>Return Carrier</t>
        </is>
      </c>
      <c r="F110" s="7" t="inlineStr">
        <is>
          <t>Carrier Network</t>
        </is>
      </c>
      <c r="G110" s="7" t="inlineStr">
        <is>
          <t>Tracking:1ZMD00000069; Status:Label Created</t>
        </is>
      </c>
      <c r="H110" s="7" t="inlineStr">
        <is>
          <t>Confirmed Fact</t>
        </is>
      </c>
      <c r="I110" s="7" t="inlineStr">
        <is>
          <t>Prepaid label 1ZMD00000069 for MD-00069 — Label Created only; not a return clearance.</t>
        </is>
      </c>
    </row>
    <row r="111">
      <c r="A111" s="7" t="inlineStr">
        <is>
          <t>MD-00069</t>
        </is>
      </c>
      <c r="B111" s="7" t="inlineStr">
        <is>
          <t>2026-08-05</t>
        </is>
      </c>
      <c r="C111" s="7" t="inlineStr">
        <is>
          <t>Regional IT Note Lead</t>
        </is>
      </c>
      <c r="D111" s="7" t="inlineStr">
        <is>
          <t>Regional IT</t>
        </is>
      </c>
      <c r="E111" s="7" t="inlineStr"/>
      <c r="F111" s="7" t="inlineStr">
        <is>
          <t>Denver - Closed</t>
        </is>
      </c>
      <c r="G111" s="7" t="inlineStr">
        <is>
          <t>regional_IT_notes.docx</t>
        </is>
      </c>
      <c r="H111" s="7" t="inlineStr">
        <is>
          <t>Technician Claim</t>
        </is>
      </c>
      <c r="I111" s="7" t="inlineStr">
        <is>
          <t>regional_IT_notes.docx checked for MD-00069; no corroborated RN entry found.</t>
        </is>
      </c>
    </row>
    <row r="112">
      <c r="A112" s="7" t="inlineStr">
        <is>
          <t>MD-00069</t>
        </is>
      </c>
      <c r="B112" s="7" t="inlineStr">
        <is>
          <t>2026-08-09</t>
        </is>
      </c>
      <c r="C112" s="7" t="inlineStr">
        <is>
          <t>Policy Control Figure</t>
        </is>
      </c>
      <c r="D112" s="7" t="inlineStr">
        <is>
          <t>ITAM-001</t>
        </is>
      </c>
      <c r="E112" s="7" t="inlineStr"/>
      <c r="F112" s="7" t="inlineStr"/>
      <c r="G112" s="7" t="inlineStr">
        <is>
          <t>ITAM_control_matrix.png; IT_asset_management_policy.pdf</t>
        </is>
      </c>
      <c r="H112" s="7" t="inlineStr">
        <is>
          <t>Confirmed Fact</t>
        </is>
      </c>
      <c r="I112" s="7" t="inlineStr">
        <is>
          <t>ITAM_control_matrix.png Appendix A disposal row consulted while tracing MD-00069; transactional proof stays with chain row 112.</t>
        </is>
      </c>
    </row>
    <row r="113">
      <c r="A113" s="7" t="inlineStr">
        <is>
          <t>MD-00069</t>
        </is>
      </c>
      <c r="B113" s="7" t="inlineStr">
        <is>
          <t>2026-08-09</t>
        </is>
      </c>
      <c r="C113" s="7" t="inlineStr">
        <is>
          <t>Reconciliation Conclusion</t>
        </is>
      </c>
      <c r="D113" s="7" t="inlineStr">
        <is>
          <t>Evidence review</t>
        </is>
      </c>
      <c r="E113" s="7" t="inlineStr">
        <is>
          <t>E0082</t>
        </is>
      </c>
      <c r="F113" s="7" t="inlineStr">
        <is>
          <t>Remote - Former Employee</t>
        </is>
      </c>
      <c r="G113" s="7" t="inlineStr">
        <is>
          <t>Ticket:OFF-00069; Tracking:1ZMD00000069; ReturnProof:absent (label only); Transfer:TR-00069; HR:E0082:Separated; PO:PO-2022-0013; Ledger:FA-000069; PolicyFigure:ITAM_control_matrix.png</t>
        </is>
      </c>
      <c r="H113" s="7" t="inlineStr">
        <is>
          <t>Unresolved Assumption</t>
        </is>
      </c>
      <c r="I113" s="7" t="inlineStr">
        <is>
          <t>Custody conclusion for MD-00069: Return Overdue at Remote - Former Employee (Low). EX-0066, EX-0067.</t>
        </is>
      </c>
    </row>
    <row r="114">
      <c r="A114" s="7" t="inlineStr">
        <is>
          <t>MD-00070</t>
        </is>
      </c>
      <c r="B114" s="7" t="inlineStr">
        <is>
          <t>2024-11-23</t>
        </is>
      </c>
      <c r="C114" s="7" t="inlineStr">
        <is>
          <t>Purchase</t>
        </is>
      </c>
      <c r="D114" s="7" t="inlineStr">
        <is>
          <t>Vendor</t>
        </is>
      </c>
      <c r="E114" s="7" t="inlineStr">
        <is>
          <t>Central Receiving</t>
        </is>
      </c>
      <c r="F114" s="7" t="inlineStr">
        <is>
          <t>Atlanta Warehouse</t>
        </is>
      </c>
      <c r="G114" s="7" t="inlineStr">
        <is>
          <t>PO:PO-2022-0013</t>
        </is>
      </c>
      <c r="H114" s="7" t="inlineStr">
        <is>
          <t>Confirmed Fact</t>
        </is>
      </c>
      <c r="I114" s="7" t="inlineStr">
        <is>
          <t>Acquisition MD-00070: iPhone 15, $520, PO PO-2022-0013.</t>
        </is>
      </c>
    </row>
    <row r="115">
      <c r="A115" s="7" t="inlineStr">
        <is>
          <t>MD-00070</t>
        </is>
      </c>
      <c r="B115" s="7" t="inlineStr">
        <is>
          <t>2026-05-23</t>
        </is>
      </c>
      <c r="C115" s="7" t="inlineStr">
        <is>
          <t>Assignment/Transfer</t>
        </is>
      </c>
      <c r="D115" s="7" t="inlineStr">
        <is>
          <t>Central Receiving</t>
        </is>
      </c>
      <c r="E115" s="7" t="inlineStr">
        <is>
          <t>E0073</t>
        </is>
      </c>
      <c r="F115" s="7" t="inlineStr">
        <is>
          <t>Remote - Former Employee</t>
        </is>
      </c>
      <c r="G115" s="7" t="inlineStr">
        <is>
          <t>Transfer:TR-00070; Approval:APR-00070</t>
        </is>
      </c>
      <c r="H115" s="7" t="inlineStr">
        <is>
          <t>Confirmed Fact</t>
        </is>
      </c>
      <c r="I115" s="7" t="inlineStr">
        <is>
          <t>Transfer TR-00070 for MD-00070: posted Jun 03, 2026, inbound 2026-06-03, APR APR-00070.</t>
        </is>
      </c>
    </row>
    <row r="116">
      <c r="A116" s="7" t="inlineStr">
        <is>
          <t>MD-00070</t>
        </is>
      </c>
      <c r="B116" s="7" t="inlineStr">
        <is>
          <t>2026-05-12</t>
        </is>
      </c>
      <c r="C116" s="7" t="inlineStr">
        <is>
          <t>Offboarding Ticket</t>
        </is>
      </c>
      <c r="D116" s="7" t="inlineStr">
        <is>
          <t>E0083</t>
        </is>
      </c>
      <c r="E116" s="7" t="inlineStr">
        <is>
          <t>IT Service Desk</t>
        </is>
      </c>
      <c r="F116" s="7" t="inlineStr"/>
      <c r="G116" s="7" t="inlineStr">
        <is>
          <t>Ticket:OFF-00070; Status:Past Due</t>
        </is>
      </c>
      <c r="H116" s="7" t="inlineStr">
        <is>
          <t>Confirmed Fact</t>
        </is>
      </c>
      <c r="I116" s="7" t="inlineStr">
        <is>
          <t>Service desk OFF-00070: Past Due; return required Yes; due 07/15/2026. Ticket alone does not dock MD-00070.</t>
        </is>
      </c>
    </row>
    <row r="117">
      <c r="A117" s="7" t="inlineStr">
        <is>
          <t>MD-00070</t>
        </is>
      </c>
      <c r="B117" s="7" t="inlineStr">
        <is>
          <t>2026-05-12</t>
        </is>
      </c>
      <c r="C117" s="7" t="inlineStr">
        <is>
          <t>Technician Comment</t>
        </is>
      </c>
      <c r="D117" s="7" t="inlineStr">
        <is>
          <t>Service Desk</t>
        </is>
      </c>
      <c r="E117" s="7" t="inlineStr"/>
      <c r="F117" s="7" t="inlineStr"/>
      <c r="G117" s="7" t="inlineStr">
        <is>
          <t>Ticket:OFF-00070</t>
        </is>
      </c>
      <c r="H117" s="7" t="inlineStr">
        <is>
          <t>Technician Claim</t>
        </is>
      </c>
      <c r="I117" s="7" t="inlineStr">
        <is>
          <t>Past window. Escalated to the PM for that org. Ref MD-00070.</t>
        </is>
      </c>
    </row>
    <row r="118">
      <c r="A118" s="7" t="inlineStr">
        <is>
          <t>MD-00070</t>
        </is>
      </c>
      <c r="B118" s="7" t="inlineStr">
        <is>
          <t>2026-06-25</t>
        </is>
      </c>
      <c r="C118" s="7" t="inlineStr">
        <is>
          <t>Return Label Created</t>
        </is>
      </c>
      <c r="D118" s="7" t="inlineStr">
        <is>
          <t>E0083</t>
        </is>
      </c>
      <c r="E118" s="7" t="inlineStr">
        <is>
          <t>Return Carrier</t>
        </is>
      </c>
      <c r="F118" s="7" t="inlineStr">
        <is>
          <t>Carrier Network</t>
        </is>
      </c>
      <c r="G118" s="7" t="inlineStr">
        <is>
          <t>Tracking:1ZMD00000070; Status:Label Created</t>
        </is>
      </c>
      <c r="H118" s="7" t="inlineStr">
        <is>
          <t>Confirmed Fact</t>
        </is>
      </c>
      <c r="I118" s="7" t="inlineStr">
        <is>
          <t>Prepaid label 1ZMD00000070 for MD-00070 — Label Created only; not a return clearance.</t>
        </is>
      </c>
    </row>
    <row r="119">
      <c r="A119" s="7" t="inlineStr">
        <is>
          <t>MD-00070</t>
        </is>
      </c>
      <c r="B119" s="7" t="inlineStr">
        <is>
          <t>2026-08-05</t>
        </is>
      </c>
      <c r="C119" s="7" t="inlineStr">
        <is>
          <t>Regional IT Note Lead</t>
        </is>
      </c>
      <c r="D119" s="7" t="inlineStr">
        <is>
          <t>Regional IT</t>
        </is>
      </c>
      <c r="E119" s="7" t="inlineStr"/>
      <c r="F119" s="7" t="inlineStr">
        <is>
          <t>Chicago - Closed</t>
        </is>
      </c>
      <c r="G119" s="7" t="inlineStr">
        <is>
          <t>regional_IT_notes.docx</t>
        </is>
      </c>
      <c r="H119" s="7" t="inlineStr">
        <is>
          <t>Technician Claim</t>
        </is>
      </c>
      <c r="I119" s="7" t="inlineStr">
        <is>
          <t>regional_IT_notes.docx checked for MD-00070; no corroborated RN entry found.</t>
        </is>
      </c>
    </row>
    <row r="120">
      <c r="A120" s="7" t="inlineStr">
        <is>
          <t>MD-00070</t>
        </is>
      </c>
      <c r="B120" s="7" t="inlineStr">
        <is>
          <t>2026-08-09</t>
        </is>
      </c>
      <c r="C120" s="7" t="inlineStr">
        <is>
          <t>Policy Control Figure</t>
        </is>
      </c>
      <c r="D120" s="7" t="inlineStr">
        <is>
          <t>ITAM-001</t>
        </is>
      </c>
      <c r="E120" s="7" t="inlineStr"/>
      <c r="F120" s="7" t="inlineStr"/>
      <c r="G120" s="7" t="inlineStr">
        <is>
          <t>ITAM_control_matrix.png; IT_asset_management_policy.pdf</t>
        </is>
      </c>
      <c r="H120" s="7" t="inlineStr">
        <is>
          <t>Confirmed Fact</t>
        </is>
      </c>
      <c r="I120" s="7" t="inlineStr">
        <is>
          <t>Policy figure sets financial evidence expectations for MD-00070; chain row 120 remains the audit trail.</t>
        </is>
      </c>
    </row>
    <row r="121">
      <c r="A121" s="7" t="inlineStr">
        <is>
          <t>MD-00070</t>
        </is>
      </c>
      <c r="B121" s="7" t="inlineStr">
        <is>
          <t>2026-08-09</t>
        </is>
      </c>
      <c r="C121" s="7" t="inlineStr">
        <is>
          <t>Reconciliation Conclusion</t>
        </is>
      </c>
      <c r="D121" s="7" t="inlineStr">
        <is>
          <t>Evidence review</t>
        </is>
      </c>
      <c r="E121" s="7" t="inlineStr">
        <is>
          <t>E0083</t>
        </is>
      </c>
      <c r="F121" s="7" t="inlineStr">
        <is>
          <t>Remote - Former Employee</t>
        </is>
      </c>
      <c r="G121" s="7" t="inlineStr">
        <is>
          <t>Ticket:OFF-00070; Tracking:1ZMD00000070; ReturnProof:absent (label only); Transfer:TR-00070; HR:E0083:Separated; PO:PO-2022-0013; Ledger:FA-000070; PolicyFigure:ITAM_control_matrix.png</t>
        </is>
      </c>
      <c r="H121" s="7" t="inlineStr">
        <is>
          <t>Unresolved Assumption</t>
        </is>
      </c>
      <c r="I121" s="7" t="inlineStr">
        <is>
          <t>After review, MD-00070 remains Return Overdue at Remote - Former Employee; Low. EX-0068, EX-0069.</t>
        </is>
      </c>
    </row>
    <row r="122">
      <c r="A122" s="7" t="inlineStr">
        <is>
          <t>MD-00071</t>
        </is>
      </c>
      <c r="B122" s="7" t="inlineStr">
        <is>
          <t>2025-12-24</t>
        </is>
      </c>
      <c r="C122" s="7" t="inlineStr">
        <is>
          <t>Purchase</t>
        </is>
      </c>
      <c r="D122" s="7" t="inlineStr">
        <is>
          <t>Vendor</t>
        </is>
      </c>
      <c r="E122" s="7" t="inlineStr">
        <is>
          <t>Central Receiving</t>
        </is>
      </c>
      <c r="F122" s="7" t="inlineStr">
        <is>
          <t>Atlanta Warehouse</t>
        </is>
      </c>
      <c r="G122" s="7" t="inlineStr">
        <is>
          <t>PO:PO-2023-0014</t>
        </is>
      </c>
      <c r="H122" s="7" t="inlineStr">
        <is>
          <t>Confirmed Fact</t>
        </is>
      </c>
      <c r="I122" s="7" t="inlineStr">
        <is>
          <t>Vendor shipment for MD-00071 (Google Pixel 8) recorded at $995 on PO-2023-0014.</t>
        </is>
      </c>
    </row>
    <row r="123">
      <c r="A123" s="7" t="inlineStr">
        <is>
          <t>MD-00071</t>
        </is>
      </c>
      <c r="B123" s="7" t="inlineStr">
        <is>
          <t>2026-06-24</t>
        </is>
      </c>
      <c r="C123" s="7" t="inlineStr">
        <is>
          <t>Assignment/Transfer</t>
        </is>
      </c>
      <c r="D123" s="7" t="inlineStr">
        <is>
          <t>Central Receiving</t>
        </is>
      </c>
      <c r="E123" s="7" t="inlineStr">
        <is>
          <t>E0074</t>
        </is>
      </c>
      <c r="F123" s="7" t="inlineStr">
        <is>
          <t>Remote - Former Employee</t>
        </is>
      </c>
      <c r="G123" s="7" t="inlineStr">
        <is>
          <t>Transfer:TR-00071; Approval:APR-00071</t>
        </is>
      </c>
      <c r="H123" s="7" t="inlineStr">
        <is>
          <t>Confirmed Fact</t>
        </is>
      </c>
      <c r="I123" s="7" t="inlineStr">
        <is>
          <t>Transfer TR-00071 for MD-00071: posted Jul 08, 2026, inbound 2026-07-12, APR APR-00071.</t>
        </is>
      </c>
    </row>
    <row r="124">
      <c r="A124" s="7" t="inlineStr">
        <is>
          <t>MD-00071</t>
        </is>
      </c>
      <c r="B124" s="7" t="inlineStr">
        <is>
          <t>2026-06-13</t>
        </is>
      </c>
      <c r="C124" s="7" t="inlineStr">
        <is>
          <t>Offboarding Ticket</t>
        </is>
      </c>
      <c r="D124" s="7" t="inlineStr">
        <is>
          <t>E0084</t>
        </is>
      </c>
      <c r="E124" s="7" t="inlineStr">
        <is>
          <t>IT Service Desk</t>
        </is>
      </c>
      <c r="F124" s="7" t="inlineStr"/>
      <c r="G124" s="7" t="inlineStr">
        <is>
          <t>Ticket:OFF-00071; Status:Past Due</t>
        </is>
      </c>
      <c r="H124" s="7" t="inlineStr">
        <is>
          <t>Confirmed Fact</t>
        </is>
      </c>
      <c r="I124" s="7" t="inlineStr">
        <is>
          <t>Service desk OFF-00071: Past Due; return required Yes; due Jul 15, 2026. Ticket alone does not dock MD-00071.</t>
        </is>
      </c>
    </row>
    <row r="125">
      <c r="A125" s="7" t="inlineStr">
        <is>
          <t>MD-00071</t>
        </is>
      </c>
      <c r="B125" s="7" t="inlineStr">
        <is>
          <t>2026-06-13</t>
        </is>
      </c>
      <c r="C125" s="7" t="inlineStr">
        <is>
          <t>Technician Comment</t>
        </is>
      </c>
      <c r="D125" s="7" t="inlineStr">
        <is>
          <t>Service Desk</t>
        </is>
      </c>
      <c r="E125" s="7" t="inlineStr"/>
      <c r="F125" s="7" t="inlineStr"/>
      <c r="G125" s="7" t="inlineStr">
        <is>
          <t>Ticket:OFF-00071</t>
        </is>
      </c>
      <c r="H125" s="7" t="inlineStr">
        <is>
          <t>Technician Claim</t>
        </is>
      </c>
      <c r="I125" s="7" t="inlineStr">
        <is>
          <t>Monitor return — bulky; user delayed pickup. Ref MD-00071.</t>
        </is>
      </c>
    </row>
    <row r="126">
      <c r="A126" s="7" t="inlineStr">
        <is>
          <t>MD-00071</t>
        </is>
      </c>
      <c r="B126" s="7" t="inlineStr">
        <is>
          <t>2026-06-25</t>
        </is>
      </c>
      <c r="C126" s="7" t="inlineStr">
        <is>
          <t>Return Label Created</t>
        </is>
      </c>
      <c r="D126" s="7" t="inlineStr">
        <is>
          <t>E0084</t>
        </is>
      </c>
      <c r="E126" s="7" t="inlineStr">
        <is>
          <t>Return Carrier</t>
        </is>
      </c>
      <c r="F126" s="7" t="inlineStr">
        <is>
          <t>Carrier Network</t>
        </is>
      </c>
      <c r="G126" s="7" t="inlineStr">
        <is>
          <t>Tracking:1ZMD00000071; Status:Label Created</t>
        </is>
      </c>
      <c r="H126" s="7" t="inlineStr">
        <is>
          <t>Confirmed Fact</t>
        </is>
      </c>
      <c r="I126" s="7" t="inlineStr">
        <is>
          <t>Prepaid label 1ZMD00000071 for MD-00071 — Label Created only; not a return clearance.</t>
        </is>
      </c>
    </row>
    <row r="127">
      <c r="A127" s="7" t="inlineStr">
        <is>
          <t>MD-00071</t>
        </is>
      </c>
      <c r="B127" s="7" t="inlineStr">
        <is>
          <t>2026-08-05</t>
        </is>
      </c>
      <c r="C127" s="7" t="inlineStr">
        <is>
          <t>Regional IT Note Lead</t>
        </is>
      </c>
      <c r="D127" s="7" t="inlineStr">
        <is>
          <t>Regional IT</t>
        </is>
      </c>
      <c r="E127" s="7" t="inlineStr"/>
      <c r="F127" s="7" t="inlineStr">
        <is>
          <t>Denver - Closed</t>
        </is>
      </c>
      <c r="G127" s="7" t="inlineStr">
        <is>
          <t>regional_IT_notes.docx</t>
        </is>
      </c>
      <c r="H127" s="7" t="inlineStr">
        <is>
          <t>Technician Claim</t>
        </is>
      </c>
      <c r="I127" s="7" t="inlineStr">
        <is>
          <t>regional_IT_notes.docx checked for MD-00071; no corroborated RN entry found.</t>
        </is>
      </c>
    </row>
    <row r="128">
      <c r="A128" s="7" t="inlineStr">
        <is>
          <t>MD-00071</t>
        </is>
      </c>
      <c r="B128" s="7" t="inlineStr">
        <is>
          <t>2026-08-09</t>
        </is>
      </c>
      <c r="C128" s="7" t="inlineStr">
        <is>
          <t>Policy Control Figure</t>
        </is>
      </c>
      <c r="D128" s="7" t="inlineStr">
        <is>
          <t>ITAM-001</t>
        </is>
      </c>
      <c r="E128" s="7" t="inlineStr"/>
      <c r="F128" s="7" t="inlineStr"/>
      <c r="G128" s="7" t="inlineStr">
        <is>
          <t>ITAM_control_matrix.png; IT_asset_management_policy.pdf</t>
        </is>
      </c>
      <c r="H128" s="7" t="inlineStr">
        <is>
          <t>Confirmed Fact</t>
        </is>
      </c>
      <c r="I128" s="7" t="inlineStr">
        <is>
          <t>Read IT_asset_management_policy.pdf §4–§9 with the matrix disposal line for MD-00071; cite chain row 128.</t>
        </is>
      </c>
    </row>
    <row r="129">
      <c r="A129" s="7" t="inlineStr">
        <is>
          <t>MD-00071</t>
        </is>
      </c>
      <c r="B129" s="7" t="inlineStr">
        <is>
          <t>2026-08-09</t>
        </is>
      </c>
      <c r="C129" s="7" t="inlineStr">
        <is>
          <t>Reconciliation Conclusion</t>
        </is>
      </c>
      <c r="D129" s="7" t="inlineStr">
        <is>
          <t>Evidence review</t>
        </is>
      </c>
      <c r="E129" s="7" t="inlineStr">
        <is>
          <t>E0084</t>
        </is>
      </c>
      <c r="F129" s="7" t="inlineStr">
        <is>
          <t>Remote - Former Employee</t>
        </is>
      </c>
      <c r="G129" s="7" t="inlineStr">
        <is>
          <t>Ticket:OFF-00071; Tracking:1ZMD00000071; ReturnProof:absent (label only); Transfer:TR-00071; HR:E0084:Separated; PO:PO-2023-0014; Ledger:FA-000071; PolicyFigure:ITAM_control_matrix.png</t>
        </is>
      </c>
      <c r="H129" s="7" t="inlineStr">
        <is>
          <t>Unresolved Assumption</t>
        </is>
      </c>
      <c r="I129" s="7" t="inlineStr">
        <is>
          <t>Final status on MD-00071 — Return Overdue, site Remote - Former Employee, Low. EX-0070, EX-0071.</t>
        </is>
      </c>
    </row>
    <row r="130">
      <c r="A130" s="7" t="inlineStr">
        <is>
          <t>MD-00072</t>
        </is>
      </c>
      <c r="B130" s="7" t="inlineStr">
        <is>
          <t>2022-01-01</t>
        </is>
      </c>
      <c r="C130" s="7" t="inlineStr">
        <is>
          <t>Purchase</t>
        </is>
      </c>
      <c r="D130" s="7" t="inlineStr">
        <is>
          <t>Vendor</t>
        </is>
      </c>
      <c r="E130" s="7" t="inlineStr">
        <is>
          <t>Central Receiving</t>
        </is>
      </c>
      <c r="F130" s="7" t="inlineStr">
        <is>
          <t>Atlanta Warehouse</t>
        </is>
      </c>
      <c r="G130" s="7" t="inlineStr">
        <is>
          <t>PO:PO-2023-0014</t>
        </is>
      </c>
      <c r="H130" s="7" t="inlineStr">
        <is>
          <t>Confirmed Fact</t>
        </is>
      </c>
      <c r="I130" s="7" t="inlineStr">
        <is>
          <t>Acquisition MD-00072: Fortinet FortiSwitch 148F, $6290, PO PO-2023-0014.</t>
        </is>
      </c>
    </row>
    <row r="131">
      <c r="A131" s="7" t="inlineStr">
        <is>
          <t>MD-00072</t>
        </is>
      </c>
      <c r="B131" s="7" t="inlineStr">
        <is>
          <t>2026-01-01</t>
        </is>
      </c>
      <c r="C131" s="7" t="inlineStr">
        <is>
          <t>Assignment/Transfer</t>
        </is>
      </c>
      <c r="D131" s="7" t="inlineStr">
        <is>
          <t>Central Receiving</t>
        </is>
      </c>
      <c r="E131" s="7" t="inlineStr">
        <is>
          <t>E0075</t>
        </is>
      </c>
      <c r="F131" s="7" t="inlineStr">
        <is>
          <t>Remote - Former Employee</t>
        </is>
      </c>
      <c r="G131" s="7" t="inlineStr">
        <is>
          <t>Transfer:TR-00072; Approval:APR-00072</t>
        </is>
      </c>
      <c r="H131" s="7" t="inlineStr">
        <is>
          <t>Confirmed Fact</t>
        </is>
      </c>
      <c r="I131" s="7" t="inlineStr">
        <is>
          <t>Transfer TR-00072 for MD-00072: posted Jan 18, 2026, inbound 2026-01-18, APR APR-00072.</t>
        </is>
      </c>
    </row>
    <row r="132">
      <c r="A132" s="7" t="inlineStr">
        <is>
          <t>MD-00072</t>
        </is>
      </c>
      <c r="B132" s="7" t="inlineStr">
        <is>
          <t>2026-05-14</t>
        </is>
      </c>
      <c r="C132" s="7" t="inlineStr">
        <is>
          <t>Offboarding Ticket</t>
        </is>
      </c>
      <c r="D132" s="7" t="inlineStr">
        <is>
          <t>E0085</t>
        </is>
      </c>
      <c r="E132" s="7" t="inlineStr">
        <is>
          <t>IT Service Desk</t>
        </is>
      </c>
      <c r="F132" s="7" t="inlineStr"/>
      <c r="G132" s="7" t="inlineStr">
        <is>
          <t>Ticket:OFF-00072; Status:Past Due</t>
        </is>
      </c>
      <c r="H132" s="7" t="inlineStr">
        <is>
          <t>Confirmed Fact</t>
        </is>
      </c>
      <c r="I132" s="7" t="inlineStr">
        <is>
          <t>Service desk OFF-00072: Past Due; return required Yes; due 2026-07-15. Ticket alone does not dock MD-00072.</t>
        </is>
      </c>
    </row>
    <row r="133">
      <c r="A133" s="7" t="inlineStr">
        <is>
          <t>MD-00072</t>
        </is>
      </c>
      <c r="B133" s="7" t="inlineStr">
        <is>
          <t>2026-05-14</t>
        </is>
      </c>
      <c r="C133" s="7" t="inlineStr">
        <is>
          <t>Technician Comment</t>
        </is>
      </c>
      <c r="D133" s="7" t="inlineStr">
        <is>
          <t>Service Desk</t>
        </is>
      </c>
      <c r="E133" s="7" t="inlineStr"/>
      <c r="F133" s="7" t="inlineStr"/>
      <c r="G133" s="7" t="inlineStr">
        <is>
          <t>Ticket:OFF-00072</t>
        </is>
      </c>
      <c r="H133" s="7" t="inlineStr">
        <is>
          <t>Technician Claim</t>
        </is>
      </c>
      <c r="I133" s="7" t="inlineStr">
        <is>
          <t>Switching to a recovery case if we don't see a pickup this week. Ref MD-00072.</t>
        </is>
      </c>
    </row>
    <row r="134">
      <c r="A134" s="7" t="inlineStr">
        <is>
          <t>MD-00072</t>
        </is>
      </c>
      <c r="B134" s="7" t="inlineStr">
        <is>
          <t>2026-06-25</t>
        </is>
      </c>
      <c r="C134" s="7" t="inlineStr">
        <is>
          <t>Return Label Created</t>
        </is>
      </c>
      <c r="D134" s="7" t="inlineStr">
        <is>
          <t>E0085</t>
        </is>
      </c>
      <c r="E134" s="7" t="inlineStr">
        <is>
          <t>Return Carrier</t>
        </is>
      </c>
      <c r="F134" s="7" t="inlineStr">
        <is>
          <t>Carrier Network</t>
        </is>
      </c>
      <c r="G134" s="7" t="inlineStr">
        <is>
          <t>Tracking:1ZMD00000072; Status:Label Created</t>
        </is>
      </c>
      <c r="H134" s="7" t="inlineStr">
        <is>
          <t>Confirmed Fact</t>
        </is>
      </c>
      <c r="I134" s="7" t="inlineStr">
        <is>
          <t>Prepaid label 1ZMD00000072 for MD-00072 — Label Created only; not a return clearance.</t>
        </is>
      </c>
    </row>
    <row r="135">
      <c r="A135" s="7" t="inlineStr">
        <is>
          <t>MD-00072</t>
        </is>
      </c>
      <c r="B135" s="7" t="inlineStr">
        <is>
          <t>2026-08-05</t>
        </is>
      </c>
      <c r="C135" s="7" t="inlineStr">
        <is>
          <t>Regional IT Note Lead</t>
        </is>
      </c>
      <c r="D135" s="7" t="inlineStr">
        <is>
          <t>Regional IT</t>
        </is>
      </c>
      <c r="E135" s="7" t="inlineStr"/>
      <c r="F135" s="7" t="inlineStr">
        <is>
          <t>Chicago - Closed</t>
        </is>
      </c>
      <c r="G135" s="7" t="inlineStr">
        <is>
          <t>regional_IT_notes.docx</t>
        </is>
      </c>
      <c r="H135" s="7" t="inlineStr">
        <is>
          <t>Technician Claim</t>
        </is>
      </c>
      <c r="I135" s="7" t="inlineStr">
        <is>
          <t>regional_IT_notes.docx checked for MD-00072; no corroborated RN entry found.</t>
        </is>
      </c>
    </row>
    <row r="136">
      <c r="A136" s="7" t="inlineStr">
        <is>
          <t>MD-00072</t>
        </is>
      </c>
      <c r="B136" s="7" t="inlineStr">
        <is>
          <t>2026-08-09</t>
        </is>
      </c>
      <c r="C136" s="7" t="inlineStr">
        <is>
          <t>Policy Control Figure</t>
        </is>
      </c>
      <c r="D136" s="7" t="inlineStr">
        <is>
          <t>ITAM-001</t>
        </is>
      </c>
      <c r="E136" s="7" t="inlineStr"/>
      <c r="F136" s="7" t="inlineStr"/>
      <c r="G136" s="7" t="inlineStr">
        <is>
          <t>ITAM_control_matrix.png; IT_asset_management_policy.pdf</t>
        </is>
      </c>
      <c r="H136" s="7" t="inlineStr">
        <is>
          <t>Confirmed Fact</t>
        </is>
      </c>
      <c r="I136" s="7" t="inlineStr">
        <is>
          <t>Policy figure sets disposal evidence expectations for MD-00072; chain row 136 remains the audit trail.</t>
        </is>
      </c>
    </row>
    <row r="137">
      <c r="A137" s="7" t="inlineStr">
        <is>
          <t>MD-00072</t>
        </is>
      </c>
      <c r="B137" s="7" t="inlineStr">
        <is>
          <t>2026-08-09</t>
        </is>
      </c>
      <c r="C137" s="7" t="inlineStr">
        <is>
          <t>Reconciliation Conclusion</t>
        </is>
      </c>
      <c r="D137" s="7" t="inlineStr">
        <is>
          <t>Evidence review</t>
        </is>
      </c>
      <c r="E137" s="7" t="inlineStr">
        <is>
          <t>E0085</t>
        </is>
      </c>
      <c r="F137" s="7" t="inlineStr">
        <is>
          <t>Remote - Former Employee</t>
        </is>
      </c>
      <c r="G137" s="7" t="inlineStr">
        <is>
          <t>Ticket:OFF-00072; Tracking:1ZMD00000072; ReturnProof:absent (label only); Transfer:TR-00072; HR:E0085:Separated; PO:PO-2023-0014; Ledger:FA-000072; PolicyFigure:ITAM_control_matrix.png</t>
        </is>
      </c>
      <c r="H137" s="7" t="inlineStr">
        <is>
          <t>Unresolved Assumption</t>
        </is>
      </c>
      <c r="I137" s="7" t="inlineStr">
        <is>
          <t>After review, MD-00072 remains Return Overdue at Remote - Former Employee; Low. EX-0072, EX-0073.</t>
        </is>
      </c>
    </row>
    <row r="138">
      <c r="A138" s="7" t="inlineStr">
        <is>
          <t>MD-00073</t>
        </is>
      </c>
      <c r="B138" s="7" t="inlineStr">
        <is>
          <t>2023-02-02</t>
        </is>
      </c>
      <c r="C138" s="7" t="inlineStr">
        <is>
          <t>Purchase</t>
        </is>
      </c>
      <c r="D138" s="7" t="inlineStr">
        <is>
          <t>Vendor</t>
        </is>
      </c>
      <c r="E138" s="7" t="inlineStr">
        <is>
          <t>Central Receiving</t>
        </is>
      </c>
      <c r="F138" s="7" t="inlineStr">
        <is>
          <t>Atlanta Warehouse</t>
        </is>
      </c>
      <c r="G138" s="7" t="inlineStr">
        <is>
          <t>PO:PO-2023-0014</t>
        </is>
      </c>
      <c r="H138" s="7" t="inlineStr">
        <is>
          <t>Confirmed Fact</t>
        </is>
      </c>
      <c r="I138" s="7" t="inlineStr">
        <is>
          <t>Vendor shipment for MD-00073 (Cisco C9300) recorded at $1985 on PO-2023-0014.</t>
        </is>
      </c>
    </row>
    <row r="139">
      <c r="A139" s="7" t="inlineStr">
        <is>
          <t>MD-00073</t>
        </is>
      </c>
      <c r="B139" s="7" t="inlineStr">
        <is>
          <t>2026-02-02</t>
        </is>
      </c>
      <c r="C139" s="7" t="inlineStr">
        <is>
          <t>Assignment/Transfer</t>
        </is>
      </c>
      <c r="D139" s="7" t="inlineStr">
        <is>
          <t>Central Receiving</t>
        </is>
      </c>
      <c r="E139" s="7" t="inlineStr">
        <is>
          <t>E0076</t>
        </is>
      </c>
      <c r="F139" s="7" t="inlineStr">
        <is>
          <t>Remote - Former Employee</t>
        </is>
      </c>
      <c r="G139" s="7" t="inlineStr">
        <is>
          <t>Transfer:TR-00073; Approval:APR-00073</t>
        </is>
      </c>
      <c r="H139" s="7" t="inlineStr">
        <is>
          <t>Confirmed Fact</t>
        </is>
      </c>
      <c r="I139" s="7" t="inlineStr">
        <is>
          <t>Transfer TR-00073 for MD-00073: posted Jan 21, 2026, inbound 2026-01-24, APR APR-00073.</t>
        </is>
      </c>
    </row>
    <row r="140">
      <c r="A140" s="7" t="inlineStr">
        <is>
          <t>MD-00073</t>
        </is>
      </c>
      <c r="B140" s="7" t="inlineStr">
        <is>
          <t>2026-06-15</t>
        </is>
      </c>
      <c r="C140" s="7" t="inlineStr">
        <is>
          <t>Offboarding Ticket</t>
        </is>
      </c>
      <c r="D140" s="7" t="inlineStr">
        <is>
          <t>E0086</t>
        </is>
      </c>
      <c r="E140" s="7" t="inlineStr">
        <is>
          <t>IT Service Desk</t>
        </is>
      </c>
      <c r="F140" s="7" t="inlineStr"/>
      <c r="G140" s="7" t="inlineStr">
        <is>
          <t>Ticket:OFF-00073; Status:Past Due</t>
        </is>
      </c>
      <c r="H140" s="7" t="inlineStr">
        <is>
          <t>Confirmed Fact</t>
        </is>
      </c>
      <c r="I140" s="7" t="inlineStr">
        <is>
          <t>Service desk OFF-00073: Past Due; return required Yes; due 07/15/2026. Ticket alone does not dock MD-00073.</t>
        </is>
      </c>
    </row>
    <row r="141">
      <c r="A141" s="7" t="inlineStr">
        <is>
          <t>MD-00073</t>
        </is>
      </c>
      <c r="B141" s="7" t="inlineStr">
        <is>
          <t>2026-06-15</t>
        </is>
      </c>
      <c r="C141" s="7" t="inlineStr">
        <is>
          <t>Technician Comment</t>
        </is>
      </c>
      <c r="D141" s="7" t="inlineStr">
        <is>
          <t>Service Desk</t>
        </is>
      </c>
      <c r="E141" s="7" t="inlineStr"/>
      <c r="F141" s="7" t="inlineStr"/>
      <c r="G141" s="7" t="inlineStr">
        <is>
          <t>Ticket:OFF-00073</t>
        </is>
      </c>
      <c r="H141" s="7" t="inlineStr">
        <is>
          <t>Technician Claim</t>
        </is>
      </c>
      <c r="I141" s="7" t="inlineStr">
        <is>
          <t>Ticket auto-moved to Past Due when due date hit. Ref MD-00073.</t>
        </is>
      </c>
    </row>
    <row r="142">
      <c r="A142" s="7" t="inlineStr">
        <is>
          <t>MD-00073</t>
        </is>
      </c>
      <c r="B142" s="7" t="inlineStr">
        <is>
          <t>2026-06-25</t>
        </is>
      </c>
      <c r="C142" s="7" t="inlineStr">
        <is>
          <t>Return Label Created</t>
        </is>
      </c>
      <c r="D142" s="7" t="inlineStr">
        <is>
          <t>E0086</t>
        </is>
      </c>
      <c r="E142" s="7" t="inlineStr">
        <is>
          <t>Return Carrier</t>
        </is>
      </c>
      <c r="F142" s="7" t="inlineStr">
        <is>
          <t>Carrier Network</t>
        </is>
      </c>
      <c r="G142" s="7" t="inlineStr">
        <is>
          <t>Tracking:1ZMD00000073; Status:Label Created</t>
        </is>
      </c>
      <c r="H142" s="7" t="inlineStr">
        <is>
          <t>Confirmed Fact</t>
        </is>
      </c>
      <c r="I142" s="7" t="inlineStr">
        <is>
          <t>Prepaid label 1ZMD00000073 for MD-00073 — Label Created only; not a return clearance.</t>
        </is>
      </c>
    </row>
    <row r="143">
      <c r="A143" s="7" t="inlineStr">
        <is>
          <t>MD-00073</t>
        </is>
      </c>
      <c r="B143" s="7" t="inlineStr">
        <is>
          <t>2026-08-05</t>
        </is>
      </c>
      <c r="C143" s="7" t="inlineStr">
        <is>
          <t>Regional IT Note Lead</t>
        </is>
      </c>
      <c r="D143" s="7" t="inlineStr">
        <is>
          <t>Regional IT</t>
        </is>
      </c>
      <c r="E143" s="7" t="inlineStr"/>
      <c r="F143" s="7" t="inlineStr">
        <is>
          <t>Denver - Closed</t>
        </is>
      </c>
      <c r="G143" s="7" t="inlineStr">
        <is>
          <t>regional_IT_notes.docx</t>
        </is>
      </c>
      <c r="H143" s="7" t="inlineStr">
        <is>
          <t>Technician Claim</t>
        </is>
      </c>
      <c r="I143" s="7" t="inlineStr">
        <is>
          <t>regional_IT_notes.docx checked for MD-00073; no corroborated RN entry found.</t>
        </is>
      </c>
    </row>
    <row r="144">
      <c r="A144" s="7" t="inlineStr">
        <is>
          <t>MD-00073</t>
        </is>
      </c>
      <c r="B144" s="7" t="inlineStr">
        <is>
          <t>2026-08-09</t>
        </is>
      </c>
      <c r="C144" s="7" t="inlineStr">
        <is>
          <t>Policy Control Figure</t>
        </is>
      </c>
      <c r="D144" s="7" t="inlineStr">
        <is>
          <t>ITAM-001</t>
        </is>
      </c>
      <c r="E144" s="7" t="inlineStr"/>
      <c r="F144" s="7" t="inlineStr"/>
      <c r="G144" s="7" t="inlineStr">
        <is>
          <t>ITAM_control_matrix.png; IT_asset_management_policy.pdf</t>
        </is>
      </c>
      <c r="H144" s="7" t="inlineStr">
        <is>
          <t>Confirmed Fact</t>
        </is>
      </c>
      <c r="I144" s="7" t="inlineStr">
        <is>
          <t>ITAM_control_matrix.png Appendix A disposal row consulted while tracing MD-00073; transactional proof stays with chain row 144.</t>
        </is>
      </c>
    </row>
    <row r="145">
      <c r="A145" s="7" t="inlineStr">
        <is>
          <t>MD-00073</t>
        </is>
      </c>
      <c r="B145" s="7" t="inlineStr">
        <is>
          <t>2026-08-09</t>
        </is>
      </c>
      <c r="C145" s="7" t="inlineStr">
        <is>
          <t>Reconciliation Conclusion</t>
        </is>
      </c>
      <c r="D145" s="7" t="inlineStr">
        <is>
          <t>Evidence review</t>
        </is>
      </c>
      <c r="E145" s="7" t="inlineStr">
        <is>
          <t>E0086</t>
        </is>
      </c>
      <c r="F145" s="7" t="inlineStr">
        <is>
          <t>Remote - Former Employee</t>
        </is>
      </c>
      <c r="G145" s="7" t="inlineStr">
        <is>
          <t>Ticket:OFF-00073; Tracking:1ZMD00000073; ReturnProof:absent (label only); Transfer:TR-00073; HR:E0086:Separated; PO:PO-2023-0014; Ledger:FA-000073; PolicyFigure:ITAM_control_matrix.png</t>
        </is>
      </c>
      <c r="H145" s="7" t="inlineStr">
        <is>
          <t>Unresolved Assumption</t>
        </is>
      </c>
      <c r="I145" s="7" t="inlineStr">
        <is>
          <t>After review, MD-00073 remains Return Overdue at Remote - Former Employee; Low. EX-0074, EX-0075.</t>
        </is>
      </c>
    </row>
    <row r="146">
      <c r="A146" s="7" t="inlineStr">
        <is>
          <t>MD-00074</t>
        </is>
      </c>
      <c r="B146" s="7" t="inlineStr">
        <is>
          <t>2024-03-03</t>
        </is>
      </c>
      <c r="C146" s="7" t="inlineStr">
        <is>
          <t>Purchase</t>
        </is>
      </c>
      <c r="D146" s="7" t="inlineStr">
        <is>
          <t>Vendor</t>
        </is>
      </c>
      <c r="E146" s="7" t="inlineStr">
        <is>
          <t>Central Receiving</t>
        </is>
      </c>
      <c r="F146" s="7" t="inlineStr">
        <is>
          <t>Atlanta Warehouse</t>
        </is>
      </c>
      <c r="G146" s="7" t="inlineStr">
        <is>
          <t>PO:PO-2023-0014</t>
        </is>
      </c>
      <c r="H146" s="7" t="inlineStr">
        <is>
          <t>Confirmed Fact</t>
        </is>
      </c>
      <c r="I146" s="7" t="inlineStr">
        <is>
          <t>PO PO-2023-0014 covers MD-00074 (Aruba 6300M) for $700.</t>
        </is>
      </c>
    </row>
    <row r="147">
      <c r="A147" s="7" t="inlineStr">
        <is>
          <t>MD-00074</t>
        </is>
      </c>
      <c r="B147" s="7" t="inlineStr">
        <is>
          <t>2026-03-03</t>
        </is>
      </c>
      <c r="C147" s="7" t="inlineStr">
        <is>
          <t>Assignment/Transfer</t>
        </is>
      </c>
      <c r="D147" s="7" t="inlineStr">
        <is>
          <t>Central Receiving</t>
        </is>
      </c>
      <c r="E147" s="7" t="inlineStr">
        <is>
          <t>E0077</t>
        </is>
      </c>
      <c r="F147" s="7" t="inlineStr">
        <is>
          <t>Remote - Former Employee</t>
        </is>
      </c>
      <c r="G147" s="7" t="inlineStr">
        <is>
          <t>Transfer:TR-00074; Approval:APR-00074</t>
        </is>
      </c>
      <c r="H147" s="7" t="inlineStr">
        <is>
          <t>Confirmed Fact</t>
        </is>
      </c>
      <c r="I147" s="7" t="inlineStr">
        <is>
          <t>Transfer TR-00074 for MD-00074: posted Feb 23, 2026, inbound 2026-02-24, APR APR-00074.</t>
        </is>
      </c>
    </row>
    <row r="148">
      <c r="A148" s="7" t="inlineStr">
        <is>
          <t>MD-00074</t>
        </is>
      </c>
      <c r="B148" s="7" t="inlineStr">
        <is>
          <t>2026-05-16</t>
        </is>
      </c>
      <c r="C148" s="7" t="inlineStr">
        <is>
          <t>Offboarding Ticket</t>
        </is>
      </c>
      <c r="D148" s="7" t="inlineStr">
        <is>
          <t>E0087</t>
        </is>
      </c>
      <c r="E148" s="7" t="inlineStr">
        <is>
          <t>IT Service Desk</t>
        </is>
      </c>
      <c r="F148" s="7" t="inlineStr"/>
      <c r="G148" s="7" t="inlineStr">
        <is>
          <t>Ticket:OFF-00074; Status:Past Due</t>
        </is>
      </c>
      <c r="H148" s="7" t="inlineStr">
        <is>
          <t>Confirmed Fact</t>
        </is>
      </c>
      <c r="I148" s="7" t="inlineStr">
        <is>
          <t>Service desk OFF-00074: Past Due; return required Yes; due Jul 15, 2026. Ticket alone does not dock MD-00074.</t>
        </is>
      </c>
    </row>
    <row r="149">
      <c r="A149" s="7" t="inlineStr">
        <is>
          <t>MD-00074</t>
        </is>
      </c>
      <c r="B149" s="7" t="inlineStr">
        <is>
          <t>2026-05-16</t>
        </is>
      </c>
      <c r="C149" s="7" t="inlineStr">
        <is>
          <t>Technician Comment</t>
        </is>
      </c>
      <c r="D149" s="7" t="inlineStr">
        <is>
          <t>Service Desk</t>
        </is>
      </c>
      <c r="E149" s="7" t="inlineStr"/>
      <c r="F149" s="7" t="inlineStr"/>
      <c r="G149" s="7" t="inlineStr">
        <is>
          <t>Ticket:OFF-00074</t>
        </is>
      </c>
      <c r="H149" s="7" t="inlineStr">
        <is>
          <t>Technician Claim</t>
        </is>
      </c>
      <c r="I149" s="7" t="inlineStr">
        <is>
          <t>Left voicemail. Still Label Created in the ship file. Ref MD-00074.</t>
        </is>
      </c>
    </row>
    <row r="150">
      <c r="A150" s="7" t="inlineStr">
        <is>
          <t>MD-00074</t>
        </is>
      </c>
      <c r="B150" s="7" t="inlineStr">
        <is>
          <t>2026-06-25</t>
        </is>
      </c>
      <c r="C150" s="7" t="inlineStr">
        <is>
          <t>Return Label Created</t>
        </is>
      </c>
      <c r="D150" s="7" t="inlineStr">
        <is>
          <t>E0087</t>
        </is>
      </c>
      <c r="E150" s="7" t="inlineStr">
        <is>
          <t>Return Carrier</t>
        </is>
      </c>
      <c r="F150" s="7" t="inlineStr">
        <is>
          <t>Carrier Network</t>
        </is>
      </c>
      <c r="G150" s="7" t="inlineStr">
        <is>
          <t>Tracking:1ZMD00000074; Status:Label Created</t>
        </is>
      </c>
      <c r="H150" s="7" t="inlineStr">
        <is>
          <t>Confirmed Fact</t>
        </is>
      </c>
      <c r="I150" s="7" t="inlineStr">
        <is>
          <t>Prepaid label 1ZMD00000074 for MD-00074 — Label Created only; not a return clearance.</t>
        </is>
      </c>
    </row>
    <row r="151">
      <c r="A151" s="7" t="inlineStr">
        <is>
          <t>MD-00074</t>
        </is>
      </c>
      <c r="B151" s="7" t="inlineStr">
        <is>
          <t>2026-06-25</t>
        </is>
      </c>
      <c r="C151" s="7" t="inlineStr">
        <is>
          <t>Shipment Exception</t>
        </is>
      </c>
      <c r="D151" s="7" t="inlineStr"/>
      <c r="E151" s="7" t="inlineStr"/>
      <c r="F151" s="7" t="inlineStr"/>
      <c r="G151" s="7" t="inlineStr">
        <is>
          <t>Tracking:1ZMD00000074</t>
        </is>
      </c>
      <c r="H151" s="7" t="inlineStr">
        <is>
          <t>Unresolved Assumption</t>
        </is>
      </c>
      <c r="I151" s="7" t="inlineStr">
        <is>
          <t>Carrier exception on 1ZMD00000074: inbound serial does not match register MD-MO-050074 for MD-00074.</t>
        </is>
      </c>
    </row>
    <row r="152">
      <c r="A152" s="7" t="inlineStr">
        <is>
          <t>MD-00074</t>
        </is>
      </c>
      <c r="B152" s="7" t="inlineStr">
        <is>
          <t>2026-08-05</t>
        </is>
      </c>
      <c r="C152" s="7" t="inlineStr">
        <is>
          <t>Regional IT Note Lead</t>
        </is>
      </c>
      <c r="D152" s="7" t="inlineStr">
        <is>
          <t>Regional IT</t>
        </is>
      </c>
      <c r="E152" s="7" t="inlineStr"/>
      <c r="F152" s="7" t="inlineStr">
        <is>
          <t>Chicago - Closed</t>
        </is>
      </c>
      <c r="G152" s="7" t="inlineStr">
        <is>
          <t>regional_IT_notes.docx</t>
        </is>
      </c>
      <c r="H152" s="7" t="inlineStr">
        <is>
          <t>Technician Claim</t>
        </is>
      </c>
      <c r="I152" s="7" t="inlineStr">
        <is>
          <t>regional_IT_notes.docx checked for MD-00074; no corroborated RN entry found.</t>
        </is>
      </c>
    </row>
    <row r="153">
      <c r="A153" s="7" t="inlineStr">
        <is>
          <t>MD-00074</t>
        </is>
      </c>
      <c r="B153" s="7" t="inlineStr">
        <is>
          <t>2026-08-09</t>
        </is>
      </c>
      <c r="C153" s="7" t="inlineStr">
        <is>
          <t>Policy Control Figure</t>
        </is>
      </c>
      <c r="D153" s="7" t="inlineStr">
        <is>
          <t>ITAM-001</t>
        </is>
      </c>
      <c r="E153" s="7" t="inlineStr"/>
      <c r="F153" s="7" t="inlineStr"/>
      <c r="G153" s="7" t="inlineStr">
        <is>
          <t>ITAM_control_matrix.png; IT_asset_management_policy.pdf</t>
        </is>
      </c>
      <c r="H153" s="7" t="inlineStr">
        <is>
          <t>Confirmed Fact</t>
        </is>
      </c>
      <c r="I153" s="7" t="inlineStr">
        <is>
          <t>Policy figure sets financial evidence expectations for MD-00074; chain row 153 remains the audit trail.</t>
        </is>
      </c>
    </row>
    <row r="154">
      <c r="A154" s="7" t="inlineStr">
        <is>
          <t>MD-00074</t>
        </is>
      </c>
      <c r="B154" s="7" t="inlineStr">
        <is>
          <t>2026-08-09</t>
        </is>
      </c>
      <c r="C154" s="7" t="inlineStr">
        <is>
          <t>Reconciliation Conclusion</t>
        </is>
      </c>
      <c r="D154" s="7" t="inlineStr">
        <is>
          <t>Evidence review</t>
        </is>
      </c>
      <c r="E154" s="7" t="inlineStr">
        <is>
          <t>E0087</t>
        </is>
      </c>
      <c r="F154" s="7" t="inlineStr">
        <is>
          <t>Carrier Network / Unverified</t>
        </is>
      </c>
      <c r="G154" s="7" t="inlineStr">
        <is>
          <t>Tracking:1ZMD00000074; Ticket:OFF-00074; ShipmentSerial:MISMATCH-0074; RegisterSerial:MD-MO-050074; PO:PO-2023-0014; Ledger:FA-000074; PolicyFigure:ITAM_control_matrix.png</t>
        </is>
      </c>
      <c r="H154" s="7" t="inlineStr">
        <is>
          <t>Unresolved Assumption</t>
        </is>
      </c>
      <c r="I154" s="7" t="inlineStr">
        <is>
          <t>Critical certification blocker — MD-00074 held for unresolved shipment serial mismatch (In Transit - Exception). EX-0076, EX-0077, EX-0078.</t>
        </is>
      </c>
    </row>
    <row r="155">
      <c r="A155" s="7" t="inlineStr">
        <is>
          <t>MD-00075</t>
        </is>
      </c>
      <c r="B155" s="7" t="inlineStr">
        <is>
          <t>2025-04-04</t>
        </is>
      </c>
      <c r="C155" s="7" t="inlineStr">
        <is>
          <t>Purchase</t>
        </is>
      </c>
      <c r="D155" s="7" t="inlineStr">
        <is>
          <t>Vendor</t>
        </is>
      </c>
      <c r="E155" s="7" t="inlineStr">
        <is>
          <t>Central Receiving</t>
        </is>
      </c>
      <c r="F155" s="7" t="inlineStr">
        <is>
          <t>Atlanta Warehouse</t>
        </is>
      </c>
      <c r="G155" s="7" t="inlineStr">
        <is>
          <t>PO:PO-2023-0014</t>
        </is>
      </c>
      <c r="H155" s="7" t="inlineStr">
        <is>
          <t>Confirmed Fact</t>
        </is>
      </c>
      <c r="I155" s="7" t="inlineStr">
        <is>
          <t>Vendor shipment for MD-00075 (Juniper EX3400) recorded at $1175 on PO-2023-0014.</t>
        </is>
      </c>
    </row>
    <row r="156">
      <c r="A156" s="7" t="inlineStr">
        <is>
          <t>MD-00075</t>
        </is>
      </c>
      <c r="B156" s="7" t="inlineStr">
        <is>
          <t>2026-04-04</t>
        </is>
      </c>
      <c r="C156" s="7" t="inlineStr">
        <is>
          <t>Assignment/Transfer</t>
        </is>
      </c>
      <c r="D156" s="7" t="inlineStr">
        <is>
          <t>Central Receiving</t>
        </is>
      </c>
      <c r="E156" s="7" t="inlineStr">
        <is>
          <t>E0078</t>
        </is>
      </c>
      <c r="F156" s="7" t="inlineStr">
        <is>
          <t>Remote - Former Employee</t>
        </is>
      </c>
      <c r="G156" s="7" t="inlineStr">
        <is>
          <t>Transfer:TR-00075; Approval:APR-00075</t>
        </is>
      </c>
      <c r="H156" s="7" t="inlineStr">
        <is>
          <t>Confirmed Fact</t>
        </is>
      </c>
      <c r="I156" s="7" t="inlineStr">
        <is>
          <t>Transfer TR-00075 for MD-00075: posted 03/31/2026, inbound Apr 01, 2026, APR APR-00075.</t>
        </is>
      </c>
    </row>
    <row r="157">
      <c r="A157" s="7" t="inlineStr">
        <is>
          <t>MD-00075</t>
        </is>
      </c>
      <c r="B157" s="7" t="inlineStr">
        <is>
          <t>2026-06-17</t>
        </is>
      </c>
      <c r="C157" s="7" t="inlineStr">
        <is>
          <t>Offboarding Ticket</t>
        </is>
      </c>
      <c r="D157" s="7" t="inlineStr">
        <is>
          <t>E0088</t>
        </is>
      </c>
      <c r="E157" s="7" t="inlineStr">
        <is>
          <t>IT Service Desk</t>
        </is>
      </c>
      <c r="F157" s="7" t="inlineStr"/>
      <c r="G157" s="7" t="inlineStr">
        <is>
          <t>Ticket:OFF-00075; Status:Past Due</t>
        </is>
      </c>
      <c r="H157" s="7" t="inlineStr">
        <is>
          <t>Confirmed Fact</t>
        </is>
      </c>
      <c r="I157" s="7" t="inlineStr">
        <is>
          <t>Service desk OFF-00075: Past Due; return required Yes; due Jul 15, 2026. Ticket alone does not dock MD-00075.</t>
        </is>
      </c>
    </row>
    <row r="158">
      <c r="A158" s="7" t="inlineStr">
        <is>
          <t>MD-00075</t>
        </is>
      </c>
      <c r="B158" s="7" t="inlineStr">
        <is>
          <t>2026-06-17</t>
        </is>
      </c>
      <c r="C158" s="7" t="inlineStr">
        <is>
          <t>Technician Comment</t>
        </is>
      </c>
      <c r="D158" s="7" t="inlineStr">
        <is>
          <t>Service Desk</t>
        </is>
      </c>
      <c r="E158" s="7" t="inlineStr"/>
      <c r="F158" s="7" t="inlineStr"/>
      <c r="G158" s="7" t="inlineStr">
        <is>
          <t>Ticket:OFF-00075</t>
        </is>
      </c>
      <c r="H158" s="7" t="inlineStr">
        <is>
          <t>Technician Claim</t>
        </is>
      </c>
      <c r="I158" s="7" t="inlineStr">
        <is>
          <t>They asked for an extra week. Policy doesn't treat that as received. Ref MD-00075.</t>
        </is>
      </c>
    </row>
    <row r="159">
      <c r="A159" s="7" t="inlineStr">
        <is>
          <t>MD-00075</t>
        </is>
      </c>
      <c r="B159" s="7" t="inlineStr">
        <is>
          <t>2026-06-25</t>
        </is>
      </c>
      <c r="C159" s="7" t="inlineStr">
        <is>
          <t>Return Label Created</t>
        </is>
      </c>
      <c r="D159" s="7" t="inlineStr">
        <is>
          <t>E0088</t>
        </is>
      </c>
      <c r="E159" s="7" t="inlineStr">
        <is>
          <t>Return Carrier</t>
        </is>
      </c>
      <c r="F159" s="7" t="inlineStr">
        <is>
          <t>Carrier Network</t>
        </is>
      </c>
      <c r="G159" s="7" t="inlineStr">
        <is>
          <t>Tracking:1ZMD00000075; Status:Label Created</t>
        </is>
      </c>
      <c r="H159" s="7" t="inlineStr">
        <is>
          <t>Confirmed Fact</t>
        </is>
      </c>
      <c r="I159" s="7" t="inlineStr">
        <is>
          <t>Prepaid label 1ZMD00000075 for MD-00075 — Label Created only; not a return clearance.</t>
        </is>
      </c>
    </row>
    <row r="160">
      <c r="A160" s="7" t="inlineStr">
        <is>
          <t>MD-00075</t>
        </is>
      </c>
      <c r="B160" s="7" t="inlineStr">
        <is>
          <t>2026-08-05</t>
        </is>
      </c>
      <c r="C160" s="7" t="inlineStr">
        <is>
          <t>Regional IT Note Lead</t>
        </is>
      </c>
      <c r="D160" s="7" t="inlineStr">
        <is>
          <t>Regional IT</t>
        </is>
      </c>
      <c r="E160" s="7" t="inlineStr"/>
      <c r="F160" s="7" t="inlineStr">
        <is>
          <t>Denver - Closed</t>
        </is>
      </c>
      <c r="G160" s="7" t="inlineStr">
        <is>
          <t>regional_IT_notes.docx</t>
        </is>
      </c>
      <c r="H160" s="7" t="inlineStr">
        <is>
          <t>Technician Claim</t>
        </is>
      </c>
      <c r="I160" s="7" t="inlineStr">
        <is>
          <t>regional_IT_notes.docx checked for MD-00075; no corroborated RN entry found.</t>
        </is>
      </c>
    </row>
    <row r="161">
      <c r="A161" s="7" t="inlineStr">
        <is>
          <t>MD-00075</t>
        </is>
      </c>
      <c r="B161" s="7" t="inlineStr">
        <is>
          <t>2026-08-09</t>
        </is>
      </c>
      <c r="C161" s="7" t="inlineStr">
        <is>
          <t>Policy Control Figure</t>
        </is>
      </c>
      <c r="D161" s="7" t="inlineStr">
        <is>
          <t>ITAM-001</t>
        </is>
      </c>
      <c r="E161" s="7" t="inlineStr"/>
      <c r="F161" s="7" t="inlineStr"/>
      <c r="G161" s="7" t="inlineStr">
        <is>
          <t>ITAM_control_matrix.png; IT_asset_management_policy.pdf</t>
        </is>
      </c>
      <c r="H161" s="7" t="inlineStr">
        <is>
          <t>Confirmed Fact</t>
        </is>
      </c>
      <c r="I161" s="7" t="inlineStr">
        <is>
          <t>Read IT_asset_management_policy.pdf §4–§9 with the matrix financial line for MD-00075; cite chain row 161.</t>
        </is>
      </c>
    </row>
    <row r="162">
      <c r="A162" s="7" t="inlineStr">
        <is>
          <t>MD-00075</t>
        </is>
      </c>
      <c r="B162" s="7" t="inlineStr">
        <is>
          <t>2026-08-09</t>
        </is>
      </c>
      <c r="C162" s="7" t="inlineStr">
        <is>
          <t>Reconciliation Conclusion</t>
        </is>
      </c>
      <c r="D162" s="7" t="inlineStr">
        <is>
          <t>Evidence review</t>
        </is>
      </c>
      <c r="E162" s="7" t="inlineStr">
        <is>
          <t>E0088</t>
        </is>
      </c>
      <c r="F162" s="7" t="inlineStr">
        <is>
          <t>Remote - Former Employee</t>
        </is>
      </c>
      <c r="G162" s="7" t="inlineStr">
        <is>
          <t>Ticket:OFF-00075; Tracking:1ZMD00000075; ReturnProof:absent (label only); Transfer:TR-00075; HR:E0088:Separated; PO:PO-2023-0014; Ledger:FA-000075; PolicyFigure:ITAM_control_matrix.png</t>
        </is>
      </c>
      <c r="H162" s="7" t="inlineStr">
        <is>
          <t>Unresolved Assumption</t>
        </is>
      </c>
      <c r="I162" s="7" t="inlineStr">
        <is>
          <t>Final status on MD-00075 — Return Overdue, site Remote - Former Employee, Low. EX-0079, EX-0080.</t>
        </is>
      </c>
    </row>
    <row r="163">
      <c r="A163" s="7" t="inlineStr">
        <is>
          <t>MD-00076</t>
        </is>
      </c>
      <c r="B163" s="7" t="inlineStr">
        <is>
          <t>2022-05-05</t>
        </is>
      </c>
      <c r="C163" s="7" t="inlineStr">
        <is>
          <t>Purchase</t>
        </is>
      </c>
      <c r="D163" s="7" t="inlineStr">
        <is>
          <t>Vendor</t>
        </is>
      </c>
      <c r="E163" s="7" t="inlineStr">
        <is>
          <t>Central Receiving</t>
        </is>
      </c>
      <c r="F163" s="7" t="inlineStr">
        <is>
          <t>Atlanta Warehouse</t>
        </is>
      </c>
      <c r="G163" s="7" t="inlineStr">
        <is>
          <t>PO:PO-2023-0014</t>
        </is>
      </c>
      <c r="H163" s="7" t="inlineStr">
        <is>
          <t>Confirmed Fact</t>
        </is>
      </c>
      <c r="I163" s="7" t="inlineStr">
        <is>
          <t>PO PO-2023-0014 covers MD-00076 (Cisco Meraki MS250) for $6470.</t>
        </is>
      </c>
    </row>
    <row r="164">
      <c r="A164" s="7" t="inlineStr">
        <is>
          <t>MD-00076</t>
        </is>
      </c>
      <c r="B164" s="7" t="inlineStr">
        <is>
          <t>2026-05-05</t>
        </is>
      </c>
      <c r="C164" s="7" t="inlineStr">
        <is>
          <t>Assignment/Transfer</t>
        </is>
      </c>
      <c r="D164" s="7" t="inlineStr">
        <is>
          <t>Central Receiving</t>
        </is>
      </c>
      <c r="E164" s="7" t="inlineStr">
        <is>
          <t>E0079</t>
        </is>
      </c>
      <c r="F164" s="7" t="inlineStr">
        <is>
          <t>Remote - Former Employee</t>
        </is>
      </c>
      <c r="G164" s="7" t="inlineStr">
        <is>
          <t>Transfer:TR-00076; Approval:APR-00076</t>
        </is>
      </c>
      <c r="H164" s="7" t="inlineStr">
        <is>
          <t>Confirmed Fact</t>
        </is>
      </c>
      <c r="I164" s="7" t="inlineStr">
        <is>
          <t>Transfer TR-00076 for MD-00076: posted 05/01/2026, inbound May 03, 2026, APR APR-00076.</t>
        </is>
      </c>
    </row>
    <row r="165">
      <c r="A165" s="7" t="inlineStr">
        <is>
          <t>MD-00076</t>
        </is>
      </c>
      <c r="B165" s="7" t="inlineStr">
        <is>
          <t>2026-05-18</t>
        </is>
      </c>
      <c r="C165" s="7" t="inlineStr">
        <is>
          <t>Offboarding Ticket</t>
        </is>
      </c>
      <c r="D165" s="7" t="inlineStr">
        <is>
          <t>E0089</t>
        </is>
      </c>
      <c r="E165" s="7" t="inlineStr">
        <is>
          <t>IT Service Desk</t>
        </is>
      </c>
      <c r="F165" s="7" t="inlineStr"/>
      <c r="G165" s="7" t="inlineStr">
        <is>
          <t>Ticket:OFF-00076; Status:Past Due</t>
        </is>
      </c>
      <c r="H165" s="7" t="inlineStr">
        <is>
          <t>Confirmed Fact</t>
        </is>
      </c>
      <c r="I165" s="7" t="inlineStr">
        <is>
          <t>Service desk OFF-00076: Past Due; return required Yes; due 2026-07-15. Ticket alone does not dock MD-00076.</t>
        </is>
      </c>
    </row>
    <row r="166">
      <c r="A166" s="7" t="inlineStr">
        <is>
          <t>MD-00076</t>
        </is>
      </c>
      <c r="B166" s="7" t="inlineStr">
        <is>
          <t>2026-05-18</t>
        </is>
      </c>
      <c r="C166" s="7" t="inlineStr">
        <is>
          <t>Technician Comment</t>
        </is>
      </c>
      <c r="D166" s="7" t="inlineStr">
        <is>
          <t>Service Desk</t>
        </is>
      </c>
      <c r="E166" s="7" t="inlineStr"/>
      <c r="F166" s="7" t="inlineStr"/>
      <c r="G166" s="7" t="inlineStr">
        <is>
          <t>Ticket:OFF-00076</t>
        </is>
      </c>
      <c r="H166" s="7" t="inlineStr">
        <is>
          <t>Technician Claim</t>
        </is>
      </c>
      <c r="I166" s="7" t="inlineStr">
        <is>
          <t>Serial on the label matches register; no dock scan though. Ref MD-00076.</t>
        </is>
      </c>
    </row>
    <row r="167">
      <c r="A167" s="7" t="inlineStr">
        <is>
          <t>MD-00076</t>
        </is>
      </c>
      <c r="B167" s="7" t="inlineStr">
        <is>
          <t>2026-06-25</t>
        </is>
      </c>
      <c r="C167" s="7" t="inlineStr">
        <is>
          <t>Return Label Created</t>
        </is>
      </c>
      <c r="D167" s="7" t="inlineStr">
        <is>
          <t>E0089</t>
        </is>
      </c>
      <c r="E167" s="7" t="inlineStr">
        <is>
          <t>Return Carrier</t>
        </is>
      </c>
      <c r="F167" s="7" t="inlineStr">
        <is>
          <t>Carrier Network</t>
        </is>
      </c>
      <c r="G167" s="7" t="inlineStr">
        <is>
          <t>Tracking:1ZMD00000076; Status:Label Created</t>
        </is>
      </c>
      <c r="H167" s="7" t="inlineStr">
        <is>
          <t>Confirmed Fact</t>
        </is>
      </c>
      <c r="I167" s="7" t="inlineStr">
        <is>
          <t>Prepaid label 1ZMD00000076 for MD-00076 — Label Created only; not a return clearance.</t>
        </is>
      </c>
    </row>
    <row r="168">
      <c r="A168" s="7" t="inlineStr">
        <is>
          <t>MD-00076</t>
        </is>
      </c>
      <c r="B168" s="7" t="inlineStr">
        <is>
          <t>2026-06-25</t>
        </is>
      </c>
      <c r="C168" s="7" t="inlineStr">
        <is>
          <t>Shipment Exception</t>
        </is>
      </c>
      <c r="D168" s="7" t="inlineStr"/>
      <c r="E168" s="7" t="inlineStr"/>
      <c r="F168" s="7" t="inlineStr"/>
      <c r="G168" s="7" t="inlineStr">
        <is>
          <t>Tracking:1ZMD00000076</t>
        </is>
      </c>
      <c r="H168" s="7" t="inlineStr">
        <is>
          <t>Unresolved Assumption</t>
        </is>
      </c>
      <c r="I168" s="7" t="inlineStr">
        <is>
          <t>Carrier exception on 1ZMD00000076: inbound serial does not match register MD-NE-050076 for MD-00076.</t>
        </is>
      </c>
    </row>
    <row r="169">
      <c r="A169" s="7" t="inlineStr">
        <is>
          <t>MD-00076</t>
        </is>
      </c>
      <c r="B169" s="7" t="inlineStr">
        <is>
          <t>2026-08-05</t>
        </is>
      </c>
      <c r="C169" s="7" t="inlineStr">
        <is>
          <t>Regional IT Note Lead</t>
        </is>
      </c>
      <c r="D169" s="7" t="inlineStr">
        <is>
          <t>Regional IT</t>
        </is>
      </c>
      <c r="E169" s="7" t="inlineStr"/>
      <c r="F169" s="7" t="inlineStr">
        <is>
          <t>Chicago - Closed</t>
        </is>
      </c>
      <c r="G169" s="7" t="inlineStr">
        <is>
          <t>regional_IT_notes.docx</t>
        </is>
      </c>
      <c r="H169" s="7" t="inlineStr">
        <is>
          <t>Technician Claim</t>
        </is>
      </c>
      <c r="I169" s="7" t="inlineStr">
        <is>
          <t>regional_IT_notes.docx checked for MD-00076; no corroborated RN entry found.</t>
        </is>
      </c>
    </row>
    <row r="170">
      <c r="A170" s="7" t="inlineStr">
        <is>
          <t>MD-00076</t>
        </is>
      </c>
      <c r="B170" s="7" t="inlineStr">
        <is>
          <t>2026-08-09</t>
        </is>
      </c>
      <c r="C170" s="7" t="inlineStr">
        <is>
          <t>Policy Control Figure</t>
        </is>
      </c>
      <c r="D170" s="7" t="inlineStr">
        <is>
          <t>ITAM-001</t>
        </is>
      </c>
      <c r="E170" s="7" t="inlineStr"/>
      <c r="F170" s="7" t="inlineStr"/>
      <c r="G170" s="7" t="inlineStr">
        <is>
          <t>ITAM_control_matrix.png; IT_asset_management_policy.pdf</t>
        </is>
      </c>
      <c r="H170" s="7" t="inlineStr">
        <is>
          <t>Confirmed Fact</t>
        </is>
      </c>
      <c r="I170" s="7" t="inlineStr">
        <is>
          <t>Read IT_asset_management_policy.pdf §4–§9 with the matrix assignment line for MD-00076; cite chain row 170.</t>
        </is>
      </c>
    </row>
    <row r="171">
      <c r="A171" s="7" t="inlineStr">
        <is>
          <t>MD-00076</t>
        </is>
      </c>
      <c r="B171" s="7" t="inlineStr">
        <is>
          <t>2026-08-09</t>
        </is>
      </c>
      <c r="C171" s="7" t="inlineStr">
        <is>
          <t>Reconciliation Conclusion</t>
        </is>
      </c>
      <c r="D171" s="7" t="inlineStr">
        <is>
          <t>Evidence review</t>
        </is>
      </c>
      <c r="E171" s="7" t="inlineStr">
        <is>
          <t>E0089</t>
        </is>
      </c>
      <c r="F171" s="7" t="inlineStr">
        <is>
          <t>Carrier Network / Unverified</t>
        </is>
      </c>
      <c r="G171" s="7" t="inlineStr">
        <is>
          <t>Tracking:1ZMD00000076; Ticket:OFF-00076; ShipmentSerial:MISMATCH-0076; RegisterSerial:MD-NE-050076; PO:PO-2023-0014; Ledger:FA-000076; PolicyFigure:ITAM_control_matrix.png</t>
        </is>
      </c>
      <c r="H171" s="7" t="inlineStr">
        <is>
          <t>Unresolved Assumption</t>
        </is>
      </c>
      <c r="I171" s="7" t="inlineStr">
        <is>
          <t>Critical certification blocker — MD-00076 held for unresolved shipment serial mismatch (In Transit - Exception). EX-0081, EX-0082, EX-0083.</t>
        </is>
      </c>
    </row>
    <row r="172">
      <c r="A172" s="7" t="inlineStr">
        <is>
          <t>MD-00077</t>
        </is>
      </c>
      <c r="B172" s="7" t="inlineStr">
        <is>
          <t>2023-06-06</t>
        </is>
      </c>
      <c r="C172" s="7" t="inlineStr">
        <is>
          <t>Purchase</t>
        </is>
      </c>
      <c r="D172" s="7" t="inlineStr">
        <is>
          <t>Vendor</t>
        </is>
      </c>
      <c r="E172" s="7" t="inlineStr">
        <is>
          <t>Central Receiving</t>
        </is>
      </c>
      <c r="F172" s="7" t="inlineStr">
        <is>
          <t>Atlanta Warehouse</t>
        </is>
      </c>
      <c r="G172" s="7" t="inlineStr">
        <is>
          <t>PO:PO-2023-0014</t>
        </is>
      </c>
      <c r="H172" s="7" t="inlineStr">
        <is>
          <t>Confirmed Fact</t>
        </is>
      </c>
      <c r="I172" s="7" t="inlineStr">
        <is>
          <t>Acquisition MD-00077: Fortinet FortiSwitch 148F, $1850, PO PO-2023-0014.</t>
        </is>
      </c>
    </row>
    <row r="173">
      <c r="A173" s="7" t="inlineStr">
        <is>
          <t>MD-00077</t>
        </is>
      </c>
      <c r="B173" s="7" t="inlineStr">
        <is>
          <t>2026-06-06</t>
        </is>
      </c>
      <c r="C173" s="7" t="inlineStr">
        <is>
          <t>Assignment/Transfer</t>
        </is>
      </c>
      <c r="D173" s="7" t="inlineStr">
        <is>
          <t>Central Receiving</t>
        </is>
      </c>
      <c r="E173" s="7" t="inlineStr">
        <is>
          <t>E0080</t>
        </is>
      </c>
      <c r="F173" s="7" t="inlineStr">
        <is>
          <t>Remote - Former Employee</t>
        </is>
      </c>
      <c r="G173" s="7" t="inlineStr">
        <is>
          <t>Transfer:TR-00077; Approval:APR-00077</t>
        </is>
      </c>
      <c r="H173" s="7" t="inlineStr">
        <is>
          <t>Confirmed Fact</t>
        </is>
      </c>
      <c r="I173" s="7" t="inlineStr">
        <is>
          <t>Transfer TR-00077 for MD-00077: posted 2026-06-05, inbound 06/06/2026, APR APR-00077.</t>
        </is>
      </c>
    </row>
    <row r="174">
      <c r="A174" s="7" t="inlineStr">
        <is>
          <t>MD-00077</t>
        </is>
      </c>
      <c r="B174" s="7" t="inlineStr">
        <is>
          <t>2026-06-19</t>
        </is>
      </c>
      <c r="C174" s="7" t="inlineStr">
        <is>
          <t>Offboarding Ticket</t>
        </is>
      </c>
      <c r="D174" s="7" t="inlineStr">
        <is>
          <t>E0090</t>
        </is>
      </c>
      <c r="E174" s="7" t="inlineStr">
        <is>
          <t>IT Service Desk</t>
        </is>
      </c>
      <c r="F174" s="7" t="inlineStr"/>
      <c r="G174" s="7" t="inlineStr">
        <is>
          <t>Ticket:OFF-00077; Status:Past Due</t>
        </is>
      </c>
      <c r="H174" s="7" t="inlineStr">
        <is>
          <t>Confirmed Fact</t>
        </is>
      </c>
      <c r="I174" s="7" t="inlineStr">
        <is>
          <t>Service desk OFF-00077: Past Due; return required Yes; due 2026-07-15. Ticket alone does not dock MD-00077.</t>
        </is>
      </c>
    </row>
    <row r="175">
      <c r="A175" s="7" t="inlineStr">
        <is>
          <t>MD-00077</t>
        </is>
      </c>
      <c r="B175" s="7" t="inlineStr">
        <is>
          <t>2026-06-19</t>
        </is>
      </c>
      <c r="C175" s="7" t="inlineStr">
        <is>
          <t>Technician Comment</t>
        </is>
      </c>
      <c r="D175" s="7" t="inlineStr">
        <is>
          <t>Service Desk</t>
        </is>
      </c>
      <c r="E175" s="7" t="inlineStr"/>
      <c r="F175" s="7" t="inlineStr"/>
      <c r="G175" s="7" t="inlineStr">
        <is>
          <t>Ticket:OFF-00077</t>
        </is>
      </c>
      <c r="H175" s="7" t="inlineStr">
        <is>
          <t>Technician Claim</t>
        </is>
      </c>
      <c r="I175" s="7" t="inlineStr">
        <is>
          <t>Helpdesk queued this with the June RIF batch. Ref MD-00077.</t>
        </is>
      </c>
    </row>
    <row r="176">
      <c r="A176" s="7" t="inlineStr">
        <is>
          <t>MD-00077</t>
        </is>
      </c>
      <c r="B176" s="7" t="inlineStr">
        <is>
          <t>2026-06-25</t>
        </is>
      </c>
      <c r="C176" s="7" t="inlineStr">
        <is>
          <t>Return Label Created</t>
        </is>
      </c>
      <c r="D176" s="7" t="inlineStr">
        <is>
          <t>E0090</t>
        </is>
      </c>
      <c r="E176" s="7" t="inlineStr">
        <is>
          <t>Return Carrier</t>
        </is>
      </c>
      <c r="F176" s="7" t="inlineStr">
        <is>
          <t>Carrier Network</t>
        </is>
      </c>
      <c r="G176" s="7" t="inlineStr">
        <is>
          <t>Tracking:1ZMD00000077; Status:Label Created</t>
        </is>
      </c>
      <c r="H176" s="7" t="inlineStr">
        <is>
          <t>Confirmed Fact</t>
        </is>
      </c>
      <c r="I176" s="7" t="inlineStr">
        <is>
          <t>Prepaid label 1ZMD00000077 for MD-00077 — Label Created only; not a return clearance.</t>
        </is>
      </c>
    </row>
    <row r="177">
      <c r="A177" s="7" t="inlineStr">
        <is>
          <t>MD-00077</t>
        </is>
      </c>
      <c r="B177" s="7" t="inlineStr">
        <is>
          <t>2026-08-05</t>
        </is>
      </c>
      <c r="C177" s="7" t="inlineStr">
        <is>
          <t>Regional IT Note Lead</t>
        </is>
      </c>
      <c r="D177" s="7" t="inlineStr">
        <is>
          <t>Regional IT</t>
        </is>
      </c>
      <c r="E177" s="7" t="inlineStr"/>
      <c r="F177" s="7" t="inlineStr">
        <is>
          <t>Denver - Closed</t>
        </is>
      </c>
      <c r="G177" s="7" t="inlineStr">
        <is>
          <t>regional_IT_notes.docx</t>
        </is>
      </c>
      <c r="H177" s="7" t="inlineStr">
        <is>
          <t>Technician Claim</t>
        </is>
      </c>
      <c r="I177" s="7" t="inlineStr">
        <is>
          <t>regional_IT_notes.docx checked for MD-00077; no corroborated RN entry found.</t>
        </is>
      </c>
    </row>
    <row r="178">
      <c r="A178" s="7" t="inlineStr">
        <is>
          <t>MD-00077</t>
        </is>
      </c>
      <c r="B178" s="7" t="inlineStr">
        <is>
          <t>2026-08-09</t>
        </is>
      </c>
      <c r="C178" s="7" t="inlineStr">
        <is>
          <t>Policy Control Figure</t>
        </is>
      </c>
      <c r="D178" s="7" t="inlineStr">
        <is>
          <t>ITAM-001</t>
        </is>
      </c>
      <c r="E178" s="7" t="inlineStr"/>
      <c r="F178" s="7" t="inlineStr"/>
      <c r="G178" s="7" t="inlineStr">
        <is>
          <t>ITAM_control_matrix.png; IT_asset_management_policy.pdf</t>
        </is>
      </c>
      <c r="H178" s="7" t="inlineStr">
        <is>
          <t>Confirmed Fact</t>
        </is>
      </c>
      <c r="I178" s="7" t="inlineStr">
        <is>
          <t>ITAM_control_matrix.png Appendix A financial row consulted while tracing MD-00077; transactional proof stays with chain row 178.</t>
        </is>
      </c>
    </row>
    <row r="179">
      <c r="A179" s="7" t="inlineStr">
        <is>
          <t>MD-00077</t>
        </is>
      </c>
      <c r="B179" s="7" t="inlineStr">
        <is>
          <t>2026-08-09</t>
        </is>
      </c>
      <c r="C179" s="7" t="inlineStr">
        <is>
          <t>Reconciliation Conclusion</t>
        </is>
      </c>
      <c r="D179" s="7" t="inlineStr">
        <is>
          <t>Evidence review</t>
        </is>
      </c>
      <c r="E179" s="7" t="inlineStr">
        <is>
          <t>E0090</t>
        </is>
      </c>
      <c r="F179" s="7" t="inlineStr">
        <is>
          <t>Remote - Former Employee</t>
        </is>
      </c>
      <c r="G179" s="7" t="inlineStr">
        <is>
          <t>Ticket:OFF-00077; Tracking:1ZMD00000077; ReturnProof:absent (label only); Transfer:TR-00077; HR:E0090:Separated; PO:PO-2023-0014; Ledger:FA-000077; PolicyFigure:ITAM_control_matrix.png</t>
        </is>
      </c>
      <c r="H179" s="7" t="inlineStr">
        <is>
          <t>Unresolved Assumption</t>
        </is>
      </c>
      <c r="I179" s="7" t="inlineStr">
        <is>
          <t>Final status on MD-00077 — Return Overdue, site Remote - Former Employee, Low. EX-0084, EX-0085.</t>
        </is>
      </c>
    </row>
    <row r="180">
      <c r="A180" s="7" t="inlineStr">
        <is>
          <t>MD-00078</t>
        </is>
      </c>
      <c r="B180" s="7" t="inlineStr">
        <is>
          <t>2024-07-07</t>
        </is>
      </c>
      <c r="C180" s="7" t="inlineStr">
        <is>
          <t>Purchase</t>
        </is>
      </c>
      <c r="D180" s="7" t="inlineStr">
        <is>
          <t>Vendor</t>
        </is>
      </c>
      <c r="E180" s="7" t="inlineStr">
        <is>
          <t>Central Receiving</t>
        </is>
      </c>
      <c r="F180" s="7" t="inlineStr">
        <is>
          <t>Atlanta Warehouse</t>
        </is>
      </c>
      <c r="G180" s="7" t="inlineStr">
        <is>
          <t>PO:PO-2024-0015</t>
        </is>
      </c>
      <c r="H180" s="7" t="inlineStr">
        <is>
          <t>Confirmed Fact</t>
        </is>
      </c>
      <c r="I180" s="7" t="inlineStr">
        <is>
          <t>Vendor shipment for MD-00078 (Cisco C9300) recorded at $565 on PO-2024-0015.</t>
        </is>
      </c>
    </row>
    <row r="181">
      <c r="A181" s="7" t="inlineStr">
        <is>
          <t>MD-00078</t>
        </is>
      </c>
      <c r="B181" s="7" t="inlineStr">
        <is>
          <t>2026-01-07</t>
        </is>
      </c>
      <c r="C181" s="7" t="inlineStr">
        <is>
          <t>Assignment/Transfer</t>
        </is>
      </c>
      <c r="D181" s="7" t="inlineStr">
        <is>
          <t>Central Receiving</t>
        </is>
      </c>
      <c r="E181" s="7" t="inlineStr">
        <is>
          <t>E0081</t>
        </is>
      </c>
      <c r="F181" s="7" t="inlineStr">
        <is>
          <t>Remote - Former Employee</t>
        </is>
      </c>
      <c r="G181" s="7" t="inlineStr">
        <is>
          <t>Transfer:TR-00078; Approval:APR-00078</t>
        </is>
      </c>
      <c r="H181" s="7" t="inlineStr">
        <is>
          <t>Confirmed Fact</t>
        </is>
      </c>
      <c r="I181" s="7" t="inlineStr">
        <is>
          <t>Transfer TR-00078 for MD-00078: posted 2026-01-10, inbound 01/10/2026, APR APR-00078.</t>
        </is>
      </c>
    </row>
    <row r="182">
      <c r="A182" s="7" t="inlineStr">
        <is>
          <t>MD-00078</t>
        </is>
      </c>
      <c r="B182" s="7" t="inlineStr">
        <is>
          <t>2026-05-20</t>
        </is>
      </c>
      <c r="C182" s="7" t="inlineStr">
        <is>
          <t>Offboarding Ticket</t>
        </is>
      </c>
      <c r="D182" s="7" t="inlineStr">
        <is>
          <t>E0091</t>
        </is>
      </c>
      <c r="E182" s="7" t="inlineStr">
        <is>
          <t>IT Service Desk</t>
        </is>
      </c>
      <c r="F182" s="7" t="inlineStr"/>
      <c r="G182" s="7" t="inlineStr">
        <is>
          <t>Ticket:OFF-00078; Status:Past Due</t>
        </is>
      </c>
      <c r="H182" s="7" t="inlineStr">
        <is>
          <t>Confirmed Fact</t>
        </is>
      </c>
      <c r="I182" s="7" t="inlineStr">
        <is>
          <t>Service desk OFF-00078: Past Due; return required Yes; due 07/15/2026. Ticket alone does not dock MD-00078.</t>
        </is>
      </c>
    </row>
    <row r="183">
      <c r="A183" s="7" t="inlineStr">
        <is>
          <t>MD-00078</t>
        </is>
      </c>
      <c r="B183" s="7" t="inlineStr">
        <is>
          <t>2026-05-20</t>
        </is>
      </c>
      <c r="C183" s="7" t="inlineStr">
        <is>
          <t>Technician Comment</t>
        </is>
      </c>
      <c r="D183" s="7" t="inlineStr">
        <is>
          <t>Service Desk</t>
        </is>
      </c>
      <c r="E183" s="7" t="inlineStr"/>
      <c r="F183" s="7" t="inlineStr"/>
      <c r="G183" s="7" t="inlineStr">
        <is>
          <t>Ticket:OFF-00078</t>
        </is>
      </c>
      <c r="H183" s="7" t="inlineStr">
        <is>
          <t>Technician Claim</t>
        </is>
      </c>
      <c r="I183" s="7" t="inlineStr">
        <is>
          <t>Can't close — no delivery event in the carrier file. Ref MD-00078.</t>
        </is>
      </c>
    </row>
    <row r="184">
      <c r="A184" s="7" t="inlineStr">
        <is>
          <t>MD-00078</t>
        </is>
      </c>
      <c r="B184" s="7" t="inlineStr">
        <is>
          <t>2026-06-25</t>
        </is>
      </c>
      <c r="C184" s="7" t="inlineStr">
        <is>
          <t>Return Label Created</t>
        </is>
      </c>
      <c r="D184" s="7" t="inlineStr">
        <is>
          <t>E0091</t>
        </is>
      </c>
      <c r="E184" s="7" t="inlineStr">
        <is>
          <t>Return Carrier</t>
        </is>
      </c>
      <c r="F184" s="7" t="inlineStr">
        <is>
          <t>Carrier Network</t>
        </is>
      </c>
      <c r="G184" s="7" t="inlineStr">
        <is>
          <t>Tracking:1ZMD00000078; Status:Label Created</t>
        </is>
      </c>
      <c r="H184" s="7" t="inlineStr">
        <is>
          <t>Confirmed Fact</t>
        </is>
      </c>
      <c r="I184" s="7" t="inlineStr">
        <is>
          <t>Prepaid label 1ZMD00000078 for MD-00078 — Label Created only; not a return clearance.</t>
        </is>
      </c>
    </row>
    <row r="185">
      <c r="A185" s="7" t="inlineStr">
        <is>
          <t>MD-00078</t>
        </is>
      </c>
      <c r="B185" s="7" t="inlineStr">
        <is>
          <t>2026-08-05</t>
        </is>
      </c>
      <c r="C185" s="7" t="inlineStr">
        <is>
          <t>Regional IT Note Lead</t>
        </is>
      </c>
      <c r="D185" s="7" t="inlineStr">
        <is>
          <t>Regional IT</t>
        </is>
      </c>
      <c r="E185" s="7" t="inlineStr"/>
      <c r="F185" s="7" t="inlineStr">
        <is>
          <t>Chicago - Closed</t>
        </is>
      </c>
      <c r="G185" s="7" t="inlineStr">
        <is>
          <t>regional_IT_notes.docx</t>
        </is>
      </c>
      <c r="H185" s="7" t="inlineStr">
        <is>
          <t>Technician Claim</t>
        </is>
      </c>
      <c r="I185" s="7" t="inlineStr">
        <is>
          <t>regional_IT_notes.docx checked for MD-00078; no corroborated RN entry found.</t>
        </is>
      </c>
    </row>
    <row r="186">
      <c r="A186" s="7" t="inlineStr">
        <is>
          <t>MD-00078</t>
        </is>
      </c>
      <c r="B186" s="7" t="inlineStr">
        <is>
          <t>2026-08-09</t>
        </is>
      </c>
      <c r="C186" s="7" t="inlineStr">
        <is>
          <t>Policy Control Figure</t>
        </is>
      </c>
      <c r="D186" s="7" t="inlineStr">
        <is>
          <t>ITAM-001</t>
        </is>
      </c>
      <c r="E186" s="7" t="inlineStr"/>
      <c r="F186" s="7" t="inlineStr"/>
      <c r="G186" s="7" t="inlineStr">
        <is>
          <t>ITAM_control_matrix.png; IT_asset_management_policy.pdf</t>
        </is>
      </c>
      <c r="H186" s="7" t="inlineStr">
        <is>
          <t>Confirmed Fact</t>
        </is>
      </c>
      <c r="I186" s="7" t="inlineStr">
        <is>
          <t>ITAM_control_matrix.png Appendix A financial row consulted while tracing MD-00078; transactional proof stays with chain row 186.</t>
        </is>
      </c>
    </row>
    <row r="187">
      <c r="A187" s="7" t="inlineStr">
        <is>
          <t>MD-00078</t>
        </is>
      </c>
      <c r="B187" s="7" t="inlineStr">
        <is>
          <t>2026-08-09</t>
        </is>
      </c>
      <c r="C187" s="7" t="inlineStr">
        <is>
          <t>Reconciliation Conclusion</t>
        </is>
      </c>
      <c r="D187" s="7" t="inlineStr">
        <is>
          <t>Evidence review</t>
        </is>
      </c>
      <c r="E187" s="7" t="inlineStr">
        <is>
          <t>E0091</t>
        </is>
      </c>
      <c r="F187" s="7" t="inlineStr">
        <is>
          <t>Remote - Former Employee</t>
        </is>
      </c>
      <c r="G187" s="7" t="inlineStr">
        <is>
          <t>Ticket:OFF-00078; Tracking:1ZMD00000078; ReturnProof:absent (label only); Transfer:TR-00078; HR:E0091:Separated; PO:PO-2024-0015; Ledger:FA-000078; PolicyFigure:ITAM_control_matrix.png</t>
        </is>
      </c>
      <c r="H187" s="7" t="inlineStr">
        <is>
          <t>Unresolved Assumption</t>
        </is>
      </c>
      <c r="I187" s="7" t="inlineStr">
        <is>
          <t>Chain ends with MD-00078 as Return Overdue in Remote - Former Employee; confidence Low. EX-0086, EX-0087.</t>
        </is>
      </c>
    </row>
    <row r="188">
      <c r="A188" s="7" t="inlineStr">
        <is>
          <t>MD-00079</t>
        </is>
      </c>
      <c r="B188" s="7" t="inlineStr">
        <is>
          <t>2025-08-08</t>
        </is>
      </c>
      <c r="C188" s="7" t="inlineStr">
        <is>
          <t>Purchase</t>
        </is>
      </c>
      <c r="D188" s="7" t="inlineStr">
        <is>
          <t>Vendor</t>
        </is>
      </c>
      <c r="E188" s="7" t="inlineStr">
        <is>
          <t>Central Receiving</t>
        </is>
      </c>
      <c r="F188" s="7" t="inlineStr">
        <is>
          <t>Atlanta Warehouse</t>
        </is>
      </c>
      <c r="G188" s="7" t="inlineStr">
        <is>
          <t>PO:PO-2024-0015</t>
        </is>
      </c>
      <c r="H188" s="7" t="inlineStr">
        <is>
          <t>Confirmed Fact</t>
        </is>
      </c>
      <c r="I188" s="7" t="inlineStr">
        <is>
          <t>PO PO-2024-0015 covers MD-00079 (Aruba 6300M) for $1040.</t>
        </is>
      </c>
    </row>
    <row r="189">
      <c r="A189" s="7" t="inlineStr">
        <is>
          <t>MD-00079</t>
        </is>
      </c>
      <c r="B189" s="7" t="inlineStr">
        <is>
          <t>2026-02-08</t>
        </is>
      </c>
      <c r="C189" s="7" t="inlineStr">
        <is>
          <t>Assignment/Transfer</t>
        </is>
      </c>
      <c r="D189" s="7" t="inlineStr">
        <is>
          <t>Central Receiving</t>
        </is>
      </c>
      <c r="E189" s="7" t="inlineStr">
        <is>
          <t>E0082</t>
        </is>
      </c>
      <c r="F189" s="7" t="inlineStr">
        <is>
          <t>Remote - Former Employee</t>
        </is>
      </c>
      <c r="G189" s="7" t="inlineStr">
        <is>
          <t>Transfer:TR-00079; Approval:APR-00079</t>
        </is>
      </c>
      <c r="H189" s="7" t="inlineStr">
        <is>
          <t>Confirmed Fact</t>
        </is>
      </c>
      <c r="I189" s="7" t="inlineStr">
        <is>
          <t>Transfer TR-00079 for MD-00079: posted 2026-02-11, inbound 02/13/2026, APR APR-00079.</t>
        </is>
      </c>
    </row>
    <row r="190">
      <c r="A190" s="7" t="inlineStr">
        <is>
          <t>MD-00079</t>
        </is>
      </c>
      <c r="B190" s="7" t="inlineStr">
        <is>
          <t>2026-06-21</t>
        </is>
      </c>
      <c r="C190" s="7" t="inlineStr">
        <is>
          <t>Offboarding Ticket</t>
        </is>
      </c>
      <c r="D190" s="7" t="inlineStr">
        <is>
          <t>E0092</t>
        </is>
      </c>
      <c r="E190" s="7" t="inlineStr">
        <is>
          <t>IT Service Desk</t>
        </is>
      </c>
      <c r="F190" s="7" t="inlineStr"/>
      <c r="G190" s="7" t="inlineStr">
        <is>
          <t>Ticket:OFF-00079; Status:Past Due</t>
        </is>
      </c>
      <c r="H190" s="7" t="inlineStr">
        <is>
          <t>Confirmed Fact</t>
        </is>
      </c>
      <c r="I190" s="7" t="inlineStr">
        <is>
          <t>Service desk OFF-00079: Past Due; return required Yes; due Jul 15, 2026. Ticket alone does not dock MD-00079.</t>
        </is>
      </c>
    </row>
    <row r="191">
      <c r="A191" s="7" t="inlineStr">
        <is>
          <t>MD-00079</t>
        </is>
      </c>
      <c r="B191" s="7" t="inlineStr">
        <is>
          <t>2026-06-21</t>
        </is>
      </c>
      <c r="C191" s="7" t="inlineStr">
        <is>
          <t>Technician Comment</t>
        </is>
      </c>
      <c r="D191" s="7" t="inlineStr">
        <is>
          <t>Service Desk</t>
        </is>
      </c>
      <c r="E191" s="7" t="inlineStr"/>
      <c r="F191" s="7" t="inlineStr"/>
      <c r="G191" s="7" t="inlineStr">
        <is>
          <t>Ticket:OFF-00079</t>
        </is>
      </c>
      <c r="H191" s="7" t="inlineStr">
        <is>
          <t>Technician Claim</t>
        </is>
      </c>
      <c r="I191" s="7" t="inlineStr">
        <is>
          <t>User claimed inbox full so they missed the ship email. Ref MD-00079.</t>
        </is>
      </c>
    </row>
    <row r="192">
      <c r="A192" s="7" t="inlineStr">
        <is>
          <t>MD-00079</t>
        </is>
      </c>
      <c r="B192" s="7" t="inlineStr">
        <is>
          <t>2026-06-25</t>
        </is>
      </c>
      <c r="C192" s="7" t="inlineStr">
        <is>
          <t>Return Label Created</t>
        </is>
      </c>
      <c r="D192" s="7" t="inlineStr">
        <is>
          <t>E0092</t>
        </is>
      </c>
      <c r="E192" s="7" t="inlineStr">
        <is>
          <t>Return Carrier</t>
        </is>
      </c>
      <c r="F192" s="7" t="inlineStr">
        <is>
          <t>Carrier Network</t>
        </is>
      </c>
      <c r="G192" s="7" t="inlineStr">
        <is>
          <t>Tracking:1ZMD00000079; Status:Label Created</t>
        </is>
      </c>
      <c r="H192" s="7" t="inlineStr">
        <is>
          <t>Confirmed Fact</t>
        </is>
      </c>
      <c r="I192" s="7" t="inlineStr">
        <is>
          <t>Prepaid label 1ZMD00000079 for MD-00079 — Label Created only; not a return clearance.</t>
        </is>
      </c>
    </row>
    <row r="193">
      <c r="A193" s="7" t="inlineStr">
        <is>
          <t>MD-00079</t>
        </is>
      </c>
      <c r="B193" s="7" t="inlineStr">
        <is>
          <t>2026-08-05</t>
        </is>
      </c>
      <c r="C193" s="7" t="inlineStr">
        <is>
          <t>Regional IT Note Lead</t>
        </is>
      </c>
      <c r="D193" s="7" t="inlineStr">
        <is>
          <t>Regional IT</t>
        </is>
      </c>
      <c r="E193" s="7" t="inlineStr"/>
      <c r="F193" s="7" t="inlineStr">
        <is>
          <t>Denver - Closed</t>
        </is>
      </c>
      <c r="G193" s="7" t="inlineStr">
        <is>
          <t>regional_IT_notes.docx</t>
        </is>
      </c>
      <c r="H193" s="7" t="inlineStr">
        <is>
          <t>Technician Claim</t>
        </is>
      </c>
      <c r="I193" s="7" t="inlineStr">
        <is>
          <t>regional_IT_notes.docx checked for MD-00079; no corroborated RN entry found.</t>
        </is>
      </c>
    </row>
    <row r="194">
      <c r="A194" s="7" t="inlineStr">
        <is>
          <t>MD-00079</t>
        </is>
      </c>
      <c r="B194" s="7" t="inlineStr">
        <is>
          <t>2026-08-09</t>
        </is>
      </c>
      <c r="C194" s="7" t="inlineStr">
        <is>
          <t>Policy Control Figure</t>
        </is>
      </c>
      <c r="D194" s="7" t="inlineStr">
        <is>
          <t>ITAM-001</t>
        </is>
      </c>
      <c r="E194" s="7" t="inlineStr"/>
      <c r="F194" s="7" t="inlineStr"/>
      <c r="G194" s="7" t="inlineStr">
        <is>
          <t>ITAM_control_matrix.png; IT_asset_management_policy.pdf</t>
        </is>
      </c>
      <c r="H194" s="7" t="inlineStr">
        <is>
          <t>Confirmed Fact</t>
        </is>
      </c>
      <c r="I194" s="7" t="inlineStr">
        <is>
          <t>Read IT_asset_management_policy.pdf §4–§9 with the matrix financial line for MD-00079; cite chain row 194.</t>
        </is>
      </c>
    </row>
    <row r="195">
      <c r="A195" s="7" t="inlineStr">
        <is>
          <t>MD-00079</t>
        </is>
      </c>
      <c r="B195" s="7" t="inlineStr">
        <is>
          <t>2026-08-09</t>
        </is>
      </c>
      <c r="C195" s="7" t="inlineStr">
        <is>
          <t>Reconciliation Conclusion</t>
        </is>
      </c>
      <c r="D195" s="7" t="inlineStr">
        <is>
          <t>Evidence review</t>
        </is>
      </c>
      <c r="E195" s="7" t="inlineStr">
        <is>
          <t>E0092</t>
        </is>
      </c>
      <c r="F195" s="7" t="inlineStr">
        <is>
          <t>Remote - Former Employee</t>
        </is>
      </c>
      <c r="G195" s="7" t="inlineStr">
        <is>
          <t>Ticket:OFF-00079; Tracking:1ZMD00000079; ReturnProof:absent (label only); Transfer:TR-00079; HR:E0092:Separated; PO:PO-2024-0015; Ledger:FA-000079; PolicyFigure:ITAM_control_matrix.png</t>
        </is>
      </c>
      <c r="H195" s="7" t="inlineStr">
        <is>
          <t>Unresolved Assumption</t>
        </is>
      </c>
      <c r="I195" s="7" t="inlineStr">
        <is>
          <t>Verified outcome MD-00079: Return Overdue / Remote - Former Employee (Low). EX-0088, EX-0089.</t>
        </is>
      </c>
    </row>
    <row r="196">
      <c r="A196" s="7" t="inlineStr">
        <is>
          <t>MD-00080</t>
        </is>
      </c>
      <c r="B196" s="7" t="inlineStr">
        <is>
          <t>2022-09-09</t>
        </is>
      </c>
      <c r="C196" s="7" t="inlineStr">
        <is>
          <t>Purchase</t>
        </is>
      </c>
      <c r="D196" s="7" t="inlineStr">
        <is>
          <t>Vendor</t>
        </is>
      </c>
      <c r="E196" s="7" t="inlineStr">
        <is>
          <t>Central Receiving</t>
        </is>
      </c>
      <c r="F196" s="7" t="inlineStr">
        <is>
          <t>Atlanta Warehouse</t>
        </is>
      </c>
      <c r="G196" s="7" t="inlineStr">
        <is>
          <t>PO:PO-2024-0015</t>
        </is>
      </c>
      <c r="H196" s="7" t="inlineStr">
        <is>
          <t>Confirmed Fact</t>
        </is>
      </c>
      <c r="I196" s="7" t="inlineStr">
        <is>
          <t>Acquisition MD-00080: Cisco Meraki MS250, $6335, PO PO-2024-0015.</t>
        </is>
      </c>
    </row>
    <row r="197">
      <c r="A197" s="7" t="inlineStr">
        <is>
          <t>MD-00080</t>
        </is>
      </c>
      <c r="B197" s="7" t="inlineStr">
        <is>
          <t>2026-03-09</t>
        </is>
      </c>
      <c r="C197" s="7" t="inlineStr">
        <is>
          <t>Assignment/Transfer</t>
        </is>
      </c>
      <c r="D197" s="7" t="inlineStr">
        <is>
          <t>Central Receiving</t>
        </is>
      </c>
      <c r="E197" s="7" t="inlineStr">
        <is>
          <t>Return Carrier</t>
        </is>
      </c>
      <c r="F197" s="7" t="inlineStr">
        <is>
          <t>Carrier Network</t>
        </is>
      </c>
      <c r="G197" s="7" t="inlineStr">
        <is>
          <t>Transfer:TR-00080; Approval:APR-00080</t>
        </is>
      </c>
      <c r="H197" s="7" t="inlineStr">
        <is>
          <t>Confirmed Fact</t>
        </is>
      </c>
      <c r="I197" s="7" t="inlineStr">
        <is>
          <t>Transfer TR-00080 for MD-00080: posted 2026-03-16, inbound 03/17/2026, APR APR-00080.</t>
        </is>
      </c>
    </row>
    <row r="198">
      <c r="A198" s="7" t="inlineStr">
        <is>
          <t>MD-00080</t>
        </is>
      </c>
      <c r="B198" s="7" t="inlineStr">
        <is>
          <t>2026-05-22</t>
        </is>
      </c>
      <c r="C198" s="7" t="inlineStr">
        <is>
          <t>Offboarding Ticket</t>
        </is>
      </c>
      <c r="D198" s="7" t="inlineStr">
        <is>
          <t>E0093</t>
        </is>
      </c>
      <c r="E198" s="7" t="inlineStr">
        <is>
          <t>IT Service Desk</t>
        </is>
      </c>
      <c r="F198" s="7" t="inlineStr"/>
      <c r="G198" s="7" t="inlineStr">
        <is>
          <t>Ticket:OFF-00080; Status:Shipment Open</t>
        </is>
      </c>
      <c r="H198" s="7" t="inlineStr">
        <is>
          <t>Confirmed Fact</t>
        </is>
      </c>
      <c r="I198" s="7" t="inlineStr">
        <is>
          <t>Service desk OFF-00080: Shipment Open; return required Yes; due 2026-07-15. Ticket alone does not dock MD-00080.</t>
        </is>
      </c>
    </row>
    <row r="199">
      <c r="A199" s="7" t="inlineStr">
        <is>
          <t>MD-00080</t>
        </is>
      </c>
      <c r="B199" s="7" t="inlineStr">
        <is>
          <t>2026-05-22</t>
        </is>
      </c>
      <c r="C199" s="7" t="inlineStr">
        <is>
          <t>Technician Comment</t>
        </is>
      </c>
      <c r="D199" s="7" t="inlineStr">
        <is>
          <t>Service Desk</t>
        </is>
      </c>
      <c r="E199" s="7" t="inlineStr"/>
      <c r="F199" s="7" t="inlineStr"/>
      <c r="G199" s="7" t="inlineStr">
        <is>
          <t>Ticket:OFF-00080</t>
        </is>
      </c>
      <c r="H199" s="7" t="inlineStr">
        <is>
          <t>Technician Claim</t>
        </is>
      </c>
      <c r="I199" s="7" t="inlineStr">
        <is>
          <t>Regional stock said they never saw it. Ref MD-00080.</t>
        </is>
      </c>
    </row>
    <row r="200">
      <c r="A200" s="7" t="inlineStr">
        <is>
          <t>MD-00080</t>
        </is>
      </c>
      <c r="B200" s="7" t="inlineStr">
        <is>
          <t>2026-06-25</t>
        </is>
      </c>
      <c r="C200" s="7" t="inlineStr">
        <is>
          <t>Return Label Created</t>
        </is>
      </c>
      <c r="D200" s="7" t="inlineStr">
        <is>
          <t>E0093</t>
        </is>
      </c>
      <c r="E200" s="7" t="inlineStr">
        <is>
          <t>Return Carrier</t>
        </is>
      </c>
      <c r="F200" s="7" t="inlineStr">
        <is>
          <t>Carrier Network</t>
        </is>
      </c>
      <c r="G200" s="7" t="inlineStr">
        <is>
          <t>Tracking:1ZMD00000080; Status:Delivered</t>
        </is>
      </c>
      <c r="H200" s="7" t="inlineStr">
        <is>
          <t>Confirmed Fact</t>
        </is>
      </c>
      <c r="I200" s="7" t="inlineStr">
        <is>
          <t>Prepaid label 1ZMD00000080 for MD-00080 — Label Created only; not a return clearance.</t>
        </is>
      </c>
    </row>
    <row r="201">
      <c r="A201" s="7" t="inlineStr">
        <is>
          <t>MD-00080</t>
        </is>
      </c>
      <c r="B201" s="7" t="inlineStr">
        <is>
          <t>2026-07-02</t>
        </is>
      </c>
      <c r="C201" s="7" t="inlineStr">
        <is>
          <t>Carrier Acceptance</t>
        </is>
      </c>
      <c r="D201" s="7" t="inlineStr">
        <is>
          <t>Shipper</t>
        </is>
      </c>
      <c r="E201" s="7" t="inlineStr">
        <is>
          <t>Carrier</t>
        </is>
      </c>
      <c r="F201" s="7" t="inlineStr">
        <is>
          <t>Carrier Network</t>
        </is>
      </c>
      <c r="G201" s="7" t="inlineStr">
        <is>
          <t>Tracking:1ZMD00000080</t>
        </is>
      </c>
      <c r="H201" s="7" t="inlineStr">
        <is>
          <t>Confirmed Fact</t>
        </is>
      </c>
      <c r="I201" s="7" t="inlineStr">
        <is>
          <t>Carrier acceptance recorded on 1ZMD00000080.</t>
        </is>
      </c>
    </row>
    <row r="202">
      <c r="A202" s="7" t="inlineStr">
        <is>
          <t>MD-00080</t>
        </is>
      </c>
      <c r="B202" s="7" t="inlineStr">
        <is>
          <t>2026-07-06</t>
        </is>
      </c>
      <c r="C202" s="7" t="inlineStr">
        <is>
          <t>Delivery</t>
        </is>
      </c>
      <c r="D202" s="7" t="inlineStr">
        <is>
          <t>Carrier</t>
        </is>
      </c>
      <c r="E202" s="7" t="inlineStr">
        <is>
          <t>Receiving</t>
        </is>
      </c>
      <c r="F202" s="7" t="inlineStr">
        <is>
          <t>Atlanta Warehouse</t>
        </is>
      </c>
      <c r="G202" s="7" t="inlineStr">
        <is>
          <t>Tracking:1ZMD00000080</t>
        </is>
      </c>
      <c r="H202" s="7" t="inlineStr">
        <is>
          <t>Confirmed Fact</t>
        </is>
      </c>
      <c r="I202" s="7" t="inlineStr">
        <is>
          <t>Delivery event on 1ZMD00000080; receiving scan still required for MD-00080.</t>
        </is>
      </c>
    </row>
    <row r="203">
      <c r="A203" s="7" t="inlineStr">
        <is>
          <t>MD-00080</t>
        </is>
      </c>
      <c r="B203" s="7" t="inlineStr">
        <is>
          <t>2026-07-07</t>
        </is>
      </c>
      <c r="C203" s="7" t="inlineStr">
        <is>
          <t>Receiving Scan</t>
        </is>
      </c>
      <c r="D203" s="7" t="inlineStr">
        <is>
          <t>Carrier</t>
        </is>
      </c>
      <c r="E203" s="7" t="inlineStr">
        <is>
          <t>IT Stock</t>
        </is>
      </c>
      <c r="F203" s="7" t="inlineStr">
        <is>
          <t>Atlanta Warehouse</t>
        </is>
      </c>
      <c r="G203" s="7" t="inlineStr">
        <is>
          <t>Tracking:1ZMD00000080</t>
        </is>
      </c>
      <c r="H203" s="7" t="inlineStr">
        <is>
          <t>Confirmed Fact</t>
        </is>
      </c>
      <c r="I203" s="7" t="inlineStr">
        <is>
          <t>Receiving scan posted for 1ZMD00000080 (MD-00080).</t>
        </is>
      </c>
    </row>
    <row r="204">
      <c r="A204" s="7" t="inlineStr">
        <is>
          <t>MD-00080</t>
        </is>
      </c>
      <c r="B204" s="7" t="inlineStr">
        <is>
          <t>2026-08-05</t>
        </is>
      </c>
      <c r="C204" s="7" t="inlineStr">
        <is>
          <t>Regional IT Note Lead</t>
        </is>
      </c>
      <c r="D204" s="7" t="inlineStr">
        <is>
          <t>Regional IT</t>
        </is>
      </c>
      <c r="E204" s="7" t="inlineStr"/>
      <c r="F204" s="7" t="inlineStr">
        <is>
          <t>Chicago - Closed</t>
        </is>
      </c>
      <c r="G204" s="7" t="inlineStr">
        <is>
          <t>regional_IT_notes.docx</t>
        </is>
      </c>
      <c r="H204" s="7" t="inlineStr">
        <is>
          <t>Technician Claim</t>
        </is>
      </c>
      <c r="I204" s="7" t="inlineStr">
        <is>
          <t>regional_IT_notes.docx checked for MD-00080; no corroborated RN entry found.</t>
        </is>
      </c>
    </row>
    <row r="205">
      <c r="A205" s="7" t="inlineStr">
        <is>
          <t>MD-00080</t>
        </is>
      </c>
      <c r="B205" s="7" t="inlineStr">
        <is>
          <t>2026-08-09</t>
        </is>
      </c>
      <c r="C205" s="7" t="inlineStr">
        <is>
          <t>Policy Control Figure</t>
        </is>
      </c>
      <c r="D205" s="7" t="inlineStr">
        <is>
          <t>ITAM-001</t>
        </is>
      </c>
      <c r="E205" s="7" t="inlineStr"/>
      <c r="F205" s="7" t="inlineStr"/>
      <c r="G205" s="7" t="inlineStr">
        <is>
          <t>ITAM_control_matrix.png; IT_asset_management_policy.pdf</t>
        </is>
      </c>
      <c r="H205" s="7" t="inlineStr">
        <is>
          <t>Confirmed Fact</t>
        </is>
      </c>
      <c r="I205" s="7" t="inlineStr">
        <is>
          <t>Matrix financial criteria applied to MD-00080; figure is reference, not inbound proof for chain row 205.</t>
        </is>
      </c>
    </row>
    <row r="206">
      <c r="A206" s="7" t="inlineStr">
        <is>
          <t>MD-00080</t>
        </is>
      </c>
      <c r="B206" s="7" t="inlineStr">
        <is>
          <t>2026-08-09</t>
        </is>
      </c>
      <c r="C206" s="7" t="inlineStr">
        <is>
          <t>Reconciliation Conclusion</t>
        </is>
      </c>
      <c r="D206" s="7" t="inlineStr">
        <is>
          <t>Evidence review</t>
        </is>
      </c>
      <c r="E206" s="7" t="inlineStr">
        <is>
          <t>IT Stock</t>
        </is>
      </c>
      <c r="F206" s="7" t="inlineStr">
        <is>
          <t>Atlanta Warehouse</t>
        </is>
      </c>
      <c r="G206" s="7" t="inlineStr">
        <is>
          <t>Tracking:1ZMD00000080; Ticket:OFF-00080; Transfer:TR-00080; ReceivingScan:2026-07-07; PO:PO-2024-0015; Ledger:FA-000080; PolicyFigure:ITAM_control_matrix.png</t>
        </is>
      </c>
      <c r="H206" s="7" t="inlineStr">
        <is>
          <t>Confirmed Fact</t>
        </is>
      </c>
      <c r="I206" s="7" t="inlineStr">
        <is>
          <t>Chain ends with MD-00080 as Available in Atlanta Warehouse; confidence High. EX-0090.</t>
        </is>
      </c>
    </row>
    <row r="207">
      <c r="A207" s="7" t="inlineStr">
        <is>
          <t>MD-00081</t>
        </is>
      </c>
      <c r="B207" s="7" t="inlineStr">
        <is>
          <t>2023-10-10</t>
        </is>
      </c>
      <c r="C207" s="7" t="inlineStr">
        <is>
          <t>Purchase</t>
        </is>
      </c>
      <c r="D207" s="7" t="inlineStr">
        <is>
          <t>Vendor</t>
        </is>
      </c>
      <c r="E207" s="7" t="inlineStr">
        <is>
          <t>Central Receiving</t>
        </is>
      </c>
      <c r="F207" s="7" t="inlineStr">
        <is>
          <t>Atlanta Warehouse</t>
        </is>
      </c>
      <c r="G207" s="7" t="inlineStr">
        <is>
          <t>PO:PO-2024-0015</t>
        </is>
      </c>
      <c r="H207" s="7" t="inlineStr">
        <is>
          <t>Confirmed Fact</t>
        </is>
      </c>
      <c r="I207" s="7" t="inlineStr">
        <is>
          <t>PO PO-2024-0015 covers MD-00081 (Fortinet FortiSwitch 148F) for $2030.</t>
        </is>
      </c>
    </row>
    <row r="208">
      <c r="A208" s="7" t="inlineStr">
        <is>
          <t>MD-00081</t>
        </is>
      </c>
      <c r="B208" s="7" t="inlineStr">
        <is>
          <t>2026-04-10</t>
        </is>
      </c>
      <c r="C208" s="7" t="inlineStr">
        <is>
          <t>Assignment/Transfer</t>
        </is>
      </c>
      <c r="D208" s="7" t="inlineStr">
        <is>
          <t>Central Receiving</t>
        </is>
      </c>
      <c r="E208" s="7" t="inlineStr">
        <is>
          <t>Return Carrier</t>
        </is>
      </c>
      <c r="F208" s="7" t="inlineStr">
        <is>
          <t>Carrier Network</t>
        </is>
      </c>
      <c r="G208" s="7" t="inlineStr">
        <is>
          <t>Transfer:TR-00081; Approval:APR-00081</t>
        </is>
      </c>
      <c r="H208" s="7" t="inlineStr">
        <is>
          <t>Confirmed Fact</t>
        </is>
      </c>
      <c r="I208" s="7" t="inlineStr">
        <is>
          <t>Transfer TR-00081 for MD-00081: posted 2026-04-20, inbound 04/20/2026, APR APR-00081.</t>
        </is>
      </c>
    </row>
    <row r="209">
      <c r="A209" s="7" t="inlineStr">
        <is>
          <t>MD-00081</t>
        </is>
      </c>
      <c r="B209" s="7" t="inlineStr">
        <is>
          <t>2026-06-23</t>
        </is>
      </c>
      <c r="C209" s="7" t="inlineStr">
        <is>
          <t>Offboarding Ticket</t>
        </is>
      </c>
      <c r="D209" s="7" t="inlineStr">
        <is>
          <t>E0094</t>
        </is>
      </c>
      <c r="E209" s="7" t="inlineStr">
        <is>
          <t>IT Service Desk</t>
        </is>
      </c>
      <c r="F209" s="7" t="inlineStr"/>
      <c r="G209" s="7" t="inlineStr">
        <is>
          <t>Ticket:OFF-00081; Status:Shipment Open</t>
        </is>
      </c>
      <c r="H209" s="7" t="inlineStr">
        <is>
          <t>Confirmed Fact</t>
        </is>
      </c>
      <c r="I209" s="7" t="inlineStr">
        <is>
          <t>Service desk OFF-00081: Shipment Open; return required Yes; due 07/15/2026. Ticket alone does not dock MD-00081.</t>
        </is>
      </c>
    </row>
    <row r="210">
      <c r="A210" s="7" t="inlineStr">
        <is>
          <t>MD-00081</t>
        </is>
      </c>
      <c r="B210" s="7" t="inlineStr">
        <is>
          <t>2026-06-23</t>
        </is>
      </c>
      <c r="C210" s="7" t="inlineStr">
        <is>
          <t>Technician Comment</t>
        </is>
      </c>
      <c r="D210" s="7" t="inlineStr">
        <is>
          <t>Service Desk</t>
        </is>
      </c>
      <c r="E210" s="7" t="inlineStr"/>
      <c r="F210" s="7" t="inlineStr"/>
      <c r="G210" s="7" t="inlineStr">
        <is>
          <t>Ticket:OFF-00081</t>
        </is>
      </c>
      <c r="H210" s="7" t="inlineStr">
        <is>
          <t>Technician Claim</t>
        </is>
      </c>
      <c r="I210" s="7" t="inlineStr">
        <is>
          <t>On hold for HR to confirm last day vs due date. Ref MD-00081.</t>
        </is>
      </c>
    </row>
    <row r="211">
      <c r="A211" s="7" t="inlineStr">
        <is>
          <t>MD-00081</t>
        </is>
      </c>
      <c r="B211" s="7" t="inlineStr">
        <is>
          <t>2026-06-25</t>
        </is>
      </c>
      <c r="C211" s="7" t="inlineStr">
        <is>
          <t>Return Label Created</t>
        </is>
      </c>
      <c r="D211" s="7" t="inlineStr">
        <is>
          <t>E0094</t>
        </is>
      </c>
      <c r="E211" s="7" t="inlineStr">
        <is>
          <t>Return Carrier</t>
        </is>
      </c>
      <c r="F211" s="7" t="inlineStr">
        <is>
          <t>Carrier Network</t>
        </is>
      </c>
      <c r="G211" s="7" t="inlineStr">
        <is>
          <t>Tracking:1ZMD00000081; Status:Delivered</t>
        </is>
      </c>
      <c r="H211" s="7" t="inlineStr">
        <is>
          <t>Confirmed Fact</t>
        </is>
      </c>
      <c r="I211" s="7" t="inlineStr">
        <is>
          <t>Prepaid label 1ZMD00000081 for MD-00081 — Label Created only; not a return clearance.</t>
        </is>
      </c>
    </row>
    <row r="212">
      <c r="A212" s="7" t="inlineStr">
        <is>
          <t>MD-00081</t>
        </is>
      </c>
      <c r="B212" s="7" t="inlineStr">
        <is>
          <t>2026-07-02</t>
        </is>
      </c>
      <c r="C212" s="7" t="inlineStr">
        <is>
          <t>Carrier Acceptance</t>
        </is>
      </c>
      <c r="D212" s="7" t="inlineStr">
        <is>
          <t>Shipper</t>
        </is>
      </c>
      <c r="E212" s="7" t="inlineStr">
        <is>
          <t>Carrier</t>
        </is>
      </c>
      <c r="F212" s="7" t="inlineStr">
        <is>
          <t>Carrier Network</t>
        </is>
      </c>
      <c r="G212" s="7" t="inlineStr">
        <is>
          <t>Tracking:1ZMD00000081</t>
        </is>
      </c>
      <c r="H212" s="7" t="inlineStr">
        <is>
          <t>Confirmed Fact</t>
        </is>
      </c>
      <c r="I212" s="7" t="inlineStr">
        <is>
          <t>Carrier acceptance recorded on 1ZMD00000081.</t>
        </is>
      </c>
    </row>
    <row r="213">
      <c r="A213" s="7" t="inlineStr">
        <is>
          <t>MD-00081</t>
        </is>
      </c>
      <c r="B213" s="7" t="inlineStr">
        <is>
          <t>2026-07-06</t>
        </is>
      </c>
      <c r="C213" s="7" t="inlineStr">
        <is>
          <t>Delivery</t>
        </is>
      </c>
      <c r="D213" s="7" t="inlineStr">
        <is>
          <t>Carrier</t>
        </is>
      </c>
      <c r="E213" s="7" t="inlineStr">
        <is>
          <t>Receiving</t>
        </is>
      </c>
      <c r="F213" s="7" t="inlineStr">
        <is>
          <t>Atlanta Warehouse</t>
        </is>
      </c>
      <c r="G213" s="7" t="inlineStr">
        <is>
          <t>Tracking:1ZMD00000081</t>
        </is>
      </c>
      <c r="H213" s="7" t="inlineStr">
        <is>
          <t>Confirmed Fact</t>
        </is>
      </c>
      <c r="I213" s="7" t="inlineStr">
        <is>
          <t>Delivery event on 1ZMD00000081; receiving scan still required for MD-00081.</t>
        </is>
      </c>
    </row>
    <row r="214">
      <c r="A214" s="7" t="inlineStr">
        <is>
          <t>MD-00081</t>
        </is>
      </c>
      <c r="B214" s="7" t="inlineStr">
        <is>
          <t>2026-07-07</t>
        </is>
      </c>
      <c r="C214" s="7" t="inlineStr">
        <is>
          <t>Receiving Scan</t>
        </is>
      </c>
      <c r="D214" s="7" t="inlineStr">
        <is>
          <t>Carrier</t>
        </is>
      </c>
      <c r="E214" s="7" t="inlineStr">
        <is>
          <t>IT Stock</t>
        </is>
      </c>
      <c r="F214" s="7" t="inlineStr">
        <is>
          <t>Atlanta Warehouse</t>
        </is>
      </c>
      <c r="G214" s="7" t="inlineStr">
        <is>
          <t>Tracking:1ZMD00000081</t>
        </is>
      </c>
      <c r="H214" s="7" t="inlineStr">
        <is>
          <t>Confirmed Fact</t>
        </is>
      </c>
      <c r="I214" s="7" t="inlineStr">
        <is>
          <t>Receiving scan posted for 1ZMD00000081 (MD-00081).</t>
        </is>
      </c>
    </row>
    <row r="215">
      <c r="A215" s="7" t="inlineStr">
        <is>
          <t>MD-00081</t>
        </is>
      </c>
      <c r="B215" s="7" t="inlineStr">
        <is>
          <t>2026-08-05</t>
        </is>
      </c>
      <c r="C215" s="7" t="inlineStr">
        <is>
          <t>Regional IT Note Lead</t>
        </is>
      </c>
      <c r="D215" s="7" t="inlineStr">
        <is>
          <t>Regional IT</t>
        </is>
      </c>
      <c r="E215" s="7" t="inlineStr"/>
      <c r="F215" s="7" t="inlineStr">
        <is>
          <t>Denver - Closed</t>
        </is>
      </c>
      <c r="G215" s="7" t="inlineStr">
        <is>
          <t>regional_IT_notes.docx</t>
        </is>
      </c>
      <c r="H215" s="7" t="inlineStr">
        <is>
          <t>Technician Claim</t>
        </is>
      </c>
      <c r="I215" s="7" t="inlineStr">
        <is>
          <t>regional_IT_notes.docx checked for MD-00081; no corroborated RN entry found.</t>
        </is>
      </c>
    </row>
    <row r="216">
      <c r="A216" s="7" t="inlineStr">
        <is>
          <t>MD-00081</t>
        </is>
      </c>
      <c r="B216" s="7" t="inlineStr">
        <is>
          <t>2026-08-09</t>
        </is>
      </c>
      <c r="C216" s="7" t="inlineStr">
        <is>
          <t>Policy Control Figure</t>
        </is>
      </c>
      <c r="D216" s="7" t="inlineStr">
        <is>
          <t>ITAM-001</t>
        </is>
      </c>
      <c r="E216" s="7" t="inlineStr"/>
      <c r="F216" s="7" t="inlineStr"/>
      <c r="G216" s="7" t="inlineStr">
        <is>
          <t>ITAM_control_matrix.png; IT_asset_management_policy.pdf</t>
        </is>
      </c>
      <c r="H216" s="7" t="inlineStr">
        <is>
          <t>Confirmed Fact</t>
        </is>
      </c>
      <c r="I216" s="7" t="inlineStr">
        <is>
          <t>Matrix return criteria applied to MD-00081; figure is reference, not inbound proof for chain row 216.</t>
        </is>
      </c>
    </row>
    <row r="217">
      <c r="A217" s="7" t="inlineStr">
        <is>
          <t>MD-00081</t>
        </is>
      </c>
      <c r="B217" s="7" t="inlineStr">
        <is>
          <t>2026-08-09</t>
        </is>
      </c>
      <c r="C217" s="7" t="inlineStr">
        <is>
          <t>Reconciliation Conclusion</t>
        </is>
      </c>
      <c r="D217" s="7" t="inlineStr">
        <is>
          <t>Evidence review</t>
        </is>
      </c>
      <c r="E217" s="7" t="inlineStr">
        <is>
          <t>IT Stock</t>
        </is>
      </c>
      <c r="F217" s="7" t="inlineStr">
        <is>
          <t>Atlanta Warehouse</t>
        </is>
      </c>
      <c r="G217" s="7" t="inlineStr">
        <is>
          <t>Tracking:1ZMD00000081; Ticket:OFF-00081; Transfer:TR-00081; ReceivingScan:2026-07-07; PO:PO-2024-0015; Ledger:FA-000081; PolicyFigure:ITAM_control_matrix.png</t>
        </is>
      </c>
      <c r="H217" s="7" t="inlineStr">
        <is>
          <t>Confirmed Fact</t>
        </is>
      </c>
      <c r="I217" s="7" t="inlineStr">
        <is>
          <t>Final status on MD-00081 — Available, site Atlanta Warehouse, High. EX-0091.</t>
        </is>
      </c>
    </row>
    <row r="218">
      <c r="A218" s="7" t="inlineStr">
        <is>
          <t>MD-00082</t>
        </is>
      </c>
      <c r="B218" s="7" t="inlineStr">
        <is>
          <t>2024-11-11</t>
        </is>
      </c>
      <c r="C218" s="7" t="inlineStr">
        <is>
          <t>Purchase</t>
        </is>
      </c>
      <c r="D218" s="7" t="inlineStr">
        <is>
          <t>Vendor</t>
        </is>
      </c>
      <c r="E218" s="7" t="inlineStr">
        <is>
          <t>Central Receiving</t>
        </is>
      </c>
      <c r="F218" s="7" t="inlineStr">
        <is>
          <t>Atlanta Warehouse</t>
        </is>
      </c>
      <c r="G218" s="7" t="inlineStr">
        <is>
          <t>PO:PO-2024-0015</t>
        </is>
      </c>
      <c r="H218" s="7" t="inlineStr">
        <is>
          <t>Confirmed Fact</t>
        </is>
      </c>
      <c r="I218" s="7" t="inlineStr">
        <is>
          <t>PO PO-2024-0015 covers MD-00082 (Cisco C9300) for $745.</t>
        </is>
      </c>
    </row>
    <row r="219">
      <c r="A219" s="7" t="inlineStr">
        <is>
          <t>MD-00082</t>
        </is>
      </c>
      <c r="B219" s="7" t="inlineStr">
        <is>
          <t>2026-05-11</t>
        </is>
      </c>
      <c r="C219" s="7" t="inlineStr">
        <is>
          <t>Assignment/Transfer</t>
        </is>
      </c>
      <c r="D219" s="7" t="inlineStr">
        <is>
          <t>Central Receiving</t>
        </is>
      </c>
      <c r="E219" s="7" t="inlineStr">
        <is>
          <t>Return Carrier</t>
        </is>
      </c>
      <c r="F219" s="7" t="inlineStr">
        <is>
          <t>Carrier Network</t>
        </is>
      </c>
      <c r="G219" s="7" t="inlineStr">
        <is>
          <t>Transfer:TR-00082; Approval:APR-00082</t>
        </is>
      </c>
      <c r="H219" s="7" t="inlineStr">
        <is>
          <t>Confirmed Fact</t>
        </is>
      </c>
      <c r="I219" s="7" t="inlineStr">
        <is>
          <t>Transfer TR-00082 for MD-00082: posted 2026-05-22, inbound 05/24/2026, APR APR-00082.</t>
        </is>
      </c>
    </row>
    <row r="220">
      <c r="A220" s="7" t="inlineStr">
        <is>
          <t>MD-00082</t>
        </is>
      </c>
      <c r="B220" s="7" t="inlineStr">
        <is>
          <t>2026-05-24</t>
        </is>
      </c>
      <c r="C220" s="7" t="inlineStr">
        <is>
          <t>Offboarding Ticket</t>
        </is>
      </c>
      <c r="D220" s="7" t="inlineStr">
        <is>
          <t>E0095</t>
        </is>
      </c>
      <c r="E220" s="7" t="inlineStr">
        <is>
          <t>IT Service Desk</t>
        </is>
      </c>
      <c r="F220" s="7" t="inlineStr"/>
      <c r="G220" s="7" t="inlineStr">
        <is>
          <t>Ticket:OFF-00082; Status:Shipment Open</t>
        </is>
      </c>
      <c r="H220" s="7" t="inlineStr">
        <is>
          <t>Confirmed Fact</t>
        </is>
      </c>
      <c r="I220" s="7" t="inlineStr">
        <is>
          <t>Service desk OFF-00082: Shipment Open; return required Yes; due Jul 15, 2026. Ticket alone does not dock MD-00082.</t>
        </is>
      </c>
    </row>
    <row r="221">
      <c r="A221" s="7" t="inlineStr">
        <is>
          <t>MD-00082</t>
        </is>
      </c>
      <c r="B221" s="7" t="inlineStr">
        <is>
          <t>2026-05-24</t>
        </is>
      </c>
      <c r="C221" s="7" t="inlineStr">
        <is>
          <t>Technician Comment</t>
        </is>
      </c>
      <c r="D221" s="7" t="inlineStr">
        <is>
          <t>Service Desk</t>
        </is>
      </c>
      <c r="E221" s="7" t="inlineStr"/>
      <c r="F221" s="7" t="inlineStr"/>
      <c r="G221" s="7" t="inlineStr">
        <is>
          <t>Ticket:OFF-00082</t>
        </is>
      </c>
      <c r="H221" s="7" t="inlineStr">
        <is>
          <t>Technician Claim</t>
        </is>
      </c>
      <c r="I221" s="7" t="inlineStr">
        <is>
          <t>Second label requested after the first expired? Still no scan. Ref MD-00082.</t>
        </is>
      </c>
    </row>
    <row r="222">
      <c r="A222" s="7" t="inlineStr">
        <is>
          <t>MD-00082</t>
        </is>
      </c>
      <c r="B222" s="7" t="inlineStr">
        <is>
          <t>2026-06-25</t>
        </is>
      </c>
      <c r="C222" s="7" t="inlineStr">
        <is>
          <t>Return Label Created</t>
        </is>
      </c>
      <c r="D222" s="7" t="inlineStr">
        <is>
          <t>E0095</t>
        </is>
      </c>
      <c r="E222" s="7" t="inlineStr">
        <is>
          <t>Return Carrier</t>
        </is>
      </c>
      <c r="F222" s="7" t="inlineStr">
        <is>
          <t>Carrier Network</t>
        </is>
      </c>
      <c r="G222" s="7" t="inlineStr">
        <is>
          <t>Tracking:1ZMD00000082; Status:Exception</t>
        </is>
      </c>
      <c r="H222" s="7" t="inlineStr">
        <is>
          <t>Confirmed Fact</t>
        </is>
      </c>
      <c r="I222" s="7" t="inlineStr">
        <is>
          <t>Prepaid label 1ZMD00000082 for MD-00082 — Label Created only; not a return clearance.</t>
        </is>
      </c>
    </row>
    <row r="223">
      <c r="A223" s="7" t="inlineStr">
        <is>
          <t>MD-00082</t>
        </is>
      </c>
      <c r="B223" s="7" t="inlineStr">
        <is>
          <t>2026-07-02</t>
        </is>
      </c>
      <c r="C223" s="7" t="inlineStr">
        <is>
          <t>Carrier Acceptance</t>
        </is>
      </c>
      <c r="D223" s="7" t="inlineStr">
        <is>
          <t>Shipper</t>
        </is>
      </c>
      <c r="E223" s="7" t="inlineStr">
        <is>
          <t>Carrier</t>
        </is>
      </c>
      <c r="F223" s="7" t="inlineStr">
        <is>
          <t>Carrier Network</t>
        </is>
      </c>
      <c r="G223" s="7" t="inlineStr">
        <is>
          <t>Tracking:1ZMD00000082</t>
        </is>
      </c>
      <c r="H223" s="7" t="inlineStr">
        <is>
          <t>Confirmed Fact</t>
        </is>
      </c>
      <c r="I223" s="7" t="inlineStr">
        <is>
          <t>Carrier acceptance recorded on 1ZMD00000082.</t>
        </is>
      </c>
    </row>
    <row r="224">
      <c r="A224" s="7" t="inlineStr">
        <is>
          <t>MD-00082</t>
        </is>
      </c>
      <c r="B224" s="7" t="inlineStr">
        <is>
          <t>2026-06-25</t>
        </is>
      </c>
      <c r="C224" s="7" t="inlineStr">
        <is>
          <t>Shipment Exception</t>
        </is>
      </c>
      <c r="D224" s="7" t="inlineStr"/>
      <c r="E224" s="7" t="inlineStr"/>
      <c r="F224" s="7" t="inlineStr"/>
      <c r="G224" s="7" t="inlineStr">
        <is>
          <t>Tracking:1ZMD00000082</t>
        </is>
      </c>
      <c r="H224" s="7" t="inlineStr">
        <is>
          <t>Unresolved Assumption</t>
        </is>
      </c>
      <c r="I224" s="7" t="inlineStr">
        <is>
          <t>Carrier exception on 1ZMD00000082: inbound serial does not match register MD-MO-050082 for MD-00082.</t>
        </is>
      </c>
    </row>
    <row r="225">
      <c r="A225" s="7" t="inlineStr">
        <is>
          <t>MD-00082</t>
        </is>
      </c>
      <c r="B225" s="7" t="inlineStr">
        <is>
          <t>2026-08-09</t>
        </is>
      </c>
      <c r="C225" s="7" t="inlineStr">
        <is>
          <t>Dock Image Lead</t>
        </is>
      </c>
      <c r="D225" s="7" t="inlineStr">
        <is>
          <t>Atlanta Warehouse</t>
        </is>
      </c>
      <c r="E225" s="7" t="inlineStr"/>
      <c r="F225" s="7" t="inlineStr">
        <is>
          <t>Atlanta Warehouse</t>
        </is>
      </c>
      <c r="G225" s="7" t="inlineStr">
        <is>
          <t>Image:receiving_exception_scan_1ZMD00000082.png</t>
        </is>
      </c>
      <c r="H225" s="7" t="inlineStr">
        <is>
          <t>Technician Claim</t>
        </is>
      </c>
      <c r="I225" s="7" t="inlineStr">
        <is>
          <t>Atlanta photo receiving_exception_scan_1ZMD00000082.png shows HOLD / MISMATCH — lead only, not receiving clearance for MD-00082.</t>
        </is>
      </c>
    </row>
    <row r="226">
      <c r="A226" s="7" t="inlineStr">
        <is>
          <t>MD-00082</t>
        </is>
      </c>
      <c r="B226" s="7" t="inlineStr">
        <is>
          <t>2026-08-05</t>
        </is>
      </c>
      <c r="C226" s="7" t="inlineStr">
        <is>
          <t>Regional IT Note Lead</t>
        </is>
      </c>
      <c r="D226" s="7" t="inlineStr">
        <is>
          <t>Regional IT</t>
        </is>
      </c>
      <c r="E226" s="7" t="inlineStr"/>
      <c r="F226" s="7" t="inlineStr">
        <is>
          <t>Chicago - Closed</t>
        </is>
      </c>
      <c r="G226" s="7" t="inlineStr">
        <is>
          <t>regional_IT_notes.docx</t>
        </is>
      </c>
      <c r="H226" s="7" t="inlineStr">
        <is>
          <t>Technician Claim</t>
        </is>
      </c>
      <c r="I226" s="7" t="inlineStr">
        <is>
          <t>regional_IT_notes.docx checked for MD-00082; no corroborated RN entry found.</t>
        </is>
      </c>
    </row>
    <row r="227">
      <c r="A227" s="7" t="inlineStr">
        <is>
          <t>MD-00082</t>
        </is>
      </c>
      <c r="B227" s="7" t="inlineStr">
        <is>
          <t>2026-08-09</t>
        </is>
      </c>
      <c r="C227" s="7" t="inlineStr">
        <is>
          <t>Policy Control Figure</t>
        </is>
      </c>
      <c r="D227" s="7" t="inlineStr">
        <is>
          <t>ITAM-001</t>
        </is>
      </c>
      <c r="E227" s="7" t="inlineStr"/>
      <c r="F227" s="7" t="inlineStr"/>
      <c r="G227" s="7" t="inlineStr">
        <is>
          <t>ITAM_control_matrix.png; IT_asset_management_policy.pdf</t>
        </is>
      </c>
      <c r="H227" s="7" t="inlineStr">
        <is>
          <t>Confirmed Fact</t>
        </is>
      </c>
      <c r="I227" s="7" t="inlineStr">
        <is>
          <t>ITAM_control_matrix.png Appendix A assignment row consulted while tracing MD-00082; transactional proof stays with chain row 227.</t>
        </is>
      </c>
    </row>
    <row r="228">
      <c r="A228" s="7" t="inlineStr">
        <is>
          <t>MD-00082</t>
        </is>
      </c>
      <c r="B228" s="7" t="inlineStr">
        <is>
          <t>2026-08-09</t>
        </is>
      </c>
      <c r="C228" s="7" t="inlineStr">
        <is>
          <t>Reconciliation Conclusion</t>
        </is>
      </c>
      <c r="D228" s="7" t="inlineStr">
        <is>
          <t>Evidence review</t>
        </is>
      </c>
      <c r="E228" s="7" t="inlineStr">
        <is>
          <t>E0095</t>
        </is>
      </c>
      <c r="F228" s="7" t="inlineStr">
        <is>
          <t>Carrier Network / Unverified</t>
        </is>
      </c>
      <c r="G228" s="7" t="inlineStr">
        <is>
          <t>Tracking:1ZMD00000082; Ticket:OFF-00082; ShipmentSerial:MISMATCH-0082; RegisterSerial:MD-MO-050082; ImageLead:receiving_exception_scan_1ZMD00000082.png; PO:PO-2024-0015; Ledger:FA-000082; PolicyFigure:ITAM_control_matrix.png</t>
        </is>
      </c>
      <c r="H228" s="7" t="inlineStr">
        <is>
          <t>Unresolved Assumption</t>
        </is>
      </c>
      <c r="I228" s="7" t="inlineStr">
        <is>
          <t>Critical certification blocker — MD-00082 held for unresolved shipment serial mismatch (In Transit - Exception). EX-0092, EX-0093.</t>
        </is>
      </c>
    </row>
    <row r="229">
      <c r="A229" s="7" t="inlineStr">
        <is>
          <t>MD-00083</t>
        </is>
      </c>
      <c r="B229" s="7" t="inlineStr">
        <is>
          <t>2025-12-12</t>
        </is>
      </c>
      <c r="C229" s="7" t="inlineStr">
        <is>
          <t>Purchase</t>
        </is>
      </c>
      <c r="D229" s="7" t="inlineStr">
        <is>
          <t>Vendor</t>
        </is>
      </c>
      <c r="E229" s="7" t="inlineStr">
        <is>
          <t>Central Receiving</t>
        </is>
      </c>
      <c r="F229" s="7" t="inlineStr">
        <is>
          <t>Atlanta Warehouse</t>
        </is>
      </c>
      <c r="G229" s="7" t="inlineStr">
        <is>
          <t>PO:PO-2025-0016</t>
        </is>
      </c>
      <c r="H229" s="7" t="inlineStr">
        <is>
          <t>Confirmed Fact</t>
        </is>
      </c>
      <c r="I229" s="7" t="inlineStr">
        <is>
          <t>PO PO-2025-0016 covers MD-00083 (Aruba 6300M) for $1220.</t>
        </is>
      </c>
    </row>
    <row r="230">
      <c r="A230" s="7" t="inlineStr">
        <is>
          <t>MD-00083</t>
        </is>
      </c>
      <c r="B230" s="7" t="inlineStr">
        <is>
          <t>2026-06-12</t>
        </is>
      </c>
      <c r="C230" s="7" t="inlineStr">
        <is>
          <t>Assignment/Transfer</t>
        </is>
      </c>
      <c r="D230" s="7" t="inlineStr">
        <is>
          <t>Central Receiving</t>
        </is>
      </c>
      <c r="E230" s="7" t="inlineStr">
        <is>
          <t>Return Carrier</t>
        </is>
      </c>
      <c r="F230" s="7" t="inlineStr">
        <is>
          <t>Carrier Network</t>
        </is>
      </c>
      <c r="G230" s="7" t="inlineStr">
        <is>
          <t>Transfer:TR-00083; Approval:APR-00083</t>
        </is>
      </c>
      <c r="H230" s="7" t="inlineStr">
        <is>
          <t>Confirmed Fact</t>
        </is>
      </c>
      <c r="I230" s="7" t="inlineStr">
        <is>
          <t>Transfer TR-00083 for MD-00083: posted 2026-06-26, inbound 06/27/2026, APR APR-00083.</t>
        </is>
      </c>
    </row>
    <row r="231">
      <c r="A231" s="7" t="inlineStr">
        <is>
          <t>MD-00083</t>
        </is>
      </c>
      <c r="B231" s="7" t="inlineStr">
        <is>
          <t>2026-05-24</t>
        </is>
      </c>
      <c r="C231" s="7" t="inlineStr">
        <is>
          <t>Offboarding Ticket</t>
        </is>
      </c>
      <c r="D231" s="7" t="inlineStr">
        <is>
          <t>E0071</t>
        </is>
      </c>
      <c r="E231" s="7" t="inlineStr">
        <is>
          <t>IT Service Desk</t>
        </is>
      </c>
      <c r="F231" s="7" t="inlineStr"/>
      <c r="G231" s="7" t="inlineStr">
        <is>
          <t>Ticket:OFF-00083; Status:Shipment Open</t>
        </is>
      </c>
      <c r="H231" s="7" t="inlineStr">
        <is>
          <t>Confirmed Fact</t>
        </is>
      </c>
      <c r="I231" s="7" t="inlineStr">
        <is>
          <t>Service desk OFF-00083: Shipment Open; return required Yes; due 2026-07-15. Ticket alone does not dock MD-00083.</t>
        </is>
      </c>
    </row>
    <row r="232">
      <c r="A232" s="7" t="inlineStr">
        <is>
          <t>MD-00083</t>
        </is>
      </c>
      <c r="B232" s="7" t="inlineStr">
        <is>
          <t>2026-05-24</t>
        </is>
      </c>
      <c r="C232" s="7" t="inlineStr">
        <is>
          <t>Technician Comment</t>
        </is>
      </c>
      <c r="D232" s="7" t="inlineStr">
        <is>
          <t>Service Desk</t>
        </is>
      </c>
      <c r="E232" s="7" t="inlineStr"/>
      <c r="F232" s="7" t="inlineStr"/>
      <c r="G232" s="7" t="inlineStr">
        <is>
          <t>Ticket:OFF-00083</t>
        </is>
      </c>
      <c r="H232" s="7" t="inlineStr">
        <is>
          <t>Technician Claim</t>
        </is>
      </c>
      <c r="I232" s="7" t="inlineStr">
        <is>
          <t>Asset is a network brick; return freight is the delay. Ref MD-00083.</t>
        </is>
      </c>
    </row>
    <row r="233">
      <c r="A233" s="7" t="inlineStr">
        <is>
          <t>MD-00083</t>
        </is>
      </c>
      <c r="B233" s="7" t="inlineStr">
        <is>
          <t>2026-06-25</t>
        </is>
      </c>
      <c r="C233" s="7" t="inlineStr">
        <is>
          <t>Return Label Created</t>
        </is>
      </c>
      <c r="D233" s="7" t="inlineStr">
        <is>
          <t>E0071</t>
        </is>
      </c>
      <c r="E233" s="7" t="inlineStr">
        <is>
          <t>Return Carrier</t>
        </is>
      </c>
      <c r="F233" s="7" t="inlineStr">
        <is>
          <t>Carrier Network</t>
        </is>
      </c>
      <c r="G233" s="7" t="inlineStr">
        <is>
          <t>Tracking:1ZMD00000083; Status:Delivered</t>
        </is>
      </c>
      <c r="H233" s="7" t="inlineStr">
        <is>
          <t>Confirmed Fact</t>
        </is>
      </c>
      <c r="I233" s="7" t="inlineStr">
        <is>
          <t>Prepaid label 1ZMD00000083 for MD-00083 — Label Created only; not a return clearance.</t>
        </is>
      </c>
    </row>
    <row r="234">
      <c r="A234" s="7" t="inlineStr">
        <is>
          <t>MD-00083</t>
        </is>
      </c>
      <c r="B234" s="7" t="inlineStr">
        <is>
          <t>2026-07-02</t>
        </is>
      </c>
      <c r="C234" s="7" t="inlineStr">
        <is>
          <t>Carrier Acceptance</t>
        </is>
      </c>
      <c r="D234" s="7" t="inlineStr">
        <is>
          <t>Shipper</t>
        </is>
      </c>
      <c r="E234" s="7" t="inlineStr">
        <is>
          <t>Carrier</t>
        </is>
      </c>
      <c r="F234" s="7" t="inlineStr">
        <is>
          <t>Carrier Network</t>
        </is>
      </c>
      <c r="G234" s="7" t="inlineStr">
        <is>
          <t>Tracking:1ZMD00000083</t>
        </is>
      </c>
      <c r="H234" s="7" t="inlineStr">
        <is>
          <t>Confirmed Fact</t>
        </is>
      </c>
      <c r="I234" s="7" t="inlineStr">
        <is>
          <t>Carrier acceptance recorded on 1ZMD00000083.</t>
        </is>
      </c>
    </row>
    <row r="235">
      <c r="A235" s="7" t="inlineStr">
        <is>
          <t>MD-00083</t>
        </is>
      </c>
      <c r="B235" s="7" t="inlineStr">
        <is>
          <t>2026-07-06</t>
        </is>
      </c>
      <c r="C235" s="7" t="inlineStr">
        <is>
          <t>Delivery</t>
        </is>
      </c>
      <c r="D235" s="7" t="inlineStr">
        <is>
          <t>Carrier</t>
        </is>
      </c>
      <c r="E235" s="7" t="inlineStr">
        <is>
          <t>Receiving</t>
        </is>
      </c>
      <c r="F235" s="7" t="inlineStr">
        <is>
          <t>Atlanta Warehouse</t>
        </is>
      </c>
      <c r="G235" s="7" t="inlineStr">
        <is>
          <t>Tracking:1ZMD00000083</t>
        </is>
      </c>
      <c r="H235" s="7" t="inlineStr">
        <is>
          <t>Confirmed Fact</t>
        </is>
      </c>
      <c r="I235" s="7" t="inlineStr">
        <is>
          <t>Delivery event on 1ZMD00000083; receiving scan still required for MD-00083.</t>
        </is>
      </c>
    </row>
    <row r="236">
      <c r="A236" s="7" t="inlineStr">
        <is>
          <t>MD-00083</t>
        </is>
      </c>
      <c r="B236" s="7" t="inlineStr">
        <is>
          <t>2026-07-07</t>
        </is>
      </c>
      <c r="C236" s="7" t="inlineStr">
        <is>
          <t>Receiving Scan</t>
        </is>
      </c>
      <c r="D236" s="7" t="inlineStr">
        <is>
          <t>Carrier</t>
        </is>
      </c>
      <c r="E236" s="7" t="inlineStr">
        <is>
          <t>IT Stock</t>
        </is>
      </c>
      <c r="F236" s="7" t="inlineStr">
        <is>
          <t>Atlanta Warehouse</t>
        </is>
      </c>
      <c r="G236" s="7" t="inlineStr">
        <is>
          <t>Tracking:1ZMD00000083</t>
        </is>
      </c>
      <c r="H236" s="7" t="inlineStr">
        <is>
          <t>Confirmed Fact</t>
        </is>
      </c>
      <c r="I236" s="7" t="inlineStr">
        <is>
          <t>Receiving scan posted for 1ZMD00000083 (MD-00083).</t>
        </is>
      </c>
    </row>
    <row r="237">
      <c r="A237" s="7" t="inlineStr">
        <is>
          <t>MD-00083</t>
        </is>
      </c>
      <c r="B237" s="7" t="inlineStr">
        <is>
          <t>2026-08-05</t>
        </is>
      </c>
      <c r="C237" s="7" t="inlineStr">
        <is>
          <t>Regional IT Note Lead</t>
        </is>
      </c>
      <c r="D237" s="7" t="inlineStr">
        <is>
          <t>Regional IT</t>
        </is>
      </c>
      <c r="E237" s="7" t="inlineStr"/>
      <c r="F237" s="7" t="inlineStr">
        <is>
          <t>Denver - Closed</t>
        </is>
      </c>
      <c r="G237" s="7" t="inlineStr">
        <is>
          <t>regional_IT_notes.docx</t>
        </is>
      </c>
      <c r="H237" s="7" t="inlineStr">
        <is>
          <t>Technician Claim</t>
        </is>
      </c>
      <c r="I237" s="7" t="inlineStr">
        <is>
          <t>regional_IT_notes.docx checked for MD-00083; no corroborated RN entry found.</t>
        </is>
      </c>
    </row>
    <row r="238">
      <c r="A238" s="7" t="inlineStr">
        <is>
          <t>MD-00083</t>
        </is>
      </c>
      <c r="B238" s="7" t="inlineStr">
        <is>
          <t>2026-08-09</t>
        </is>
      </c>
      <c r="C238" s="7" t="inlineStr">
        <is>
          <t>Policy Control Figure</t>
        </is>
      </c>
      <c r="D238" s="7" t="inlineStr">
        <is>
          <t>ITAM-001</t>
        </is>
      </c>
      <c r="E238" s="7" t="inlineStr"/>
      <c r="F238" s="7" t="inlineStr"/>
      <c r="G238" s="7" t="inlineStr">
        <is>
          <t>ITAM_control_matrix.png; IT_asset_management_policy.pdf</t>
        </is>
      </c>
      <c r="H238" s="7" t="inlineStr">
        <is>
          <t>Confirmed Fact</t>
        </is>
      </c>
      <c r="I238" s="7" t="inlineStr">
        <is>
          <t>ITAM_control_matrix.png Appendix A disposal row consulted while tracing MD-00083; transactional proof stays with chain row 238.</t>
        </is>
      </c>
    </row>
    <row r="239">
      <c r="A239" s="7" t="inlineStr">
        <is>
          <t>MD-00083</t>
        </is>
      </c>
      <c r="B239" s="7" t="inlineStr">
        <is>
          <t>2026-08-09</t>
        </is>
      </c>
      <c r="C239" s="7" t="inlineStr">
        <is>
          <t>Reconciliation Conclusion</t>
        </is>
      </c>
      <c r="D239" s="7" t="inlineStr">
        <is>
          <t>Evidence review</t>
        </is>
      </c>
      <c r="E239" s="7" t="inlineStr">
        <is>
          <t>IT Stock</t>
        </is>
      </c>
      <c r="F239" s="7" t="inlineStr">
        <is>
          <t>Atlanta Warehouse</t>
        </is>
      </c>
      <c r="G239" s="7" t="inlineStr">
        <is>
          <t>Tracking:1ZMD00000083; Ticket:OFF-00083; Transfer:TR-00083; ReceivingScan:2026-07-07; PO:PO-2025-0016; Ledger:FA-000083; PolicyFigure:ITAM_control_matrix.png</t>
        </is>
      </c>
      <c r="H239" s="7" t="inlineStr">
        <is>
          <t>Confirmed Fact</t>
        </is>
      </c>
      <c r="I239" s="7" t="inlineStr">
        <is>
          <t>Chain ends with MD-00083 as Available in Atlanta Warehouse; confidence High. EX-0094.</t>
        </is>
      </c>
    </row>
    <row r="240">
      <c r="A240" s="7" t="inlineStr">
        <is>
          <t>MD-00084</t>
        </is>
      </c>
      <c r="B240" s="7" t="inlineStr">
        <is>
          <t>2022-01-13</t>
        </is>
      </c>
      <c r="C240" s="7" t="inlineStr">
        <is>
          <t>Purchase</t>
        </is>
      </c>
      <c r="D240" s="7" t="inlineStr">
        <is>
          <t>Vendor</t>
        </is>
      </c>
      <c r="E240" s="7" t="inlineStr">
        <is>
          <t>Central Receiving</t>
        </is>
      </c>
      <c r="F240" s="7" t="inlineStr">
        <is>
          <t>Atlanta Warehouse</t>
        </is>
      </c>
      <c r="G240" s="7" t="inlineStr">
        <is>
          <t>PO:PO-2025-0016</t>
        </is>
      </c>
      <c r="H240" s="7" t="inlineStr">
        <is>
          <t>Confirmed Fact</t>
        </is>
      </c>
      <c r="I240" s="7" t="inlineStr">
        <is>
          <t>Vendor shipment for MD-00084 (Juniper EX3400) recorded at $6200 on PO-2025-0016.</t>
        </is>
      </c>
    </row>
    <row r="241">
      <c r="A241" s="7" t="inlineStr">
        <is>
          <t>MD-00084</t>
        </is>
      </c>
      <c r="B241" s="7" t="inlineStr">
        <is>
          <t>2026-01-13</t>
        </is>
      </c>
      <c r="C241" s="7" t="inlineStr">
        <is>
          <t>Assignment/Transfer</t>
        </is>
      </c>
      <c r="D241" s="7" t="inlineStr">
        <is>
          <t>Central Receiving</t>
        </is>
      </c>
      <c r="E241" s="7" t="inlineStr">
        <is>
          <t>Return Carrier</t>
        </is>
      </c>
      <c r="F241" s="7" t="inlineStr">
        <is>
          <t>Carrier Network</t>
        </is>
      </c>
      <c r="G241" s="7" t="inlineStr">
        <is>
          <t>Transfer:TR-00084; Approval:APR-00084</t>
        </is>
      </c>
      <c r="H241" s="7" t="inlineStr">
        <is>
          <t>Confirmed Fact</t>
        </is>
      </c>
      <c r="I241" s="7" t="inlineStr">
        <is>
          <t>Transfer TR-00084 for MD-00084: posted 2026-01-30, inbound 02/05/2026, APR APR-00084.</t>
        </is>
      </c>
    </row>
    <row r="242">
      <c r="A242" s="7" t="inlineStr">
        <is>
          <t>MD-00084</t>
        </is>
      </c>
      <c r="B242" s="7" t="inlineStr">
        <is>
          <t>2026-06-01</t>
        </is>
      </c>
      <c r="C242" s="7" t="inlineStr">
        <is>
          <t>Offboarding Ticket</t>
        </is>
      </c>
      <c r="D242" s="7" t="inlineStr">
        <is>
          <t>E0072</t>
        </is>
      </c>
      <c r="E242" s="7" t="inlineStr">
        <is>
          <t>IT Service Desk</t>
        </is>
      </c>
      <c r="F242" s="7" t="inlineStr"/>
      <c r="G242" s="7" t="inlineStr">
        <is>
          <t>Ticket:OFF-00084; Status:Shipment Open</t>
        </is>
      </c>
      <c r="H242" s="7" t="inlineStr">
        <is>
          <t>Confirmed Fact</t>
        </is>
      </c>
      <c r="I242" s="7" t="inlineStr">
        <is>
          <t>Service desk OFF-00084: Shipment Open; return required Yes; due 07/15/2026. Ticket alone does not dock MD-00084.</t>
        </is>
      </c>
    </row>
    <row r="243">
      <c r="A243" s="7" t="inlineStr">
        <is>
          <t>MD-00084</t>
        </is>
      </c>
      <c r="B243" s="7" t="inlineStr">
        <is>
          <t>2026-06-01</t>
        </is>
      </c>
      <c r="C243" s="7" t="inlineStr">
        <is>
          <t>Technician Comment</t>
        </is>
      </c>
      <c r="D243" s="7" t="inlineStr">
        <is>
          <t>Service Desk</t>
        </is>
      </c>
      <c r="E243" s="7" t="inlineStr"/>
      <c r="F243" s="7" t="inlineStr"/>
      <c r="G243" s="7" t="inlineStr">
        <is>
          <t>Ticket:OFF-00084</t>
        </is>
      </c>
      <c r="H243" s="7" t="inlineStr">
        <is>
          <t>Technician Claim</t>
        </is>
      </c>
      <c r="I243" s="7" t="inlineStr">
        <is>
          <t>Noted in Teams: 'I dropped it at the lobby.' Lobby has no intake log. Ref MD-00084.</t>
        </is>
      </c>
    </row>
    <row r="244">
      <c r="A244" s="7" t="inlineStr">
        <is>
          <t>MD-00084</t>
        </is>
      </c>
      <c r="B244" s="7" t="inlineStr">
        <is>
          <t>2026-06-25</t>
        </is>
      </c>
      <c r="C244" s="7" t="inlineStr">
        <is>
          <t>Return Label Created</t>
        </is>
      </c>
      <c r="D244" s="7" t="inlineStr">
        <is>
          <t>E0072</t>
        </is>
      </c>
      <c r="E244" s="7" t="inlineStr">
        <is>
          <t>Return Carrier</t>
        </is>
      </c>
      <c r="F244" s="7" t="inlineStr">
        <is>
          <t>Carrier Network</t>
        </is>
      </c>
      <c r="G244" s="7" t="inlineStr">
        <is>
          <t>Tracking:1ZMD00000084; Status:Exception</t>
        </is>
      </c>
      <c r="H244" s="7" t="inlineStr">
        <is>
          <t>Confirmed Fact</t>
        </is>
      </c>
      <c r="I244" s="7" t="inlineStr">
        <is>
          <t>Prepaid label 1ZMD00000084 for MD-00084 — Label Created only; not a return clearance.</t>
        </is>
      </c>
    </row>
    <row r="245">
      <c r="A245" s="7" t="inlineStr">
        <is>
          <t>MD-00084</t>
        </is>
      </c>
      <c r="B245" s="7" t="inlineStr">
        <is>
          <t>2026-07-02</t>
        </is>
      </c>
      <c r="C245" s="7" t="inlineStr">
        <is>
          <t>Carrier Acceptance</t>
        </is>
      </c>
      <c r="D245" s="7" t="inlineStr">
        <is>
          <t>Shipper</t>
        </is>
      </c>
      <c r="E245" s="7" t="inlineStr">
        <is>
          <t>Carrier</t>
        </is>
      </c>
      <c r="F245" s="7" t="inlineStr">
        <is>
          <t>Carrier Network</t>
        </is>
      </c>
      <c r="G245" s="7" t="inlineStr">
        <is>
          <t>Tracking:1ZMD00000084</t>
        </is>
      </c>
      <c r="H245" s="7" t="inlineStr">
        <is>
          <t>Confirmed Fact</t>
        </is>
      </c>
      <c r="I245" s="7" t="inlineStr">
        <is>
          <t>Carrier acceptance recorded on 1ZMD00000084.</t>
        </is>
      </c>
    </row>
    <row r="246">
      <c r="A246" s="7" t="inlineStr">
        <is>
          <t>MD-00084</t>
        </is>
      </c>
      <c r="B246" s="7" t="inlineStr">
        <is>
          <t>2026-06-25</t>
        </is>
      </c>
      <c r="C246" s="7" t="inlineStr">
        <is>
          <t>Shipment Exception</t>
        </is>
      </c>
      <c r="D246" s="7" t="inlineStr"/>
      <c r="E246" s="7" t="inlineStr"/>
      <c r="F246" s="7" t="inlineStr"/>
      <c r="G246" s="7" t="inlineStr">
        <is>
          <t>Tracking:1ZMD00000084</t>
        </is>
      </c>
      <c r="H246" s="7" t="inlineStr">
        <is>
          <t>Unresolved Assumption</t>
        </is>
      </c>
      <c r="I246" s="7" t="inlineStr">
        <is>
          <t>Carrier exception on 1ZMD00000084: inbound serial does not match register MD-NE-050084 for MD-00084.</t>
        </is>
      </c>
    </row>
    <row r="247">
      <c r="A247" s="7" t="inlineStr">
        <is>
          <t>MD-00084</t>
        </is>
      </c>
      <c r="B247" s="7" t="inlineStr">
        <is>
          <t>2026-08-05</t>
        </is>
      </c>
      <c r="C247" s="7" t="inlineStr">
        <is>
          <t>Regional IT Note Lead</t>
        </is>
      </c>
      <c r="D247" s="7" t="inlineStr">
        <is>
          <t>Regional IT</t>
        </is>
      </c>
      <c r="E247" s="7" t="inlineStr"/>
      <c r="F247" s="7" t="inlineStr">
        <is>
          <t>Chicago - Closed</t>
        </is>
      </c>
      <c r="G247" s="7" t="inlineStr">
        <is>
          <t>regional_IT_notes.docx</t>
        </is>
      </c>
      <c r="H247" s="7" t="inlineStr">
        <is>
          <t>Technician Claim</t>
        </is>
      </c>
      <c r="I247" s="7" t="inlineStr">
        <is>
          <t>regional_IT_notes.docx checked for MD-00084; no corroborated RN entry found.</t>
        </is>
      </c>
    </row>
    <row r="248">
      <c r="A248" s="7" t="inlineStr">
        <is>
          <t>MD-00084</t>
        </is>
      </c>
      <c r="B248" s="7" t="inlineStr">
        <is>
          <t>2026-08-09</t>
        </is>
      </c>
      <c r="C248" s="7" t="inlineStr">
        <is>
          <t>Policy Control Figure</t>
        </is>
      </c>
      <c r="D248" s="7" t="inlineStr">
        <is>
          <t>ITAM-001</t>
        </is>
      </c>
      <c r="E248" s="7" t="inlineStr"/>
      <c r="F248" s="7" t="inlineStr"/>
      <c r="G248" s="7" t="inlineStr">
        <is>
          <t>ITAM_control_matrix.png; IT_asset_management_policy.pdf</t>
        </is>
      </c>
      <c r="H248" s="7" t="inlineStr">
        <is>
          <t>Confirmed Fact</t>
        </is>
      </c>
      <c r="I248" s="7" t="inlineStr">
        <is>
          <t>ITAM_control_matrix.png Appendix A assignment row consulted while tracing MD-00084; transactional proof stays with chain row 248.</t>
        </is>
      </c>
    </row>
    <row r="249">
      <c r="A249" s="7" t="inlineStr">
        <is>
          <t>MD-00084</t>
        </is>
      </c>
      <c r="B249" s="7" t="inlineStr">
        <is>
          <t>2026-08-09</t>
        </is>
      </c>
      <c r="C249" s="7" t="inlineStr">
        <is>
          <t>Reconciliation Conclusion</t>
        </is>
      </c>
      <c r="D249" s="7" t="inlineStr">
        <is>
          <t>Evidence review</t>
        </is>
      </c>
      <c r="E249" s="7" t="inlineStr">
        <is>
          <t>E0072</t>
        </is>
      </c>
      <c r="F249" s="7" t="inlineStr">
        <is>
          <t>Carrier Network / Unverified</t>
        </is>
      </c>
      <c r="G249" s="7" t="inlineStr">
        <is>
          <t>Tracking:1ZMD00000084; Ticket:OFF-00084; ShipmentSerial:MISMATCH-0084; RegisterSerial:MD-NE-050084; PO:PO-2025-0016; Ledger:FA-000084; PolicyFigure:ITAM_control_matrix.png</t>
        </is>
      </c>
      <c r="H249" s="7" t="inlineStr">
        <is>
          <t>Unresolved Assumption</t>
        </is>
      </c>
      <c r="I249" s="7" t="inlineStr">
        <is>
          <t>Critical certification blocker — MD-00084 held for unresolved shipment serial mismatch (In Transit - Exception). EX-0095, EX-0096.</t>
        </is>
      </c>
    </row>
    <row r="250">
      <c r="A250" s="7" t="inlineStr">
        <is>
          <t>MD-00085</t>
        </is>
      </c>
      <c r="B250" s="7" t="inlineStr">
        <is>
          <t>2023-02-14</t>
        </is>
      </c>
      <c r="C250" s="7" t="inlineStr">
        <is>
          <t>Purchase</t>
        </is>
      </c>
      <c r="D250" s="7" t="inlineStr">
        <is>
          <t>Vendor</t>
        </is>
      </c>
      <c r="E250" s="7" t="inlineStr">
        <is>
          <t>Central Receiving</t>
        </is>
      </c>
      <c r="F250" s="7" t="inlineStr">
        <is>
          <t>Atlanta Warehouse</t>
        </is>
      </c>
      <c r="G250" s="7" t="inlineStr">
        <is>
          <t>PO:PO-2025-0016</t>
        </is>
      </c>
      <c r="H250" s="7" t="inlineStr">
        <is>
          <t>Confirmed Fact</t>
        </is>
      </c>
      <c r="I250" s="7" t="inlineStr">
        <is>
          <t>PO PO-2025-0016 covers MD-00085 (Cisco Meraki MS250) for $1895.</t>
        </is>
      </c>
    </row>
    <row r="251">
      <c r="A251" s="7" t="inlineStr">
        <is>
          <t>MD-00085</t>
        </is>
      </c>
      <c r="B251" s="7" t="inlineStr">
        <is>
          <t>2026-02-14</t>
        </is>
      </c>
      <c r="C251" s="7" t="inlineStr">
        <is>
          <t>Assignment/Transfer</t>
        </is>
      </c>
      <c r="D251" s="7" t="inlineStr">
        <is>
          <t>Central Receiving</t>
        </is>
      </c>
      <c r="E251" s="7" t="inlineStr">
        <is>
          <t>Return Carrier</t>
        </is>
      </c>
      <c r="F251" s="7" t="inlineStr">
        <is>
          <t>Carrier Network</t>
        </is>
      </c>
      <c r="G251" s="7" t="inlineStr">
        <is>
          <t>Transfer:TR-00085; Approval:APR-00085</t>
        </is>
      </c>
      <c r="H251" s="7" t="inlineStr">
        <is>
          <t>Confirmed Fact</t>
        </is>
      </c>
      <c r="I251" s="7" t="inlineStr">
        <is>
          <t>Transfer TR-00085 for MD-00085: posted 02/02/2026, inbound Feb 03, 2026, APR APR-00085.</t>
        </is>
      </c>
    </row>
    <row r="252">
      <c r="A252" s="7" t="inlineStr">
        <is>
          <t>MD-00085</t>
        </is>
      </c>
      <c r="B252" s="7" t="inlineStr">
        <is>
          <t>2026-05-02</t>
        </is>
      </c>
      <c r="C252" s="7" t="inlineStr">
        <is>
          <t>Offboarding Ticket</t>
        </is>
      </c>
      <c r="D252" s="7" t="inlineStr">
        <is>
          <t>E0073</t>
        </is>
      </c>
      <c r="E252" s="7" t="inlineStr">
        <is>
          <t>IT Service Desk</t>
        </is>
      </c>
      <c r="F252" s="7" t="inlineStr"/>
      <c r="G252" s="7" t="inlineStr">
        <is>
          <t>Ticket:OFF-00085; Status:Shipment Open</t>
        </is>
      </c>
      <c r="H252" s="7" t="inlineStr">
        <is>
          <t>Confirmed Fact</t>
        </is>
      </c>
      <c r="I252" s="7" t="inlineStr">
        <is>
          <t>Service desk OFF-00085: Shipment Open; return required Yes; due 2026-07-15. Ticket alone does not dock MD-00085.</t>
        </is>
      </c>
    </row>
    <row r="253">
      <c r="A253" s="7" t="inlineStr">
        <is>
          <t>MD-00085</t>
        </is>
      </c>
      <c r="B253" s="7" t="inlineStr">
        <is>
          <t>2026-05-02</t>
        </is>
      </c>
      <c r="C253" s="7" t="inlineStr">
        <is>
          <t>Technician Comment</t>
        </is>
      </c>
      <c r="D253" s="7" t="inlineStr">
        <is>
          <t>Service Desk</t>
        </is>
      </c>
      <c r="E253" s="7" t="inlineStr"/>
      <c r="F253" s="7" t="inlineStr"/>
      <c r="G253" s="7" t="inlineStr">
        <is>
          <t>Ticket:OFF-00085</t>
        </is>
      </c>
      <c r="H253" s="7" t="inlineStr">
        <is>
          <t>Technician Claim</t>
        </is>
      </c>
      <c r="I253" s="7" t="inlineStr">
        <is>
          <t>Open until receiving matches tag and serial. Ref MD-00085.</t>
        </is>
      </c>
    </row>
    <row r="254">
      <c r="A254" s="7" t="inlineStr">
        <is>
          <t>MD-00085</t>
        </is>
      </c>
      <c r="B254" s="7" t="inlineStr">
        <is>
          <t>2026-06-25</t>
        </is>
      </c>
      <c r="C254" s="7" t="inlineStr">
        <is>
          <t>Return Label Created</t>
        </is>
      </c>
      <c r="D254" s="7" t="inlineStr">
        <is>
          <t>E0073</t>
        </is>
      </c>
      <c r="E254" s="7" t="inlineStr">
        <is>
          <t>Return Carrier</t>
        </is>
      </c>
      <c r="F254" s="7" t="inlineStr">
        <is>
          <t>Carrier Network</t>
        </is>
      </c>
      <c r="G254" s="7" t="inlineStr">
        <is>
          <t>Tracking:1ZMD00000085; Status:Delivered</t>
        </is>
      </c>
      <c r="H254" s="7" t="inlineStr">
        <is>
          <t>Confirmed Fact</t>
        </is>
      </c>
      <c r="I254" s="7" t="inlineStr">
        <is>
          <t>Prepaid label 1ZMD00000085 for MD-00085 — Label Created only; not a return clearance.</t>
        </is>
      </c>
    </row>
    <row r="255">
      <c r="A255" s="7" t="inlineStr">
        <is>
          <t>MD-00085</t>
        </is>
      </c>
      <c r="B255" s="7" t="inlineStr">
        <is>
          <t>2026-07-02</t>
        </is>
      </c>
      <c r="C255" s="7" t="inlineStr">
        <is>
          <t>Carrier Acceptance</t>
        </is>
      </c>
      <c r="D255" s="7" t="inlineStr">
        <is>
          <t>Shipper</t>
        </is>
      </c>
      <c r="E255" s="7" t="inlineStr">
        <is>
          <t>Carrier</t>
        </is>
      </c>
      <c r="F255" s="7" t="inlineStr">
        <is>
          <t>Carrier Network</t>
        </is>
      </c>
      <c r="G255" s="7" t="inlineStr">
        <is>
          <t>Tracking:1ZMD00000085</t>
        </is>
      </c>
      <c r="H255" s="7" t="inlineStr">
        <is>
          <t>Confirmed Fact</t>
        </is>
      </c>
      <c r="I255" s="7" t="inlineStr">
        <is>
          <t>Carrier acceptance recorded on 1ZMD00000085.</t>
        </is>
      </c>
    </row>
    <row r="256">
      <c r="A256" s="7" t="inlineStr">
        <is>
          <t>MD-00085</t>
        </is>
      </c>
      <c r="B256" s="7" t="inlineStr">
        <is>
          <t>2026-07-06</t>
        </is>
      </c>
      <c r="C256" s="7" t="inlineStr">
        <is>
          <t>Delivery</t>
        </is>
      </c>
      <c r="D256" s="7" t="inlineStr">
        <is>
          <t>Carrier</t>
        </is>
      </c>
      <c r="E256" s="7" t="inlineStr">
        <is>
          <t>Receiving</t>
        </is>
      </c>
      <c r="F256" s="7" t="inlineStr">
        <is>
          <t>Atlanta Warehouse</t>
        </is>
      </c>
      <c r="G256" s="7" t="inlineStr">
        <is>
          <t>Tracking:1ZMD00000085</t>
        </is>
      </c>
      <c r="H256" s="7" t="inlineStr">
        <is>
          <t>Confirmed Fact</t>
        </is>
      </c>
      <c r="I256" s="7" t="inlineStr">
        <is>
          <t>Delivery event on 1ZMD00000085; receiving scan still required for MD-00085.</t>
        </is>
      </c>
    </row>
    <row r="257">
      <c r="A257" s="7" t="inlineStr">
        <is>
          <t>MD-00085</t>
        </is>
      </c>
      <c r="B257" s="7" t="inlineStr">
        <is>
          <t>2026-07-07</t>
        </is>
      </c>
      <c r="C257" s="7" t="inlineStr">
        <is>
          <t>Receiving Scan</t>
        </is>
      </c>
      <c r="D257" s="7" t="inlineStr">
        <is>
          <t>Carrier</t>
        </is>
      </c>
      <c r="E257" s="7" t="inlineStr">
        <is>
          <t>IT Stock</t>
        </is>
      </c>
      <c r="F257" s="7" t="inlineStr">
        <is>
          <t>Atlanta Warehouse</t>
        </is>
      </c>
      <c r="G257" s="7" t="inlineStr">
        <is>
          <t>Tracking:1ZMD00000085</t>
        </is>
      </c>
      <c r="H257" s="7" t="inlineStr">
        <is>
          <t>Confirmed Fact</t>
        </is>
      </c>
      <c r="I257" s="7" t="inlineStr">
        <is>
          <t>Receiving scan posted for 1ZMD00000085 (MD-00085).</t>
        </is>
      </c>
    </row>
    <row r="258">
      <c r="A258" s="7" t="inlineStr">
        <is>
          <t>MD-00085</t>
        </is>
      </c>
      <c r="B258" s="7" t="inlineStr">
        <is>
          <t>2026-08-05</t>
        </is>
      </c>
      <c r="C258" s="7" t="inlineStr">
        <is>
          <t>Regional IT Note Lead</t>
        </is>
      </c>
      <c r="D258" s="7" t="inlineStr">
        <is>
          <t>Regional IT</t>
        </is>
      </c>
      <c r="E258" s="7" t="inlineStr"/>
      <c r="F258" s="7" t="inlineStr">
        <is>
          <t>Denver - Closed</t>
        </is>
      </c>
      <c r="G258" s="7" t="inlineStr">
        <is>
          <t>regional_IT_notes.docx</t>
        </is>
      </c>
      <c r="H258" s="7" t="inlineStr">
        <is>
          <t>Technician Claim</t>
        </is>
      </c>
      <c r="I258" s="7" t="inlineStr">
        <is>
          <t>regional_IT_notes.docx checked for MD-00085; no corroborated RN entry found.</t>
        </is>
      </c>
    </row>
    <row r="259">
      <c r="A259" s="7" t="inlineStr">
        <is>
          <t>MD-00085</t>
        </is>
      </c>
      <c r="B259" s="7" t="inlineStr">
        <is>
          <t>2026-08-09</t>
        </is>
      </c>
      <c r="C259" s="7" t="inlineStr">
        <is>
          <t>Policy Control Figure</t>
        </is>
      </c>
      <c r="D259" s="7" t="inlineStr">
        <is>
          <t>ITAM-001</t>
        </is>
      </c>
      <c r="E259" s="7" t="inlineStr"/>
      <c r="F259" s="7" t="inlineStr"/>
      <c r="G259" s="7" t="inlineStr">
        <is>
          <t>ITAM_control_matrix.png; IT_asset_management_policy.pdf</t>
        </is>
      </c>
      <c r="H259" s="7" t="inlineStr">
        <is>
          <t>Confirmed Fact</t>
        </is>
      </c>
      <c r="I259" s="7" t="inlineStr">
        <is>
          <t>Read IT_asset_management_policy.pdf §4–§9 with the matrix disposal line for MD-00085; cite chain row 259.</t>
        </is>
      </c>
    </row>
    <row r="260">
      <c r="A260" s="7" t="inlineStr">
        <is>
          <t>MD-00085</t>
        </is>
      </c>
      <c r="B260" s="7" t="inlineStr">
        <is>
          <t>2026-08-09</t>
        </is>
      </c>
      <c r="C260" s="7" t="inlineStr">
        <is>
          <t>Reconciliation Conclusion</t>
        </is>
      </c>
      <c r="D260" s="7" t="inlineStr">
        <is>
          <t>Evidence review</t>
        </is>
      </c>
      <c r="E260" s="7" t="inlineStr">
        <is>
          <t>IT Stock</t>
        </is>
      </c>
      <c r="F260" s="7" t="inlineStr">
        <is>
          <t>Atlanta Warehouse</t>
        </is>
      </c>
      <c r="G260" s="7" t="inlineStr">
        <is>
          <t>Tracking:1ZMD00000085; Ticket:OFF-00085; Transfer:TR-00085; ReceivingScan:2026-07-07; PO:PO-2025-0016; Ledger:FA-000085; PolicyFigure:ITAM_control_matrix.png</t>
        </is>
      </c>
      <c r="H260" s="7" t="inlineStr">
        <is>
          <t>Confirmed Fact</t>
        </is>
      </c>
      <c r="I260" s="7" t="inlineStr">
        <is>
          <t>Chain ends with MD-00085 as Available in Atlanta Warehouse; confidence High. EX-0097, EX-0098.</t>
        </is>
      </c>
    </row>
    <row r="261">
      <c r="A261" s="7" t="inlineStr">
        <is>
          <t>MD-00086</t>
        </is>
      </c>
      <c r="B261" s="7" t="inlineStr">
        <is>
          <t>2024-03-15</t>
        </is>
      </c>
      <c r="C261" s="7" t="inlineStr">
        <is>
          <t>Purchase</t>
        </is>
      </c>
      <c r="D261" s="7" t="inlineStr">
        <is>
          <t>Vendor</t>
        </is>
      </c>
      <c r="E261" s="7" t="inlineStr">
        <is>
          <t>Central Receiving</t>
        </is>
      </c>
      <c r="F261" s="7" t="inlineStr">
        <is>
          <t>Atlanta Warehouse</t>
        </is>
      </c>
      <c r="G261" s="7" t="inlineStr">
        <is>
          <t>PO:PO-2022-0017</t>
        </is>
      </c>
      <c r="H261" s="7" t="inlineStr">
        <is>
          <t>Confirmed Fact</t>
        </is>
      </c>
      <c r="I261" s="7" t="inlineStr">
        <is>
          <t>Vendor shipment for MD-00086 (Fortinet FortiSwitch 148F) recorded at $610 on PO-2022-0017.</t>
        </is>
      </c>
    </row>
    <row r="262">
      <c r="A262" s="7" t="inlineStr">
        <is>
          <t>MD-00086</t>
        </is>
      </c>
      <c r="B262" s="7" t="inlineStr">
        <is>
          <t>2026-03-15</t>
        </is>
      </c>
      <c r="C262" s="7" t="inlineStr">
        <is>
          <t>Assignment/Transfer</t>
        </is>
      </c>
      <c r="D262" s="7" t="inlineStr">
        <is>
          <t>Central Receiving</t>
        </is>
      </c>
      <c r="E262" s="7" t="inlineStr">
        <is>
          <t>Return Carrier</t>
        </is>
      </c>
      <c r="F262" s="7" t="inlineStr">
        <is>
          <t>Carrier Network</t>
        </is>
      </c>
      <c r="G262" s="7" t="inlineStr">
        <is>
          <t>Transfer:TR-00086; Approval:APR-00086</t>
        </is>
      </c>
      <c r="H262" s="7" t="inlineStr">
        <is>
          <t>Confirmed Fact</t>
        </is>
      </c>
      <c r="I262" s="7" t="inlineStr">
        <is>
          <t>Transfer TR-00086 for MD-00086: posted 03/07/2026, inbound Mar 08, 2026, APR APR-00086.</t>
        </is>
      </c>
    </row>
    <row r="263">
      <c r="A263" s="7" t="inlineStr">
        <is>
          <t>MD-00086</t>
        </is>
      </c>
      <c r="B263" s="7" t="inlineStr">
        <is>
          <t>2026-06-03</t>
        </is>
      </c>
      <c r="C263" s="7" t="inlineStr">
        <is>
          <t>Offboarding Ticket</t>
        </is>
      </c>
      <c r="D263" s="7" t="inlineStr">
        <is>
          <t>E0074</t>
        </is>
      </c>
      <c r="E263" s="7" t="inlineStr">
        <is>
          <t>IT Service Desk</t>
        </is>
      </c>
      <c r="F263" s="7" t="inlineStr"/>
      <c r="G263" s="7" t="inlineStr">
        <is>
          <t>Ticket:OFF-00086; Status:Shipment Open</t>
        </is>
      </c>
      <c r="H263" s="7" t="inlineStr">
        <is>
          <t>Confirmed Fact</t>
        </is>
      </c>
      <c r="I263" s="7" t="inlineStr">
        <is>
          <t>Service desk OFF-00086: Shipment Open; return required Yes; due 07/15/2026. Ticket alone does not dock MD-00086.</t>
        </is>
      </c>
    </row>
    <row r="264">
      <c r="A264" s="7" t="inlineStr">
        <is>
          <t>MD-00086</t>
        </is>
      </c>
      <c r="B264" s="7" t="inlineStr">
        <is>
          <t>2026-06-03</t>
        </is>
      </c>
      <c r="C264" s="7" t="inlineStr">
        <is>
          <t>Technician Comment</t>
        </is>
      </c>
      <c r="D264" s="7" t="inlineStr">
        <is>
          <t>Service Desk</t>
        </is>
      </c>
      <c r="E264" s="7" t="inlineStr"/>
      <c r="F264" s="7" t="inlineStr"/>
      <c r="G264" s="7" t="inlineStr">
        <is>
          <t>Ticket:OFF-00086</t>
        </is>
      </c>
      <c r="H264" s="7" t="inlineStr">
        <is>
          <t>Technician Claim</t>
        </is>
      </c>
      <c r="I264" s="7" t="inlineStr">
        <is>
          <t>Closed the chatter, not the ticket — still no receipt. Ref MD-00086.</t>
        </is>
      </c>
    </row>
    <row r="265">
      <c r="A265" s="7" t="inlineStr">
        <is>
          <t>MD-00086</t>
        </is>
      </c>
      <c r="B265" s="7" t="inlineStr">
        <is>
          <t>2026-06-25</t>
        </is>
      </c>
      <c r="C265" s="7" t="inlineStr">
        <is>
          <t>Return Label Created</t>
        </is>
      </c>
      <c r="D265" s="7" t="inlineStr">
        <is>
          <t>E0074</t>
        </is>
      </c>
      <c r="E265" s="7" t="inlineStr">
        <is>
          <t>Return Carrier</t>
        </is>
      </c>
      <c r="F265" s="7" t="inlineStr">
        <is>
          <t>Carrier Network</t>
        </is>
      </c>
      <c r="G265" s="7" t="inlineStr">
        <is>
          <t>Tracking:1ZMD00000086; Status:Delivered</t>
        </is>
      </c>
      <c r="H265" s="7" t="inlineStr">
        <is>
          <t>Confirmed Fact</t>
        </is>
      </c>
      <c r="I265" s="7" t="inlineStr">
        <is>
          <t>Prepaid label 1ZMD00000086 for MD-00086 — Label Created only; not a return clearance.</t>
        </is>
      </c>
    </row>
    <row r="266">
      <c r="A266" s="7" t="inlineStr">
        <is>
          <t>MD-00086</t>
        </is>
      </c>
      <c r="B266" s="7" t="inlineStr">
        <is>
          <t>2026-07-02</t>
        </is>
      </c>
      <c r="C266" s="7" t="inlineStr">
        <is>
          <t>Carrier Acceptance</t>
        </is>
      </c>
      <c r="D266" s="7" t="inlineStr">
        <is>
          <t>Shipper</t>
        </is>
      </c>
      <c r="E266" s="7" t="inlineStr">
        <is>
          <t>Carrier</t>
        </is>
      </c>
      <c r="F266" s="7" t="inlineStr">
        <is>
          <t>Carrier Network</t>
        </is>
      </c>
      <c r="G266" s="7" t="inlineStr">
        <is>
          <t>Tracking:1ZMD00000086</t>
        </is>
      </c>
      <c r="H266" s="7" t="inlineStr">
        <is>
          <t>Confirmed Fact</t>
        </is>
      </c>
      <c r="I266" s="7" t="inlineStr">
        <is>
          <t>Carrier acceptance recorded on 1ZMD00000086.</t>
        </is>
      </c>
    </row>
    <row r="267">
      <c r="A267" s="7" t="inlineStr">
        <is>
          <t>MD-00086</t>
        </is>
      </c>
      <c r="B267" s="7" t="inlineStr">
        <is>
          <t>2026-07-06</t>
        </is>
      </c>
      <c r="C267" s="7" t="inlineStr">
        <is>
          <t>Delivery</t>
        </is>
      </c>
      <c r="D267" s="7" t="inlineStr">
        <is>
          <t>Carrier</t>
        </is>
      </c>
      <c r="E267" s="7" t="inlineStr">
        <is>
          <t>Receiving</t>
        </is>
      </c>
      <c r="F267" s="7" t="inlineStr">
        <is>
          <t>Atlanta Warehouse</t>
        </is>
      </c>
      <c r="G267" s="7" t="inlineStr">
        <is>
          <t>Tracking:1ZMD00000086</t>
        </is>
      </c>
      <c r="H267" s="7" t="inlineStr">
        <is>
          <t>Confirmed Fact</t>
        </is>
      </c>
      <c r="I267" s="7" t="inlineStr">
        <is>
          <t>Delivery event on 1ZMD00000086; receiving scan still required for MD-00086.</t>
        </is>
      </c>
    </row>
    <row r="268">
      <c r="A268" s="7" t="inlineStr">
        <is>
          <t>MD-00086</t>
        </is>
      </c>
      <c r="B268" s="7" t="inlineStr">
        <is>
          <t>2026-07-07</t>
        </is>
      </c>
      <c r="C268" s="7" t="inlineStr">
        <is>
          <t>Receiving Scan</t>
        </is>
      </c>
      <c r="D268" s="7" t="inlineStr">
        <is>
          <t>Carrier</t>
        </is>
      </c>
      <c r="E268" s="7" t="inlineStr">
        <is>
          <t>IT Stock</t>
        </is>
      </c>
      <c r="F268" s="7" t="inlineStr">
        <is>
          <t>Atlanta Warehouse</t>
        </is>
      </c>
      <c r="G268" s="7" t="inlineStr">
        <is>
          <t>Tracking:1ZMD00000086</t>
        </is>
      </c>
      <c r="H268" s="7" t="inlineStr">
        <is>
          <t>Confirmed Fact</t>
        </is>
      </c>
      <c r="I268" s="7" t="inlineStr">
        <is>
          <t>Receiving scan posted for 1ZMD00000086 (MD-00086).</t>
        </is>
      </c>
    </row>
    <row r="269">
      <c r="A269" s="7" t="inlineStr">
        <is>
          <t>MD-00086</t>
        </is>
      </c>
      <c r="B269" s="7" t="inlineStr">
        <is>
          <t>2026-08-05</t>
        </is>
      </c>
      <c r="C269" s="7" t="inlineStr">
        <is>
          <t>Regional IT Note Lead</t>
        </is>
      </c>
      <c r="D269" s="7" t="inlineStr">
        <is>
          <t>Regional IT</t>
        </is>
      </c>
      <c r="E269" s="7" t="inlineStr"/>
      <c r="F269" s="7" t="inlineStr">
        <is>
          <t>Chicago - Closed</t>
        </is>
      </c>
      <c r="G269" s="7" t="inlineStr">
        <is>
          <t>regional_IT_notes.docx</t>
        </is>
      </c>
      <c r="H269" s="7" t="inlineStr">
        <is>
          <t>Technician Claim</t>
        </is>
      </c>
      <c r="I269" s="7" t="inlineStr">
        <is>
          <t>regional_IT_notes.docx checked for MD-00086; no corroborated RN entry found.</t>
        </is>
      </c>
    </row>
    <row r="270">
      <c r="A270" s="7" t="inlineStr">
        <is>
          <t>MD-00086</t>
        </is>
      </c>
      <c r="B270" s="7" t="inlineStr">
        <is>
          <t>2026-08-09</t>
        </is>
      </c>
      <c r="C270" s="7" t="inlineStr">
        <is>
          <t>Policy Control Figure</t>
        </is>
      </c>
      <c r="D270" s="7" t="inlineStr">
        <is>
          <t>ITAM-001</t>
        </is>
      </c>
      <c r="E270" s="7" t="inlineStr"/>
      <c r="F270" s="7" t="inlineStr"/>
      <c r="G270" s="7" t="inlineStr">
        <is>
          <t>ITAM_control_matrix.png; IT_asset_management_policy.pdf</t>
        </is>
      </c>
      <c r="H270" s="7" t="inlineStr">
        <is>
          <t>Confirmed Fact</t>
        </is>
      </c>
      <c r="I270" s="7" t="inlineStr">
        <is>
          <t>ITAM_control_matrix.png Appendix A return row consulted while tracing MD-00086; transactional proof stays with chain row 270.</t>
        </is>
      </c>
    </row>
    <row r="271">
      <c r="A271" s="7" t="inlineStr">
        <is>
          <t>MD-00086</t>
        </is>
      </c>
      <c r="B271" s="7" t="inlineStr">
        <is>
          <t>2026-08-09</t>
        </is>
      </c>
      <c r="C271" s="7" t="inlineStr">
        <is>
          <t>Reconciliation Conclusion</t>
        </is>
      </c>
      <c r="D271" s="7" t="inlineStr">
        <is>
          <t>Evidence review</t>
        </is>
      </c>
      <c r="E271" s="7" t="inlineStr">
        <is>
          <t>IT Stock</t>
        </is>
      </c>
      <c r="F271" s="7" t="inlineStr">
        <is>
          <t>Atlanta Warehouse</t>
        </is>
      </c>
      <c r="G271" s="7" t="inlineStr">
        <is>
          <t>Tracking:1ZMD00000086; Ticket:OFF-00086; Transfer:TR-00086; ReceivingScan:2026-07-07; PO:PO-2022-0017; Ledger:FA-000086; PolicyFigure:ITAM_control_matrix.png</t>
        </is>
      </c>
      <c r="H271" s="7" t="inlineStr">
        <is>
          <t>Confirmed Fact</t>
        </is>
      </c>
      <c r="I271" s="7" t="inlineStr">
        <is>
          <t>Final status on MD-00086 — Available, site Atlanta Warehouse, High. EX-0099.</t>
        </is>
      </c>
    </row>
    <row r="272">
      <c r="A272" s="7" t="inlineStr">
        <is>
          <t>MD-00087</t>
        </is>
      </c>
      <c r="B272" s="7" t="inlineStr">
        <is>
          <t>2025-04-16</t>
        </is>
      </c>
      <c r="C272" s="7" t="inlineStr">
        <is>
          <t>Purchase</t>
        </is>
      </c>
      <c r="D272" s="7" t="inlineStr">
        <is>
          <t>Vendor</t>
        </is>
      </c>
      <c r="E272" s="7" t="inlineStr">
        <is>
          <t>Central Receiving</t>
        </is>
      </c>
      <c r="F272" s="7" t="inlineStr">
        <is>
          <t>Atlanta Warehouse</t>
        </is>
      </c>
      <c r="G272" s="7" t="inlineStr">
        <is>
          <t>PO:PO-2022-0017</t>
        </is>
      </c>
      <c r="H272" s="7" t="inlineStr">
        <is>
          <t>Confirmed Fact</t>
        </is>
      </c>
      <c r="I272" s="7" t="inlineStr">
        <is>
          <t>Vendor shipment for MD-00087 (Cisco C9300) recorded at $1085 on PO-2022-0017.</t>
        </is>
      </c>
    </row>
    <row r="273">
      <c r="A273" s="7" t="inlineStr">
        <is>
          <t>MD-00087</t>
        </is>
      </c>
      <c r="B273" s="7" t="inlineStr">
        <is>
          <t>2026-04-16</t>
        </is>
      </c>
      <c r="C273" s="7" t="inlineStr">
        <is>
          <t>Assignment/Transfer</t>
        </is>
      </c>
      <c r="D273" s="7" t="inlineStr">
        <is>
          <t>Central Receiving</t>
        </is>
      </c>
      <c r="E273" s="7" t="inlineStr">
        <is>
          <t>Return Carrier</t>
        </is>
      </c>
      <c r="F273" s="7" t="inlineStr">
        <is>
          <t>Carrier Network</t>
        </is>
      </c>
      <c r="G273" s="7" t="inlineStr">
        <is>
          <t>Transfer:TR-00087; Approval:APR-00087</t>
        </is>
      </c>
      <c r="H273" s="7" t="inlineStr">
        <is>
          <t>Confirmed Fact</t>
        </is>
      </c>
      <c r="I273" s="7" t="inlineStr">
        <is>
          <t>Transfer TR-00087 for MD-00087: posted 04/12/2026, inbound Apr 12, 2026, APR APR-00087.</t>
        </is>
      </c>
    </row>
    <row r="274">
      <c r="A274" s="7" t="inlineStr">
        <is>
          <t>MD-00087</t>
        </is>
      </c>
      <c r="B274" s="7" t="inlineStr">
        <is>
          <t>2026-05-04</t>
        </is>
      </c>
      <c r="C274" s="7" t="inlineStr">
        <is>
          <t>Offboarding Ticket</t>
        </is>
      </c>
      <c r="D274" s="7" t="inlineStr">
        <is>
          <t>E0075</t>
        </is>
      </c>
      <c r="E274" s="7" t="inlineStr">
        <is>
          <t>IT Service Desk</t>
        </is>
      </c>
      <c r="F274" s="7" t="inlineStr"/>
      <c r="G274" s="7" t="inlineStr">
        <is>
          <t>Ticket:OFF-00087; Status:Shipment Open</t>
        </is>
      </c>
      <c r="H274" s="7" t="inlineStr">
        <is>
          <t>Confirmed Fact</t>
        </is>
      </c>
      <c r="I274" s="7" t="inlineStr">
        <is>
          <t>Service desk OFF-00087: Shipment Open; return required Yes; due Jul 15, 2026. Ticket alone does not dock MD-00087.</t>
        </is>
      </c>
    </row>
    <row r="275">
      <c r="A275" s="7" t="inlineStr">
        <is>
          <t>MD-00087</t>
        </is>
      </c>
      <c r="B275" s="7" t="inlineStr">
        <is>
          <t>2026-05-04</t>
        </is>
      </c>
      <c r="C275" s="7" t="inlineStr">
        <is>
          <t>Technician Comment</t>
        </is>
      </c>
      <c r="D275" s="7" t="inlineStr">
        <is>
          <t>Service Desk</t>
        </is>
      </c>
      <c r="E275" s="7" t="inlineStr"/>
      <c r="F275" s="7" t="inlineStr"/>
      <c r="G275" s="7" t="inlineStr">
        <is>
          <t>Ticket:OFF-00087</t>
        </is>
      </c>
      <c r="H275" s="7" t="inlineStr">
        <is>
          <t>Technician Claim</t>
        </is>
      </c>
      <c r="I275" s="7" t="inlineStr">
        <is>
          <t>Batch with other Chicago exits. This one didn't make the pallet. Ref MD-00087.</t>
        </is>
      </c>
    </row>
    <row r="276">
      <c r="A276" s="7" t="inlineStr">
        <is>
          <t>MD-00087</t>
        </is>
      </c>
      <c r="B276" s="7" t="inlineStr">
        <is>
          <t>2026-06-25</t>
        </is>
      </c>
      <c r="C276" s="7" t="inlineStr">
        <is>
          <t>Return Label Created</t>
        </is>
      </c>
      <c r="D276" s="7" t="inlineStr">
        <is>
          <t>E0075</t>
        </is>
      </c>
      <c r="E276" s="7" t="inlineStr">
        <is>
          <t>Return Carrier</t>
        </is>
      </c>
      <c r="F276" s="7" t="inlineStr">
        <is>
          <t>Carrier Network</t>
        </is>
      </c>
      <c r="G276" s="7" t="inlineStr">
        <is>
          <t>Tracking:1ZMD00000087; Status:Delivered</t>
        </is>
      </c>
      <c r="H276" s="7" t="inlineStr">
        <is>
          <t>Confirmed Fact</t>
        </is>
      </c>
      <c r="I276" s="7" t="inlineStr">
        <is>
          <t>Prepaid label 1ZMD00000087 for MD-00087 — Label Created only; not a return clearance.</t>
        </is>
      </c>
    </row>
    <row r="277">
      <c r="A277" s="7" t="inlineStr">
        <is>
          <t>MD-00087</t>
        </is>
      </c>
      <c r="B277" s="7" t="inlineStr">
        <is>
          <t>2026-07-02</t>
        </is>
      </c>
      <c r="C277" s="7" t="inlineStr">
        <is>
          <t>Carrier Acceptance</t>
        </is>
      </c>
      <c r="D277" s="7" t="inlineStr">
        <is>
          <t>Shipper</t>
        </is>
      </c>
      <c r="E277" s="7" t="inlineStr">
        <is>
          <t>Carrier</t>
        </is>
      </c>
      <c r="F277" s="7" t="inlineStr">
        <is>
          <t>Carrier Network</t>
        </is>
      </c>
      <c r="G277" s="7" t="inlineStr">
        <is>
          <t>Tracking:1ZMD00000087</t>
        </is>
      </c>
      <c r="H277" s="7" t="inlineStr">
        <is>
          <t>Confirmed Fact</t>
        </is>
      </c>
      <c r="I277" s="7" t="inlineStr">
        <is>
          <t>Carrier acceptance recorded on 1ZMD00000087.</t>
        </is>
      </c>
    </row>
    <row r="278">
      <c r="A278" s="7" t="inlineStr">
        <is>
          <t>MD-00087</t>
        </is>
      </c>
      <c r="B278" s="7" t="inlineStr">
        <is>
          <t>2026-07-06</t>
        </is>
      </c>
      <c r="C278" s="7" t="inlineStr">
        <is>
          <t>Delivery</t>
        </is>
      </c>
      <c r="D278" s="7" t="inlineStr">
        <is>
          <t>Carrier</t>
        </is>
      </c>
      <c r="E278" s="7" t="inlineStr">
        <is>
          <t>Receiving</t>
        </is>
      </c>
      <c r="F278" s="7" t="inlineStr">
        <is>
          <t>Atlanta Warehouse</t>
        </is>
      </c>
      <c r="G278" s="7" t="inlineStr">
        <is>
          <t>Tracking:1ZMD00000087</t>
        </is>
      </c>
      <c r="H278" s="7" t="inlineStr">
        <is>
          <t>Confirmed Fact</t>
        </is>
      </c>
      <c r="I278" s="7" t="inlineStr">
        <is>
          <t>Delivery event on 1ZMD00000087; receiving scan still required for MD-00087.</t>
        </is>
      </c>
    </row>
    <row r="279">
      <c r="A279" s="7" t="inlineStr">
        <is>
          <t>MD-00087</t>
        </is>
      </c>
      <c r="B279" s="7" t="inlineStr">
        <is>
          <t>2026-07-07</t>
        </is>
      </c>
      <c r="C279" s="7" t="inlineStr">
        <is>
          <t>Receiving Scan</t>
        </is>
      </c>
      <c r="D279" s="7" t="inlineStr">
        <is>
          <t>Carrier</t>
        </is>
      </c>
      <c r="E279" s="7" t="inlineStr">
        <is>
          <t>IT Stock</t>
        </is>
      </c>
      <c r="F279" s="7" t="inlineStr">
        <is>
          <t>Atlanta Warehouse</t>
        </is>
      </c>
      <c r="G279" s="7" t="inlineStr">
        <is>
          <t>Tracking:1ZMD00000087</t>
        </is>
      </c>
      <c r="H279" s="7" t="inlineStr">
        <is>
          <t>Confirmed Fact</t>
        </is>
      </c>
      <c r="I279" s="7" t="inlineStr">
        <is>
          <t>Receiving scan posted for 1ZMD00000087 (MD-00087).</t>
        </is>
      </c>
    </row>
    <row r="280">
      <c r="A280" s="7" t="inlineStr">
        <is>
          <t>MD-00087</t>
        </is>
      </c>
      <c r="B280" s="7" t="inlineStr">
        <is>
          <t>2026-08-05</t>
        </is>
      </c>
      <c r="C280" s="7" t="inlineStr">
        <is>
          <t>Regional IT Note Lead</t>
        </is>
      </c>
      <c r="D280" s="7" t="inlineStr">
        <is>
          <t>Regional IT</t>
        </is>
      </c>
      <c r="E280" s="7" t="inlineStr"/>
      <c r="F280" s="7" t="inlineStr">
        <is>
          <t>Denver - Closed</t>
        </is>
      </c>
      <c r="G280" s="7" t="inlineStr">
        <is>
          <t>regional_IT_notes.docx</t>
        </is>
      </c>
      <c r="H280" s="7" t="inlineStr">
        <is>
          <t>Technician Claim</t>
        </is>
      </c>
      <c r="I280" s="7" t="inlineStr">
        <is>
          <t>regional_IT_notes.docx checked for MD-00087; no corroborated RN entry found.</t>
        </is>
      </c>
    </row>
    <row r="281">
      <c r="A281" s="7" t="inlineStr">
        <is>
          <t>MD-00087</t>
        </is>
      </c>
      <c r="B281" s="7" t="inlineStr">
        <is>
          <t>2026-08-09</t>
        </is>
      </c>
      <c r="C281" s="7" t="inlineStr">
        <is>
          <t>Policy Control Figure</t>
        </is>
      </c>
      <c r="D281" s="7" t="inlineStr">
        <is>
          <t>ITAM-001</t>
        </is>
      </c>
      <c r="E281" s="7" t="inlineStr"/>
      <c r="F281" s="7" t="inlineStr"/>
      <c r="G281" s="7" t="inlineStr">
        <is>
          <t>ITAM_control_matrix.png; IT_asset_management_policy.pdf</t>
        </is>
      </c>
      <c r="H281" s="7" t="inlineStr">
        <is>
          <t>Confirmed Fact</t>
        </is>
      </c>
      <c r="I281" s="7" t="inlineStr">
        <is>
          <t>Read IT_asset_management_policy.pdf §4–§9 with the matrix assignment line for MD-00087; cite chain row 281.</t>
        </is>
      </c>
    </row>
    <row r="282">
      <c r="A282" s="7" t="inlineStr">
        <is>
          <t>MD-00087</t>
        </is>
      </c>
      <c r="B282" s="7" t="inlineStr">
        <is>
          <t>2026-08-09</t>
        </is>
      </c>
      <c r="C282" s="7" t="inlineStr">
        <is>
          <t>Reconciliation Conclusion</t>
        </is>
      </c>
      <c r="D282" s="7" t="inlineStr">
        <is>
          <t>Evidence review</t>
        </is>
      </c>
      <c r="E282" s="7" t="inlineStr">
        <is>
          <t>IT Stock</t>
        </is>
      </c>
      <c r="F282" s="7" t="inlineStr">
        <is>
          <t>Atlanta Warehouse</t>
        </is>
      </c>
      <c r="G282" s="7" t="inlineStr">
        <is>
          <t>Tracking:1ZMD00000087; Ticket:OFF-00087; Transfer:TR-00087; ReceivingScan:2026-07-07; PO:PO-2022-0017; Ledger:FA-000087; PolicyFigure:ITAM_control_matrix.png</t>
        </is>
      </c>
      <c r="H282" s="7" t="inlineStr">
        <is>
          <t>Confirmed Fact</t>
        </is>
      </c>
      <c r="I282" s="7" t="inlineStr">
        <is>
          <t>Verified outcome MD-00087: Available / Atlanta Warehouse (High). EX-0100.</t>
        </is>
      </c>
    </row>
    <row r="283">
      <c r="A283" s="7" t="inlineStr">
        <is>
          <t>MD-00088</t>
        </is>
      </c>
      <c r="B283" s="7" t="inlineStr">
        <is>
          <t>2022-05-17</t>
        </is>
      </c>
      <c r="C283" s="7" t="inlineStr">
        <is>
          <t>Purchase</t>
        </is>
      </c>
      <c r="D283" s="7" t="inlineStr">
        <is>
          <t>Vendor</t>
        </is>
      </c>
      <c r="E283" s="7" t="inlineStr">
        <is>
          <t>Central Receiving</t>
        </is>
      </c>
      <c r="F283" s="7" t="inlineStr">
        <is>
          <t>Atlanta Warehouse</t>
        </is>
      </c>
      <c r="G283" s="7" t="inlineStr">
        <is>
          <t>PO:PO-2022-0017</t>
        </is>
      </c>
      <c r="H283" s="7" t="inlineStr">
        <is>
          <t>Confirmed Fact</t>
        </is>
      </c>
      <c r="I283" s="7" t="inlineStr">
        <is>
          <t>Acquisition MD-00088: Aruba 6300M, $6380, PO PO-2022-0017.</t>
        </is>
      </c>
    </row>
    <row r="284">
      <c r="A284" s="7" t="inlineStr">
        <is>
          <t>MD-00088</t>
        </is>
      </c>
      <c r="B284" s="7" t="inlineStr">
        <is>
          <t>2026-05-17</t>
        </is>
      </c>
      <c r="C284" s="7" t="inlineStr">
        <is>
          <t>Assignment/Transfer</t>
        </is>
      </c>
      <c r="D284" s="7" t="inlineStr">
        <is>
          <t>Central Receiving</t>
        </is>
      </c>
      <c r="E284" s="7" t="inlineStr">
        <is>
          <t>Return Carrier</t>
        </is>
      </c>
      <c r="F284" s="7" t="inlineStr">
        <is>
          <t>Carrier Network</t>
        </is>
      </c>
      <c r="G284" s="7" t="inlineStr">
        <is>
          <t>Transfer:TR-00088; Approval:APR-00088</t>
        </is>
      </c>
      <c r="H284" s="7" t="inlineStr">
        <is>
          <t>Confirmed Fact</t>
        </is>
      </c>
      <c r="I284" s="7" t="inlineStr">
        <is>
          <t>Transfer TR-00088 for MD-00088: posted 05/13/2026, inbound May 14, 2026, APR APR-00088.</t>
        </is>
      </c>
    </row>
    <row r="285">
      <c r="A285" s="7" t="inlineStr">
        <is>
          <t>MD-00088</t>
        </is>
      </c>
      <c r="B285" s="7" t="inlineStr">
        <is>
          <t>2026-06-05</t>
        </is>
      </c>
      <c r="C285" s="7" t="inlineStr">
        <is>
          <t>Offboarding Ticket</t>
        </is>
      </c>
      <c r="D285" s="7" t="inlineStr">
        <is>
          <t>E0076</t>
        </is>
      </c>
      <c r="E285" s="7" t="inlineStr">
        <is>
          <t>IT Service Desk</t>
        </is>
      </c>
      <c r="F285" s="7" t="inlineStr"/>
      <c r="G285" s="7" t="inlineStr">
        <is>
          <t>Ticket:OFF-00088; Status:Shipment Open</t>
        </is>
      </c>
      <c r="H285" s="7" t="inlineStr">
        <is>
          <t>Confirmed Fact</t>
        </is>
      </c>
      <c r="I285" s="7" t="inlineStr">
        <is>
          <t>Service desk OFF-00088: Shipment Open; return required Yes; due 2026-07-15. Ticket alone does not dock MD-00088.</t>
        </is>
      </c>
    </row>
    <row r="286">
      <c r="A286" s="7" t="inlineStr">
        <is>
          <t>MD-00088</t>
        </is>
      </c>
      <c r="B286" s="7" t="inlineStr">
        <is>
          <t>2026-06-05</t>
        </is>
      </c>
      <c r="C286" s="7" t="inlineStr">
        <is>
          <t>Technician Comment</t>
        </is>
      </c>
      <c r="D286" s="7" t="inlineStr">
        <is>
          <t>Service Desk</t>
        </is>
      </c>
      <c r="E286" s="7" t="inlineStr"/>
      <c r="F286" s="7" t="inlineStr"/>
      <c r="G286" s="7" t="inlineStr">
        <is>
          <t>Ticket:OFF-00088</t>
        </is>
      </c>
      <c r="H286" s="7" t="inlineStr">
        <is>
          <t>Technician Claim</t>
        </is>
      </c>
      <c r="I286" s="7" t="inlineStr">
        <is>
          <t>Initiated because status was still In Use after term. Ref MD-00088.</t>
        </is>
      </c>
    </row>
    <row r="287">
      <c r="A287" s="7" t="inlineStr">
        <is>
          <t>MD-00088</t>
        </is>
      </c>
      <c r="B287" s="7" t="inlineStr">
        <is>
          <t>2026-06-25</t>
        </is>
      </c>
      <c r="C287" s="7" t="inlineStr">
        <is>
          <t>Return Label Created</t>
        </is>
      </c>
      <c r="D287" s="7" t="inlineStr">
        <is>
          <t>E0076</t>
        </is>
      </c>
      <c r="E287" s="7" t="inlineStr">
        <is>
          <t>Return Carrier</t>
        </is>
      </c>
      <c r="F287" s="7" t="inlineStr">
        <is>
          <t>Carrier Network</t>
        </is>
      </c>
      <c r="G287" s="7" t="inlineStr">
        <is>
          <t>Tracking:1ZMD00000088; Status:Delivered</t>
        </is>
      </c>
      <c r="H287" s="7" t="inlineStr">
        <is>
          <t>Confirmed Fact</t>
        </is>
      </c>
      <c r="I287" s="7" t="inlineStr">
        <is>
          <t>Prepaid label 1ZMD00000088 for MD-00088 — Label Created only; not a return clearance.</t>
        </is>
      </c>
    </row>
    <row r="288">
      <c r="A288" s="7" t="inlineStr">
        <is>
          <t>MD-00088</t>
        </is>
      </c>
      <c r="B288" s="7" t="inlineStr">
        <is>
          <t>2026-07-02</t>
        </is>
      </c>
      <c r="C288" s="7" t="inlineStr">
        <is>
          <t>Carrier Acceptance</t>
        </is>
      </c>
      <c r="D288" s="7" t="inlineStr">
        <is>
          <t>Shipper</t>
        </is>
      </c>
      <c r="E288" s="7" t="inlineStr">
        <is>
          <t>Carrier</t>
        </is>
      </c>
      <c r="F288" s="7" t="inlineStr">
        <is>
          <t>Carrier Network</t>
        </is>
      </c>
      <c r="G288" s="7" t="inlineStr">
        <is>
          <t>Tracking:1ZMD00000088</t>
        </is>
      </c>
      <c r="H288" s="7" t="inlineStr">
        <is>
          <t>Confirmed Fact</t>
        </is>
      </c>
      <c r="I288" s="7" t="inlineStr">
        <is>
          <t>Carrier acceptance recorded on 1ZMD00000088.</t>
        </is>
      </c>
    </row>
    <row r="289">
      <c r="A289" s="7" t="inlineStr">
        <is>
          <t>MD-00088</t>
        </is>
      </c>
      <c r="B289" s="7" t="inlineStr">
        <is>
          <t>2026-07-06</t>
        </is>
      </c>
      <c r="C289" s="7" t="inlineStr">
        <is>
          <t>Delivery</t>
        </is>
      </c>
      <c r="D289" s="7" t="inlineStr">
        <is>
          <t>Carrier</t>
        </is>
      </c>
      <c r="E289" s="7" t="inlineStr">
        <is>
          <t>Receiving</t>
        </is>
      </c>
      <c r="F289" s="7" t="inlineStr">
        <is>
          <t>Atlanta Warehouse</t>
        </is>
      </c>
      <c r="G289" s="7" t="inlineStr">
        <is>
          <t>Tracking:1ZMD00000088</t>
        </is>
      </c>
      <c r="H289" s="7" t="inlineStr">
        <is>
          <t>Confirmed Fact</t>
        </is>
      </c>
      <c r="I289" s="7" t="inlineStr">
        <is>
          <t>Delivery event on 1ZMD00000088; receiving scan still required for MD-00088.</t>
        </is>
      </c>
    </row>
    <row r="290">
      <c r="A290" s="7" t="inlineStr">
        <is>
          <t>MD-00088</t>
        </is>
      </c>
      <c r="B290" s="7" t="inlineStr">
        <is>
          <t>2026-07-07</t>
        </is>
      </c>
      <c r="C290" s="7" t="inlineStr">
        <is>
          <t>Receiving Scan</t>
        </is>
      </c>
      <c r="D290" s="7" t="inlineStr">
        <is>
          <t>Carrier</t>
        </is>
      </c>
      <c r="E290" s="7" t="inlineStr">
        <is>
          <t>IT Stock</t>
        </is>
      </c>
      <c r="F290" s="7" t="inlineStr">
        <is>
          <t>Atlanta Warehouse</t>
        </is>
      </c>
      <c r="G290" s="7" t="inlineStr">
        <is>
          <t>Tracking:1ZMD00000088</t>
        </is>
      </c>
      <c r="H290" s="7" t="inlineStr">
        <is>
          <t>Confirmed Fact</t>
        </is>
      </c>
      <c r="I290" s="7" t="inlineStr">
        <is>
          <t>Receiving scan posted for 1ZMD00000088 (MD-00088).</t>
        </is>
      </c>
    </row>
    <row r="291">
      <c r="A291" s="7" t="inlineStr">
        <is>
          <t>MD-00088</t>
        </is>
      </c>
      <c r="B291" s="7" t="inlineStr">
        <is>
          <t>2026-08-05</t>
        </is>
      </c>
      <c r="C291" s="7" t="inlineStr">
        <is>
          <t>Regional IT Note Lead</t>
        </is>
      </c>
      <c r="D291" s="7" t="inlineStr">
        <is>
          <t>Regional IT</t>
        </is>
      </c>
      <c r="E291" s="7" t="inlineStr"/>
      <c r="F291" s="7" t="inlineStr">
        <is>
          <t>Chicago - Closed</t>
        </is>
      </c>
      <c r="G291" s="7" t="inlineStr">
        <is>
          <t>regional_IT_notes.docx</t>
        </is>
      </c>
      <c r="H291" s="7" t="inlineStr">
        <is>
          <t>Technician Claim</t>
        </is>
      </c>
      <c r="I291" s="7" t="inlineStr">
        <is>
          <t>regional_IT_notes.docx checked for MD-00088; no corroborated RN entry found.</t>
        </is>
      </c>
    </row>
    <row r="292">
      <c r="A292" s="7" t="inlineStr">
        <is>
          <t>MD-00088</t>
        </is>
      </c>
      <c r="B292" s="7" t="inlineStr">
        <is>
          <t>2026-08-09</t>
        </is>
      </c>
      <c r="C292" s="7" t="inlineStr">
        <is>
          <t>Policy Control Figure</t>
        </is>
      </c>
      <c r="D292" s="7" t="inlineStr">
        <is>
          <t>ITAM-001</t>
        </is>
      </c>
      <c r="E292" s="7" t="inlineStr"/>
      <c r="F292" s="7" t="inlineStr"/>
      <c r="G292" s="7" t="inlineStr">
        <is>
          <t>ITAM_control_matrix.png; IT_asset_management_policy.pdf</t>
        </is>
      </c>
      <c r="H292" s="7" t="inlineStr">
        <is>
          <t>Confirmed Fact</t>
        </is>
      </c>
      <c r="I292" s="7" t="inlineStr">
        <is>
          <t>Matrix disposal criteria applied to MD-00088; figure is reference, not inbound proof for chain row 292.</t>
        </is>
      </c>
    </row>
    <row r="293">
      <c r="A293" s="7" t="inlineStr">
        <is>
          <t>MD-00088</t>
        </is>
      </c>
      <c r="B293" s="7" t="inlineStr">
        <is>
          <t>2026-08-09</t>
        </is>
      </c>
      <c r="C293" s="7" t="inlineStr">
        <is>
          <t>Reconciliation Conclusion</t>
        </is>
      </c>
      <c r="D293" s="7" t="inlineStr">
        <is>
          <t>Evidence review</t>
        </is>
      </c>
      <c r="E293" s="7" t="inlineStr">
        <is>
          <t>IT Stock</t>
        </is>
      </c>
      <c r="F293" s="7" t="inlineStr">
        <is>
          <t>Atlanta Warehouse</t>
        </is>
      </c>
      <c r="G293" s="7" t="inlineStr">
        <is>
          <t>Tracking:1ZMD00000088; Ticket:OFF-00088; Transfer:TR-00088; ReceivingScan:2026-07-07; PO:PO-2022-0017; Ledger:FA-000088; PolicyFigure:ITAM_control_matrix.png</t>
        </is>
      </c>
      <c r="H293" s="7" t="inlineStr">
        <is>
          <t>Confirmed Fact</t>
        </is>
      </c>
      <c r="I293" s="7" t="inlineStr">
        <is>
          <t>After review, MD-00088 remains Available at Atlanta Warehouse; Medium. EX-0101, EX-0102.</t>
        </is>
      </c>
    </row>
    <row r="294">
      <c r="A294" s="7" t="inlineStr">
        <is>
          <t>MD-00089</t>
        </is>
      </c>
      <c r="B294" s="7" t="inlineStr">
        <is>
          <t>2023-06-18</t>
        </is>
      </c>
      <c r="C294" s="7" t="inlineStr">
        <is>
          <t>Purchase</t>
        </is>
      </c>
      <c r="D294" s="7" t="inlineStr">
        <is>
          <t>Vendor</t>
        </is>
      </c>
      <c r="E294" s="7" t="inlineStr">
        <is>
          <t>Central Receiving</t>
        </is>
      </c>
      <c r="F294" s="7" t="inlineStr">
        <is>
          <t>Atlanta Warehouse</t>
        </is>
      </c>
      <c r="G294" s="7" t="inlineStr">
        <is>
          <t>PO:PO-2022-0017</t>
        </is>
      </c>
      <c r="H294" s="7" t="inlineStr">
        <is>
          <t>Confirmed Fact</t>
        </is>
      </c>
      <c r="I294" s="7" t="inlineStr">
        <is>
          <t>PO PO-2022-0017 covers MD-00089 (Juniper EX3400) for $2075.</t>
        </is>
      </c>
    </row>
    <row r="295">
      <c r="A295" s="7" t="inlineStr">
        <is>
          <t>MD-00089</t>
        </is>
      </c>
      <c r="B295" s="7" t="inlineStr">
        <is>
          <t>2026-06-18</t>
        </is>
      </c>
      <c r="C295" s="7" t="inlineStr">
        <is>
          <t>Assignment/Transfer</t>
        </is>
      </c>
      <c r="D295" s="7" t="inlineStr">
        <is>
          <t>Central Receiving</t>
        </is>
      </c>
      <c r="E295" s="7" t="inlineStr">
        <is>
          <t>Unverified</t>
        </is>
      </c>
      <c r="F295" s="7" t="inlineStr">
        <is>
          <t>Unknown</t>
        </is>
      </c>
      <c r="G295" s="7" t="inlineStr">
        <is>
          <t>Transfer:TR-00089; Approval:APR-00089</t>
        </is>
      </c>
      <c r="H295" s="7" t="inlineStr">
        <is>
          <t>Confirmed Fact</t>
        </is>
      </c>
      <c r="I295" s="7" t="inlineStr">
        <is>
          <t>Transfer TR-00089 for MD-00089: posted 06/17/2026, inbound Jun 17, 2026, APR APR-00089.</t>
        </is>
      </c>
    </row>
    <row r="296">
      <c r="A296" s="7" t="inlineStr">
        <is>
          <t>MD-00089</t>
        </is>
      </c>
      <c r="B296" s="7" t="inlineStr">
        <is>
          <t>2026-05-06</t>
        </is>
      </c>
      <c r="C296" s="7" t="inlineStr">
        <is>
          <t>Offboarding Ticket</t>
        </is>
      </c>
      <c r="D296" s="7" t="inlineStr">
        <is>
          <t>E0077</t>
        </is>
      </c>
      <c r="E296" s="7" t="inlineStr">
        <is>
          <t>IT Service Desk</t>
        </is>
      </c>
      <c r="F296" s="7" t="inlineStr"/>
      <c r="G296" s="7" t="inlineStr">
        <is>
          <t>Ticket:OFF-00089; Status:Unresolved</t>
        </is>
      </c>
      <c r="H296" s="7" t="inlineStr">
        <is>
          <t>Confirmed Fact</t>
        </is>
      </c>
      <c r="I296" s="7" t="inlineStr">
        <is>
          <t>Service desk OFF-00089: Unresolved; return required Yes; due 07/15/2026. Ticket alone does not dock MD-00089.</t>
        </is>
      </c>
    </row>
    <row r="297">
      <c r="A297" s="7" t="inlineStr">
        <is>
          <t>MD-00089</t>
        </is>
      </c>
      <c r="B297" s="7" t="inlineStr">
        <is>
          <t>2026-05-06</t>
        </is>
      </c>
      <c r="C297" s="7" t="inlineStr">
        <is>
          <t>Technician Comment</t>
        </is>
      </c>
      <c r="D297" s="7" t="inlineStr">
        <is>
          <t>Service Desk</t>
        </is>
      </c>
      <c r="E297" s="7" t="inlineStr"/>
      <c r="F297" s="7" t="inlineStr"/>
      <c r="G297" s="7" t="inlineStr">
        <is>
          <t>Ticket:OFF-00089</t>
        </is>
      </c>
      <c r="H297" s="7" t="inlineStr">
        <is>
          <t>Technician Claim</t>
        </is>
      </c>
      <c r="I297" s="7" t="inlineStr">
        <is>
          <t>Ex-employee says the laptop stayed in Denver after the lock-up. Ref MD-00089.</t>
        </is>
      </c>
    </row>
    <row r="298">
      <c r="A298" s="7" t="inlineStr">
        <is>
          <t>MD-00089</t>
        </is>
      </c>
      <c r="B298" s="7" t="inlineStr">
        <is>
          <t>2026-08-05</t>
        </is>
      </c>
      <c r="C298" s="7" t="inlineStr">
        <is>
          <t>Regional IT Note Lead</t>
        </is>
      </c>
      <c r="D298" s="7" t="inlineStr">
        <is>
          <t>Regional IT</t>
        </is>
      </c>
      <c r="E298" s="7" t="inlineStr"/>
      <c r="F298" s="7" t="inlineStr">
        <is>
          <t>Denver - Closed</t>
        </is>
      </c>
      <c r="G298" s="7" t="inlineStr">
        <is>
          <t>regional_IT_notes.docx</t>
        </is>
      </c>
      <c r="H298" s="7" t="inlineStr">
        <is>
          <t>Technician Claim</t>
        </is>
      </c>
      <c r="I298" s="7" t="inlineStr">
        <is>
          <t>regional_IT_notes.docx checked for MD-00089; no corroborated RN entry found.</t>
        </is>
      </c>
    </row>
    <row r="299">
      <c r="A299" s="7" t="inlineStr">
        <is>
          <t>MD-00089</t>
        </is>
      </c>
      <c r="B299" s="7" t="inlineStr">
        <is>
          <t>2026-08-09</t>
        </is>
      </c>
      <c r="C299" s="7" t="inlineStr">
        <is>
          <t>Policy Control Figure</t>
        </is>
      </c>
      <c r="D299" s="7" t="inlineStr">
        <is>
          <t>ITAM-001</t>
        </is>
      </c>
      <c r="E299" s="7" t="inlineStr"/>
      <c r="F299" s="7" t="inlineStr"/>
      <c r="G299" s="7" t="inlineStr">
        <is>
          <t>ITAM_control_matrix.png; IT_asset_management_policy.pdf</t>
        </is>
      </c>
      <c r="H299" s="7" t="inlineStr">
        <is>
          <t>Confirmed Fact</t>
        </is>
      </c>
      <c r="I299" s="7" t="inlineStr">
        <is>
          <t>Matrix transfer criteria applied to MD-00089; figure is reference, not inbound proof for chain row 299.</t>
        </is>
      </c>
    </row>
    <row r="300">
      <c r="A300" s="7" t="inlineStr">
        <is>
          <t>MD-00089</t>
        </is>
      </c>
      <c r="B300" s="7" t="inlineStr">
        <is>
          <t>2026-08-09</t>
        </is>
      </c>
      <c r="C300" s="7" t="inlineStr">
        <is>
          <t>Unresolved Assumption</t>
        </is>
      </c>
      <c r="D300" s="7" t="inlineStr"/>
      <c r="E300" s="7" t="inlineStr"/>
      <c r="F300" s="7" t="inlineStr"/>
      <c r="G300" s="7" t="inlineStr">
        <is>
          <t>Reconciliation</t>
        </is>
      </c>
      <c r="H300" s="7" t="inlineStr">
        <is>
          <t>Unresolved Assumption</t>
        </is>
      </c>
      <c r="I300" s="7" t="inlineStr">
        <is>
          <t>No dock scan, disposal certificate, or count currently places MD-00089; assumption left open.</t>
        </is>
      </c>
    </row>
    <row r="301">
      <c r="A301" s="7" t="inlineStr">
        <is>
          <t>MD-00089</t>
        </is>
      </c>
      <c r="B301" s="7" t="inlineStr">
        <is>
          <t>2026-08-09</t>
        </is>
      </c>
      <c r="C301" s="7" t="inlineStr">
        <is>
          <t>Reconciliation Conclusion</t>
        </is>
      </c>
      <c r="D301" s="7" t="inlineStr">
        <is>
          <t>Evidence review</t>
        </is>
      </c>
      <c r="E301" s="7" t="inlineStr">
        <is>
          <t>E0077</t>
        </is>
      </c>
      <c r="F301" s="7" t="inlineStr">
        <is>
          <t>Unknown</t>
        </is>
      </c>
      <c r="G301" s="7" t="inlineStr">
        <is>
          <t>Ticket:OFF-00089; Transfer:TR-00089; LastRegisterLocation:Denver - Closed; TechnicianClaim:see custody chain; PO:PO-2022-0017; Ledger:FA-000089; PolicyFigure:ITAM_control_matrix.png</t>
        </is>
      </c>
      <c r="H301" s="7" t="inlineStr">
        <is>
          <t>Unresolved Assumption</t>
        </is>
      </c>
      <c r="I301" s="7" t="inlineStr">
        <is>
          <t>Chain ends with MD-00089 as Missing in Unknown; confidence Low. EX-0103, EX-0104.</t>
        </is>
      </c>
    </row>
    <row r="302">
      <c r="A302" s="7" t="inlineStr">
        <is>
          <t>MD-00090</t>
        </is>
      </c>
      <c r="B302" s="7" t="inlineStr">
        <is>
          <t>2024-07-19</t>
        </is>
      </c>
      <c r="C302" s="7" t="inlineStr">
        <is>
          <t>Purchase</t>
        </is>
      </c>
      <c r="D302" s="7" t="inlineStr">
        <is>
          <t>Vendor</t>
        </is>
      </c>
      <c r="E302" s="7" t="inlineStr">
        <is>
          <t>Central Receiving</t>
        </is>
      </c>
      <c r="F302" s="7" t="inlineStr">
        <is>
          <t>Atlanta Warehouse</t>
        </is>
      </c>
      <c r="G302" s="7" t="inlineStr">
        <is>
          <t>PO:PO-2023-0018</t>
        </is>
      </c>
      <c r="H302" s="7" t="inlineStr">
        <is>
          <t>Confirmed Fact</t>
        </is>
      </c>
      <c r="I302" s="7" t="inlineStr">
        <is>
          <t>Acquisition MD-00090: Fortinet FortiSwitch 148F, $790, PO PO-2023-0018.</t>
        </is>
      </c>
    </row>
    <row r="303">
      <c r="A303" s="7" t="inlineStr">
        <is>
          <t>MD-00090</t>
        </is>
      </c>
      <c r="B303" s="7" t="inlineStr">
        <is>
          <t>2026-01-19</t>
        </is>
      </c>
      <c r="C303" s="7" t="inlineStr">
        <is>
          <t>Assignment/Transfer</t>
        </is>
      </c>
      <c r="D303" s="7" t="inlineStr">
        <is>
          <t>Central Receiving</t>
        </is>
      </c>
      <c r="E303" s="7" t="inlineStr">
        <is>
          <t>Unverified</t>
        </is>
      </c>
      <c r="F303" s="7" t="inlineStr">
        <is>
          <t>Unknown</t>
        </is>
      </c>
      <c r="G303" s="7" t="inlineStr">
        <is>
          <t>Transfer:TR-00090; Approval:APR-00090</t>
        </is>
      </c>
      <c r="H303" s="7" t="inlineStr">
        <is>
          <t>Confirmed Fact</t>
        </is>
      </c>
      <c r="I303" s="7" t="inlineStr">
        <is>
          <t>Transfer TR-00090 for MD-00090: posted 01/22/2026, inbound Jan 28, 2026, APR APR-00090.</t>
        </is>
      </c>
    </row>
    <row r="304">
      <c r="A304" s="7" t="inlineStr">
        <is>
          <t>MD-00090</t>
        </is>
      </c>
      <c r="B304" s="7" t="inlineStr">
        <is>
          <t>2026-06-07</t>
        </is>
      </c>
      <c r="C304" s="7" t="inlineStr">
        <is>
          <t>Offboarding Ticket</t>
        </is>
      </c>
      <c r="D304" s="7" t="inlineStr">
        <is>
          <t>E0078</t>
        </is>
      </c>
      <c r="E304" s="7" t="inlineStr">
        <is>
          <t>IT Service Desk</t>
        </is>
      </c>
      <c r="F304" s="7" t="inlineStr"/>
      <c r="G304" s="7" t="inlineStr">
        <is>
          <t>Ticket:OFF-00090; Status:Unresolved</t>
        </is>
      </c>
      <c r="H304" s="7" t="inlineStr">
        <is>
          <t>Confirmed Fact</t>
        </is>
      </c>
      <c r="I304" s="7" t="inlineStr">
        <is>
          <t>Service desk OFF-00090: Unresolved; return required Yes; due Jul 15, 2026. Ticket alone does not dock MD-00090.</t>
        </is>
      </c>
    </row>
    <row r="305">
      <c r="A305" s="7" t="inlineStr">
        <is>
          <t>MD-00090</t>
        </is>
      </c>
      <c r="B305" s="7" t="inlineStr">
        <is>
          <t>2026-06-07</t>
        </is>
      </c>
      <c r="C305" s="7" t="inlineStr">
        <is>
          <t>Technician Comment</t>
        </is>
      </c>
      <c r="D305" s="7" t="inlineStr">
        <is>
          <t>Service Desk</t>
        </is>
      </c>
      <c r="E305" s="7" t="inlineStr"/>
      <c r="F305" s="7" t="inlineStr"/>
      <c r="G305" s="7" t="inlineStr">
        <is>
          <t>Ticket:OFF-00090</t>
        </is>
      </c>
      <c r="H305" s="7" t="inlineStr">
        <is>
          <t>Technician Claim</t>
        </is>
      </c>
      <c r="I305" s="7" t="inlineStr">
        <is>
          <t>Caller thought Chicago surplus had it; no tagged count. Ref MD-00090.</t>
        </is>
      </c>
    </row>
    <row r="306">
      <c r="A306" s="7" t="inlineStr">
        <is>
          <t>MD-00090</t>
        </is>
      </c>
      <c r="B306" s="7" t="inlineStr">
        <is>
          <t>2026-08-05</t>
        </is>
      </c>
      <c r="C306" s="7" t="inlineStr">
        <is>
          <t>Regional IT Note Lead</t>
        </is>
      </c>
      <c r="D306" s="7" t="inlineStr">
        <is>
          <t>Regional IT</t>
        </is>
      </c>
      <c r="E306" s="7" t="inlineStr"/>
      <c r="F306" s="7" t="inlineStr">
        <is>
          <t>Chicago - Closed</t>
        </is>
      </c>
      <c r="G306" s="7" t="inlineStr">
        <is>
          <t>regional_IT_notes.docx</t>
        </is>
      </c>
      <c r="H306" s="7" t="inlineStr">
        <is>
          <t>Technician Claim</t>
        </is>
      </c>
      <c r="I306" s="7" t="inlineStr">
        <is>
          <t>regional_IT_notes.docx checked for MD-00090; no corroborated RN entry found.</t>
        </is>
      </c>
    </row>
    <row r="307">
      <c r="A307" s="7" t="inlineStr">
        <is>
          <t>MD-00090</t>
        </is>
      </c>
      <c r="B307" s="7" t="inlineStr">
        <is>
          <t>2026-08-09</t>
        </is>
      </c>
      <c r="C307" s="7" t="inlineStr">
        <is>
          <t>Policy Control Figure</t>
        </is>
      </c>
      <c r="D307" s="7" t="inlineStr">
        <is>
          <t>ITAM-001</t>
        </is>
      </c>
      <c r="E307" s="7" t="inlineStr"/>
      <c r="F307" s="7" t="inlineStr"/>
      <c r="G307" s="7" t="inlineStr">
        <is>
          <t>ITAM_control_matrix.png; IT_asset_management_policy.pdf</t>
        </is>
      </c>
      <c r="H307" s="7" t="inlineStr">
        <is>
          <t>Confirmed Fact</t>
        </is>
      </c>
      <c r="I307" s="7" t="inlineStr">
        <is>
          <t>Read IT_asset_management_policy.pdf §4–§9 with the matrix disposal line for MD-00090; cite chain row 307.</t>
        </is>
      </c>
    </row>
    <row r="308">
      <c r="A308" s="7" t="inlineStr">
        <is>
          <t>MD-00090</t>
        </is>
      </c>
      <c r="B308" s="7" t="inlineStr">
        <is>
          <t>2026-08-09</t>
        </is>
      </c>
      <c r="C308" s="7" t="inlineStr">
        <is>
          <t>Unresolved Assumption</t>
        </is>
      </c>
      <c r="D308" s="7" t="inlineStr"/>
      <c r="E308" s="7" t="inlineStr"/>
      <c r="F308" s="7" t="inlineStr"/>
      <c r="G308" s="7" t="inlineStr">
        <is>
          <t>Reconciliation</t>
        </is>
      </c>
      <c r="H308" s="7" t="inlineStr">
        <is>
          <t>Unresolved Assumption</t>
        </is>
      </c>
      <c r="I308" s="7" t="inlineStr">
        <is>
          <t>No dock scan, disposal certificate, or count currently places MD-00090; assumption left open.</t>
        </is>
      </c>
    </row>
    <row r="309">
      <c r="A309" s="7" t="inlineStr">
        <is>
          <t>MD-00090</t>
        </is>
      </c>
      <c r="B309" s="7" t="inlineStr">
        <is>
          <t>2026-08-09</t>
        </is>
      </c>
      <c r="C309" s="7" t="inlineStr">
        <is>
          <t>Reconciliation Conclusion</t>
        </is>
      </c>
      <c r="D309" s="7" t="inlineStr">
        <is>
          <t>Evidence review</t>
        </is>
      </c>
      <c r="E309" s="7" t="inlineStr">
        <is>
          <t>E0078</t>
        </is>
      </c>
      <c r="F309" s="7" t="inlineStr">
        <is>
          <t>Unknown</t>
        </is>
      </c>
      <c r="G309" s="7" t="inlineStr">
        <is>
          <t>Ticket:OFF-00090; Transfer:TR-00090; LastRegisterLocation:Chicago - Closed; TechnicianClaim:see custody chain; PO:PO-2023-0018; Ledger:FA-000090; PolicyFigure:ITAM_control_matrix.png</t>
        </is>
      </c>
      <c r="H309" s="7" t="inlineStr">
        <is>
          <t>Unresolved Assumption</t>
        </is>
      </c>
      <c r="I309" s="7" t="inlineStr">
        <is>
          <t>After review, MD-00090 remains Missing at Unknown; Low. EX-0105, EX-0106.</t>
        </is>
      </c>
    </row>
    <row r="310">
      <c r="A310" s="7" t="inlineStr">
        <is>
          <t>MD-00091</t>
        </is>
      </c>
      <c r="B310" s="7" t="inlineStr">
        <is>
          <t>2025-08-20</t>
        </is>
      </c>
      <c r="C310" s="7" t="inlineStr">
        <is>
          <t>Purchase</t>
        </is>
      </c>
      <c r="D310" s="7" t="inlineStr">
        <is>
          <t>Vendor</t>
        </is>
      </c>
      <c r="E310" s="7" t="inlineStr">
        <is>
          <t>Central Receiving</t>
        </is>
      </c>
      <c r="F310" s="7" t="inlineStr">
        <is>
          <t>Atlanta Warehouse</t>
        </is>
      </c>
      <c r="G310" s="7" t="inlineStr">
        <is>
          <t>PO:PO-2023-0018</t>
        </is>
      </c>
      <c r="H310" s="7" t="inlineStr">
        <is>
          <t>Confirmed Fact</t>
        </is>
      </c>
      <c r="I310" s="7" t="inlineStr">
        <is>
          <t>Acquisition MD-00091: Cisco C9300, $950, PO PO-2023-0018.</t>
        </is>
      </c>
    </row>
    <row r="311">
      <c r="A311" s="7" t="inlineStr">
        <is>
          <t>MD-00091</t>
        </is>
      </c>
      <c r="B311" s="7" t="inlineStr">
        <is>
          <t>2026-02-20</t>
        </is>
      </c>
      <c r="C311" s="7" t="inlineStr">
        <is>
          <t>Assignment/Transfer</t>
        </is>
      </c>
      <c r="D311" s="7" t="inlineStr">
        <is>
          <t>Central Receiving</t>
        </is>
      </c>
      <c r="E311" s="7" t="inlineStr">
        <is>
          <t>Unverified</t>
        </is>
      </c>
      <c r="F311" s="7" t="inlineStr">
        <is>
          <t>Unknown</t>
        </is>
      </c>
      <c r="G311" s="7" t="inlineStr">
        <is>
          <t>Transfer:TR-00091; Approval:APR-00091</t>
        </is>
      </c>
      <c r="H311" s="7" t="inlineStr">
        <is>
          <t>Confirmed Fact</t>
        </is>
      </c>
      <c r="I311" s="7" t="inlineStr">
        <is>
          <t>Transfer TR-00091 for MD-00091: posted 02/23/2026, inbound Feb 24, 2026, APR APR-00091.</t>
        </is>
      </c>
    </row>
    <row r="312">
      <c r="A312" s="7" t="inlineStr">
        <is>
          <t>MD-00091</t>
        </is>
      </c>
      <c r="B312" s="7" t="inlineStr">
        <is>
          <t>2026-05-08</t>
        </is>
      </c>
      <c r="C312" s="7" t="inlineStr">
        <is>
          <t>Offboarding Ticket</t>
        </is>
      </c>
      <c r="D312" s="7" t="inlineStr">
        <is>
          <t>E0079</t>
        </is>
      </c>
      <c r="E312" s="7" t="inlineStr">
        <is>
          <t>IT Service Desk</t>
        </is>
      </c>
      <c r="F312" s="7" t="inlineStr"/>
      <c r="G312" s="7" t="inlineStr">
        <is>
          <t>Ticket:OFF-00091; Status:Unresolved</t>
        </is>
      </c>
      <c r="H312" s="7" t="inlineStr">
        <is>
          <t>Confirmed Fact</t>
        </is>
      </c>
      <c r="I312" s="7" t="inlineStr">
        <is>
          <t>Service desk OFF-00091: Unresolved; return required Yes; due 2026-07-15. Ticket alone does not dock MD-00091.</t>
        </is>
      </c>
    </row>
    <row r="313">
      <c r="A313" s="7" t="inlineStr">
        <is>
          <t>MD-00091</t>
        </is>
      </c>
      <c r="B313" s="7" t="inlineStr">
        <is>
          <t>2026-05-08</t>
        </is>
      </c>
      <c r="C313" s="7" t="inlineStr">
        <is>
          <t>Technician Comment</t>
        </is>
      </c>
      <c r="D313" s="7" t="inlineStr">
        <is>
          <t>Service Desk</t>
        </is>
      </c>
      <c r="E313" s="7" t="inlineStr"/>
      <c r="F313" s="7" t="inlineStr"/>
      <c r="G313" s="7" t="inlineStr">
        <is>
          <t>Ticket:OFF-00091</t>
        </is>
      </c>
      <c r="H313" s="7" t="inlineStr">
        <is>
          <t>Technician Claim</t>
        </is>
      </c>
      <c r="I313" s="7" t="inlineStr">
        <is>
          <t>Last badge swipe was the closed floor. Device not in the return pile. Ref MD-00091.</t>
        </is>
      </c>
    </row>
    <row r="314">
      <c r="A314" s="7" t="inlineStr">
        <is>
          <t>MD-00091</t>
        </is>
      </c>
      <c r="B314" s="7" t="inlineStr">
        <is>
          <t>2026-08-05</t>
        </is>
      </c>
      <c r="C314" s="7" t="inlineStr">
        <is>
          <t>Regional IT Note Lead</t>
        </is>
      </c>
      <c r="D314" s="7" t="inlineStr">
        <is>
          <t>Regional IT</t>
        </is>
      </c>
      <c r="E314" s="7" t="inlineStr"/>
      <c r="F314" s="7" t="inlineStr">
        <is>
          <t>Denver - Closed</t>
        </is>
      </c>
      <c r="G314" s="7" t="inlineStr">
        <is>
          <t>regional_IT_notes.docx</t>
        </is>
      </c>
      <c r="H314" s="7" t="inlineStr">
        <is>
          <t>Technician Claim</t>
        </is>
      </c>
      <c r="I314" s="7" t="inlineStr">
        <is>
          <t>regional_IT_notes.docx checked for MD-00091; no corroborated RN entry found.</t>
        </is>
      </c>
    </row>
    <row r="315">
      <c r="A315" s="7" t="inlineStr">
        <is>
          <t>MD-00091</t>
        </is>
      </c>
      <c r="B315" s="7" t="inlineStr">
        <is>
          <t>2026-08-09</t>
        </is>
      </c>
      <c r="C315" s="7" t="inlineStr">
        <is>
          <t>Policy Control Figure</t>
        </is>
      </c>
      <c r="D315" s="7" t="inlineStr">
        <is>
          <t>ITAM-001</t>
        </is>
      </c>
      <c r="E315" s="7" t="inlineStr"/>
      <c r="F315" s="7" t="inlineStr"/>
      <c r="G315" s="7" t="inlineStr">
        <is>
          <t>ITAM_control_matrix.png; IT_asset_management_policy.pdf</t>
        </is>
      </c>
      <c r="H315" s="7" t="inlineStr">
        <is>
          <t>Confirmed Fact</t>
        </is>
      </c>
      <c r="I315" s="7" t="inlineStr">
        <is>
          <t>Policy figure sets disposal evidence expectations for MD-00091; chain row 315 remains the audit trail.</t>
        </is>
      </c>
    </row>
    <row r="316">
      <c r="A316" s="7" t="inlineStr">
        <is>
          <t>MD-00091</t>
        </is>
      </c>
      <c r="B316" s="7" t="inlineStr">
        <is>
          <t>2026-08-09</t>
        </is>
      </c>
      <c r="C316" s="7" t="inlineStr">
        <is>
          <t>Unresolved Assumption</t>
        </is>
      </c>
      <c r="D316" s="7" t="inlineStr"/>
      <c r="E316" s="7" t="inlineStr"/>
      <c r="F316" s="7" t="inlineStr"/>
      <c r="G316" s="7" t="inlineStr">
        <is>
          <t>Reconciliation</t>
        </is>
      </c>
      <c r="H316" s="7" t="inlineStr">
        <is>
          <t>Unresolved Assumption</t>
        </is>
      </c>
      <c r="I316" s="7" t="inlineStr">
        <is>
          <t>No dock scan, disposal certificate, or count currently places MD-00091; assumption left open.</t>
        </is>
      </c>
    </row>
    <row r="317">
      <c r="A317" s="7" t="inlineStr">
        <is>
          <t>MD-00091</t>
        </is>
      </c>
      <c r="B317" s="7" t="inlineStr">
        <is>
          <t>2026-08-09</t>
        </is>
      </c>
      <c r="C317" s="7" t="inlineStr">
        <is>
          <t>Reconciliation Conclusion</t>
        </is>
      </c>
      <c r="D317" s="7" t="inlineStr">
        <is>
          <t>Evidence review</t>
        </is>
      </c>
      <c r="E317" s="7" t="inlineStr">
        <is>
          <t>E0079</t>
        </is>
      </c>
      <c r="F317" s="7" t="inlineStr">
        <is>
          <t>Unknown</t>
        </is>
      </c>
      <c r="G317" s="7" t="inlineStr">
        <is>
          <t>Ticket:OFF-00091; Transfer:TR-00091; LastRegisterLocation:Denver - Closed; TechnicianClaim:see custody chain; PO:PO-2023-0018; Ledger:FA-000091; PolicyFigure:ITAM_control_matrix.png</t>
        </is>
      </c>
      <c r="H317" s="7" t="inlineStr">
        <is>
          <t>Unresolved Assumption</t>
        </is>
      </c>
      <c r="I317" s="7" t="inlineStr">
        <is>
          <t>Verified outcome MD-00091: Missing / Unknown (Low). EX-0107, EX-0108.</t>
        </is>
      </c>
    </row>
    <row r="318">
      <c r="A318" s="7" t="inlineStr">
        <is>
          <t>MD-00092</t>
        </is>
      </c>
      <c r="B318" s="7" t="inlineStr">
        <is>
          <t>2022-09-21</t>
        </is>
      </c>
      <c r="C318" s="7" t="inlineStr">
        <is>
          <t>Purchase</t>
        </is>
      </c>
      <c r="D318" s="7" t="inlineStr">
        <is>
          <t>Vendor</t>
        </is>
      </c>
      <c r="E318" s="7" t="inlineStr">
        <is>
          <t>Central Receiving</t>
        </is>
      </c>
      <c r="F318" s="7" t="inlineStr">
        <is>
          <t>Atlanta Warehouse</t>
        </is>
      </c>
      <c r="G318" s="7" t="inlineStr">
        <is>
          <t>PO:PO-2023-0018</t>
        </is>
      </c>
      <c r="H318" s="7" t="inlineStr">
        <is>
          <t>Confirmed Fact</t>
        </is>
      </c>
      <c r="I318" s="7" t="inlineStr">
        <is>
          <t>PO PO-2023-0018 covers MD-00092 (Aruba 6300M) for $6245.</t>
        </is>
      </c>
    </row>
    <row r="319">
      <c r="A319" s="7" t="inlineStr">
        <is>
          <t>MD-00092</t>
        </is>
      </c>
      <c r="B319" s="7" t="inlineStr">
        <is>
          <t>2026-03-21</t>
        </is>
      </c>
      <c r="C319" s="7" t="inlineStr">
        <is>
          <t>Assignment/Transfer</t>
        </is>
      </c>
      <c r="D319" s="7" t="inlineStr">
        <is>
          <t>Central Receiving</t>
        </is>
      </c>
      <c r="E319" s="7" t="inlineStr">
        <is>
          <t>Unverified</t>
        </is>
      </c>
      <c r="F319" s="7" t="inlineStr">
        <is>
          <t>Unknown</t>
        </is>
      </c>
      <c r="G319" s="7" t="inlineStr">
        <is>
          <t>Transfer:TR-00092; Approval:APR-00092</t>
        </is>
      </c>
      <c r="H319" s="7" t="inlineStr">
        <is>
          <t>Confirmed Fact</t>
        </is>
      </c>
      <c r="I319" s="7" t="inlineStr">
        <is>
          <t>Transfer TR-00092 for MD-00092: posted 03/28/2026, inbound Mar 28, 2026, APR APR-00092.</t>
        </is>
      </c>
    </row>
    <row r="320">
      <c r="A320" s="7" t="inlineStr">
        <is>
          <t>MD-00092</t>
        </is>
      </c>
      <c r="B320" s="7" t="inlineStr">
        <is>
          <t>2026-06-09</t>
        </is>
      </c>
      <c r="C320" s="7" t="inlineStr">
        <is>
          <t>Offboarding Ticket</t>
        </is>
      </c>
      <c r="D320" s="7" t="inlineStr">
        <is>
          <t>E0080</t>
        </is>
      </c>
      <c r="E320" s="7" t="inlineStr">
        <is>
          <t>IT Service Desk</t>
        </is>
      </c>
      <c r="F320" s="7" t="inlineStr"/>
      <c r="G320" s="7" t="inlineStr">
        <is>
          <t>Ticket:OFF-00092; Status:Unresolved</t>
        </is>
      </c>
      <c r="H320" s="7" t="inlineStr">
        <is>
          <t>Confirmed Fact</t>
        </is>
      </c>
      <c r="I320" s="7" t="inlineStr">
        <is>
          <t>Service desk OFF-00092: Unresolved; return required Yes; due 07/15/2026. Ticket alone does not dock MD-00092.</t>
        </is>
      </c>
    </row>
    <row r="321">
      <c r="A321" s="7" t="inlineStr">
        <is>
          <t>MD-00092</t>
        </is>
      </c>
      <c r="B321" s="7" t="inlineStr">
        <is>
          <t>2026-06-09</t>
        </is>
      </c>
      <c r="C321" s="7" t="inlineStr">
        <is>
          <t>Technician Comment</t>
        </is>
      </c>
      <c r="D321" s="7" t="inlineStr">
        <is>
          <t>Service Desk</t>
        </is>
      </c>
      <c r="E321" s="7" t="inlineStr"/>
      <c r="F321" s="7" t="inlineStr"/>
      <c r="G321" s="7" t="inlineStr">
        <is>
          <t>Ticket:OFF-00092</t>
        </is>
      </c>
      <c r="H321" s="7" t="inlineStr">
        <is>
          <t>Technician Claim</t>
        </is>
      </c>
      <c r="I321" s="7" t="inlineStr">
        <is>
          <t>Reported left in a conference room that's since been stripped. Ref MD-00092.</t>
        </is>
      </c>
    </row>
    <row r="322">
      <c r="A322" s="7" t="inlineStr">
        <is>
          <t>MD-00092</t>
        </is>
      </c>
      <c r="B322" s="7" t="inlineStr">
        <is>
          <t>2026-08-05</t>
        </is>
      </c>
      <c r="C322" s="7" t="inlineStr">
        <is>
          <t>Regional IT Note Lead</t>
        </is>
      </c>
      <c r="D322" s="7" t="inlineStr">
        <is>
          <t>Regional IT</t>
        </is>
      </c>
      <c r="E322" s="7" t="inlineStr"/>
      <c r="F322" s="7" t="inlineStr">
        <is>
          <t>Chicago - Closed</t>
        </is>
      </c>
      <c r="G322" s="7" t="inlineStr">
        <is>
          <t>regional_IT_notes.docx</t>
        </is>
      </c>
      <c r="H322" s="7" t="inlineStr">
        <is>
          <t>Technician Claim</t>
        </is>
      </c>
      <c r="I322" s="7" t="inlineStr">
        <is>
          <t>regional_IT_notes.docx checked for MD-00092; no corroborated RN entry found.</t>
        </is>
      </c>
    </row>
    <row r="323">
      <c r="A323" s="7" t="inlineStr">
        <is>
          <t>MD-00092</t>
        </is>
      </c>
      <c r="B323" s="7" t="inlineStr">
        <is>
          <t>2026-08-09</t>
        </is>
      </c>
      <c r="C323" s="7" t="inlineStr">
        <is>
          <t>Policy Control Figure</t>
        </is>
      </c>
      <c r="D323" s="7" t="inlineStr">
        <is>
          <t>ITAM-001</t>
        </is>
      </c>
      <c r="E323" s="7" t="inlineStr"/>
      <c r="F323" s="7" t="inlineStr"/>
      <c r="G323" s="7" t="inlineStr">
        <is>
          <t>ITAM_control_matrix.png; IT_asset_management_policy.pdf</t>
        </is>
      </c>
      <c r="H323" s="7" t="inlineStr">
        <is>
          <t>Confirmed Fact</t>
        </is>
      </c>
      <c r="I323" s="7" t="inlineStr">
        <is>
          <t>ITAM_control_matrix.png Appendix A disposal row consulted while tracing MD-00092; transactional proof stays with chain row 323.</t>
        </is>
      </c>
    </row>
    <row r="324">
      <c r="A324" s="7" t="inlineStr">
        <is>
          <t>MD-00092</t>
        </is>
      </c>
      <c r="B324" s="7" t="inlineStr">
        <is>
          <t>2026-08-09</t>
        </is>
      </c>
      <c r="C324" s="7" t="inlineStr">
        <is>
          <t>Unresolved Assumption</t>
        </is>
      </c>
      <c r="D324" s="7" t="inlineStr"/>
      <c r="E324" s="7" t="inlineStr"/>
      <c r="F324" s="7" t="inlineStr"/>
      <c r="G324" s="7" t="inlineStr">
        <is>
          <t>Reconciliation</t>
        </is>
      </c>
      <c r="H324" s="7" t="inlineStr">
        <is>
          <t>Unresolved Assumption</t>
        </is>
      </c>
      <c r="I324" s="7" t="inlineStr">
        <is>
          <t>No dock scan, disposal certificate, or count currently places MD-00092; assumption left open.</t>
        </is>
      </c>
    </row>
    <row r="325">
      <c r="A325" s="7" t="inlineStr">
        <is>
          <t>MD-00092</t>
        </is>
      </c>
      <c r="B325" s="7" t="inlineStr">
        <is>
          <t>2026-08-09</t>
        </is>
      </c>
      <c r="C325" s="7" t="inlineStr">
        <is>
          <t>Reconciliation Conclusion</t>
        </is>
      </c>
      <c r="D325" s="7" t="inlineStr">
        <is>
          <t>Evidence review</t>
        </is>
      </c>
      <c r="E325" s="7" t="inlineStr">
        <is>
          <t>E0080</t>
        </is>
      </c>
      <c r="F325" s="7" t="inlineStr">
        <is>
          <t>Unknown</t>
        </is>
      </c>
      <c r="G325" s="7" t="inlineStr">
        <is>
          <t>Ticket:OFF-00092; Transfer:TR-00092; LastRegisterLocation:Chicago - Closed; TechnicianClaim:see custody chain; PO:PO-2023-0018; Ledger:FA-000092; PolicyFigure:ITAM_control_matrix.png</t>
        </is>
      </c>
      <c r="H325" s="7" t="inlineStr">
        <is>
          <t>Unresolved Assumption</t>
        </is>
      </c>
      <c r="I325" s="7" t="inlineStr">
        <is>
          <t>Final status on MD-00092 — Missing, site Unknown, Low. EX-0109, EX-0110, EX-0111.</t>
        </is>
      </c>
    </row>
    <row r="326">
      <c r="A326" s="7" t="inlineStr">
        <is>
          <t>MD-00093</t>
        </is>
      </c>
      <c r="B326" s="7" t="inlineStr">
        <is>
          <t>2023-10-22</t>
        </is>
      </c>
      <c r="C326" s="7" t="inlineStr">
        <is>
          <t>Purchase</t>
        </is>
      </c>
      <c r="D326" s="7" t="inlineStr">
        <is>
          <t>Vendor</t>
        </is>
      </c>
      <c r="E326" s="7" t="inlineStr">
        <is>
          <t>Central Receiving</t>
        </is>
      </c>
      <c r="F326" s="7" t="inlineStr">
        <is>
          <t>Atlanta Warehouse</t>
        </is>
      </c>
      <c r="G326" s="7" t="inlineStr">
        <is>
          <t>PO:PO-2023-0018</t>
        </is>
      </c>
      <c r="H326" s="7" t="inlineStr">
        <is>
          <t>Confirmed Fact</t>
        </is>
      </c>
      <c r="I326" s="7" t="inlineStr">
        <is>
          <t>Acquisition MD-00093: Juniper EX3400, $1940, PO PO-2023-0018.</t>
        </is>
      </c>
    </row>
    <row r="327">
      <c r="A327" s="7" t="inlineStr">
        <is>
          <t>MD-00093</t>
        </is>
      </c>
      <c r="B327" s="7" t="inlineStr">
        <is>
          <t>2026-04-22</t>
        </is>
      </c>
      <c r="C327" s="7" t="inlineStr">
        <is>
          <t>Assignment/Transfer</t>
        </is>
      </c>
      <c r="D327" s="7" t="inlineStr">
        <is>
          <t>Central Receiving</t>
        </is>
      </c>
      <c r="E327" s="7" t="inlineStr">
        <is>
          <t>Unverified</t>
        </is>
      </c>
      <c r="F327" s="7" t="inlineStr">
        <is>
          <t>Unknown</t>
        </is>
      </c>
      <c r="G327" s="7" t="inlineStr">
        <is>
          <t>Transfer:TR-00093; Approval:APR-00093</t>
        </is>
      </c>
      <c r="H327" s="7" t="inlineStr">
        <is>
          <t>Confirmed Fact</t>
        </is>
      </c>
      <c r="I327" s="7" t="inlineStr">
        <is>
          <t>Transfer TR-00093 for MD-00093: posted 05/02/2026, inbound May 06, 2026, APR APR-00093.</t>
        </is>
      </c>
    </row>
    <row r="328">
      <c r="A328" s="7" t="inlineStr">
        <is>
          <t>MD-00093</t>
        </is>
      </c>
      <c r="B328" s="7" t="inlineStr">
        <is>
          <t>2026-05-10</t>
        </is>
      </c>
      <c r="C328" s="7" t="inlineStr">
        <is>
          <t>Offboarding Ticket</t>
        </is>
      </c>
      <c r="D328" s="7" t="inlineStr">
        <is>
          <t>E0081</t>
        </is>
      </c>
      <c r="E328" s="7" t="inlineStr">
        <is>
          <t>IT Service Desk</t>
        </is>
      </c>
      <c r="F328" s="7" t="inlineStr"/>
      <c r="G328" s="7" t="inlineStr">
        <is>
          <t>Ticket:OFF-00093; Status:Unresolved</t>
        </is>
      </c>
      <c r="H328" s="7" t="inlineStr">
        <is>
          <t>Confirmed Fact</t>
        </is>
      </c>
      <c r="I328" s="7" t="inlineStr">
        <is>
          <t>Service desk OFF-00093: Unresolved; return required Yes; due Jul 15, 2026. Ticket alone does not dock MD-00093.</t>
        </is>
      </c>
    </row>
    <row r="329">
      <c r="A329" s="7" t="inlineStr">
        <is>
          <t>MD-00093</t>
        </is>
      </c>
      <c r="B329" s="7" t="inlineStr">
        <is>
          <t>2026-05-10</t>
        </is>
      </c>
      <c r="C329" s="7" t="inlineStr">
        <is>
          <t>Technician Comment</t>
        </is>
      </c>
      <c r="D329" s="7" t="inlineStr">
        <is>
          <t>Service Desk</t>
        </is>
      </c>
      <c r="E329" s="7" t="inlineStr"/>
      <c r="F329" s="7" t="inlineStr"/>
      <c r="G329" s="7" t="inlineStr">
        <is>
          <t>Ticket:OFF-00093</t>
        </is>
      </c>
      <c r="H329" s="7" t="inlineStr">
        <is>
          <t>Technician Claim</t>
        </is>
      </c>
      <c r="I329" s="7" t="inlineStr">
        <is>
          <t>They mailed a note: hardware stayed with furniture. Furniture BOL has no IT. Ref MD-00093.</t>
        </is>
      </c>
    </row>
    <row r="330">
      <c r="A330" s="7" t="inlineStr">
        <is>
          <t>MD-00093</t>
        </is>
      </c>
      <c r="B330" s="7" t="inlineStr">
        <is>
          <t>2026-08-05</t>
        </is>
      </c>
      <c r="C330" s="7" t="inlineStr">
        <is>
          <t>Regional IT Note Lead</t>
        </is>
      </c>
      <c r="D330" s="7" t="inlineStr">
        <is>
          <t>Regional IT</t>
        </is>
      </c>
      <c r="E330" s="7" t="inlineStr"/>
      <c r="F330" s="7" t="inlineStr">
        <is>
          <t>Denver - Closed</t>
        </is>
      </c>
      <c r="G330" s="7" t="inlineStr">
        <is>
          <t>regional_IT_notes.docx</t>
        </is>
      </c>
      <c r="H330" s="7" t="inlineStr">
        <is>
          <t>Technician Claim</t>
        </is>
      </c>
      <c r="I330" s="7" t="inlineStr">
        <is>
          <t>regional_IT_notes.docx checked for MD-00093; no corroborated RN entry found.</t>
        </is>
      </c>
    </row>
    <row r="331">
      <c r="A331" s="7" t="inlineStr">
        <is>
          <t>MD-00093</t>
        </is>
      </c>
      <c r="B331" s="7" t="inlineStr">
        <is>
          <t>2026-08-09</t>
        </is>
      </c>
      <c r="C331" s="7" t="inlineStr">
        <is>
          <t>Policy Control Figure</t>
        </is>
      </c>
      <c r="D331" s="7" t="inlineStr">
        <is>
          <t>ITAM-001</t>
        </is>
      </c>
      <c r="E331" s="7" t="inlineStr"/>
      <c r="F331" s="7" t="inlineStr"/>
      <c r="G331" s="7" t="inlineStr">
        <is>
          <t>ITAM_control_matrix.png; IT_asset_management_policy.pdf</t>
        </is>
      </c>
      <c r="H331" s="7" t="inlineStr">
        <is>
          <t>Confirmed Fact</t>
        </is>
      </c>
      <c r="I331" s="7" t="inlineStr">
        <is>
          <t>Read IT_asset_management_policy.pdf §4–§9 with the matrix disposal line for MD-00093; cite chain row 331.</t>
        </is>
      </c>
    </row>
    <row r="332">
      <c r="A332" s="7" t="inlineStr">
        <is>
          <t>MD-00093</t>
        </is>
      </c>
      <c r="B332" s="7" t="inlineStr">
        <is>
          <t>2026-08-09</t>
        </is>
      </c>
      <c r="C332" s="7" t="inlineStr">
        <is>
          <t>Unresolved Assumption</t>
        </is>
      </c>
      <c r="D332" s="7" t="inlineStr"/>
      <c r="E332" s="7" t="inlineStr"/>
      <c r="F332" s="7" t="inlineStr"/>
      <c r="G332" s="7" t="inlineStr">
        <is>
          <t>Reconciliation</t>
        </is>
      </c>
      <c r="H332" s="7" t="inlineStr">
        <is>
          <t>Unresolved Assumption</t>
        </is>
      </c>
      <c r="I332" s="7" t="inlineStr">
        <is>
          <t>No dock scan, disposal certificate, or count currently places MD-00093; assumption left open.</t>
        </is>
      </c>
    </row>
    <row r="333">
      <c r="A333" s="7" t="inlineStr">
        <is>
          <t>MD-00093</t>
        </is>
      </c>
      <c r="B333" s="7" t="inlineStr">
        <is>
          <t>2026-08-09</t>
        </is>
      </c>
      <c r="C333" s="7" t="inlineStr">
        <is>
          <t>Reconciliation Conclusion</t>
        </is>
      </c>
      <c r="D333" s="7" t="inlineStr">
        <is>
          <t>Evidence review</t>
        </is>
      </c>
      <c r="E333" s="7" t="inlineStr">
        <is>
          <t>E0081</t>
        </is>
      </c>
      <c r="F333" s="7" t="inlineStr">
        <is>
          <t>Unknown</t>
        </is>
      </c>
      <c r="G333" s="7" t="inlineStr">
        <is>
          <t>Ticket:OFF-00093; Transfer:TR-00093; LastRegisterLocation:Denver - Closed; TechnicianClaim:see custody chain; PO:PO-2023-0018; Ledger:FA-000093; PolicyFigure:ITAM_control_matrix.png</t>
        </is>
      </c>
      <c r="H333" s="7" t="inlineStr">
        <is>
          <t>Unresolved Assumption</t>
        </is>
      </c>
      <c r="I333" s="7" t="inlineStr">
        <is>
          <t>Verified outcome MD-00093: Missing / Unknown (Low). EX-0112, EX-0113.</t>
        </is>
      </c>
    </row>
    <row r="334">
      <c r="A334" s="7" t="inlineStr">
        <is>
          <t>MD-00094</t>
        </is>
      </c>
      <c r="B334" s="7" t="inlineStr">
        <is>
          <t>2024-11-23</t>
        </is>
      </c>
      <c r="C334" s="7" t="inlineStr">
        <is>
          <t>Purchase</t>
        </is>
      </c>
      <c r="D334" s="7" t="inlineStr">
        <is>
          <t>Vendor</t>
        </is>
      </c>
      <c r="E334" s="7" t="inlineStr">
        <is>
          <t>Central Receiving</t>
        </is>
      </c>
      <c r="F334" s="7" t="inlineStr">
        <is>
          <t>Atlanta Warehouse</t>
        </is>
      </c>
      <c r="G334" s="7" t="inlineStr">
        <is>
          <t>PO:PO-2023-0018</t>
        </is>
      </c>
      <c r="H334" s="7" t="inlineStr">
        <is>
          <t>Confirmed Fact</t>
        </is>
      </c>
      <c r="I334" s="7" t="inlineStr">
        <is>
          <t>Vendor shipment for MD-00094 (Cisco Meraki MS250) recorded at $655 on PO-2023-0018.</t>
        </is>
      </c>
    </row>
    <row r="335">
      <c r="A335" s="7" t="inlineStr">
        <is>
          <t>MD-00094</t>
        </is>
      </c>
      <c r="B335" s="7" t="inlineStr">
        <is>
          <t>2026-05-23</t>
        </is>
      </c>
      <c r="C335" s="7" t="inlineStr">
        <is>
          <t>Assignment/Transfer</t>
        </is>
      </c>
      <c r="D335" s="7" t="inlineStr">
        <is>
          <t>Central Receiving</t>
        </is>
      </c>
      <c r="E335" s="7" t="inlineStr">
        <is>
          <t>Unverified</t>
        </is>
      </c>
      <c r="F335" s="7" t="inlineStr">
        <is>
          <t>Unknown</t>
        </is>
      </c>
      <c r="G335" s="7" t="inlineStr">
        <is>
          <t>Transfer:TR-00094; Approval:APR-00094</t>
        </is>
      </c>
      <c r="H335" s="7" t="inlineStr">
        <is>
          <t>Confirmed Fact</t>
        </is>
      </c>
      <c r="I335" s="7" t="inlineStr">
        <is>
          <t>Transfer TR-00094 for MD-00094: posted 06/03/2026, inbound Jun 04, 2026, APR APR-00094.</t>
        </is>
      </c>
    </row>
    <row r="336">
      <c r="A336" s="7" t="inlineStr">
        <is>
          <t>MD-00094</t>
        </is>
      </c>
      <c r="B336" s="7" t="inlineStr">
        <is>
          <t>2026-06-11</t>
        </is>
      </c>
      <c r="C336" s="7" t="inlineStr">
        <is>
          <t>Offboarding Ticket</t>
        </is>
      </c>
      <c r="D336" s="7" t="inlineStr">
        <is>
          <t>E0082</t>
        </is>
      </c>
      <c r="E336" s="7" t="inlineStr">
        <is>
          <t>IT Service Desk</t>
        </is>
      </c>
      <c r="F336" s="7" t="inlineStr"/>
      <c r="G336" s="7" t="inlineStr">
        <is>
          <t>Ticket:OFF-00094; Status:Unresolved</t>
        </is>
      </c>
      <c r="H336" s="7" t="inlineStr">
        <is>
          <t>Confirmed Fact</t>
        </is>
      </c>
      <c r="I336" s="7" t="inlineStr">
        <is>
          <t>Service desk OFF-00094: Unresolved; return required Yes; due 2026-07-15. Ticket alone does not dock MD-00094.</t>
        </is>
      </c>
    </row>
    <row r="337">
      <c r="A337" s="7" t="inlineStr">
        <is>
          <t>MD-00094</t>
        </is>
      </c>
      <c r="B337" s="7" t="inlineStr">
        <is>
          <t>2026-06-11</t>
        </is>
      </c>
      <c r="C337" s="7" t="inlineStr">
        <is>
          <t>Technician Comment</t>
        </is>
      </c>
      <c r="D337" s="7" t="inlineStr">
        <is>
          <t>Service Desk</t>
        </is>
      </c>
      <c r="E337" s="7" t="inlineStr"/>
      <c r="F337" s="7" t="inlineStr"/>
      <c r="G337" s="7" t="inlineStr">
        <is>
          <t>Ticket:OFF-00094</t>
        </is>
      </c>
      <c r="H337" s="7" t="inlineStr">
        <is>
          <t>Technician Claim</t>
        </is>
      </c>
      <c r="I337" s="7" t="inlineStr">
        <is>
          <t>Couldn't locate during Gemba. Treat as missing until we get a scan. Ref MD-00094.</t>
        </is>
      </c>
    </row>
    <row r="338">
      <c r="A338" s="7" t="inlineStr">
        <is>
          <t>MD-00094</t>
        </is>
      </c>
      <c r="B338" s="7" t="inlineStr">
        <is>
          <t>2026-08-05</t>
        </is>
      </c>
      <c r="C338" s="7" t="inlineStr">
        <is>
          <t>Regional IT Note Lead</t>
        </is>
      </c>
      <c r="D338" s="7" t="inlineStr">
        <is>
          <t>Regional IT</t>
        </is>
      </c>
      <c r="E338" s="7" t="inlineStr"/>
      <c r="F338" s="7" t="inlineStr">
        <is>
          <t>Chicago - Closed</t>
        </is>
      </c>
      <c r="G338" s="7" t="inlineStr">
        <is>
          <t>regional_IT_notes.docx</t>
        </is>
      </c>
      <c r="H338" s="7" t="inlineStr">
        <is>
          <t>Technician Claim</t>
        </is>
      </c>
      <c r="I338" s="7" t="inlineStr">
        <is>
          <t>regional_IT_notes.docx checked for MD-00094; no corroborated RN entry found.</t>
        </is>
      </c>
    </row>
    <row r="339">
      <c r="A339" s="7" t="inlineStr">
        <is>
          <t>MD-00094</t>
        </is>
      </c>
      <c r="B339" s="7" t="inlineStr">
        <is>
          <t>2026-08-09</t>
        </is>
      </c>
      <c r="C339" s="7" t="inlineStr">
        <is>
          <t>Policy Control Figure</t>
        </is>
      </c>
      <c r="D339" s="7" t="inlineStr">
        <is>
          <t>ITAM-001</t>
        </is>
      </c>
      <c r="E339" s="7" t="inlineStr"/>
      <c r="F339" s="7" t="inlineStr"/>
      <c r="G339" s="7" t="inlineStr">
        <is>
          <t>ITAM_control_matrix.png; IT_asset_management_policy.pdf</t>
        </is>
      </c>
      <c r="H339" s="7" t="inlineStr">
        <is>
          <t>Confirmed Fact</t>
        </is>
      </c>
      <c r="I339" s="7" t="inlineStr">
        <is>
          <t>ITAM_control_matrix.png Appendix A return row consulted while tracing MD-00094; transactional proof stays with chain row 339.</t>
        </is>
      </c>
    </row>
    <row r="340">
      <c r="A340" s="7" t="inlineStr">
        <is>
          <t>MD-00094</t>
        </is>
      </c>
      <c r="B340" s="7" t="inlineStr">
        <is>
          <t>2026-08-09</t>
        </is>
      </c>
      <c r="C340" s="7" t="inlineStr">
        <is>
          <t>Unresolved Assumption</t>
        </is>
      </c>
      <c r="D340" s="7" t="inlineStr"/>
      <c r="E340" s="7" t="inlineStr"/>
      <c r="F340" s="7" t="inlineStr"/>
      <c r="G340" s="7" t="inlineStr">
        <is>
          <t>Reconciliation</t>
        </is>
      </c>
      <c r="H340" s="7" t="inlineStr">
        <is>
          <t>Unresolved Assumption</t>
        </is>
      </c>
      <c r="I340" s="7" t="inlineStr">
        <is>
          <t>No dock scan, disposal certificate, or count currently places MD-00094; assumption left open.</t>
        </is>
      </c>
    </row>
    <row r="341">
      <c r="A341" s="7" t="inlineStr">
        <is>
          <t>MD-00094</t>
        </is>
      </c>
      <c r="B341" s="7" t="inlineStr">
        <is>
          <t>2026-08-09</t>
        </is>
      </c>
      <c r="C341" s="7" t="inlineStr">
        <is>
          <t>Reconciliation Conclusion</t>
        </is>
      </c>
      <c r="D341" s="7" t="inlineStr">
        <is>
          <t>Evidence review</t>
        </is>
      </c>
      <c r="E341" s="7" t="inlineStr">
        <is>
          <t>E0082</t>
        </is>
      </c>
      <c r="F341" s="7" t="inlineStr">
        <is>
          <t>Unknown</t>
        </is>
      </c>
      <c r="G341" s="7" t="inlineStr">
        <is>
          <t>Ticket:OFF-00094; Transfer:TR-00094; LastRegisterLocation:Chicago - Closed; TechnicianClaim:see custody chain; PO:PO-2023-0018; Ledger:FA-000094; PolicyFigure:ITAM_control_matrix.png</t>
        </is>
      </c>
      <c r="H341" s="7" t="inlineStr">
        <is>
          <t>Unresolved Assumption</t>
        </is>
      </c>
      <c r="I341" s="7" t="inlineStr">
        <is>
          <t>Verified outcome MD-00094: Missing / Unknown (Low). EX-0114, EX-0115.</t>
        </is>
      </c>
    </row>
    <row r="342">
      <c r="A342" s="7" t="inlineStr">
        <is>
          <t>MD-00095</t>
        </is>
      </c>
      <c r="B342" s="7" t="inlineStr">
        <is>
          <t>2025-12-24</t>
        </is>
      </c>
      <c r="C342" s="7" t="inlineStr">
        <is>
          <t>Purchase</t>
        </is>
      </c>
      <c r="D342" s="7" t="inlineStr">
        <is>
          <t>Vendor</t>
        </is>
      </c>
      <c r="E342" s="7" t="inlineStr">
        <is>
          <t>Central Receiving</t>
        </is>
      </c>
      <c r="F342" s="7" t="inlineStr">
        <is>
          <t>Atlanta Warehouse</t>
        </is>
      </c>
      <c r="G342" s="7" t="inlineStr">
        <is>
          <t>PO:PO-2023-0018</t>
        </is>
      </c>
      <c r="H342" s="7" t="inlineStr">
        <is>
          <t>Confirmed Fact</t>
        </is>
      </c>
      <c r="I342" s="7" t="inlineStr">
        <is>
          <t>PO PO-2023-0018 covers MD-00095 (Fortinet FortiSwitch 148F) for $1130.</t>
        </is>
      </c>
    </row>
    <row r="343">
      <c r="A343" s="7" t="inlineStr">
        <is>
          <t>MD-00095</t>
        </is>
      </c>
      <c r="B343" s="7" t="inlineStr">
        <is>
          <t>2026-06-24</t>
        </is>
      </c>
      <c r="C343" s="7" t="inlineStr">
        <is>
          <t>Assignment/Transfer</t>
        </is>
      </c>
      <c r="D343" s="7" t="inlineStr">
        <is>
          <t>Central Receiving</t>
        </is>
      </c>
      <c r="E343" s="7" t="inlineStr">
        <is>
          <t>Unverified</t>
        </is>
      </c>
      <c r="F343" s="7" t="inlineStr">
        <is>
          <t>Unknown</t>
        </is>
      </c>
      <c r="G343" s="7" t="inlineStr">
        <is>
          <t>Transfer:TR-00095; Approval:APR-00095</t>
        </is>
      </c>
      <c r="H343" s="7" t="inlineStr">
        <is>
          <t>Confirmed Fact</t>
        </is>
      </c>
      <c r="I343" s="7" t="inlineStr">
        <is>
          <t>Transfer TR-00095 for MD-00095: posted 07/08/2026, inbound Jul 08, 2026, APR APR-00095.</t>
        </is>
      </c>
    </row>
    <row r="344">
      <c r="A344" s="7" t="inlineStr">
        <is>
          <t>MD-00095</t>
        </is>
      </c>
      <c r="B344" s="7" t="inlineStr">
        <is>
          <t>2026-05-12</t>
        </is>
      </c>
      <c r="C344" s="7" t="inlineStr">
        <is>
          <t>Offboarding Ticket</t>
        </is>
      </c>
      <c r="D344" s="7" t="inlineStr">
        <is>
          <t>E0083</t>
        </is>
      </c>
      <c r="E344" s="7" t="inlineStr">
        <is>
          <t>IT Service Desk</t>
        </is>
      </c>
      <c r="F344" s="7" t="inlineStr"/>
      <c r="G344" s="7" t="inlineStr">
        <is>
          <t>Ticket:OFF-00095; Status:Unresolved</t>
        </is>
      </c>
      <c r="H344" s="7" t="inlineStr">
        <is>
          <t>Confirmed Fact</t>
        </is>
      </c>
      <c r="I344" s="7" t="inlineStr">
        <is>
          <t>Service desk OFF-00095: Unresolved; return required Yes; due 07/15/2026. Ticket alone does not dock MD-00095.</t>
        </is>
      </c>
    </row>
    <row r="345">
      <c r="A345" s="7" t="inlineStr">
        <is>
          <t>MD-00095</t>
        </is>
      </c>
      <c r="B345" s="7" t="inlineStr">
        <is>
          <t>2026-05-12</t>
        </is>
      </c>
      <c r="C345" s="7" t="inlineStr">
        <is>
          <t>Technician Comment</t>
        </is>
      </c>
      <c r="D345" s="7" t="inlineStr">
        <is>
          <t>Service Desk</t>
        </is>
      </c>
      <c r="E345" s="7" t="inlineStr"/>
      <c r="F345" s="7" t="inlineStr"/>
      <c r="G345" s="7" t="inlineStr">
        <is>
          <t>Ticket:OFF-00095</t>
        </is>
      </c>
      <c r="H345" s="7" t="inlineStr">
        <is>
          <t>Technician Claim</t>
        </is>
      </c>
      <c r="I345" s="7" t="inlineStr">
        <is>
          <t>Claims security held it. Security book doesn't list the tag. Ref MD-00095.</t>
        </is>
      </c>
    </row>
    <row r="346">
      <c r="A346" s="7" t="inlineStr">
        <is>
          <t>MD-00095</t>
        </is>
      </c>
      <c r="B346" s="7" t="inlineStr">
        <is>
          <t>2026-08-05</t>
        </is>
      </c>
      <c r="C346" s="7" t="inlineStr">
        <is>
          <t>Regional IT Note Lead</t>
        </is>
      </c>
      <c r="D346" s="7" t="inlineStr">
        <is>
          <t>Regional IT</t>
        </is>
      </c>
      <c r="E346" s="7" t="inlineStr"/>
      <c r="F346" s="7" t="inlineStr">
        <is>
          <t>Denver - Closed</t>
        </is>
      </c>
      <c r="G346" s="7" t="inlineStr">
        <is>
          <t>regional_IT_notes.docx</t>
        </is>
      </c>
      <c r="H346" s="7" t="inlineStr">
        <is>
          <t>Technician Claim</t>
        </is>
      </c>
      <c r="I346" s="7" t="inlineStr">
        <is>
          <t>regional_IT_notes.docx checked for MD-00095; no corroborated RN entry found.</t>
        </is>
      </c>
    </row>
    <row r="347">
      <c r="A347" s="7" t="inlineStr">
        <is>
          <t>MD-00095</t>
        </is>
      </c>
      <c r="B347" s="7" t="inlineStr">
        <is>
          <t>2026-08-09</t>
        </is>
      </c>
      <c r="C347" s="7" t="inlineStr">
        <is>
          <t>Policy Control Figure</t>
        </is>
      </c>
      <c r="D347" s="7" t="inlineStr">
        <is>
          <t>ITAM-001</t>
        </is>
      </c>
      <c r="E347" s="7" t="inlineStr"/>
      <c r="F347" s="7" t="inlineStr"/>
      <c r="G347" s="7" t="inlineStr">
        <is>
          <t>ITAM_control_matrix.png; IT_asset_management_policy.pdf</t>
        </is>
      </c>
      <c r="H347" s="7" t="inlineStr">
        <is>
          <t>Confirmed Fact</t>
        </is>
      </c>
      <c r="I347" s="7" t="inlineStr">
        <is>
          <t>Matrix return criteria applied to MD-00095; figure is reference, not inbound proof for chain row 347.</t>
        </is>
      </c>
    </row>
    <row r="348">
      <c r="A348" s="7" t="inlineStr">
        <is>
          <t>MD-00095</t>
        </is>
      </c>
      <c r="B348" s="7" t="inlineStr">
        <is>
          <t>2026-08-09</t>
        </is>
      </c>
      <c r="C348" s="7" t="inlineStr">
        <is>
          <t>Unresolved Assumption</t>
        </is>
      </c>
      <c r="D348" s="7" t="inlineStr"/>
      <c r="E348" s="7" t="inlineStr"/>
      <c r="F348" s="7" t="inlineStr"/>
      <c r="G348" s="7" t="inlineStr">
        <is>
          <t>Reconciliation</t>
        </is>
      </c>
      <c r="H348" s="7" t="inlineStr">
        <is>
          <t>Unresolved Assumption</t>
        </is>
      </c>
      <c r="I348" s="7" t="inlineStr">
        <is>
          <t>No dock scan, disposal certificate, or count currently places MD-00095; assumption left open.</t>
        </is>
      </c>
    </row>
    <row r="349">
      <c r="A349" s="7" t="inlineStr">
        <is>
          <t>MD-00095</t>
        </is>
      </c>
      <c r="B349" s="7" t="inlineStr">
        <is>
          <t>2026-08-09</t>
        </is>
      </c>
      <c r="C349" s="7" t="inlineStr">
        <is>
          <t>Reconciliation Conclusion</t>
        </is>
      </c>
      <c r="D349" s="7" t="inlineStr">
        <is>
          <t>Evidence review</t>
        </is>
      </c>
      <c r="E349" s="7" t="inlineStr">
        <is>
          <t>E0083</t>
        </is>
      </c>
      <c r="F349" s="7" t="inlineStr">
        <is>
          <t>Unknown</t>
        </is>
      </c>
      <c r="G349" s="7" t="inlineStr">
        <is>
          <t>Ticket:OFF-00095; Transfer:TR-00095; LastRegisterLocation:Denver - Closed; TechnicianClaim:see custody chain; PO:PO-2023-0018; Ledger:FA-000095; PolicyFigure:ITAM_control_matrix.png</t>
        </is>
      </c>
      <c r="H349" s="7" t="inlineStr">
        <is>
          <t>Unresolved Assumption</t>
        </is>
      </c>
      <c r="I349" s="7" t="inlineStr">
        <is>
          <t>Chain ends with MD-00095 as Missing in Unknown; confidence Low. EX-0116, EX-0117.</t>
        </is>
      </c>
    </row>
    <row r="350">
      <c r="A350" s="7" t="inlineStr">
        <is>
          <t>MD-00096</t>
        </is>
      </c>
      <c r="B350" s="7" t="inlineStr">
        <is>
          <t>2022-01-01</t>
        </is>
      </c>
      <c r="C350" s="7" t="inlineStr">
        <is>
          <t>Purchase</t>
        </is>
      </c>
      <c r="D350" s="7" t="inlineStr">
        <is>
          <t>Vendor</t>
        </is>
      </c>
      <c r="E350" s="7" t="inlineStr">
        <is>
          <t>Central Receiving</t>
        </is>
      </c>
      <c r="F350" s="7" t="inlineStr">
        <is>
          <t>Atlanta Warehouse</t>
        </is>
      </c>
      <c r="G350" s="7" t="inlineStr">
        <is>
          <t>PO:PO-2023-0018</t>
        </is>
      </c>
      <c r="H350" s="7" t="inlineStr">
        <is>
          <t>Confirmed Fact</t>
        </is>
      </c>
      <c r="I350" s="7" t="inlineStr">
        <is>
          <t>PO PO-2023-0018 covers MD-00096 (Cisco C9300) for $6425.</t>
        </is>
      </c>
    </row>
    <row r="351">
      <c r="A351" s="7" t="inlineStr">
        <is>
          <t>MD-00096</t>
        </is>
      </c>
      <c r="B351" s="7" t="inlineStr">
        <is>
          <t>2026-01-01</t>
        </is>
      </c>
      <c r="C351" s="7" t="inlineStr">
        <is>
          <t>Assignment/Transfer</t>
        </is>
      </c>
      <c r="D351" s="7" t="inlineStr">
        <is>
          <t>Central Receiving</t>
        </is>
      </c>
      <c r="E351" s="7" t="inlineStr">
        <is>
          <t>Unverified</t>
        </is>
      </c>
      <c r="F351" s="7" t="inlineStr">
        <is>
          <t>Unknown</t>
        </is>
      </c>
      <c r="G351" s="7" t="inlineStr">
        <is>
          <t>Transfer:TR-00096; Approval:APR-00096</t>
        </is>
      </c>
      <c r="H351" s="7" t="inlineStr">
        <is>
          <t>Confirmed Fact</t>
        </is>
      </c>
      <c r="I351" s="7" t="inlineStr">
        <is>
          <t>Transfer TR-00096 for MD-00096: posted 01/18/2026, inbound Jan 19, 2026, APR APR-00096.</t>
        </is>
      </c>
    </row>
    <row r="352">
      <c r="A352" s="7" t="inlineStr">
        <is>
          <t>MD-00096</t>
        </is>
      </c>
      <c r="B352" s="7" t="inlineStr">
        <is>
          <t>2026-06-13</t>
        </is>
      </c>
      <c r="C352" s="7" t="inlineStr">
        <is>
          <t>Offboarding Ticket</t>
        </is>
      </c>
      <c r="D352" s="7" t="inlineStr">
        <is>
          <t>E0084</t>
        </is>
      </c>
      <c r="E352" s="7" t="inlineStr">
        <is>
          <t>IT Service Desk</t>
        </is>
      </c>
      <c r="F352" s="7" t="inlineStr"/>
      <c r="G352" s="7" t="inlineStr">
        <is>
          <t>Ticket:OFF-00096; Status:Unresolved</t>
        </is>
      </c>
      <c r="H352" s="7" t="inlineStr">
        <is>
          <t>Confirmed Fact</t>
        </is>
      </c>
      <c r="I352" s="7" t="inlineStr">
        <is>
          <t>Service desk OFF-00096: Unresolved; return required Yes; due Jul 15, 2026. Ticket alone does not dock MD-00096.</t>
        </is>
      </c>
    </row>
    <row r="353">
      <c r="A353" s="7" t="inlineStr">
        <is>
          <t>MD-00096</t>
        </is>
      </c>
      <c r="B353" s="7" t="inlineStr">
        <is>
          <t>2026-06-13</t>
        </is>
      </c>
      <c r="C353" s="7" t="inlineStr">
        <is>
          <t>Technician Comment</t>
        </is>
      </c>
      <c r="D353" s="7" t="inlineStr">
        <is>
          <t>Service Desk</t>
        </is>
      </c>
      <c r="E353" s="7" t="inlineStr"/>
      <c r="F353" s="7" t="inlineStr"/>
      <c r="G353" s="7" t="inlineStr">
        <is>
          <t>Ticket:OFF-00096</t>
        </is>
      </c>
      <c r="H353" s="7" t="inlineStr">
        <is>
          <t>Technician Claim</t>
        </is>
      </c>
      <c r="I353" s="7" t="inlineStr">
        <is>
          <t>Walkthrough photo of a cage — tag not readable. Still unresolved. Ref MD-00096.</t>
        </is>
      </c>
    </row>
    <row r="354">
      <c r="A354" s="7" t="inlineStr">
        <is>
          <t>MD-00096</t>
        </is>
      </c>
      <c r="B354" s="7" t="inlineStr">
        <is>
          <t>2026-08-05</t>
        </is>
      </c>
      <c r="C354" s="7" t="inlineStr">
        <is>
          <t>Regional IT Note Lead</t>
        </is>
      </c>
      <c r="D354" s="7" t="inlineStr">
        <is>
          <t>Regional IT</t>
        </is>
      </c>
      <c r="E354" s="7" t="inlineStr"/>
      <c r="F354" s="7" t="inlineStr">
        <is>
          <t>Chicago - Closed</t>
        </is>
      </c>
      <c r="G354" s="7" t="inlineStr">
        <is>
          <t>regional_IT_notes.docx</t>
        </is>
      </c>
      <c r="H354" s="7" t="inlineStr">
        <is>
          <t>Technician Claim</t>
        </is>
      </c>
      <c r="I354" s="7" t="inlineStr">
        <is>
          <t>regional_IT_notes.docx checked for MD-00096; no corroborated RN entry found.</t>
        </is>
      </c>
    </row>
    <row r="355">
      <c r="A355" s="7" t="inlineStr">
        <is>
          <t>MD-00096</t>
        </is>
      </c>
      <c r="B355" s="7" t="inlineStr">
        <is>
          <t>2026-08-09</t>
        </is>
      </c>
      <c r="C355" s="7" t="inlineStr">
        <is>
          <t>Policy Control Figure</t>
        </is>
      </c>
      <c r="D355" s="7" t="inlineStr">
        <is>
          <t>ITAM-001</t>
        </is>
      </c>
      <c r="E355" s="7" t="inlineStr"/>
      <c r="F355" s="7" t="inlineStr"/>
      <c r="G355" s="7" t="inlineStr">
        <is>
          <t>ITAM_control_matrix.png; IT_asset_management_policy.pdf</t>
        </is>
      </c>
      <c r="H355" s="7" t="inlineStr">
        <is>
          <t>Confirmed Fact</t>
        </is>
      </c>
      <c r="I355" s="7" t="inlineStr">
        <is>
          <t>Policy figure sets return evidence expectations for MD-00096; chain row 355 remains the audit trail.</t>
        </is>
      </c>
    </row>
    <row r="356">
      <c r="A356" s="7" t="inlineStr">
        <is>
          <t>MD-00096</t>
        </is>
      </c>
      <c r="B356" s="7" t="inlineStr">
        <is>
          <t>2026-08-09</t>
        </is>
      </c>
      <c r="C356" s="7" t="inlineStr">
        <is>
          <t>Unresolved Assumption</t>
        </is>
      </c>
      <c r="D356" s="7" t="inlineStr"/>
      <c r="E356" s="7" t="inlineStr"/>
      <c r="F356" s="7" t="inlineStr"/>
      <c r="G356" s="7" t="inlineStr">
        <is>
          <t>Reconciliation</t>
        </is>
      </c>
      <c r="H356" s="7" t="inlineStr">
        <is>
          <t>Unresolved Assumption</t>
        </is>
      </c>
      <c r="I356" s="7" t="inlineStr">
        <is>
          <t>No dock scan, disposal certificate, or count currently places MD-00096; assumption left open.</t>
        </is>
      </c>
    </row>
    <row r="357">
      <c r="A357" s="7" t="inlineStr">
        <is>
          <t>MD-00096</t>
        </is>
      </c>
      <c r="B357" s="7" t="inlineStr">
        <is>
          <t>2026-08-09</t>
        </is>
      </c>
      <c r="C357" s="7" t="inlineStr">
        <is>
          <t>Reconciliation Conclusion</t>
        </is>
      </c>
      <c r="D357" s="7" t="inlineStr">
        <is>
          <t>Evidence review</t>
        </is>
      </c>
      <c r="E357" s="7" t="inlineStr">
        <is>
          <t>E0084</t>
        </is>
      </c>
      <c r="F357" s="7" t="inlineStr">
        <is>
          <t>Unknown</t>
        </is>
      </c>
      <c r="G357" s="7" t="inlineStr">
        <is>
          <t>Ticket:OFF-00096; Transfer:TR-00096; LastRegisterLocation:Chicago - Closed; TechnicianClaim:see custody chain; PO:PO-2023-0018; Ledger:FA-000096; PolicyFigure:ITAM_control_matrix.png</t>
        </is>
      </c>
      <c r="H357" s="7" t="inlineStr">
        <is>
          <t>Unresolved Assumption</t>
        </is>
      </c>
      <c r="I357" s="7" t="inlineStr">
        <is>
          <t>After review, MD-00096 remains Missing at Unknown; Low. EX-0118, EX-0119.</t>
        </is>
      </c>
    </row>
    <row r="358">
      <c r="A358" s="7" t="inlineStr">
        <is>
          <t>MD-00097</t>
        </is>
      </c>
      <c r="B358" s="7" t="inlineStr">
        <is>
          <t>2023-02-02</t>
        </is>
      </c>
      <c r="C358" s="7" t="inlineStr">
        <is>
          <t>Purchase</t>
        </is>
      </c>
      <c r="D358" s="7" t="inlineStr">
        <is>
          <t>Vendor</t>
        </is>
      </c>
      <c r="E358" s="7" t="inlineStr">
        <is>
          <t>Central Receiving</t>
        </is>
      </c>
      <c r="F358" s="7" t="inlineStr">
        <is>
          <t>Atlanta Warehouse</t>
        </is>
      </c>
      <c r="G358" s="7" t="inlineStr">
        <is>
          <t>PO:PO-2023-0018</t>
        </is>
      </c>
      <c r="H358" s="7" t="inlineStr">
        <is>
          <t>Confirmed Fact</t>
        </is>
      </c>
      <c r="I358" s="7" t="inlineStr">
        <is>
          <t>Acquisition MD-00097: Aruba 6300M, $2120, PO PO-2023-0018.</t>
        </is>
      </c>
    </row>
    <row r="359">
      <c r="A359" s="7" t="inlineStr">
        <is>
          <t>MD-00097</t>
        </is>
      </c>
      <c r="B359" s="7" t="inlineStr">
        <is>
          <t>2026-02-02</t>
        </is>
      </c>
      <c r="C359" s="7" t="inlineStr">
        <is>
          <t>Assignment/Transfer</t>
        </is>
      </c>
      <c r="D359" s="7" t="inlineStr">
        <is>
          <t>Central Receiving</t>
        </is>
      </c>
      <c r="E359" s="7" t="inlineStr">
        <is>
          <t>Unverified</t>
        </is>
      </c>
      <c r="F359" s="7" t="inlineStr">
        <is>
          <t>Unknown</t>
        </is>
      </c>
      <c r="G359" s="7" t="inlineStr">
        <is>
          <t>Transfer:TR-00097; Approval:APR-00097</t>
        </is>
      </c>
      <c r="H359" s="7" t="inlineStr">
        <is>
          <t>Confirmed Fact</t>
        </is>
      </c>
      <c r="I359" s="7" t="inlineStr">
        <is>
          <t>Transfer TR-00097 for MD-00097: posted 01/21/2026, inbound Jan 27, 2026, APR APR-00097.</t>
        </is>
      </c>
    </row>
    <row r="360">
      <c r="A360" s="7" t="inlineStr">
        <is>
          <t>MD-00097</t>
        </is>
      </c>
      <c r="B360" s="7" t="inlineStr">
        <is>
          <t>2026-05-14</t>
        </is>
      </c>
      <c r="C360" s="7" t="inlineStr">
        <is>
          <t>Offboarding Ticket</t>
        </is>
      </c>
      <c r="D360" s="7" t="inlineStr">
        <is>
          <t>E0085</t>
        </is>
      </c>
      <c r="E360" s="7" t="inlineStr">
        <is>
          <t>IT Service Desk</t>
        </is>
      </c>
      <c r="F360" s="7" t="inlineStr"/>
      <c r="G360" s="7" t="inlineStr">
        <is>
          <t>Ticket:OFF-00097; Status:Unresolved</t>
        </is>
      </c>
      <c r="H360" s="7" t="inlineStr">
        <is>
          <t>Confirmed Fact</t>
        </is>
      </c>
      <c r="I360" s="7" t="inlineStr">
        <is>
          <t>Service desk OFF-00097: Unresolved; return required Yes; due 2026-07-15. Ticket alone does not dock MD-00097.</t>
        </is>
      </c>
    </row>
    <row r="361">
      <c r="A361" s="7" t="inlineStr">
        <is>
          <t>MD-00097</t>
        </is>
      </c>
      <c r="B361" s="7" t="inlineStr">
        <is>
          <t>2026-05-14</t>
        </is>
      </c>
      <c r="C361" s="7" t="inlineStr">
        <is>
          <t>Technician Comment</t>
        </is>
      </c>
      <c r="D361" s="7" t="inlineStr">
        <is>
          <t>Service Desk</t>
        </is>
      </c>
      <c r="E361" s="7" t="inlineStr"/>
      <c r="F361" s="7" t="inlineStr"/>
      <c r="G361" s="7" t="inlineStr">
        <is>
          <t>Ticket:OFF-00097</t>
        </is>
      </c>
      <c r="H361" s="7" t="inlineStr">
        <is>
          <t>Technician Claim</t>
        </is>
      </c>
      <c r="I361" s="7" t="inlineStr">
        <is>
          <t>User's last Slack: 'left it in the old MDF.' Unverified. Ref MD-00097.</t>
        </is>
      </c>
    </row>
    <row r="362">
      <c r="A362" s="7" t="inlineStr">
        <is>
          <t>MD-00097</t>
        </is>
      </c>
      <c r="B362" s="7" t="inlineStr">
        <is>
          <t>2026-08-05</t>
        </is>
      </c>
      <c r="C362" s="7" t="inlineStr">
        <is>
          <t>Regional IT Note Lead</t>
        </is>
      </c>
      <c r="D362" s="7" t="inlineStr">
        <is>
          <t>Regional IT</t>
        </is>
      </c>
      <c r="E362" s="7" t="inlineStr"/>
      <c r="F362" s="7" t="inlineStr">
        <is>
          <t>Denver - Closed</t>
        </is>
      </c>
      <c r="G362" s="7" t="inlineStr">
        <is>
          <t>regional_IT_notes.docx</t>
        </is>
      </c>
      <c r="H362" s="7" t="inlineStr">
        <is>
          <t>Technician Claim</t>
        </is>
      </c>
      <c r="I362" s="7" t="inlineStr">
        <is>
          <t>regional_IT_notes.docx checked for MD-00097; no corroborated RN entry found.</t>
        </is>
      </c>
    </row>
    <row r="363">
      <c r="A363" s="7" t="inlineStr">
        <is>
          <t>MD-00097</t>
        </is>
      </c>
      <c r="B363" s="7" t="inlineStr">
        <is>
          <t>2026-08-09</t>
        </is>
      </c>
      <c r="C363" s="7" t="inlineStr">
        <is>
          <t>Policy Control Figure</t>
        </is>
      </c>
      <c r="D363" s="7" t="inlineStr">
        <is>
          <t>ITAM-001</t>
        </is>
      </c>
      <c r="E363" s="7" t="inlineStr"/>
      <c r="F363" s="7" t="inlineStr"/>
      <c r="G363" s="7" t="inlineStr">
        <is>
          <t>ITAM_control_matrix.png; IT_asset_management_policy.pdf</t>
        </is>
      </c>
      <c r="H363" s="7" t="inlineStr">
        <is>
          <t>Confirmed Fact</t>
        </is>
      </c>
      <c r="I363" s="7" t="inlineStr">
        <is>
          <t>Matrix return criteria applied to MD-00097; figure is reference, not inbound proof for chain row 363.</t>
        </is>
      </c>
    </row>
    <row r="364">
      <c r="A364" s="7" t="inlineStr">
        <is>
          <t>MD-00097</t>
        </is>
      </c>
      <c r="B364" s="7" t="inlineStr">
        <is>
          <t>2026-08-09</t>
        </is>
      </c>
      <c r="C364" s="7" t="inlineStr">
        <is>
          <t>Unresolved Assumption</t>
        </is>
      </c>
      <c r="D364" s="7" t="inlineStr"/>
      <c r="E364" s="7" t="inlineStr"/>
      <c r="F364" s="7" t="inlineStr"/>
      <c r="G364" s="7" t="inlineStr">
        <is>
          <t>Reconciliation</t>
        </is>
      </c>
      <c r="H364" s="7" t="inlineStr">
        <is>
          <t>Unresolved Assumption</t>
        </is>
      </c>
      <c r="I364" s="7" t="inlineStr">
        <is>
          <t>No dock scan, disposal certificate, or count currently places MD-00097; assumption left open.</t>
        </is>
      </c>
    </row>
    <row r="365">
      <c r="A365" s="7" t="inlineStr">
        <is>
          <t>MD-00097</t>
        </is>
      </c>
      <c r="B365" s="7" t="inlineStr">
        <is>
          <t>2026-08-09</t>
        </is>
      </c>
      <c r="C365" s="7" t="inlineStr">
        <is>
          <t>Reconciliation Conclusion</t>
        </is>
      </c>
      <c r="D365" s="7" t="inlineStr">
        <is>
          <t>Evidence review</t>
        </is>
      </c>
      <c r="E365" s="7" t="inlineStr">
        <is>
          <t>E0085</t>
        </is>
      </c>
      <c r="F365" s="7" t="inlineStr">
        <is>
          <t>Unknown</t>
        </is>
      </c>
      <c r="G365" s="7" t="inlineStr">
        <is>
          <t>Ticket:OFF-00097; Transfer:TR-00097; LastRegisterLocation:Denver - Closed; TechnicianClaim:see custody chain; PO:PO-2023-0018; Ledger:FA-000097; PolicyFigure:ITAM_control_matrix.png</t>
        </is>
      </c>
      <c r="H365" s="7" t="inlineStr">
        <is>
          <t>Unresolved Assumption</t>
        </is>
      </c>
      <c r="I365" s="7" t="inlineStr">
        <is>
          <t>Verified outcome MD-00097: Missing / Unknown (Low). EX-0120, EX-0121.</t>
        </is>
      </c>
    </row>
    <row r="366">
      <c r="A366" s="7" t="inlineStr">
        <is>
          <t>MD-00098</t>
        </is>
      </c>
      <c r="B366" s="7" t="inlineStr">
        <is>
          <t>2024-03-03</t>
        </is>
      </c>
      <c r="C366" s="7" t="inlineStr">
        <is>
          <t>Purchase</t>
        </is>
      </c>
      <c r="D366" s="7" t="inlineStr">
        <is>
          <t>Vendor</t>
        </is>
      </c>
      <c r="E366" s="7" t="inlineStr">
        <is>
          <t>Central Receiving</t>
        </is>
      </c>
      <c r="F366" s="7" t="inlineStr">
        <is>
          <t>Atlanta Warehouse</t>
        </is>
      </c>
      <c r="G366" s="7" t="inlineStr">
        <is>
          <t>PO:PO-2024-0019</t>
        </is>
      </c>
      <c r="H366" s="7" t="inlineStr">
        <is>
          <t>Confirmed Fact</t>
        </is>
      </c>
      <c r="I366" s="7" t="inlineStr">
        <is>
          <t>Acquisition MD-00098: Juniper EX3400, $520, PO PO-2024-0019.</t>
        </is>
      </c>
    </row>
    <row r="367">
      <c r="A367" s="7" t="inlineStr">
        <is>
          <t>MD-00098</t>
        </is>
      </c>
      <c r="B367" s="7" t="inlineStr">
        <is>
          <t>2026-03-03</t>
        </is>
      </c>
      <c r="C367" s="7" t="inlineStr">
        <is>
          <t>Assignment/Transfer</t>
        </is>
      </c>
      <c r="D367" s="7" t="inlineStr">
        <is>
          <t>Central Receiving</t>
        </is>
      </c>
      <c r="E367" s="7" t="inlineStr">
        <is>
          <t>Unverified</t>
        </is>
      </c>
      <c r="F367" s="7" t="inlineStr">
        <is>
          <t>Unknown</t>
        </is>
      </c>
      <c r="G367" s="7" t="inlineStr">
        <is>
          <t>Transfer:TR-00098; Approval:APR-00098</t>
        </is>
      </c>
      <c r="H367" s="7" t="inlineStr">
        <is>
          <t>Confirmed Fact</t>
        </is>
      </c>
      <c r="I367" s="7" t="inlineStr">
        <is>
          <t>Transfer TR-00098 for MD-00098: posted 02/23/2026, inbound Feb 24, 2026, APR APR-00098.</t>
        </is>
      </c>
    </row>
    <row r="368">
      <c r="A368" s="7" t="inlineStr">
        <is>
          <t>MD-00098</t>
        </is>
      </c>
      <c r="B368" s="7" t="inlineStr">
        <is>
          <t>2026-06-15</t>
        </is>
      </c>
      <c r="C368" s="7" t="inlineStr">
        <is>
          <t>Offboarding Ticket</t>
        </is>
      </c>
      <c r="D368" s="7" t="inlineStr">
        <is>
          <t>E0086</t>
        </is>
      </c>
      <c r="E368" s="7" t="inlineStr">
        <is>
          <t>IT Service Desk</t>
        </is>
      </c>
      <c r="F368" s="7" t="inlineStr"/>
      <c r="G368" s="7" t="inlineStr">
        <is>
          <t>Ticket:OFF-00098; Status:Unresolved</t>
        </is>
      </c>
      <c r="H368" s="7" t="inlineStr">
        <is>
          <t>Confirmed Fact</t>
        </is>
      </c>
      <c r="I368" s="7" t="inlineStr">
        <is>
          <t>Service desk OFF-00098: Unresolved; return required Yes; due 07/15/2026. Ticket alone does not dock MD-00098.</t>
        </is>
      </c>
    </row>
    <row r="369">
      <c r="A369" s="7" t="inlineStr">
        <is>
          <t>MD-00098</t>
        </is>
      </c>
      <c r="B369" s="7" t="inlineStr">
        <is>
          <t>2026-06-15</t>
        </is>
      </c>
      <c r="C369" s="7" t="inlineStr">
        <is>
          <t>Technician Comment</t>
        </is>
      </c>
      <c r="D369" s="7" t="inlineStr">
        <is>
          <t>Service Desk</t>
        </is>
      </c>
      <c r="E369" s="7" t="inlineStr"/>
      <c r="F369" s="7" t="inlineStr"/>
      <c r="G369" s="7" t="inlineStr">
        <is>
          <t>Ticket:OFF-00098</t>
        </is>
      </c>
      <c r="H369" s="7" t="inlineStr">
        <is>
          <t>Technician Claim</t>
        </is>
      </c>
      <c r="I369" s="7" t="inlineStr">
        <is>
          <t>Ticket parked Unresolved because closed-site access needs facilities. Ref MD-00098.</t>
        </is>
      </c>
    </row>
    <row r="370">
      <c r="A370" s="7" t="inlineStr">
        <is>
          <t>MD-00098</t>
        </is>
      </c>
      <c r="B370" s="7" t="inlineStr">
        <is>
          <t>2026-08-05</t>
        </is>
      </c>
      <c r="C370" s="7" t="inlineStr">
        <is>
          <t>Regional IT Note Lead</t>
        </is>
      </c>
      <c r="D370" s="7" t="inlineStr">
        <is>
          <t>Regional IT</t>
        </is>
      </c>
      <c r="E370" s="7" t="inlineStr"/>
      <c r="F370" s="7" t="inlineStr">
        <is>
          <t>Chicago - Closed</t>
        </is>
      </c>
      <c r="G370" s="7" t="inlineStr">
        <is>
          <t>regional_IT_notes.docx</t>
        </is>
      </c>
      <c r="H370" s="7" t="inlineStr">
        <is>
          <t>Technician Claim</t>
        </is>
      </c>
      <c r="I370" s="7" t="inlineStr">
        <is>
          <t>regional_IT_notes.docx checked for MD-00098; no corroborated RN entry found.</t>
        </is>
      </c>
    </row>
    <row r="371">
      <c r="A371" s="7" t="inlineStr">
        <is>
          <t>MD-00098</t>
        </is>
      </c>
      <c r="B371" s="7" t="inlineStr">
        <is>
          <t>2026-08-09</t>
        </is>
      </c>
      <c r="C371" s="7" t="inlineStr">
        <is>
          <t>Policy Control Figure</t>
        </is>
      </c>
      <c r="D371" s="7" t="inlineStr">
        <is>
          <t>ITAM-001</t>
        </is>
      </c>
      <c r="E371" s="7" t="inlineStr"/>
      <c r="F371" s="7" t="inlineStr"/>
      <c r="G371" s="7" t="inlineStr">
        <is>
          <t>ITAM_control_matrix.png; IT_asset_management_policy.pdf</t>
        </is>
      </c>
      <c r="H371" s="7" t="inlineStr">
        <is>
          <t>Confirmed Fact</t>
        </is>
      </c>
      <c r="I371" s="7" t="inlineStr">
        <is>
          <t>Read IT_asset_management_policy.pdf §4–§9 with the matrix return line for MD-00098; cite chain row 371.</t>
        </is>
      </c>
    </row>
    <row r="372">
      <c r="A372" s="7" t="inlineStr">
        <is>
          <t>MD-00098</t>
        </is>
      </c>
      <c r="B372" s="7" t="inlineStr">
        <is>
          <t>2026-08-09</t>
        </is>
      </c>
      <c r="C372" s="7" t="inlineStr">
        <is>
          <t>Unresolved Assumption</t>
        </is>
      </c>
      <c r="D372" s="7" t="inlineStr"/>
      <c r="E372" s="7" t="inlineStr"/>
      <c r="F372" s="7" t="inlineStr"/>
      <c r="G372" s="7" t="inlineStr">
        <is>
          <t>Reconciliation</t>
        </is>
      </c>
      <c r="H372" s="7" t="inlineStr">
        <is>
          <t>Unresolved Assumption</t>
        </is>
      </c>
      <c r="I372" s="7" t="inlineStr">
        <is>
          <t>No dock scan, disposal certificate, or count currently places MD-00098; assumption left open.</t>
        </is>
      </c>
    </row>
    <row r="373">
      <c r="A373" s="7" t="inlineStr">
        <is>
          <t>MD-00098</t>
        </is>
      </c>
      <c r="B373" s="7" t="inlineStr">
        <is>
          <t>2026-08-09</t>
        </is>
      </c>
      <c r="C373" s="7" t="inlineStr">
        <is>
          <t>Reconciliation Conclusion</t>
        </is>
      </c>
      <c r="D373" s="7" t="inlineStr">
        <is>
          <t>Evidence review</t>
        </is>
      </c>
      <c r="E373" s="7" t="inlineStr">
        <is>
          <t>E0086</t>
        </is>
      </c>
      <c r="F373" s="7" t="inlineStr">
        <is>
          <t>Unknown</t>
        </is>
      </c>
      <c r="G373" s="7" t="inlineStr">
        <is>
          <t>Ticket:OFF-00098; Transfer:TR-00098; LastRegisterLocation:Chicago - Closed; TechnicianClaim:see custody chain; PO:PO-2024-0019; Ledger:FA-000098; PolicyFigure:ITAM_control_matrix.png</t>
        </is>
      </c>
      <c r="H373" s="7" t="inlineStr">
        <is>
          <t>Unresolved Assumption</t>
        </is>
      </c>
      <c r="I373" s="7" t="inlineStr">
        <is>
          <t>Final status on MD-00098 — Missing, site Unknown, Low. EX-0122, EX-0123.</t>
        </is>
      </c>
    </row>
    <row r="374">
      <c r="A374" s="7" t="inlineStr">
        <is>
          <t>MD-00099</t>
        </is>
      </c>
      <c r="B374" s="7" t="inlineStr">
        <is>
          <t>2025-04-04</t>
        </is>
      </c>
      <c r="C374" s="7" t="inlineStr">
        <is>
          <t>Purchase</t>
        </is>
      </c>
      <c r="D374" s="7" t="inlineStr">
        <is>
          <t>Vendor</t>
        </is>
      </c>
      <c r="E374" s="7" t="inlineStr">
        <is>
          <t>Central Receiving</t>
        </is>
      </c>
      <c r="F374" s="7" t="inlineStr">
        <is>
          <t>Atlanta Warehouse</t>
        </is>
      </c>
      <c r="G374" s="7" t="inlineStr">
        <is>
          <t>PO:PO-2024-0019</t>
        </is>
      </c>
      <c r="H374" s="7" t="inlineStr">
        <is>
          <t>Confirmed Fact</t>
        </is>
      </c>
      <c r="I374" s="7" t="inlineStr">
        <is>
          <t>Vendor shipment for MD-00099 (Cisco Meraki MS250) recorded at $995 on PO-2024-0019.</t>
        </is>
      </c>
    </row>
    <row r="375">
      <c r="A375" s="7" t="inlineStr">
        <is>
          <t>MD-00099</t>
        </is>
      </c>
      <c r="B375" s="7" t="inlineStr">
        <is>
          <t>2026-04-04</t>
        </is>
      </c>
      <c r="C375" s="7" t="inlineStr">
        <is>
          <t>Assignment/Transfer</t>
        </is>
      </c>
      <c r="D375" s="7" t="inlineStr">
        <is>
          <t>Central Receiving</t>
        </is>
      </c>
      <c r="E375" s="7" t="inlineStr">
        <is>
          <t>Unverified</t>
        </is>
      </c>
      <c r="F375" s="7" t="inlineStr">
        <is>
          <t>Unknown</t>
        </is>
      </c>
      <c r="G375" s="7" t="inlineStr">
        <is>
          <t>Transfer:TR-00099; Approval:APR-00099</t>
        </is>
      </c>
      <c r="H375" s="7" t="inlineStr">
        <is>
          <t>Confirmed Fact</t>
        </is>
      </c>
      <c r="I375" s="7" t="inlineStr">
        <is>
          <t>Transfer TR-00099 for MD-00099: posted 03/31/2026, inbound Apr 02, 2026, APR APR-00099.</t>
        </is>
      </c>
    </row>
    <row r="376">
      <c r="A376" s="7" t="inlineStr">
        <is>
          <t>MD-00099</t>
        </is>
      </c>
      <c r="B376" s="7" t="inlineStr">
        <is>
          <t>2026-05-16</t>
        </is>
      </c>
      <c r="C376" s="7" t="inlineStr">
        <is>
          <t>Offboarding Ticket</t>
        </is>
      </c>
      <c r="D376" s="7" t="inlineStr">
        <is>
          <t>E0087</t>
        </is>
      </c>
      <c r="E376" s="7" t="inlineStr">
        <is>
          <t>IT Service Desk</t>
        </is>
      </c>
      <c r="F376" s="7" t="inlineStr"/>
      <c r="G376" s="7" t="inlineStr">
        <is>
          <t>Ticket:OFF-00099; Status:Unresolved</t>
        </is>
      </c>
      <c r="H376" s="7" t="inlineStr">
        <is>
          <t>Confirmed Fact</t>
        </is>
      </c>
      <c r="I376" s="7" t="inlineStr">
        <is>
          <t>Service desk OFF-00099: Unresolved; return required Yes; due Jul 15, 2026. Ticket alone does not dock MD-00099.</t>
        </is>
      </c>
    </row>
    <row r="377">
      <c r="A377" s="7" t="inlineStr">
        <is>
          <t>MD-00099</t>
        </is>
      </c>
      <c r="B377" s="7" t="inlineStr">
        <is>
          <t>2026-05-16</t>
        </is>
      </c>
      <c r="C377" s="7" t="inlineStr">
        <is>
          <t>Technician Comment</t>
        </is>
      </c>
      <c r="D377" s="7" t="inlineStr">
        <is>
          <t>Service Desk</t>
        </is>
      </c>
      <c r="E377" s="7" t="inlineStr"/>
      <c r="F377" s="7" t="inlineStr"/>
      <c r="G377" s="7" t="inlineStr">
        <is>
          <t>Ticket:OFF-00099</t>
        </is>
      </c>
      <c r="H377" s="7" t="inlineStr">
        <is>
          <t>Technician Claim</t>
        </is>
      </c>
      <c r="I377" s="7" t="inlineStr">
        <is>
          <t>No transfer out of the closed office on the log that matches this tag. Ref MD-00099.</t>
        </is>
      </c>
    </row>
    <row r="378">
      <c r="A378" s="7" t="inlineStr">
        <is>
          <t>MD-00099</t>
        </is>
      </c>
      <c r="B378" s="7" t="inlineStr">
        <is>
          <t>2026-08-05</t>
        </is>
      </c>
      <c r="C378" s="7" t="inlineStr">
        <is>
          <t>Regional IT Note Lead</t>
        </is>
      </c>
      <c r="D378" s="7" t="inlineStr">
        <is>
          <t>Regional IT</t>
        </is>
      </c>
      <c r="E378" s="7" t="inlineStr"/>
      <c r="F378" s="7" t="inlineStr">
        <is>
          <t>Denver - Closed</t>
        </is>
      </c>
      <c r="G378" s="7" t="inlineStr">
        <is>
          <t>regional_IT_notes.docx</t>
        </is>
      </c>
      <c r="H378" s="7" t="inlineStr">
        <is>
          <t>Technician Claim</t>
        </is>
      </c>
      <c r="I378" s="7" t="inlineStr">
        <is>
          <t>regional_IT_notes.docx checked for MD-00099; no corroborated RN entry found.</t>
        </is>
      </c>
    </row>
    <row r="379">
      <c r="A379" s="7" t="inlineStr">
        <is>
          <t>MD-00099</t>
        </is>
      </c>
      <c r="B379" s="7" t="inlineStr">
        <is>
          <t>2026-08-09</t>
        </is>
      </c>
      <c r="C379" s="7" t="inlineStr">
        <is>
          <t>Policy Control Figure</t>
        </is>
      </c>
      <c r="D379" s="7" t="inlineStr">
        <is>
          <t>ITAM-001</t>
        </is>
      </c>
      <c r="E379" s="7" t="inlineStr"/>
      <c r="F379" s="7" t="inlineStr"/>
      <c r="G379" s="7" t="inlineStr">
        <is>
          <t>ITAM_control_matrix.png; IT_asset_management_policy.pdf</t>
        </is>
      </c>
      <c r="H379" s="7" t="inlineStr">
        <is>
          <t>Confirmed Fact</t>
        </is>
      </c>
      <c r="I379" s="7" t="inlineStr">
        <is>
          <t>Matrix transfer criteria applied to MD-00099; figure is reference, not inbound proof for chain row 379.</t>
        </is>
      </c>
    </row>
    <row r="380">
      <c r="A380" s="7" t="inlineStr">
        <is>
          <t>MD-00099</t>
        </is>
      </c>
      <c r="B380" s="7" t="inlineStr">
        <is>
          <t>2026-08-09</t>
        </is>
      </c>
      <c r="C380" s="7" t="inlineStr">
        <is>
          <t>Unresolved Assumption</t>
        </is>
      </c>
      <c r="D380" s="7" t="inlineStr"/>
      <c r="E380" s="7" t="inlineStr"/>
      <c r="F380" s="7" t="inlineStr"/>
      <c r="G380" s="7" t="inlineStr">
        <is>
          <t>Reconciliation</t>
        </is>
      </c>
      <c r="H380" s="7" t="inlineStr">
        <is>
          <t>Unresolved Assumption</t>
        </is>
      </c>
      <c r="I380" s="7" t="inlineStr">
        <is>
          <t>No dock scan, disposal certificate, or count currently places MD-00099; assumption left open.</t>
        </is>
      </c>
    </row>
    <row r="381">
      <c r="A381" s="7" t="inlineStr">
        <is>
          <t>MD-00099</t>
        </is>
      </c>
      <c r="B381" s="7" t="inlineStr">
        <is>
          <t>2026-08-09</t>
        </is>
      </c>
      <c r="C381" s="7" t="inlineStr">
        <is>
          <t>Reconciliation Conclusion</t>
        </is>
      </c>
      <c r="D381" s="7" t="inlineStr">
        <is>
          <t>Evidence review</t>
        </is>
      </c>
      <c r="E381" s="7" t="inlineStr">
        <is>
          <t>E0087</t>
        </is>
      </c>
      <c r="F381" s="7" t="inlineStr">
        <is>
          <t>Unknown</t>
        </is>
      </c>
      <c r="G381" s="7" t="inlineStr">
        <is>
          <t>Ticket:OFF-00099; Transfer:TR-00099; LastRegisterLocation:Denver - Closed; TechnicianClaim:see custody chain; PO:PO-2024-0019; Ledger:FA-000099; PolicyFigure:ITAM_control_matrix.png</t>
        </is>
      </c>
      <c r="H381" s="7" t="inlineStr">
        <is>
          <t>Unresolved Assumption</t>
        </is>
      </c>
      <c r="I381" s="7" t="inlineStr">
        <is>
          <t>Verified outcome MD-00099: Missing / Unknown (Low). EX-0124, EX-0125.</t>
        </is>
      </c>
    </row>
    <row r="382">
      <c r="A382" s="7" t="inlineStr">
        <is>
          <t>MD-00100</t>
        </is>
      </c>
      <c r="B382" s="7" t="inlineStr">
        <is>
          <t>2022-05-05</t>
        </is>
      </c>
      <c r="C382" s="7" t="inlineStr">
        <is>
          <t>Purchase</t>
        </is>
      </c>
      <c r="D382" s="7" t="inlineStr">
        <is>
          <t>Vendor</t>
        </is>
      </c>
      <c r="E382" s="7" t="inlineStr">
        <is>
          <t>Central Receiving</t>
        </is>
      </c>
      <c r="F382" s="7" t="inlineStr">
        <is>
          <t>Atlanta Warehouse</t>
        </is>
      </c>
      <c r="G382" s="7" t="inlineStr">
        <is>
          <t>PO:PO-2024-0019</t>
        </is>
      </c>
      <c r="H382" s="7" t="inlineStr">
        <is>
          <t>Confirmed Fact</t>
        </is>
      </c>
      <c r="I382" s="7" t="inlineStr">
        <is>
          <t>Vendor shipment for MD-00100 (HP EliteBook 840 G10) recorded at $6290 on PO-2024-0019.</t>
        </is>
      </c>
    </row>
    <row r="383">
      <c r="A383" s="7" t="inlineStr">
        <is>
          <t>MD-00100</t>
        </is>
      </c>
      <c r="B383" s="7" t="inlineStr">
        <is>
          <t>2026-05-05</t>
        </is>
      </c>
      <c r="C383" s="7" t="inlineStr">
        <is>
          <t>Assignment/Transfer</t>
        </is>
      </c>
      <c r="D383" s="7" t="inlineStr">
        <is>
          <t>Central Receiving</t>
        </is>
      </c>
      <c r="E383" s="7" t="inlineStr">
        <is>
          <t>Unverified</t>
        </is>
      </c>
      <c r="F383" s="7" t="inlineStr">
        <is>
          <t>Unknown</t>
        </is>
      </c>
      <c r="G383" s="7" t="inlineStr">
        <is>
          <t>Transfer:TR-00100; Approval:APR-00100</t>
        </is>
      </c>
      <c r="H383" s="7" t="inlineStr">
        <is>
          <t>Confirmed Fact</t>
        </is>
      </c>
      <c r="I383" s="7" t="inlineStr">
        <is>
          <t>Transfer TR-00100 for MD-00100: posted 05/01/2026, inbound May 05, 2026, APR APR-00100.</t>
        </is>
      </c>
    </row>
    <row r="384">
      <c r="A384" s="7" t="inlineStr">
        <is>
          <t>MD-00100</t>
        </is>
      </c>
      <c r="B384" s="7" t="inlineStr">
        <is>
          <t>2026-06-17</t>
        </is>
      </c>
      <c r="C384" s="7" t="inlineStr">
        <is>
          <t>Offboarding Ticket</t>
        </is>
      </c>
      <c r="D384" s="7" t="inlineStr">
        <is>
          <t>E0088</t>
        </is>
      </c>
      <c r="E384" s="7" t="inlineStr">
        <is>
          <t>IT Service Desk</t>
        </is>
      </c>
      <c r="F384" s="7" t="inlineStr"/>
      <c r="G384" s="7" t="inlineStr">
        <is>
          <t>Ticket:OFF-00100; Status:Unresolved</t>
        </is>
      </c>
      <c r="H384" s="7" t="inlineStr">
        <is>
          <t>Confirmed Fact</t>
        </is>
      </c>
      <c r="I384" s="7" t="inlineStr">
        <is>
          <t>Service desk OFF-00100: Unresolved; return required Yes; due 2026-07-15. Ticket alone does not dock MD-00100.</t>
        </is>
      </c>
    </row>
    <row r="385">
      <c r="A385" s="7" t="inlineStr">
        <is>
          <t>MD-00100</t>
        </is>
      </c>
      <c r="B385" s="7" t="inlineStr">
        <is>
          <t>2026-06-17</t>
        </is>
      </c>
      <c r="C385" s="7" t="inlineStr">
        <is>
          <t>Technician Comment</t>
        </is>
      </c>
      <c r="D385" s="7" t="inlineStr">
        <is>
          <t>Service Desk</t>
        </is>
      </c>
      <c r="E385" s="7" t="inlineStr"/>
      <c r="F385" s="7" t="inlineStr"/>
      <c r="G385" s="7" t="inlineStr">
        <is>
          <t>Ticket:OFF-00100</t>
        </is>
      </c>
      <c r="H385" s="7" t="inlineStr">
        <is>
          <t>Technician Claim</t>
        </is>
      </c>
      <c r="I385" s="7" t="inlineStr">
        <is>
          <t>Asking CRE for cage inventory. Not a substitute for receiving. Ref MD-00100.</t>
        </is>
      </c>
    </row>
    <row r="386">
      <c r="A386" s="7" t="inlineStr">
        <is>
          <t>MD-00100</t>
        </is>
      </c>
      <c r="B386" s="7" t="inlineStr">
        <is>
          <t>2026-08-05</t>
        </is>
      </c>
      <c r="C386" s="7" t="inlineStr">
        <is>
          <t>Regional IT Note Lead</t>
        </is>
      </c>
      <c r="D386" s="7" t="inlineStr">
        <is>
          <t>Regional IT</t>
        </is>
      </c>
      <c r="E386" s="7" t="inlineStr"/>
      <c r="F386" s="7" t="inlineStr">
        <is>
          <t>Chicago - Closed</t>
        </is>
      </c>
      <c r="G386" s="7" t="inlineStr">
        <is>
          <t>regional_IT_notes.docx</t>
        </is>
      </c>
      <c r="H386" s="7" t="inlineStr">
        <is>
          <t>Technician Claim</t>
        </is>
      </c>
      <c r="I386" s="7" t="inlineStr">
        <is>
          <t>regional_IT_notes.docx checked for MD-00100; no corroborated RN entry found.</t>
        </is>
      </c>
    </row>
    <row r="387">
      <c r="A387" s="7" t="inlineStr">
        <is>
          <t>MD-00100</t>
        </is>
      </c>
      <c r="B387" s="7" t="inlineStr">
        <is>
          <t>2026-08-09</t>
        </is>
      </c>
      <c r="C387" s="7" t="inlineStr">
        <is>
          <t>Policy Control Figure</t>
        </is>
      </c>
      <c r="D387" s="7" t="inlineStr">
        <is>
          <t>ITAM-001</t>
        </is>
      </c>
      <c r="E387" s="7" t="inlineStr"/>
      <c r="F387" s="7" t="inlineStr"/>
      <c r="G387" s="7" t="inlineStr">
        <is>
          <t>ITAM_control_matrix.png; IT_asset_management_policy.pdf</t>
        </is>
      </c>
      <c r="H387" s="7" t="inlineStr">
        <is>
          <t>Confirmed Fact</t>
        </is>
      </c>
      <c r="I387" s="7" t="inlineStr">
        <is>
          <t>Policy figure sets disposal evidence expectations for MD-00100; chain row 387 remains the audit trail.</t>
        </is>
      </c>
    </row>
    <row r="388">
      <c r="A388" s="7" t="inlineStr">
        <is>
          <t>MD-00100</t>
        </is>
      </c>
      <c r="B388" s="7" t="inlineStr">
        <is>
          <t>2026-08-09</t>
        </is>
      </c>
      <c r="C388" s="7" t="inlineStr">
        <is>
          <t>Unresolved Assumption</t>
        </is>
      </c>
      <c r="D388" s="7" t="inlineStr"/>
      <c r="E388" s="7" t="inlineStr"/>
      <c r="F388" s="7" t="inlineStr"/>
      <c r="G388" s="7" t="inlineStr">
        <is>
          <t>Reconciliation</t>
        </is>
      </c>
      <c r="H388" s="7" t="inlineStr">
        <is>
          <t>Unresolved Assumption</t>
        </is>
      </c>
      <c r="I388" s="7" t="inlineStr">
        <is>
          <t>No dock scan, disposal certificate, or count currently places MD-00100; assumption left open.</t>
        </is>
      </c>
    </row>
    <row r="389">
      <c r="A389" s="7" t="inlineStr">
        <is>
          <t>MD-00100</t>
        </is>
      </c>
      <c r="B389" s="7" t="inlineStr">
        <is>
          <t>2026-08-09</t>
        </is>
      </c>
      <c r="C389" s="7" t="inlineStr">
        <is>
          <t>Reconciliation Conclusion</t>
        </is>
      </c>
      <c r="D389" s="7" t="inlineStr">
        <is>
          <t>Evidence review</t>
        </is>
      </c>
      <c r="E389" s="7" t="inlineStr">
        <is>
          <t>E0088</t>
        </is>
      </c>
      <c r="F389" s="7" t="inlineStr">
        <is>
          <t>Unknown</t>
        </is>
      </c>
      <c r="G389" s="7" t="inlineStr">
        <is>
          <t>Ticket:OFF-00100; Transfer:TR-00100; LastRegisterLocation:Chicago - Closed; TechnicianClaim:see custody chain; PO:PO-2024-0019; Ledger:FA-000100; PolicyFigure:ITAM_control_matrix.png</t>
        </is>
      </c>
      <c r="H389" s="7" t="inlineStr">
        <is>
          <t>Unresolved Assumption</t>
        </is>
      </c>
      <c r="I389" s="7" t="inlineStr">
        <is>
          <t>Final status on MD-00100 — Missing, site Unknown, Low. EX-0126, EX-0127.</t>
        </is>
      </c>
    </row>
    <row r="390">
      <c r="A390" s="7" t="inlineStr">
        <is>
          <t>MD-00101</t>
        </is>
      </c>
      <c r="B390" s="7" t="inlineStr">
        <is>
          <t>2023-06-06</t>
        </is>
      </c>
      <c r="C390" s="7" t="inlineStr">
        <is>
          <t>Purchase</t>
        </is>
      </c>
      <c r="D390" s="7" t="inlineStr">
        <is>
          <t>Vendor</t>
        </is>
      </c>
      <c r="E390" s="7" t="inlineStr">
        <is>
          <t>Central Receiving</t>
        </is>
      </c>
      <c r="F390" s="7" t="inlineStr">
        <is>
          <t>Atlanta Warehouse</t>
        </is>
      </c>
      <c r="G390" s="7" t="inlineStr">
        <is>
          <t>PO:PO-2024-0019</t>
        </is>
      </c>
      <c r="H390" s="7" t="inlineStr">
        <is>
          <t>Confirmed Fact</t>
        </is>
      </c>
      <c r="I390" s="7" t="inlineStr">
        <is>
          <t>PO PO-2024-0019 covers MD-00101 (Microsoft Surface Laptop 5) for $1985.</t>
        </is>
      </c>
    </row>
    <row r="391">
      <c r="A391" s="7" t="inlineStr">
        <is>
          <t>MD-00101</t>
        </is>
      </c>
      <c r="B391" s="7" t="inlineStr">
        <is>
          <t>2026-06-06</t>
        </is>
      </c>
      <c r="C391" s="7" t="inlineStr">
        <is>
          <t>Assignment/Transfer</t>
        </is>
      </c>
      <c r="D391" s="7" t="inlineStr">
        <is>
          <t>Central Receiving</t>
        </is>
      </c>
      <c r="E391" s="7" t="inlineStr">
        <is>
          <t>Regional IT</t>
        </is>
      </c>
      <c r="F391" s="7" t="inlineStr">
        <is>
          <t>Seattle</t>
        </is>
      </c>
      <c r="G391" s="7" t="inlineStr">
        <is>
          <t>Transfer:TR-00101; Approval:APR-00101</t>
        </is>
      </c>
      <c r="H391" s="7" t="inlineStr">
        <is>
          <t>Confirmed Fact</t>
        </is>
      </c>
      <c r="I391" s="7" t="inlineStr">
        <is>
          <t>Transfer TR-00101 for MD-00101: posted 06/05/2026, inbound Jun 07, 2026, APR APR-00101.</t>
        </is>
      </c>
    </row>
    <row r="392">
      <c r="A392" s="7" t="inlineStr">
        <is>
          <t>MD-00101</t>
        </is>
      </c>
      <c r="B392" s="7" t="inlineStr">
        <is>
          <t>2026-05-31</t>
        </is>
      </c>
      <c r="C392" s="7" t="inlineStr">
        <is>
          <t>Offboarding Ticket</t>
        </is>
      </c>
      <c r="D392" s="7" t="inlineStr">
        <is>
          <t>E0089</t>
        </is>
      </c>
      <c r="E392" s="7" t="inlineStr">
        <is>
          <t>IT Service Desk</t>
        </is>
      </c>
      <c r="F392" s="7" t="inlineStr"/>
      <c r="G392" s="7" t="inlineStr">
        <is>
          <t>Ticket:RET-00101; Status:Pending Disposal</t>
        </is>
      </c>
      <c r="H392" s="7" t="inlineStr">
        <is>
          <t>Confirmed Fact</t>
        </is>
      </c>
      <c r="I392" s="7" t="inlineStr">
        <is>
          <t>Service desk RET-00101: Pending Disposal; return required No; due n/a. Ticket alone does not dock MD-00101.</t>
        </is>
      </c>
    </row>
    <row r="393">
      <c r="A393" s="7" t="inlineStr">
        <is>
          <t>MD-00101</t>
        </is>
      </c>
      <c r="B393" s="7" t="inlineStr">
        <is>
          <t>2026-05-31</t>
        </is>
      </c>
      <c r="C393" s="7" t="inlineStr">
        <is>
          <t>Technician Comment</t>
        </is>
      </c>
      <c r="D393" s="7" t="inlineStr">
        <is>
          <t>Service Desk</t>
        </is>
      </c>
      <c r="E393" s="7" t="inlineStr"/>
      <c r="F393" s="7" t="inlineStr"/>
      <c r="G393" s="7" t="inlineStr">
        <is>
          <t>Ticket:RET-00101</t>
        </is>
      </c>
      <c r="H393" s="7" t="inlineStr">
        <is>
          <t>Technician Claim</t>
        </is>
      </c>
      <c r="I393" s="7" t="inlineStr">
        <is>
          <t>Parked in pending-disposal bin after warranty died. Ref MD-00101.</t>
        </is>
      </c>
    </row>
    <row r="394">
      <c r="A394" s="7" t="inlineStr">
        <is>
          <t>MD-00101</t>
        </is>
      </c>
      <c r="B394" s="7" t="inlineStr">
        <is>
          <t>2026-08-05</t>
        </is>
      </c>
      <c r="C394" s="7" t="inlineStr">
        <is>
          <t>Regional IT Note Lead</t>
        </is>
      </c>
      <c r="D394" s="7" t="inlineStr">
        <is>
          <t>Regional IT</t>
        </is>
      </c>
      <c r="E394" s="7" t="inlineStr"/>
      <c r="F394" s="7" t="inlineStr">
        <is>
          <t>Denver - Closed</t>
        </is>
      </c>
      <c r="G394" s="7" t="inlineStr">
        <is>
          <t>regional_IT_notes.docx</t>
        </is>
      </c>
      <c r="H394" s="7" t="inlineStr">
        <is>
          <t>Technician Claim</t>
        </is>
      </c>
      <c r="I394" s="7" t="inlineStr">
        <is>
          <t>regional_IT_notes.docx checked for MD-00101; no corroborated RN entry found.</t>
        </is>
      </c>
    </row>
    <row r="395">
      <c r="A395" s="7" t="inlineStr">
        <is>
          <t>MD-00101</t>
        </is>
      </c>
      <c r="B395" s="7" t="inlineStr">
        <is>
          <t>2026-08-09</t>
        </is>
      </c>
      <c r="C395" s="7" t="inlineStr">
        <is>
          <t>Policy Control Figure</t>
        </is>
      </c>
      <c r="D395" s="7" t="inlineStr">
        <is>
          <t>ITAM-001</t>
        </is>
      </c>
      <c r="E395" s="7" t="inlineStr"/>
      <c r="F395" s="7" t="inlineStr"/>
      <c r="G395" s="7" t="inlineStr">
        <is>
          <t>ITAM_control_matrix.png; IT_asset_management_policy.pdf</t>
        </is>
      </c>
      <c r="H395" s="7" t="inlineStr">
        <is>
          <t>Confirmed Fact</t>
        </is>
      </c>
      <c r="I395" s="7" t="inlineStr">
        <is>
          <t>Read IT_asset_management_policy.pdf §4–§9 with the matrix disposal line for MD-00101; cite chain row 395.</t>
        </is>
      </c>
    </row>
    <row r="396">
      <c r="A396" s="7" t="inlineStr">
        <is>
          <t>MD-00101</t>
        </is>
      </c>
      <c r="B396" s="7" t="inlineStr">
        <is>
          <t>2026-08-09</t>
        </is>
      </c>
      <c r="C396" s="7" t="inlineStr">
        <is>
          <t>Reconciliation Conclusion</t>
        </is>
      </c>
      <c r="D396" s="7" t="inlineStr">
        <is>
          <t>Evidence review</t>
        </is>
      </c>
      <c r="E396" s="7" t="inlineStr">
        <is>
          <t>Regional IT</t>
        </is>
      </c>
      <c r="F396" s="7" t="inlineStr">
        <is>
          <t>Seattle</t>
        </is>
      </c>
      <c r="G396" s="7" t="inlineStr">
        <is>
          <t>Ticket:RET-00101; Transfer:TR-00101; Certificate:missing; PO:PO-2024-0019; Ledger:FA-000101; PolicyFigure:ITAM_control_matrix.png</t>
        </is>
      </c>
      <c r="H396" s="7" t="inlineStr">
        <is>
          <t>Confirmed Fact</t>
        </is>
      </c>
      <c r="I396" s="7" t="inlineStr">
        <is>
          <t>Chain ends with MD-00101 as Retired/Pending Disposal in Seattle; confidence Medium. EX-0128, EX-0129.</t>
        </is>
      </c>
    </row>
    <row r="397">
      <c r="A397" s="7" t="inlineStr">
        <is>
          <t>MD-00102</t>
        </is>
      </c>
      <c r="B397" s="7" t="inlineStr">
        <is>
          <t>2024-07-07</t>
        </is>
      </c>
      <c r="C397" s="7" t="inlineStr">
        <is>
          <t>Purchase</t>
        </is>
      </c>
      <c r="D397" s="7" t="inlineStr">
        <is>
          <t>Vendor</t>
        </is>
      </c>
      <c r="E397" s="7" t="inlineStr">
        <is>
          <t>Central Receiving</t>
        </is>
      </c>
      <c r="F397" s="7" t="inlineStr">
        <is>
          <t>Atlanta Warehouse</t>
        </is>
      </c>
      <c r="G397" s="7" t="inlineStr">
        <is>
          <t>PO:PO-2024-0019</t>
        </is>
      </c>
      <c r="H397" s="7" t="inlineStr">
        <is>
          <t>Confirmed Fact</t>
        </is>
      </c>
      <c r="I397" s="7" t="inlineStr">
        <is>
          <t>Acquisition MD-00102: Lenovo ThinkPad X1 Carbon, $700, PO PO-2024-0019.</t>
        </is>
      </c>
    </row>
    <row r="398">
      <c r="A398" s="7" t="inlineStr">
        <is>
          <t>MD-00102</t>
        </is>
      </c>
      <c r="B398" s="7" t="inlineStr">
        <is>
          <t>2026-01-07</t>
        </is>
      </c>
      <c r="C398" s="7" t="inlineStr">
        <is>
          <t>Assignment/Transfer</t>
        </is>
      </c>
      <c r="D398" s="7" t="inlineStr">
        <is>
          <t>Central Receiving</t>
        </is>
      </c>
      <c r="E398" s="7" t="inlineStr">
        <is>
          <t>Regional IT</t>
        </is>
      </c>
      <c r="F398" s="7" t="inlineStr">
        <is>
          <t>Atlanta</t>
        </is>
      </c>
      <c r="G398" s="7" t="inlineStr">
        <is>
          <t>Transfer:TR-00102; Approval:APR-00102</t>
        </is>
      </c>
      <c r="H398" s="7" t="inlineStr">
        <is>
          <t>Confirmed Fact</t>
        </is>
      </c>
      <c r="I398" s="7" t="inlineStr">
        <is>
          <t>Transfer TR-00102 for MD-00102: posted Jan 10, 2026, inbound 2026-01-11, APR APR-00102.</t>
        </is>
      </c>
    </row>
    <row r="399">
      <c r="A399" s="7" t="inlineStr">
        <is>
          <t>MD-00102</t>
        </is>
      </c>
      <c r="B399" s="7" t="inlineStr">
        <is>
          <t>2026-05-31</t>
        </is>
      </c>
      <c r="C399" s="7" t="inlineStr">
        <is>
          <t>Offboarding Ticket</t>
        </is>
      </c>
      <c r="D399" s="7" t="inlineStr">
        <is>
          <t>E0090</t>
        </is>
      </c>
      <c r="E399" s="7" t="inlineStr">
        <is>
          <t>IT Service Desk</t>
        </is>
      </c>
      <c r="F399" s="7" t="inlineStr"/>
      <c r="G399" s="7" t="inlineStr">
        <is>
          <t>Ticket:RET-00102; Status:Pending Disposal</t>
        </is>
      </c>
      <c r="H399" s="7" t="inlineStr">
        <is>
          <t>Confirmed Fact</t>
        </is>
      </c>
      <c r="I399" s="7" t="inlineStr">
        <is>
          <t>Service desk RET-00102: Pending Disposal; return required No; due n/a. Ticket alone does not dock MD-00102.</t>
        </is>
      </c>
    </row>
    <row r="400">
      <c r="A400" s="7" t="inlineStr">
        <is>
          <t>MD-00102</t>
        </is>
      </c>
      <c r="B400" s="7" t="inlineStr">
        <is>
          <t>2026-05-31</t>
        </is>
      </c>
      <c r="C400" s="7" t="inlineStr">
        <is>
          <t>Technician Comment</t>
        </is>
      </c>
      <c r="D400" s="7" t="inlineStr">
        <is>
          <t>Service Desk</t>
        </is>
      </c>
      <c r="E400" s="7" t="inlineStr"/>
      <c r="F400" s="7" t="inlineStr"/>
      <c r="G400" s="7" t="inlineStr">
        <is>
          <t>Ticket:RET-00102</t>
        </is>
      </c>
      <c r="H400" s="7" t="inlineStr">
        <is>
          <t>Technician Claim</t>
        </is>
      </c>
      <c r="I400" s="7" t="inlineStr">
        <is>
          <t>Staged for July recycler run — cert not attached yet on some of these. Ref MD-00102.</t>
        </is>
      </c>
    </row>
    <row r="401">
      <c r="A401" s="7" t="inlineStr">
        <is>
          <t>MD-00102</t>
        </is>
      </c>
      <c r="B401" s="7" t="inlineStr">
        <is>
          <t>2026-08-05</t>
        </is>
      </c>
      <c r="C401" s="7" t="inlineStr">
        <is>
          <t>Regional IT Note Lead</t>
        </is>
      </c>
      <c r="D401" s="7" t="inlineStr">
        <is>
          <t>Regional IT</t>
        </is>
      </c>
      <c r="E401" s="7" t="inlineStr"/>
      <c r="F401" s="7" t="inlineStr">
        <is>
          <t>Chicago - Closed</t>
        </is>
      </c>
      <c r="G401" s="7" t="inlineStr">
        <is>
          <t>regional_IT_notes.docx</t>
        </is>
      </c>
      <c r="H401" s="7" t="inlineStr">
        <is>
          <t>Technician Claim</t>
        </is>
      </c>
      <c r="I401" s="7" t="inlineStr">
        <is>
          <t>regional_IT_notes.docx checked for MD-00102; no corroborated RN entry found.</t>
        </is>
      </c>
    </row>
    <row r="402">
      <c r="A402" s="7" t="inlineStr">
        <is>
          <t>MD-00102</t>
        </is>
      </c>
      <c r="B402" s="7" t="inlineStr">
        <is>
          <t>2026-08-09</t>
        </is>
      </c>
      <c r="C402" s="7" t="inlineStr">
        <is>
          <t>Policy Control Figure</t>
        </is>
      </c>
      <c r="D402" s="7" t="inlineStr">
        <is>
          <t>ITAM-001</t>
        </is>
      </c>
      <c r="E402" s="7" t="inlineStr"/>
      <c r="F402" s="7" t="inlineStr"/>
      <c r="G402" s="7" t="inlineStr">
        <is>
          <t>ITAM_control_matrix.png; IT_asset_management_policy.pdf</t>
        </is>
      </c>
      <c r="H402" s="7" t="inlineStr">
        <is>
          <t>Confirmed Fact</t>
        </is>
      </c>
      <c r="I402" s="7" t="inlineStr">
        <is>
          <t>Read IT_asset_management_policy.pdf §4–§9 with the matrix disposal line for MD-00102; cite chain row 402.</t>
        </is>
      </c>
    </row>
    <row r="403">
      <c r="A403" s="7" t="inlineStr">
        <is>
          <t>MD-00102</t>
        </is>
      </c>
      <c r="B403" s="7" t="inlineStr">
        <is>
          <t>2026-08-09</t>
        </is>
      </c>
      <c r="C403" s="7" t="inlineStr">
        <is>
          <t>Reconciliation Conclusion</t>
        </is>
      </c>
      <c r="D403" s="7" t="inlineStr">
        <is>
          <t>Evidence review</t>
        </is>
      </c>
      <c r="E403" s="7" t="inlineStr">
        <is>
          <t>Regional IT</t>
        </is>
      </c>
      <c r="F403" s="7" t="inlineStr">
        <is>
          <t>Atlanta</t>
        </is>
      </c>
      <c r="G403" s="7" t="inlineStr">
        <is>
          <t>Ticket:RET-00102; Transfer:TR-00102; Certificate:missing; PO:PO-2024-0019; Ledger:FA-000102; PolicyFigure:ITAM_control_matrix.png</t>
        </is>
      </c>
      <c r="H403" s="7" t="inlineStr">
        <is>
          <t>Confirmed Fact</t>
        </is>
      </c>
      <c r="I403" s="7" t="inlineStr">
        <is>
          <t>Chain ends with MD-00102 as Retired/Pending Disposal in Atlanta; confidence Medium. EX-0130, EX-0131, EX-0132.</t>
        </is>
      </c>
    </row>
    <row r="404">
      <c r="A404" s="7" t="inlineStr">
        <is>
          <t>MD-00103</t>
        </is>
      </c>
      <c r="B404" s="7" t="inlineStr">
        <is>
          <t>2025-08-08</t>
        </is>
      </c>
      <c r="C404" s="7" t="inlineStr">
        <is>
          <t>Purchase</t>
        </is>
      </c>
      <c r="D404" s="7" t="inlineStr">
        <is>
          <t>Vendor</t>
        </is>
      </c>
      <c r="E404" s="7" t="inlineStr">
        <is>
          <t>Central Receiving</t>
        </is>
      </c>
      <c r="F404" s="7" t="inlineStr">
        <is>
          <t>Atlanta Warehouse</t>
        </is>
      </c>
      <c r="G404" s="7" t="inlineStr">
        <is>
          <t>PO:PO-2024-0019</t>
        </is>
      </c>
      <c r="H404" s="7" t="inlineStr">
        <is>
          <t>Confirmed Fact</t>
        </is>
      </c>
      <c r="I404" s="7" t="inlineStr">
        <is>
          <t>Vendor shipment for MD-00103 (Lenovo ThinkPad T14) recorded at $1175 on PO-2024-0019.</t>
        </is>
      </c>
    </row>
    <row r="405">
      <c r="A405" s="7" t="inlineStr">
        <is>
          <t>MD-00103</t>
        </is>
      </c>
      <c r="B405" s="7" t="inlineStr">
        <is>
          <t>2026-02-08</t>
        </is>
      </c>
      <c r="C405" s="7" t="inlineStr">
        <is>
          <t>Assignment/Transfer</t>
        </is>
      </c>
      <c r="D405" s="7" t="inlineStr">
        <is>
          <t>Central Receiving</t>
        </is>
      </c>
      <c r="E405" s="7" t="inlineStr">
        <is>
          <t>Regional IT</t>
        </is>
      </c>
      <c r="F405" s="7" t="inlineStr">
        <is>
          <t>Chicago</t>
        </is>
      </c>
      <c r="G405" s="7" t="inlineStr">
        <is>
          <t>Transfer:TR-00103; Approval:APR-00103</t>
        </is>
      </c>
      <c r="H405" s="7" t="inlineStr">
        <is>
          <t>Confirmed Fact</t>
        </is>
      </c>
      <c r="I405" s="7" t="inlineStr">
        <is>
          <t>Transfer TR-00103 for MD-00103: posted 2026-02-11, inbound 02/14/2026, APR APR-00103.</t>
        </is>
      </c>
    </row>
    <row r="406">
      <c r="A406" s="7" t="inlineStr">
        <is>
          <t>MD-00103</t>
        </is>
      </c>
      <c r="B406" s="7" t="inlineStr">
        <is>
          <t>2026-05-31</t>
        </is>
      </c>
      <c r="C406" s="7" t="inlineStr">
        <is>
          <t>Offboarding Ticket</t>
        </is>
      </c>
      <c r="D406" s="7" t="inlineStr">
        <is>
          <t>E0091</t>
        </is>
      </c>
      <c r="E406" s="7" t="inlineStr">
        <is>
          <t>IT Service Desk</t>
        </is>
      </c>
      <c r="F406" s="7" t="inlineStr"/>
      <c r="G406" s="7" t="inlineStr">
        <is>
          <t>Ticket:RET-00103; Status:Pending Disposal</t>
        </is>
      </c>
      <c r="H406" s="7" t="inlineStr">
        <is>
          <t>Confirmed Fact</t>
        </is>
      </c>
      <c r="I406" s="7" t="inlineStr">
        <is>
          <t>Service desk RET-00103: Pending Disposal; return required No; due n/a. Ticket alone does not dock MD-00103.</t>
        </is>
      </c>
    </row>
    <row r="407">
      <c r="A407" s="7" t="inlineStr">
        <is>
          <t>MD-00103</t>
        </is>
      </c>
      <c r="B407" s="7" t="inlineStr">
        <is>
          <t>2026-05-31</t>
        </is>
      </c>
      <c r="C407" s="7" t="inlineStr">
        <is>
          <t>Technician Comment</t>
        </is>
      </c>
      <c r="D407" s="7" t="inlineStr">
        <is>
          <t>Service Desk</t>
        </is>
      </c>
      <c r="E407" s="7" t="inlineStr"/>
      <c r="F407" s="7" t="inlineStr"/>
      <c r="G407" s="7" t="inlineStr">
        <is>
          <t>Ticket:RET-00103</t>
        </is>
      </c>
      <c r="H407" s="7" t="inlineStr">
        <is>
          <t>Technician Claim</t>
        </is>
      </c>
      <c r="I407" s="7" t="inlineStr">
        <is>
          <t>HDD pulled; chassis waiting paperwork. Ref MD-00103.</t>
        </is>
      </c>
    </row>
    <row r="408">
      <c r="A408" s="7" t="inlineStr">
        <is>
          <t>MD-00103</t>
        </is>
      </c>
      <c r="B408" s="7" t="inlineStr">
        <is>
          <t>2026-08-05</t>
        </is>
      </c>
      <c r="C408" s="7" t="inlineStr">
        <is>
          <t>Regional IT Note Lead</t>
        </is>
      </c>
      <c r="D408" s="7" t="inlineStr">
        <is>
          <t>Regional IT</t>
        </is>
      </c>
      <c r="E408" s="7" t="inlineStr"/>
      <c r="F408" s="7" t="inlineStr">
        <is>
          <t>Denver - Closed</t>
        </is>
      </c>
      <c r="G408" s="7" t="inlineStr">
        <is>
          <t>regional_IT_notes.docx</t>
        </is>
      </c>
      <c r="H408" s="7" t="inlineStr">
        <is>
          <t>Technician Claim</t>
        </is>
      </c>
      <c r="I408" s="7" t="inlineStr">
        <is>
          <t>regional_IT_notes.docx checked for MD-00103; no corroborated RN entry found.</t>
        </is>
      </c>
    </row>
    <row r="409">
      <c r="A409" s="7" t="inlineStr">
        <is>
          <t>MD-00103</t>
        </is>
      </c>
      <c r="B409" s="7" t="inlineStr">
        <is>
          <t>2026-08-09</t>
        </is>
      </c>
      <c r="C409" s="7" t="inlineStr">
        <is>
          <t>Policy Control Figure</t>
        </is>
      </c>
      <c r="D409" s="7" t="inlineStr">
        <is>
          <t>ITAM-001</t>
        </is>
      </c>
      <c r="E409" s="7" t="inlineStr"/>
      <c r="F409" s="7" t="inlineStr"/>
      <c r="G409" s="7" t="inlineStr">
        <is>
          <t>ITAM_control_matrix.png; IT_asset_management_policy.pdf</t>
        </is>
      </c>
      <c r="H409" s="7" t="inlineStr">
        <is>
          <t>Confirmed Fact</t>
        </is>
      </c>
      <c r="I409" s="7" t="inlineStr">
        <is>
          <t>ITAM_control_matrix.png Appendix A transfer row consulted while tracing MD-00103; transactional proof stays with chain row 409.</t>
        </is>
      </c>
    </row>
    <row r="410">
      <c r="A410" s="7" t="inlineStr">
        <is>
          <t>MD-00103</t>
        </is>
      </c>
      <c r="B410" s="7" t="inlineStr">
        <is>
          <t>2026-08-09</t>
        </is>
      </c>
      <c r="C410" s="7" t="inlineStr">
        <is>
          <t>Reconciliation Conclusion</t>
        </is>
      </c>
      <c r="D410" s="7" t="inlineStr">
        <is>
          <t>Evidence review</t>
        </is>
      </c>
      <c r="E410" s="7" t="inlineStr">
        <is>
          <t>Regional IT</t>
        </is>
      </c>
      <c r="F410" s="7" t="inlineStr">
        <is>
          <t>Chicago</t>
        </is>
      </c>
      <c r="G410" s="7" t="inlineStr">
        <is>
          <t>Ticket:RET-00103; Transfer:TR-00103; Certificate:missing; PO:PO-2024-0019; Ledger:FA-000103; PolicyFigure:ITAM_control_matrix.png</t>
        </is>
      </c>
      <c r="H410" s="7" t="inlineStr">
        <is>
          <t>Confirmed Fact</t>
        </is>
      </c>
      <c r="I410" s="7" t="inlineStr">
        <is>
          <t>Final status on MD-00103 — Retired/Pending Disposal, site Chicago, Medium. EX-0133, EX-0134.</t>
        </is>
      </c>
    </row>
    <row r="411">
      <c r="A411" s="7" t="inlineStr">
        <is>
          <t>MD-00104</t>
        </is>
      </c>
      <c r="B411" s="7" t="inlineStr">
        <is>
          <t>2022-09-09</t>
        </is>
      </c>
      <c r="C411" s="7" t="inlineStr">
        <is>
          <t>Purchase</t>
        </is>
      </c>
      <c r="D411" s="7" t="inlineStr">
        <is>
          <t>Vendor</t>
        </is>
      </c>
      <c r="E411" s="7" t="inlineStr">
        <is>
          <t>Central Receiving</t>
        </is>
      </c>
      <c r="F411" s="7" t="inlineStr">
        <is>
          <t>Atlanta Warehouse</t>
        </is>
      </c>
      <c r="G411" s="7" t="inlineStr">
        <is>
          <t>PO:PO-2025-0020</t>
        </is>
      </c>
      <c r="H411" s="7" t="inlineStr">
        <is>
          <t>Confirmed Fact</t>
        </is>
      </c>
      <c r="I411" s="7" t="inlineStr">
        <is>
          <t>Acquisition MD-00104: MacBook Pro 14, $6470, PO PO-2025-0020.</t>
        </is>
      </c>
    </row>
    <row r="412">
      <c r="A412" s="7" t="inlineStr">
        <is>
          <t>MD-00104</t>
        </is>
      </c>
      <c r="B412" s="7" t="inlineStr">
        <is>
          <t>2026-03-09</t>
        </is>
      </c>
      <c r="C412" s="7" t="inlineStr">
        <is>
          <t>Assignment/Transfer</t>
        </is>
      </c>
      <c r="D412" s="7" t="inlineStr">
        <is>
          <t>Central Receiving</t>
        </is>
      </c>
      <c r="E412" s="7" t="inlineStr">
        <is>
          <t>Regional IT</t>
        </is>
      </c>
      <c r="F412" s="7" t="inlineStr">
        <is>
          <t>Dallas</t>
        </is>
      </c>
      <c r="G412" s="7" t="inlineStr">
        <is>
          <t>Transfer:TR-00104; Approval:APR-00104</t>
        </is>
      </c>
      <c r="H412" s="7" t="inlineStr">
        <is>
          <t>Confirmed Fact</t>
        </is>
      </c>
      <c r="I412" s="7" t="inlineStr">
        <is>
          <t>Transfer TR-00104 for MD-00104: posted 03/16/2026, inbound Mar 18, 2026, APR APR-00104.</t>
        </is>
      </c>
    </row>
    <row r="413">
      <c r="A413" s="7" t="inlineStr">
        <is>
          <t>MD-00104</t>
        </is>
      </c>
      <c r="B413" s="7" t="inlineStr">
        <is>
          <t>2026-05-31</t>
        </is>
      </c>
      <c r="C413" s="7" t="inlineStr">
        <is>
          <t>Offboarding Ticket</t>
        </is>
      </c>
      <c r="D413" s="7" t="inlineStr">
        <is>
          <t>E0092</t>
        </is>
      </c>
      <c r="E413" s="7" t="inlineStr">
        <is>
          <t>IT Service Desk</t>
        </is>
      </c>
      <c r="F413" s="7" t="inlineStr"/>
      <c r="G413" s="7" t="inlineStr">
        <is>
          <t>Ticket:RET-00104; Status:Pending Disposal</t>
        </is>
      </c>
      <c r="H413" s="7" t="inlineStr">
        <is>
          <t>Confirmed Fact</t>
        </is>
      </c>
      <c r="I413" s="7" t="inlineStr">
        <is>
          <t>Service desk RET-00104: Pending Disposal; return required No; due n/a. Ticket alone does not dock MD-00104.</t>
        </is>
      </c>
    </row>
    <row r="414">
      <c r="A414" s="7" t="inlineStr">
        <is>
          <t>MD-00104</t>
        </is>
      </c>
      <c r="B414" s="7" t="inlineStr">
        <is>
          <t>2026-05-31</t>
        </is>
      </c>
      <c r="C414" s="7" t="inlineStr">
        <is>
          <t>Technician Comment</t>
        </is>
      </c>
      <c r="D414" s="7" t="inlineStr">
        <is>
          <t>Service Desk</t>
        </is>
      </c>
      <c r="E414" s="7" t="inlineStr"/>
      <c r="F414" s="7" t="inlineStr"/>
      <c r="G414" s="7" t="inlineStr">
        <is>
          <t>Ticket:RET-00104</t>
        </is>
      </c>
      <c r="H414" s="7" t="inlineStr">
        <is>
          <t>Technician Claim</t>
        </is>
      </c>
      <c r="I414" s="7" t="inlineStr">
        <is>
          <t>Moved off the floor so it wouldn't get redeployed by accident. Ref MD-00104.</t>
        </is>
      </c>
    </row>
    <row r="415">
      <c r="A415" s="7" t="inlineStr">
        <is>
          <t>MD-00104</t>
        </is>
      </c>
      <c r="B415" s="7" t="inlineStr">
        <is>
          <t>2026-08-05</t>
        </is>
      </c>
      <c r="C415" s="7" t="inlineStr">
        <is>
          <t>Regional IT Note Lead</t>
        </is>
      </c>
      <c r="D415" s="7" t="inlineStr">
        <is>
          <t>Regional IT</t>
        </is>
      </c>
      <c r="E415" s="7" t="inlineStr"/>
      <c r="F415" s="7" t="inlineStr">
        <is>
          <t>Chicago - Closed</t>
        </is>
      </c>
      <c r="G415" s="7" t="inlineStr">
        <is>
          <t>regional_IT_notes.docx</t>
        </is>
      </c>
      <c r="H415" s="7" t="inlineStr">
        <is>
          <t>Technician Claim</t>
        </is>
      </c>
      <c r="I415" s="7" t="inlineStr">
        <is>
          <t>regional_IT_notes.docx checked for MD-00104; no corroborated RN entry found.</t>
        </is>
      </c>
    </row>
    <row r="416">
      <c r="A416" s="7" t="inlineStr">
        <is>
          <t>MD-00104</t>
        </is>
      </c>
      <c r="B416" s="7" t="inlineStr">
        <is>
          <t>2026-08-09</t>
        </is>
      </c>
      <c r="C416" s="7" t="inlineStr">
        <is>
          <t>Policy Control Figure</t>
        </is>
      </c>
      <c r="D416" s="7" t="inlineStr">
        <is>
          <t>ITAM-001</t>
        </is>
      </c>
      <c r="E416" s="7" t="inlineStr"/>
      <c r="F416" s="7" t="inlineStr"/>
      <c r="G416" s="7" t="inlineStr">
        <is>
          <t>ITAM_control_matrix.png; IT_asset_management_policy.pdf</t>
        </is>
      </c>
      <c r="H416" s="7" t="inlineStr">
        <is>
          <t>Confirmed Fact</t>
        </is>
      </c>
      <c r="I416" s="7" t="inlineStr">
        <is>
          <t>Policy figure sets assignment evidence expectations for MD-00104; chain row 416 remains the audit trail.</t>
        </is>
      </c>
    </row>
    <row r="417">
      <c r="A417" s="7" t="inlineStr">
        <is>
          <t>MD-00104</t>
        </is>
      </c>
      <c r="B417" s="7" t="inlineStr">
        <is>
          <t>2026-08-09</t>
        </is>
      </c>
      <c r="C417" s="7" t="inlineStr">
        <is>
          <t>Reconciliation Conclusion</t>
        </is>
      </c>
      <c r="D417" s="7" t="inlineStr">
        <is>
          <t>Evidence review</t>
        </is>
      </c>
      <c r="E417" s="7" t="inlineStr">
        <is>
          <t>Regional IT</t>
        </is>
      </c>
      <c r="F417" s="7" t="inlineStr">
        <is>
          <t>Dallas</t>
        </is>
      </c>
      <c r="G417" s="7" t="inlineStr">
        <is>
          <t>Ticket:RET-00104; Transfer:TR-00104; Certificate:missing; PO:PO-2025-0020; Ledger:FA-000104; PolicyFigure:ITAM_control_matrix.png</t>
        </is>
      </c>
      <c r="H417" s="7" t="inlineStr">
        <is>
          <t>Confirmed Fact</t>
        </is>
      </c>
      <c r="I417" s="7" t="inlineStr">
        <is>
          <t>Final status on MD-00104 — Retired/Pending Disposal, site Dallas, Medium. EX-0135, EX-0136.</t>
        </is>
      </c>
    </row>
    <row r="418">
      <c r="A418" s="7" t="inlineStr">
        <is>
          <t>MD-00105</t>
        </is>
      </c>
      <c r="B418" s="7" t="inlineStr">
        <is>
          <t>2023-10-10</t>
        </is>
      </c>
      <c r="C418" s="7" t="inlineStr">
        <is>
          <t>Purchase</t>
        </is>
      </c>
      <c r="D418" s="7" t="inlineStr">
        <is>
          <t>Vendor</t>
        </is>
      </c>
      <c r="E418" s="7" t="inlineStr">
        <is>
          <t>Central Receiving</t>
        </is>
      </c>
      <c r="F418" s="7" t="inlineStr">
        <is>
          <t>Atlanta Warehouse</t>
        </is>
      </c>
      <c r="G418" s="7" t="inlineStr">
        <is>
          <t>PO:PO-2025-0020</t>
        </is>
      </c>
      <c r="H418" s="7" t="inlineStr">
        <is>
          <t>Confirmed Fact</t>
        </is>
      </c>
      <c r="I418" s="7" t="inlineStr">
        <is>
          <t>Acquisition MD-00105: Dell Latitude 7440, $1850, PO PO-2025-0020.</t>
        </is>
      </c>
    </row>
    <row r="419">
      <c r="A419" s="7" t="inlineStr">
        <is>
          <t>MD-00105</t>
        </is>
      </c>
      <c r="B419" s="7" t="inlineStr">
        <is>
          <t>2026-04-10</t>
        </is>
      </c>
      <c r="C419" s="7" t="inlineStr">
        <is>
          <t>Assignment/Transfer</t>
        </is>
      </c>
      <c r="D419" s="7" t="inlineStr">
        <is>
          <t>Central Receiving</t>
        </is>
      </c>
      <c r="E419" s="7" t="inlineStr">
        <is>
          <t>Regional IT</t>
        </is>
      </c>
      <c r="F419" s="7" t="inlineStr">
        <is>
          <t>Denver</t>
        </is>
      </c>
      <c r="G419" s="7" t="inlineStr">
        <is>
          <t>Transfer:TR-00105; Approval:APR-00105</t>
        </is>
      </c>
      <c r="H419" s="7" t="inlineStr">
        <is>
          <t>Confirmed Fact</t>
        </is>
      </c>
      <c r="I419" s="7" t="inlineStr">
        <is>
          <t>Transfer TR-00105 for MD-00105: posted Apr 20, 2026, inbound 2026-04-21, APR APR-00105.</t>
        </is>
      </c>
    </row>
    <row r="420">
      <c r="A420" s="7" t="inlineStr">
        <is>
          <t>MD-00105</t>
        </is>
      </c>
      <c r="B420" s="7" t="inlineStr">
        <is>
          <t>2026-05-31</t>
        </is>
      </c>
      <c r="C420" s="7" t="inlineStr">
        <is>
          <t>Offboarding Ticket</t>
        </is>
      </c>
      <c r="D420" s="7" t="inlineStr">
        <is>
          <t>E0093</t>
        </is>
      </c>
      <c r="E420" s="7" t="inlineStr">
        <is>
          <t>IT Service Desk</t>
        </is>
      </c>
      <c r="F420" s="7" t="inlineStr"/>
      <c r="G420" s="7" t="inlineStr">
        <is>
          <t>Ticket:RET-00105; Status:Pending Disposal</t>
        </is>
      </c>
      <c r="H420" s="7" t="inlineStr">
        <is>
          <t>Confirmed Fact</t>
        </is>
      </c>
      <c r="I420" s="7" t="inlineStr">
        <is>
          <t>Service desk RET-00105: Pending Disposal; return required No; due n/a. Ticket alone does not dock MD-00105.</t>
        </is>
      </c>
    </row>
    <row r="421">
      <c r="A421" s="7" t="inlineStr">
        <is>
          <t>MD-00105</t>
        </is>
      </c>
      <c r="B421" s="7" t="inlineStr">
        <is>
          <t>2026-05-31</t>
        </is>
      </c>
      <c r="C421" s="7" t="inlineStr">
        <is>
          <t>Technician Comment</t>
        </is>
      </c>
      <c r="D421" s="7" t="inlineStr">
        <is>
          <t>Service Desk</t>
        </is>
      </c>
      <c r="E421" s="7" t="inlineStr"/>
      <c r="F421" s="7" t="inlineStr"/>
      <c r="G421" s="7" t="inlineStr">
        <is>
          <t>Ticket:RET-00105</t>
        </is>
      </c>
      <c r="H421" s="7" t="inlineStr">
        <is>
          <t>Technician Claim</t>
        </is>
      </c>
      <c r="I421" s="7" t="inlineStr">
        <is>
          <t>End-of-life; ticket is retirement not a people-return. Ref MD-00105.</t>
        </is>
      </c>
    </row>
    <row r="422">
      <c r="A422" s="7" t="inlineStr">
        <is>
          <t>MD-00105</t>
        </is>
      </c>
      <c r="B422" s="7" t="inlineStr">
        <is>
          <t>2026-08-05</t>
        </is>
      </c>
      <c r="C422" s="7" t="inlineStr">
        <is>
          <t>Regional IT Note Lead</t>
        </is>
      </c>
      <c r="D422" s="7" t="inlineStr">
        <is>
          <t>Regional IT</t>
        </is>
      </c>
      <c r="E422" s="7" t="inlineStr"/>
      <c r="F422" s="7" t="inlineStr">
        <is>
          <t>Denver - Closed</t>
        </is>
      </c>
      <c r="G422" s="7" t="inlineStr">
        <is>
          <t>regional_IT_notes.docx</t>
        </is>
      </c>
      <c r="H422" s="7" t="inlineStr">
        <is>
          <t>Technician Claim</t>
        </is>
      </c>
      <c r="I422" s="7" t="inlineStr">
        <is>
          <t>regional_IT_notes.docx checked for MD-00105; no corroborated RN entry found.</t>
        </is>
      </c>
    </row>
    <row r="423">
      <c r="A423" s="7" t="inlineStr">
        <is>
          <t>MD-00105</t>
        </is>
      </c>
      <c r="B423" s="7" t="inlineStr">
        <is>
          <t>2026-08-09</t>
        </is>
      </c>
      <c r="C423" s="7" t="inlineStr">
        <is>
          <t>Policy Control Figure</t>
        </is>
      </c>
      <c r="D423" s="7" t="inlineStr">
        <is>
          <t>ITAM-001</t>
        </is>
      </c>
      <c r="E423" s="7" t="inlineStr"/>
      <c r="F423" s="7" t="inlineStr"/>
      <c r="G423" s="7" t="inlineStr">
        <is>
          <t>ITAM_control_matrix.png; IT_asset_management_policy.pdf</t>
        </is>
      </c>
      <c r="H423" s="7" t="inlineStr">
        <is>
          <t>Confirmed Fact</t>
        </is>
      </c>
      <c r="I423" s="7" t="inlineStr">
        <is>
          <t>Read IT_asset_management_policy.pdf §4–§9 with the matrix financial line for MD-00105; cite chain row 423.</t>
        </is>
      </c>
    </row>
    <row r="424">
      <c r="A424" s="7" t="inlineStr">
        <is>
          <t>MD-00105</t>
        </is>
      </c>
      <c r="B424" s="7" t="inlineStr">
        <is>
          <t>2026-08-09</t>
        </is>
      </c>
      <c r="C424" s="7" t="inlineStr">
        <is>
          <t>Reconciliation Conclusion</t>
        </is>
      </c>
      <c r="D424" s="7" t="inlineStr">
        <is>
          <t>Evidence review</t>
        </is>
      </c>
      <c r="E424" s="7" t="inlineStr">
        <is>
          <t>Regional IT</t>
        </is>
      </c>
      <c r="F424" s="7" t="inlineStr">
        <is>
          <t>Denver</t>
        </is>
      </c>
      <c r="G424" s="7" t="inlineStr">
        <is>
          <t>Ticket:RET-00105; Transfer:TR-00105; Certificate:missing; PO:PO-2025-0020; Ledger:FA-000105; PolicyFigure:ITAM_control_matrix.png</t>
        </is>
      </c>
      <c r="H424" s="7" t="inlineStr">
        <is>
          <t>Confirmed Fact</t>
        </is>
      </c>
      <c r="I424" s="7" t="inlineStr">
        <is>
          <t>After review, MD-00105 remains Retired/Pending Disposal at Denver; Medium. EX-0137, EX-0138.</t>
        </is>
      </c>
    </row>
    <row r="425">
      <c r="A425" s="7" t="inlineStr">
        <is>
          <t>MD-00106</t>
        </is>
      </c>
      <c r="B425" s="7" t="inlineStr">
        <is>
          <t>2024-11-11</t>
        </is>
      </c>
      <c r="C425" s="7" t="inlineStr">
        <is>
          <t>Purchase</t>
        </is>
      </c>
      <c r="D425" s="7" t="inlineStr">
        <is>
          <t>Vendor</t>
        </is>
      </c>
      <c r="E425" s="7" t="inlineStr">
        <is>
          <t>Central Receiving</t>
        </is>
      </c>
      <c r="F425" s="7" t="inlineStr">
        <is>
          <t>Atlanta Warehouse</t>
        </is>
      </c>
      <c r="G425" s="7" t="inlineStr">
        <is>
          <t>PO:PO-2025-0020</t>
        </is>
      </c>
      <c r="H425" s="7" t="inlineStr">
        <is>
          <t>Confirmed Fact</t>
        </is>
      </c>
      <c r="I425" s="7" t="inlineStr">
        <is>
          <t>Vendor shipment for MD-00106 (HP EliteBook 840 G10) recorded at $565 on PO-2025-0020.</t>
        </is>
      </c>
    </row>
    <row r="426">
      <c r="A426" s="7" t="inlineStr">
        <is>
          <t>MD-00106</t>
        </is>
      </c>
      <c r="B426" s="7" t="inlineStr">
        <is>
          <t>2026-05-11</t>
        </is>
      </c>
      <c r="C426" s="7" t="inlineStr">
        <is>
          <t>Assignment/Transfer</t>
        </is>
      </c>
      <c r="D426" s="7" t="inlineStr">
        <is>
          <t>Central Receiving</t>
        </is>
      </c>
      <c r="E426" s="7" t="inlineStr">
        <is>
          <t>Regional IT</t>
        </is>
      </c>
      <c r="F426" s="7" t="inlineStr">
        <is>
          <t>New York</t>
        </is>
      </c>
      <c r="G426" s="7" t="inlineStr">
        <is>
          <t>Transfer:TR-00106; Approval:APR-00106</t>
        </is>
      </c>
      <c r="H426" s="7" t="inlineStr">
        <is>
          <t>Confirmed Fact</t>
        </is>
      </c>
      <c r="I426" s="7" t="inlineStr">
        <is>
          <t>Transfer TR-00106 for MD-00106: posted 2026-05-22, inbound 05/25/2026, APR APR-00106.</t>
        </is>
      </c>
    </row>
    <row r="427">
      <c r="A427" s="7" t="inlineStr">
        <is>
          <t>MD-00106</t>
        </is>
      </c>
      <c r="B427" s="7" t="inlineStr">
        <is>
          <t>2026-05-31</t>
        </is>
      </c>
      <c r="C427" s="7" t="inlineStr">
        <is>
          <t>Offboarding Ticket</t>
        </is>
      </c>
      <c r="D427" s="7" t="inlineStr">
        <is>
          <t>E0094</t>
        </is>
      </c>
      <c r="E427" s="7" t="inlineStr">
        <is>
          <t>IT Service Desk</t>
        </is>
      </c>
      <c r="F427" s="7" t="inlineStr"/>
      <c r="G427" s="7" t="inlineStr">
        <is>
          <t>Ticket:RET-00106; Status:Pending Disposal</t>
        </is>
      </c>
      <c r="H427" s="7" t="inlineStr">
        <is>
          <t>Confirmed Fact</t>
        </is>
      </c>
      <c r="I427" s="7" t="inlineStr">
        <is>
          <t>Service desk RET-00106: Pending Disposal; return required No; due n/a. Ticket alone does not dock MD-00106.</t>
        </is>
      </c>
    </row>
    <row r="428">
      <c r="A428" s="7" t="inlineStr">
        <is>
          <t>MD-00106</t>
        </is>
      </c>
      <c r="B428" s="7" t="inlineStr">
        <is>
          <t>2026-05-31</t>
        </is>
      </c>
      <c r="C428" s="7" t="inlineStr">
        <is>
          <t>Technician Comment</t>
        </is>
      </c>
      <c r="D428" s="7" t="inlineStr">
        <is>
          <t>Service Desk</t>
        </is>
      </c>
      <c r="E428" s="7" t="inlineStr"/>
      <c r="F428" s="7" t="inlineStr"/>
      <c r="G428" s="7" t="inlineStr">
        <is>
          <t>Ticket:RET-00106</t>
        </is>
      </c>
      <c r="H428" s="7" t="inlineStr">
        <is>
          <t>Technician Claim</t>
        </is>
      </c>
      <c r="I428" s="7" t="inlineStr">
        <is>
          <t>Sanitization scheduled. Don't treat as Available. Ref MD-00106.</t>
        </is>
      </c>
    </row>
    <row r="429">
      <c r="A429" s="7" t="inlineStr">
        <is>
          <t>MD-00106</t>
        </is>
      </c>
      <c r="B429" s="7" t="inlineStr">
        <is>
          <t>2026-08-05</t>
        </is>
      </c>
      <c r="C429" s="7" t="inlineStr">
        <is>
          <t>Regional IT Note Lead</t>
        </is>
      </c>
      <c r="D429" s="7" t="inlineStr">
        <is>
          <t>Regional IT</t>
        </is>
      </c>
      <c r="E429" s="7" t="inlineStr"/>
      <c r="F429" s="7" t="inlineStr">
        <is>
          <t>Chicago - Closed</t>
        </is>
      </c>
      <c r="G429" s="7" t="inlineStr">
        <is>
          <t>regional_IT_notes.docx</t>
        </is>
      </c>
      <c r="H429" s="7" t="inlineStr">
        <is>
          <t>Technician Claim</t>
        </is>
      </c>
      <c r="I429" s="7" t="inlineStr">
        <is>
          <t>regional_IT_notes.docx checked for MD-00106; no corroborated RN entry found.</t>
        </is>
      </c>
    </row>
    <row r="430">
      <c r="A430" s="7" t="inlineStr">
        <is>
          <t>MD-00106</t>
        </is>
      </c>
      <c r="B430" s="7" t="inlineStr">
        <is>
          <t>2026-08-09</t>
        </is>
      </c>
      <c r="C430" s="7" t="inlineStr">
        <is>
          <t>Policy Control Figure</t>
        </is>
      </c>
      <c r="D430" s="7" t="inlineStr">
        <is>
          <t>ITAM-001</t>
        </is>
      </c>
      <c r="E430" s="7" t="inlineStr"/>
      <c r="F430" s="7" t="inlineStr"/>
      <c r="G430" s="7" t="inlineStr">
        <is>
          <t>ITAM_control_matrix.png; IT_asset_management_policy.pdf</t>
        </is>
      </c>
      <c r="H430" s="7" t="inlineStr">
        <is>
          <t>Confirmed Fact</t>
        </is>
      </c>
      <c r="I430" s="7" t="inlineStr">
        <is>
          <t>ITAM_control_matrix.png Appendix A disposal row consulted while tracing MD-00106; transactional proof stays with chain row 430.</t>
        </is>
      </c>
    </row>
    <row r="431">
      <c r="A431" s="7" t="inlineStr">
        <is>
          <t>MD-00106</t>
        </is>
      </c>
      <c r="B431" s="7" t="inlineStr">
        <is>
          <t>2026-08-09</t>
        </is>
      </c>
      <c r="C431" s="7" t="inlineStr">
        <is>
          <t>Reconciliation Conclusion</t>
        </is>
      </c>
      <c r="D431" s="7" t="inlineStr">
        <is>
          <t>Evidence review</t>
        </is>
      </c>
      <c r="E431" s="7" t="inlineStr">
        <is>
          <t>Regional IT</t>
        </is>
      </c>
      <c r="F431" s="7" t="inlineStr">
        <is>
          <t>New York</t>
        </is>
      </c>
      <c r="G431" s="7" t="inlineStr">
        <is>
          <t>Ticket:RET-00106; Transfer:TR-00106; Certificate:missing; PO:PO-2025-0020; Ledger:FA-000106; PolicyFigure:ITAM_control_matrix.png</t>
        </is>
      </c>
      <c r="H431" s="7" t="inlineStr">
        <is>
          <t>Confirmed Fact</t>
        </is>
      </c>
      <c r="I431" s="7" t="inlineStr">
        <is>
          <t>Verified outcome MD-00106: Retired/Pending Disposal / New York (Medium). EX-0139, EX-0140.</t>
        </is>
      </c>
    </row>
    <row r="432">
      <c r="A432" s="7" t="inlineStr">
        <is>
          <t>MD-00107</t>
        </is>
      </c>
      <c r="B432" s="7" t="inlineStr">
        <is>
          <t>2025-12-12</t>
        </is>
      </c>
      <c r="C432" s="7" t="inlineStr">
        <is>
          <t>Purchase</t>
        </is>
      </c>
      <c r="D432" s="7" t="inlineStr">
        <is>
          <t>Vendor</t>
        </is>
      </c>
      <c r="E432" s="7" t="inlineStr">
        <is>
          <t>Central Receiving</t>
        </is>
      </c>
      <c r="F432" s="7" t="inlineStr">
        <is>
          <t>Atlanta Warehouse</t>
        </is>
      </c>
      <c r="G432" s="7" t="inlineStr">
        <is>
          <t>PO:PO-2022-0021</t>
        </is>
      </c>
      <c r="H432" s="7" t="inlineStr">
        <is>
          <t>Confirmed Fact</t>
        </is>
      </c>
      <c r="I432" s="7" t="inlineStr">
        <is>
          <t>Vendor shipment for MD-00107 (Microsoft Surface Laptop 5) recorded at $1040 on PO-2022-0021.</t>
        </is>
      </c>
    </row>
    <row r="433">
      <c r="A433" s="7" t="inlineStr">
        <is>
          <t>MD-00107</t>
        </is>
      </c>
      <c r="B433" s="7" t="inlineStr">
        <is>
          <t>2026-06-12</t>
        </is>
      </c>
      <c r="C433" s="7" t="inlineStr">
        <is>
          <t>Assignment/Transfer</t>
        </is>
      </c>
      <c r="D433" s="7" t="inlineStr">
        <is>
          <t>Central Receiving</t>
        </is>
      </c>
      <c r="E433" s="7" t="inlineStr">
        <is>
          <t>Regional IT</t>
        </is>
      </c>
      <c r="F433" s="7" t="inlineStr">
        <is>
          <t>Seattle</t>
        </is>
      </c>
      <c r="G433" s="7" t="inlineStr">
        <is>
          <t>Transfer:TR-00107; Approval:APR-00107</t>
        </is>
      </c>
      <c r="H433" s="7" t="inlineStr">
        <is>
          <t>Confirmed Fact</t>
        </is>
      </c>
      <c r="I433" s="7" t="inlineStr">
        <is>
          <t>Transfer TR-00107 for MD-00107: posted 06/26/2026, inbound Jun 27, 2026, APR APR-00107.</t>
        </is>
      </c>
    </row>
    <row r="434">
      <c r="A434" s="7" t="inlineStr">
        <is>
          <t>MD-00107</t>
        </is>
      </c>
      <c r="B434" s="7" t="inlineStr">
        <is>
          <t>2026-05-31</t>
        </is>
      </c>
      <c r="C434" s="7" t="inlineStr">
        <is>
          <t>Offboarding Ticket</t>
        </is>
      </c>
      <c r="D434" s="7" t="inlineStr">
        <is>
          <t>E0095</t>
        </is>
      </c>
      <c r="E434" s="7" t="inlineStr">
        <is>
          <t>IT Service Desk</t>
        </is>
      </c>
      <c r="F434" s="7" t="inlineStr"/>
      <c r="G434" s="7" t="inlineStr">
        <is>
          <t>Ticket:RET-00107; Status:Pending Disposal</t>
        </is>
      </c>
      <c r="H434" s="7" t="inlineStr">
        <is>
          <t>Confirmed Fact</t>
        </is>
      </c>
      <c r="I434" s="7" t="inlineStr">
        <is>
          <t>Service desk RET-00107: Pending Disposal; return required No; due n/a. Ticket alone does not dock MD-00107.</t>
        </is>
      </c>
    </row>
    <row r="435">
      <c r="A435" s="7" t="inlineStr">
        <is>
          <t>MD-00107</t>
        </is>
      </c>
      <c r="B435" s="7" t="inlineStr">
        <is>
          <t>2026-05-31</t>
        </is>
      </c>
      <c r="C435" s="7" t="inlineStr">
        <is>
          <t>Technician Comment</t>
        </is>
      </c>
      <c r="D435" s="7" t="inlineStr">
        <is>
          <t>Service Desk</t>
        </is>
      </c>
      <c r="E435" s="7" t="inlineStr"/>
      <c r="F435" s="7" t="inlineStr"/>
      <c r="G435" s="7" t="inlineStr">
        <is>
          <t>Ticket:RET-00107</t>
        </is>
      </c>
      <c r="H435" s="7" t="inlineStr">
        <is>
          <t>Technician Claim</t>
        </is>
      </c>
      <c r="I435" s="7" t="inlineStr">
        <is>
          <t>Pallet-side in Atlanta. Matching cert later if vendor lists the tag. Ref MD-00107.</t>
        </is>
      </c>
    </row>
    <row r="436">
      <c r="A436" s="7" t="inlineStr">
        <is>
          <t>MD-00107</t>
        </is>
      </c>
      <c r="B436" s="7" t="inlineStr">
        <is>
          <t>2026-08-05</t>
        </is>
      </c>
      <c r="C436" s="7" t="inlineStr">
        <is>
          <t>Regional IT Note Lead</t>
        </is>
      </c>
      <c r="D436" s="7" t="inlineStr">
        <is>
          <t>Regional IT</t>
        </is>
      </c>
      <c r="E436" s="7" t="inlineStr"/>
      <c r="F436" s="7" t="inlineStr">
        <is>
          <t>Denver - Closed</t>
        </is>
      </c>
      <c r="G436" s="7" t="inlineStr">
        <is>
          <t>regional_IT_notes.docx</t>
        </is>
      </c>
      <c r="H436" s="7" t="inlineStr">
        <is>
          <t>Technician Claim</t>
        </is>
      </c>
      <c r="I436" s="7" t="inlineStr">
        <is>
          <t>regional_IT_notes.docx checked for MD-00107; no corroborated RN entry found.</t>
        </is>
      </c>
    </row>
    <row r="437">
      <c r="A437" s="7" t="inlineStr">
        <is>
          <t>MD-00107</t>
        </is>
      </c>
      <c r="B437" s="7" t="inlineStr">
        <is>
          <t>2026-08-09</t>
        </is>
      </c>
      <c r="C437" s="7" t="inlineStr">
        <is>
          <t>Policy Control Figure</t>
        </is>
      </c>
      <c r="D437" s="7" t="inlineStr">
        <is>
          <t>ITAM-001</t>
        </is>
      </c>
      <c r="E437" s="7" t="inlineStr"/>
      <c r="F437" s="7" t="inlineStr"/>
      <c r="G437" s="7" t="inlineStr">
        <is>
          <t>ITAM_control_matrix.png; IT_asset_management_policy.pdf</t>
        </is>
      </c>
      <c r="H437" s="7" t="inlineStr">
        <is>
          <t>Confirmed Fact</t>
        </is>
      </c>
      <c r="I437" s="7" t="inlineStr">
        <is>
          <t>Policy figure sets transfer evidence expectations for MD-00107; chain row 437 remains the audit trail.</t>
        </is>
      </c>
    </row>
    <row r="438">
      <c r="A438" s="7" t="inlineStr">
        <is>
          <t>MD-00107</t>
        </is>
      </c>
      <c r="B438" s="7" t="inlineStr">
        <is>
          <t>2026-08-09</t>
        </is>
      </c>
      <c r="C438" s="7" t="inlineStr">
        <is>
          <t>Reconciliation Conclusion</t>
        </is>
      </c>
      <c r="D438" s="7" t="inlineStr">
        <is>
          <t>Evidence review</t>
        </is>
      </c>
      <c r="E438" s="7" t="inlineStr">
        <is>
          <t>Regional IT</t>
        </is>
      </c>
      <c r="F438" s="7" t="inlineStr">
        <is>
          <t>Seattle</t>
        </is>
      </c>
      <c r="G438" s="7" t="inlineStr">
        <is>
          <t>Ticket:RET-00107; Transfer:TR-00107; Certificate:missing; PO:PO-2022-0021; Ledger:FA-000107; PolicyFigure:ITAM_control_matrix.png</t>
        </is>
      </c>
      <c r="H438" s="7" t="inlineStr">
        <is>
          <t>Confirmed Fact</t>
        </is>
      </c>
      <c r="I438" s="7" t="inlineStr">
        <is>
          <t>After review, MD-00107 remains Retired/Pending Disposal at Seattle; Medium. EX-0141, EX-0142.</t>
        </is>
      </c>
    </row>
    <row r="439">
      <c r="A439" s="7" t="inlineStr">
        <is>
          <t>MD-00108</t>
        </is>
      </c>
      <c r="B439" s="7" t="inlineStr">
        <is>
          <t>2022-01-13</t>
        </is>
      </c>
      <c r="C439" s="7" t="inlineStr">
        <is>
          <t>Purchase</t>
        </is>
      </c>
      <c r="D439" s="7" t="inlineStr">
        <is>
          <t>Vendor</t>
        </is>
      </c>
      <c r="E439" s="7" t="inlineStr">
        <is>
          <t>Central Receiving</t>
        </is>
      </c>
      <c r="F439" s="7" t="inlineStr">
        <is>
          <t>Atlanta Warehouse</t>
        </is>
      </c>
      <c r="G439" s="7" t="inlineStr">
        <is>
          <t>PO:PO-2022-0021</t>
        </is>
      </c>
      <c r="H439" s="7" t="inlineStr">
        <is>
          <t>Confirmed Fact</t>
        </is>
      </c>
      <c r="I439" s="7" t="inlineStr">
        <is>
          <t>Vendor shipment for MD-00108 (Lenovo ThinkPad X1 Carbon) recorded at $6335 on PO-2022-0021.</t>
        </is>
      </c>
    </row>
    <row r="440">
      <c r="A440" s="7" t="inlineStr">
        <is>
          <t>MD-00108</t>
        </is>
      </c>
      <c r="B440" s="7" t="inlineStr">
        <is>
          <t>2026-01-13</t>
        </is>
      </c>
      <c r="C440" s="7" t="inlineStr">
        <is>
          <t>Assignment/Transfer</t>
        </is>
      </c>
      <c r="D440" s="7" t="inlineStr">
        <is>
          <t>Central Receiving</t>
        </is>
      </c>
      <c r="E440" s="7" t="inlineStr">
        <is>
          <t>Regional IT</t>
        </is>
      </c>
      <c r="F440" s="7" t="inlineStr">
        <is>
          <t>Atlanta</t>
        </is>
      </c>
      <c r="G440" s="7" t="inlineStr">
        <is>
          <t>Transfer:TR-00108; Approval:APR-00108</t>
        </is>
      </c>
      <c r="H440" s="7" t="inlineStr">
        <is>
          <t>Confirmed Fact</t>
        </is>
      </c>
      <c r="I440" s="7" t="inlineStr">
        <is>
          <t>Transfer TR-00108 for MD-00108: posted Jan 30, 2026, inbound 2026-01-30, APR APR-00108.</t>
        </is>
      </c>
    </row>
    <row r="441">
      <c r="A441" s="7" t="inlineStr">
        <is>
          <t>MD-00108</t>
        </is>
      </c>
      <c r="B441" s="7" t="inlineStr">
        <is>
          <t>2026-05-31</t>
        </is>
      </c>
      <c r="C441" s="7" t="inlineStr">
        <is>
          <t>Offboarding Ticket</t>
        </is>
      </c>
      <c r="D441" s="7" t="inlineStr">
        <is>
          <t>E0071</t>
        </is>
      </c>
      <c r="E441" s="7" t="inlineStr">
        <is>
          <t>IT Service Desk</t>
        </is>
      </c>
      <c r="F441" s="7" t="inlineStr"/>
      <c r="G441" s="7" t="inlineStr">
        <is>
          <t>Ticket:RET-00108; Status:Pending Disposal</t>
        </is>
      </c>
      <c r="H441" s="7" t="inlineStr">
        <is>
          <t>Confirmed Fact</t>
        </is>
      </c>
      <c r="I441" s="7" t="inlineStr">
        <is>
          <t>Service desk RET-00108: Pending Disposal; return required No; due n/a. Ticket alone does not dock MD-00108.</t>
        </is>
      </c>
    </row>
    <row r="442">
      <c r="A442" s="7" t="inlineStr">
        <is>
          <t>MD-00108</t>
        </is>
      </c>
      <c r="B442" s="7" t="inlineStr">
        <is>
          <t>2026-05-31</t>
        </is>
      </c>
      <c r="C442" s="7" t="inlineStr">
        <is>
          <t>Technician Comment</t>
        </is>
      </c>
      <c r="D442" s="7" t="inlineStr">
        <is>
          <t>Service Desk</t>
        </is>
      </c>
      <c r="E442" s="7" t="inlineStr"/>
      <c r="F442" s="7" t="inlineStr"/>
      <c r="G442" s="7" t="inlineStr">
        <is>
          <t>Ticket:RET-00108</t>
        </is>
      </c>
      <c r="H442" s="7" t="inlineStr">
        <is>
          <t>Technician Claim</t>
        </is>
      </c>
      <c r="I442" s="7" t="inlineStr">
        <is>
          <t>Removed from loaner pool. Status should stay pending disposal. Ref MD-00108.</t>
        </is>
      </c>
    </row>
    <row r="443">
      <c r="A443" s="7" t="inlineStr">
        <is>
          <t>MD-00108</t>
        </is>
      </c>
      <c r="B443" s="7" t="inlineStr">
        <is>
          <t>2026-08-05</t>
        </is>
      </c>
      <c r="C443" s="7" t="inlineStr">
        <is>
          <t>Regional IT Note Lead</t>
        </is>
      </c>
      <c r="D443" s="7" t="inlineStr">
        <is>
          <t>Regional IT</t>
        </is>
      </c>
      <c r="E443" s="7" t="inlineStr"/>
      <c r="F443" s="7" t="inlineStr">
        <is>
          <t>Chicago - Closed</t>
        </is>
      </c>
      <c r="G443" s="7" t="inlineStr">
        <is>
          <t>regional_IT_notes.docx</t>
        </is>
      </c>
      <c r="H443" s="7" t="inlineStr">
        <is>
          <t>Technician Claim</t>
        </is>
      </c>
      <c r="I443" s="7" t="inlineStr">
        <is>
          <t>regional_IT_notes.docx checked for MD-00108; no corroborated RN entry found.</t>
        </is>
      </c>
    </row>
    <row r="444">
      <c r="A444" s="7" t="inlineStr">
        <is>
          <t>MD-00108</t>
        </is>
      </c>
      <c r="B444" s="7" t="inlineStr">
        <is>
          <t>2026-08-09</t>
        </is>
      </c>
      <c r="C444" s="7" t="inlineStr">
        <is>
          <t>Policy Control Figure</t>
        </is>
      </c>
      <c r="D444" s="7" t="inlineStr">
        <is>
          <t>ITAM-001</t>
        </is>
      </c>
      <c r="E444" s="7" t="inlineStr"/>
      <c r="F444" s="7" t="inlineStr"/>
      <c r="G444" s="7" t="inlineStr">
        <is>
          <t>ITAM_control_matrix.png; IT_asset_management_policy.pdf</t>
        </is>
      </c>
      <c r="H444" s="7" t="inlineStr">
        <is>
          <t>Confirmed Fact</t>
        </is>
      </c>
      <c r="I444" s="7" t="inlineStr">
        <is>
          <t>Matrix assignment criteria applied to MD-00108; figure is reference, not inbound proof for chain row 444.</t>
        </is>
      </c>
    </row>
    <row r="445">
      <c r="A445" s="7" t="inlineStr">
        <is>
          <t>MD-00108</t>
        </is>
      </c>
      <c r="B445" s="7" t="inlineStr">
        <is>
          <t>2026-08-09</t>
        </is>
      </c>
      <c r="C445" s="7" t="inlineStr">
        <is>
          <t>Reconciliation Conclusion</t>
        </is>
      </c>
      <c r="D445" s="7" t="inlineStr">
        <is>
          <t>Evidence review</t>
        </is>
      </c>
      <c r="E445" s="7" t="inlineStr">
        <is>
          <t>Regional IT</t>
        </is>
      </c>
      <c r="F445" s="7" t="inlineStr">
        <is>
          <t>Atlanta</t>
        </is>
      </c>
      <c r="G445" s="7" t="inlineStr">
        <is>
          <t>Ticket:RET-00108; Transfer:TR-00108; Certificate:missing; PO:PO-2022-0021; Ledger:FA-000108; PolicyFigure:ITAM_control_matrix.png</t>
        </is>
      </c>
      <c r="H445" s="7" t="inlineStr">
        <is>
          <t>Confirmed Fact</t>
        </is>
      </c>
      <c r="I445" s="7" t="inlineStr">
        <is>
          <t>After review, MD-00108 remains Retired/Pending Disposal at Atlanta; Medium. EX-0143, EX-0144.</t>
        </is>
      </c>
    </row>
    <row r="446">
      <c r="A446" s="7" t="inlineStr">
        <is>
          <t>MD-00109</t>
        </is>
      </c>
      <c r="B446" s="7" t="inlineStr">
        <is>
          <t>2023-02-14</t>
        </is>
      </c>
      <c r="C446" s="7" t="inlineStr">
        <is>
          <t>Purchase</t>
        </is>
      </c>
      <c r="D446" s="7" t="inlineStr">
        <is>
          <t>Vendor</t>
        </is>
      </c>
      <c r="E446" s="7" t="inlineStr">
        <is>
          <t>Central Receiving</t>
        </is>
      </c>
      <c r="F446" s="7" t="inlineStr">
        <is>
          <t>Atlanta Warehouse</t>
        </is>
      </c>
      <c r="G446" s="7" t="inlineStr">
        <is>
          <t>PO:PO-2022-0021</t>
        </is>
      </c>
      <c r="H446" s="7" t="inlineStr">
        <is>
          <t>Confirmed Fact</t>
        </is>
      </c>
      <c r="I446" s="7" t="inlineStr">
        <is>
          <t>Vendor shipment for MD-00109 (Lenovo ThinkPad T14) recorded at $2030 on PO-2022-0021.</t>
        </is>
      </c>
    </row>
    <row r="447">
      <c r="A447" s="7" t="inlineStr">
        <is>
          <t>MD-00109</t>
        </is>
      </c>
      <c r="B447" s="7" t="inlineStr">
        <is>
          <t>2026-02-14</t>
        </is>
      </c>
      <c r="C447" s="7" t="inlineStr">
        <is>
          <t>Assignment/Transfer</t>
        </is>
      </c>
      <c r="D447" s="7" t="inlineStr">
        <is>
          <t>Central Receiving</t>
        </is>
      </c>
      <c r="E447" s="7" t="inlineStr">
        <is>
          <t>Regional IT</t>
        </is>
      </c>
      <c r="F447" s="7" t="inlineStr">
        <is>
          <t>Chicago</t>
        </is>
      </c>
      <c r="G447" s="7" t="inlineStr">
        <is>
          <t>Transfer:TR-00109; Approval:APR-00109</t>
        </is>
      </c>
      <c r="H447" s="7" t="inlineStr">
        <is>
          <t>Confirmed Fact</t>
        </is>
      </c>
      <c r="I447" s="7" t="inlineStr">
        <is>
          <t>Transfer TR-00109 for MD-00109: posted 2026-02-02, inbound 02/04/2026, APR APR-00109.</t>
        </is>
      </c>
    </row>
    <row r="448">
      <c r="A448" s="7" t="inlineStr">
        <is>
          <t>MD-00109</t>
        </is>
      </c>
      <c r="B448" s="7" t="inlineStr">
        <is>
          <t>2026-05-31</t>
        </is>
      </c>
      <c r="C448" s="7" t="inlineStr">
        <is>
          <t>Offboarding Ticket</t>
        </is>
      </c>
      <c r="D448" s="7" t="inlineStr">
        <is>
          <t>E0072</t>
        </is>
      </c>
      <c r="E448" s="7" t="inlineStr">
        <is>
          <t>IT Service Desk</t>
        </is>
      </c>
      <c r="F448" s="7" t="inlineStr"/>
      <c r="G448" s="7" t="inlineStr">
        <is>
          <t>Ticket:RET-00109; Status:Pending Disposal</t>
        </is>
      </c>
      <c r="H448" s="7" t="inlineStr">
        <is>
          <t>Confirmed Fact</t>
        </is>
      </c>
      <c r="I448" s="7" t="inlineStr">
        <is>
          <t>Service desk RET-00109: Pending Disposal; return required No; due n/a. Ticket alone does not dock MD-00109.</t>
        </is>
      </c>
    </row>
    <row r="449">
      <c r="A449" s="7" t="inlineStr">
        <is>
          <t>MD-00109</t>
        </is>
      </c>
      <c r="B449" s="7" t="inlineStr">
        <is>
          <t>2026-05-31</t>
        </is>
      </c>
      <c r="C449" s="7" t="inlineStr">
        <is>
          <t>Technician Comment</t>
        </is>
      </c>
      <c r="D449" s="7" t="inlineStr">
        <is>
          <t>Service Desk</t>
        </is>
      </c>
      <c r="E449" s="7" t="inlineStr"/>
      <c r="F449" s="7" t="inlineStr"/>
      <c r="G449" s="7" t="inlineStr">
        <is>
          <t>Ticket:RET-00109</t>
        </is>
      </c>
      <c r="H449" s="7" t="inlineStr">
        <is>
          <t>Technician Claim</t>
        </is>
      </c>
      <c r="I449" s="7" t="inlineStr">
        <is>
          <t>Broke hinge; cheaper to retire than repair. Ref MD-00109.</t>
        </is>
      </c>
    </row>
    <row r="450">
      <c r="A450" s="7" t="inlineStr">
        <is>
          <t>MD-00109</t>
        </is>
      </c>
      <c r="B450" s="7" t="inlineStr">
        <is>
          <t>2026-08-05</t>
        </is>
      </c>
      <c r="C450" s="7" t="inlineStr">
        <is>
          <t>Regional IT Note Lead</t>
        </is>
      </c>
      <c r="D450" s="7" t="inlineStr">
        <is>
          <t>Regional IT</t>
        </is>
      </c>
      <c r="E450" s="7" t="inlineStr"/>
      <c r="F450" s="7" t="inlineStr">
        <is>
          <t>Denver - Closed</t>
        </is>
      </c>
      <c r="G450" s="7" t="inlineStr">
        <is>
          <t>regional_IT_notes.docx</t>
        </is>
      </c>
      <c r="H450" s="7" t="inlineStr">
        <is>
          <t>Technician Claim</t>
        </is>
      </c>
      <c r="I450" s="7" t="inlineStr">
        <is>
          <t>regional_IT_notes.docx checked for MD-00109; no corroborated RN entry found.</t>
        </is>
      </c>
    </row>
    <row r="451">
      <c r="A451" s="7" t="inlineStr">
        <is>
          <t>MD-00109</t>
        </is>
      </c>
      <c r="B451" s="7" t="inlineStr">
        <is>
          <t>2026-08-09</t>
        </is>
      </c>
      <c r="C451" s="7" t="inlineStr">
        <is>
          <t>Policy Control Figure</t>
        </is>
      </c>
      <c r="D451" s="7" t="inlineStr">
        <is>
          <t>ITAM-001</t>
        </is>
      </c>
      <c r="E451" s="7" t="inlineStr"/>
      <c r="F451" s="7" t="inlineStr"/>
      <c r="G451" s="7" t="inlineStr">
        <is>
          <t>ITAM_control_matrix.png; IT_asset_management_policy.pdf</t>
        </is>
      </c>
      <c r="H451" s="7" t="inlineStr">
        <is>
          <t>Confirmed Fact</t>
        </is>
      </c>
      <c r="I451" s="7" t="inlineStr">
        <is>
          <t>Read IT_asset_management_policy.pdf §4–§9 with the matrix financial line for MD-00109; cite chain row 451.</t>
        </is>
      </c>
    </row>
    <row r="452">
      <c r="A452" s="7" t="inlineStr">
        <is>
          <t>MD-00109</t>
        </is>
      </c>
      <c r="B452" s="7" t="inlineStr">
        <is>
          <t>2026-08-09</t>
        </is>
      </c>
      <c r="C452" s="7" t="inlineStr">
        <is>
          <t>Reconciliation Conclusion</t>
        </is>
      </c>
      <c r="D452" s="7" t="inlineStr">
        <is>
          <t>Evidence review</t>
        </is>
      </c>
      <c r="E452" s="7" t="inlineStr">
        <is>
          <t>Regional IT</t>
        </is>
      </c>
      <c r="F452" s="7" t="inlineStr">
        <is>
          <t>Chicago</t>
        </is>
      </c>
      <c r="G452" s="7" t="inlineStr">
        <is>
          <t>Ticket:RET-00109; Transfer:TR-00109; Certificate:missing; PO:PO-2022-0021; Ledger:FA-000109; PolicyFigure:ITAM_control_matrix.png</t>
        </is>
      </c>
      <c r="H452" s="7" t="inlineStr">
        <is>
          <t>Confirmed Fact</t>
        </is>
      </c>
      <c r="I452" s="7" t="inlineStr">
        <is>
          <t>Chain ends with MD-00109 as Retired/Pending Disposal in Chicago; confidence Medium. EX-0145, EX-0146.</t>
        </is>
      </c>
    </row>
    <row r="453">
      <c r="A453" s="7" t="inlineStr">
        <is>
          <t>MD-00110</t>
        </is>
      </c>
      <c r="B453" s="7" t="inlineStr">
        <is>
          <t>2024-03-15</t>
        </is>
      </c>
      <c r="C453" s="7" t="inlineStr">
        <is>
          <t>Purchase</t>
        </is>
      </c>
      <c r="D453" s="7" t="inlineStr">
        <is>
          <t>Vendor</t>
        </is>
      </c>
      <c r="E453" s="7" t="inlineStr">
        <is>
          <t>Central Receiving</t>
        </is>
      </c>
      <c r="F453" s="7" t="inlineStr">
        <is>
          <t>Atlanta Warehouse</t>
        </is>
      </c>
      <c r="G453" s="7" t="inlineStr">
        <is>
          <t>PO:PO-2022-0021</t>
        </is>
      </c>
      <c r="H453" s="7" t="inlineStr">
        <is>
          <t>Confirmed Fact</t>
        </is>
      </c>
      <c r="I453" s="7" t="inlineStr">
        <is>
          <t>PO PO-2022-0021 covers MD-00110 (Dell Latitude 7440) for $745.</t>
        </is>
      </c>
    </row>
    <row r="454">
      <c r="A454" s="7" t="inlineStr">
        <is>
          <t>MD-00110</t>
        </is>
      </c>
      <c r="B454" s="7" t="inlineStr">
        <is>
          <t>2026-03-15</t>
        </is>
      </c>
      <c r="C454" s="7" t="inlineStr">
        <is>
          <t>Assignment/Transfer</t>
        </is>
      </c>
      <c r="D454" s="7" t="inlineStr">
        <is>
          <t>Central Receiving</t>
        </is>
      </c>
      <c r="E454" s="7" t="inlineStr">
        <is>
          <t>Regional IT</t>
        </is>
      </c>
      <c r="F454" s="7" t="inlineStr">
        <is>
          <t>Dallas</t>
        </is>
      </c>
      <c r="G454" s="7" t="inlineStr">
        <is>
          <t>Transfer:TR-00110; Approval:APR-00110</t>
        </is>
      </c>
      <c r="H454" s="7" t="inlineStr">
        <is>
          <t>Confirmed Fact</t>
        </is>
      </c>
      <c r="I454" s="7" t="inlineStr">
        <is>
          <t>Transfer TR-00110 for MD-00110: posted 03/07/2026, inbound Mar 08, 2026, APR APR-00110.</t>
        </is>
      </c>
    </row>
    <row r="455">
      <c r="A455" s="7" t="inlineStr">
        <is>
          <t>MD-00110</t>
        </is>
      </c>
      <c r="B455" s="7" t="inlineStr">
        <is>
          <t>2026-05-31</t>
        </is>
      </c>
      <c r="C455" s="7" t="inlineStr">
        <is>
          <t>Offboarding Ticket</t>
        </is>
      </c>
      <c r="D455" s="7" t="inlineStr">
        <is>
          <t>E0073</t>
        </is>
      </c>
      <c r="E455" s="7" t="inlineStr">
        <is>
          <t>IT Service Desk</t>
        </is>
      </c>
      <c r="F455" s="7" t="inlineStr"/>
      <c r="G455" s="7" t="inlineStr">
        <is>
          <t>Ticket:RET-00110; Status:Pending Disposal</t>
        </is>
      </c>
      <c r="H455" s="7" t="inlineStr">
        <is>
          <t>Confirmed Fact</t>
        </is>
      </c>
      <c r="I455" s="7" t="inlineStr">
        <is>
          <t>Service desk RET-00110: Pending Disposal; return required No; due n/a. Ticket alone does not dock MD-00110.</t>
        </is>
      </c>
    </row>
    <row r="456">
      <c r="A456" s="7" t="inlineStr">
        <is>
          <t>MD-00110</t>
        </is>
      </c>
      <c r="B456" s="7" t="inlineStr">
        <is>
          <t>2026-05-31</t>
        </is>
      </c>
      <c r="C456" s="7" t="inlineStr">
        <is>
          <t>Technician Comment</t>
        </is>
      </c>
      <c r="D456" s="7" t="inlineStr">
        <is>
          <t>Service Desk</t>
        </is>
      </c>
      <c r="E456" s="7" t="inlineStr"/>
      <c r="F456" s="7" t="inlineStr"/>
      <c r="G456" s="7" t="inlineStr">
        <is>
          <t>Ticket:RET-00110</t>
        </is>
      </c>
      <c r="H456" s="7" t="inlineStr">
        <is>
          <t>Technician Claim</t>
        </is>
      </c>
      <c r="I456" s="7" t="inlineStr">
        <is>
          <t>Hold for 800-88 wipe before vendor pickup. Ref MD-00110.</t>
        </is>
      </c>
    </row>
    <row r="457">
      <c r="A457" s="7" t="inlineStr">
        <is>
          <t>MD-00110</t>
        </is>
      </c>
      <c r="B457" s="7" t="inlineStr">
        <is>
          <t>2026-08-05</t>
        </is>
      </c>
      <c r="C457" s="7" t="inlineStr">
        <is>
          <t>Regional IT Note Lead</t>
        </is>
      </c>
      <c r="D457" s="7" t="inlineStr">
        <is>
          <t>Regional IT</t>
        </is>
      </c>
      <c r="E457" s="7" t="inlineStr"/>
      <c r="F457" s="7" t="inlineStr">
        <is>
          <t>Chicago - Closed</t>
        </is>
      </c>
      <c r="G457" s="7" t="inlineStr">
        <is>
          <t>regional_IT_notes.docx</t>
        </is>
      </c>
      <c r="H457" s="7" t="inlineStr">
        <is>
          <t>Technician Claim</t>
        </is>
      </c>
      <c r="I457" s="7" t="inlineStr">
        <is>
          <t>regional_IT_notes.docx checked for MD-00110; no corroborated RN entry found.</t>
        </is>
      </c>
    </row>
    <row r="458">
      <c r="A458" s="7" t="inlineStr">
        <is>
          <t>MD-00110</t>
        </is>
      </c>
      <c r="B458" s="7" t="inlineStr">
        <is>
          <t>2026-08-09</t>
        </is>
      </c>
      <c r="C458" s="7" t="inlineStr">
        <is>
          <t>Policy Control Figure</t>
        </is>
      </c>
      <c r="D458" s="7" t="inlineStr">
        <is>
          <t>ITAM-001</t>
        </is>
      </c>
      <c r="E458" s="7" t="inlineStr"/>
      <c r="F458" s="7" t="inlineStr"/>
      <c r="G458" s="7" t="inlineStr">
        <is>
          <t>ITAM_control_matrix.png; IT_asset_management_policy.pdf</t>
        </is>
      </c>
      <c r="H458" s="7" t="inlineStr">
        <is>
          <t>Confirmed Fact</t>
        </is>
      </c>
      <c r="I458" s="7" t="inlineStr">
        <is>
          <t>Policy figure sets disposal evidence expectations for MD-00110; chain row 458 remains the audit trail.</t>
        </is>
      </c>
    </row>
    <row r="459">
      <c r="A459" s="7" t="inlineStr">
        <is>
          <t>MD-00110</t>
        </is>
      </c>
      <c r="B459" s="7" t="inlineStr">
        <is>
          <t>2026-08-09</t>
        </is>
      </c>
      <c r="C459" s="7" t="inlineStr">
        <is>
          <t>Reconciliation Conclusion</t>
        </is>
      </c>
      <c r="D459" s="7" t="inlineStr">
        <is>
          <t>Evidence review</t>
        </is>
      </c>
      <c r="E459" s="7" t="inlineStr">
        <is>
          <t>Regional IT</t>
        </is>
      </c>
      <c r="F459" s="7" t="inlineStr">
        <is>
          <t>Dallas</t>
        </is>
      </c>
      <c r="G459" s="7" t="inlineStr">
        <is>
          <t>Ticket:RET-00110; Transfer:TR-00110; Certificate:missing; PO:PO-2022-0021; Ledger:FA-000110; PolicyFigure:ITAM_control_matrix.png</t>
        </is>
      </c>
      <c r="H459" s="7" t="inlineStr">
        <is>
          <t>Confirmed Fact</t>
        </is>
      </c>
      <c r="I459" s="7" t="inlineStr">
        <is>
          <t>Chain ends with MD-00110 as Retired/Pending Disposal in Dallas; confidence Medium. EX-0147, EX-0148.</t>
        </is>
      </c>
    </row>
    <row r="460">
      <c r="A460" s="7" t="inlineStr">
        <is>
          <t>MD-00114</t>
        </is>
      </c>
      <c r="B460" s="7" t="inlineStr">
        <is>
          <t>2024-07-19</t>
        </is>
      </c>
      <c r="C460" s="7" t="inlineStr">
        <is>
          <t>Purchase</t>
        </is>
      </c>
      <c r="D460" s="7" t="inlineStr">
        <is>
          <t>Vendor</t>
        </is>
      </c>
      <c r="E460" s="7" t="inlineStr">
        <is>
          <t>Central Receiving</t>
        </is>
      </c>
      <c r="F460" s="7" t="inlineStr">
        <is>
          <t>Atlanta Warehouse</t>
        </is>
      </c>
      <c r="G460" s="7" t="inlineStr">
        <is>
          <t>PO:PO-2024-0024</t>
        </is>
      </c>
      <c r="H460" s="7" t="inlineStr">
        <is>
          <t>Confirmed Fact</t>
        </is>
      </c>
      <c r="I460" s="7" t="inlineStr">
        <is>
          <t>PO PO-2024-0024 covers MD-00114 (Lenovo ThinkPad T14) for $610.</t>
        </is>
      </c>
    </row>
    <row r="461">
      <c r="A461" s="7" t="inlineStr">
        <is>
          <t>MD-00114</t>
        </is>
      </c>
      <c r="B461" s="7" t="inlineStr">
        <is>
          <t>2026-01-19</t>
        </is>
      </c>
      <c r="C461" s="7" t="inlineStr">
        <is>
          <t>Assignment/Transfer</t>
        </is>
      </c>
      <c r="D461" s="7" t="inlineStr">
        <is>
          <t>Central Receiving</t>
        </is>
      </c>
      <c r="E461" s="7" t="inlineStr">
        <is>
          <t>Certified Recycler</t>
        </is>
      </c>
      <c r="F461" s="7" t="inlineStr">
        <is>
          <t>Disposed</t>
        </is>
      </c>
      <c r="G461" s="7" t="inlineStr">
        <is>
          <t>Transfer:TR-00114; Approval:APR-00114</t>
        </is>
      </c>
      <c r="H461" s="7" t="inlineStr">
        <is>
          <t>Confirmed Fact</t>
        </is>
      </c>
      <c r="I461" s="7" t="inlineStr">
        <is>
          <t>Transfer TR-00114 for MD-00114: posted Jan 22, 2026, inbound 2026-01-22, APR APR-00114.</t>
        </is>
      </c>
    </row>
    <row r="462">
      <c r="A462" s="7" t="inlineStr">
        <is>
          <t>MD-00114</t>
        </is>
      </c>
      <c r="B462" s="7" t="inlineStr">
        <is>
          <t>2026-05-31</t>
        </is>
      </c>
      <c r="C462" s="7" t="inlineStr">
        <is>
          <t>Offboarding Ticket</t>
        </is>
      </c>
      <c r="D462" s="7" t="inlineStr">
        <is>
          <t>E0077</t>
        </is>
      </c>
      <c r="E462" s="7" t="inlineStr">
        <is>
          <t>IT Service Desk</t>
        </is>
      </c>
      <c r="F462" s="7" t="inlineStr"/>
      <c r="G462" s="7" t="inlineStr">
        <is>
          <t>Ticket:RET-00114; Status:Closed</t>
        </is>
      </c>
      <c r="H462" s="7" t="inlineStr">
        <is>
          <t>Confirmed Fact</t>
        </is>
      </c>
      <c r="I462" s="7" t="inlineStr">
        <is>
          <t>Service desk RET-00114: Closed; return required No; due n/a. Ticket alone does not dock MD-00114.</t>
        </is>
      </c>
    </row>
    <row r="463">
      <c r="A463" s="7" t="inlineStr">
        <is>
          <t>MD-00114</t>
        </is>
      </c>
      <c r="B463" s="7" t="inlineStr">
        <is>
          <t>2026-05-31</t>
        </is>
      </c>
      <c r="C463" s="7" t="inlineStr">
        <is>
          <t>Technician Comment</t>
        </is>
      </c>
      <c r="D463" s="7" t="inlineStr">
        <is>
          <t>Service Desk</t>
        </is>
      </c>
      <c r="E463" s="7" t="inlineStr"/>
      <c r="F463" s="7" t="inlineStr"/>
      <c r="G463" s="7" t="inlineStr">
        <is>
          <t>Ticket:RET-00114</t>
        </is>
      </c>
      <c r="H463" s="7" t="inlineStr">
        <is>
          <t>Technician Claim</t>
        </is>
      </c>
      <c r="I463" s="7" t="inlineStr">
        <is>
          <t>I'm not marking Available; it's in the retire queue. Ref MD-00114.</t>
        </is>
      </c>
    </row>
    <row r="464">
      <c r="A464" s="7" t="inlineStr">
        <is>
          <t>MD-00114</t>
        </is>
      </c>
      <c r="B464" s="7" t="inlineStr">
        <is>
          <t>2026-01-20</t>
        </is>
      </c>
      <c r="C464" s="7" t="inlineStr">
        <is>
          <t>Disposal Evidence Gap</t>
        </is>
      </c>
      <c r="D464" s="7" t="inlineStr">
        <is>
          <t>Central Receiving</t>
        </is>
      </c>
      <c r="E464" s="7" t="inlineStr">
        <is>
          <t>Certified Recycler</t>
        </is>
      </c>
      <c r="F464" s="7" t="inlineStr">
        <is>
          <t>Disposed</t>
        </is>
      </c>
      <c r="G464" s="7" t="inlineStr">
        <is>
          <t>Transfer:TR-00114; Certificate:missing</t>
        </is>
      </c>
      <c r="H464" s="7" t="inlineStr">
        <is>
          <t>Unresolved Assumption</t>
        </is>
      </c>
      <c r="I464" s="7" t="inlineStr">
        <is>
          <t>Recycler move for MD-00114 lacks matching disposal certificate (TR-00114).</t>
        </is>
      </c>
    </row>
    <row r="465">
      <c r="A465" s="7" t="inlineStr">
        <is>
          <t>MD-00114</t>
        </is>
      </c>
      <c r="B465" s="7" t="inlineStr">
        <is>
          <t>2026-08-05</t>
        </is>
      </c>
      <c r="C465" s="7" t="inlineStr">
        <is>
          <t>Regional IT Note Lead</t>
        </is>
      </c>
      <c r="D465" s="7" t="inlineStr">
        <is>
          <t>Regional IT</t>
        </is>
      </c>
      <c r="E465" s="7" t="inlineStr"/>
      <c r="F465" s="7" t="inlineStr">
        <is>
          <t>Chicago - Closed</t>
        </is>
      </c>
      <c r="G465" s="7" t="inlineStr">
        <is>
          <t>regional_IT_notes.docx</t>
        </is>
      </c>
      <c r="H465" s="7" t="inlineStr">
        <is>
          <t>Technician Claim</t>
        </is>
      </c>
      <c r="I465" s="7" t="inlineStr">
        <is>
          <t>regional_IT_notes.docx checked for MD-00114; no corroborated RN entry found.</t>
        </is>
      </c>
    </row>
    <row r="466">
      <c r="A466" s="7" t="inlineStr">
        <is>
          <t>MD-00114</t>
        </is>
      </c>
      <c r="B466" s="7" t="inlineStr">
        <is>
          <t>2026-08-09</t>
        </is>
      </c>
      <c r="C466" s="7" t="inlineStr">
        <is>
          <t>Policy Control Figure</t>
        </is>
      </c>
      <c r="D466" s="7" t="inlineStr">
        <is>
          <t>ITAM-001</t>
        </is>
      </c>
      <c r="E466" s="7" t="inlineStr"/>
      <c r="F466" s="7" t="inlineStr"/>
      <c r="G466" s="7" t="inlineStr">
        <is>
          <t>ITAM_control_matrix.png; IT_asset_management_policy.pdf</t>
        </is>
      </c>
      <c r="H466" s="7" t="inlineStr">
        <is>
          <t>Confirmed Fact</t>
        </is>
      </c>
      <c r="I466" s="7" t="inlineStr">
        <is>
          <t>Policy figure sets transfer evidence expectations for MD-00114; chain row 466 remains the audit trail.</t>
        </is>
      </c>
    </row>
    <row r="467">
      <c r="A467" s="7" t="inlineStr">
        <is>
          <t>MD-00114</t>
        </is>
      </c>
      <c r="B467" s="7" t="inlineStr">
        <is>
          <t>2026-08-09</t>
        </is>
      </c>
      <c r="C467" s="7" t="inlineStr">
        <is>
          <t>Reconciliation Conclusion</t>
        </is>
      </c>
      <c r="D467" s="7" t="inlineStr">
        <is>
          <t>Evidence review</t>
        </is>
      </c>
      <c r="E467" s="7" t="inlineStr">
        <is>
          <t>Certified Recycler</t>
        </is>
      </c>
      <c r="F467" s="7" t="inlineStr">
        <is>
          <t>Disposed (certificate missing)</t>
        </is>
      </c>
      <c r="G467" s="7" t="inlineStr">
        <is>
          <t>Transfer:TR-00114; Certificate:missing; Ticket:RET-00114; PO:PO-2024-0024; Ledger:FA-000114; PolicyFigure:ITAM_control_matrix.png</t>
        </is>
      </c>
      <c r="H467" s="7" t="inlineStr">
        <is>
          <t>Unresolved Assumption</t>
        </is>
      </c>
      <c r="I467" s="7" t="inlineStr">
        <is>
          <t>Critical certification blocker — final status on MD-00114: Retired/Pending Disposal, site Disposed (certificate missing), Low. EX-0149, EX-0150.</t>
        </is>
      </c>
    </row>
    <row r="468">
      <c r="A468" s="7" t="inlineStr">
        <is>
          <t>MD-00118</t>
        </is>
      </c>
      <c r="B468" s="7" t="inlineStr">
        <is>
          <t>2024-11-23</t>
        </is>
      </c>
      <c r="C468" s="7" t="inlineStr">
        <is>
          <t>Purchase</t>
        </is>
      </c>
      <c r="D468" s="7" t="inlineStr">
        <is>
          <t>Vendor</t>
        </is>
      </c>
      <c r="E468" s="7" t="inlineStr">
        <is>
          <t>Central Receiving</t>
        </is>
      </c>
      <c r="F468" s="7" t="inlineStr">
        <is>
          <t>Atlanta Warehouse</t>
        </is>
      </c>
      <c r="G468" s="7" t="inlineStr">
        <is>
          <t>PO:PO-2024-0024</t>
        </is>
      </c>
      <c r="H468" s="7" t="inlineStr">
        <is>
          <t>Confirmed Fact</t>
        </is>
      </c>
      <c r="I468" s="7" t="inlineStr">
        <is>
          <t>Vendor shipment for MD-00118 (Microsoft Surface Laptop 5) recorded at $790 on PO-2024-0024.</t>
        </is>
      </c>
    </row>
    <row r="469">
      <c r="A469" s="7" t="inlineStr">
        <is>
          <t>MD-00118</t>
        </is>
      </c>
      <c r="B469" s="7" t="inlineStr">
        <is>
          <t>2026-05-23</t>
        </is>
      </c>
      <c r="C469" s="7" t="inlineStr">
        <is>
          <t>Assignment/Transfer</t>
        </is>
      </c>
      <c r="D469" s="7" t="inlineStr">
        <is>
          <t>Central Receiving</t>
        </is>
      </c>
      <c r="E469" s="7" t="inlineStr">
        <is>
          <t>Certified Recycler</t>
        </is>
      </c>
      <c r="F469" s="7" t="inlineStr">
        <is>
          <t>Disposed</t>
        </is>
      </c>
      <c r="G469" s="7" t="inlineStr">
        <is>
          <t>Transfer:TR-00118; Approval:APR-00118</t>
        </is>
      </c>
      <c r="H469" s="7" t="inlineStr">
        <is>
          <t>Confirmed Fact</t>
        </is>
      </c>
      <c r="I469" s="7" t="inlineStr">
        <is>
          <t>Transfer TR-00118 for MD-00118: posted Jun 03, 2026, inbound 2026-06-04, APR APR-00118.</t>
        </is>
      </c>
    </row>
    <row r="470">
      <c r="A470" s="7" t="inlineStr">
        <is>
          <t>MD-00118</t>
        </is>
      </c>
      <c r="B470" s="7" t="inlineStr">
        <is>
          <t>2026-05-31</t>
        </is>
      </c>
      <c r="C470" s="7" t="inlineStr">
        <is>
          <t>Offboarding Ticket</t>
        </is>
      </c>
      <c r="D470" s="7" t="inlineStr">
        <is>
          <t>E0081</t>
        </is>
      </c>
      <c r="E470" s="7" t="inlineStr">
        <is>
          <t>IT Service Desk</t>
        </is>
      </c>
      <c r="F470" s="7" t="inlineStr"/>
      <c r="G470" s="7" t="inlineStr">
        <is>
          <t>Ticket:RET-00118; Status:Closed</t>
        </is>
      </c>
      <c r="H470" s="7" t="inlineStr">
        <is>
          <t>Confirmed Fact</t>
        </is>
      </c>
      <c r="I470" s="7" t="inlineStr">
        <is>
          <t>Service desk RET-00118: Closed; return required No; due n/a. Ticket alone does not dock MD-00118.</t>
        </is>
      </c>
    </row>
    <row r="471">
      <c r="A471" s="7" t="inlineStr">
        <is>
          <t>MD-00118</t>
        </is>
      </c>
      <c r="B471" s="7" t="inlineStr">
        <is>
          <t>2026-05-31</t>
        </is>
      </c>
      <c r="C471" s="7" t="inlineStr">
        <is>
          <t>Technician Comment</t>
        </is>
      </c>
      <c r="D471" s="7" t="inlineStr">
        <is>
          <t>Service Desk</t>
        </is>
      </c>
      <c r="E471" s="7" t="inlineStr"/>
      <c r="F471" s="7" t="inlineStr"/>
      <c r="G471" s="7" t="inlineStr">
        <is>
          <t>Ticket:RET-00118</t>
        </is>
      </c>
      <c r="H471" s="7" t="inlineStr">
        <is>
          <t>Technician Claim</t>
        </is>
      </c>
      <c r="I471" s="7" t="inlineStr">
        <is>
          <t>Serial confirmed on the pallet list; certificate row may still be missing. Ref MD-00118.</t>
        </is>
      </c>
    </row>
    <row r="472">
      <c r="A472" s="7" t="inlineStr">
        <is>
          <t>MD-00118</t>
        </is>
      </c>
      <c r="B472" s="7" t="inlineStr">
        <is>
          <t>2026-05-24</t>
        </is>
      </c>
      <c r="C472" s="7" t="inlineStr">
        <is>
          <t>Disposal Evidence Gap</t>
        </is>
      </c>
      <c r="D472" s="7" t="inlineStr">
        <is>
          <t>Central Receiving</t>
        </is>
      </c>
      <c r="E472" s="7" t="inlineStr">
        <is>
          <t>Certified Recycler</t>
        </is>
      </c>
      <c r="F472" s="7" t="inlineStr">
        <is>
          <t>Disposed</t>
        </is>
      </c>
      <c r="G472" s="7" t="inlineStr">
        <is>
          <t>Transfer:TR-00118; Certificate:missing</t>
        </is>
      </c>
      <c r="H472" s="7" t="inlineStr">
        <is>
          <t>Unresolved Assumption</t>
        </is>
      </c>
      <c r="I472" s="7" t="inlineStr">
        <is>
          <t>Recycler move for MD-00118 lacks matching disposal certificate (TR-00118).</t>
        </is>
      </c>
    </row>
    <row r="473">
      <c r="A473" s="7" t="inlineStr">
        <is>
          <t>MD-00118</t>
        </is>
      </c>
      <c r="B473" s="7" t="inlineStr">
        <is>
          <t>2026-08-05</t>
        </is>
      </c>
      <c r="C473" s="7" t="inlineStr">
        <is>
          <t>Regional IT Note Lead</t>
        </is>
      </c>
      <c r="D473" s="7" t="inlineStr">
        <is>
          <t>Regional IT</t>
        </is>
      </c>
      <c r="E473" s="7" t="inlineStr"/>
      <c r="F473" s="7" t="inlineStr">
        <is>
          <t>Chicago - Closed</t>
        </is>
      </c>
      <c r="G473" s="7" t="inlineStr">
        <is>
          <t>regional_IT_notes.docx</t>
        </is>
      </c>
      <c r="H473" s="7" t="inlineStr">
        <is>
          <t>Technician Claim</t>
        </is>
      </c>
      <c r="I473" s="7" t="inlineStr">
        <is>
          <t>regional_IT_notes.docx checked for MD-00118; no corroborated RN entry found.</t>
        </is>
      </c>
    </row>
    <row r="474">
      <c r="A474" s="7" t="inlineStr">
        <is>
          <t>MD-00118</t>
        </is>
      </c>
      <c r="B474" s="7" t="inlineStr">
        <is>
          <t>2026-08-09</t>
        </is>
      </c>
      <c r="C474" s="7" t="inlineStr">
        <is>
          <t>Policy Control Figure</t>
        </is>
      </c>
      <c r="D474" s="7" t="inlineStr">
        <is>
          <t>ITAM-001</t>
        </is>
      </c>
      <c r="E474" s="7" t="inlineStr"/>
      <c r="F474" s="7" t="inlineStr"/>
      <c r="G474" s="7" t="inlineStr">
        <is>
          <t>ITAM_control_matrix.png; IT_asset_management_policy.pdf</t>
        </is>
      </c>
      <c r="H474" s="7" t="inlineStr">
        <is>
          <t>Confirmed Fact</t>
        </is>
      </c>
      <c r="I474" s="7" t="inlineStr">
        <is>
          <t>ITAM_control_matrix.png Appendix A financial row consulted while tracing MD-00118; transactional proof stays with chain row 474.</t>
        </is>
      </c>
    </row>
    <row r="475">
      <c r="A475" s="7" t="inlineStr">
        <is>
          <t>MD-00118</t>
        </is>
      </c>
      <c r="B475" s="7" t="inlineStr">
        <is>
          <t>2026-08-09</t>
        </is>
      </c>
      <c r="C475" s="7" t="inlineStr">
        <is>
          <t>Reconciliation Conclusion</t>
        </is>
      </c>
      <c r="D475" s="7" t="inlineStr">
        <is>
          <t>Evidence review</t>
        </is>
      </c>
      <c r="E475" s="7" t="inlineStr">
        <is>
          <t>Certified Recycler</t>
        </is>
      </c>
      <c r="F475" s="7" t="inlineStr">
        <is>
          <t>Disposed (certificate missing)</t>
        </is>
      </c>
      <c r="G475" s="7" t="inlineStr">
        <is>
          <t>Transfer:TR-00118; Certificate:missing; Ticket:RET-00118; PO:PO-2024-0024; Ledger:FA-000118; PolicyFigure:ITAM_control_matrix.png</t>
        </is>
      </c>
      <c r="H475" s="7" t="inlineStr">
        <is>
          <t>Unresolved Assumption</t>
        </is>
      </c>
      <c r="I475" s="7" t="inlineStr">
        <is>
          <t>Critical certification blocker — final status on MD-00118: Retired/Pending Disposal, site Disposed (certificate missing), Low. EX-0151, EX-0152.</t>
        </is>
      </c>
    </row>
    <row r="476">
      <c r="A476" s="7" t="inlineStr">
        <is>
          <t>MD-00119</t>
        </is>
      </c>
      <c r="B476" s="7" t="inlineStr">
        <is>
          <t>2025-12-24</t>
        </is>
      </c>
      <c r="C476" s="7" t="inlineStr">
        <is>
          <t>Purchase</t>
        </is>
      </c>
      <c r="D476" s="7" t="inlineStr">
        <is>
          <t>Vendor</t>
        </is>
      </c>
      <c r="E476" s="7" t="inlineStr">
        <is>
          <t>Central Receiving</t>
        </is>
      </c>
      <c r="F476" s="7" t="inlineStr">
        <is>
          <t>Atlanta Warehouse</t>
        </is>
      </c>
      <c r="G476" s="7" t="inlineStr">
        <is>
          <t>PO:PO-2024-0024</t>
        </is>
      </c>
      <c r="H476" s="7" t="inlineStr">
        <is>
          <t>Confirmed Fact</t>
        </is>
      </c>
      <c r="I476" s="7" t="inlineStr">
        <is>
          <t>Vendor shipment for MD-00119 (Lenovo ThinkPad X1 Carbon) recorded at $950 on PO-2024-0024.</t>
        </is>
      </c>
    </row>
    <row r="477">
      <c r="A477" s="7" t="inlineStr">
        <is>
          <t>MD-00119</t>
        </is>
      </c>
      <c r="B477" s="7" t="inlineStr">
        <is>
          <t>2026-06-24</t>
        </is>
      </c>
      <c r="C477" s="7" t="inlineStr">
        <is>
          <t>Assignment/Transfer</t>
        </is>
      </c>
      <c r="D477" s="7" t="inlineStr">
        <is>
          <t>Central Receiving</t>
        </is>
      </c>
      <c r="E477" s="7" t="inlineStr">
        <is>
          <t>Certified Recycler</t>
        </is>
      </c>
      <c r="F477" s="7" t="inlineStr">
        <is>
          <t>Disposed</t>
        </is>
      </c>
      <c r="G477" s="7" t="inlineStr">
        <is>
          <t>Transfer:TR-00119; Approval:APR-00119</t>
        </is>
      </c>
      <c r="H477" s="7" t="inlineStr">
        <is>
          <t>Confirmed Fact</t>
        </is>
      </c>
      <c r="I477" s="7" t="inlineStr">
        <is>
          <t>Transfer TR-00119 for MD-00119: posted Jul 08, 2026, inbound 2026-07-09, APR APR-00119.</t>
        </is>
      </c>
    </row>
    <row r="478">
      <c r="A478" s="7" t="inlineStr">
        <is>
          <t>MD-00119</t>
        </is>
      </c>
      <c r="B478" s="7" t="inlineStr">
        <is>
          <t>2026-05-31</t>
        </is>
      </c>
      <c r="C478" s="7" t="inlineStr">
        <is>
          <t>Offboarding Ticket</t>
        </is>
      </c>
      <c r="D478" s="7" t="inlineStr">
        <is>
          <t>E0082</t>
        </is>
      </c>
      <c r="E478" s="7" t="inlineStr">
        <is>
          <t>IT Service Desk</t>
        </is>
      </c>
      <c r="F478" s="7" t="inlineStr"/>
      <c r="G478" s="7" t="inlineStr">
        <is>
          <t>Ticket:RET-00119; Status:Closed</t>
        </is>
      </c>
      <c r="H478" s="7" t="inlineStr">
        <is>
          <t>Confirmed Fact</t>
        </is>
      </c>
      <c r="I478" s="7" t="inlineStr">
        <is>
          <t>Service desk RET-00119: Closed; return required No; due n/a. Ticket alone does not dock MD-00119.</t>
        </is>
      </c>
    </row>
    <row r="479">
      <c r="A479" s="7" t="inlineStr">
        <is>
          <t>MD-00119</t>
        </is>
      </c>
      <c r="B479" s="7" t="inlineStr">
        <is>
          <t>2026-05-31</t>
        </is>
      </c>
      <c r="C479" s="7" t="inlineStr">
        <is>
          <t>Technician Comment</t>
        </is>
      </c>
      <c r="D479" s="7" t="inlineStr">
        <is>
          <t>Service Desk</t>
        </is>
      </c>
      <c r="E479" s="7" t="inlineStr"/>
      <c r="F479" s="7" t="inlineStr"/>
      <c r="G479" s="7" t="inlineStr">
        <is>
          <t>Ticket:RET-00119</t>
        </is>
      </c>
      <c r="H479" s="7" t="inlineStr">
        <is>
          <t>Technician Claim</t>
        </is>
      </c>
      <c r="I479" s="7" t="inlineStr">
        <is>
          <t>Don't reassign. Ticket is disposal path. Ref MD-00119.</t>
        </is>
      </c>
    </row>
    <row r="480">
      <c r="A480" s="7" t="inlineStr">
        <is>
          <t>MD-00119</t>
        </is>
      </c>
      <c r="B480" s="7" t="inlineStr">
        <is>
          <t>2026-07-20</t>
        </is>
      </c>
      <c r="C480" s="7" t="inlineStr">
        <is>
          <t>Disposal Certificate</t>
        </is>
      </c>
      <c r="D480" s="7" t="inlineStr">
        <is>
          <t>IT Asset Manager</t>
        </is>
      </c>
      <c r="E480" s="7" t="inlineStr">
        <is>
          <t>GreenLoop Electronics</t>
        </is>
      </c>
      <c r="F480" s="7" t="inlineStr">
        <is>
          <t>Disposed</t>
        </is>
      </c>
      <c r="G480" s="7" t="inlineStr">
        <is>
          <t>Disposal:DC-00119; Verified:Yes</t>
        </is>
      </c>
      <c r="H480" s="7" t="inlineStr">
        <is>
          <t>Confirmed Fact</t>
        </is>
      </c>
      <c r="I480" s="7" t="inlineStr">
        <is>
          <t>Disposal certificate DC-00119 verified for MD-00119.</t>
        </is>
      </c>
    </row>
    <row r="481">
      <c r="A481" s="7" t="inlineStr">
        <is>
          <t>MD-00119</t>
        </is>
      </c>
      <c r="B481" s="7" t="inlineStr">
        <is>
          <t>2026-08-05</t>
        </is>
      </c>
      <c r="C481" s="7" t="inlineStr">
        <is>
          <t>Regional IT Note Lead</t>
        </is>
      </c>
      <c r="D481" s="7" t="inlineStr">
        <is>
          <t>Regional IT</t>
        </is>
      </c>
      <c r="E481" s="7" t="inlineStr"/>
      <c r="F481" s="7" t="inlineStr">
        <is>
          <t>Denver - Closed</t>
        </is>
      </c>
      <c r="G481" s="7" t="inlineStr">
        <is>
          <t>regional_IT_notes.docx</t>
        </is>
      </c>
      <c r="H481" s="7" t="inlineStr">
        <is>
          <t>Technician Claim</t>
        </is>
      </c>
      <c r="I481" s="7" t="inlineStr">
        <is>
          <t>regional_IT_notes.docx checked for MD-00119; no corroborated RN entry found.</t>
        </is>
      </c>
    </row>
    <row r="482">
      <c r="A482" s="7" t="inlineStr">
        <is>
          <t>MD-00119</t>
        </is>
      </c>
      <c r="B482" s="7" t="inlineStr">
        <is>
          <t>2026-08-09</t>
        </is>
      </c>
      <c r="C482" s="7" t="inlineStr">
        <is>
          <t>Policy Control Figure</t>
        </is>
      </c>
      <c r="D482" s="7" t="inlineStr">
        <is>
          <t>ITAM-001</t>
        </is>
      </c>
      <c r="E482" s="7" t="inlineStr"/>
      <c r="F482" s="7" t="inlineStr"/>
      <c r="G482" s="7" t="inlineStr">
        <is>
          <t>ITAM_control_matrix.png; IT_asset_management_policy.pdf</t>
        </is>
      </c>
      <c r="H482" s="7" t="inlineStr">
        <is>
          <t>Confirmed Fact</t>
        </is>
      </c>
      <c r="I482" s="7" t="inlineStr">
        <is>
          <t>Read IT_asset_management_policy.pdf §4–§9 with the matrix financial line for MD-00119; cite chain row 482.</t>
        </is>
      </c>
    </row>
    <row r="483">
      <c r="A483" s="7" t="inlineStr">
        <is>
          <t>MD-00119</t>
        </is>
      </c>
      <c r="B483" s="7" t="inlineStr">
        <is>
          <t>2026-08-09</t>
        </is>
      </c>
      <c r="C483" s="7" t="inlineStr">
        <is>
          <t>Reconciliation Conclusion</t>
        </is>
      </c>
      <c r="D483" s="7" t="inlineStr">
        <is>
          <t>Evidence review</t>
        </is>
      </c>
      <c r="E483" s="7" t="inlineStr">
        <is>
          <t>Certified Recycler</t>
        </is>
      </c>
      <c r="F483" s="7" t="inlineStr">
        <is>
          <t>Disposed</t>
        </is>
      </c>
      <c r="G483" s="7" t="inlineStr">
        <is>
          <t>Disposal:DC-00119; Transfer:TR-00119; Ticket:RET-00119; PO:PO-2024-0024; Ledger:FA-000119; PolicyFigure:ITAM_control_matrix.png</t>
        </is>
      </c>
      <c r="H483" s="7" t="inlineStr">
        <is>
          <t>Confirmed Fact</t>
        </is>
      </c>
      <c r="I483" s="7" t="inlineStr">
        <is>
          <t>Final status on MD-00119 — Disposed, site Disposed, High. EX-0153.</t>
        </is>
      </c>
    </row>
    <row r="484">
      <c r="A484" s="7" t="inlineStr">
        <is>
          <t>MD-00127</t>
        </is>
      </c>
      <c r="B484" s="7" t="inlineStr">
        <is>
          <t>2025-08-08</t>
        </is>
      </c>
      <c r="C484" s="7" t="inlineStr">
        <is>
          <t>Purchase</t>
        </is>
      </c>
      <c r="D484" s="7" t="inlineStr">
        <is>
          <t>Vendor</t>
        </is>
      </c>
      <c r="E484" s="7" t="inlineStr">
        <is>
          <t>Central Receiving</t>
        </is>
      </c>
      <c r="F484" s="7" t="inlineStr">
        <is>
          <t>Atlanta Warehouse</t>
        </is>
      </c>
      <c r="G484" s="7" t="inlineStr">
        <is>
          <t>PO:PO-2022-0026</t>
        </is>
      </c>
      <c r="H484" s="7" t="inlineStr">
        <is>
          <t>Confirmed Fact</t>
        </is>
      </c>
      <c r="I484" s="7" t="inlineStr">
        <is>
          <t>Vendor shipment for MD-00127 (Dell Latitude 7440) recorded at $995 on PO-2022-0026.</t>
        </is>
      </c>
    </row>
    <row r="485">
      <c r="A485" s="7" t="inlineStr">
        <is>
          <t>MD-00127</t>
        </is>
      </c>
      <c r="B485" s="7" t="inlineStr">
        <is>
          <t>2026-08-09</t>
        </is>
      </c>
      <c r="C485" s="7" t="inlineStr">
        <is>
          <t>Policy Control Figure</t>
        </is>
      </c>
      <c r="D485" s="7" t="inlineStr">
        <is>
          <t>ITAM-001</t>
        </is>
      </c>
      <c r="E485" s="7" t="n"/>
      <c r="F485" s="7" t="n"/>
      <c r="G485" s="7" t="inlineStr">
        <is>
          <t>ITAM_control_matrix.png; IT_asset_management_policy.pdf</t>
        </is>
      </c>
      <c r="H485" s="7" t="inlineStr">
        <is>
          <t>Confirmed Fact</t>
        </is>
      </c>
      <c r="I485" s="7" t="inlineStr">
        <is>
          <t>ITAM_control_matrix.png Appendix A transfer row consulted while tracing MD-00127; transactional proof stays with chain row 485.</t>
        </is>
      </c>
    </row>
    <row r="486">
      <c r="A486" s="7" t="inlineStr">
        <is>
          <t>MD-00127</t>
        </is>
      </c>
      <c r="B486" s="7" t="inlineStr">
        <is>
          <t>2026-02-08</t>
        </is>
      </c>
      <c r="C486" s="7" t="inlineStr">
        <is>
          <t>Assignment/Transfer</t>
        </is>
      </c>
      <c r="D486" s="7" t="inlineStr">
        <is>
          <t>Central Receiving</t>
        </is>
      </c>
      <c r="E486" s="7" t="inlineStr">
        <is>
          <t>E0061</t>
        </is>
      </c>
      <c r="F486" s="7" t="inlineStr">
        <is>
          <t>Denver</t>
        </is>
      </c>
      <c r="G486" s="7" t="inlineStr">
        <is>
          <t>Transfer:TR-00127; Approval:missing</t>
        </is>
      </c>
      <c r="H486" s="7" t="inlineStr">
        <is>
          <t>Confirmed Fact</t>
        </is>
      </c>
      <c r="I486" s="7" t="inlineStr">
        <is>
          <t>Transfer TR-00127 for MD-00127: posted 2026-02-11, inbound 02/17/2026, APR missing.</t>
        </is>
      </c>
    </row>
    <row r="487">
      <c r="A487" s="7" t="inlineStr">
        <is>
          <t>MD-00127</t>
        </is>
      </c>
      <c r="B487" s="7" t="inlineStr">
        <is>
          <t>2026-08-09</t>
        </is>
      </c>
      <c r="C487" s="7" t="inlineStr">
        <is>
          <t>Reconciliation Conclusion</t>
        </is>
      </c>
      <c r="D487" s="7" t="inlineStr">
        <is>
          <t>Evidence review</t>
        </is>
      </c>
      <c r="E487" s="7" t="inlineStr">
        <is>
          <t>E0061</t>
        </is>
      </c>
      <c r="F487" s="7" t="inlineStr">
        <is>
          <t>Denver</t>
        </is>
      </c>
      <c r="G487" s="7" t="inlineStr">
        <is>
          <t>HR:E0061:Transferred; Transfer:TR-00127; PO:PO-2022-0026; Ledger:FA-000127; PolicyFigure:ITAM_control_matrix.png</t>
        </is>
      </c>
      <c r="H487" s="7" t="inlineStr">
        <is>
          <t>Confirmed Fact</t>
        </is>
      </c>
      <c r="I487" s="7" t="inlineStr">
        <is>
          <t>Custody conclusion for MD-00127: In Use at Denver (Medium). EX-0160.</t>
        </is>
      </c>
    </row>
    <row r="488">
      <c r="A488" s="7" t="inlineStr">
        <is>
          <t>MD-00130</t>
        </is>
      </c>
      <c r="B488" s="7" t="inlineStr">
        <is>
          <t>2024-11-11</t>
        </is>
      </c>
      <c r="C488" s="7" t="inlineStr">
        <is>
          <t>Purchase</t>
        </is>
      </c>
      <c r="D488" s="7" t="inlineStr">
        <is>
          <t>Vendor</t>
        </is>
      </c>
      <c r="E488" s="7" t="inlineStr">
        <is>
          <t>Central Receiving</t>
        </is>
      </c>
      <c r="F488" s="7" t="inlineStr">
        <is>
          <t>Atlanta Warehouse</t>
        </is>
      </c>
      <c r="G488" s="7" t="inlineStr">
        <is>
          <t>PO:PO-2023-0023</t>
        </is>
      </c>
      <c r="H488" s="7" t="inlineStr">
        <is>
          <t>Confirmed Fact</t>
        </is>
      </c>
      <c r="I488" s="7" t="inlineStr">
        <is>
          <t>Acquisition MD-00130: Lenovo ThinkPad T14, $700, PO PO-2023-0023.</t>
        </is>
      </c>
    </row>
    <row r="489">
      <c r="A489" s="7" t="inlineStr">
        <is>
          <t>MD-00130</t>
        </is>
      </c>
      <c r="B489" s="7" t="inlineStr">
        <is>
          <t>2026-08-09</t>
        </is>
      </c>
      <c r="C489" s="7" t="inlineStr">
        <is>
          <t>Policy Control Figure</t>
        </is>
      </c>
      <c r="D489" s="7" t="inlineStr">
        <is>
          <t>ITAM-001</t>
        </is>
      </c>
      <c r="E489" s="7" t="n"/>
      <c r="F489" s="7" t="n"/>
      <c r="G489" s="7" t="inlineStr">
        <is>
          <t>ITAM_control_matrix.png; IT_asset_management_policy.pdf</t>
        </is>
      </c>
      <c r="H489" s="7" t="inlineStr">
        <is>
          <t>Confirmed Fact</t>
        </is>
      </c>
      <c r="I489" s="7" t="inlineStr">
        <is>
          <t>ITAM_control_matrix.png Appendix A financial row consulted while tracing MD-00130; transactional proof stays with chain row 489.</t>
        </is>
      </c>
    </row>
    <row r="490">
      <c r="A490" s="7" t="inlineStr">
        <is>
          <t>MD-00130</t>
        </is>
      </c>
      <c r="B490" s="7" t="inlineStr">
        <is>
          <t>2026-05-11</t>
        </is>
      </c>
      <c r="C490" s="7" t="inlineStr">
        <is>
          <t>Assignment/Transfer</t>
        </is>
      </c>
      <c r="D490" s="7" t="inlineStr">
        <is>
          <t>Central Receiving</t>
        </is>
      </c>
      <c r="E490" s="7" t="inlineStr">
        <is>
          <t>E0064</t>
        </is>
      </c>
      <c r="F490" s="7" t="inlineStr">
        <is>
          <t>Atlanta</t>
        </is>
      </c>
      <c r="G490" s="7" t="inlineStr">
        <is>
          <t>Transfer:TR-00130; Approval:APR-00130</t>
        </is>
      </c>
      <c r="H490" s="7" t="inlineStr">
        <is>
          <t>Confirmed Fact</t>
        </is>
      </c>
      <c r="I490" s="7" t="inlineStr">
        <is>
          <t>Transfer TR-00130 for MD-00130: posted May 22, 2026, inbound 2026-05-28, APR APR-00130.</t>
        </is>
      </c>
    </row>
    <row r="491">
      <c r="A491" s="7" t="inlineStr">
        <is>
          <t>MD-00130</t>
        </is>
      </c>
      <c r="B491" s="7" t="inlineStr">
        <is>
          <t>2026-08-09</t>
        </is>
      </c>
      <c r="C491" s="7" t="inlineStr">
        <is>
          <t>Reconciliation Conclusion</t>
        </is>
      </c>
      <c r="D491" s="7" t="inlineStr">
        <is>
          <t>Evidence review</t>
        </is>
      </c>
      <c r="E491" s="7" t="inlineStr">
        <is>
          <t>E0064</t>
        </is>
      </c>
      <c r="F491" s="7" t="inlineStr">
        <is>
          <t>Atlanta</t>
        </is>
      </c>
      <c r="G491" s="7" t="inlineStr">
        <is>
          <t>HR:E0064:Transferred; Transfer:TR-00130; Approval:APR-00130; PO:PO-2023-0023; PolicyFigure:ITAM_control_matrix.png</t>
        </is>
      </c>
      <c r="H491" s="7" t="inlineStr">
        <is>
          <t>Confirmed Fact</t>
        </is>
      </c>
      <c r="I491" s="7" t="inlineStr">
        <is>
          <t>After review, MD-00130 remains In Use at Atlanta; High. EX-0161.</t>
        </is>
      </c>
    </row>
    <row r="492">
      <c r="A492" s="7" t="inlineStr">
        <is>
          <t>MD-00131</t>
        </is>
      </c>
      <c r="B492" s="7" t="inlineStr">
        <is>
          <t>2025-12-12</t>
        </is>
      </c>
      <c r="C492" s="7" t="inlineStr">
        <is>
          <t>Purchase</t>
        </is>
      </c>
      <c r="D492" s="7" t="inlineStr">
        <is>
          <t>Vendor</t>
        </is>
      </c>
      <c r="E492" s="7" t="inlineStr">
        <is>
          <t>Central Receiving</t>
        </is>
      </c>
      <c r="F492" s="7" t="inlineStr">
        <is>
          <t>Atlanta Warehouse</t>
        </is>
      </c>
      <c r="G492" s="7" t="inlineStr">
        <is>
          <t>PO:PO-2023-0023</t>
        </is>
      </c>
      <c r="H492" s="7" t="inlineStr">
        <is>
          <t>Confirmed Fact</t>
        </is>
      </c>
      <c r="I492" s="7" t="inlineStr">
        <is>
          <t>PO PO-2023-0023 covers MD-00131 (MacBook Pro 14) for $1175.</t>
        </is>
      </c>
    </row>
    <row r="493">
      <c r="A493" s="7" t="inlineStr">
        <is>
          <t>MD-00131</t>
        </is>
      </c>
      <c r="B493" s="7" t="inlineStr">
        <is>
          <t>2026-06-12</t>
        </is>
      </c>
      <c r="C493" s="7" t="inlineStr">
        <is>
          <t>Assignment/Transfer</t>
        </is>
      </c>
      <c r="D493" s="7" t="inlineStr">
        <is>
          <t>Central Receiving</t>
        </is>
      </c>
      <c r="E493" s="7" t="inlineStr">
        <is>
          <t>E0065</t>
        </is>
      </c>
      <c r="F493" s="7" t="inlineStr">
        <is>
          <t>Chicago</t>
        </is>
      </c>
      <c r="G493" s="7" t="inlineStr">
        <is>
          <t>Transfer:TR-00131; Approval:APR-00131</t>
        </is>
      </c>
      <c r="H493" s="7" t="inlineStr">
        <is>
          <t>Confirmed Fact</t>
        </is>
      </c>
      <c r="I493" s="7" t="inlineStr">
        <is>
          <t>Transfer TR-00131 for MD-00131: posted 06/26/2026, inbound Jun 28, 2026, APR APR-00131.</t>
        </is>
      </c>
    </row>
    <row r="494">
      <c r="A494" s="7" t="inlineStr">
        <is>
          <t>MD-00131</t>
        </is>
      </c>
      <c r="B494" s="7" t="inlineStr">
        <is>
          <t>2026-08-09</t>
        </is>
      </c>
      <c r="C494" s="7" t="inlineStr">
        <is>
          <t>Policy Control Figure</t>
        </is>
      </c>
      <c r="D494" s="7" t="inlineStr">
        <is>
          <t>ITAM-001</t>
        </is>
      </c>
      <c r="E494" s="7" t="inlineStr"/>
      <c r="F494" s="7" t="inlineStr"/>
      <c r="G494" s="7" t="inlineStr">
        <is>
          <t>ITAM_control_matrix.png; IT_asset_management_policy.pdf</t>
        </is>
      </c>
      <c r="H494" s="7" t="inlineStr">
        <is>
          <t>Confirmed Fact</t>
        </is>
      </c>
      <c r="I494" s="7" t="inlineStr">
        <is>
          <t>ITAM_control_matrix.png Appendix A transfer row consulted while tracing MD-00131; transactional proof stays with chain row 494.</t>
        </is>
      </c>
    </row>
    <row r="495">
      <c r="A495" s="7" t="inlineStr">
        <is>
          <t>MD-00131</t>
        </is>
      </c>
      <c r="B495" s="7" t="inlineStr">
        <is>
          <t>2026-08-09</t>
        </is>
      </c>
      <c r="C495" s="7" t="inlineStr">
        <is>
          <t>Reconciliation Conclusion</t>
        </is>
      </c>
      <c r="D495" s="7" t="inlineStr">
        <is>
          <t>Evidence review</t>
        </is>
      </c>
      <c r="E495" s="7" t="inlineStr">
        <is>
          <t>E0065</t>
        </is>
      </c>
      <c r="F495" s="7" t="inlineStr">
        <is>
          <t>Chicago</t>
        </is>
      </c>
      <c r="G495" s="7" t="inlineStr">
        <is>
          <t>HR:E0065:Transferred; Transfer:TR-00131; Approval:APR-00131; PO:PO-2023-0023; PolicyFigure:ITAM_control_matrix.png</t>
        </is>
      </c>
      <c r="H495" s="7" t="inlineStr">
        <is>
          <t>Confirmed Fact</t>
        </is>
      </c>
      <c r="I495" s="7" t="inlineStr">
        <is>
          <t>Final status on MD-00131 — In Use, site Chicago, High. EX-0162.</t>
        </is>
      </c>
    </row>
    <row r="496">
      <c r="A496" s="7" t="inlineStr">
        <is>
          <t>MD-00132</t>
        </is>
      </c>
      <c r="B496" s="7" t="inlineStr">
        <is>
          <t>2022-01-13</t>
        </is>
      </c>
      <c r="C496" s="7" t="inlineStr">
        <is>
          <t>Purchase</t>
        </is>
      </c>
      <c r="D496" s="7" t="inlineStr">
        <is>
          <t>Vendor</t>
        </is>
      </c>
      <c r="E496" s="7" t="inlineStr">
        <is>
          <t>Central Receiving</t>
        </is>
      </c>
      <c r="F496" s="7" t="inlineStr">
        <is>
          <t>Atlanta Warehouse</t>
        </is>
      </c>
      <c r="G496" s="7" t="inlineStr">
        <is>
          <t>PO:PO-2023-0022</t>
        </is>
      </c>
      <c r="H496" s="7" t="inlineStr">
        <is>
          <t>Confirmed Fact</t>
        </is>
      </c>
      <c r="I496" s="7" t="inlineStr">
        <is>
          <t>Vendor shipment for MD-00132 (Dell Latitude 7440) recorded at $6470 on PO-2023-0022.</t>
        </is>
      </c>
    </row>
    <row r="497">
      <c r="A497" s="7" t="inlineStr">
        <is>
          <t>MD-00132</t>
        </is>
      </c>
      <c r="B497" s="7" t="inlineStr">
        <is>
          <t>2026-01-13</t>
        </is>
      </c>
      <c r="C497" s="7" t="inlineStr">
        <is>
          <t>Assignment/Transfer</t>
        </is>
      </c>
      <c r="D497" s="7" t="inlineStr">
        <is>
          <t>Central Receiving</t>
        </is>
      </c>
      <c r="E497" s="7" t="inlineStr">
        <is>
          <t>E0066</t>
        </is>
      </c>
      <c r="F497" s="7" t="inlineStr">
        <is>
          <t>Dallas</t>
        </is>
      </c>
      <c r="G497" s="7" t="inlineStr">
        <is>
          <t>Transfer:TR-00132; Approval:APR-00132</t>
        </is>
      </c>
      <c r="H497" s="7" t="inlineStr">
        <is>
          <t>Confirmed Fact</t>
        </is>
      </c>
      <c r="I497" s="7" t="inlineStr">
        <is>
          <t>Transfer TR-00132 for MD-00132: posted Jan 30, 2026, inbound 2026-01-31, APR APR-00132.</t>
        </is>
      </c>
    </row>
    <row r="498">
      <c r="A498" s="7" t="inlineStr">
        <is>
          <t>MD-00132</t>
        </is>
      </c>
      <c r="B498" s="7" t="inlineStr">
        <is>
          <t>2026-08-09</t>
        </is>
      </c>
      <c r="C498" s="7" t="inlineStr">
        <is>
          <t>Policy Control Figure</t>
        </is>
      </c>
      <c r="D498" s="7" t="inlineStr">
        <is>
          <t>ITAM-001</t>
        </is>
      </c>
      <c r="E498" s="7" t="inlineStr"/>
      <c r="F498" s="7" t="inlineStr"/>
      <c r="G498" s="7" t="inlineStr">
        <is>
          <t>ITAM_control_matrix.png; IT_asset_management_policy.pdf</t>
        </is>
      </c>
      <c r="H498" s="7" t="inlineStr">
        <is>
          <t>Confirmed Fact</t>
        </is>
      </c>
      <c r="I498" s="7" t="inlineStr">
        <is>
          <t>Read IT_asset_management_policy.pdf §4–§9 with the matrix transfer line for MD-00132; cite chain row 498.</t>
        </is>
      </c>
    </row>
    <row r="499">
      <c r="A499" s="7" t="inlineStr">
        <is>
          <t>MD-00132</t>
        </is>
      </c>
      <c r="B499" s="7" t="inlineStr">
        <is>
          <t>2026-08-09</t>
        </is>
      </c>
      <c r="C499" s="7" t="inlineStr">
        <is>
          <t>Reconciliation Conclusion</t>
        </is>
      </c>
      <c r="D499" s="7" t="inlineStr">
        <is>
          <t>Evidence review</t>
        </is>
      </c>
      <c r="E499" s="7" t="inlineStr">
        <is>
          <t>E0066</t>
        </is>
      </c>
      <c r="F499" s="7" t="inlineStr">
        <is>
          <t>Dallas</t>
        </is>
      </c>
      <c r="G499" s="7" t="inlineStr">
        <is>
          <t>HR:E0066:Transferred; Transfer:TR-00132; Approval:APR-00132; PO:PO-2023-0022; PolicyFigure:ITAM_control_matrix.png</t>
        </is>
      </c>
      <c r="H499" s="7" t="inlineStr">
        <is>
          <t>Confirmed Fact</t>
        </is>
      </c>
      <c r="I499" s="7" t="inlineStr">
        <is>
          <t>After review, MD-00132 remains In Use at Dallas; High. EX-0163.</t>
        </is>
      </c>
    </row>
    <row r="500">
      <c r="A500" t="inlineStr">
        <is>
          <t>MD-00132</t>
        </is>
      </c>
      <c r="B500" t="inlineStr">
        <is>
          <t>2026-08-05</t>
        </is>
      </c>
      <c r="C500" t="inlineStr">
        <is>
          <t>Technician/Finance Claim</t>
        </is>
      </c>
      <c r="D500" t="inlineStr">
        <is>
          <t>Regional note</t>
        </is>
      </c>
      <c r="F500" t="inlineStr">
        <is>
          <t>Atlanta Warehouse</t>
        </is>
      </c>
      <c r="G500" t="inlineStr">
        <is>
          <t>RN-0132; Policy:ITAM-001 §7</t>
        </is>
      </c>
      <c r="H500" t="inlineStr">
        <is>
          <t>Technician Claim</t>
        </is>
      </c>
      <c r="I500" t="inlineStr">
        <is>
          <t>RN-0132 claimed MD-00132 was expensed under threshold; rejected because $6,470 exceeds the capitalization gate and no FA row exists.</t>
        </is>
      </c>
    </row>
    <row r="501">
      <c r="A501" t="inlineStr">
        <is>
          <t>MD-00132</t>
        </is>
      </c>
      <c r="B501" t="inlineStr">
        <is>
          <t>2026-08-09</t>
        </is>
      </c>
      <c r="C501" t="inlineStr">
        <is>
          <t>Unresolved Capitalization</t>
        </is>
      </c>
      <c r="G501" t="inlineStr">
        <is>
          <t>PO:PO-2023-0022; Ledger:MISSING</t>
        </is>
      </c>
      <c r="H501" t="inlineStr">
        <is>
          <t>Unresolved Assumption</t>
        </is>
      </c>
      <c r="I501" t="inlineStr">
        <is>
          <t>MD-00132 / PO-2023-0022: capital-qualifying with no FA row; blocks certification until capitalized or formally written off.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25" customWidth="1" min="4" max="4"/>
    <col width="17" customWidth="1" min="5" max="5"/>
    <col width="25" customWidth="1" min="6" max="6"/>
    <col width="12" customWidth="1" min="7" max="7"/>
    <col width="40" customWidth="1" min="8" max="8"/>
  </cols>
  <sheetData>
    <row r="1">
      <c r="A1" s="24" t="inlineStr">
        <is>
          <t>Inventory-to-Ledger Reconciliation</t>
        </is>
      </c>
    </row>
    <row r="2">
      <c r="A2" s="2" t="inlineStr">
        <is>
          <t>Book value from fixed-asset ledger when present. No invented balances.</t>
        </is>
      </c>
    </row>
    <row r="4">
      <c r="A4" s="25" t="inlineStr">
        <is>
          <t>Control Total</t>
        </is>
      </c>
      <c r="B4" s="25" t="inlineStr">
        <is>
          <t>Amount</t>
        </is>
      </c>
    </row>
    <row r="5">
      <c r="A5" s="4" t="inlineStr">
        <is>
          <t>Corrected register - sum of acquisition cost (132 assets)</t>
        </is>
      </c>
      <c r="B5" s="5" t="n">
        <v>332115</v>
      </c>
    </row>
    <row r="6">
      <c r="A6" s="4" t="inlineStr">
        <is>
          <t>Fixed-asset ledger - sum of acquisition cost (129 assets)</t>
        </is>
      </c>
      <c r="B6" s="5" t="n">
        <v>324740</v>
      </c>
    </row>
    <row r="7">
      <c r="A7" s="4" t="inlineStr">
        <is>
          <t>Acquisition cost difference (register − ledger)</t>
        </is>
      </c>
      <c r="B7" s="5" t="n">
        <v>7375</v>
      </c>
    </row>
    <row r="8">
      <c r="A8" s="4" t="inlineStr">
        <is>
          <t>Corrected register - remaining book value (ledger NBV where present; blank if missing)</t>
        </is>
      </c>
      <c r="B8" s="5" t="n">
        <v>61526.6</v>
      </c>
    </row>
    <row r="9">
      <c r="A9" s="4" t="inlineStr">
        <is>
          <t>Ledger - net book value, Active status only</t>
        </is>
      </c>
      <c r="B9" s="5" t="n">
        <v>61526.6</v>
      </c>
    </row>
    <row r="10">
      <c r="A10" s="4" t="inlineStr">
        <is>
          <t>Ledger - net book value, all statuses including Disposed</t>
        </is>
      </c>
      <c r="B10" s="5" t="n">
        <v>61526.6</v>
      </c>
    </row>
    <row r="11">
      <c r="A11" s="4" t="inlineStr">
        <is>
          <t>Assets with matching acquisition cost (register vs ledger)</t>
        </is>
      </c>
      <c r="B11" s="5" t="n">
        <v>123</v>
      </c>
    </row>
    <row r="12">
      <c r="A12" s="4" t="inlineStr">
        <is>
          <t>Assets with acquisition cost mismatch</t>
        </is>
      </c>
      <c r="B12" s="5" t="n">
        <v>6</v>
      </c>
    </row>
    <row r="13">
      <c r="A13" s="4" t="inlineStr">
        <is>
          <t>Assets on inventory missing from ledger</t>
        </is>
      </c>
      <c r="B13" s="5" t="n">
        <v>3</v>
      </c>
    </row>
    <row r="16">
      <c r="A16" s="6" t="inlineStr">
        <is>
          <t>Explanation of remaining differences</t>
        </is>
      </c>
    </row>
    <row r="17" ht="48" customHeight="1">
      <c r="A17" s="13" t="inlineStr">
        <is>
          <t>1) Three assets (MD-00130, MD-00131, MD-00132) appear on the operational register and purchase orders but have no fixed-asset ledger row. Combined register acquisition cost = $8,345. MD-00130 ($700) and MD-00131 ($1,175) sit on PO-2023-0023 (capitalization_approved=No) under the $2,500 gate - expected FA absence. MD-00132 ($6,470) is on PO-2023-0022 and is capital-qualifying - Critical gap.</t>
        </is>
      </c>
    </row>
    <row r="18" ht="48" customHeight="1">
      <c r="A18" s="13" t="inlineStr">
        <is>
          <t>2) Seven assets have ledger-over-register acquisition cost variances (MD-00017 $85, MD-00034 $140, MD-00051 $210, MD-00068 $55, MD-00085 $195, MD-00102 $120, MD-00119 $165). Combined ledger cost excess = $970. PO approved amounts tie to the inventory lines; Finance should align the FAR. Per section 9 these are High remediation items, not sole Critical blockers. Separately, FA-000017 shows accumulated depreciation $2,160 against acquisition cost $2,070 (over-depreciation $90) with NBV reported as $0.</t>
        </is>
      </c>
    </row>
    <row r="19" ht="48" customHeight="1">
      <c r="A19" s="13" t="inlineStr">
        <is>
          <t>3) Eight disposal certificates clear operational status to Disposed with $0 NBV on ledger. Two recycler transfers (MD-00114, MD-00118) lack verified certificates; ledger already shows Disposed/$0 while operational status remains Retired/Pending Disposal. Active ledger NBV otherwise ties to corrected register remaining book value for assets present on both files.</t>
        </is>
      </c>
    </row>
    <row r="20" ht="48" customHeight="1">
      <c r="A20" s="13" t="inlineStr">
        <is>
          <t>4) FA-000034 (MD-00034) NBV is $479.88 (acquisition $930.00 minus accumulated depreciation $450.12). Aggregate Active ledger NBV control total is $61,526.60.</t>
        </is>
      </c>
    </row>
    <row r="22">
      <c r="A22" s="6" t="inlineStr">
        <is>
          <t>Asset-level differences requiring Finance action</t>
        </is>
      </c>
    </row>
    <row r="23">
      <c r="A23" s="3" t="inlineStr">
        <is>
          <t>Asset Tag</t>
        </is>
      </c>
      <c r="B23" s="3" t="inlineStr">
        <is>
          <t>Issue</t>
        </is>
      </c>
      <c r="C23" s="3" t="inlineStr">
        <is>
          <t>Register Acquisition Cost</t>
        </is>
      </c>
      <c r="D23" s="3" t="inlineStr">
        <is>
          <t>Ledger Acquisition Cost</t>
        </is>
      </c>
      <c r="E23" s="3" t="inlineStr">
        <is>
          <t>Cost Difference</t>
        </is>
      </c>
      <c r="F23" s="3" t="inlineStr">
        <is>
          <t>Register/Reconciled NBV</t>
        </is>
      </c>
      <c r="G23" s="3" t="inlineStr">
        <is>
          <t>Ledger NBV</t>
        </is>
      </c>
      <c r="H23" s="3" t="inlineStr">
        <is>
          <t>Explanation</t>
        </is>
      </c>
    </row>
    <row r="24">
      <c r="A24" s="7" t="inlineStr">
        <is>
          <t>MD-00017</t>
        </is>
      </c>
      <c r="B24" s="7" t="inlineStr">
        <is>
          <t>Acquisition cost mismatch</t>
        </is>
      </c>
      <c r="C24" s="7">
        <f>IFERROR(XLOOKUP(A24,'Corrected Register'!$A$5:$A$200,'Corrected Register'!$M$5:$M$200),"")</f>
        <v/>
      </c>
      <c r="D24" s="7">
        <f>IFERROR(XLOOKUP(A24,'Corrected Register'!$A$5:$A$200,'Corrected Register'!$T$5:$T$200),"")</f>
        <v/>
      </c>
      <c r="E24" s="7">
        <f>IF(OR(C24="",D24=""),"",D24-C24)</f>
        <v/>
      </c>
      <c r="F24" s="7">
        <f>IFERROR(XLOOKUP(A24,'Corrected Register'!$A$5:$A$200,'Corrected Register'!$N$5:$N$200),"")</f>
        <v/>
      </c>
      <c r="G24" s="7">
        <f>IFERROR(XLOOKUP(A24,'Source Ledger'!$B$5:$B$200,'Source Ledger'!$G$5:$G$200),"")</f>
        <v/>
      </c>
      <c r="H24" s="7" t="inlineStr">
        <is>
          <t>Ledger FA-000017 cost exceeds register by $85 (validate PO-2025-0004). Accumulated depreciation $2,160 exceeds acquisition cost $2,070 by $90.</t>
        </is>
      </c>
    </row>
    <row r="25">
      <c r="A25" s="7" t="inlineStr">
        <is>
          <t>MD-00034</t>
        </is>
      </c>
      <c r="B25" s="7" t="inlineStr">
        <is>
          <t>Acquisition cost mismatch; FA-000034 NBV $479.88 (acq $930 − accum dep $450.12)</t>
        </is>
      </c>
      <c r="C25" s="7">
        <f>IFERROR(XLOOKUP(A25,'Corrected Register'!$A$5:$A$200,'Corrected Register'!$M$5:$M$200),"")</f>
        <v/>
      </c>
      <c r="D25" s="7">
        <f>IFERROR(XLOOKUP(A25,'Corrected Register'!$A$5:$A$200,'Corrected Register'!$T$5:$T$200),"")</f>
        <v/>
      </c>
      <c r="E25" s="7">
        <f>IF(OR(C25="",D25=""),"",D25-C25)</f>
        <v/>
      </c>
      <c r="F25" s="7">
        <f>IFERROR(XLOOKUP(A25,'Corrected Register'!$A$5:$A$200,'Corrected Register'!$N$5:$N$200),"")</f>
        <v/>
      </c>
      <c r="G25" s="7">
        <f>IFERROR(XLOOKUP(A25,'Source Ledger'!$B$5:$B$200,'Source Ledger'!$G$5:$G$200),"")</f>
        <v/>
      </c>
      <c r="H25" s="7" t="inlineStr">
        <is>
          <t>Ledger FA-000034 cost exceeds register by $140. Validate against PO-2024-0007.</t>
        </is>
      </c>
    </row>
    <row r="26">
      <c r="A26" s="7" t="inlineStr">
        <is>
          <t>MD-00051</t>
        </is>
      </c>
      <c r="B26" s="7" t="inlineStr">
        <is>
          <t>Acquisition cost mismatch</t>
        </is>
      </c>
      <c r="C26" s="7">
        <f>IFERROR(XLOOKUP(A26,'Corrected Register'!$A$5:$A$200,'Corrected Register'!$M$5:$M$200),"")</f>
        <v/>
      </c>
      <c r="D26" s="7">
        <f>IFERROR(XLOOKUP(A26,'Corrected Register'!$A$5:$A$200,'Corrected Register'!$T$5:$T$200),"")</f>
        <v/>
      </c>
      <c r="E26" s="7">
        <f>IF(OR(C26="",D26=""),"",D26-C26)</f>
        <v/>
      </c>
      <c r="F26" s="7">
        <f>IFERROR(XLOOKUP(A26,'Corrected Register'!$A$5:$A$200,'Corrected Register'!$N$5:$N$200),"")</f>
        <v/>
      </c>
      <c r="G26" s="7">
        <f>IFERROR(XLOOKUP(A26,'Source Ledger'!$B$5:$B$200,'Source Ledger'!$G$5:$G$200),"")</f>
        <v/>
      </c>
      <c r="H26" s="7" t="inlineStr">
        <is>
          <t>Ledger FA-000051 cost exceeds register by $210. Validate against PO-2023-0010.</t>
        </is>
      </c>
    </row>
    <row r="27">
      <c r="A27" s="7" t="inlineStr">
        <is>
          <t>MD-00068</t>
        </is>
      </c>
      <c r="B27" s="7" t="inlineStr">
        <is>
          <t>Acquisition cost mismatch</t>
        </is>
      </c>
      <c r="C27" s="7">
        <f>IFERROR(XLOOKUP(A27,'Corrected Register'!$A$5:$A$200,'Corrected Register'!$M$5:$M$200),"")</f>
        <v/>
      </c>
      <c r="D27" s="7">
        <f>IFERROR(XLOOKUP(A27,'Corrected Register'!$A$5:$A$200,'Corrected Register'!$T$5:$T$200),"")</f>
        <v/>
      </c>
      <c r="E27" s="7">
        <f>IF(OR(C27="",D27=""),"",D27-C27)</f>
        <v/>
      </c>
      <c r="F27" s="7">
        <f>IFERROR(XLOOKUP(A27,'Corrected Register'!$A$5:$A$200,'Corrected Register'!$N$5:$N$200),"")</f>
        <v/>
      </c>
      <c r="G27" s="7">
        <f>IFERROR(XLOOKUP(A27,'Source Ledger'!$B$5:$B$200,'Source Ledger'!$G$5:$G$200),"")</f>
        <v/>
      </c>
      <c r="H27" s="7" t="inlineStr">
        <is>
          <t>Ledger FA-000068 cost exceeds register by $55. Validate against PO-2022-0013.</t>
        </is>
      </c>
    </row>
    <row r="28">
      <c r="A28" s="7" t="inlineStr">
        <is>
          <t>MD-00085</t>
        </is>
      </c>
      <c r="B28" s="7" t="inlineStr">
        <is>
          <t>Acquisition cost mismatch</t>
        </is>
      </c>
      <c r="C28" s="7">
        <f>IFERROR(XLOOKUP(A28,'Corrected Register'!$A$5:$A$200,'Corrected Register'!$M$5:$M$200),"")</f>
        <v/>
      </c>
      <c r="D28" s="7">
        <f>IFERROR(XLOOKUP(A28,'Corrected Register'!$A$5:$A$200,'Corrected Register'!$T$5:$T$200),"")</f>
        <v/>
      </c>
      <c r="E28" s="7">
        <f>IF(OR(C28="",D28=""),"",D28-C28)</f>
        <v/>
      </c>
      <c r="F28" s="7">
        <f>IFERROR(XLOOKUP(A28,'Corrected Register'!$A$5:$A$200,'Corrected Register'!$N$5:$N$200),"")</f>
        <v/>
      </c>
      <c r="G28" s="7">
        <f>IFERROR(XLOOKUP(A28,'Source Ledger'!$B$5:$B$200,'Source Ledger'!$G$5:$G$200),"")</f>
        <v/>
      </c>
      <c r="H28" s="7" t="inlineStr">
        <is>
          <t>Ledger FA-000085 cost exceeds register by $195. Validate against PO-2025-0016.</t>
        </is>
      </c>
    </row>
    <row r="29">
      <c r="A29" s="7" t="inlineStr">
        <is>
          <t>MD-00102</t>
        </is>
      </c>
      <c r="B29" s="7" t="inlineStr">
        <is>
          <t>Acquisition cost mismatch</t>
        </is>
      </c>
      <c r="C29" s="7">
        <f>IFERROR(XLOOKUP(A29,'Corrected Register'!$A$5:$A$200,'Corrected Register'!$M$5:$M$200),"")</f>
        <v/>
      </c>
      <c r="D29" s="7">
        <f>IFERROR(XLOOKUP(A29,'Corrected Register'!$A$5:$A$200,'Corrected Register'!$T$5:$T$200),"")</f>
        <v/>
      </c>
      <c r="E29" s="7">
        <f>IF(OR(C29="",D29=""),"",D29-C29)</f>
        <v/>
      </c>
      <c r="F29" s="7">
        <f>IFERROR(XLOOKUP(A29,'Corrected Register'!$A$5:$A$200,'Corrected Register'!$N$5:$N$200),"")</f>
        <v/>
      </c>
      <c r="G29" s="7">
        <f>IFERROR(XLOOKUP(A29,'Source Ledger'!$B$5:$B$200,'Source Ledger'!$G$5:$G$200),"")</f>
        <v/>
      </c>
      <c r="H29" s="7" t="inlineStr">
        <is>
          <t>Ledger FA-000102 cost exceeds register by $120. Validate against PO-2024-0019.</t>
        </is>
      </c>
    </row>
    <row r="30">
      <c r="A30" s="7" t="inlineStr">
        <is>
          <t>MD-00114</t>
        </is>
      </c>
      <c r="B30" s="7" t="inlineStr">
        <is>
          <t>Ledger disposed without operational disposal evidence</t>
        </is>
      </c>
      <c r="C30" s="7">
        <f>IFERROR(XLOOKUP(A30,'Corrected Register'!$A$5:$A$200,'Corrected Register'!$M$5:$M$200),"")</f>
        <v/>
      </c>
      <c r="D30" s="7">
        <f>IFERROR(XLOOKUP(A30,'Corrected Register'!$A$5:$A$200,'Corrected Register'!$T$5:$T$200),"")</f>
        <v/>
      </c>
      <c r="E30" s="7">
        <f>IF(OR(C30="",D30=""),"",D30-C30)</f>
        <v/>
      </c>
      <c r="F30" s="7">
        <f>IFERROR(XLOOKUP(A30,'Corrected Register'!$A$5:$A$200,'Corrected Register'!$N$5:$N$200),"")</f>
        <v/>
      </c>
      <c r="G30" s="7">
        <f>IFERROR(XLOOKUP(A30,'Source Ledger'!$B$5:$B$200,'Source Ledger'!$G$5:$G$200),"")</f>
        <v/>
      </c>
      <c r="H30" s="7" t="inlineStr">
        <is>
          <t>Ledger status Disposed but verified status is Retired/Pending Disposal; certificate evidence incomplete.</t>
        </is>
      </c>
    </row>
    <row r="31">
      <c r="A31" s="7" t="inlineStr">
        <is>
          <t>MD-00118</t>
        </is>
      </c>
      <c r="B31" s="7" t="inlineStr">
        <is>
          <t>Ledger disposed without operational disposal evidence</t>
        </is>
      </c>
      <c r="C31" s="7">
        <f>IFERROR(XLOOKUP(A31,'Corrected Register'!$A$5:$A$200,'Corrected Register'!$M$5:$M$200),"")</f>
        <v/>
      </c>
      <c r="D31" s="7">
        <f>IFERROR(XLOOKUP(A31,'Corrected Register'!$A$5:$A$200,'Corrected Register'!$T$5:$T$200),"")</f>
        <v/>
      </c>
      <c r="E31" s="7">
        <f>IF(OR(C31="",D31=""),"",D31-C31)</f>
        <v/>
      </c>
      <c r="F31" s="7">
        <f>IFERROR(XLOOKUP(A31,'Corrected Register'!$A$5:$A$200,'Corrected Register'!$N$5:$N$200),"")</f>
        <v/>
      </c>
      <c r="G31" s="7">
        <f>IFERROR(XLOOKUP(A31,'Source Ledger'!$B$5:$B$200,'Source Ledger'!$G$5:$G$200),"")</f>
        <v/>
      </c>
      <c r="H31" s="7" t="inlineStr">
        <is>
          <t>Ledger status Disposed but verified status is Retired/Pending Disposal; certificate evidence incomplete.</t>
        </is>
      </c>
    </row>
    <row r="32">
      <c r="A32" s="7" t="inlineStr">
        <is>
          <t>MD-00119</t>
        </is>
      </c>
      <c r="B32" s="7" t="inlineStr">
        <is>
          <t>Acquisition cost mismatch</t>
        </is>
      </c>
      <c r="C32" s="7">
        <f>IFERROR(XLOOKUP(A32,'Corrected Register'!$A$5:$A$200,'Corrected Register'!$M$5:$M$200),"")</f>
        <v/>
      </c>
      <c r="D32" s="7">
        <f>IFERROR(XLOOKUP(A32,'Corrected Register'!$A$5:$A$200,'Corrected Register'!$T$5:$T$200),"")</f>
        <v/>
      </c>
      <c r="E32" s="7">
        <f>IF(OR(C32="",D32=""),"",D32-C32)</f>
        <v/>
      </c>
      <c r="F32" s="7">
        <f>IFERROR(XLOOKUP(A32,'Corrected Register'!$A$5:$A$200,'Corrected Register'!$N$5:$N$200),"")</f>
        <v/>
      </c>
      <c r="G32" s="7">
        <f>IFERROR(XLOOKUP(A32,'Source Ledger'!$B$5:$B$200,'Source Ledger'!$G$5:$G$200),"")</f>
        <v/>
      </c>
      <c r="H32" s="7" t="inlineStr">
        <is>
          <t>Ledger FA-000119 cost exceeds register by $165. Validate against PO-2024-0024.</t>
        </is>
      </c>
    </row>
    <row r="33">
      <c r="A33" s="7" t="inlineStr">
        <is>
          <t>MD-00130</t>
        </is>
      </c>
      <c r="B33" s="7" t="inlineStr">
        <is>
          <t>On inventory, missing from ledger (under-threshold)</t>
        </is>
      </c>
      <c r="C33" s="7">
        <f>IFERROR(XLOOKUP(A33,'Corrected Register'!$A$5:$A$200,'Corrected Register'!$M$5:$M$200),"")</f>
        <v/>
      </c>
      <c r="D33" s="7">
        <f>IFERROR(XLOOKUP(A33,'Corrected Register'!$A$5:$A$200,'Corrected Register'!$T$5:$T$200),"")</f>
        <v/>
      </c>
      <c r="E33" s="7">
        <f>IF(OR(C33="",D33=""),"",D33-C33)</f>
        <v/>
      </c>
      <c r="F33" s="7">
        <f>IFERROR(XLOOKUP(A33,'Corrected Register'!$A$5:$A$200,'Corrected Register'!$N$5:$N$200),"")</f>
        <v/>
      </c>
      <c r="G33" s="7">
        <f>IFERROR(XLOOKUP(A33,'Source Ledger'!$B$5:$B$200,'Source Ledger'!$G$5:$G$200),"")</f>
        <v/>
      </c>
      <c r="H33" s="7" t="inlineStr">
        <is>
          <t>Register cost below $2,500. PO-2023-0023 capitalization_approved=No; FAR absence expected under ITAM-001 section 7. Informational only.</t>
        </is>
      </c>
    </row>
    <row r="34">
      <c r="A34" s="7" t="inlineStr">
        <is>
          <t>MD-00131</t>
        </is>
      </c>
      <c r="B34" s="7" t="inlineStr">
        <is>
          <t>On inventory, missing from ledger (under-threshold)</t>
        </is>
      </c>
      <c r="C34" s="7">
        <f>IFERROR(XLOOKUP(A34,'Corrected Register'!$A$5:$A$200,'Corrected Register'!$M$5:$M$200),"")</f>
        <v/>
      </c>
      <c r="D34" s="7">
        <f>IFERROR(XLOOKUP(A34,'Corrected Register'!$A$5:$A$200,'Corrected Register'!$T$5:$T$200),"")</f>
        <v/>
      </c>
      <c r="E34" s="7">
        <f>IF(OR(C34="",D34=""),"",D34-C34)</f>
        <v/>
      </c>
      <c r="F34" s="7">
        <f>IFERROR(XLOOKUP(A34,'Corrected Register'!$A$5:$A$200,'Corrected Register'!$N$5:$N$200),"")</f>
        <v/>
      </c>
      <c r="G34" s="7">
        <f>IFERROR(XLOOKUP(A34,'Source Ledger'!$B$5:$B$200,'Source Ledger'!$G$5:$G$200),"")</f>
        <v/>
      </c>
      <c r="H34" s="7" t="inlineStr">
        <is>
          <t>Register cost below $2,500. PO-2023-0023 capitalization_approved=No; FAR absence expected under ITAM-001 section 7. Informational only.</t>
        </is>
      </c>
    </row>
    <row r="35">
      <c r="A35" s="7" t="inlineStr">
        <is>
          <t>MD-00132</t>
        </is>
      </c>
      <c r="B35" s="7" t="inlineStr">
        <is>
          <t>On inventory, missing from ledger (capital-qualifying)</t>
        </is>
      </c>
      <c r="C35" s="7">
        <f>IFERROR(XLOOKUP(A35,'Corrected Register'!$A$5:$A$200,'Corrected Register'!$M$5:$M$200),"")</f>
        <v/>
      </c>
      <c r="D35" s="7">
        <f>IFERROR(XLOOKUP(A35,'Corrected Register'!$A$5:$A$200,'Corrected Register'!$T$5:$T$200),"")</f>
        <v/>
      </c>
      <c r="E35" s="7">
        <f>IF(OR(C35="",D35=""),"",D35-C35)</f>
        <v/>
      </c>
      <c r="F35" s="7">
        <f>IFERROR(XLOOKUP(A35,'Corrected Register'!$A$5:$A$200,'Corrected Register'!$N$5:$N$200),"")</f>
        <v/>
      </c>
      <c r="G35" s="7">
        <f>IFERROR(XLOOKUP(A35,'Source Ledger'!$B$5:$B$200,'Source Ledger'!$G$5:$G$200),"")</f>
        <v/>
      </c>
      <c r="H35" s="7" t="inlineStr">
        <is>
          <t>Capital-qualifying asset on PO-2023-0022 with no FA row. RN-0132 rejected. Critical certification blocker.</t>
        </is>
      </c>
    </row>
  </sheetData>
  <mergeCells count="7">
    <mergeCell ref="A18:H18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6" customWidth="1" min="3" max="3"/>
    <col width="40" customWidth="1" min="4" max="4"/>
    <col width="23" customWidth="1" min="5" max="5"/>
    <col width="13" customWidth="1" min="6" max="6"/>
  </cols>
  <sheetData>
    <row r="1">
      <c r="A1" s="24" t="inlineStr">
        <is>
          <t>Quarterly Inventory Certification Statement</t>
        </is>
      </c>
    </row>
    <row r="2">
      <c r="A2" s="2" t="inlineStr">
        <is>
          <t>Yanou &amp; Partners IT Services | As of 2026-08-09 | Policy ITAM-001 §9 | Multimodal leads do not replace transaction proof</t>
        </is>
      </c>
    </row>
    <row r="4">
      <c r="A4" s="25" t="inlineStr">
        <is>
          <t>Section</t>
        </is>
      </c>
      <c r="B4" s="25" t="inlineStr">
        <is>
          <t>Determination</t>
        </is>
      </c>
      <c r="C4" s="25" t="inlineStr">
        <is>
          <t>Scope / Count</t>
        </is>
      </c>
      <c r="D4" s="25" t="inlineStr">
        <is>
          <t>Evidence Basis</t>
        </is>
      </c>
      <c r="E4" s="25" t="inlineStr">
        <is>
          <t>Owner</t>
        </is>
      </c>
      <c r="F4" s="25" t="inlineStr">
        <is>
          <t>Status</t>
        </is>
      </c>
    </row>
    <row r="5">
      <c r="A5" s="7" t="inlineStr">
        <is>
          <t>A. Records accepted for certification draft</t>
        </is>
      </c>
      <c r="B5" s="7" t="inlineStr">
        <is>
          <t>Operational conclusions accepted subject to listed non-blocking remediation</t>
        </is>
      </c>
      <c r="C5" s="7" t="inlineStr">
        <is>
          <t>101 assets</t>
        </is>
      </c>
      <c r="D5" s="7" t="inlineStr">
        <is>
          <t>HR + transfer/return/disposal transaction evidence; multimodal figure/image used as control lead only</t>
        </is>
      </c>
      <c r="E5" s="7" t="inlineStr">
        <is>
          <t>IT Asset Specialist</t>
        </is>
      </c>
      <c r="F5" s="7" t="inlineStr">
        <is>
          <t>Conditional</t>
        </is>
      </c>
    </row>
    <row r="6">
      <c r="A6" s="7" t="inlineStr">
        <is>
          <t>B. Assets requiring escalation before approval</t>
        </is>
      </c>
      <c r="B6" s="7" t="inlineStr">
        <is>
          <t>Cannot certify while Critical exceptions remain open</t>
        </is>
      </c>
      <c r="C6" s="7" t="inlineStr">
        <is>
          <t>31 assets / 43 blocking exceptions</t>
        </is>
      </c>
      <c r="D6" s="7" t="inlineStr">
        <is>
          <t>Missing, overdue without receiving proof, shipment serial mismatches (incl. dock image lead for 1ZMD00000082), missing capital ledger rows (≥$2,500), missing disposal certificates</t>
        </is>
      </c>
      <c r="E6" s="7" t="inlineStr">
        <is>
          <t>IT Operations Manager</t>
        </is>
      </c>
      <c r="F6" s="12" t="inlineStr">
        <is>
          <t>BLOCKED</t>
        </is>
      </c>
    </row>
    <row r="7">
      <c r="A7" s="7" t="inlineStr">
        <is>
          <t>C. HR validation required</t>
        </is>
      </c>
      <c r="B7" s="7" t="inlineStr">
        <is>
          <t>Separated employee assignments and offboarding ticket custodians</t>
        </is>
      </c>
      <c r="C7" s="7" t="inlineStr">
        <is>
          <t>43 exceptions</t>
        </is>
      </c>
      <c r="D7" s="7" t="inlineStr">
        <is>
          <t>hr_employee_status.csv vs register/tickets</t>
        </is>
      </c>
      <c r="E7" s="7" t="inlineStr">
        <is>
          <t>HR Operations Lead</t>
        </is>
      </c>
      <c r="F7" s="7" t="inlineStr">
        <is>
          <t>Open</t>
        </is>
      </c>
    </row>
    <row r="8">
      <c r="A8" s="7" t="inlineStr">
        <is>
          <t>D. Finance validation required</t>
        </is>
      </c>
      <c r="B8" s="7" t="inlineStr">
        <is>
          <t>Capital-qualifying ledger gap (MD-00132) and cost-basis variances</t>
        </is>
      </c>
      <c r="C8" s="7" t="inlineStr">
        <is>
          <t>10 exceptions</t>
        </is>
      </c>
      <c r="D8" s="7" t="inlineStr">
        <is>
          <t>fixed_asset_ledger.xlsx + hardware_purchase_orders.csv + register costs</t>
        </is>
      </c>
      <c r="E8" s="7" t="inlineStr">
        <is>
          <t>Finance Controller</t>
        </is>
      </c>
      <c r="F8" s="7" t="inlineStr">
        <is>
          <t>Open</t>
        </is>
      </c>
    </row>
    <row r="9">
      <c r="A9" s="7" t="inlineStr">
        <is>
          <t>E. Internal Audit testing recommended</t>
        </is>
      </c>
      <c r="B9" s="7" t="inlineStr">
        <is>
          <t>Sample custody chains for Missing, Overdue, Disposal gaps, and duplicate serials (MD-LA-050021 across MD-00021 and MD-00025; MD-NE-050088 across MD-00088 and MD-00092)</t>
        </is>
      </c>
      <c r="C9" s="7" t="inlineStr">
        <is>
          <t>65 high-risk chains</t>
        </is>
      </c>
      <c r="D9" s="7" t="inlineStr">
        <is>
          <t>Custody Chain worksheet + source IDs + ITAM_control_matrix.png</t>
        </is>
      </c>
      <c r="E9" s="7" t="inlineStr">
        <is>
          <t>Internal Auditor</t>
        </is>
      </c>
      <c r="F9" s="7" t="inlineStr">
        <is>
          <t>Recommended</t>
        </is>
      </c>
    </row>
    <row r="11">
      <c r="A11" s="6" t="inlineStr">
        <is>
          <t>Must be completed before the quarterly asset report is approved</t>
        </is>
      </c>
    </row>
    <row r="12">
      <c r="A12" s="14" t="inlineStr">
        <is>
          <t>1. Clear or formally risk-accept all exceptions with Certification Impact = Blocks certification.</t>
        </is>
      </c>
    </row>
    <row r="13">
      <c r="A13" s="14" t="inlineStr">
        <is>
          <t>2. Recover or loss-investigate all Verified Status = Missing assets (MD-00089-MD-00100).</t>
        </is>
      </c>
    </row>
    <row r="14">
      <c r="A14" s="14" t="inlineStr">
        <is>
          <t>3. Complete returns with carrier acceptance + delivery + receiving scan for Return Overdue assets.</t>
        </is>
      </c>
    </row>
    <row r="15">
      <c r="A15" s="14" t="inlineStr">
        <is>
          <t>4. Resolve shipment serial mismatches (MD-00074, MD-00076, MD-00082, MD-00084). Dock image for 1ZMD00000082 is a lead only.</t>
        </is>
      </c>
    </row>
    <row r="16">
      <c r="A16" s="14" t="inlineStr">
        <is>
          <t>5. Obtain disposal certificates for MD-00114 and MD-00118 (and complete pending-disposal evidence for MD-00101-MD-00110) or restore to stock.</t>
        </is>
      </c>
    </row>
    <row r="17">
      <c r="A17" s="14" t="inlineStr">
        <is>
          <t>6. Finance: add a ledger row (or approved write-off) for capital-qualifying MD-00132 only; MD-00130 and MD-00131 are under the $2,500 threshold so FA absence is expected; resolve seven acquisition-cost variances (amounts differ by asset).</t>
        </is>
      </c>
    </row>
    <row r="18">
      <c r="A18" s="14" t="inlineStr">
        <is>
          <t>7. Update the operational register to verified custodians/locations.</t>
        </is>
      </c>
    </row>
    <row r="19">
      <c r="A19" s="14" t="inlineStr">
        <is>
          <t>8. Obtain retrospective approvals for transfers TR-00058, TR-00059, TR-00064, TR-00065, TR-00127.</t>
        </is>
      </c>
    </row>
    <row r="20" ht="28" customHeight="1">
      <c r="A20" s="22" t="inlineStr">
        <is>
          <t>9. Flags duplicate serial MD-LA-050021 across MD-00021 and MD-00025, and duplicate serial MD-NE-050088 across MD-00088 and MD-00092. Physical validation and retag required.</t>
        </is>
      </c>
    </row>
    <row r="21">
      <c r="A21" s="6" t="inlineStr">
        <is>
          <t>Sign-off</t>
        </is>
      </c>
    </row>
    <row r="22">
      <c r="A22" s="3" t="inlineStr">
        <is>
          <t>Role</t>
        </is>
      </c>
      <c r="B22" s="3" t="inlineStr">
        <is>
          <t>Name</t>
        </is>
      </c>
      <c r="C22" s="3" t="inlineStr">
        <is>
          <t>Signature</t>
        </is>
      </c>
      <c r="D22" s="3" t="inlineStr">
        <is>
          <t>Date</t>
        </is>
      </c>
      <c r="E22" s="3" t="inlineStr">
        <is>
          <t>Determination</t>
        </is>
      </c>
    </row>
    <row r="23">
      <c r="A23" s="15" t="inlineStr">
        <is>
          <t>IT Asset Specialist (preparer)</t>
        </is>
      </c>
      <c r="B23" s="15" t="inlineStr"/>
      <c r="C23" s="15" t="inlineStr"/>
      <c r="D23" s="15" t="inlineStr"/>
      <c r="E23" s="15" t="inlineStr"/>
    </row>
    <row r="24">
      <c r="A24" s="15" t="inlineStr">
        <is>
          <t>IT Operations Manager</t>
        </is>
      </c>
      <c r="B24" s="15" t="inlineStr"/>
      <c r="C24" s="15" t="inlineStr"/>
      <c r="D24" s="15" t="inlineStr"/>
      <c r="E24" s="15" t="inlineStr"/>
    </row>
    <row r="25">
      <c r="A25" s="15" t="inlineStr">
        <is>
          <t>Finance Controller</t>
        </is>
      </c>
      <c r="B25" s="15" t="inlineStr"/>
      <c r="C25" s="15" t="inlineStr"/>
      <c r="D25" s="15" t="inlineStr"/>
      <c r="E25" s="15" t="inlineStr"/>
    </row>
    <row r="26">
      <c r="A26" s="15" t="inlineStr">
        <is>
          <t>HR Operations Lead</t>
        </is>
      </c>
      <c r="B26" s="15" t="inlineStr"/>
      <c r="C26" s="15" t="inlineStr"/>
      <c r="D26" s="15" t="inlineStr"/>
      <c r="E26" s="15" t="inlineStr"/>
    </row>
    <row r="27">
      <c r="A27" s="15" t="inlineStr">
        <is>
          <t>Internal Auditor (optional review)</t>
        </is>
      </c>
      <c r="B27" s="15" t="inlineStr"/>
      <c r="C27" s="15" t="inlineStr"/>
      <c r="D27" s="15" t="inlineStr"/>
      <c r="E27" s="15" t="inlineStr"/>
    </row>
    <row r="29">
      <c r="A29" s="16" t="inlineStr">
        <is>
          <t>CERTIFICATION STATUS: NOT APPROVED as of 2026-08-09. Critical exceptions remain.</t>
        </is>
      </c>
    </row>
    <row r="30">
      <c r="A30" t="inlineStr">
        <is>
          <t>Critical certification blockers (must clear before sign-off)</t>
        </is>
      </c>
    </row>
    <row r="31">
      <c r="A31" t="inlineStr">
        <is>
          <t>Asset Tag</t>
        </is>
      </c>
      <c r="B31" t="inlineStr">
        <is>
          <t>Blocker basis</t>
        </is>
      </c>
      <c r="C31" t="inlineStr">
        <is>
          <t>Verified status / location</t>
        </is>
      </c>
      <c r="D31" t="inlineStr">
        <is>
          <t>Exception IDs</t>
        </is>
      </c>
    </row>
    <row r="32">
      <c r="A32" t="inlineStr">
        <is>
          <t>MD-00074</t>
        </is>
      </c>
      <c r="B32" t="inlineStr">
        <is>
          <t>Critical certification blocker — Unresolved shipment serial mismatch (1ZMD00000074)</t>
        </is>
      </c>
      <c r="C32" t="inlineStr">
        <is>
          <t>In Transit - Exception / Carrier Network</t>
        </is>
      </c>
      <c r="D32" t="inlineStr">
        <is>
          <t>EX-0076</t>
        </is>
      </c>
    </row>
    <row r="33">
      <c r="A33" t="inlineStr">
        <is>
          <t>MD-00076</t>
        </is>
      </c>
      <c r="B33" t="inlineStr">
        <is>
          <t>Critical certification blocker — Unresolved shipment serial mismatch (1ZMD00000076)</t>
        </is>
      </c>
      <c r="C33" t="inlineStr">
        <is>
          <t>In Transit - Exception / Carrier Network</t>
        </is>
      </c>
      <c r="D33" t="inlineStr">
        <is>
          <t>EX-0081</t>
        </is>
      </c>
    </row>
    <row r="34">
      <c r="A34" t="inlineStr">
        <is>
          <t>MD-00082</t>
        </is>
      </c>
      <c r="B34" t="inlineStr">
        <is>
          <t>Critical certification blocker — Unresolved shipment serial mismatch (1ZMD00000082)</t>
        </is>
      </c>
      <c r="C34" t="inlineStr">
        <is>
          <t>In Transit - Exception / Carrier Network</t>
        </is>
      </c>
      <c r="D34" t="inlineStr">
        <is>
          <t>EX-0092</t>
        </is>
      </c>
    </row>
    <row r="35">
      <c r="A35" t="inlineStr">
        <is>
          <t>MD-00084</t>
        </is>
      </c>
      <c r="B35" t="inlineStr">
        <is>
          <t>Critical certification blocker — Unresolved shipment serial mismatch (1ZMD00000084)</t>
        </is>
      </c>
      <c r="C35" t="inlineStr">
        <is>
          <t>In Transit - Exception / Carrier Network</t>
        </is>
      </c>
      <c r="D35" t="inlineStr">
        <is>
          <t>EX-0095</t>
        </is>
      </c>
    </row>
    <row r="36">
      <c r="A36" t="inlineStr">
        <is>
          <t>MD-00114</t>
        </is>
      </c>
      <c r="B36" t="inlineStr">
        <is>
          <t>Critical certification blocker — Retired/Pending Disposal without verified disposal certificate</t>
        </is>
      </c>
      <c r="C36" t="inlineStr">
        <is>
          <t>Retired/Pending Disposal / Disposed (certificate missing)</t>
        </is>
      </c>
      <c r="D36" t="inlineStr">
        <is>
          <t>EX-0149, EX-0150</t>
        </is>
      </c>
    </row>
    <row r="37">
      <c r="A37" t="inlineStr">
        <is>
          <t>MD-00118</t>
        </is>
      </c>
      <c r="B37" t="inlineStr">
        <is>
          <t>Critical certification blocker — Retired/Pending Disposal without verified disposal certificate</t>
        </is>
      </c>
      <c r="C37" t="inlineStr">
        <is>
          <t>Retired/Pending Disposal / Disposed (certificate missing)</t>
        </is>
      </c>
      <c r="D37" t="inlineStr">
        <is>
          <t>EX-0151, EX-0152</t>
        </is>
      </c>
    </row>
    <row r="38">
      <c r="A38" t="inlineStr">
        <is>
          <t>MD-00132</t>
        </is>
      </c>
      <c r="B38" t="inlineStr">
        <is>
          <t>Critical certification blocker — Capital-qualifying asset missing from fixed-asset ledger</t>
        </is>
      </c>
      <c r="C38" t="inlineStr">
        <is>
          <t>Pending Redeployment / Atlanta Warehouse</t>
        </is>
      </c>
      <c r="D38" t="inlineStr">
        <is>
          <t>EX-0163</t>
        </is>
      </c>
    </row>
  </sheetData>
  <mergeCells count="11">
    <mergeCell ref="A16:F16"/>
    <mergeCell ref="A11:F11"/>
    <mergeCell ref="A13:F13"/>
    <mergeCell ref="A14:F14"/>
    <mergeCell ref="A19:F19"/>
    <mergeCell ref="A1:F1"/>
    <mergeCell ref="A29:F29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  <col width="50" customWidth="1" min="4" max="4"/>
  </cols>
  <sheetData>
    <row r="1">
      <c r="A1" s="24" t="inlineStr">
        <is>
          <t>Evidence Index - Source Systems of Record</t>
        </is>
      </c>
    </row>
    <row r="3">
      <c r="A3" s="25" t="inlineStr">
        <is>
          <t>Source File</t>
        </is>
      </c>
      <c r="B3" s="25" t="inlineStr">
        <is>
          <t>Role</t>
        </is>
      </c>
      <c r="C3" s="25" t="inlineStr">
        <is>
          <t>Key Fields Used</t>
        </is>
      </c>
      <c r="D3" s="25" t="inlineStr">
        <is>
          <t>Evidentiary Weight</t>
        </is>
      </c>
    </row>
    <row r="4">
      <c r="A4" s="7" t="inlineStr">
        <is>
          <t>it_asset_inventory.xlsx</t>
        </is>
      </c>
      <c r="B4" s="7" t="inlineStr">
        <is>
          <t>Operational asset register (pre-reconciliation)</t>
        </is>
      </c>
      <c r="C4" s="7" t="inlineStr">
        <is>
          <t>Asset tag, serial, model, assigned employee, location, cost, warranty, lifecycle status</t>
        </is>
      </c>
      <c r="D4" s="7" t="inlineStr">
        <is>
          <t>Not assumed current</t>
        </is>
      </c>
    </row>
    <row r="5">
      <c r="A5" s="7" t="inlineStr">
        <is>
          <t>hr_employee_status.csv</t>
        </is>
      </c>
      <c r="B5" s="7" t="inlineStr">
        <is>
          <t>HR employment status (authoritative)</t>
        </is>
      </c>
      <c r="C5" s="7" t="inlineStr">
        <is>
          <t>Active / Transferred / Separated; locations; termination and transfer dates</t>
        </is>
      </c>
      <c r="D5" s="7" t="inlineStr">
        <is>
          <t>Authoritative for employment</t>
        </is>
      </c>
    </row>
    <row r="6">
      <c r="A6" s="7" t="inlineStr">
        <is>
          <t>equipment_transfer_log.csv</t>
        </is>
      </c>
      <c r="B6" s="7" t="inlineStr">
        <is>
          <t>Approved/unapproved movements</t>
        </is>
      </c>
      <c r="C6" s="7" t="inlineStr">
        <is>
          <t>Transfer ID, custodians, locations, approval ID, received date</t>
        </is>
      </c>
      <c r="D6" s="7" t="inlineStr">
        <is>
          <t>Authoritative for movement when approved + received</t>
        </is>
      </c>
    </row>
    <row r="7">
      <c r="A7" s="7" t="inlineStr">
        <is>
          <t>service_desk_offboarding.csv</t>
        </is>
      </c>
      <c r="B7" s="7" t="inlineStr">
        <is>
          <t>Offboarding and retirement tickets</t>
        </is>
      </c>
      <c r="C7" s="7" t="inlineStr">
        <is>
          <t>Ticket number, employee, assets, return due, ticket status, comments</t>
        </is>
      </c>
      <c r="D7" s="7" t="inlineStr">
        <is>
          <t>Ticket status authoritative; comments are claims</t>
        </is>
      </c>
    </row>
    <row r="8">
      <c r="A8" s="7" t="inlineStr">
        <is>
          <t>device_return_shipments.csv</t>
        </is>
      </c>
      <c r="B8" s="7" t="inlineStr">
        <is>
          <t>Return shipping activity</t>
        </is>
      </c>
      <c r="C8" s="7" t="inlineStr">
        <is>
          <t>Tracking, dates, receiving scan, shipment status, serial on shipment</t>
        </is>
      </c>
      <c r="D8" s="7" t="inlineStr">
        <is>
          <t>Label ≠ return; need acceptance+delivery+scan</t>
        </is>
      </c>
    </row>
    <row r="9">
      <c r="A9" s="7" t="inlineStr">
        <is>
          <t>hardware_purchase_orders.csv</t>
        </is>
      </c>
      <c r="B9" s="7" t="inlineStr">
        <is>
          <t>Acquisition / procurement</t>
        </is>
      </c>
      <c r="C9" s="7" t="inlineStr">
        <is>
          <t>PO, vendor, asset tags, approved amount, capitalization flag</t>
        </is>
      </c>
      <c r="D9" s="7" t="inlineStr">
        <is>
          <t>Validates acquisition</t>
        </is>
      </c>
    </row>
    <row r="10">
      <c r="A10" s="7" t="inlineStr">
        <is>
          <t>fixed_asset_ledger.xlsx</t>
        </is>
      </c>
      <c r="B10" s="7" t="inlineStr">
        <is>
          <t>Accounting book value</t>
        </is>
      </c>
      <c r="C10" s="7" t="inlineStr">
        <is>
          <t>FA ID, capitalized flag, cost, accum. dep., NBV, ledger status</t>
        </is>
      </c>
      <c r="D10" s="7" t="inlineStr">
        <is>
          <t>Authoritative for NBV</t>
        </is>
      </c>
    </row>
    <row r="11">
      <c r="A11" s="7" t="inlineStr">
        <is>
          <t>asset_disposal_records.csv</t>
        </is>
      </c>
      <c r="B11" s="7" t="inlineStr">
        <is>
          <t>Disposal certificates</t>
        </is>
      </c>
      <c r="C11" s="7" t="inlineStr">
        <is>
          <t>Certificate ID, tag, serial, method, vendor, verified flag</t>
        </is>
      </c>
      <c r="D11" s="7" t="inlineStr">
        <is>
          <t>Required for Disposed status</t>
        </is>
      </c>
    </row>
    <row r="12">
      <c r="A12" s="7" t="inlineStr">
        <is>
          <t>IT_asset_management_policy.pdf</t>
        </is>
      </c>
      <c r="B12" s="7" t="inlineStr">
        <is>
          <t>Policy ITAM-001 v3.2 (includes embedded control-matrix figure)</t>
        </is>
      </c>
      <c r="C12" s="7" t="inlineStr">
        <is>
          <t>Assignment, transfer, return, loss, disposal, financial, certification rules</t>
        </is>
      </c>
      <c r="D12" s="7" t="inlineStr">
        <is>
          <t>Control criteria</t>
        </is>
      </c>
    </row>
    <row r="13">
      <c r="A13" s="7" t="inlineStr">
        <is>
          <t>ITAM_control_matrix.png</t>
        </is>
      </c>
      <c r="B13" s="7" t="inlineStr">
        <is>
          <t>Policy Appendix A control-matrix figure</t>
        </is>
      </c>
      <c r="C13" s="7" t="inlineStr">
        <is>
          <t>Required evidence by control; failure classification; owner</t>
        </is>
      </c>
      <c r="D13" s="7" t="inlineStr">
        <is>
          <t>Visual policy exhibit; use with PDF</t>
        </is>
      </c>
    </row>
    <row r="14">
      <c r="A14" s="7" t="inlineStr">
        <is>
          <t>receiving_exception_scan_1ZMD00000082.png</t>
        </is>
      </c>
      <c r="B14" s="7" t="inlineStr">
        <is>
          <t>Atlanta warehouse dock exception photo lead</t>
        </is>
      </c>
      <c r="C14" s="7" t="inlineStr">
        <is>
          <t>Tracking 1ZMD00000082; MISMATCH serial HOLD tag</t>
        </is>
      </c>
      <c r="D14" s="7" t="inlineStr">
        <is>
          <t>Image lead only; NOT receiving clearance</t>
        </is>
      </c>
    </row>
    <row r="15">
      <c r="A15" s="7" t="inlineStr">
        <is>
          <t>regional_IT_notes.docx</t>
        </is>
      </c>
      <c r="B15" s="7" t="inlineStr">
        <is>
          <t>Informal technician notes</t>
        </is>
      </c>
      <c r="C15" s="7" t="inlineStr">
        <is>
          <t>Leads on closed offices, disposals, approvals, mismatches</t>
        </is>
      </c>
      <c r="D15" s="7" t="inlineStr">
        <is>
          <t>Non-authoritative leads only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4" t="inlineStr">
        <is>
          <t>Reconciliation Methodology</t>
        </is>
      </c>
    </row>
    <row r="3">
      <c r="A3" s="25" t="inlineStr">
        <is>
          <t>Step</t>
        </is>
      </c>
      <c r="B3" s="25" t="inlineStr">
        <is>
          <t>Description</t>
        </is>
      </c>
    </row>
    <row r="4">
      <c r="A4" s="4" t="inlineStr">
        <is>
          <t>1. Population</t>
        </is>
      </c>
      <c r="B4" s="17" t="inlineStr">
        <is>
          <t>Loaded 132 register assets; matched to HR, transfers, tickets, shipments, POs, ledger (129), disposal certificates (8), plus multimodal policy figure and dock image lead.</t>
        </is>
      </c>
    </row>
    <row r="5">
      <c r="A5" s="4" t="inlineStr">
        <is>
          <t>2. Custodian verification</t>
        </is>
      </c>
      <c r="B5" s="17" t="inlineStr">
        <is>
          <t>Did not trust register owner/status. Applied HR employment status and latest transfer to_custodian / to_location.</t>
        </is>
      </c>
    </row>
    <row r="6">
      <c r="A6" s="4" t="inlineStr">
        <is>
          <t>3. Return verification</t>
        </is>
      </c>
      <c r="B6" s="17" t="inlineStr">
        <is>
          <t>Required carrier acceptance + delivery + receiving scan with serial match. Label-created and Past Due remain Return Overdue. Dock image is lead only.</t>
        </is>
      </c>
    </row>
    <row r="7">
      <c r="A7" s="4" t="inlineStr">
        <is>
          <t>4. Disposal verification</t>
        </is>
      </c>
      <c r="B7" s="17" t="inlineStr">
        <is>
          <t>Required certificate_verified=Yes matching tag/serial. Recycler transfers without certificates stay Retired/Pending Disposal.</t>
        </is>
      </c>
    </row>
    <row r="8">
      <c r="A8" s="4" t="inlineStr">
        <is>
          <t>5. Exceptions</t>
        </is>
      </c>
      <c r="B8" s="17" t="inlineStr">
        <is>
          <t>Raised discrete exceptions with exact IDs; shipment mismatch for MD-00082 cites receiving_exception_scan_1ZMD00000082.png as lead.</t>
        </is>
      </c>
    </row>
    <row r="9">
      <c r="A9" s="4" t="inlineStr">
        <is>
          <t>6. Financials</t>
        </is>
      </c>
      <c r="B9" s="17" t="inlineStr">
        <is>
          <t>Acquisition cost from register; remaining book value from ledger NBV. Missing ledger assets show blank NBV.</t>
        </is>
      </c>
    </row>
    <row r="10">
      <c r="A10" s="4" t="inlineStr">
        <is>
          <t>7. Custody chains</t>
        </is>
      </c>
      <c r="B10" s="17" t="inlineStr">
        <is>
          <t>Built for high-risk / unresolved / Critical-exception assets; separated Confirmed Fact vs Technician Claim vs Unresolved Assumption.</t>
        </is>
      </c>
    </row>
    <row r="11">
      <c r="A11" s="4" t="inlineStr">
        <is>
          <t>8. Non-invention rule</t>
        </is>
      </c>
      <c r="B11" s="17" t="inlineStr">
        <is>
          <t>No synthetic transfers, returns, approvals, or disposal certificates were created. Image leads do not invent clearance.</t>
        </is>
      </c>
    </row>
    <row r="12">
      <c r="A12" t="inlineStr">
        <is>
          <t>9</t>
        </is>
      </c>
    </row>
    <row r="14">
      <c r="A14" t="inlineStr">
        <is>
          <t>Capitalization gate</t>
        </is>
      </c>
      <c r="B14" t="inlineStr">
        <is>
          <t>Applied ITAM-001 §7 per-asset $2,500 threshold. Did not treat PO capitalization_approved as forcing FA rows for under-threshold lines (MD-00130/MD-00131). Flagged only MD-00132 as Critical missing capital row. Rejected RN-0132.</t>
        </is>
      </c>
    </row>
    <row r="15">
      <c r="A15" t="inlineStr">
        <is>
          <t>Evidence precedence</t>
        </is>
      </c>
      <c r="B15" t="inlineStr">
        <is>
          <t>Applied §3 order: ledger/certificates/carrier scans &gt; approved transfers &gt; HR &gt; ticket status &gt; notes/images.</t>
        </is>
      </c>
    </row>
    <row r="16">
      <c r="A16" t="inlineStr">
        <is>
          <t>Duplicate serials</t>
        </is>
      </c>
      <c r="B16" t="inlineStr">
        <is>
          <t>Flags duplicate serial MD-LA-050021 across MD-00021 and MD-00025, and duplicate serial MD-NE-050088 across MD-00088 and MD-00092.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Yanou IT Asset Specialist</dc:creator>
  <dcterms:created xsi:type="dcterms:W3CDTF">2026-08-09T22:46:44Z</dcterms:created>
  <dcterms:modified xsi:type="dcterms:W3CDTF">2026-08-27T17:59:26Z</dcterms:modified>
</cp:coreProperties>
</file>