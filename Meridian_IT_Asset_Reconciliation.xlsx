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 Ledger" sheetId="1" state="visible" r:id="rId1"/>
    <sheet name="Source Inventory" sheetId="2" state="visible" r:id="rId2"/>
    <sheet name="Dashboard" sheetId="3" state="visible" r:id="rId3"/>
    <sheet name="Corrected Register" sheetId="4" state="visible" r:id="rId4"/>
    <sheet name="Exception Register" sheetId="5" state="visible" r:id="rId5"/>
    <sheet name="Custody Chain" sheetId="6" state="visible" r:id="rId6"/>
    <sheet name="Ledger Reconciliation" sheetId="7" state="visible" r:id="rId7"/>
    <sheet name="Certification" sheetId="8" state="visible" r:id="rId8"/>
    <sheet name="Evidence Index" sheetId="9" state="visible" r:id="rId9"/>
    <sheet name="Methodolog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  <font>
      <b val="1"/>
      <color rgb="00FFF8F0"/>
    </font>
  </fonts>
  <fills count="13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  <fill>
      <patternFill patternType="solid">
        <fgColor rgb="003B2F2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  <xf numFmtId="0" fontId="1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>
        <f>E5-F5</f>
        <v/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>
        <f>E6-F6</f>
        <v/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>
        <f>E7-F7</f>
        <v/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>
        <f>E8-F8</f>
        <v/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>
        <f>E9-F9</f>
        <v/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>
        <f>E10-F10</f>
        <v/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>
        <f>E11-F11</f>
        <v/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>
        <f>E12-F12</f>
        <v/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>
        <f>E13-F13</f>
        <v/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>
        <f>E14-F14</f>
        <v/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>
        <f>E15-F15</f>
        <v/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>
        <f>E16-F16</f>
        <v/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>
        <f>E17-F17</f>
        <v/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>
        <f>E18-F18</f>
        <v/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>
        <f>E19-F19</f>
        <v/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>
        <f>E20-F20</f>
        <v/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>
        <f>E22-F22</f>
        <v/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>
        <f>E23-F23</f>
        <v/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>
        <f>E24-F24</f>
        <v/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>
        <f>E25-F25</f>
        <v/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>
        <f>E26-F26</f>
        <v/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>
        <f>E27-F27</f>
        <v/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>
        <f>E28-F28</f>
        <v/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>
        <f>E29-F29</f>
        <v/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>
        <f>E30-F30</f>
        <v/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>
        <f>E31-F31</f>
        <v/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>
        <f>E32-F32</f>
        <v/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>
        <f>E33-F33</f>
        <v/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>
        <f>E34-F34</f>
        <v/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>
        <f>E35-F35</f>
        <v/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>
        <f>E36-F36</f>
        <v/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>
        <f>E37-F37</f>
        <v/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>
        <f>E38-F38</f>
        <v/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>
        <f>E39-F39</f>
        <v/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>
        <f>E40-F40</f>
        <v/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>
        <f>E41-F41</f>
        <v/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>
        <f>E42-F42</f>
        <v/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>
        <f>E43-F43</f>
        <v/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>
        <f>E44-F44</f>
        <v/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>
        <f>E45-F45</f>
        <v/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>
        <f>E46-F46</f>
        <v/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>
        <f>E47-F47</f>
        <v/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>
        <f>E48-F48</f>
        <v/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>
        <f>E49-F49</f>
        <v/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>
        <f>E50-F50</f>
        <v/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>
        <f>E51-F51</f>
        <v/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>
        <f>E52-F52</f>
        <v/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>
        <f>E53-F53</f>
        <v/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>
        <f>E54-F54</f>
        <v/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>
        <f>E56-F56</f>
        <v/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>
        <f>E57-F57</f>
        <v/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>
        <f>E58-F58</f>
        <v/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>
        <f>E59-F59</f>
        <v/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>
        <f>E60-F60</f>
        <v/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>
        <f>E61-F61</f>
        <v/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>
        <f>E62-F62</f>
        <v/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>
        <f>E63-F63</f>
        <v/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>
        <f>E64-F64</f>
        <v/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>
        <f>E65-F65</f>
        <v/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>
        <f>E66-F66</f>
        <v/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>
        <f>E67-F67</f>
        <v/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>
        <f>E68-F68</f>
        <v/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>
        <f>E69-F69</f>
        <v/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>
        <f>E70-F70</f>
        <v/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>
        <f>E71-F71</f>
        <v/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>
        <f>E73-F73</f>
        <v/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>
        <f>E74-F74</f>
        <v/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>
        <f>E75-F75</f>
        <v/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>
        <f>E76-F76</f>
        <v/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>
        <f>E77-F77</f>
        <v/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>
        <f>E78-F78</f>
        <v/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>
        <f>E79-F79</f>
        <v/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>
        <f>E80-F80</f>
        <v/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>
        <f>E81-F81</f>
        <v/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>
        <f>E82-F82</f>
        <v/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>
        <f>E83-F83</f>
        <v/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>
        <f>E84-F84</f>
        <v/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>
        <f>E85-F85</f>
        <v/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>
        <f>E86-F86</f>
        <v/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>
        <f>E87-F87</f>
        <v/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>
        <f>E88-F88</f>
        <v/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>
        <f>E90-F90</f>
        <v/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>
        <f>E91-F91</f>
        <v/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>
        <f>E92-F92</f>
        <v/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>
        <f>E93-F93</f>
        <v/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>
        <f>E94-F94</f>
        <v/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>
        <f>E95-F95</f>
        <v/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>
        <f>E96-F96</f>
        <v/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>
        <f>E97-F97</f>
        <v/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>
        <f>E98-F98</f>
        <v/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>
        <f>E99-F99</f>
        <v/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>
        <f>E100-F100</f>
        <v/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>
        <f>E101-F101</f>
        <v/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>
        <f>E102-F102</f>
        <v/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>
        <f>E103-F103</f>
        <v/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>
        <f>E104-F104</f>
        <v/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>
        <f>E105-F105</f>
        <v/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>
        <f>E107-F107</f>
        <v/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>
        <f>E108-F108</f>
        <v/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>
        <f>E109-F109</f>
        <v/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>
        <f>E110-F110</f>
        <v/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>
        <f>E111-F111</f>
        <v/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>
        <f>E112-F112</f>
        <v/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>
        <f>E113-F113</f>
        <v/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>
        <f>E114-F114</f>
        <v/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>
        <f>E115-F115</f>
        <v/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>
        <f>E116-F116</f>
        <v/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>
        <f>E117-F117</f>
        <v/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>
        <f>E118-F118</f>
        <v/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>
        <f>E119-F119</f>
        <v/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>
        <f>E120-F120</f>
        <v/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>
        <f>E121-F121</f>
        <v/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>
        <f>E122-F122</f>
        <v/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>
        <f>E124-F124</f>
        <v/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>
        <f>E125-F125</f>
        <v/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>
        <f>E126-F126</f>
        <v/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>
        <f>E127-F127</f>
        <v/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>
        <f>E128-F128</f>
        <v/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>
        <f>E129-F129</f>
        <v/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>
        <f>E130-F130</f>
        <v/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>
        <f>E131-F131</f>
        <v/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>
        <f>E132-F132</f>
        <v/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>
        <f>E133-F133</f>
        <v/>
      </c>
      <c r="H133" t="inlineStr">
        <is>
          <t>Active</t>
        </is>
      </c>
      <c r="I133" s="18" t="n">
        <v>46243.5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Inventory (from it_asset_inventory.xlsx)</t>
        </is>
      </c>
    </row>
    <row r="2">
      <c r="A2" t="inlineStr">
        <is>
          <t>Operational snapshot used by Corrected Register lookups.</t>
        </is>
      </c>
    </row>
    <row r="4">
      <c r="A4" s="26" t="inlineStr">
        <is>
          <t>Asset Tag</t>
        </is>
      </c>
      <c r="B4" s="26" t="inlineStr">
        <is>
          <t>Serial Number</t>
        </is>
      </c>
      <c r="C4" s="26" t="inlineStr">
        <is>
          <t>Category</t>
        </is>
      </c>
      <c r="D4" s="26" t="inlineStr">
        <is>
          <t>Model</t>
        </is>
      </c>
      <c r="E4" s="26" t="inlineStr">
        <is>
          <t>Assigned Employee</t>
        </is>
      </c>
      <c r="F4" s="26" t="inlineStr">
        <is>
          <t>Location</t>
        </is>
      </c>
      <c r="G4" s="26" t="inlineStr">
        <is>
          <t>Lifecycle Status</t>
        </is>
      </c>
      <c r="H4" s="26" t="inlineStr">
        <is>
          <t>Acquisition Cost</t>
        </is>
      </c>
    </row>
    <row r="5">
      <c r="A5" t="inlineStr">
        <is>
          <t>MD-00001</t>
        </is>
      </c>
      <c r="B5" t="inlineStr">
        <is>
          <t>MD-LA-050001</t>
        </is>
      </c>
      <c r="C5" t="inlineStr">
        <is>
          <t>Laptop</t>
        </is>
      </c>
      <c r="D5" t="inlineStr">
        <is>
          <t>HP EliteBook 840 G10</t>
        </is>
      </c>
      <c r="E5" t="inlineStr">
        <is>
          <t>E0001</t>
        </is>
      </c>
      <c r="F5" t="inlineStr">
        <is>
          <t>Chicago</t>
        </is>
      </c>
      <c r="G5" t="inlineStr">
        <is>
          <t>In Use</t>
        </is>
      </c>
      <c r="H5" t="n">
        <v>1895</v>
      </c>
    </row>
    <row r="6">
      <c r="A6" t="inlineStr">
        <is>
          <t>MD-00002</t>
        </is>
      </c>
      <c r="B6" t="inlineStr">
        <is>
          <t>MD-MO-050002</t>
        </is>
      </c>
      <c r="C6" t="inlineStr">
        <is>
          <t>Laptop</t>
        </is>
      </c>
      <c r="D6" t="inlineStr">
        <is>
          <t>Microsoft Surface Laptop 5</t>
        </is>
      </c>
      <c r="E6" t="inlineStr">
        <is>
          <t>E0002</t>
        </is>
      </c>
      <c r="F6" t="inlineStr">
        <is>
          <t>Dallas</t>
        </is>
      </c>
      <c r="G6" t="inlineStr">
        <is>
          <t>In Use</t>
        </is>
      </c>
      <c r="H6" t="n">
        <v>610</v>
      </c>
    </row>
    <row r="7">
      <c r="A7" t="inlineStr">
        <is>
          <t>MD-00003</t>
        </is>
      </c>
      <c r="B7" t="inlineStr">
        <is>
          <t>MD-MO-050003</t>
        </is>
      </c>
      <c r="C7" t="inlineStr">
        <is>
          <t>Laptop</t>
        </is>
      </c>
      <c r="D7" t="inlineStr">
        <is>
          <t>Lenovo ThinkPad X1 Carbon</t>
        </is>
      </c>
      <c r="E7" t="inlineStr">
        <is>
          <t>E0003</t>
        </is>
      </c>
      <c r="F7" t="inlineStr">
        <is>
          <t>Denver</t>
        </is>
      </c>
      <c r="G7" t="inlineStr">
        <is>
          <t>In Use</t>
        </is>
      </c>
      <c r="H7" t="n">
        <v>1085</v>
      </c>
    </row>
    <row r="8">
      <c r="A8" t="inlineStr">
        <is>
          <t>MD-00004</t>
        </is>
      </c>
      <c r="B8" t="inlineStr">
        <is>
          <t>MD-NE-050004</t>
        </is>
      </c>
      <c r="C8" t="inlineStr">
        <is>
          <t>Laptop</t>
        </is>
      </c>
      <c r="D8" t="inlineStr">
        <is>
          <t>Lenovo ThinkPad T14</t>
        </is>
      </c>
      <c r="E8" t="inlineStr">
        <is>
          <t>E0004</t>
        </is>
      </c>
      <c r="F8" t="inlineStr">
        <is>
          <t>New York</t>
        </is>
      </c>
      <c r="G8" t="inlineStr">
        <is>
          <t>In Use</t>
        </is>
      </c>
      <c r="H8" t="n">
        <v>6380</v>
      </c>
    </row>
    <row r="9">
      <c r="A9" t="inlineStr">
        <is>
          <t>MD-00005</t>
        </is>
      </c>
      <c r="B9" t="inlineStr">
        <is>
          <t>MD-LA-050005</t>
        </is>
      </c>
      <c r="C9" t="inlineStr">
        <is>
          <t>Laptop</t>
        </is>
      </c>
      <c r="D9" t="inlineStr">
        <is>
          <t>MacBook Pro 14</t>
        </is>
      </c>
      <c r="E9" t="inlineStr">
        <is>
          <t>E0005</t>
        </is>
      </c>
      <c r="F9" t="inlineStr">
        <is>
          <t>Seattle</t>
        </is>
      </c>
      <c r="G9" t="inlineStr">
        <is>
          <t>In Use</t>
        </is>
      </c>
      <c r="H9" t="n">
        <v>2075</v>
      </c>
    </row>
    <row r="10">
      <c r="A10" t="inlineStr">
        <is>
          <t>MD-00006</t>
        </is>
      </c>
      <c r="B10" t="inlineStr">
        <is>
          <t>MD-MO-050006</t>
        </is>
      </c>
      <c r="C10" t="inlineStr">
        <is>
          <t>Laptop</t>
        </is>
      </c>
      <c r="D10" t="inlineStr">
        <is>
          <t>Dell Latitude 7440</t>
        </is>
      </c>
      <c r="E10" t="inlineStr">
        <is>
          <t>E0006</t>
        </is>
      </c>
      <c r="F10" t="inlineStr">
        <is>
          <t>Atlanta</t>
        </is>
      </c>
      <c r="G10" t="inlineStr">
        <is>
          <t>In Use</t>
        </is>
      </c>
      <c r="H10" t="n">
        <v>790</v>
      </c>
    </row>
    <row r="11">
      <c r="A11" t="inlineStr">
        <is>
          <t>MD-00007</t>
        </is>
      </c>
      <c r="B11" t="inlineStr">
        <is>
          <t>MD-MO-050007</t>
        </is>
      </c>
      <c r="C11" t="inlineStr">
        <is>
          <t>Laptop</t>
        </is>
      </c>
      <c r="D11" t="inlineStr">
        <is>
          <t>HP EliteBook 840 G10</t>
        </is>
      </c>
      <c r="E11" t="inlineStr">
        <is>
          <t>E0007</t>
        </is>
      </c>
      <c r="F11" t="inlineStr">
        <is>
          <t>Chicago</t>
        </is>
      </c>
      <c r="G11" t="inlineStr">
        <is>
          <t>In Use</t>
        </is>
      </c>
      <c r="H11" t="n">
        <v>950</v>
      </c>
    </row>
    <row r="12">
      <c r="A12" t="inlineStr">
        <is>
          <t>MD-00008</t>
        </is>
      </c>
      <c r="B12" t="inlineStr">
        <is>
          <t>MD-NE-050008</t>
        </is>
      </c>
      <c r="C12" t="inlineStr">
        <is>
          <t>Monitor</t>
        </is>
      </c>
      <c r="D12" t="inlineStr">
        <is>
          <t>Samsung ViewFinity S8</t>
        </is>
      </c>
      <c r="E12" t="inlineStr">
        <is>
          <t>E0008</t>
        </is>
      </c>
      <c r="F12" t="inlineStr">
        <is>
          <t>Dallas</t>
        </is>
      </c>
      <c r="G12" t="inlineStr">
        <is>
          <t>In Use</t>
        </is>
      </c>
      <c r="H12" t="n">
        <v>6245</v>
      </c>
    </row>
    <row r="13">
      <c r="A13" t="inlineStr">
        <is>
          <t>MD-00009</t>
        </is>
      </c>
      <c r="B13" t="inlineStr">
        <is>
          <t>MD-LA-050009</t>
        </is>
      </c>
      <c r="C13" t="inlineStr">
        <is>
          <t>Monitor</t>
        </is>
      </c>
      <c r="D13" t="inlineStr">
        <is>
          <t>BenQ PD2705U</t>
        </is>
      </c>
      <c r="E13" t="inlineStr">
        <is>
          <t>E0009</t>
        </is>
      </c>
      <c r="F13" t="inlineStr">
        <is>
          <t>Denver</t>
        </is>
      </c>
      <c r="G13" t="inlineStr">
        <is>
          <t>In Use</t>
        </is>
      </c>
      <c r="H13" t="n">
        <v>1940</v>
      </c>
    </row>
    <row r="14">
      <c r="A14" t="inlineStr">
        <is>
          <t>MD-00010</t>
        </is>
      </c>
      <c r="B14" t="inlineStr">
        <is>
          <t>MD-MO-050010</t>
        </is>
      </c>
      <c r="C14" t="inlineStr">
        <is>
          <t>Monitor</t>
        </is>
      </c>
      <c r="D14" t="inlineStr">
        <is>
          <t>Dell U2723QE</t>
        </is>
      </c>
      <c r="E14" t="inlineStr">
        <is>
          <t>E0010</t>
        </is>
      </c>
      <c r="F14" t="inlineStr">
        <is>
          <t>New York</t>
        </is>
      </c>
      <c r="G14" t="inlineStr">
        <is>
          <t>In Use</t>
        </is>
      </c>
      <c r="H14" t="n">
        <v>655</v>
      </c>
    </row>
    <row r="15">
      <c r="A15" t="inlineStr">
        <is>
          <t>MD-00011</t>
        </is>
      </c>
      <c r="B15" t="inlineStr">
        <is>
          <t>MD-MO-050011</t>
        </is>
      </c>
      <c r="C15" t="inlineStr">
        <is>
          <t>Monitor</t>
        </is>
      </c>
      <c r="D15" t="inlineStr">
        <is>
          <t>LG UltraFine 27MD5KL</t>
        </is>
      </c>
      <c r="E15" t="inlineStr">
        <is>
          <t>E0011</t>
        </is>
      </c>
      <c r="F15" t="inlineStr">
        <is>
          <t>Seattle</t>
        </is>
      </c>
      <c r="G15" t="inlineStr">
        <is>
          <t>In Use</t>
        </is>
      </c>
      <c r="H15" t="n">
        <v>1130</v>
      </c>
    </row>
    <row r="16">
      <c r="A16" t="inlineStr">
        <is>
          <t>MD-00012</t>
        </is>
      </c>
      <c r="B16" t="inlineStr">
        <is>
          <t>MD-NE-050012</t>
        </is>
      </c>
      <c r="C16" t="inlineStr">
        <is>
          <t>Monitor</t>
        </is>
      </c>
      <c r="D16" t="inlineStr">
        <is>
          <t>Samsung ViewFinity S8</t>
        </is>
      </c>
      <c r="E16" t="inlineStr">
        <is>
          <t>E0012</t>
        </is>
      </c>
      <c r="F16" t="inlineStr">
        <is>
          <t>Atlanta</t>
        </is>
      </c>
      <c r="G16" t="inlineStr">
        <is>
          <t>In Use</t>
        </is>
      </c>
      <c r="H16" t="n">
        <v>6425</v>
      </c>
    </row>
    <row r="17">
      <c r="A17" t="inlineStr">
        <is>
          <t>MD-00013</t>
        </is>
      </c>
      <c r="B17" t="inlineStr">
        <is>
          <t>MD-LA-050013</t>
        </is>
      </c>
      <c r="C17" t="inlineStr">
        <is>
          <t>Monitor</t>
        </is>
      </c>
      <c r="D17" t="inlineStr">
        <is>
          <t>BenQ PD2705U</t>
        </is>
      </c>
      <c r="E17" t="inlineStr">
        <is>
          <t>E0013</t>
        </is>
      </c>
      <c r="F17" t="inlineStr">
        <is>
          <t>Chicago</t>
        </is>
      </c>
      <c r="G17" t="inlineStr">
        <is>
          <t>In Use</t>
        </is>
      </c>
      <c r="H17" t="n">
        <v>2120</v>
      </c>
    </row>
    <row r="18">
      <c r="A18" t="inlineStr">
        <is>
          <t>MD-00014</t>
        </is>
      </c>
      <c r="B18" t="inlineStr">
        <is>
          <t>MD-MO-050014</t>
        </is>
      </c>
      <c r="C18" t="inlineStr">
        <is>
          <t>Monitor</t>
        </is>
      </c>
      <c r="D18" t="inlineStr">
        <is>
          <t>Dell P2422H</t>
        </is>
      </c>
      <c r="E18" t="inlineStr">
        <is>
          <t>E0014</t>
        </is>
      </c>
      <c r="F18" t="inlineStr">
        <is>
          <t>Dallas</t>
        </is>
      </c>
      <c r="G18" t="inlineStr">
        <is>
          <t>In Use</t>
        </is>
      </c>
      <c r="H18" t="n">
        <v>520</v>
      </c>
    </row>
    <row r="19">
      <c r="A19" t="inlineStr">
        <is>
          <t>MD-00015</t>
        </is>
      </c>
      <c r="B19" t="inlineStr">
        <is>
          <t>MD-MO-050015</t>
        </is>
      </c>
      <c r="C19" t="inlineStr">
        <is>
          <t>Monitor</t>
        </is>
      </c>
      <c r="D19" t="inlineStr">
        <is>
          <t>Dell U2723QE</t>
        </is>
      </c>
      <c r="E19" t="inlineStr">
        <is>
          <t>E0015</t>
        </is>
      </c>
      <c r="F19" t="inlineStr">
        <is>
          <t>Denver</t>
        </is>
      </c>
      <c r="G19" t="inlineStr">
        <is>
          <t>In Use</t>
        </is>
      </c>
      <c r="H19" t="n">
        <v>995</v>
      </c>
    </row>
    <row r="20">
      <c r="A20" t="inlineStr">
        <is>
          <t>MD-00016</t>
        </is>
      </c>
      <c r="B20" t="inlineStr">
        <is>
          <t>MD-NE-050016</t>
        </is>
      </c>
      <c r="C20" t="inlineStr">
        <is>
          <t>Monitor</t>
        </is>
      </c>
      <c r="D20" t="inlineStr">
        <is>
          <t>LG UltraFine 27MD5KL</t>
        </is>
      </c>
      <c r="E20" t="inlineStr">
        <is>
          <t>E0016</t>
        </is>
      </c>
      <c r="F20" t="inlineStr">
        <is>
          <t>New York</t>
        </is>
      </c>
      <c r="G20" t="inlineStr">
        <is>
          <t>In Use</t>
        </is>
      </c>
      <c r="H20" t="n">
        <v>6290</v>
      </c>
    </row>
    <row r="21">
      <c r="A21" t="inlineStr">
        <is>
          <t>MD-00017</t>
        </is>
      </c>
      <c r="B21" t="inlineStr">
        <is>
          <t>MD-LA-050017</t>
        </is>
      </c>
      <c r="C21" t="inlineStr">
        <is>
          <t>Monitor</t>
        </is>
      </c>
      <c r="D21" t="inlineStr">
        <is>
          <t>Samsung ViewFinity S8</t>
        </is>
      </c>
      <c r="E21" t="inlineStr">
        <is>
          <t>E0017</t>
        </is>
      </c>
      <c r="F21" t="inlineStr">
        <is>
          <t>Seattle</t>
        </is>
      </c>
      <c r="G21" t="inlineStr">
        <is>
          <t>In Use</t>
        </is>
      </c>
      <c r="H21" t="n">
        <v>1985</v>
      </c>
    </row>
    <row r="22">
      <c r="A22" t="inlineStr">
        <is>
          <t>MD-00018</t>
        </is>
      </c>
      <c r="B22" t="inlineStr">
        <is>
          <t>MD-MO-050018</t>
        </is>
      </c>
      <c r="C22" t="inlineStr">
        <is>
          <t>Monitor</t>
        </is>
      </c>
      <c r="D22" t="inlineStr">
        <is>
          <t>BenQ PD2705U</t>
        </is>
      </c>
      <c r="E22" t="inlineStr">
        <is>
          <t>E0018</t>
        </is>
      </c>
      <c r="F22" t="inlineStr">
        <is>
          <t>Atlanta</t>
        </is>
      </c>
      <c r="G22" t="inlineStr">
        <is>
          <t>In Use</t>
        </is>
      </c>
      <c r="H22" t="n">
        <v>700</v>
      </c>
    </row>
    <row r="23">
      <c r="A23" t="inlineStr">
        <is>
          <t>MD-00019</t>
        </is>
      </c>
      <c r="B23" t="inlineStr">
        <is>
          <t>MD-MO-050019</t>
        </is>
      </c>
      <c r="C23" t="inlineStr">
        <is>
          <t>Monitor</t>
        </is>
      </c>
      <c r="D23" t="inlineStr">
        <is>
          <t>Dell P2422H</t>
        </is>
      </c>
      <c r="E23" t="inlineStr">
        <is>
          <t>E0019</t>
        </is>
      </c>
      <c r="F23" t="inlineStr">
        <is>
          <t>Chicago</t>
        </is>
      </c>
      <c r="G23" t="inlineStr">
        <is>
          <t>In Use</t>
        </is>
      </c>
      <c r="H23" t="n">
        <v>1175</v>
      </c>
    </row>
    <row r="24">
      <c r="A24" t="inlineStr">
        <is>
          <t>MD-00020</t>
        </is>
      </c>
      <c r="B24" t="inlineStr">
        <is>
          <t>MD-NE-050020</t>
        </is>
      </c>
      <c r="C24" t="inlineStr">
        <is>
          <t>Monitor</t>
        </is>
      </c>
      <c r="D24" t="inlineStr">
        <is>
          <t>LG UltraFine 27MD5KL</t>
        </is>
      </c>
      <c r="E24" t="inlineStr">
        <is>
          <t>E0020</t>
        </is>
      </c>
      <c r="F24" t="inlineStr">
        <is>
          <t>Dallas</t>
        </is>
      </c>
      <c r="G24" t="inlineStr">
        <is>
          <t>In Use</t>
        </is>
      </c>
      <c r="H24" t="n">
        <v>6470</v>
      </c>
    </row>
    <row r="25">
      <c r="A25" t="inlineStr">
        <is>
          <t>MD-00021</t>
        </is>
      </c>
      <c r="B25" t="inlineStr">
        <is>
          <t>MD-LA-050021</t>
        </is>
      </c>
      <c r="C25" t="inlineStr">
        <is>
          <t>Monitor</t>
        </is>
      </c>
      <c r="D25" t="inlineStr">
        <is>
          <t>Samsung ViewFinity S8</t>
        </is>
      </c>
      <c r="E25" t="inlineStr">
        <is>
          <t>E0021</t>
        </is>
      </c>
      <c r="F25" t="inlineStr">
        <is>
          <t>Denver</t>
        </is>
      </c>
      <c r="G25" t="inlineStr">
        <is>
          <t>In Use</t>
        </is>
      </c>
      <c r="H25" t="n">
        <v>1850</v>
      </c>
    </row>
    <row r="26">
      <c r="A26" t="inlineStr">
        <is>
          <t>MD-00022</t>
        </is>
      </c>
      <c r="B26" t="inlineStr">
        <is>
          <t>MD-MO-050022</t>
        </is>
      </c>
      <c r="C26" t="inlineStr">
        <is>
          <t>Monitor</t>
        </is>
      </c>
      <c r="D26" t="inlineStr">
        <is>
          <t>BenQ PD2705U</t>
        </is>
      </c>
      <c r="E26" t="inlineStr">
        <is>
          <t>E0022</t>
        </is>
      </c>
      <c r="F26" t="inlineStr">
        <is>
          <t>New York</t>
        </is>
      </c>
      <c r="G26" t="inlineStr">
        <is>
          <t>In Use</t>
        </is>
      </c>
      <c r="H26" t="n">
        <v>565</v>
      </c>
    </row>
    <row r="27">
      <c r="A27" t="inlineStr">
        <is>
          <t>MD-00023</t>
        </is>
      </c>
      <c r="B27" t="inlineStr">
        <is>
          <t>MD-MO-050023</t>
        </is>
      </c>
      <c r="C27" t="inlineStr">
        <is>
          <t>Monitor</t>
        </is>
      </c>
      <c r="D27" t="inlineStr">
        <is>
          <t>Dell P2422H</t>
        </is>
      </c>
      <c r="E27" t="inlineStr">
        <is>
          <t>E0023</t>
        </is>
      </c>
      <c r="F27" t="inlineStr">
        <is>
          <t>Seattle</t>
        </is>
      </c>
      <c r="G27" t="inlineStr">
        <is>
          <t>In Use</t>
        </is>
      </c>
      <c r="H27" t="n">
        <v>1040</v>
      </c>
    </row>
    <row r="28">
      <c r="A28" t="inlineStr">
        <is>
          <t>MD-00024</t>
        </is>
      </c>
      <c r="B28" t="inlineStr">
        <is>
          <t>MD-NE-050024</t>
        </is>
      </c>
      <c r="C28" t="inlineStr">
        <is>
          <t>Monitor</t>
        </is>
      </c>
      <c r="D28" t="inlineStr">
        <is>
          <t>Dell U2723QE</t>
        </is>
      </c>
      <c r="E28" t="inlineStr">
        <is>
          <t>E0024</t>
        </is>
      </c>
      <c r="F28" t="inlineStr">
        <is>
          <t>Atlanta</t>
        </is>
      </c>
      <c r="G28" t="inlineStr">
        <is>
          <t>In Use</t>
        </is>
      </c>
      <c r="H28" t="n">
        <v>6335</v>
      </c>
    </row>
    <row r="29">
      <c r="A29" t="inlineStr">
        <is>
          <t>MD-00025</t>
        </is>
      </c>
      <c r="B29" t="inlineStr">
        <is>
          <t>MD-LA-050021</t>
        </is>
      </c>
      <c r="C29" t="inlineStr">
        <is>
          <t>Monitor</t>
        </is>
      </c>
      <c r="D29" t="inlineStr">
        <is>
          <t>LG UltraFine 27MD5KL</t>
        </is>
      </c>
      <c r="E29" t="inlineStr">
        <is>
          <t>E0025</t>
        </is>
      </c>
      <c r="F29" t="inlineStr">
        <is>
          <t>Denver - Closed</t>
        </is>
      </c>
      <c r="G29" t="inlineStr">
        <is>
          <t>In Use</t>
        </is>
      </c>
      <c r="H29" t="n">
        <v>2030</v>
      </c>
    </row>
    <row r="30">
      <c r="A30" t="inlineStr">
        <is>
          <t>MD-00026</t>
        </is>
      </c>
      <c r="B30" t="inlineStr">
        <is>
          <t>MD-MO-050026</t>
        </is>
      </c>
      <c r="C30" t="inlineStr">
        <is>
          <t>Monitor</t>
        </is>
      </c>
      <c r="D30" t="inlineStr">
        <is>
          <t>Samsung ViewFinity S8</t>
        </is>
      </c>
      <c r="E30" t="inlineStr">
        <is>
          <t>E0026</t>
        </is>
      </c>
      <c r="F30" t="inlineStr">
        <is>
          <t>Chicago - Closed</t>
        </is>
      </c>
      <c r="G30" t="inlineStr">
        <is>
          <t>In Use</t>
        </is>
      </c>
      <c r="H30" t="n">
        <v>745</v>
      </c>
    </row>
    <row r="31">
      <c r="A31" t="inlineStr">
        <is>
          <t>MD-00027</t>
        </is>
      </c>
      <c r="B31" t="inlineStr">
        <is>
          <t>MD-MO-050027</t>
        </is>
      </c>
      <c r="C31" t="inlineStr">
        <is>
          <t>Monitor</t>
        </is>
      </c>
      <c r="D31" t="inlineStr">
        <is>
          <t>BenQ PD2705U</t>
        </is>
      </c>
      <c r="E31" t="inlineStr">
        <is>
          <t>E0027</t>
        </is>
      </c>
      <c r="F31" t="inlineStr">
        <is>
          <t>Denver - Closed</t>
        </is>
      </c>
      <c r="G31" t="inlineStr">
        <is>
          <t>In Use</t>
        </is>
      </c>
      <c r="H31" t="n">
        <v>1220</v>
      </c>
    </row>
    <row r="32">
      <c r="A32" t="inlineStr">
        <is>
          <t>MD-00028</t>
        </is>
      </c>
      <c r="B32" t="inlineStr">
        <is>
          <t>MD-NE-050028</t>
        </is>
      </c>
      <c r="C32" t="inlineStr">
        <is>
          <t>Monitor</t>
        </is>
      </c>
      <c r="D32" t="inlineStr">
        <is>
          <t>Dell P2422H</t>
        </is>
      </c>
      <c r="E32" t="inlineStr">
        <is>
          <t>E0028</t>
        </is>
      </c>
      <c r="F32" t="inlineStr">
        <is>
          <t>Chicago - Closed</t>
        </is>
      </c>
      <c r="G32" t="inlineStr">
        <is>
          <t>In Use</t>
        </is>
      </c>
      <c r="H32" t="n">
        <v>6200</v>
      </c>
    </row>
    <row r="33">
      <c r="A33" t="inlineStr">
        <is>
          <t>MD-00029</t>
        </is>
      </c>
      <c r="B33" t="inlineStr">
        <is>
          <t>MD-LA-050029</t>
        </is>
      </c>
      <c r="C33" t="inlineStr">
        <is>
          <t>Monitor</t>
        </is>
      </c>
      <c r="D33" t="inlineStr">
        <is>
          <t>Dell U2723QE</t>
        </is>
      </c>
      <c r="E33" t="inlineStr">
        <is>
          <t>E0029</t>
        </is>
      </c>
      <c r="F33" t="inlineStr">
        <is>
          <t>Denver - Closed</t>
        </is>
      </c>
      <c r="G33" t="inlineStr">
        <is>
          <t>In Use</t>
        </is>
      </c>
      <c r="H33" t="n">
        <v>1895</v>
      </c>
    </row>
    <row r="34">
      <c r="A34" t="inlineStr">
        <is>
          <t>MD-00030</t>
        </is>
      </c>
      <c r="B34" t="inlineStr">
        <is>
          <t>MD-MO-050030</t>
        </is>
      </c>
      <c r="C34" t="inlineStr">
        <is>
          <t>Monitor</t>
        </is>
      </c>
      <c r="D34" t="inlineStr">
        <is>
          <t>Samsung ViewFinity S8</t>
        </is>
      </c>
      <c r="E34" t="inlineStr">
        <is>
          <t>E0030</t>
        </is>
      </c>
      <c r="F34" t="inlineStr">
        <is>
          <t>Chicago - Closed</t>
        </is>
      </c>
      <c r="G34" t="inlineStr">
        <is>
          <t>In Use</t>
        </is>
      </c>
      <c r="H34" t="n">
        <v>610</v>
      </c>
    </row>
    <row r="35">
      <c r="A35" t="inlineStr">
        <is>
          <t>MD-00031</t>
        </is>
      </c>
      <c r="B35" t="inlineStr">
        <is>
          <t>MD-MO-050031</t>
        </is>
      </c>
      <c r="C35" t="inlineStr">
        <is>
          <t>Monitor</t>
        </is>
      </c>
      <c r="D35" t="inlineStr">
        <is>
          <t>BenQ PD2705U</t>
        </is>
      </c>
      <c r="E35" t="inlineStr">
        <is>
          <t>E0031</t>
        </is>
      </c>
      <c r="F35" t="inlineStr">
        <is>
          <t>Denver - Closed</t>
        </is>
      </c>
      <c r="G35" t="inlineStr">
        <is>
          <t>In Use</t>
        </is>
      </c>
      <c r="H35" t="n">
        <v>1085</v>
      </c>
    </row>
    <row r="36">
      <c r="A36" t="inlineStr">
        <is>
          <t>MD-00032</t>
        </is>
      </c>
      <c r="B36" t="inlineStr">
        <is>
          <t>MD-NE-050032</t>
        </is>
      </c>
      <c r="C36" t="inlineStr">
        <is>
          <t>Monitor</t>
        </is>
      </c>
      <c r="D36" t="inlineStr">
        <is>
          <t>Dell P2422H</t>
        </is>
      </c>
      <c r="E36" t="inlineStr">
        <is>
          <t>E0032</t>
        </is>
      </c>
      <c r="F36" t="inlineStr">
        <is>
          <t>Chicago - Closed</t>
        </is>
      </c>
      <c r="G36" t="inlineStr">
        <is>
          <t>In Use</t>
        </is>
      </c>
      <c r="H36" t="n">
        <v>6380</v>
      </c>
    </row>
    <row r="37">
      <c r="A37" t="inlineStr">
        <is>
          <t>MD-00033</t>
        </is>
      </c>
      <c r="B37" t="inlineStr">
        <is>
          <t>MD-LA-050033</t>
        </is>
      </c>
      <c r="C37" t="inlineStr">
        <is>
          <t>Monitor</t>
        </is>
      </c>
      <c r="D37" t="inlineStr">
        <is>
          <t>Dell U2723QE</t>
        </is>
      </c>
      <c r="E37" t="inlineStr">
        <is>
          <t>E0033</t>
        </is>
      </c>
      <c r="F37" t="inlineStr">
        <is>
          <t>Denver - Closed</t>
        </is>
      </c>
      <c r="G37" t="inlineStr">
        <is>
          <t>In Use</t>
        </is>
      </c>
      <c r="H37" t="n">
        <v>2075</v>
      </c>
    </row>
    <row r="38">
      <c r="A38" t="inlineStr">
        <is>
          <t>MD-00034</t>
        </is>
      </c>
      <c r="B38" t="inlineStr">
        <is>
          <t>MD-MO-050034</t>
        </is>
      </c>
      <c r="C38" t="inlineStr">
        <is>
          <t>Monitor</t>
        </is>
      </c>
      <c r="D38" t="inlineStr">
        <is>
          <t>LG UltraFine 27MD5KL</t>
        </is>
      </c>
      <c r="E38" t="inlineStr">
        <is>
          <t>E0034</t>
        </is>
      </c>
      <c r="F38" t="inlineStr">
        <is>
          <t>Chicago - Closed</t>
        </is>
      </c>
      <c r="G38" t="inlineStr">
        <is>
          <t>In Use</t>
        </is>
      </c>
      <c r="H38" t="n">
        <v>790</v>
      </c>
    </row>
    <row r="39">
      <c r="A39" t="inlineStr">
        <is>
          <t>MD-00035</t>
        </is>
      </c>
      <c r="B39" t="inlineStr">
        <is>
          <t>MD-MO-050035</t>
        </is>
      </c>
      <c r="C39" t="inlineStr">
        <is>
          <t>Monitor</t>
        </is>
      </c>
      <c r="D39" t="inlineStr">
        <is>
          <t>Samsung ViewFinity S8</t>
        </is>
      </c>
      <c r="E39" t="inlineStr">
        <is>
          <t>E0035</t>
        </is>
      </c>
      <c r="F39" t="inlineStr">
        <is>
          <t>Denver - Closed</t>
        </is>
      </c>
      <c r="G39" t="inlineStr">
        <is>
          <t>In Use</t>
        </is>
      </c>
      <c r="H39" t="n">
        <v>950</v>
      </c>
    </row>
    <row r="40">
      <c r="A40" t="inlineStr">
        <is>
          <t>MD-00036</t>
        </is>
      </c>
      <c r="B40" t="inlineStr">
        <is>
          <t>MD-NE-050036</t>
        </is>
      </c>
      <c r="C40" t="inlineStr">
        <is>
          <t>Mobile Device</t>
        </is>
      </c>
      <c r="D40" t="inlineStr">
        <is>
          <t>Samsung Galaxy S23 FE</t>
        </is>
      </c>
      <c r="E40" t="inlineStr">
        <is>
          <t>E0036</t>
        </is>
      </c>
      <c r="F40" t="inlineStr">
        <is>
          <t>Chicago - Closed</t>
        </is>
      </c>
      <c r="G40" t="inlineStr">
        <is>
          <t>In Use</t>
        </is>
      </c>
      <c r="H40" t="n">
        <v>6245</v>
      </c>
    </row>
    <row r="41">
      <c r="A41" t="inlineStr">
        <is>
          <t>MD-00037</t>
        </is>
      </c>
      <c r="B41" t="inlineStr">
        <is>
          <t>MD-LA-050037</t>
        </is>
      </c>
      <c r="C41" t="inlineStr">
        <is>
          <t>Mobile Device</t>
        </is>
      </c>
      <c r="D41" t="inlineStr">
        <is>
          <t>iPhone 14</t>
        </is>
      </c>
      <c r="E41" t="inlineStr">
        <is>
          <t>E0037</t>
        </is>
      </c>
      <c r="F41" t="inlineStr">
        <is>
          <t>Denver - Closed</t>
        </is>
      </c>
      <c r="G41" t="inlineStr">
        <is>
          <t>In Use</t>
        </is>
      </c>
      <c r="H41" t="n">
        <v>1940</v>
      </c>
    </row>
    <row r="42">
      <c r="A42" t="inlineStr">
        <is>
          <t>MD-00038</t>
        </is>
      </c>
      <c r="B42" t="inlineStr">
        <is>
          <t>MD-MO-050038</t>
        </is>
      </c>
      <c r="C42" t="inlineStr">
        <is>
          <t>Mobile Device</t>
        </is>
      </c>
      <c r="D42" t="inlineStr">
        <is>
          <t>Samsung Galaxy S24</t>
        </is>
      </c>
      <c r="E42" t="inlineStr">
        <is>
          <t>E0038</t>
        </is>
      </c>
      <c r="F42" t="inlineStr">
        <is>
          <t>Chicago - Closed</t>
        </is>
      </c>
      <c r="G42" t="inlineStr">
        <is>
          <t>In Use</t>
        </is>
      </c>
      <c r="H42" t="n">
        <v>655</v>
      </c>
    </row>
    <row r="43">
      <c r="A43" t="inlineStr">
        <is>
          <t>MD-00039</t>
        </is>
      </c>
      <c r="B43" t="inlineStr">
        <is>
          <t>MD-MO-050039</t>
        </is>
      </c>
      <c r="C43" t="inlineStr">
        <is>
          <t>Mobile Device</t>
        </is>
      </c>
      <c r="D43" t="inlineStr">
        <is>
          <t>iPhone 15</t>
        </is>
      </c>
      <c r="E43" t="inlineStr">
        <is>
          <t>E0039</t>
        </is>
      </c>
      <c r="F43" t="inlineStr">
        <is>
          <t>Denver - Closed</t>
        </is>
      </c>
      <c r="G43" t="inlineStr">
        <is>
          <t>In Use</t>
        </is>
      </c>
      <c r="H43" t="n">
        <v>1130</v>
      </c>
    </row>
    <row r="44">
      <c r="A44" t="inlineStr">
        <is>
          <t>MD-00040</t>
        </is>
      </c>
      <c r="B44" t="inlineStr">
        <is>
          <t>MD-NE-050040</t>
        </is>
      </c>
      <c r="C44" t="inlineStr">
        <is>
          <t>Mobile Device</t>
        </is>
      </c>
      <c r="D44" t="inlineStr">
        <is>
          <t>Samsung Galaxy S23 FE</t>
        </is>
      </c>
      <c r="E44" t="inlineStr">
        <is>
          <t>E0040</t>
        </is>
      </c>
      <c r="F44" t="inlineStr">
        <is>
          <t>Chicago - Closed</t>
        </is>
      </c>
      <c r="G44" t="inlineStr">
        <is>
          <t>In Use</t>
        </is>
      </c>
      <c r="H44" t="n">
        <v>6425</v>
      </c>
    </row>
    <row r="45">
      <c r="A45" t="inlineStr">
        <is>
          <t>MD-00041</t>
        </is>
      </c>
      <c r="B45" t="inlineStr">
        <is>
          <t>MD-LA-050041</t>
        </is>
      </c>
      <c r="C45" t="inlineStr">
        <is>
          <t>Mobile Device</t>
        </is>
      </c>
      <c r="D45" t="inlineStr">
        <is>
          <t>iPhone 14</t>
        </is>
      </c>
      <c r="E45" t="inlineStr">
        <is>
          <t>E0041</t>
        </is>
      </c>
      <c r="F45" t="inlineStr">
        <is>
          <t>Denver - Closed</t>
        </is>
      </c>
      <c r="G45" t="inlineStr">
        <is>
          <t>In Use</t>
        </is>
      </c>
      <c r="H45" t="n">
        <v>2120</v>
      </c>
    </row>
    <row r="46">
      <c r="A46" t="inlineStr">
        <is>
          <t>MD-00042</t>
        </is>
      </c>
      <c r="B46" t="inlineStr">
        <is>
          <t>MD-MO-050042</t>
        </is>
      </c>
      <c r="C46" t="inlineStr">
        <is>
          <t>Mobile Device</t>
        </is>
      </c>
      <c r="D46" t="inlineStr">
        <is>
          <t>Samsung Galaxy S24</t>
        </is>
      </c>
      <c r="E46" t="inlineStr">
        <is>
          <t>E0042</t>
        </is>
      </c>
      <c r="F46" t="inlineStr">
        <is>
          <t>Chicago - Closed</t>
        </is>
      </c>
      <c r="G46" t="inlineStr">
        <is>
          <t>In Use</t>
        </is>
      </c>
      <c r="H46" t="n">
        <v>520</v>
      </c>
    </row>
    <row r="47">
      <c r="A47" t="inlineStr">
        <is>
          <t>MD-00043</t>
        </is>
      </c>
      <c r="B47" t="inlineStr">
        <is>
          <t>MD-MO-050043</t>
        </is>
      </c>
      <c r="C47" t="inlineStr">
        <is>
          <t>Mobile Device</t>
        </is>
      </c>
      <c r="D47" t="inlineStr">
        <is>
          <t>iPhone 15</t>
        </is>
      </c>
      <c r="E47" t="inlineStr">
        <is>
          <t>E0043</t>
        </is>
      </c>
      <c r="F47" t="inlineStr">
        <is>
          <t>Denver - Closed</t>
        </is>
      </c>
      <c r="G47" t="inlineStr">
        <is>
          <t>In Use</t>
        </is>
      </c>
      <c r="H47" t="n">
        <v>995</v>
      </c>
    </row>
    <row r="48">
      <c r="A48" t="inlineStr">
        <is>
          <t>MD-00044</t>
        </is>
      </c>
      <c r="B48" t="inlineStr">
        <is>
          <t>MD-NE-050044</t>
        </is>
      </c>
      <c r="C48" t="inlineStr">
        <is>
          <t>Mobile Device</t>
        </is>
      </c>
      <c r="D48" t="inlineStr">
        <is>
          <t>Google Pixel 8</t>
        </is>
      </c>
      <c r="E48" t="inlineStr">
        <is>
          <t>E0044</t>
        </is>
      </c>
      <c r="F48" t="inlineStr">
        <is>
          <t>Chicago - Closed</t>
        </is>
      </c>
      <c r="G48" t="inlineStr">
        <is>
          <t>In Use</t>
        </is>
      </c>
      <c r="H48" t="n">
        <v>6290</v>
      </c>
    </row>
    <row r="49">
      <c r="A49" t="inlineStr">
        <is>
          <t>MD-00045</t>
        </is>
      </c>
      <c r="B49" t="inlineStr">
        <is>
          <t>MD-LA-050045</t>
        </is>
      </c>
      <c r="C49" t="inlineStr">
        <is>
          <t>Mobile Device</t>
        </is>
      </c>
      <c r="D49" t="inlineStr">
        <is>
          <t>Samsung Galaxy S23 FE</t>
        </is>
      </c>
      <c r="E49" t="inlineStr">
        <is>
          <t>E0045</t>
        </is>
      </c>
      <c r="F49" t="inlineStr">
        <is>
          <t>Denver - Closed</t>
        </is>
      </c>
      <c r="G49" t="inlineStr">
        <is>
          <t>In Use</t>
        </is>
      </c>
      <c r="H49" t="n">
        <v>1985</v>
      </c>
    </row>
    <row r="50">
      <c r="A50" t="inlineStr">
        <is>
          <t>MD-00046</t>
        </is>
      </c>
      <c r="B50" t="inlineStr">
        <is>
          <t>MD-MO-050046</t>
        </is>
      </c>
      <c r="C50" t="inlineStr">
        <is>
          <t>Mobile Device</t>
        </is>
      </c>
      <c r="D50" t="inlineStr">
        <is>
          <t>iPhone 14</t>
        </is>
      </c>
      <c r="F50" t="inlineStr">
        <is>
          <t>Chicago - Closed</t>
        </is>
      </c>
      <c r="G50" t="inlineStr">
        <is>
          <t>Available</t>
        </is>
      </c>
      <c r="H50" t="n">
        <v>700</v>
      </c>
    </row>
    <row r="51">
      <c r="A51" t="inlineStr">
        <is>
          <t>MD-00047</t>
        </is>
      </c>
      <c r="B51" t="inlineStr">
        <is>
          <t>MD-MO-050047</t>
        </is>
      </c>
      <c r="C51" t="inlineStr">
        <is>
          <t>Mobile Device</t>
        </is>
      </c>
      <c r="D51" t="inlineStr">
        <is>
          <t>Samsung Galaxy S24</t>
        </is>
      </c>
      <c r="F51" t="inlineStr">
        <is>
          <t>Denver - Closed</t>
        </is>
      </c>
      <c r="G51" t="inlineStr">
        <is>
          <t>Available</t>
        </is>
      </c>
      <c r="H51" t="n">
        <v>1175</v>
      </c>
    </row>
    <row r="52">
      <c r="A52" t="inlineStr">
        <is>
          <t>MD-00048</t>
        </is>
      </c>
      <c r="B52" t="inlineStr">
        <is>
          <t>MD-NE-050048</t>
        </is>
      </c>
      <c r="C52" t="inlineStr">
        <is>
          <t>Mobile Device</t>
        </is>
      </c>
      <c r="D52" t="inlineStr">
        <is>
          <t>iPhone 15</t>
        </is>
      </c>
      <c r="F52" t="inlineStr">
        <is>
          <t>Chicago - Closed</t>
        </is>
      </c>
      <c r="G52" t="inlineStr">
        <is>
          <t>Available</t>
        </is>
      </c>
      <c r="H52" t="n">
        <v>6470</v>
      </c>
    </row>
    <row r="53">
      <c r="A53" t="inlineStr">
        <is>
          <t>MD-00049</t>
        </is>
      </c>
      <c r="B53" t="inlineStr">
        <is>
          <t>MD-LA-050049</t>
        </is>
      </c>
      <c r="C53" t="inlineStr">
        <is>
          <t>Mobile Device</t>
        </is>
      </c>
      <c r="D53" t="inlineStr">
        <is>
          <t>Google Pixel 8</t>
        </is>
      </c>
      <c r="F53" t="inlineStr">
        <is>
          <t>Denver - Closed</t>
        </is>
      </c>
      <c r="G53" t="inlineStr">
        <is>
          <t>Available</t>
        </is>
      </c>
      <c r="H53" t="n">
        <v>1850</v>
      </c>
    </row>
    <row r="54">
      <c r="A54" t="inlineStr">
        <is>
          <t>MD-00050</t>
        </is>
      </c>
      <c r="B54" t="inlineStr">
        <is>
          <t>MD-MO-050050</t>
        </is>
      </c>
      <c r="C54" t="inlineStr">
        <is>
          <t>Mobile Device</t>
        </is>
      </c>
      <c r="D54" t="inlineStr">
        <is>
          <t>iPhone 14</t>
        </is>
      </c>
      <c r="F54" t="inlineStr">
        <is>
          <t>Chicago - Closed</t>
        </is>
      </c>
      <c r="G54" t="inlineStr">
        <is>
          <t>Available</t>
        </is>
      </c>
      <c r="H54" t="n">
        <v>565</v>
      </c>
    </row>
    <row r="55">
      <c r="A55" t="inlineStr">
        <is>
          <t>MD-00051</t>
        </is>
      </c>
      <c r="B55" t="inlineStr">
        <is>
          <t>MD-MO-050051</t>
        </is>
      </c>
      <c r="C55" t="inlineStr">
        <is>
          <t>Mobile Device</t>
        </is>
      </c>
      <c r="D55" t="inlineStr">
        <is>
          <t>Samsung Galaxy S24</t>
        </is>
      </c>
      <c r="F55" t="inlineStr">
        <is>
          <t>Denver - Closed</t>
        </is>
      </c>
      <c r="G55" t="inlineStr">
        <is>
          <t>Available</t>
        </is>
      </c>
      <c r="H55" t="n">
        <v>1040</v>
      </c>
    </row>
    <row r="56">
      <c r="A56" t="inlineStr">
        <is>
          <t>MD-00052</t>
        </is>
      </c>
      <c r="B56" t="inlineStr">
        <is>
          <t>MD-NE-050052</t>
        </is>
      </c>
      <c r="C56" t="inlineStr">
        <is>
          <t>Mobile Device</t>
        </is>
      </c>
      <c r="D56" t="inlineStr">
        <is>
          <t>iPhone 15</t>
        </is>
      </c>
      <c r="F56" t="inlineStr">
        <is>
          <t>Chicago - Closed</t>
        </is>
      </c>
      <c r="G56" t="inlineStr">
        <is>
          <t>Available</t>
        </is>
      </c>
      <c r="H56" t="n">
        <v>6335</v>
      </c>
    </row>
    <row r="57">
      <c r="A57" t="inlineStr">
        <is>
          <t>MD-00053</t>
        </is>
      </c>
      <c r="B57" t="inlineStr">
        <is>
          <t>MD-LA-050053</t>
        </is>
      </c>
      <c r="C57" t="inlineStr">
        <is>
          <t>Mobile Device</t>
        </is>
      </c>
      <c r="D57" t="inlineStr">
        <is>
          <t>Google Pixel 8</t>
        </is>
      </c>
      <c r="F57" t="inlineStr">
        <is>
          <t>Denver - Closed</t>
        </is>
      </c>
      <c r="G57" t="inlineStr">
        <is>
          <t>Available</t>
        </is>
      </c>
      <c r="H57" t="n">
        <v>2030</v>
      </c>
    </row>
    <row r="58">
      <c r="A58" t="inlineStr">
        <is>
          <t>MD-00054</t>
        </is>
      </c>
      <c r="B58" t="inlineStr">
        <is>
          <t>MD-MO-050054</t>
        </is>
      </c>
      <c r="C58" t="inlineStr">
        <is>
          <t>Mobile Device</t>
        </is>
      </c>
      <c r="D58" t="inlineStr">
        <is>
          <t>Samsung Galaxy S23 FE</t>
        </is>
      </c>
      <c r="F58" t="inlineStr">
        <is>
          <t>Chicago - Closed</t>
        </is>
      </c>
      <c r="G58" t="inlineStr">
        <is>
          <t>Available</t>
        </is>
      </c>
      <c r="H58" t="n">
        <v>745</v>
      </c>
    </row>
    <row r="59">
      <c r="A59" t="inlineStr">
        <is>
          <t>MD-00055</t>
        </is>
      </c>
      <c r="B59" t="inlineStr">
        <is>
          <t>MD-MO-050055</t>
        </is>
      </c>
      <c r="C59" t="inlineStr">
        <is>
          <t>Mobile Device</t>
        </is>
      </c>
      <c r="D59" t="inlineStr">
        <is>
          <t>iPhone 14</t>
        </is>
      </c>
      <c r="F59" t="inlineStr">
        <is>
          <t>Denver - Closed</t>
        </is>
      </c>
      <c r="G59" t="inlineStr">
        <is>
          <t>Available</t>
        </is>
      </c>
      <c r="H59" t="n">
        <v>1220</v>
      </c>
    </row>
    <row r="60">
      <c r="A60" t="inlineStr">
        <is>
          <t>MD-00056</t>
        </is>
      </c>
      <c r="B60" t="inlineStr">
        <is>
          <t>MD-NE-050056</t>
        </is>
      </c>
      <c r="C60" t="inlineStr">
        <is>
          <t>Mobile Device</t>
        </is>
      </c>
      <c r="D60" t="inlineStr">
        <is>
          <t>Samsung Galaxy S24</t>
        </is>
      </c>
      <c r="F60" t="inlineStr">
        <is>
          <t>Chicago - Closed</t>
        </is>
      </c>
      <c r="G60" t="inlineStr">
        <is>
          <t>Available</t>
        </is>
      </c>
      <c r="H60" t="n">
        <v>6200</v>
      </c>
    </row>
    <row r="61">
      <c r="A61" t="inlineStr">
        <is>
          <t>MD-00057</t>
        </is>
      </c>
      <c r="B61" t="inlineStr">
        <is>
          <t>MD-LA-050057</t>
        </is>
      </c>
      <c r="C61" t="inlineStr">
        <is>
          <t>Mobile Device</t>
        </is>
      </c>
      <c r="D61" t="inlineStr">
        <is>
          <t>iPhone 15</t>
        </is>
      </c>
      <c r="F61" t="inlineStr">
        <is>
          <t>Denver - Closed</t>
        </is>
      </c>
      <c r="G61" t="inlineStr">
        <is>
          <t>Available</t>
        </is>
      </c>
      <c r="H61" t="n">
        <v>1895</v>
      </c>
    </row>
    <row r="62">
      <c r="A62" t="inlineStr">
        <is>
          <t>MD-00058</t>
        </is>
      </c>
      <c r="B62" t="inlineStr">
        <is>
          <t>MD-MO-050058</t>
        </is>
      </c>
      <c r="C62" t="inlineStr">
        <is>
          <t>Mobile Device</t>
        </is>
      </c>
      <c r="D62" t="inlineStr">
        <is>
          <t>Google Pixel 8</t>
        </is>
      </c>
      <c r="E62" t="inlineStr">
        <is>
          <t>E0071</t>
        </is>
      </c>
      <c r="F62" t="inlineStr">
        <is>
          <t>Chicago - Closed</t>
        </is>
      </c>
      <c r="G62" t="inlineStr">
        <is>
          <t>Assigned</t>
        </is>
      </c>
      <c r="H62" t="n">
        <v>610</v>
      </c>
    </row>
    <row r="63">
      <c r="A63" t="inlineStr">
        <is>
          <t>MD-00059</t>
        </is>
      </c>
      <c r="B63" t="inlineStr">
        <is>
          <t>MD-MO-050059</t>
        </is>
      </c>
      <c r="C63" t="inlineStr">
        <is>
          <t>Mobile Device</t>
        </is>
      </c>
      <c r="D63" t="inlineStr">
        <is>
          <t>Samsung Galaxy S23 FE</t>
        </is>
      </c>
      <c r="E63" t="inlineStr">
        <is>
          <t>E0072</t>
        </is>
      </c>
      <c r="F63" t="inlineStr">
        <is>
          <t>Denver - Closed</t>
        </is>
      </c>
      <c r="G63" t="inlineStr">
        <is>
          <t>Assigned</t>
        </is>
      </c>
      <c r="H63" t="n">
        <v>1085</v>
      </c>
    </row>
    <row r="64">
      <c r="A64" t="inlineStr">
        <is>
          <t>MD-00060</t>
        </is>
      </c>
      <c r="B64" t="inlineStr">
        <is>
          <t>MD-NE-050060</t>
        </is>
      </c>
      <c r="C64" t="inlineStr">
        <is>
          <t>Mobile Device</t>
        </is>
      </c>
      <c r="D64" t="inlineStr">
        <is>
          <t>Samsung Galaxy S24</t>
        </is>
      </c>
      <c r="E64" t="inlineStr">
        <is>
          <t>E0073</t>
        </is>
      </c>
      <c r="F64" t="inlineStr">
        <is>
          <t>Chicago - Closed</t>
        </is>
      </c>
      <c r="G64" t="inlineStr">
        <is>
          <t>Assigned</t>
        </is>
      </c>
      <c r="H64" t="n">
        <v>6380</v>
      </c>
    </row>
    <row r="65">
      <c r="A65" t="inlineStr">
        <is>
          <t>MD-00061</t>
        </is>
      </c>
      <c r="B65" t="inlineStr">
        <is>
          <t>MD-LA-050061</t>
        </is>
      </c>
      <c r="C65" t="inlineStr">
        <is>
          <t>Mobile Device</t>
        </is>
      </c>
      <c r="D65" t="inlineStr">
        <is>
          <t>iPhone 15</t>
        </is>
      </c>
      <c r="E65" t="inlineStr">
        <is>
          <t>E0074</t>
        </is>
      </c>
      <c r="F65" t="inlineStr">
        <is>
          <t>Denver - Closed</t>
        </is>
      </c>
      <c r="G65" t="inlineStr">
        <is>
          <t>Assigned</t>
        </is>
      </c>
      <c r="H65" t="n">
        <v>2075</v>
      </c>
    </row>
    <row r="66">
      <c r="A66" t="inlineStr">
        <is>
          <t>MD-00062</t>
        </is>
      </c>
      <c r="B66" t="inlineStr">
        <is>
          <t>MD-MO-050062</t>
        </is>
      </c>
      <c r="C66" t="inlineStr">
        <is>
          <t>Mobile Device</t>
        </is>
      </c>
      <c r="D66" t="inlineStr">
        <is>
          <t>Google Pixel 8</t>
        </is>
      </c>
      <c r="E66" t="inlineStr">
        <is>
          <t>E0075</t>
        </is>
      </c>
      <c r="F66" t="inlineStr">
        <is>
          <t>Chicago - Closed</t>
        </is>
      </c>
      <c r="G66" t="inlineStr">
        <is>
          <t>Assigned</t>
        </is>
      </c>
      <c r="H66" t="n">
        <v>790</v>
      </c>
    </row>
    <row r="67">
      <c r="A67" t="inlineStr">
        <is>
          <t>MD-00063</t>
        </is>
      </c>
      <c r="B67" t="inlineStr">
        <is>
          <t>MD-MO-050063</t>
        </is>
      </c>
      <c r="C67" t="inlineStr">
        <is>
          <t>Mobile Device</t>
        </is>
      </c>
      <c r="D67" t="inlineStr">
        <is>
          <t>Samsung Galaxy S23 FE</t>
        </is>
      </c>
      <c r="E67" t="inlineStr">
        <is>
          <t>E0076</t>
        </is>
      </c>
      <c r="F67" t="inlineStr">
        <is>
          <t>Denver - Closed</t>
        </is>
      </c>
      <c r="G67" t="inlineStr">
        <is>
          <t>Assigned</t>
        </is>
      </c>
      <c r="H67" t="n">
        <v>950</v>
      </c>
    </row>
    <row r="68">
      <c r="A68" t="inlineStr">
        <is>
          <t>MD-00064</t>
        </is>
      </c>
      <c r="B68" t="inlineStr">
        <is>
          <t>MD-NE-050064</t>
        </is>
      </c>
      <c r="C68" t="inlineStr">
        <is>
          <t>Mobile Device</t>
        </is>
      </c>
      <c r="D68" t="inlineStr">
        <is>
          <t>iPhone 14</t>
        </is>
      </c>
      <c r="E68" t="inlineStr">
        <is>
          <t>E0077</t>
        </is>
      </c>
      <c r="F68" t="inlineStr">
        <is>
          <t>Chicago - Closed</t>
        </is>
      </c>
      <c r="G68" t="inlineStr">
        <is>
          <t>Assigned</t>
        </is>
      </c>
      <c r="H68" t="n">
        <v>6245</v>
      </c>
    </row>
    <row r="69">
      <c r="A69" t="inlineStr">
        <is>
          <t>MD-00065</t>
        </is>
      </c>
      <c r="B69" t="inlineStr">
        <is>
          <t>MD-LA-050065</t>
        </is>
      </c>
      <c r="C69" t="inlineStr">
        <is>
          <t>Mobile Device</t>
        </is>
      </c>
      <c r="D69" t="inlineStr">
        <is>
          <t>Samsung Galaxy S24</t>
        </is>
      </c>
      <c r="E69" t="inlineStr">
        <is>
          <t>E0078</t>
        </is>
      </c>
      <c r="F69" t="inlineStr">
        <is>
          <t>Denver - Closed</t>
        </is>
      </c>
      <c r="G69" t="inlineStr">
        <is>
          <t>Assigned</t>
        </is>
      </c>
      <c r="H69" t="n">
        <v>1940</v>
      </c>
    </row>
    <row r="70">
      <c r="A70" t="inlineStr">
        <is>
          <t>MD-00066</t>
        </is>
      </c>
      <c r="B70" t="inlineStr">
        <is>
          <t>MD-MO-050066</t>
        </is>
      </c>
      <c r="C70" t="inlineStr">
        <is>
          <t>Mobile Device</t>
        </is>
      </c>
      <c r="D70" t="inlineStr">
        <is>
          <t>iPhone 15</t>
        </is>
      </c>
      <c r="E70" t="inlineStr">
        <is>
          <t>E0079</t>
        </is>
      </c>
      <c r="F70" t="inlineStr">
        <is>
          <t>Chicago - Closed</t>
        </is>
      </c>
      <c r="G70" t="inlineStr">
        <is>
          <t>Assigned</t>
        </is>
      </c>
      <c r="H70" t="n">
        <v>655</v>
      </c>
    </row>
    <row r="71">
      <c r="A71" t="inlineStr">
        <is>
          <t>MD-00067</t>
        </is>
      </c>
      <c r="B71" t="inlineStr">
        <is>
          <t>MD-MO-050067</t>
        </is>
      </c>
      <c r="C71" t="inlineStr">
        <is>
          <t>Mobile Device</t>
        </is>
      </c>
      <c r="D71" t="inlineStr">
        <is>
          <t>Google Pixel 8</t>
        </is>
      </c>
      <c r="E71" t="inlineStr">
        <is>
          <t>E0080</t>
        </is>
      </c>
      <c r="F71" t="inlineStr">
        <is>
          <t>Denver - Closed</t>
        </is>
      </c>
      <c r="G71" t="inlineStr">
        <is>
          <t>Assigned</t>
        </is>
      </c>
      <c r="H71" t="n">
        <v>1130</v>
      </c>
    </row>
    <row r="72">
      <c r="A72" t="inlineStr">
        <is>
          <t>MD-00068</t>
        </is>
      </c>
      <c r="B72" t="inlineStr">
        <is>
          <t>MD-NE-050068</t>
        </is>
      </c>
      <c r="C72" t="inlineStr">
        <is>
          <t>Mobile Device</t>
        </is>
      </c>
      <c r="D72" t="inlineStr">
        <is>
          <t>Samsung Galaxy S23 FE</t>
        </is>
      </c>
      <c r="E72" t="inlineStr">
        <is>
          <t>E0081</t>
        </is>
      </c>
      <c r="F72" t="inlineStr">
        <is>
          <t>Chicago - Closed</t>
        </is>
      </c>
      <c r="G72" t="inlineStr">
        <is>
          <t>Assigned</t>
        </is>
      </c>
      <c r="H72" t="n">
        <v>6425</v>
      </c>
    </row>
    <row r="73">
      <c r="A73" t="inlineStr">
        <is>
          <t>MD-00069</t>
        </is>
      </c>
      <c r="B73" t="inlineStr">
        <is>
          <t>MD-LA-050069</t>
        </is>
      </c>
      <c r="C73" t="inlineStr">
        <is>
          <t>Mobile Device</t>
        </is>
      </c>
      <c r="D73" t="inlineStr">
        <is>
          <t>iPhone 14</t>
        </is>
      </c>
      <c r="E73" t="inlineStr">
        <is>
          <t>E0082</t>
        </is>
      </c>
      <c r="F73" t="inlineStr">
        <is>
          <t>Denver - Closed</t>
        </is>
      </c>
      <c r="G73" t="inlineStr">
        <is>
          <t>Assigned</t>
        </is>
      </c>
      <c r="H73" t="n">
        <v>2120</v>
      </c>
    </row>
    <row r="74">
      <c r="A74" t="inlineStr">
        <is>
          <t>MD-00070</t>
        </is>
      </c>
      <c r="B74" t="inlineStr">
        <is>
          <t>MD-MO-050070</t>
        </is>
      </c>
      <c r="C74" t="inlineStr">
        <is>
          <t>Mobile Device</t>
        </is>
      </c>
      <c r="D74" t="inlineStr">
        <is>
          <t>iPhone 15</t>
        </is>
      </c>
      <c r="E74" t="inlineStr">
        <is>
          <t>E0083</t>
        </is>
      </c>
      <c r="F74" t="inlineStr">
        <is>
          <t>Chicago - Closed</t>
        </is>
      </c>
      <c r="G74" t="inlineStr">
        <is>
          <t>Assigned</t>
        </is>
      </c>
      <c r="H74" t="n">
        <v>520</v>
      </c>
    </row>
    <row r="75">
      <c r="A75" t="inlineStr">
        <is>
          <t>MD-00071</t>
        </is>
      </c>
      <c r="B75" t="inlineStr">
        <is>
          <t>MD-MO-050071</t>
        </is>
      </c>
      <c r="C75" t="inlineStr">
        <is>
          <t>Mobile Device</t>
        </is>
      </c>
      <c r="D75" t="inlineStr">
        <is>
          <t>Google Pixel 8</t>
        </is>
      </c>
      <c r="E75" t="inlineStr">
        <is>
          <t>E0084</t>
        </is>
      </c>
      <c r="F75" t="inlineStr">
        <is>
          <t>Denver - Closed</t>
        </is>
      </c>
      <c r="G75" t="inlineStr">
        <is>
          <t>Assigned</t>
        </is>
      </c>
      <c r="H75" t="n">
        <v>995</v>
      </c>
    </row>
    <row r="76">
      <c r="A76" t="inlineStr">
        <is>
          <t>MD-00072</t>
        </is>
      </c>
      <c r="B76" t="inlineStr">
        <is>
          <t>MD-NE-050072</t>
        </is>
      </c>
      <c r="C76" t="inlineStr">
        <is>
          <t>Network Asset</t>
        </is>
      </c>
      <c r="D76" t="inlineStr">
        <is>
          <t>Fortinet FortiSwitch 148F</t>
        </is>
      </c>
      <c r="E76" t="inlineStr">
        <is>
          <t>E0085</t>
        </is>
      </c>
      <c r="F76" t="inlineStr">
        <is>
          <t>Chicago - Closed</t>
        </is>
      </c>
      <c r="G76" t="inlineStr">
        <is>
          <t>Assigned</t>
        </is>
      </c>
      <c r="H76" t="n">
        <v>6290</v>
      </c>
    </row>
    <row r="77">
      <c r="A77" t="inlineStr">
        <is>
          <t>MD-00073</t>
        </is>
      </c>
      <c r="B77" t="inlineStr">
        <is>
          <t>MD-LA-050073</t>
        </is>
      </c>
      <c r="C77" t="inlineStr">
        <is>
          <t>Network Asset</t>
        </is>
      </c>
      <c r="D77" t="inlineStr">
        <is>
          <t>Cisco C9300</t>
        </is>
      </c>
      <c r="E77" t="inlineStr">
        <is>
          <t>E0086</t>
        </is>
      </c>
      <c r="F77" t="inlineStr">
        <is>
          <t>Denver - Closed</t>
        </is>
      </c>
      <c r="G77" t="inlineStr">
        <is>
          <t>Assigned</t>
        </is>
      </c>
      <c r="H77" t="n">
        <v>1985</v>
      </c>
    </row>
    <row r="78">
      <c r="A78" t="inlineStr">
        <is>
          <t>MD-00074</t>
        </is>
      </c>
      <c r="B78" t="inlineStr">
        <is>
          <t>MD-MO-050074</t>
        </is>
      </c>
      <c r="C78" t="inlineStr">
        <is>
          <t>Network Asset</t>
        </is>
      </c>
      <c r="D78" t="inlineStr">
        <is>
          <t>Aruba 6300M</t>
        </is>
      </c>
      <c r="E78" t="inlineStr">
        <is>
          <t>E0087</t>
        </is>
      </c>
      <c r="F78" t="inlineStr">
        <is>
          <t>Chicago - Closed</t>
        </is>
      </c>
      <c r="G78" t="inlineStr">
        <is>
          <t>Assigned</t>
        </is>
      </c>
      <c r="H78" t="n">
        <v>700</v>
      </c>
    </row>
    <row r="79">
      <c r="A79" t="inlineStr">
        <is>
          <t>MD-00075</t>
        </is>
      </c>
      <c r="B79" t="inlineStr">
        <is>
          <t>MD-MO-050075</t>
        </is>
      </c>
      <c r="C79" t="inlineStr">
        <is>
          <t>Network Asset</t>
        </is>
      </c>
      <c r="D79" t="inlineStr">
        <is>
          <t>Juniper EX3400</t>
        </is>
      </c>
      <c r="E79" t="inlineStr">
        <is>
          <t>E0088</t>
        </is>
      </c>
      <c r="F79" t="inlineStr">
        <is>
          <t>Denver - Closed</t>
        </is>
      </c>
      <c r="G79" t="inlineStr">
        <is>
          <t>Assigned</t>
        </is>
      </c>
      <c r="H79" t="n">
        <v>1175</v>
      </c>
    </row>
    <row r="80">
      <c r="A80" t="inlineStr">
        <is>
          <t>MD-00076</t>
        </is>
      </c>
      <c r="B80" t="inlineStr">
        <is>
          <t>MD-NE-050076</t>
        </is>
      </c>
      <c r="C80" t="inlineStr">
        <is>
          <t>Network Asset</t>
        </is>
      </c>
      <c r="D80" t="inlineStr">
        <is>
          <t>Cisco Meraki MS250</t>
        </is>
      </c>
      <c r="E80" t="inlineStr">
        <is>
          <t>E0089</t>
        </is>
      </c>
      <c r="F80" t="inlineStr">
        <is>
          <t>Chicago - Closed</t>
        </is>
      </c>
      <c r="G80" t="inlineStr">
        <is>
          <t>Assigned</t>
        </is>
      </c>
      <c r="H80" t="n">
        <v>6470</v>
      </c>
    </row>
    <row r="81">
      <c r="A81" t="inlineStr">
        <is>
          <t>MD-00077</t>
        </is>
      </c>
      <c r="B81" t="inlineStr">
        <is>
          <t>MD-LA-050077</t>
        </is>
      </c>
      <c r="C81" t="inlineStr">
        <is>
          <t>Network Asset</t>
        </is>
      </c>
      <c r="D81" t="inlineStr">
        <is>
          <t>Fortinet FortiSwitch 148F</t>
        </is>
      </c>
      <c r="E81" t="inlineStr">
        <is>
          <t>E0090</t>
        </is>
      </c>
      <c r="F81" t="inlineStr">
        <is>
          <t>Denver - Closed</t>
        </is>
      </c>
      <c r="G81" t="inlineStr">
        <is>
          <t>Assigned</t>
        </is>
      </c>
      <c r="H81" t="n">
        <v>1850</v>
      </c>
    </row>
    <row r="82">
      <c r="A82" t="inlineStr">
        <is>
          <t>MD-00078</t>
        </is>
      </c>
      <c r="B82" t="inlineStr">
        <is>
          <t>MD-MO-050078</t>
        </is>
      </c>
      <c r="C82" t="inlineStr">
        <is>
          <t>Network Asset</t>
        </is>
      </c>
      <c r="D82" t="inlineStr">
        <is>
          <t>Cisco C9300</t>
        </is>
      </c>
      <c r="E82" t="inlineStr">
        <is>
          <t>E0091</t>
        </is>
      </c>
      <c r="F82" t="inlineStr">
        <is>
          <t>Chicago - Closed</t>
        </is>
      </c>
      <c r="G82" t="inlineStr">
        <is>
          <t>Assigned</t>
        </is>
      </c>
      <c r="H82" t="n">
        <v>565</v>
      </c>
    </row>
    <row r="83">
      <c r="A83" t="inlineStr">
        <is>
          <t>MD-00079</t>
        </is>
      </c>
      <c r="B83" t="inlineStr">
        <is>
          <t>MD-MO-050079</t>
        </is>
      </c>
      <c r="C83" t="inlineStr">
        <is>
          <t>Network Asset</t>
        </is>
      </c>
      <c r="D83" t="inlineStr">
        <is>
          <t>Aruba 6300M</t>
        </is>
      </c>
      <c r="E83" t="inlineStr">
        <is>
          <t>E0092</t>
        </is>
      </c>
      <c r="F83" t="inlineStr">
        <is>
          <t>Denver - Closed</t>
        </is>
      </c>
      <c r="G83" t="inlineStr">
        <is>
          <t>Assigned</t>
        </is>
      </c>
      <c r="H83" t="n">
        <v>1040</v>
      </c>
    </row>
    <row r="84">
      <c r="A84" t="inlineStr">
        <is>
          <t>MD-00080</t>
        </is>
      </c>
      <c r="B84" t="inlineStr">
        <is>
          <t>MD-NE-050080</t>
        </is>
      </c>
      <c r="C84" t="inlineStr">
        <is>
          <t>Network Asset</t>
        </is>
      </c>
      <c r="D84" t="inlineStr">
        <is>
          <t>Cisco Meraki MS250</t>
        </is>
      </c>
      <c r="E84" t="inlineStr">
        <is>
          <t>E0093</t>
        </is>
      </c>
      <c r="F84" t="inlineStr">
        <is>
          <t>Chicago - Closed</t>
        </is>
      </c>
      <c r="G84" t="inlineStr">
        <is>
          <t>Assigned</t>
        </is>
      </c>
      <c r="H84" t="n">
        <v>6335</v>
      </c>
    </row>
    <row r="85">
      <c r="A85" t="inlineStr">
        <is>
          <t>MD-00081</t>
        </is>
      </c>
      <c r="B85" t="inlineStr">
        <is>
          <t>MD-LA-050081</t>
        </is>
      </c>
      <c r="C85" t="inlineStr">
        <is>
          <t>Network Asset</t>
        </is>
      </c>
      <c r="D85" t="inlineStr">
        <is>
          <t>Fortinet FortiSwitch 148F</t>
        </is>
      </c>
      <c r="E85" t="inlineStr">
        <is>
          <t>E0094</t>
        </is>
      </c>
      <c r="F85" t="inlineStr">
        <is>
          <t>Denver - Closed</t>
        </is>
      </c>
      <c r="G85" t="inlineStr">
        <is>
          <t>Assigned</t>
        </is>
      </c>
      <c r="H85" t="n">
        <v>2030</v>
      </c>
    </row>
    <row r="86">
      <c r="A86" t="inlineStr">
        <is>
          <t>MD-00082</t>
        </is>
      </c>
      <c r="B86" t="inlineStr">
        <is>
          <t>MD-MO-050082</t>
        </is>
      </c>
      <c r="C86" t="inlineStr">
        <is>
          <t>Network Asset</t>
        </is>
      </c>
      <c r="D86" t="inlineStr">
        <is>
          <t>Cisco C9300</t>
        </is>
      </c>
      <c r="E86" t="inlineStr">
        <is>
          <t>E0095</t>
        </is>
      </c>
      <c r="F86" t="inlineStr">
        <is>
          <t>Chicago - Closed</t>
        </is>
      </c>
      <c r="G86" t="inlineStr">
        <is>
          <t>Assigned</t>
        </is>
      </c>
      <c r="H86" t="n">
        <v>745</v>
      </c>
    </row>
    <row r="87">
      <c r="A87" t="inlineStr">
        <is>
          <t>MD-00083</t>
        </is>
      </c>
      <c r="B87" t="inlineStr">
        <is>
          <t>MD-MO-050083</t>
        </is>
      </c>
      <c r="C87" t="inlineStr">
        <is>
          <t>Network Asset</t>
        </is>
      </c>
      <c r="D87" t="inlineStr">
        <is>
          <t>Aruba 6300M</t>
        </is>
      </c>
      <c r="E87" t="inlineStr">
        <is>
          <t>E0071</t>
        </is>
      </c>
      <c r="F87" t="inlineStr">
        <is>
          <t>Denver - Closed</t>
        </is>
      </c>
      <c r="G87" t="inlineStr">
        <is>
          <t>Assigned</t>
        </is>
      </c>
      <c r="H87" t="n">
        <v>1220</v>
      </c>
    </row>
    <row r="88">
      <c r="A88" t="inlineStr">
        <is>
          <t>MD-00084</t>
        </is>
      </c>
      <c r="B88" t="inlineStr">
        <is>
          <t>MD-NE-050084</t>
        </is>
      </c>
      <c r="C88" t="inlineStr">
        <is>
          <t>Network Asset</t>
        </is>
      </c>
      <c r="D88" t="inlineStr">
        <is>
          <t>Juniper EX3400</t>
        </is>
      </c>
      <c r="E88" t="inlineStr">
        <is>
          <t>E0072</t>
        </is>
      </c>
      <c r="F88" t="inlineStr">
        <is>
          <t>Chicago - Closed</t>
        </is>
      </c>
      <c r="G88" t="inlineStr">
        <is>
          <t>Assigned</t>
        </is>
      </c>
      <c r="H88" t="n">
        <v>6200</v>
      </c>
    </row>
    <row r="89">
      <c r="A89" t="inlineStr">
        <is>
          <t>MD-00085</t>
        </is>
      </c>
      <c r="B89" t="inlineStr">
        <is>
          <t>MD-LA-050085</t>
        </is>
      </c>
      <c r="C89" t="inlineStr">
        <is>
          <t>Network Asset</t>
        </is>
      </c>
      <c r="D89" t="inlineStr">
        <is>
          <t>Cisco Meraki MS250</t>
        </is>
      </c>
      <c r="E89" t="inlineStr">
        <is>
          <t>E0073</t>
        </is>
      </c>
      <c r="F89" t="inlineStr">
        <is>
          <t>Denver - Closed</t>
        </is>
      </c>
      <c r="G89" t="inlineStr">
        <is>
          <t>Assigned</t>
        </is>
      </c>
      <c r="H89" t="n">
        <v>1895</v>
      </c>
    </row>
    <row r="90">
      <c r="A90" t="inlineStr">
        <is>
          <t>MD-00086</t>
        </is>
      </c>
      <c r="B90" t="inlineStr">
        <is>
          <t>MD-MO-050086</t>
        </is>
      </c>
      <c r="C90" t="inlineStr">
        <is>
          <t>Network Asset</t>
        </is>
      </c>
      <c r="D90" t="inlineStr">
        <is>
          <t>Fortinet FortiSwitch 148F</t>
        </is>
      </c>
      <c r="E90" t="inlineStr">
        <is>
          <t>E0074</t>
        </is>
      </c>
      <c r="F90" t="inlineStr">
        <is>
          <t>Chicago - Closed</t>
        </is>
      </c>
      <c r="G90" t="inlineStr">
        <is>
          <t>Assigned</t>
        </is>
      </c>
      <c r="H90" t="n">
        <v>610</v>
      </c>
    </row>
    <row r="91">
      <c r="A91" t="inlineStr">
        <is>
          <t>MD-00087</t>
        </is>
      </c>
      <c r="B91" t="inlineStr">
        <is>
          <t>MD-MO-050087</t>
        </is>
      </c>
      <c r="C91" t="inlineStr">
        <is>
          <t>Network Asset</t>
        </is>
      </c>
      <c r="D91" t="inlineStr">
        <is>
          <t>Cisco C9300</t>
        </is>
      </c>
      <c r="E91" t="inlineStr">
        <is>
          <t>E0075</t>
        </is>
      </c>
      <c r="F91" t="inlineStr">
        <is>
          <t>Denver - Closed</t>
        </is>
      </c>
      <c r="G91" t="inlineStr">
        <is>
          <t>Assigned</t>
        </is>
      </c>
      <c r="H91" t="n">
        <v>1085</v>
      </c>
    </row>
    <row r="92">
      <c r="A92" t="inlineStr">
        <is>
          <t>MD-00088</t>
        </is>
      </c>
      <c r="B92" t="inlineStr">
        <is>
          <t>MD-NE-050088</t>
        </is>
      </c>
      <c r="C92" t="inlineStr">
        <is>
          <t>Network Asset</t>
        </is>
      </c>
      <c r="D92" t="inlineStr">
        <is>
          <t>Aruba 6300M</t>
        </is>
      </c>
      <c r="E92" t="inlineStr">
        <is>
          <t>E0076</t>
        </is>
      </c>
      <c r="F92" t="inlineStr">
        <is>
          <t>Chicago - Closed</t>
        </is>
      </c>
      <c r="G92" t="inlineStr">
        <is>
          <t>Assigned</t>
        </is>
      </c>
      <c r="H92" t="n">
        <v>6380</v>
      </c>
    </row>
    <row r="93">
      <c r="A93" t="inlineStr">
        <is>
          <t>MD-00089</t>
        </is>
      </c>
      <c r="B93" t="inlineStr">
        <is>
          <t>MD-LA-050089</t>
        </is>
      </c>
      <c r="C93" t="inlineStr">
        <is>
          <t>Network Asset</t>
        </is>
      </c>
      <c r="D93" t="inlineStr">
        <is>
          <t>Juniper EX3400</t>
        </is>
      </c>
      <c r="E93" t="inlineStr">
        <is>
          <t>E0077</t>
        </is>
      </c>
      <c r="F93" t="inlineStr">
        <is>
          <t>Denver - Closed</t>
        </is>
      </c>
      <c r="G93" t="inlineStr">
        <is>
          <t>Assigned</t>
        </is>
      </c>
      <c r="H93" t="n">
        <v>2075</v>
      </c>
    </row>
    <row r="94">
      <c r="A94" t="inlineStr">
        <is>
          <t>MD-00090</t>
        </is>
      </c>
      <c r="B94" t="inlineStr">
        <is>
          <t>MD-MO-050090</t>
        </is>
      </c>
      <c r="C94" t="inlineStr">
        <is>
          <t>Network Asset</t>
        </is>
      </c>
      <c r="D94" t="inlineStr">
        <is>
          <t>Fortinet FortiSwitch 148F</t>
        </is>
      </c>
      <c r="E94" t="inlineStr">
        <is>
          <t>E0078</t>
        </is>
      </c>
      <c r="F94" t="inlineStr">
        <is>
          <t>Chicago - Closed</t>
        </is>
      </c>
      <c r="G94" t="inlineStr">
        <is>
          <t>Assigned</t>
        </is>
      </c>
      <c r="H94" t="n">
        <v>790</v>
      </c>
    </row>
    <row r="95">
      <c r="A95" t="inlineStr">
        <is>
          <t>MD-00091</t>
        </is>
      </c>
      <c r="B95" t="inlineStr">
        <is>
          <t>MD-MO-050091</t>
        </is>
      </c>
      <c r="C95" t="inlineStr">
        <is>
          <t>Network Asset</t>
        </is>
      </c>
      <c r="D95" t="inlineStr">
        <is>
          <t>Cisco C9300</t>
        </is>
      </c>
      <c r="E95" t="inlineStr">
        <is>
          <t>E0079</t>
        </is>
      </c>
      <c r="F95" t="inlineStr">
        <is>
          <t>Denver - Closed</t>
        </is>
      </c>
      <c r="G95" t="inlineStr">
        <is>
          <t>Assigned</t>
        </is>
      </c>
      <c r="H95" t="n">
        <v>950</v>
      </c>
    </row>
    <row r="96">
      <c r="A96" t="inlineStr">
        <is>
          <t>MD-00092</t>
        </is>
      </c>
      <c r="B96" t="inlineStr">
        <is>
          <t>MD-NE-050088</t>
        </is>
      </c>
      <c r="C96" t="inlineStr">
        <is>
          <t>Network Asset</t>
        </is>
      </c>
      <c r="D96" t="inlineStr">
        <is>
          <t>Aruba 6300M</t>
        </is>
      </c>
      <c r="E96" t="inlineStr">
        <is>
          <t>E0080</t>
        </is>
      </c>
      <c r="F96" t="inlineStr">
        <is>
          <t>Chicago - Closed</t>
        </is>
      </c>
      <c r="G96" t="inlineStr">
        <is>
          <t>Assigned</t>
        </is>
      </c>
      <c r="H96" t="n">
        <v>6245</v>
      </c>
    </row>
    <row r="97">
      <c r="A97" t="inlineStr">
        <is>
          <t>MD-00093</t>
        </is>
      </c>
      <c r="B97" t="inlineStr">
        <is>
          <t>MD-LA-050093</t>
        </is>
      </c>
      <c r="C97" t="inlineStr">
        <is>
          <t>Network Asset</t>
        </is>
      </c>
      <c r="D97" t="inlineStr">
        <is>
          <t>Juniper EX3400</t>
        </is>
      </c>
      <c r="E97" t="inlineStr">
        <is>
          <t>E0081</t>
        </is>
      </c>
      <c r="F97" t="inlineStr">
        <is>
          <t>Denver - Closed</t>
        </is>
      </c>
      <c r="G97" t="inlineStr">
        <is>
          <t>Assigned</t>
        </is>
      </c>
      <c r="H97" t="n">
        <v>1940</v>
      </c>
    </row>
    <row r="98">
      <c r="A98" t="inlineStr">
        <is>
          <t>MD-00094</t>
        </is>
      </c>
      <c r="B98" t="inlineStr">
        <is>
          <t>MD-MO-050094</t>
        </is>
      </c>
      <c r="C98" t="inlineStr">
        <is>
          <t>Network Asset</t>
        </is>
      </c>
      <c r="D98" t="inlineStr">
        <is>
          <t>Cisco Meraki MS250</t>
        </is>
      </c>
      <c r="E98" t="inlineStr">
        <is>
          <t>E0082</t>
        </is>
      </c>
      <c r="F98" t="inlineStr">
        <is>
          <t>Chicago - Closed</t>
        </is>
      </c>
      <c r="G98" t="inlineStr">
        <is>
          <t>Assigned</t>
        </is>
      </c>
      <c r="H98" t="n">
        <v>655</v>
      </c>
    </row>
    <row r="99">
      <c r="A99" t="inlineStr">
        <is>
          <t>MD-00095</t>
        </is>
      </c>
      <c r="B99" t="inlineStr">
        <is>
          <t>MD-MO-050095</t>
        </is>
      </c>
      <c r="C99" t="inlineStr">
        <is>
          <t>Network Asset</t>
        </is>
      </c>
      <c r="D99" t="inlineStr">
        <is>
          <t>Fortinet FortiSwitch 148F</t>
        </is>
      </c>
      <c r="E99" t="inlineStr">
        <is>
          <t>E0083</t>
        </is>
      </c>
      <c r="F99" t="inlineStr">
        <is>
          <t>Denver - Closed</t>
        </is>
      </c>
      <c r="G99" t="inlineStr">
        <is>
          <t>Assigned</t>
        </is>
      </c>
      <c r="H99" t="n">
        <v>1130</v>
      </c>
    </row>
    <row r="100">
      <c r="A100" t="inlineStr">
        <is>
          <t>MD-00096</t>
        </is>
      </c>
      <c r="B100" t="inlineStr">
        <is>
          <t>MD-NE-050096</t>
        </is>
      </c>
      <c r="C100" t="inlineStr">
        <is>
          <t>Network Asset</t>
        </is>
      </c>
      <c r="D100" t="inlineStr">
        <is>
          <t>Cisco C9300</t>
        </is>
      </c>
      <c r="E100" t="inlineStr">
        <is>
          <t>E0084</t>
        </is>
      </c>
      <c r="F100" t="inlineStr">
        <is>
          <t>Chicago - Closed</t>
        </is>
      </c>
      <c r="G100" t="inlineStr">
        <is>
          <t>Assigned</t>
        </is>
      </c>
      <c r="H100" t="n">
        <v>6425</v>
      </c>
    </row>
    <row r="101">
      <c r="A101" t="inlineStr">
        <is>
          <t>MD-00097</t>
        </is>
      </c>
      <c r="B101" t="inlineStr">
        <is>
          <t>MD-LA-050097</t>
        </is>
      </c>
      <c r="C101" t="inlineStr">
        <is>
          <t>Network Asset</t>
        </is>
      </c>
      <c r="D101" t="inlineStr">
        <is>
          <t>Aruba 6300M</t>
        </is>
      </c>
      <c r="E101" t="inlineStr">
        <is>
          <t>E0085</t>
        </is>
      </c>
      <c r="F101" t="inlineStr">
        <is>
          <t>Denver - Closed</t>
        </is>
      </c>
      <c r="G101" t="inlineStr">
        <is>
          <t>Assigned</t>
        </is>
      </c>
      <c r="H101" t="n">
        <v>2120</v>
      </c>
    </row>
    <row r="102">
      <c r="A102" t="inlineStr">
        <is>
          <t>MD-00098</t>
        </is>
      </c>
      <c r="B102" t="inlineStr">
        <is>
          <t>MD-MO-050098</t>
        </is>
      </c>
      <c r="C102" t="inlineStr">
        <is>
          <t>Network Asset</t>
        </is>
      </c>
      <c r="D102" t="inlineStr">
        <is>
          <t>Juniper EX3400</t>
        </is>
      </c>
      <c r="E102" t="inlineStr">
        <is>
          <t>E0086</t>
        </is>
      </c>
      <c r="F102" t="inlineStr">
        <is>
          <t>Chicago - Closed</t>
        </is>
      </c>
      <c r="G102" t="inlineStr">
        <is>
          <t>Assigned</t>
        </is>
      </c>
      <c r="H102" t="n">
        <v>520</v>
      </c>
    </row>
    <row r="103">
      <c r="A103" t="inlineStr">
        <is>
          <t>MD-00099</t>
        </is>
      </c>
      <c r="B103" t="inlineStr">
        <is>
          <t>MD-MO-050099</t>
        </is>
      </c>
      <c r="C103" t="inlineStr">
        <is>
          <t>Network Asset</t>
        </is>
      </c>
      <c r="D103" t="inlineStr">
        <is>
          <t>Cisco Meraki MS250</t>
        </is>
      </c>
      <c r="E103" t="inlineStr">
        <is>
          <t>E0087</t>
        </is>
      </c>
      <c r="F103" t="inlineStr">
        <is>
          <t>Denver - Closed</t>
        </is>
      </c>
      <c r="G103" t="inlineStr">
        <is>
          <t>Assigned</t>
        </is>
      </c>
      <c r="H103" t="n">
        <v>995</v>
      </c>
    </row>
    <row r="104">
      <c r="A104" t="inlineStr">
        <is>
          <t>MD-00100</t>
        </is>
      </c>
      <c r="B104" t="inlineStr">
        <is>
          <t>MD-NE-050100</t>
        </is>
      </c>
      <c r="C104" t="inlineStr">
        <is>
          <t>Laptop</t>
        </is>
      </c>
      <c r="D104" t="inlineStr">
        <is>
          <t>HP EliteBook 840 G10</t>
        </is>
      </c>
      <c r="E104" t="inlineStr">
        <is>
          <t>E0088</t>
        </is>
      </c>
      <c r="F104" t="inlineStr">
        <is>
          <t>Chicago - Closed</t>
        </is>
      </c>
      <c r="G104" t="inlineStr">
        <is>
          <t>Assigned</t>
        </is>
      </c>
      <c r="H104" t="n">
        <v>6290</v>
      </c>
    </row>
    <row r="105">
      <c r="A105" t="inlineStr">
        <is>
          <t>MD-00101</t>
        </is>
      </c>
      <c r="B105" t="inlineStr">
        <is>
          <t>MD-LA-050101</t>
        </is>
      </c>
      <c r="C105" t="inlineStr">
        <is>
          <t>Laptop</t>
        </is>
      </c>
      <c r="D105" t="inlineStr">
        <is>
          <t>Microsoft Surface Laptop 5</t>
        </is>
      </c>
      <c r="E105" t="inlineStr">
        <is>
          <t>E0089</t>
        </is>
      </c>
      <c r="F105" t="inlineStr">
        <is>
          <t>Denver - Closed</t>
        </is>
      </c>
      <c r="G105" t="inlineStr">
        <is>
          <t>Assigned</t>
        </is>
      </c>
      <c r="H105" t="n">
        <v>1985</v>
      </c>
    </row>
    <row r="106">
      <c r="A106" t="inlineStr">
        <is>
          <t>MD-00102</t>
        </is>
      </c>
      <c r="B106" t="inlineStr">
        <is>
          <t>MD-MO-050102</t>
        </is>
      </c>
      <c r="C106" t="inlineStr">
        <is>
          <t>Laptop</t>
        </is>
      </c>
      <c r="D106" t="inlineStr">
        <is>
          <t>Lenovo ThinkPad X1 Carbon</t>
        </is>
      </c>
      <c r="E106" t="inlineStr">
        <is>
          <t>E0090</t>
        </is>
      </c>
      <c r="F106" t="inlineStr">
        <is>
          <t>Chicago - Closed</t>
        </is>
      </c>
      <c r="G106" t="inlineStr">
        <is>
          <t>Assigned</t>
        </is>
      </c>
      <c r="H106" t="n">
        <v>700</v>
      </c>
    </row>
    <row r="107">
      <c r="A107" t="inlineStr">
        <is>
          <t>MD-00103</t>
        </is>
      </c>
      <c r="B107" t="inlineStr">
        <is>
          <t>MD-MO-050103</t>
        </is>
      </c>
      <c r="C107" t="inlineStr">
        <is>
          <t>Laptop</t>
        </is>
      </c>
      <c r="D107" t="inlineStr">
        <is>
          <t>Lenovo ThinkPad T14</t>
        </is>
      </c>
      <c r="E107" t="inlineStr">
        <is>
          <t>E0091</t>
        </is>
      </c>
      <c r="F107" t="inlineStr">
        <is>
          <t>Denver - Closed</t>
        </is>
      </c>
      <c r="G107" t="inlineStr">
        <is>
          <t>Assigned</t>
        </is>
      </c>
      <c r="H107" t="n">
        <v>1175</v>
      </c>
    </row>
    <row r="108">
      <c r="A108" t="inlineStr">
        <is>
          <t>MD-00104</t>
        </is>
      </c>
      <c r="B108" t="inlineStr">
        <is>
          <t>MD-NE-050104</t>
        </is>
      </c>
      <c r="C108" t="inlineStr">
        <is>
          <t>Laptop</t>
        </is>
      </c>
      <c r="D108" t="inlineStr">
        <is>
          <t>MacBook Pro 14</t>
        </is>
      </c>
      <c r="E108" t="inlineStr">
        <is>
          <t>E0092</t>
        </is>
      </c>
      <c r="F108" t="inlineStr">
        <is>
          <t>Chicago - Closed</t>
        </is>
      </c>
      <c r="G108" t="inlineStr">
        <is>
          <t>Assigned</t>
        </is>
      </c>
      <c r="H108" t="n">
        <v>6470</v>
      </c>
    </row>
    <row r="109">
      <c r="A109" t="inlineStr">
        <is>
          <t>MD-00105</t>
        </is>
      </c>
      <c r="B109" t="inlineStr">
        <is>
          <t>MD-LA-050105</t>
        </is>
      </c>
      <c r="C109" t="inlineStr">
        <is>
          <t>Laptop</t>
        </is>
      </c>
      <c r="D109" t="inlineStr">
        <is>
          <t>Dell Latitude 7440</t>
        </is>
      </c>
      <c r="E109" t="inlineStr">
        <is>
          <t>E0093</t>
        </is>
      </c>
      <c r="F109" t="inlineStr">
        <is>
          <t>Denver - Closed</t>
        </is>
      </c>
      <c r="G109" t="inlineStr">
        <is>
          <t>Assigned</t>
        </is>
      </c>
      <c r="H109" t="n">
        <v>1850</v>
      </c>
    </row>
    <row r="110">
      <c r="A110" t="inlineStr">
        <is>
          <t>MD-00106</t>
        </is>
      </c>
      <c r="B110" t="inlineStr">
        <is>
          <t>MD-MO-050106</t>
        </is>
      </c>
      <c r="C110" t="inlineStr">
        <is>
          <t>Laptop</t>
        </is>
      </c>
      <c r="D110" t="inlineStr">
        <is>
          <t>HP EliteBook 840 G10</t>
        </is>
      </c>
      <c r="E110" t="inlineStr">
        <is>
          <t>E0094</t>
        </is>
      </c>
      <c r="F110" t="inlineStr">
        <is>
          <t>Chicago - Closed</t>
        </is>
      </c>
      <c r="G110" t="inlineStr">
        <is>
          <t>Assigned</t>
        </is>
      </c>
      <c r="H110" t="n">
        <v>565</v>
      </c>
    </row>
    <row r="111">
      <c r="A111" t="inlineStr">
        <is>
          <t>MD-00107</t>
        </is>
      </c>
      <c r="B111" t="inlineStr">
        <is>
          <t>MD-MO-050107</t>
        </is>
      </c>
      <c r="C111" t="inlineStr">
        <is>
          <t>Laptop</t>
        </is>
      </c>
      <c r="D111" t="inlineStr">
        <is>
          <t>Microsoft Surface Laptop 5</t>
        </is>
      </c>
      <c r="E111" t="inlineStr">
        <is>
          <t>E0095</t>
        </is>
      </c>
      <c r="F111" t="inlineStr">
        <is>
          <t>Denver - Closed</t>
        </is>
      </c>
      <c r="G111" t="inlineStr">
        <is>
          <t>Assigned</t>
        </is>
      </c>
      <c r="H111" t="n">
        <v>1040</v>
      </c>
    </row>
    <row r="112">
      <c r="A112" t="inlineStr">
        <is>
          <t>MD-00108</t>
        </is>
      </c>
      <c r="B112" t="inlineStr">
        <is>
          <t>MD-NE-050108</t>
        </is>
      </c>
      <c r="C112" t="inlineStr">
        <is>
          <t>Laptop</t>
        </is>
      </c>
      <c r="D112" t="inlineStr">
        <is>
          <t>Lenovo ThinkPad X1 Carbon</t>
        </is>
      </c>
      <c r="E112" t="inlineStr">
        <is>
          <t>E0071</t>
        </is>
      </c>
      <c r="F112" t="inlineStr">
        <is>
          <t>Chicago - Closed</t>
        </is>
      </c>
      <c r="G112" t="inlineStr">
        <is>
          <t>Assigned</t>
        </is>
      </c>
      <c r="H112" t="n">
        <v>6335</v>
      </c>
    </row>
    <row r="113">
      <c r="A113" t="inlineStr">
        <is>
          <t>MD-00109</t>
        </is>
      </c>
      <c r="B113" t="inlineStr">
        <is>
          <t>MD-LA-050109</t>
        </is>
      </c>
      <c r="C113" t="inlineStr">
        <is>
          <t>Laptop</t>
        </is>
      </c>
      <c r="D113" t="inlineStr">
        <is>
          <t>Lenovo ThinkPad T14</t>
        </is>
      </c>
      <c r="E113" t="inlineStr">
        <is>
          <t>E0072</t>
        </is>
      </c>
      <c r="F113" t="inlineStr">
        <is>
          <t>Denver - Closed</t>
        </is>
      </c>
      <c r="G113" t="inlineStr">
        <is>
          <t>Assigned</t>
        </is>
      </c>
      <c r="H113" t="n">
        <v>2030</v>
      </c>
    </row>
    <row r="114">
      <c r="A114" t="inlineStr">
        <is>
          <t>MD-00110</t>
        </is>
      </c>
      <c r="B114" t="inlineStr">
        <is>
          <t>MD-MO-050110</t>
        </is>
      </c>
      <c r="C114" t="inlineStr">
        <is>
          <t>Laptop</t>
        </is>
      </c>
      <c r="D114" t="inlineStr">
        <is>
          <t>Dell Latitude 7440</t>
        </is>
      </c>
      <c r="E114" t="inlineStr">
        <is>
          <t>E0073</t>
        </is>
      </c>
      <c r="F114" t="inlineStr">
        <is>
          <t>Chicago - Closed</t>
        </is>
      </c>
      <c r="G114" t="inlineStr">
        <is>
          <t>Assigned</t>
        </is>
      </c>
      <c r="H114" t="n">
        <v>745</v>
      </c>
    </row>
    <row r="115">
      <c r="A115" t="inlineStr">
        <is>
          <t>MD-00111</t>
        </is>
      </c>
      <c r="B115" t="inlineStr">
        <is>
          <t>MD-MO-050111</t>
        </is>
      </c>
      <c r="C115" t="inlineStr">
        <is>
          <t>Laptop</t>
        </is>
      </c>
      <c r="D115" t="inlineStr">
        <is>
          <t>HP EliteBook 840 G10</t>
        </is>
      </c>
      <c r="E115" t="inlineStr">
        <is>
          <t>E0074</t>
        </is>
      </c>
      <c r="F115" t="inlineStr">
        <is>
          <t>Denver - Closed</t>
        </is>
      </c>
      <c r="G115" t="inlineStr">
        <is>
          <t>Assigned</t>
        </is>
      </c>
      <c r="H115" t="n">
        <v>1220</v>
      </c>
    </row>
    <row r="116">
      <c r="A116" t="inlineStr">
        <is>
          <t>MD-00112</t>
        </is>
      </c>
      <c r="B116" t="inlineStr">
        <is>
          <t>MD-NE-050112</t>
        </is>
      </c>
      <c r="C116" t="inlineStr">
        <is>
          <t>Laptop</t>
        </is>
      </c>
      <c r="D116" t="inlineStr">
        <is>
          <t>Microsoft Surface Laptop 5</t>
        </is>
      </c>
      <c r="E116" t="inlineStr">
        <is>
          <t>E0075</t>
        </is>
      </c>
      <c r="F116" t="inlineStr">
        <is>
          <t>Chicago - Closed</t>
        </is>
      </c>
      <c r="G116" t="inlineStr">
        <is>
          <t>Assigned</t>
        </is>
      </c>
      <c r="H116" t="n">
        <v>6200</v>
      </c>
    </row>
    <row r="117">
      <c r="A117" t="inlineStr">
        <is>
          <t>MD-00113</t>
        </is>
      </c>
      <c r="B117" t="inlineStr">
        <is>
          <t>MD-LA-050113</t>
        </is>
      </c>
      <c r="C117" t="inlineStr">
        <is>
          <t>Laptop</t>
        </is>
      </c>
      <c r="D117" t="inlineStr">
        <is>
          <t>Lenovo ThinkPad X1 Carbon</t>
        </is>
      </c>
      <c r="E117" t="inlineStr">
        <is>
          <t>E0076</t>
        </is>
      </c>
      <c r="F117" t="inlineStr">
        <is>
          <t>Denver - Closed</t>
        </is>
      </c>
      <c r="G117" t="inlineStr">
        <is>
          <t>Assigned</t>
        </is>
      </c>
      <c r="H117" t="n">
        <v>1895</v>
      </c>
    </row>
    <row r="118">
      <c r="A118" t="inlineStr">
        <is>
          <t>MD-00114</t>
        </is>
      </c>
      <c r="B118" t="inlineStr">
        <is>
          <t>MD-MO-050114</t>
        </is>
      </c>
      <c r="C118" t="inlineStr">
        <is>
          <t>Laptop</t>
        </is>
      </c>
      <c r="D118" t="inlineStr">
        <is>
          <t>Lenovo ThinkPad T14</t>
        </is>
      </c>
      <c r="E118" t="inlineStr">
        <is>
          <t>E0077</t>
        </is>
      </c>
      <c r="F118" t="inlineStr">
        <is>
          <t>Chicago - Closed</t>
        </is>
      </c>
      <c r="G118" t="inlineStr">
        <is>
          <t>Assigned</t>
        </is>
      </c>
      <c r="H118" t="n">
        <v>610</v>
      </c>
    </row>
    <row r="119">
      <c r="A119" t="inlineStr">
        <is>
          <t>MD-00115</t>
        </is>
      </c>
      <c r="B119" t="inlineStr">
        <is>
          <t>MD-MO-050115</t>
        </is>
      </c>
      <c r="C119" t="inlineStr">
        <is>
          <t>Laptop</t>
        </is>
      </c>
      <c r="D119" t="inlineStr">
        <is>
          <t>MacBook Pro 14</t>
        </is>
      </c>
      <c r="E119" t="inlineStr">
        <is>
          <t>E0078</t>
        </is>
      </c>
      <c r="F119" t="inlineStr">
        <is>
          <t>Denver - Closed</t>
        </is>
      </c>
      <c r="G119" t="inlineStr">
        <is>
          <t>Assigned</t>
        </is>
      </c>
      <c r="H119" t="n">
        <v>1085</v>
      </c>
    </row>
    <row r="120">
      <c r="A120" t="inlineStr">
        <is>
          <t>MD-00116</t>
        </is>
      </c>
      <c r="B120" t="inlineStr">
        <is>
          <t>MD-NE-050116</t>
        </is>
      </c>
      <c r="C120" t="inlineStr">
        <is>
          <t>Laptop</t>
        </is>
      </c>
      <c r="D120" t="inlineStr">
        <is>
          <t>Dell Latitude 7440</t>
        </is>
      </c>
      <c r="E120" t="inlineStr">
        <is>
          <t>E0079</t>
        </is>
      </c>
      <c r="F120" t="inlineStr">
        <is>
          <t>Chicago - Closed</t>
        </is>
      </c>
      <c r="G120" t="inlineStr">
        <is>
          <t>Assigned</t>
        </is>
      </c>
      <c r="H120" t="n">
        <v>6380</v>
      </c>
    </row>
    <row r="121">
      <c r="A121" t="inlineStr">
        <is>
          <t>MD-00117</t>
        </is>
      </c>
      <c r="B121" t="inlineStr">
        <is>
          <t>MD-LA-050117</t>
        </is>
      </c>
      <c r="C121" t="inlineStr">
        <is>
          <t>Laptop</t>
        </is>
      </c>
      <c r="D121" t="inlineStr">
        <is>
          <t>HP EliteBook 840 G10</t>
        </is>
      </c>
      <c r="E121" t="inlineStr">
        <is>
          <t>E0080</t>
        </is>
      </c>
      <c r="F121" t="inlineStr">
        <is>
          <t>Denver - Closed</t>
        </is>
      </c>
      <c r="G121" t="inlineStr">
        <is>
          <t>Assigned</t>
        </is>
      </c>
      <c r="H121" t="n">
        <v>2075</v>
      </c>
    </row>
    <row r="122">
      <c r="A122" t="inlineStr">
        <is>
          <t>MD-00118</t>
        </is>
      </c>
      <c r="B122" t="inlineStr">
        <is>
          <t>MD-MO-050118</t>
        </is>
      </c>
      <c r="C122" t="inlineStr">
        <is>
          <t>Laptop</t>
        </is>
      </c>
      <c r="D122" t="inlineStr">
        <is>
          <t>Microsoft Surface Laptop 5</t>
        </is>
      </c>
      <c r="E122" t="inlineStr">
        <is>
          <t>E0081</t>
        </is>
      </c>
      <c r="F122" t="inlineStr">
        <is>
          <t>Chicago - Closed</t>
        </is>
      </c>
      <c r="G122" t="inlineStr">
        <is>
          <t>Assigned</t>
        </is>
      </c>
      <c r="H122" t="n">
        <v>790</v>
      </c>
    </row>
    <row r="123">
      <c r="A123" t="inlineStr">
        <is>
          <t>MD-00119</t>
        </is>
      </c>
      <c r="B123" t="inlineStr">
        <is>
          <t>MD-MO-050119</t>
        </is>
      </c>
      <c r="C123" t="inlineStr">
        <is>
          <t>Laptop</t>
        </is>
      </c>
      <c r="D123" t="inlineStr">
        <is>
          <t>Lenovo ThinkPad X1 Carbon</t>
        </is>
      </c>
      <c r="E123" t="inlineStr">
        <is>
          <t>E0082</t>
        </is>
      </c>
      <c r="F123" t="inlineStr">
        <is>
          <t>Denver - Closed</t>
        </is>
      </c>
      <c r="G123" t="inlineStr">
        <is>
          <t>Assigned</t>
        </is>
      </c>
      <c r="H123" t="n">
        <v>950</v>
      </c>
    </row>
    <row r="124">
      <c r="A124" t="inlineStr">
        <is>
          <t>MD-00120</t>
        </is>
      </c>
      <c r="B124" t="inlineStr">
        <is>
          <t>MD-NE-050120</t>
        </is>
      </c>
      <c r="C124" t="inlineStr">
        <is>
          <t>Laptop</t>
        </is>
      </c>
      <c r="D124" t="inlineStr">
        <is>
          <t>MacBook Pro 14</t>
        </is>
      </c>
      <c r="E124" t="inlineStr">
        <is>
          <t>E0083</t>
        </is>
      </c>
      <c r="F124" t="inlineStr">
        <is>
          <t>Chicago - Closed</t>
        </is>
      </c>
      <c r="G124" t="inlineStr">
        <is>
          <t>Assigned</t>
        </is>
      </c>
      <c r="H124" t="n">
        <v>6245</v>
      </c>
    </row>
    <row r="125">
      <c r="A125" t="inlineStr">
        <is>
          <t>MD-00121</t>
        </is>
      </c>
      <c r="B125" t="inlineStr">
        <is>
          <t>MD-LA-050121</t>
        </is>
      </c>
      <c r="C125" t="inlineStr">
        <is>
          <t>Laptop</t>
        </is>
      </c>
      <c r="D125" t="inlineStr">
        <is>
          <t>Dell Latitude 7440</t>
        </is>
      </c>
      <c r="F125" t="inlineStr">
        <is>
          <t>Denver - Closed</t>
        </is>
      </c>
      <c r="G125" t="inlineStr">
        <is>
          <t>Assigned</t>
        </is>
      </c>
      <c r="H125" t="n">
        <v>1940</v>
      </c>
    </row>
    <row r="126">
      <c r="A126" t="inlineStr">
        <is>
          <t>MD-00122</t>
        </is>
      </c>
      <c r="B126" t="inlineStr">
        <is>
          <t>MD-MO-050122</t>
        </is>
      </c>
      <c r="C126" t="inlineStr">
        <is>
          <t>Laptop</t>
        </is>
      </c>
      <c r="D126" t="inlineStr">
        <is>
          <t>HP EliteBook 840 G10</t>
        </is>
      </c>
      <c r="F126" t="inlineStr">
        <is>
          <t>Chicago - Closed</t>
        </is>
      </c>
      <c r="G126" t="inlineStr">
        <is>
          <t>Assigned</t>
        </is>
      </c>
      <c r="H126" t="n">
        <v>655</v>
      </c>
    </row>
    <row r="127">
      <c r="A127" t="inlineStr">
        <is>
          <t>MD-00123</t>
        </is>
      </c>
      <c r="B127" t="inlineStr">
        <is>
          <t>MD-MO-050123</t>
        </is>
      </c>
      <c r="C127" t="inlineStr">
        <is>
          <t>Laptop</t>
        </is>
      </c>
      <c r="D127" t="inlineStr">
        <is>
          <t>Microsoft Surface Laptop 5</t>
        </is>
      </c>
      <c r="F127" t="inlineStr">
        <is>
          <t>Denver - Closed</t>
        </is>
      </c>
      <c r="G127" t="inlineStr">
        <is>
          <t>Assigned</t>
        </is>
      </c>
      <c r="H127" t="n">
        <v>1130</v>
      </c>
    </row>
    <row r="128">
      <c r="A128" t="inlineStr">
        <is>
          <t>MD-00124</t>
        </is>
      </c>
      <c r="B128" t="inlineStr">
        <is>
          <t>MD-NE-050124</t>
        </is>
      </c>
      <c r="C128" t="inlineStr">
        <is>
          <t>Laptop</t>
        </is>
      </c>
      <c r="D128" t="inlineStr">
        <is>
          <t>Lenovo ThinkPad X1 Carbon</t>
        </is>
      </c>
      <c r="F128" t="inlineStr">
        <is>
          <t>Chicago - Closed</t>
        </is>
      </c>
      <c r="G128" t="inlineStr">
        <is>
          <t>Assigned</t>
        </is>
      </c>
      <c r="H128" t="n">
        <v>6425</v>
      </c>
    </row>
    <row r="129">
      <c r="A129" t="inlineStr">
        <is>
          <t>MD-00125</t>
        </is>
      </c>
      <c r="B129" t="inlineStr">
        <is>
          <t>MD-LA-050125</t>
        </is>
      </c>
      <c r="C129" t="inlineStr">
        <is>
          <t>Laptop</t>
        </is>
      </c>
      <c r="D129" t="inlineStr">
        <is>
          <t>Lenovo ThinkPad T14</t>
        </is>
      </c>
      <c r="F129" t="inlineStr">
        <is>
          <t>Denver - Closed</t>
        </is>
      </c>
      <c r="G129" t="inlineStr">
        <is>
          <t>Assigned</t>
        </is>
      </c>
      <c r="H129" t="n">
        <v>2120</v>
      </c>
    </row>
    <row r="130">
      <c r="A130" t="inlineStr">
        <is>
          <t>MD-00126</t>
        </is>
      </c>
      <c r="B130" t="inlineStr">
        <is>
          <t>MD-MO-050126</t>
        </is>
      </c>
      <c r="C130" t="inlineStr">
        <is>
          <t>Laptop</t>
        </is>
      </c>
      <c r="D130" t="inlineStr">
        <is>
          <t>MacBook Pro 14</t>
        </is>
      </c>
      <c r="F130" t="inlineStr">
        <is>
          <t>Chicago - Closed</t>
        </is>
      </c>
      <c r="G130" t="inlineStr">
        <is>
          <t>Assigned</t>
        </is>
      </c>
      <c r="H130" t="n">
        <v>520</v>
      </c>
    </row>
    <row r="131">
      <c r="A131" t="inlineStr">
        <is>
          <t>MD-00127</t>
        </is>
      </c>
      <c r="B131" t="inlineStr">
        <is>
          <t>MD-MO-050127</t>
        </is>
      </c>
      <c r="C131" t="inlineStr">
        <is>
          <t>Laptop</t>
        </is>
      </c>
      <c r="D131" t="inlineStr">
        <is>
          <t>Dell Latitude 7440</t>
        </is>
      </c>
      <c r="E131" t="inlineStr">
        <is>
          <t>E0061</t>
        </is>
      </c>
      <c r="F131" t="inlineStr">
        <is>
          <t>Denver</t>
        </is>
      </c>
      <c r="G131" t="inlineStr">
        <is>
          <t>In Use</t>
        </is>
      </c>
      <c r="H131" t="n">
        <v>995</v>
      </c>
    </row>
    <row r="132">
      <c r="A132" t="inlineStr">
        <is>
          <t>MD-00128</t>
        </is>
      </c>
      <c r="B132" t="inlineStr">
        <is>
          <t>MD-NE-050128</t>
        </is>
      </c>
      <c r="C132" t="inlineStr">
        <is>
          <t>Laptop</t>
        </is>
      </c>
      <c r="D132" t="inlineStr">
        <is>
          <t>HP EliteBook 840 G10</t>
        </is>
      </c>
      <c r="E132" t="inlineStr">
        <is>
          <t>E0062</t>
        </is>
      </c>
      <c r="F132" t="inlineStr">
        <is>
          <t>New York</t>
        </is>
      </c>
      <c r="G132" t="inlineStr">
        <is>
          <t>In Use</t>
        </is>
      </c>
      <c r="H132" t="n">
        <v>6290</v>
      </c>
    </row>
    <row r="133">
      <c r="A133" t="inlineStr">
        <is>
          <t>MD-00129</t>
        </is>
      </c>
      <c r="B133" t="inlineStr">
        <is>
          <t>MD-LA-050129</t>
        </is>
      </c>
      <c r="C133" t="inlineStr">
        <is>
          <t>Laptop</t>
        </is>
      </c>
      <c r="D133" t="inlineStr">
        <is>
          <t>Microsoft Surface Laptop 5</t>
        </is>
      </c>
      <c r="E133" t="inlineStr">
        <is>
          <t>E0063</t>
        </is>
      </c>
      <c r="F133" t="inlineStr">
        <is>
          <t>Seattle</t>
        </is>
      </c>
      <c r="G133" t="inlineStr">
        <is>
          <t>In Use</t>
        </is>
      </c>
      <c r="H133" t="n">
        <v>1985</v>
      </c>
    </row>
    <row r="134">
      <c r="A134" t="inlineStr">
        <is>
          <t>MD-00130</t>
        </is>
      </c>
      <c r="B134" t="inlineStr">
        <is>
          <t>MD-MO-050130</t>
        </is>
      </c>
      <c r="C134" t="inlineStr">
        <is>
          <t>Laptop</t>
        </is>
      </c>
      <c r="D134" t="inlineStr">
        <is>
          <t>Lenovo ThinkPad T14</t>
        </is>
      </c>
      <c r="E134" t="inlineStr">
        <is>
          <t>E0064</t>
        </is>
      </c>
      <c r="F134" t="inlineStr">
        <is>
          <t>Atlanta</t>
        </is>
      </c>
      <c r="G134" t="inlineStr">
        <is>
          <t>In Use</t>
        </is>
      </c>
      <c r="H134" t="n">
        <v>700</v>
      </c>
    </row>
    <row r="135">
      <c r="A135" t="inlineStr">
        <is>
          <t>MD-00131</t>
        </is>
      </c>
      <c r="B135" t="inlineStr">
        <is>
          <t>MD-MO-050131</t>
        </is>
      </c>
      <c r="C135" t="inlineStr">
        <is>
          <t>Laptop</t>
        </is>
      </c>
      <c r="D135" t="inlineStr">
        <is>
          <t>MacBook Pro 14</t>
        </is>
      </c>
      <c r="E135" t="inlineStr">
        <is>
          <t>E0065</t>
        </is>
      </c>
      <c r="F135" t="inlineStr">
        <is>
          <t>Chicago</t>
        </is>
      </c>
      <c r="G135" t="inlineStr">
        <is>
          <t>In Use</t>
        </is>
      </c>
      <c r="H135" t="n">
        <v>1175</v>
      </c>
    </row>
    <row r="136">
      <c r="A136" t="inlineStr">
        <is>
          <t>MD-00132</t>
        </is>
      </c>
      <c r="B136" t="inlineStr">
        <is>
          <t>MD-NE-050132</t>
        </is>
      </c>
      <c r="C136" t="inlineStr">
        <is>
          <t>Laptop</t>
        </is>
      </c>
      <c r="D136" t="inlineStr">
        <is>
          <t>Dell Latitude 7440</t>
        </is>
      </c>
      <c r="E136" t="inlineStr">
        <is>
          <t>E0066</t>
        </is>
      </c>
      <c r="F136" t="inlineStr">
        <is>
          <t>Dallas</t>
        </is>
      </c>
      <c r="G136" t="inlineStr">
        <is>
          <t>In Use</t>
        </is>
      </c>
      <c r="H136" t="n">
        <v>6470</v>
      </c>
    </row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-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>
        <f>COUNTA('Corrected Register'!A5:A200)</f>
        <v>132</v>
      </c>
    </row>
    <row r="6">
      <c r="A6" s="4" t="inlineStr">
        <is>
          <t>Corrected register acquisition cost</t>
        </is>
      </c>
      <c r="B6" s="5">
        <f>SUM('Corrected Register'!M5:M200)</f>
        <v>332115</v>
      </c>
    </row>
    <row r="7">
      <c r="A7" s="4" t="inlineStr">
        <is>
          <t>Remaining book value (ledger NBV where present)</t>
        </is>
      </c>
      <c r="B7" s="5">
        <f>SUM('Corrected Register'!N5:N200)</f>
        <v>61526.6</v>
      </c>
    </row>
    <row r="8">
      <c r="A8" s="4" t="inlineStr">
        <is>
          <t>Open exceptions</t>
        </is>
      </c>
      <c r="B8" s="5">
        <f>COUNTIF('Exception Register'!K5:K200,"Open")</f>
        <v>163</v>
      </c>
    </row>
    <row r="9">
      <c r="A9" s="4" t="inlineStr">
        <is>
          <t>Certification blockers (Critical impact)</t>
        </is>
      </c>
      <c r="B9" s="5">
        <f>COUNTIF('Exception Register'!C5:C200,"Critical")</f>
        <v>43</v>
      </c>
    </row>
    <row r="10">
      <c r="A10" s="4" t="inlineStr">
        <is>
          <t>Assets Missing / Cannot Locate</t>
        </is>
      </c>
      <c r="B10" s="5">
        <f>COUNTIF('Corrected Register'!J5:J200,"Missing")</f>
        <v>12</v>
      </c>
    </row>
    <row r="11">
      <c r="A11" s="4" t="inlineStr">
        <is>
          <t>Overdue returns (label ≠ proof)</t>
        </is>
      </c>
      <c r="B11" s="5">
        <f>COUNTIF('Corrected Register'!J5:J200,"Return Overdue")</f>
        <v>12</v>
      </c>
    </row>
    <row r="12">
      <c r="A12" s="4" t="inlineStr">
        <is>
          <t>Verified disposed with certificate</t>
        </is>
      </c>
      <c r="B12" s="5">
        <f>COUNTIF('Corrected Register'!J5:J200,"Disposed")</f>
        <v>8</v>
      </c>
    </row>
    <row r="13">
      <c r="A13" s="4" t="inlineStr">
        <is>
          <t>Custody chains documented</t>
        </is>
      </c>
      <c r="B13" s="5">
        <f>SUMPRODUCT(('Custody Chain'!A5:A600&lt;&gt;"")/COUNTIF('Custody Chain'!A5:A600,'Custody Chain'!A5:A600&amp;""))</f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Register'!$J$5:$J$200,A19)</f>
        <v>25</v>
      </c>
      <c r="C19" s="7">
        <f>SUMIF('Corrected Register'!$J$5:$J$200,A19,'Corrected Register'!$N$5:$N$200)</f>
        <v>12961</v>
      </c>
      <c r="E19" s="7" t="inlineStr">
        <is>
          <t>Laptop</t>
        </is>
      </c>
      <c r="F19" s="7">
        <f>COUNTIF('Source Inventory'!$C$5:$C$200,E19)</f>
        <v>40</v>
      </c>
      <c r="G19" s="7">
        <f>SUMPRODUCT(('Source Inventory'!$C$5:$C$200=E19)*('Corrected Register'!$N$5:$N$200))</f>
        <v>13030.88</v>
      </c>
    </row>
    <row r="20">
      <c r="A20" s="7" t="inlineStr">
        <is>
          <t>Disposed</t>
        </is>
      </c>
      <c r="B20" s="7">
        <f>COUNTIF('Corrected Register'!$J$5:$J$200,A20)</f>
        <v>8</v>
      </c>
      <c r="C20" s="7">
        <f>SUMIF('Corrected Register'!$J$5:$J$200,A20,'Corrected Register'!$N$5:$N$200)</f>
        <v>0</v>
      </c>
      <c r="E20" s="7" t="inlineStr">
        <is>
          <t>Mobile Device</t>
        </is>
      </c>
      <c r="F20" s="7">
        <f>COUNTIF('Source Inventory'!$C$5:$C$200,E20)</f>
        <v>36</v>
      </c>
      <c r="G20" s="7">
        <f>SUMPRODUCT(('Source Inventory'!$C$5:$C$200=E20)*('Corrected Register'!$N$5:$N$200))</f>
        <v>18983.58</v>
      </c>
    </row>
    <row r="21">
      <c r="A21" s="8" t="inlineStr">
        <is>
          <t>In Transit - Exception</t>
        </is>
      </c>
      <c r="B21" s="7">
        <f>COUNTIF('Corrected Register'!$J$5:$J$200,A21)</f>
        <v>2</v>
      </c>
      <c r="C21" s="7">
        <f>SUMIF('Corrected Register'!$J$5:$J$200,A21,'Corrected Register'!$N$5:$N$200)</f>
        <v>1019.4</v>
      </c>
      <c r="E21" s="7" t="inlineStr">
        <is>
          <t>Monitor</t>
        </is>
      </c>
      <c r="F21" s="7">
        <f>COUNTIF('Source Inventory'!$C$5:$C$200,E21)</f>
        <v>28</v>
      </c>
      <c r="G21" s="7">
        <f>SUMPRODUCT(('Source Inventory'!$C$5:$C$200=E21)*('Corrected Register'!$N$5:$N$200))</f>
        <v>15372.27</v>
      </c>
    </row>
    <row r="22">
      <c r="A22" s="7" t="inlineStr">
        <is>
          <t>In Use</t>
        </is>
      </c>
      <c r="B22" s="7">
        <f>COUNTIF('Corrected Register'!$J$5:$J$200,A22)</f>
        <v>51</v>
      </c>
      <c r="C22" s="7">
        <f>SUMIF('Corrected Register'!$J$5:$J$200,A22,'Corrected Register'!$N$5:$N$200)</f>
        <v>25477.76</v>
      </c>
      <c r="E22" s="7" t="inlineStr">
        <is>
          <t>Network Asset</t>
        </is>
      </c>
      <c r="F22" s="7">
        <f>COUNTIF('Source Inventory'!$C$5:$C$200,E22)</f>
        <v>28</v>
      </c>
      <c r="G22" s="7">
        <f>SUMPRODUCT(('Source Inventory'!$C$5:$C$200=E22)*('Corrected Register'!$N$5:$N$200))</f>
        <v>14139.87</v>
      </c>
    </row>
    <row r="23">
      <c r="A23" s="8" t="inlineStr">
        <is>
          <t>Missing</t>
        </is>
      </c>
      <c r="B23" s="7">
        <f>COUNTIF('Corrected Register'!$J$5:$J$200,A23)</f>
        <v>12</v>
      </c>
      <c r="C23" s="7">
        <f>SUMIF('Corrected Register'!$J$5:$J$200,A23,'Corrected Register'!$N$5:$N$200)</f>
        <v>6214.38</v>
      </c>
    </row>
    <row r="24">
      <c r="A24" s="7" t="inlineStr">
        <is>
          <t>Pending Redeployment</t>
        </is>
      </c>
      <c r="B24" s="7">
        <f>COUNTIF('Corrected Register'!$J$5:$J$200,A24)</f>
        <v>10</v>
      </c>
      <c r="C24" s="7">
        <f>SUMIF('Corrected Register'!$J$5:$J$200,A24,'Corrected Register'!$N$5:$N$200)</f>
        <v>4851.08</v>
      </c>
    </row>
    <row r="25">
      <c r="A25" s="7" t="inlineStr">
        <is>
          <t>Retired/Pending Disposal</t>
        </is>
      </c>
      <c r="B25" s="7">
        <f>COUNTIF('Corrected Register'!$J$5:$J$200,A25)</f>
        <v>12</v>
      </c>
      <c r="C25" s="7">
        <f>SUMIF('Corrected Register'!$J$5:$J$200,A25,'Corrected Register'!$N$5:$N$200)</f>
        <v>4811.33</v>
      </c>
    </row>
    <row r="26">
      <c r="A26" s="8" t="inlineStr">
        <is>
          <t>Return Overdue</t>
        </is>
      </c>
      <c r="B26" s="7">
        <f>COUNTIF('Corrected Register'!$J$5:$J$200,A26)</f>
        <v>12</v>
      </c>
      <c r="C26" s="7">
        <f>SUMIF('Corrected Register'!$J$5:$J$200,A26,'Corrected Register'!$N$5:$N$200)</f>
        <v>6191.65</v>
      </c>
    </row>
    <row r="30">
      <c r="A30" s="6" t="inlineStr">
        <is>
          <t>By Verified Location</t>
        </is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inlineStr">
        <is>
          <t>Asset Count</t>
        </is>
      </c>
      <c r="C31" s="3" t="inlineStr">
        <is>
          <t>Book Value</t>
        </is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Register'!$I$5:$I$200,A32)</f>
        <v>16</v>
      </c>
      <c r="C32" s="7">
        <f>SUMIF('Corrected Register'!$I$5:$I$200,A32,'Corrected Register'!$N$5:$N$200)</f>
        <v>5184.18</v>
      </c>
      <c r="E32" s="7" t="inlineStr">
        <is>
          <t>Cannot Locate</t>
        </is>
      </c>
      <c r="F32" s="7">
        <f>COUNTIF('Exception Register'!$B$5:$B$200,E32)</f>
        <v>12</v>
      </c>
      <c r="G32" s="7">
        <f>SUMIF('Exception Register'!$B$5:$B$200,E32,'Exception Register'!$G$5:$G$200)</f>
        <v>6214.38</v>
      </c>
    </row>
    <row r="33">
      <c r="A33" s="7" t="inlineStr">
        <is>
          <t>Atlanta</t>
        </is>
      </c>
      <c r="B33" s="7">
        <f>COUNTIF('Corrected Register'!$I$5:$I$200,A33)</f>
        <v>15</v>
      </c>
      <c r="C33" s="7">
        <f>SUMIF('Corrected Register'!$I$5:$I$200,A33,'Corrected Register'!$N$5:$N$200)</f>
        <v>6267.29</v>
      </c>
      <c r="E33" s="7" t="inlineStr">
        <is>
          <t>Closed Location Assignment</t>
        </is>
      </c>
      <c r="F33" s="7">
        <f>COUNTIF('Exception Register'!$B$5:$B$200,E33)</f>
        <v>61</v>
      </c>
      <c r="G33" s="7">
        <f>SUMIF('Exception Register'!$B$5:$B$200,E33,'Exception Register'!$G$5:$G$200)</f>
        <v>29063.84</v>
      </c>
    </row>
    <row r="34">
      <c r="A34" s="7" t="inlineStr">
        <is>
          <t>Dallas</t>
        </is>
      </c>
      <c r="B34" s="7">
        <f>COUNTIF('Corrected Register'!$I$5:$I$200,A34)</f>
        <v>15</v>
      </c>
      <c r="C34" s="7">
        <f>SUMIF('Corrected Register'!$I$5:$I$200,A34,'Corrected Register'!$N$5:$N$200)</f>
        <v>11070.95</v>
      </c>
      <c r="E34" s="7" t="inlineStr">
        <is>
          <t>Duplicate Serial Number</t>
        </is>
      </c>
      <c r="F34" s="7">
        <f>COUNTIF('Exception Register'!$B$5:$B$200,E34)</f>
        <v>4</v>
      </c>
      <c r="G34" s="7">
        <f>SUMIF('Exception Register'!$B$5:$B$200,E34,'Exception Register'!$G$5:$G$200)</f>
        <v>2503.11</v>
      </c>
    </row>
    <row r="35">
      <c r="A35" s="7" t="inlineStr">
        <is>
          <t>Seattle</t>
        </is>
      </c>
      <c r="B35" s="7">
        <f>COUNTIF('Corrected Register'!$I$5:$I$200,A35)</f>
        <v>15</v>
      </c>
      <c r="C35" s="7">
        <f>SUMIF('Corrected Register'!$I$5:$I$200,A35,'Corrected Register'!$N$5:$N$200)</f>
        <v>5149.95</v>
      </c>
      <c r="E35" s="7" t="inlineStr">
        <is>
          <t>Former Employee Assignment</t>
        </is>
      </c>
      <c r="F35" s="7">
        <f>COUNTIF('Exception Register'!$B$5:$B$200,E35)</f>
        <v>43</v>
      </c>
      <c r="G35" s="7">
        <f>SUMIF('Exception Register'!$B$5:$B$200,E35,'Exception Register'!$G$5:$G$200)</f>
        <v>22627.56</v>
      </c>
    </row>
    <row r="36">
      <c r="A36" s="7" t="inlineStr">
        <is>
          <t>Denver</t>
        </is>
      </c>
      <c r="B36" s="7">
        <f>COUNTIF('Corrected Register'!$I$5:$I$200,A36)</f>
        <v>14</v>
      </c>
      <c r="C36" s="7">
        <f>SUMIF('Corrected Register'!$I$5:$I$200,A36,'Corrected Register'!$N$5:$N$200)</f>
        <v>5551.75</v>
      </c>
      <c r="E36" s="7" t="inlineStr">
        <is>
          <t>Inventory-to-Ledger Difference</t>
        </is>
      </c>
      <c r="F36" s="7">
        <f>COUNTIF('Exception Register'!$B$5:$B$200,E36)</f>
        <v>8</v>
      </c>
      <c r="G36" s="7">
        <f>SUMIF('Exception Register'!$B$5:$B$200,E36,'Exception Register'!$G$5:$G$200)</f>
        <v>7275</v>
      </c>
    </row>
    <row r="37">
      <c r="A37" s="7" t="inlineStr">
        <is>
          <t>New York</t>
        </is>
      </c>
      <c r="B37" s="7">
        <f>COUNTIF('Corrected Register'!$I$5:$I$200,A37)</f>
        <v>14</v>
      </c>
      <c r="C37" s="7">
        <f>SUMIF('Corrected Register'!$I$5:$I$200,A37,'Corrected Register'!$N$5:$N$200)</f>
        <v>10526</v>
      </c>
      <c r="E37" s="7" t="inlineStr">
        <is>
          <t>Missing Disposal Evidence</t>
        </is>
      </c>
      <c r="F37" s="7">
        <f>COUNTIF('Exception Register'!$B$5:$B$200,E37)</f>
        <v>12</v>
      </c>
      <c r="G37" s="7">
        <f>SUMIF('Exception Register'!$B$5:$B$200,E37,'Exception Register'!$G$5:$G$200)</f>
        <v>4811.33</v>
      </c>
    </row>
    <row r="38">
      <c r="A38" s="7" t="inlineStr">
        <is>
          <t>Unknown</t>
        </is>
      </c>
      <c r="B38" s="7">
        <f>COUNTIF('Corrected Register'!$I$5:$I$200,A38)</f>
        <v>12</v>
      </c>
      <c r="C38" s="7">
        <f>SUMIF('Corrected Register'!$I$5:$I$200,A38,'Corrected Register'!$N$5:$N$200)</f>
        <v>6214.38</v>
      </c>
      <c r="E38" s="7" t="inlineStr">
        <is>
          <t>Overdue Return</t>
        </is>
      </c>
      <c r="F38" s="7">
        <f>COUNTIF('Exception Register'!$B$5:$B$200,E38)</f>
        <v>12</v>
      </c>
      <c r="G38" s="7">
        <f>SUMIF('Exception Register'!$B$5:$B$200,E38,'Exception Register'!$G$5:$G$200)</f>
        <v>6191.65</v>
      </c>
    </row>
    <row r="39">
      <c r="A39" s="7" t="inlineStr">
        <is>
          <t>Remote - Former Employee</t>
        </is>
      </c>
      <c r="B39" s="7">
        <f>COUNTIF('Corrected Register'!$I$5:$I$200,A39)</f>
        <v>10</v>
      </c>
      <c r="C39" s="7">
        <f>SUMIF('Corrected Register'!$I$5:$I$200,A39,'Corrected Register'!$N$5:$N$200)</f>
        <v>4878.51</v>
      </c>
      <c r="E39" s="7" t="inlineStr">
        <is>
          <t>Shipment Mismatch</t>
        </is>
      </c>
      <c r="F39" s="7">
        <f>COUNTIF('Exception Register'!$B$5:$B$200,E39)</f>
        <v>4</v>
      </c>
      <c r="G39" s="7">
        <f>SUMIF('Exception Register'!$B$5:$B$200,E39,'Exception Register'!$G$5:$G$200)</f>
        <v>2332.54</v>
      </c>
    </row>
    <row r="40">
      <c r="A40" s="7" t="inlineStr">
        <is>
          <t>Disposed</t>
        </is>
      </c>
      <c r="B40" s="7">
        <f>COUNTIF('Corrected Register'!$I$5:$I$200,A40)</f>
        <v>8</v>
      </c>
      <c r="C40" s="7">
        <f>SUMIF('Corrected Register'!$I$5:$I$200,A40,'Corrected Register'!$N$5:$N$200)</f>
        <v>0</v>
      </c>
      <c r="E40" s="7" t="inlineStr">
        <is>
          <t>Unapproved Transfer</t>
        </is>
      </c>
      <c r="F40" s="7">
        <f>COUNTIF('Exception Register'!$B$5:$B$200,E40)</f>
        <v>5</v>
      </c>
      <c r="G40" s="7">
        <f>SUMIF('Exception Register'!$B$5:$B$200,E40,'Exception Register'!$G$5:$G$200)</f>
        <v>2869.32</v>
      </c>
    </row>
    <row r="41">
      <c r="A41" s="7" t="inlineStr">
        <is>
          <t>Atlanta Warehouse</t>
        </is>
      </c>
      <c r="B41" s="7">
        <f>COUNTIF('Corrected Register'!$I$5:$I$200,A41)</f>
        <v>7</v>
      </c>
      <c r="C41" s="7">
        <f>SUMIF('Corrected Register'!$I$5:$I$200,A41,'Corrected Register'!$N$5:$N$200)</f>
        <v>4351.05</v>
      </c>
      <c r="E41" t="inlineStr">
        <is>
          <t>Below Capitalization Threshold</t>
        </is>
      </c>
      <c r="F41">
        <f>COUNTIF('Exception Register'!$B$5:$B$200,E41)</f>
        <v>2</v>
      </c>
      <c r="G41">
        <f>SUMIF('Exception Register'!$B$5:$B$200,E41,'Exception Register'!$G$5:$G$200)</f>
        <v>1875</v>
      </c>
    </row>
    <row r="42">
      <c r="A42" s="7" t="inlineStr">
        <is>
          <t>Carrier Network / Unverified</t>
        </is>
      </c>
      <c r="B42" s="7">
        <f>COUNTIF('Corrected Register'!$I$5:$I$200,A42)</f>
        <v>4</v>
      </c>
      <c r="C42" s="7">
        <f>SUMIF('Corrected Register'!$I$5:$I$200,A42,'Corrected Register'!$N$5:$N$200)</f>
        <v>2332.54</v>
      </c>
    </row>
    <row r="43">
      <c r="A43" s="7" t="inlineStr">
        <is>
          <t>Disposed (certificate missing)</t>
        </is>
      </c>
      <c r="B43" s="7">
        <f>COUNTIF('Corrected Register'!$I$5:$I$200,A43)</f>
        <v>2</v>
      </c>
      <c r="C43" s="7">
        <f>SUMIF('Corrected Register'!$I$5:$I$200,A43,'Corrected Register'!$N$5:$N$200)</f>
        <v>0</v>
      </c>
    </row>
    <row r="45">
      <c r="A45" s="19" t="inlineStr">
        <is>
          <t>Key finding - Duplicate serial identities (both pairs)</t>
        </is>
      </c>
    </row>
    <row r="46">
      <c r="A46" s="20" t="inlineStr">
        <is>
          <t>Duplicate Serial</t>
        </is>
      </c>
      <c r="B46" s="20" t="inlineStr">
        <is>
          <t>Asset Tags Sharing This Serial</t>
        </is>
      </c>
      <c r="C46" s="20" t="inlineStr">
        <is>
          <t>Exception IDs</t>
        </is>
      </c>
    </row>
    <row r="47">
      <c r="A47" s="21" t="inlineStr">
        <is>
          <t>MD-LA-050021</t>
        </is>
      </c>
      <c r="B47" s="21" t="inlineStr">
        <is>
          <t>MD-00021 and MD-00025</t>
        </is>
      </c>
      <c r="C47" s="21" t="inlineStr">
        <is>
          <t>EX-0002; EX-0004</t>
        </is>
      </c>
    </row>
    <row r="48">
      <c r="A48" s="21" t="inlineStr">
        <is>
          <t>MD-NE-050088</t>
        </is>
      </c>
      <c r="B48" s="21" t="inlineStr">
        <is>
          <t>MD-00088 and MD-00092</t>
        </is>
      </c>
      <c r="C48" s="21" t="inlineStr">
        <is>
          <t>EX-0102; EX-0111</t>
        </is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>
        <f>IFERROR(XLOOKUP(A5,'Source Inventory'!$A$5:$A$200,'Source Inventory'!$B$5:$B$200),"")</f>
        <v/>
      </c>
      <c r="C5" s="7">
        <f>IFERROR(XLOOKUP(A5,'Source Inventory'!$A$5:$A$200,'Source Inventory'!$C$5:$C$200),"")</f>
        <v/>
      </c>
      <c r="D5" s="7">
        <f>IFERROR(XLOOKUP(A5,'Source Inventory'!$A$5:$A$200,'Source Inventory'!$D$5:$D$200),"")</f>
        <v/>
      </c>
      <c r="E5" s="7">
        <f>IFERROR(XLOOKUP(A5,'Source Inventory'!$A$5:$A$200,'Source Inventory'!$E$5:$E$200),"")</f>
        <v/>
      </c>
      <c r="F5" s="7">
        <f>IFERROR(XLOOKUP(A5,'Source Inventory'!$A$5:$A$200,'Source Inventory'!$F$5:$F$200),"")</f>
        <v/>
      </c>
      <c r="G5" s="7">
        <f>IFERROR(XLOOKUP(A5,'Source Inventory'!$A$5:$A$200,'Source Inventory'!$G$5:$G$200),"")</f>
        <v/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PO-2022-0001 and FA-000001 both cite MD-00001 (HP EliteBook 840 G10); register basis $1,895. HR row shows Priya Shah (E0001) as Active. transfer TR-00001 dated Jan 21, 2026, received 2026-01-21, APR-00001.</t>
        </is>
      </c>
      <c r="L5" s="7" t="inlineStr">
        <is>
          <t>2026-08-05</t>
        </is>
      </c>
      <c r="M5" s="7">
        <f>IFERROR(XLOOKUP(A5,'Source Inventory'!$A$5:$A$200,'Source Inventory'!$H$5:$H$200),"")</f>
        <v/>
      </c>
      <c r="N5" s="7" t="n">
        <v>0</v>
      </c>
      <c r="O5" s="7">
        <f>IFERROR(XLOOKUP(A5,'Source Ledger'!$B$5:$B$200,'Source Ledger'!$A$5:$A$200),"")</f>
        <v/>
      </c>
      <c r="P5" s="7">
        <f>IFERROR(XLOOKUP(A5,'Source Ledger'!$B$5:$B$200,'Source Ledger'!$D$5:$D$200),"")</f>
        <v/>
      </c>
      <c r="Q5" s="9" t="inlineStr">
        <is>
          <t>High</t>
        </is>
      </c>
      <c r="R5" s="7" t="inlineStr"/>
      <c r="S5" s="7">
        <f>IF(OR(R5="",R5=0),"No","Yes")</f>
        <v/>
      </c>
      <c r="T5">
        <f>IFERROR(XLOOKUP(A5,'Source Ledger'!$B$5:$B$200,'Source Ledger'!$E$5:$E$200),"")</f>
        <v/>
      </c>
      <c r="U5">
        <f>IFERROR(XLOOKUP(A5,'Source Ledger'!$B$5:$B$200,'Source Ledger'!$H$5:$H$200),"")</f>
        <v/>
      </c>
      <c r="V5">
        <f>IFERROR(XLOOKUP(A5,'Source Ledger'!$B$5:$B$200,'Source Ledger'!$G$5:$G$200),"")</f>
        <v/>
      </c>
      <c r="W5">
        <f>IF(OR(M5="",T5=""),"",T5-M5)</f>
        <v/>
      </c>
      <c r="X5">
        <f>IF(V5="","No","Yes")</f>
        <v/>
      </c>
    </row>
    <row r="6">
      <c r="A6" s="7" t="inlineStr">
        <is>
          <t>MD-00002</t>
        </is>
      </c>
      <c r="B6" s="7">
        <f>IFERROR(XLOOKUP(A6,'Source Inventory'!$A$5:$A$200,'Source Inventory'!$B$5:$B$200),"")</f>
        <v/>
      </c>
      <c r="C6" s="7">
        <f>IFERROR(XLOOKUP(A6,'Source Inventory'!$A$5:$A$200,'Source Inventory'!$C$5:$C$200),"")</f>
        <v/>
      </c>
      <c r="D6" s="7">
        <f>IFERROR(XLOOKUP(A6,'Source Inventory'!$A$5:$A$200,'Source Inventory'!$D$5:$D$200),"")</f>
        <v/>
      </c>
      <c r="E6" s="7">
        <f>IFERROR(XLOOKUP(A6,'Source Inventory'!$A$5:$A$200,'Source Inventory'!$E$5:$E$200),"")</f>
        <v/>
      </c>
      <c r="F6" s="7">
        <f>IFERROR(XLOOKUP(A6,'Source Inventory'!$A$5:$A$200,'Source Inventory'!$F$5:$F$200),"")</f>
        <v/>
      </c>
      <c r="G6" s="7">
        <f>IFERROR(XLOOKUP(A6,'Source Inventory'!$A$5:$A$200,'Source Inventory'!$G$5:$G$200),"")</f>
        <v/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PO-2022-0001 and FA-000002 both cite MD-00002 (Microsoft Surface Laptop 5); register basis $610. HR row shows Marcus Ellison (E0002) as Active. transfer TR-00002 dated Feb 23, 2026, received 2026-02-25, APR-00002.</t>
        </is>
      </c>
      <c r="L6" s="7" t="inlineStr">
        <is>
          <t>2026-08-05</t>
        </is>
      </c>
      <c r="M6" s="7">
        <f>IFERROR(XLOOKUP(A6,'Source Inventory'!$A$5:$A$200,'Source Inventory'!$H$5:$H$200),"")</f>
        <v/>
      </c>
      <c r="N6" s="7" t="n">
        <v>313.06</v>
      </c>
      <c r="O6" s="7">
        <f>IFERROR(XLOOKUP(A6,'Source Ledger'!$B$5:$B$200,'Source Ledger'!$A$5:$A$200),"")</f>
        <v/>
      </c>
      <c r="P6" s="7">
        <f>IFERROR(XLOOKUP(A6,'Source Ledger'!$B$5:$B$200,'Source Ledger'!$D$5:$D$200),"")</f>
        <v/>
      </c>
      <c r="Q6" s="9" t="inlineStr">
        <is>
          <t>High</t>
        </is>
      </c>
      <c r="R6" s="7" t="inlineStr"/>
      <c r="S6" s="7">
        <f>IF(OR(R6="",R6=0),"No","Yes")</f>
        <v/>
      </c>
      <c r="T6">
        <f>IFERROR(XLOOKUP(A6,'Source Ledger'!$B$5:$B$200,'Source Ledger'!$E$5:$E$200),"")</f>
        <v/>
      </c>
      <c r="U6">
        <f>IFERROR(XLOOKUP(A6,'Source Ledger'!$B$5:$B$200,'Source Ledger'!$H$5:$H$200),"")</f>
        <v/>
      </c>
      <c r="V6">
        <f>IFERROR(XLOOKUP(A6,'Source Ledger'!$B$5:$B$200,'Source Ledger'!$G$5:$G$200),"")</f>
        <v/>
      </c>
      <c r="W6">
        <f>IF(OR(M6="",T6=""),"",T6-M6)</f>
        <v/>
      </c>
      <c r="X6">
        <f>IF(V6="","No","Yes")</f>
        <v/>
      </c>
    </row>
    <row r="7">
      <c r="A7" s="7" t="inlineStr">
        <is>
          <t>MD-00003</t>
        </is>
      </c>
      <c r="B7" s="7">
        <f>IFERROR(XLOOKUP(A7,'Source Inventory'!$A$5:$A$200,'Source Inventory'!$B$5:$B$200),"")</f>
        <v/>
      </c>
      <c r="C7" s="7">
        <f>IFERROR(XLOOKUP(A7,'Source Inventory'!$A$5:$A$200,'Source Inventory'!$C$5:$C$200),"")</f>
        <v/>
      </c>
      <c r="D7" s="7">
        <f>IFERROR(XLOOKUP(A7,'Source Inventory'!$A$5:$A$200,'Source Inventory'!$D$5:$D$200),"")</f>
        <v/>
      </c>
      <c r="E7" s="7">
        <f>IFERROR(XLOOKUP(A7,'Source Inventory'!$A$5:$A$200,'Source Inventory'!$E$5:$E$200),"")</f>
        <v/>
      </c>
      <c r="F7" s="7">
        <f>IFERROR(XLOOKUP(A7,'Source Inventory'!$A$5:$A$200,'Source Inventory'!$F$5:$F$200),"")</f>
        <v/>
      </c>
      <c r="G7" s="7">
        <f>IFERROR(XLOOKUP(A7,'Source Inventory'!$A$5:$A$200,'Source Inventory'!$G$5:$G$200),"")</f>
        <v/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PO-2022-0001 and FA-000003 both cite MD-00003 (Lenovo ThinkPad X1 Carbon); register basis $1,085. HR row shows Elena Kovacs (E0003) as Active. transfer TR-00003 dated Mar 31, 2026, received 2026-04-03, APR-00003.</t>
        </is>
      </c>
      <c r="L7" s="7" t="inlineStr">
        <is>
          <t>2026-08-05</t>
        </is>
      </c>
      <c r="M7" s="7">
        <f>IFERROR(XLOOKUP(A7,'Source Inventory'!$A$5:$A$200,'Source Inventory'!$H$5:$H$200),"")</f>
        <v/>
      </c>
      <c r="N7" s="7" t="n">
        <v>597.83</v>
      </c>
      <c r="O7" s="7">
        <f>IFERROR(XLOOKUP(A7,'Source Ledger'!$B$5:$B$200,'Source Ledger'!$A$5:$A$200),"")</f>
        <v/>
      </c>
      <c r="P7" s="7">
        <f>IFERROR(XLOOKUP(A7,'Source Ledger'!$B$5:$B$200,'Source Ledger'!$D$5:$D$200),"")</f>
        <v/>
      </c>
      <c r="Q7" s="9" t="inlineStr">
        <is>
          <t>High</t>
        </is>
      </c>
      <c r="R7" s="7" t="inlineStr"/>
      <c r="S7" s="7">
        <f>IF(OR(R7="",R7=0),"No","Yes")</f>
        <v/>
      </c>
      <c r="T7">
        <f>IFERROR(XLOOKUP(A7,'Source Ledger'!$B$5:$B$200,'Source Ledger'!$E$5:$E$200),"")</f>
        <v/>
      </c>
      <c r="U7">
        <f>IFERROR(XLOOKUP(A7,'Source Ledger'!$B$5:$B$200,'Source Ledger'!$H$5:$H$200),"")</f>
        <v/>
      </c>
      <c r="V7">
        <f>IFERROR(XLOOKUP(A7,'Source Ledger'!$B$5:$B$200,'Source Ledger'!$G$5:$G$200),"")</f>
        <v/>
      </c>
      <c r="W7">
        <f>IF(OR(M7="",T7=""),"",T7-M7)</f>
        <v/>
      </c>
      <c r="X7">
        <f>IF(V7="","No","Yes")</f>
        <v/>
      </c>
    </row>
    <row r="8">
      <c r="A8" s="7" t="inlineStr">
        <is>
          <t>MD-00004</t>
        </is>
      </c>
      <c r="B8" s="7">
        <f>IFERROR(XLOOKUP(A8,'Source Inventory'!$A$5:$A$200,'Source Inventory'!$B$5:$B$200),"")</f>
        <v/>
      </c>
      <c r="C8" s="7">
        <f>IFERROR(XLOOKUP(A8,'Source Inventory'!$A$5:$A$200,'Source Inventory'!$C$5:$C$200),"")</f>
        <v/>
      </c>
      <c r="D8" s="7">
        <f>IFERROR(XLOOKUP(A8,'Source Inventory'!$A$5:$A$200,'Source Inventory'!$D$5:$D$200),"")</f>
        <v/>
      </c>
      <c r="E8" s="7">
        <f>IFERROR(XLOOKUP(A8,'Source Inventory'!$A$5:$A$200,'Source Inventory'!$E$5:$E$200),"")</f>
        <v/>
      </c>
      <c r="F8" s="7">
        <f>IFERROR(XLOOKUP(A8,'Source Inventory'!$A$5:$A$200,'Source Inventory'!$F$5:$F$200),"")</f>
        <v/>
      </c>
      <c r="G8" s="7">
        <f>IFERROR(XLOOKUP(A8,'Source Inventory'!$A$5:$A$200,'Source Inventory'!$G$5:$G$200),"")</f>
        <v/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PO-2023-0002 and FA-000004 both cite MD-00004 (Lenovo ThinkPad T14); register basis $6,380. HR row shows James Whitaker (E0004) as Active. transfer TR-00004 dated May 01, 2026, received 2026-05-01, APR-00004.</t>
        </is>
      </c>
      <c r="L8" s="7" t="inlineStr">
        <is>
          <t>2026-08-05</t>
        </is>
      </c>
      <c r="M8" s="7">
        <f>IFERROR(XLOOKUP(A8,'Source Inventory'!$A$5:$A$200,'Source Inventory'!$H$5:$H$200),"")</f>
        <v/>
      </c>
      <c r="N8" s="7" t="n">
        <v>940.62</v>
      </c>
      <c r="O8" s="7">
        <f>IFERROR(XLOOKUP(A8,'Source Ledger'!$B$5:$B$200,'Source Ledger'!$A$5:$A$200),"")</f>
        <v/>
      </c>
      <c r="P8" s="7">
        <f>IFERROR(XLOOKUP(A8,'Source Ledger'!$B$5:$B$200,'Source Ledger'!$D$5:$D$200),"")</f>
        <v/>
      </c>
      <c r="Q8" s="9" t="inlineStr">
        <is>
          <t>High</t>
        </is>
      </c>
      <c r="R8" s="7" t="inlineStr"/>
      <c r="S8" s="7">
        <f>IF(OR(R8="",R8=0),"No","Yes")</f>
        <v/>
      </c>
      <c r="T8">
        <f>IFERROR(XLOOKUP(A8,'Source Ledger'!$B$5:$B$200,'Source Ledger'!$E$5:$E$200),"")</f>
        <v/>
      </c>
      <c r="U8">
        <f>IFERROR(XLOOKUP(A8,'Source Ledger'!$B$5:$B$200,'Source Ledger'!$H$5:$H$200),"")</f>
        <v/>
      </c>
      <c r="V8">
        <f>IFERROR(XLOOKUP(A8,'Source Ledger'!$B$5:$B$200,'Source Ledger'!$G$5:$G$200),"")</f>
        <v/>
      </c>
      <c r="W8">
        <f>IF(OR(M8="",T8=""),"",T8-M8)</f>
        <v/>
      </c>
      <c r="X8">
        <f>IF(V8="","No","Yes")</f>
        <v/>
      </c>
    </row>
    <row r="9">
      <c r="A9" s="7" t="inlineStr">
        <is>
          <t>MD-00005</t>
        </is>
      </c>
      <c r="B9" s="7">
        <f>IFERROR(XLOOKUP(A9,'Source Inventory'!$A$5:$A$200,'Source Inventory'!$B$5:$B$200),"")</f>
        <v/>
      </c>
      <c r="C9" s="7">
        <f>IFERROR(XLOOKUP(A9,'Source Inventory'!$A$5:$A$200,'Source Inventory'!$C$5:$C$200),"")</f>
        <v/>
      </c>
      <c r="D9" s="7">
        <f>IFERROR(XLOOKUP(A9,'Source Inventory'!$A$5:$A$200,'Source Inventory'!$D$5:$D$200),"")</f>
        <v/>
      </c>
      <c r="E9" s="7">
        <f>IFERROR(XLOOKUP(A9,'Source Inventory'!$A$5:$A$200,'Source Inventory'!$E$5:$E$200),"")</f>
        <v/>
      </c>
      <c r="F9" s="7">
        <f>IFERROR(XLOOKUP(A9,'Source Inventory'!$A$5:$A$200,'Source Inventory'!$F$5:$F$200),"")</f>
        <v/>
      </c>
      <c r="G9" s="7">
        <f>IFERROR(XLOOKUP(A9,'Source Inventory'!$A$5:$A$200,'Source Inventory'!$G$5:$G$200),"")</f>
        <v/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PO-2023-0002 and FA-000005 both cite MD-00005 (MacBook Pro 14); register basis $2,075. transfer TR-00005 dated Jun 05, 2026, received 2026-06-08, APR-00005. HR row shows Aisha Rahman (E0005) as Active.</t>
        </is>
      </c>
      <c r="L9" s="7" t="inlineStr">
        <is>
          <t>2026-08-05</t>
        </is>
      </c>
      <c r="M9" s="7">
        <f>IFERROR(XLOOKUP(A9,'Source Inventory'!$A$5:$A$200,'Source Inventory'!$H$5:$H$200),"")</f>
        <v/>
      </c>
      <c r="N9" s="7" t="n">
        <v>0</v>
      </c>
      <c r="O9" s="7">
        <f>IFERROR(XLOOKUP(A9,'Source Ledger'!$B$5:$B$200,'Source Ledger'!$A$5:$A$200),"")</f>
        <v/>
      </c>
      <c r="P9" s="7">
        <f>IFERROR(XLOOKUP(A9,'Source Ledger'!$B$5:$B$200,'Source Ledger'!$D$5:$D$200),"")</f>
        <v/>
      </c>
      <c r="Q9" s="9" t="inlineStr">
        <is>
          <t>High</t>
        </is>
      </c>
      <c r="R9" s="7" t="inlineStr"/>
      <c r="S9" s="7">
        <f>IF(OR(R9="",R9=0),"No","Yes")</f>
        <v/>
      </c>
      <c r="T9">
        <f>IFERROR(XLOOKUP(A9,'Source Ledger'!$B$5:$B$200,'Source Ledger'!$E$5:$E$200),"")</f>
        <v/>
      </c>
      <c r="U9">
        <f>IFERROR(XLOOKUP(A9,'Source Ledger'!$B$5:$B$200,'Source Ledger'!$H$5:$H$200),"")</f>
        <v/>
      </c>
      <c r="V9">
        <f>IFERROR(XLOOKUP(A9,'Source Ledger'!$B$5:$B$200,'Source Ledger'!$G$5:$G$200),"")</f>
        <v/>
      </c>
      <c r="W9">
        <f>IF(OR(M9="",T9=""),"",T9-M9)</f>
        <v/>
      </c>
      <c r="X9">
        <f>IF(V9="","No","Yes")</f>
        <v/>
      </c>
    </row>
    <row r="10">
      <c r="A10" s="7" t="inlineStr">
        <is>
          <t>MD-00006</t>
        </is>
      </c>
      <c r="B10" s="7">
        <f>IFERROR(XLOOKUP(A10,'Source Inventory'!$A$5:$A$200,'Source Inventory'!$B$5:$B$200),"")</f>
        <v/>
      </c>
      <c r="C10" s="7">
        <f>IFERROR(XLOOKUP(A10,'Source Inventory'!$A$5:$A$200,'Source Inventory'!$C$5:$C$200),"")</f>
        <v/>
      </c>
      <c r="D10" s="7">
        <f>IFERROR(XLOOKUP(A10,'Source Inventory'!$A$5:$A$200,'Source Inventory'!$D$5:$D$200),"")</f>
        <v/>
      </c>
      <c r="E10" s="7">
        <f>IFERROR(XLOOKUP(A10,'Source Inventory'!$A$5:$A$200,'Source Inventory'!$E$5:$E$200),"")</f>
        <v/>
      </c>
      <c r="F10" s="7">
        <f>IFERROR(XLOOKUP(A10,'Source Inventory'!$A$5:$A$200,'Source Inventory'!$F$5:$F$200),"")</f>
        <v/>
      </c>
      <c r="G10" s="7">
        <f>IFERROR(XLOOKUP(A10,'Source Inventory'!$A$5:$A$200,'Source Inventory'!$G$5:$G$200),"")</f>
        <v/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FA-000006 carries NBV $459.94 for MD-00006; operating status In Use at Atlanta. purchasing extract lists PO-2023-0002. transfer TR-00006 dated Jan 10, 2026, received 2026-01-12, APR-00006. HR row shows Colin Bergstrom (E0006) as Active.</t>
        </is>
      </c>
      <c r="L10" s="7" t="inlineStr">
        <is>
          <t>2026-08-05</t>
        </is>
      </c>
      <c r="M10" s="7">
        <f>IFERROR(XLOOKUP(A10,'Source Inventory'!$A$5:$A$200,'Source Inventory'!$H$5:$H$200),"")</f>
        <v/>
      </c>
      <c r="N10" s="7" t="n">
        <v>459.94</v>
      </c>
      <c r="O10" s="7">
        <f>IFERROR(XLOOKUP(A10,'Source Ledger'!$B$5:$B$200,'Source Ledger'!$A$5:$A$200),"")</f>
        <v/>
      </c>
      <c r="P10" s="7">
        <f>IFERROR(XLOOKUP(A10,'Source Ledger'!$B$5:$B$200,'Source Ledger'!$D$5:$D$200),"")</f>
        <v/>
      </c>
      <c r="Q10" s="9" t="inlineStr">
        <is>
          <t>High</t>
        </is>
      </c>
      <c r="R10" s="7" t="inlineStr"/>
      <c r="S10" s="7">
        <f>IF(OR(R10="",R10=0),"No","Yes")</f>
        <v/>
      </c>
      <c r="T10">
        <f>IFERROR(XLOOKUP(A10,'Source Ledger'!$B$5:$B$200,'Source Ledger'!$E$5:$E$200),"")</f>
        <v/>
      </c>
      <c r="U10">
        <f>IFERROR(XLOOKUP(A10,'Source Ledger'!$B$5:$B$200,'Source Ledger'!$H$5:$H$200),"")</f>
        <v/>
      </c>
      <c r="V10">
        <f>IFERROR(XLOOKUP(A10,'Source Ledger'!$B$5:$B$200,'Source Ledger'!$G$5:$G$200),"")</f>
        <v/>
      </c>
      <c r="W10">
        <f>IF(OR(M10="",T10=""),"",T10-M10)</f>
        <v/>
      </c>
      <c r="X10">
        <f>IF(V10="","No","Yes")</f>
        <v/>
      </c>
    </row>
    <row r="11">
      <c r="A11" s="7" t="inlineStr">
        <is>
          <t>MD-00007</t>
        </is>
      </c>
      <c r="B11" s="7">
        <f>IFERROR(XLOOKUP(A11,'Source Inventory'!$A$5:$A$200,'Source Inventory'!$B$5:$B$200),"")</f>
        <v/>
      </c>
      <c r="C11" s="7">
        <f>IFERROR(XLOOKUP(A11,'Source Inventory'!$A$5:$A$200,'Source Inventory'!$C$5:$C$200),"")</f>
        <v/>
      </c>
      <c r="D11" s="7">
        <f>IFERROR(XLOOKUP(A11,'Source Inventory'!$A$5:$A$200,'Source Inventory'!$D$5:$D$200),"")</f>
        <v/>
      </c>
      <c r="E11" s="7">
        <f>IFERROR(XLOOKUP(A11,'Source Inventory'!$A$5:$A$200,'Source Inventory'!$E$5:$E$200),"")</f>
        <v/>
      </c>
      <c r="F11" s="7">
        <f>IFERROR(XLOOKUP(A11,'Source Inventory'!$A$5:$A$200,'Source Inventory'!$F$5:$F$200),"")</f>
        <v/>
      </c>
      <c r="G11" s="7">
        <f>IFERROR(XLOOKUP(A11,'Source Inventory'!$A$5:$A$200,'Source Inventory'!$G$5:$G$200),"")</f>
        <v/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MD-00007 custodian Sofia Alvarez (E0007) is Active in hr_employee_status; site Chicago, status In Use. buy path PO-2023-0002. ledger FA-000007 NBV $632.68. transfer TR-00007 dated Feb 11, 2026, received 2026-02-17, APR-00007.</t>
        </is>
      </c>
      <c r="L11" s="7" t="inlineStr">
        <is>
          <t>2026-08-05</t>
        </is>
      </c>
      <c r="M11" s="7">
        <f>IFERROR(XLOOKUP(A11,'Source Inventory'!$A$5:$A$200,'Source Inventory'!$H$5:$H$200),"")</f>
        <v/>
      </c>
      <c r="N11" s="7" t="n">
        <v>632.68</v>
      </c>
      <c r="O11" s="7">
        <f>IFERROR(XLOOKUP(A11,'Source Ledger'!$B$5:$B$200,'Source Ledger'!$A$5:$A$200),"")</f>
        <v/>
      </c>
      <c r="P11" s="7">
        <f>IFERROR(XLOOKUP(A11,'Source Ledger'!$B$5:$B$200,'Source Ledger'!$D$5:$D$200),"")</f>
        <v/>
      </c>
      <c r="Q11" s="9" t="inlineStr">
        <is>
          <t>High</t>
        </is>
      </c>
      <c r="R11" s="7" t="inlineStr"/>
      <c r="S11" s="7">
        <f>IF(OR(R11="",R11=0),"No","Yes")</f>
        <v/>
      </c>
      <c r="T11">
        <f>IFERROR(XLOOKUP(A11,'Source Ledger'!$B$5:$B$200,'Source Ledger'!$E$5:$E$200),"")</f>
        <v/>
      </c>
      <c r="U11">
        <f>IFERROR(XLOOKUP(A11,'Source Ledger'!$B$5:$B$200,'Source Ledger'!$H$5:$H$200),"")</f>
        <v/>
      </c>
      <c r="V11">
        <f>IFERROR(XLOOKUP(A11,'Source Ledger'!$B$5:$B$200,'Source Ledger'!$G$5:$G$200),"")</f>
        <v/>
      </c>
      <c r="W11">
        <f>IF(OR(M11="",T11=""),"",T11-M11)</f>
        <v/>
      </c>
      <c r="X11">
        <f>IF(V11="","No","Yes")</f>
        <v/>
      </c>
    </row>
    <row r="12">
      <c r="A12" s="7" t="inlineStr">
        <is>
          <t>MD-00008</t>
        </is>
      </c>
      <c r="B12" s="7">
        <f>IFERROR(XLOOKUP(A12,'Source Inventory'!$A$5:$A$200,'Source Inventory'!$B$5:$B$200),"")</f>
        <v/>
      </c>
      <c r="C12" s="7">
        <f>IFERROR(XLOOKUP(A12,'Source Inventory'!$A$5:$A$200,'Source Inventory'!$C$5:$C$200),"")</f>
        <v/>
      </c>
      <c r="D12" s="7">
        <f>IFERROR(XLOOKUP(A12,'Source Inventory'!$A$5:$A$200,'Source Inventory'!$D$5:$D$200),"")</f>
        <v/>
      </c>
      <c r="E12" s="7">
        <f>IFERROR(XLOOKUP(A12,'Source Inventory'!$A$5:$A$200,'Source Inventory'!$E$5:$E$200),"")</f>
        <v/>
      </c>
      <c r="F12" s="7">
        <f>IFERROR(XLOOKUP(A12,'Source Inventory'!$A$5:$A$200,'Source Inventory'!$F$5:$F$200),"")</f>
        <v/>
      </c>
      <c r="G12" s="7">
        <f>IFERROR(XLOOKUP(A12,'Source Inventory'!$A$5:$A$200,'Source Inventory'!$G$5:$G$200),"")</f>
        <v/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MD-00008 / MD-NE-050008: Samsung ViewFinity S8 at Dallas marked In Use; acquisition $6,245. ledger FA-000008 NBV $1,355.01. transfer TR-00008 dated Mar 16, 2026, received 2026-03-19, APR-00008. HR row shows Derek Nguyen (E0008) as Active. buy path PO-2023-0002.</t>
        </is>
      </c>
      <c r="L12" s="7" t="inlineStr">
        <is>
          <t>2026-08-05</t>
        </is>
      </c>
      <c r="M12" s="7">
        <f>IFERROR(XLOOKUP(A12,'Source Inventory'!$A$5:$A$200,'Source Inventory'!$H$5:$H$200),"")</f>
        <v/>
      </c>
      <c r="N12" s="7" t="n">
        <v>1355.01</v>
      </c>
      <c r="O12" s="7">
        <f>IFERROR(XLOOKUP(A12,'Source Ledger'!$B$5:$B$200,'Source Ledger'!$A$5:$A$200),"")</f>
        <v/>
      </c>
      <c r="P12" s="7">
        <f>IFERROR(XLOOKUP(A12,'Source Ledger'!$B$5:$B$200,'Source Ledger'!$D$5:$D$200),"")</f>
        <v/>
      </c>
      <c r="Q12" s="9" t="inlineStr">
        <is>
          <t>High</t>
        </is>
      </c>
      <c r="R12" s="7" t="inlineStr"/>
      <c r="S12" s="7">
        <f>IF(OR(R12="",R12=0),"No","Yes")</f>
        <v/>
      </c>
      <c r="T12">
        <f>IFERROR(XLOOKUP(A12,'Source Ledger'!$B$5:$B$200,'Source Ledger'!$E$5:$E$200),"")</f>
        <v/>
      </c>
      <c r="U12">
        <f>IFERROR(XLOOKUP(A12,'Source Ledger'!$B$5:$B$200,'Source Ledger'!$H$5:$H$200),"")</f>
        <v/>
      </c>
      <c r="V12">
        <f>IFERROR(XLOOKUP(A12,'Source Ledger'!$B$5:$B$200,'Source Ledger'!$G$5:$G$200),"")</f>
        <v/>
      </c>
      <c r="W12">
        <f>IF(OR(M12="",T12=""),"",T12-M12)</f>
        <v/>
      </c>
      <c r="X12">
        <f>IF(V12="","No","Yes")</f>
        <v/>
      </c>
    </row>
    <row r="13">
      <c r="A13" s="7" t="inlineStr">
        <is>
          <t>MD-00009</t>
        </is>
      </c>
      <c r="B13" s="7">
        <f>IFERROR(XLOOKUP(A13,'Source Inventory'!$A$5:$A$200,'Source Inventory'!$B$5:$B$200),"")</f>
        <v/>
      </c>
      <c r="C13" s="7">
        <f>IFERROR(XLOOKUP(A13,'Source Inventory'!$A$5:$A$200,'Source Inventory'!$C$5:$C$200),"")</f>
        <v/>
      </c>
      <c r="D13" s="7">
        <f>IFERROR(XLOOKUP(A13,'Source Inventory'!$A$5:$A$200,'Source Inventory'!$D$5:$D$200),"")</f>
        <v/>
      </c>
      <c r="E13" s="7">
        <f>IFERROR(XLOOKUP(A13,'Source Inventory'!$A$5:$A$200,'Source Inventory'!$E$5:$E$200),"")</f>
        <v/>
      </c>
      <c r="F13" s="7">
        <f>IFERROR(XLOOKUP(A13,'Source Inventory'!$A$5:$A$200,'Source Inventory'!$F$5:$F$200),"")</f>
        <v/>
      </c>
      <c r="G13" s="7">
        <f>IFERROR(XLOOKUP(A13,'Source Inventory'!$A$5:$A$200,'Source Inventory'!$G$5:$G$200),"")</f>
        <v/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FA-000009 carries NBV $109.33 for MD-00009; operating status In Use at Denver. transfer TR-00009 dated Apr 20, 2026, received 2026-04-21, APR-00009. HR row shows Hannah Cole (E0009) as Active. purchasing extract lists PO-2024-0003.</t>
        </is>
      </c>
      <c r="L13" s="7" t="inlineStr">
        <is>
          <t>2026-08-05</t>
        </is>
      </c>
      <c r="M13" s="7">
        <f>IFERROR(XLOOKUP(A13,'Source Inventory'!$A$5:$A$200,'Source Inventory'!$H$5:$H$200),"")</f>
        <v/>
      </c>
      <c r="N13" s="7" t="n">
        <v>109.33</v>
      </c>
      <c r="O13" s="7">
        <f>IFERROR(XLOOKUP(A13,'Source Ledger'!$B$5:$B$200,'Source Ledger'!$A$5:$A$200),"")</f>
        <v/>
      </c>
      <c r="P13" s="7">
        <f>IFERROR(XLOOKUP(A13,'Source Ledger'!$B$5:$B$200,'Source Ledger'!$D$5:$D$200),"")</f>
        <v/>
      </c>
      <c r="Q13" s="9" t="inlineStr">
        <is>
          <t>High</t>
        </is>
      </c>
      <c r="R13" s="7" t="inlineStr"/>
      <c r="S13" s="7">
        <f>IF(OR(R13="",R13=0),"No","Yes")</f>
        <v/>
      </c>
      <c r="T13">
        <f>IFERROR(XLOOKUP(A13,'Source Ledger'!$B$5:$B$200,'Source Ledger'!$E$5:$E$200),"")</f>
        <v/>
      </c>
      <c r="U13">
        <f>IFERROR(XLOOKUP(A13,'Source Ledger'!$B$5:$B$200,'Source Ledger'!$H$5:$H$200),"")</f>
        <v/>
      </c>
      <c r="V13">
        <f>IFERROR(XLOOKUP(A13,'Source Ledger'!$B$5:$B$200,'Source Ledger'!$G$5:$G$200),"")</f>
        <v/>
      </c>
      <c r="W13">
        <f>IF(OR(M13="",T13=""),"",T13-M13)</f>
        <v/>
      </c>
      <c r="X13">
        <f>IF(V13="","No","Yes")</f>
        <v/>
      </c>
    </row>
    <row r="14">
      <c r="A14" s="7" t="inlineStr">
        <is>
          <t>MD-00010</t>
        </is>
      </c>
      <c r="B14" s="7">
        <f>IFERROR(XLOOKUP(A14,'Source Inventory'!$A$5:$A$200,'Source Inventory'!$B$5:$B$200),"")</f>
        <v/>
      </c>
      <c r="C14" s="7">
        <f>IFERROR(XLOOKUP(A14,'Source Inventory'!$A$5:$A$200,'Source Inventory'!$C$5:$C$200),"")</f>
        <v/>
      </c>
      <c r="D14" s="7">
        <f>IFERROR(XLOOKUP(A14,'Source Inventory'!$A$5:$A$200,'Source Inventory'!$D$5:$D$200),"")</f>
        <v/>
      </c>
      <c r="E14" s="7">
        <f>IFERROR(XLOOKUP(A14,'Source Inventory'!$A$5:$A$200,'Source Inventory'!$E$5:$E$200),"")</f>
        <v/>
      </c>
      <c r="F14" s="7">
        <f>IFERROR(XLOOKUP(A14,'Source Inventory'!$A$5:$A$200,'Source Inventory'!$F$5:$F$200),"")</f>
        <v/>
      </c>
      <c r="G14" s="7">
        <f>IFERROR(XLOOKUP(A14,'Source Inventory'!$A$5:$A$200,'Source Inventory'!$G$5:$G$200),"")</f>
        <v/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MD-00010 / MD-MO-050010: Dell U2723QE at New York marked In Use; acquisition $655. transfer TR-00010 dated May 22, 2026, received 2026-05-28, APR-00010. ledger FA-000010 NBV $426.89. buy path PO-2024-0003. HR row shows Owen Patel (E0010) as Active.</t>
        </is>
      </c>
      <c r="L14" s="7" t="inlineStr">
        <is>
          <t>2026-08-05</t>
        </is>
      </c>
      <c r="M14" s="7">
        <f>IFERROR(XLOOKUP(A14,'Source Inventory'!$A$5:$A$200,'Source Inventory'!$H$5:$H$200),"")</f>
        <v/>
      </c>
      <c r="N14" s="7" t="n">
        <v>426.89</v>
      </c>
      <c r="O14" s="7">
        <f>IFERROR(XLOOKUP(A14,'Source Ledger'!$B$5:$B$200,'Source Ledger'!$A$5:$A$200),"")</f>
        <v/>
      </c>
      <c r="P14" s="7">
        <f>IFERROR(XLOOKUP(A14,'Source Ledger'!$B$5:$B$200,'Source Ledger'!$D$5:$D$200),"")</f>
        <v/>
      </c>
      <c r="Q14" s="9" t="inlineStr">
        <is>
          <t>High</t>
        </is>
      </c>
      <c r="R14" s="7" t="inlineStr"/>
      <c r="S14" s="7">
        <f>IF(OR(R14="",R14=0),"No","Yes")</f>
        <v/>
      </c>
      <c r="T14">
        <f>IFERROR(XLOOKUP(A14,'Source Ledger'!$B$5:$B$200,'Source Ledger'!$E$5:$E$200),"")</f>
        <v/>
      </c>
      <c r="U14">
        <f>IFERROR(XLOOKUP(A14,'Source Ledger'!$B$5:$B$200,'Source Ledger'!$H$5:$H$200),"")</f>
        <v/>
      </c>
      <c r="V14">
        <f>IFERROR(XLOOKUP(A14,'Source Ledger'!$B$5:$B$200,'Source Ledger'!$G$5:$G$200),"")</f>
        <v/>
      </c>
      <c r="W14">
        <f>IF(OR(M14="",T14=""),"",T14-M14)</f>
        <v/>
      </c>
      <c r="X14">
        <f>IF(V14="","No","Yes")</f>
        <v/>
      </c>
    </row>
    <row r="15">
      <c r="A15" s="7" t="inlineStr">
        <is>
          <t>MD-00011</t>
        </is>
      </c>
      <c r="B15" s="7">
        <f>IFERROR(XLOOKUP(A15,'Source Inventory'!$A$5:$A$200,'Source Inventory'!$B$5:$B$200),"")</f>
        <v/>
      </c>
      <c r="C15" s="7">
        <f>IFERROR(XLOOKUP(A15,'Source Inventory'!$A$5:$A$200,'Source Inventory'!$C$5:$C$200),"")</f>
        <v/>
      </c>
      <c r="D15" s="7">
        <f>IFERROR(XLOOKUP(A15,'Source Inventory'!$A$5:$A$200,'Source Inventory'!$D$5:$D$200),"")</f>
        <v/>
      </c>
      <c r="E15" s="7">
        <f>IFERROR(XLOOKUP(A15,'Source Inventory'!$A$5:$A$200,'Source Inventory'!$E$5:$E$200),"")</f>
        <v/>
      </c>
      <c r="F15" s="7">
        <f>IFERROR(XLOOKUP(A15,'Source Inventory'!$A$5:$A$200,'Source Inventory'!$F$5:$F$200),"")</f>
        <v/>
      </c>
      <c r="G15" s="7">
        <f>IFERROR(XLOOKUP(A15,'Source Inventory'!$A$5:$A$200,'Source Inventory'!$G$5:$G$200),"")</f>
        <v/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PO-2024-0003 and FA-000011 both cite MD-00011 (LG UltraFine 27MD5KL); register basis $1,130. transfer TR-00011 dated Jun 26, 2026, received 2026-06-28, APR-00011. HR row shows Maya Fontaine (E0011) as Active.</t>
        </is>
      </c>
      <c r="L15" s="7" t="inlineStr">
        <is>
          <t>2026-08-05</t>
        </is>
      </c>
      <c r="M15" s="7">
        <f>IFERROR(XLOOKUP(A15,'Source Inventory'!$A$5:$A$200,'Source Inventory'!$H$5:$H$200),"")</f>
        <v/>
      </c>
      <c r="N15" s="7" t="n">
        <v>882.5</v>
      </c>
      <c r="O15" s="7">
        <f>IFERROR(XLOOKUP(A15,'Source Ledger'!$B$5:$B$200,'Source Ledger'!$A$5:$A$200),"")</f>
        <v/>
      </c>
      <c r="P15" s="7">
        <f>IFERROR(XLOOKUP(A15,'Source Ledger'!$B$5:$B$200,'Source Ledger'!$D$5:$D$200),"")</f>
        <v/>
      </c>
      <c r="Q15" s="9" t="inlineStr">
        <is>
          <t>High</t>
        </is>
      </c>
      <c r="R15" s="7" t="inlineStr"/>
      <c r="S15" s="7">
        <f>IF(OR(R15="",R15=0),"No","Yes")</f>
        <v/>
      </c>
      <c r="T15">
        <f>IFERROR(XLOOKUP(A15,'Source Ledger'!$B$5:$B$200,'Source Ledger'!$E$5:$E$200),"")</f>
        <v/>
      </c>
      <c r="U15">
        <f>IFERROR(XLOOKUP(A15,'Source Ledger'!$B$5:$B$200,'Source Ledger'!$H$5:$H$200),"")</f>
        <v/>
      </c>
      <c r="V15">
        <f>IFERROR(XLOOKUP(A15,'Source Ledger'!$B$5:$B$200,'Source Ledger'!$G$5:$G$200),"")</f>
        <v/>
      </c>
      <c r="W15">
        <f>IF(OR(M15="",T15=""),"",T15-M15)</f>
        <v/>
      </c>
      <c r="X15">
        <f>IF(V15="","No","Yes")</f>
        <v/>
      </c>
    </row>
    <row r="16">
      <c r="A16" s="7" t="inlineStr">
        <is>
          <t>MD-00012</t>
        </is>
      </c>
      <c r="B16" s="7">
        <f>IFERROR(XLOOKUP(A16,'Source Inventory'!$A$5:$A$200,'Source Inventory'!$B$5:$B$200),"")</f>
        <v/>
      </c>
      <c r="C16" s="7">
        <f>IFERROR(XLOOKUP(A16,'Source Inventory'!$A$5:$A$200,'Source Inventory'!$C$5:$C$200),"")</f>
        <v/>
      </c>
      <c r="D16" s="7">
        <f>IFERROR(XLOOKUP(A16,'Source Inventory'!$A$5:$A$200,'Source Inventory'!$D$5:$D$200),"")</f>
        <v/>
      </c>
      <c r="E16" s="7">
        <f>IFERROR(XLOOKUP(A16,'Source Inventory'!$A$5:$A$200,'Source Inventory'!$E$5:$E$200),"")</f>
        <v/>
      </c>
      <c r="F16" s="7">
        <f>IFERROR(XLOOKUP(A16,'Source Inventory'!$A$5:$A$200,'Source Inventory'!$F$5:$F$200),"")</f>
        <v/>
      </c>
      <c r="G16" s="7">
        <f>IFERROR(XLOOKUP(A16,'Source Inventory'!$A$5:$A$200,'Source Inventory'!$G$5:$G$200),"")</f>
        <v/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TR-00012 moved MD-00012 (MD-NE-050012); inbound 2026-01-31; now In Use / Atlanta. ledger FA-000012 NBV $553.23. buy path PO-2024-0003. HR row shows Ryan Okonkwo (E0012) as Active.</t>
        </is>
      </c>
      <c r="L16" s="7" t="inlineStr">
        <is>
          <t>2026-08-05</t>
        </is>
      </c>
      <c r="M16" s="7">
        <f>IFERROR(XLOOKUP(A16,'Source Inventory'!$A$5:$A$200,'Source Inventory'!$H$5:$H$200),"")</f>
        <v/>
      </c>
      <c r="N16" s="7" t="n">
        <v>553.23</v>
      </c>
      <c r="O16" s="7">
        <f>IFERROR(XLOOKUP(A16,'Source Ledger'!$B$5:$B$200,'Source Ledger'!$A$5:$A$200),"")</f>
        <v/>
      </c>
      <c r="P16" s="7">
        <f>IFERROR(XLOOKUP(A16,'Source Ledger'!$B$5:$B$200,'Source Ledger'!$D$5:$D$200),"")</f>
        <v/>
      </c>
      <c r="Q16" s="9" t="inlineStr">
        <is>
          <t>High</t>
        </is>
      </c>
      <c r="R16" s="7" t="inlineStr"/>
      <c r="S16" s="7">
        <f>IF(OR(R16="",R16=0),"No","Yes")</f>
        <v/>
      </c>
      <c r="T16">
        <f>IFERROR(XLOOKUP(A16,'Source Ledger'!$B$5:$B$200,'Source Ledger'!$E$5:$E$200),"")</f>
        <v/>
      </c>
      <c r="U16">
        <f>IFERROR(XLOOKUP(A16,'Source Ledger'!$B$5:$B$200,'Source Ledger'!$H$5:$H$200),"")</f>
        <v/>
      </c>
      <c r="V16">
        <f>IFERROR(XLOOKUP(A16,'Source Ledger'!$B$5:$B$200,'Source Ledger'!$G$5:$G$200),"")</f>
        <v/>
      </c>
      <c r="W16">
        <f>IF(OR(M16="",T16=""),"",T16-M16)</f>
        <v/>
      </c>
      <c r="X16">
        <f>IF(V16="","No","Yes")</f>
        <v/>
      </c>
    </row>
    <row r="17">
      <c r="A17" s="7" t="inlineStr">
        <is>
          <t>MD-00013</t>
        </is>
      </c>
      <c r="B17" s="7">
        <f>IFERROR(XLOOKUP(A17,'Source Inventory'!$A$5:$A$200,'Source Inventory'!$B$5:$B$200),"")</f>
        <v/>
      </c>
      <c r="C17" s="7">
        <f>IFERROR(XLOOKUP(A17,'Source Inventory'!$A$5:$A$200,'Source Inventory'!$C$5:$C$200),"")</f>
        <v/>
      </c>
      <c r="D17" s="7">
        <f>IFERROR(XLOOKUP(A17,'Source Inventory'!$A$5:$A$200,'Source Inventory'!$D$5:$D$200),"")</f>
        <v/>
      </c>
      <c r="E17" s="7">
        <f>IFERROR(XLOOKUP(A17,'Source Inventory'!$A$5:$A$200,'Source Inventory'!$E$5:$E$200),"")</f>
        <v/>
      </c>
      <c r="F17" s="7">
        <f>IFERROR(XLOOKUP(A17,'Source Inventory'!$A$5:$A$200,'Source Inventory'!$F$5:$F$200),"")</f>
        <v/>
      </c>
      <c r="G17" s="7">
        <f>IFERROR(XLOOKUP(A17,'Source Inventory'!$A$5:$A$200,'Source Inventory'!$G$5:$G$200),"")</f>
        <v/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MD-00013 / MD-LA-050013: BenQ PD2705U at Chicago marked In Use; acquisition $2,120. transfer TR-00013 dated Feb 02, 2026, received 2026-02-06, APR-00013. ledger FA-000013 NBV $0. buy path PO-2024-0003. HR row shows Lauren Briggs (E0013) as Active.</t>
        </is>
      </c>
      <c r="L17" s="7" t="inlineStr">
        <is>
          <t>2026-08-05</t>
        </is>
      </c>
      <c r="M17" s="7">
        <f>IFERROR(XLOOKUP(A17,'Source Inventory'!$A$5:$A$200,'Source Inventory'!$H$5:$H$200),"")</f>
        <v/>
      </c>
      <c r="N17" s="7" t="n">
        <v>0</v>
      </c>
      <c r="O17" s="7">
        <f>IFERROR(XLOOKUP(A17,'Source Ledger'!$B$5:$B$200,'Source Ledger'!$A$5:$A$200),"")</f>
        <v/>
      </c>
      <c r="P17" s="7">
        <f>IFERROR(XLOOKUP(A17,'Source Ledger'!$B$5:$B$200,'Source Ledger'!$D$5:$D$200),"")</f>
        <v/>
      </c>
      <c r="Q17" s="9" t="inlineStr">
        <is>
          <t>High</t>
        </is>
      </c>
      <c r="R17" s="7" t="inlineStr"/>
      <c r="S17" s="7">
        <f>IF(OR(R17="",R17=0),"No","Yes")</f>
        <v/>
      </c>
      <c r="T17">
        <f>IFERROR(XLOOKUP(A17,'Source Ledger'!$B$5:$B$200,'Source Ledger'!$E$5:$E$200),"")</f>
        <v/>
      </c>
      <c r="U17">
        <f>IFERROR(XLOOKUP(A17,'Source Ledger'!$B$5:$B$200,'Source Ledger'!$H$5:$H$200),"")</f>
        <v/>
      </c>
      <c r="V17">
        <f>IFERROR(XLOOKUP(A17,'Source Ledger'!$B$5:$B$200,'Source Ledger'!$G$5:$G$200),"")</f>
        <v/>
      </c>
      <c r="W17">
        <f>IF(OR(M17="",T17=""),"",T17-M17)</f>
        <v/>
      </c>
      <c r="X17">
        <f>IF(V17="","No","Yes")</f>
        <v/>
      </c>
    </row>
    <row r="18">
      <c r="A18" s="7" t="inlineStr">
        <is>
          <t>MD-00014</t>
        </is>
      </c>
      <c r="B18" s="7">
        <f>IFERROR(XLOOKUP(A18,'Source Inventory'!$A$5:$A$200,'Source Inventory'!$B$5:$B$200),"")</f>
        <v/>
      </c>
      <c r="C18" s="7">
        <f>IFERROR(XLOOKUP(A18,'Source Inventory'!$A$5:$A$200,'Source Inventory'!$C$5:$C$200),"")</f>
        <v/>
      </c>
      <c r="D18" s="7">
        <f>IFERROR(XLOOKUP(A18,'Source Inventory'!$A$5:$A$200,'Source Inventory'!$D$5:$D$200),"")</f>
        <v/>
      </c>
      <c r="E18" s="7">
        <f>IFERROR(XLOOKUP(A18,'Source Inventory'!$A$5:$A$200,'Source Inventory'!$E$5:$E$200),"")</f>
        <v/>
      </c>
      <c r="F18" s="7">
        <f>IFERROR(XLOOKUP(A18,'Source Inventory'!$A$5:$A$200,'Source Inventory'!$F$5:$F$200),"")</f>
        <v/>
      </c>
      <c r="G18" s="7">
        <f>IFERROR(XLOOKUP(A18,'Source Inventory'!$A$5:$A$200,'Source Inventory'!$G$5:$G$200),"")</f>
        <v/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PO-2024-0003 and FA-000014 both cite MD-00014 (Dell P2422H); register basis $520. HR row shows Nathan Kim (E0014) as Active. transfer TR-00014 dated Mar 07, 2026, received 2026-03-09, APR-00014.</t>
        </is>
      </c>
      <c r="L18" s="7" t="inlineStr">
        <is>
          <t>2026-08-05</t>
        </is>
      </c>
      <c r="M18" s="7">
        <f>IFERROR(XLOOKUP(A18,'Source Inventory'!$A$5:$A$200,'Source Inventory'!$H$5:$H$200),"")</f>
        <v/>
      </c>
      <c r="N18" s="7" t="n">
        <v>270.29</v>
      </c>
      <c r="O18" s="7">
        <f>IFERROR(XLOOKUP(A18,'Source Ledger'!$B$5:$B$200,'Source Ledger'!$A$5:$A$200),"")</f>
        <v/>
      </c>
      <c r="P18" s="7">
        <f>IFERROR(XLOOKUP(A18,'Source Ledger'!$B$5:$B$200,'Source Ledger'!$D$5:$D$200),"")</f>
        <v/>
      </c>
      <c r="Q18" s="9" t="inlineStr">
        <is>
          <t>High</t>
        </is>
      </c>
      <c r="R18" s="7" t="inlineStr"/>
      <c r="S18" s="7">
        <f>IF(OR(R18="",R18=0),"No","Yes")</f>
        <v/>
      </c>
      <c r="T18">
        <f>IFERROR(XLOOKUP(A18,'Source Ledger'!$B$5:$B$200,'Source Ledger'!$E$5:$E$200),"")</f>
        <v/>
      </c>
      <c r="U18">
        <f>IFERROR(XLOOKUP(A18,'Source Ledger'!$B$5:$B$200,'Source Ledger'!$H$5:$H$200),"")</f>
        <v/>
      </c>
      <c r="V18">
        <f>IFERROR(XLOOKUP(A18,'Source Ledger'!$B$5:$B$200,'Source Ledger'!$G$5:$G$200),"")</f>
        <v/>
      </c>
      <c r="W18">
        <f>IF(OR(M18="",T18=""),"",T18-M18)</f>
        <v/>
      </c>
      <c r="X18">
        <f>IF(V18="","No","Yes")</f>
        <v/>
      </c>
    </row>
    <row r="19">
      <c r="A19" s="7" t="inlineStr">
        <is>
          <t>MD-00015</t>
        </is>
      </c>
      <c r="B19" s="7">
        <f>IFERROR(XLOOKUP(A19,'Source Inventory'!$A$5:$A$200,'Source Inventory'!$B$5:$B$200),"")</f>
        <v/>
      </c>
      <c r="C19" s="7">
        <f>IFERROR(XLOOKUP(A19,'Source Inventory'!$A$5:$A$200,'Source Inventory'!$C$5:$C$200),"")</f>
        <v/>
      </c>
      <c r="D19" s="7">
        <f>IFERROR(XLOOKUP(A19,'Source Inventory'!$A$5:$A$200,'Source Inventory'!$D$5:$D$200),"")</f>
        <v/>
      </c>
      <c r="E19" s="7">
        <f>IFERROR(XLOOKUP(A19,'Source Inventory'!$A$5:$A$200,'Source Inventory'!$E$5:$E$200),"")</f>
        <v/>
      </c>
      <c r="F19" s="7">
        <f>IFERROR(XLOOKUP(A19,'Source Inventory'!$A$5:$A$200,'Source Inventory'!$F$5:$F$200),"")</f>
        <v/>
      </c>
      <c r="G19" s="7">
        <f>IFERROR(XLOOKUP(A19,'Source Inventory'!$A$5:$A$200,'Source Inventory'!$G$5:$G$200),"")</f>
        <v/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TR-00015 moved MD-00015 (MD-MO-050015); inbound 2026-04-13; now In Use / Denver. HR row shows Camila Ortiz (E0015) as Active. buy path PO-2024-0003. ledger FA-000015 NBV $559.13.</t>
        </is>
      </c>
      <c r="L19" s="7" t="inlineStr">
        <is>
          <t>2026-08-05</t>
        </is>
      </c>
      <c r="M19" s="7">
        <f>IFERROR(XLOOKUP(A19,'Source Inventory'!$A$5:$A$200,'Source Inventory'!$H$5:$H$200),"")</f>
        <v/>
      </c>
      <c r="N19" s="7" t="n">
        <v>559.13</v>
      </c>
      <c r="O19" s="7">
        <f>IFERROR(XLOOKUP(A19,'Source Ledger'!$B$5:$B$200,'Source Ledger'!$A$5:$A$200),"")</f>
        <v/>
      </c>
      <c r="P19" s="7">
        <f>IFERROR(XLOOKUP(A19,'Source Ledger'!$B$5:$B$200,'Source Ledger'!$D$5:$D$200),"")</f>
        <v/>
      </c>
      <c r="Q19" s="9" t="inlineStr">
        <is>
          <t>High</t>
        </is>
      </c>
      <c r="R19" s="7" t="inlineStr"/>
      <c r="S19" s="7">
        <f>IF(OR(R19="",R19=0),"No","Yes")</f>
        <v/>
      </c>
      <c r="T19">
        <f>IFERROR(XLOOKUP(A19,'Source Ledger'!$B$5:$B$200,'Source Ledger'!$E$5:$E$200),"")</f>
        <v/>
      </c>
      <c r="U19">
        <f>IFERROR(XLOOKUP(A19,'Source Ledger'!$B$5:$B$200,'Source Ledger'!$H$5:$H$200),"")</f>
        <v/>
      </c>
      <c r="V19">
        <f>IFERROR(XLOOKUP(A19,'Source Ledger'!$B$5:$B$200,'Source Ledger'!$G$5:$G$200),"")</f>
        <v/>
      </c>
      <c r="W19">
        <f>IF(OR(M19="",T19=""),"",T19-M19)</f>
        <v/>
      </c>
      <c r="X19">
        <f>IF(V19="","No","Yes")</f>
        <v/>
      </c>
    </row>
    <row r="20">
      <c r="A20" s="7" t="inlineStr">
        <is>
          <t>MD-00016</t>
        </is>
      </c>
      <c r="B20" s="7">
        <f>IFERROR(XLOOKUP(A20,'Source Inventory'!$A$5:$A$200,'Source Inventory'!$B$5:$B$200),"")</f>
        <v/>
      </c>
      <c r="C20" s="7">
        <f>IFERROR(XLOOKUP(A20,'Source Inventory'!$A$5:$A$200,'Source Inventory'!$C$5:$C$200),"")</f>
        <v/>
      </c>
      <c r="D20" s="7">
        <f>IFERROR(XLOOKUP(A20,'Source Inventory'!$A$5:$A$200,'Source Inventory'!$D$5:$D$200),"")</f>
        <v/>
      </c>
      <c r="E20" s="7">
        <f>IFERROR(XLOOKUP(A20,'Source Inventory'!$A$5:$A$200,'Source Inventory'!$E$5:$E$200),"")</f>
        <v/>
      </c>
      <c r="F20" s="7">
        <f>IFERROR(XLOOKUP(A20,'Source Inventory'!$A$5:$A$200,'Source Inventory'!$F$5:$F$200),"")</f>
        <v/>
      </c>
      <c r="G20" s="7">
        <f>IFERROR(XLOOKUP(A20,'Source Inventory'!$A$5:$A$200,'Source Inventory'!$G$5:$G$200),"")</f>
        <v/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MD-00016 / MD-NE-050016: LG UltraFine 27MD5KL at New York marked In Use; acquisition $6,290. HR row shows Patrick Gallagher (E0016) as Active. ledger FA-000016 NBV $968.69. buy path PO-2024-0003. transfer TR-00016 dated May 13, 2026, received 2026-05-17, APR-00016.</t>
        </is>
      </c>
      <c r="L20" s="7" t="inlineStr">
        <is>
          <t>2026-08-05</t>
        </is>
      </c>
      <c r="M20" s="7">
        <f>IFERROR(XLOOKUP(A20,'Source Inventory'!$A$5:$A$200,'Source Inventory'!$H$5:$H$200),"")</f>
        <v/>
      </c>
      <c r="N20" s="7" t="n">
        <v>968.69</v>
      </c>
      <c r="O20" s="7">
        <f>IFERROR(XLOOKUP(A20,'Source Ledger'!$B$5:$B$200,'Source Ledger'!$A$5:$A$200),"")</f>
        <v/>
      </c>
      <c r="P20" s="7">
        <f>IFERROR(XLOOKUP(A20,'Source Ledger'!$B$5:$B$200,'Source Ledger'!$D$5:$D$200),"")</f>
        <v/>
      </c>
      <c r="Q20" s="9" t="inlineStr">
        <is>
          <t>High</t>
        </is>
      </c>
      <c r="R20" s="7" t="inlineStr"/>
      <c r="S20" s="7">
        <f>IF(OR(R20="",R20=0),"No","Yes")</f>
        <v/>
      </c>
      <c r="T20">
        <f>IFERROR(XLOOKUP(A20,'Source Ledger'!$B$5:$B$200,'Source Ledger'!$E$5:$E$200),"")</f>
        <v/>
      </c>
      <c r="U20">
        <f>IFERROR(XLOOKUP(A20,'Source Ledger'!$B$5:$B$200,'Source Ledger'!$H$5:$H$200),"")</f>
        <v/>
      </c>
      <c r="V20">
        <f>IFERROR(XLOOKUP(A20,'Source Ledger'!$B$5:$B$200,'Source Ledger'!$G$5:$G$200),"")</f>
        <v/>
      </c>
      <c r="W20">
        <f>IF(OR(M20="",T20=""),"",T20-M20)</f>
        <v/>
      </c>
      <c r="X20">
        <f>IF(V20="","No","Yes")</f>
        <v/>
      </c>
    </row>
    <row r="21">
      <c r="A21" s="7" t="inlineStr">
        <is>
          <t>MD-00017</t>
        </is>
      </c>
      <c r="B21" s="7">
        <f>IFERROR(XLOOKUP(A21,'Source Inventory'!$A$5:$A$200,'Source Inventory'!$B$5:$B$200),"")</f>
        <v/>
      </c>
      <c r="C21" s="7">
        <f>IFERROR(XLOOKUP(A21,'Source Inventory'!$A$5:$A$200,'Source Inventory'!$C$5:$C$200),"")</f>
        <v/>
      </c>
      <c r="D21" s="7">
        <f>IFERROR(XLOOKUP(A21,'Source Inventory'!$A$5:$A$200,'Source Inventory'!$D$5:$D$200),"")</f>
        <v/>
      </c>
      <c r="E21" s="7">
        <f>IFERROR(XLOOKUP(A21,'Source Inventory'!$A$5:$A$200,'Source Inventory'!$E$5:$E$200),"")</f>
        <v/>
      </c>
      <c r="F21" s="7">
        <f>IFERROR(XLOOKUP(A21,'Source Inventory'!$A$5:$A$200,'Source Inventory'!$F$5:$F$200),"")</f>
        <v/>
      </c>
      <c r="G21" s="7">
        <f>IFERROR(XLOOKUP(A21,'Source Inventory'!$A$5:$A$200,'Source Inventory'!$G$5:$G$200),"")</f>
        <v/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FA-000017 carries NBV $0 for MD-00017; operating status In Use at Seattle. HR row shows Irene Cho (E0017) as Active. purchasing extract lists PO-2025-0004. transfer TR-00017 dated Jun 17, 2026, received 2026-06-19, APR-00017.</t>
        </is>
      </c>
      <c r="L21" s="7" t="inlineStr">
        <is>
          <t>2026-08-05</t>
        </is>
      </c>
      <c r="M21" s="7">
        <f>IFERROR(XLOOKUP(A21,'Source Inventory'!$A$5:$A$200,'Source Inventory'!$H$5:$H$200),"")</f>
        <v/>
      </c>
      <c r="N21" s="7" t="n">
        <v>0</v>
      </c>
      <c r="O21" s="7">
        <f>IFERROR(XLOOKUP(A21,'Source Ledger'!$B$5:$B$200,'Source Ledger'!$A$5:$A$200),"")</f>
        <v/>
      </c>
      <c r="P21" s="7">
        <f>IFERROR(XLOOKUP(A21,'Source Ledger'!$B$5:$B$200,'Source Ledger'!$D$5:$D$200),"")</f>
        <v/>
      </c>
      <c r="Q21" s="9" t="inlineStr">
        <is>
          <t>High</t>
        </is>
      </c>
      <c r="R21" s="7" t="inlineStr">
        <is>
          <t>EX-0001</t>
        </is>
      </c>
      <c r="S21" s="7">
        <f>IF(OR(R21="",R21=0),"No","Yes")</f>
        <v/>
      </c>
      <c r="T21">
        <f>IFERROR(XLOOKUP(A21,'Source Ledger'!$B$5:$B$200,'Source Ledger'!$E$5:$E$200),"")</f>
        <v/>
      </c>
      <c r="U21">
        <f>IFERROR(XLOOKUP(A21,'Source Ledger'!$B$5:$B$200,'Source Ledger'!$H$5:$H$200),"")</f>
        <v/>
      </c>
      <c r="V21">
        <f>IFERROR(XLOOKUP(A21,'Source Ledger'!$B$5:$B$200,'Source Ledger'!$G$5:$G$200),"")</f>
        <v/>
      </c>
      <c r="W21">
        <f>IF(OR(M21="",T21=""),"",T21-M21)</f>
        <v/>
      </c>
      <c r="X21">
        <f>IF(V21="","No","Yes")</f>
        <v/>
      </c>
    </row>
    <row r="22">
      <c r="A22" s="7" t="inlineStr">
        <is>
          <t>MD-00018</t>
        </is>
      </c>
      <c r="B22" s="7">
        <f>IFERROR(XLOOKUP(A22,'Source Inventory'!$A$5:$A$200,'Source Inventory'!$B$5:$B$200),"")</f>
        <v/>
      </c>
      <c r="C22" s="7">
        <f>IFERROR(XLOOKUP(A22,'Source Inventory'!$A$5:$A$200,'Source Inventory'!$C$5:$C$200),"")</f>
        <v/>
      </c>
      <c r="D22" s="7">
        <f>IFERROR(XLOOKUP(A22,'Source Inventory'!$A$5:$A$200,'Source Inventory'!$D$5:$D$200),"")</f>
        <v/>
      </c>
      <c r="E22" s="7">
        <f>IFERROR(XLOOKUP(A22,'Source Inventory'!$A$5:$A$200,'Source Inventory'!$E$5:$E$200),"")</f>
        <v/>
      </c>
      <c r="F22" s="7">
        <f>IFERROR(XLOOKUP(A22,'Source Inventory'!$A$5:$A$200,'Source Inventory'!$F$5:$F$200),"")</f>
        <v/>
      </c>
      <c r="G22" s="7">
        <f>IFERROR(XLOOKUP(A22,'Source Inventory'!$A$5:$A$200,'Source Inventory'!$G$5:$G$200),"")</f>
        <v/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MD-00018 custodian Theo Barnett (E0018) is Active in hr_employee_status; site Atlanta, status In Use. transfer TR-00018 dated Jan 22, 2026, received 2026-01-23, APR-00018. buy path PO-2025-0004. ledger FA-000018 NBV $412.14.</t>
        </is>
      </c>
      <c r="L22" s="7" t="inlineStr">
        <is>
          <t>2026-08-05</t>
        </is>
      </c>
      <c r="M22" s="7">
        <f>IFERROR(XLOOKUP(A22,'Source Inventory'!$A$5:$A$200,'Source Inventory'!$H$5:$H$200),"")</f>
        <v/>
      </c>
      <c r="N22" s="7" t="n">
        <v>412.14</v>
      </c>
      <c r="O22" s="7">
        <f>IFERROR(XLOOKUP(A22,'Source Ledger'!$B$5:$B$200,'Source Ledger'!$A$5:$A$200),"")</f>
        <v/>
      </c>
      <c r="P22" s="7">
        <f>IFERROR(XLOOKUP(A22,'Source Ledger'!$B$5:$B$200,'Source Ledger'!$D$5:$D$200),"")</f>
        <v/>
      </c>
      <c r="Q22" s="9" t="inlineStr">
        <is>
          <t>High</t>
        </is>
      </c>
      <c r="R22" s="7" t="inlineStr"/>
      <c r="S22" s="7">
        <f>IF(OR(R22="",R22=0),"No","Yes")</f>
        <v/>
      </c>
      <c r="T22">
        <f>IFERROR(XLOOKUP(A22,'Source Ledger'!$B$5:$B$200,'Source Ledger'!$E$5:$E$200),"")</f>
        <v/>
      </c>
      <c r="U22">
        <f>IFERROR(XLOOKUP(A22,'Source Ledger'!$B$5:$B$200,'Source Ledger'!$H$5:$H$200),"")</f>
        <v/>
      </c>
      <c r="V22">
        <f>IFERROR(XLOOKUP(A22,'Source Ledger'!$B$5:$B$200,'Source Ledger'!$G$5:$G$200),"")</f>
        <v/>
      </c>
      <c r="W22">
        <f>IF(OR(M22="",T22=""),"",T22-M22)</f>
        <v/>
      </c>
      <c r="X22">
        <f>IF(V22="","No","Yes")</f>
        <v/>
      </c>
    </row>
    <row r="23">
      <c r="A23" s="7" t="inlineStr">
        <is>
          <t>MD-00019</t>
        </is>
      </c>
      <c r="B23" s="7">
        <f>IFERROR(XLOOKUP(A23,'Source Inventory'!$A$5:$A$200,'Source Inventory'!$B$5:$B$200),"")</f>
        <v/>
      </c>
      <c r="C23" s="7">
        <f>IFERROR(XLOOKUP(A23,'Source Inventory'!$A$5:$A$200,'Source Inventory'!$C$5:$C$200),"")</f>
        <v/>
      </c>
      <c r="D23" s="7">
        <f>IFERROR(XLOOKUP(A23,'Source Inventory'!$A$5:$A$200,'Source Inventory'!$D$5:$D$200),"")</f>
        <v/>
      </c>
      <c r="E23" s="7">
        <f>IFERROR(XLOOKUP(A23,'Source Inventory'!$A$5:$A$200,'Source Inventory'!$E$5:$E$200),"")</f>
        <v/>
      </c>
      <c r="F23" s="7">
        <f>IFERROR(XLOOKUP(A23,'Source Inventory'!$A$5:$A$200,'Source Inventory'!$F$5:$F$200),"")</f>
        <v/>
      </c>
      <c r="G23" s="7">
        <f>IFERROR(XLOOKUP(A23,'Source Inventory'!$A$5:$A$200,'Source Inventory'!$G$5:$G$200),"")</f>
        <v/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MD-00019 / MD-MO-050019: Dell P2422H at Chicago marked In Use; acquisition $1,175. HR row shows Jasmine Reed (E0019) as Active. ledger FA-000019 NBV $795.40. buy path PO-2025-0004. transfer TR-00019 dated Feb 23, 2026, received 2026-02-26, APR-00019.</t>
        </is>
      </c>
      <c r="L23" s="7" t="inlineStr">
        <is>
          <t>2026-08-05</t>
        </is>
      </c>
      <c r="M23" s="7">
        <f>IFERROR(XLOOKUP(A23,'Source Inventory'!$A$5:$A$200,'Source Inventory'!$H$5:$H$200),"")</f>
        <v/>
      </c>
      <c r="N23" s="7" t="n">
        <v>795.4</v>
      </c>
      <c r="O23" s="7">
        <f>IFERROR(XLOOKUP(A23,'Source Ledger'!$B$5:$B$200,'Source Ledger'!$A$5:$A$200),"")</f>
        <v/>
      </c>
      <c r="P23" s="7">
        <f>IFERROR(XLOOKUP(A23,'Source Ledger'!$B$5:$B$200,'Source Ledger'!$D$5:$D$200),"")</f>
        <v/>
      </c>
      <c r="Q23" s="9" t="inlineStr">
        <is>
          <t>High</t>
        </is>
      </c>
      <c r="R23" s="7" t="inlineStr"/>
      <c r="S23" s="7">
        <f>IF(OR(R23="",R23=0),"No","Yes")</f>
        <v/>
      </c>
      <c r="T23">
        <f>IFERROR(XLOOKUP(A23,'Source Ledger'!$B$5:$B$200,'Source Ledger'!$E$5:$E$200),"")</f>
        <v/>
      </c>
      <c r="U23">
        <f>IFERROR(XLOOKUP(A23,'Source Ledger'!$B$5:$B$200,'Source Ledger'!$H$5:$H$200),"")</f>
        <v/>
      </c>
      <c r="V23">
        <f>IFERROR(XLOOKUP(A23,'Source Ledger'!$B$5:$B$200,'Source Ledger'!$G$5:$G$200),"")</f>
        <v/>
      </c>
      <c r="W23">
        <f>IF(OR(M23="",T23=""),"",T23-M23)</f>
        <v/>
      </c>
      <c r="X23">
        <f>IF(V23="","No","Yes")</f>
        <v/>
      </c>
    </row>
    <row r="24">
      <c r="A24" s="7" t="inlineStr">
        <is>
          <t>MD-00020</t>
        </is>
      </c>
      <c r="B24" s="7">
        <f>IFERROR(XLOOKUP(A24,'Source Inventory'!$A$5:$A$200,'Source Inventory'!$B$5:$B$200),"")</f>
        <v/>
      </c>
      <c r="C24" s="7">
        <f>IFERROR(XLOOKUP(A24,'Source Inventory'!$A$5:$A$200,'Source Inventory'!$C$5:$C$200),"")</f>
        <v/>
      </c>
      <c r="D24" s="7">
        <f>IFERROR(XLOOKUP(A24,'Source Inventory'!$A$5:$A$200,'Source Inventory'!$D$5:$D$200),"")</f>
        <v/>
      </c>
      <c r="E24" s="7">
        <f>IFERROR(XLOOKUP(A24,'Source Inventory'!$A$5:$A$200,'Source Inventory'!$E$5:$E$200),"")</f>
        <v/>
      </c>
      <c r="F24" s="7">
        <f>IFERROR(XLOOKUP(A24,'Source Inventory'!$A$5:$A$200,'Source Inventory'!$F$5:$F$200),"")</f>
        <v/>
      </c>
      <c r="G24" s="7">
        <f>IFERROR(XLOOKUP(A24,'Source Inventory'!$A$5:$A$200,'Source Inventory'!$G$5:$G$200),"")</f>
        <v/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TR-00020 moved MD-00020 (MD-NE-050020); inbound 2026-03-30; now In Use / Dallas. HR row shows Luis Navarro (E0020) as Active. ledger FA-000020 NBV $1,446.34. buy path PO-2025-0004.</t>
        </is>
      </c>
      <c r="L24" s="7" t="inlineStr">
        <is>
          <t>2026-08-05</t>
        </is>
      </c>
      <c r="M24" s="7">
        <f>IFERROR(XLOOKUP(A24,'Source Inventory'!$A$5:$A$200,'Source Inventory'!$H$5:$H$200),"")</f>
        <v/>
      </c>
      <c r="N24" s="7" t="n">
        <v>1446.34</v>
      </c>
      <c r="O24" s="7">
        <f>IFERROR(XLOOKUP(A24,'Source Ledger'!$B$5:$B$200,'Source Ledger'!$A$5:$A$200),"")</f>
        <v/>
      </c>
      <c r="P24" s="7">
        <f>IFERROR(XLOOKUP(A24,'Source Ledger'!$B$5:$B$200,'Source Ledger'!$D$5:$D$200),"")</f>
        <v/>
      </c>
      <c r="Q24" s="9" t="inlineStr">
        <is>
          <t>High</t>
        </is>
      </c>
      <c r="R24" s="7" t="inlineStr"/>
      <c r="S24" s="7">
        <f>IF(OR(R24="",R24=0),"No","Yes")</f>
        <v/>
      </c>
      <c r="T24">
        <f>IFERROR(XLOOKUP(A24,'Source Ledger'!$B$5:$B$200,'Source Ledger'!$E$5:$E$200),"")</f>
        <v/>
      </c>
      <c r="U24">
        <f>IFERROR(XLOOKUP(A24,'Source Ledger'!$B$5:$B$200,'Source Ledger'!$H$5:$H$200),"")</f>
        <v/>
      </c>
      <c r="V24">
        <f>IFERROR(XLOOKUP(A24,'Source Ledger'!$B$5:$B$200,'Source Ledger'!$G$5:$G$200),"")</f>
        <v/>
      </c>
      <c r="W24">
        <f>IF(OR(M24="",T24=""),"",T24-M24)</f>
        <v/>
      </c>
      <c r="X24">
        <f>IF(V24="","No","Yes")</f>
        <v/>
      </c>
    </row>
    <row r="25">
      <c r="A25" s="7" t="inlineStr">
        <is>
          <t>MD-00021</t>
        </is>
      </c>
      <c r="B25" s="7">
        <f>IFERROR(XLOOKUP(A25,'Source Inventory'!$A$5:$A$200,'Source Inventory'!$B$5:$B$200),"")</f>
        <v/>
      </c>
      <c r="C25" s="7">
        <f>IFERROR(XLOOKUP(A25,'Source Inventory'!$A$5:$A$200,'Source Inventory'!$C$5:$C$200),"")</f>
        <v/>
      </c>
      <c r="D25" s="7">
        <f>IFERROR(XLOOKUP(A25,'Source Inventory'!$A$5:$A$200,'Source Inventory'!$D$5:$D$200),"")</f>
        <v/>
      </c>
      <c r="E25" s="7">
        <f>IFERROR(XLOOKUP(A25,'Source Inventory'!$A$5:$A$200,'Source Inventory'!$E$5:$E$200),"")</f>
        <v/>
      </c>
      <c r="F25" s="7">
        <f>IFERROR(XLOOKUP(A25,'Source Inventory'!$A$5:$A$200,'Source Inventory'!$F$5:$F$200),"")</f>
        <v/>
      </c>
      <c r="G25" s="7">
        <f>IFERROR(XLOOKUP(A25,'Source Inventory'!$A$5:$A$200,'Source Inventory'!$G$5:$G$200),"")</f>
        <v/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MD-00021 / MD-LA-050021: Samsung ViewFinity S8 at Denver marked In Use; acquisition $1,850. duplicate serial MD-LA-050021. transfer TR-00021 dated May 02, 2026, received 2026-05-03, APR-00021. ledger FA-000021 NBV $124.52. buy path PO-2022-0005. HR row shows Grace Lindholm (E0021) as Active.</t>
        </is>
      </c>
      <c r="L25" s="7" t="inlineStr">
        <is>
          <t>2026-08-05</t>
        </is>
      </c>
      <c r="M25" s="7">
        <f>IFERROR(XLOOKUP(A25,'Source Inventory'!$A$5:$A$200,'Source Inventory'!$H$5:$H$200),"")</f>
        <v/>
      </c>
      <c r="N25" s="7" t="n">
        <v>124.52</v>
      </c>
      <c r="O25" s="7">
        <f>IFERROR(XLOOKUP(A25,'Source Ledger'!$B$5:$B$200,'Source Ledger'!$A$5:$A$200),"")</f>
        <v/>
      </c>
      <c r="P25" s="7">
        <f>IFERROR(XLOOKUP(A25,'Source Ledger'!$B$5:$B$200,'Source Ledger'!$D$5:$D$200),"")</f>
        <v/>
      </c>
      <c r="Q25" s="7" t="inlineStr">
        <is>
          <t>Medium</t>
        </is>
      </c>
      <c r="R25" s="7" t="inlineStr">
        <is>
          <t>EX-0002</t>
        </is>
      </c>
      <c r="S25" s="7">
        <f>IF(OR(R25="",R25=0),"No","Yes")</f>
        <v/>
      </c>
      <c r="T25">
        <f>IFERROR(XLOOKUP(A25,'Source Ledger'!$B$5:$B$200,'Source Ledger'!$E$5:$E$200),"")</f>
        <v/>
      </c>
      <c r="U25">
        <f>IFERROR(XLOOKUP(A25,'Source Ledger'!$B$5:$B$200,'Source Ledger'!$H$5:$H$200),"")</f>
        <v/>
      </c>
      <c r="V25">
        <f>IFERROR(XLOOKUP(A25,'Source Ledger'!$B$5:$B$200,'Source Ledger'!$G$5:$G$200),"")</f>
        <v/>
      </c>
      <c r="W25">
        <f>IF(OR(M25="",T25=""),"",T25-M25)</f>
        <v/>
      </c>
      <c r="X25">
        <f>IF(V25="","No","Yes")</f>
        <v/>
      </c>
    </row>
    <row r="26">
      <c r="A26" s="7" t="inlineStr">
        <is>
          <t>MD-00022</t>
        </is>
      </c>
      <c r="B26" s="7">
        <f>IFERROR(XLOOKUP(A26,'Source Inventory'!$A$5:$A$200,'Source Inventory'!$B$5:$B$200),"")</f>
        <v/>
      </c>
      <c r="C26" s="7">
        <f>IFERROR(XLOOKUP(A26,'Source Inventory'!$A$5:$A$200,'Source Inventory'!$C$5:$C$200),"")</f>
        <v/>
      </c>
      <c r="D26" s="7">
        <f>IFERROR(XLOOKUP(A26,'Source Inventory'!$A$5:$A$200,'Source Inventory'!$D$5:$D$200),"")</f>
        <v/>
      </c>
      <c r="E26" s="7">
        <f>IFERROR(XLOOKUP(A26,'Source Inventory'!$A$5:$A$200,'Source Inventory'!$E$5:$E$200),"")</f>
        <v/>
      </c>
      <c r="F26" s="7">
        <f>IFERROR(XLOOKUP(A26,'Source Inventory'!$A$5:$A$200,'Source Inventory'!$F$5:$F$200),"")</f>
        <v/>
      </c>
      <c r="G26" s="7">
        <f>IFERROR(XLOOKUP(A26,'Source Inventory'!$A$5:$A$200,'Source Inventory'!$G$5:$G$200),"")</f>
        <v/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PO-2022-0005 and FA-000022 both cite MD-00022 (BenQ PD2705U); register basis $565. transfer TR-00022 dated Jun 03, 2026, received 2026-06-05, APR-00022. HR row shows Andre Baptiste (E0022) as Active.</t>
        </is>
      </c>
      <c r="L26" s="7" t="inlineStr">
        <is>
          <t>2026-08-05</t>
        </is>
      </c>
      <c r="M26" s="7">
        <f>IFERROR(XLOOKUP(A26,'Source Inventory'!$A$5:$A$200,'Source Inventory'!$H$5:$H$200),"")</f>
        <v/>
      </c>
      <c r="N26" s="7" t="n">
        <v>371.95</v>
      </c>
      <c r="O26" s="7">
        <f>IFERROR(XLOOKUP(A26,'Source Ledger'!$B$5:$B$200,'Source Ledger'!$A$5:$A$200),"")</f>
        <v/>
      </c>
      <c r="P26" s="7">
        <f>IFERROR(XLOOKUP(A26,'Source Ledger'!$B$5:$B$200,'Source Ledger'!$D$5:$D$200),"")</f>
        <v/>
      </c>
      <c r="Q26" s="9" t="inlineStr">
        <is>
          <t>High</t>
        </is>
      </c>
      <c r="R26" s="7" t="inlineStr"/>
      <c r="S26" s="7">
        <f>IF(OR(R26="",R26=0),"No","Yes")</f>
        <v/>
      </c>
      <c r="T26">
        <f>IFERROR(XLOOKUP(A26,'Source Ledger'!$B$5:$B$200,'Source Ledger'!$E$5:$E$200),"")</f>
        <v/>
      </c>
      <c r="U26">
        <f>IFERROR(XLOOKUP(A26,'Source Ledger'!$B$5:$B$200,'Source Ledger'!$H$5:$H$200),"")</f>
        <v/>
      </c>
      <c r="V26">
        <f>IFERROR(XLOOKUP(A26,'Source Ledger'!$B$5:$B$200,'Source Ledger'!$G$5:$G$200),"")</f>
        <v/>
      </c>
      <c r="W26">
        <f>IF(OR(M26="",T26=""),"",T26-M26)</f>
        <v/>
      </c>
      <c r="X26">
        <f>IF(V26="","No","Yes")</f>
        <v/>
      </c>
    </row>
    <row r="27">
      <c r="A27" s="7" t="inlineStr">
        <is>
          <t>MD-00023</t>
        </is>
      </c>
      <c r="B27" s="7">
        <f>IFERROR(XLOOKUP(A27,'Source Inventory'!$A$5:$A$200,'Source Inventory'!$B$5:$B$200),"")</f>
        <v/>
      </c>
      <c r="C27" s="7">
        <f>IFERROR(XLOOKUP(A27,'Source Inventory'!$A$5:$A$200,'Source Inventory'!$C$5:$C$200),"")</f>
        <v/>
      </c>
      <c r="D27" s="7">
        <f>IFERROR(XLOOKUP(A27,'Source Inventory'!$A$5:$A$200,'Source Inventory'!$D$5:$D$200),"")</f>
        <v/>
      </c>
      <c r="E27" s="7">
        <f>IFERROR(XLOOKUP(A27,'Source Inventory'!$A$5:$A$200,'Source Inventory'!$E$5:$E$200),"")</f>
        <v/>
      </c>
      <c r="F27" s="7">
        <f>IFERROR(XLOOKUP(A27,'Source Inventory'!$A$5:$A$200,'Source Inventory'!$F$5:$F$200),"")</f>
        <v/>
      </c>
      <c r="G27" s="7">
        <f>IFERROR(XLOOKUP(A27,'Source Inventory'!$A$5:$A$200,'Source Inventory'!$G$5:$G$200),"")</f>
        <v/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TR-00023 moved MD-00023 (MD-MO-050023); inbound 2026-07-09; now In Use / Seattle. buy path PO-2022-0005. HR row shows Nina Kowalski (E0023) as Active. ledger FA-000023 NBV $823.60.</t>
        </is>
      </c>
      <c r="L27" s="7" t="inlineStr">
        <is>
          <t>2026-08-05</t>
        </is>
      </c>
      <c r="M27" s="7">
        <f>IFERROR(XLOOKUP(A27,'Source Inventory'!$A$5:$A$200,'Source Inventory'!$H$5:$H$200),"")</f>
        <v/>
      </c>
      <c r="N27" s="7" t="n">
        <v>823.6</v>
      </c>
      <c r="O27" s="7">
        <f>IFERROR(XLOOKUP(A27,'Source Ledger'!$B$5:$B$200,'Source Ledger'!$A$5:$A$200),"")</f>
        <v/>
      </c>
      <c r="P27" s="7">
        <f>IFERROR(XLOOKUP(A27,'Source Ledger'!$B$5:$B$200,'Source Ledger'!$D$5:$D$200),"")</f>
        <v/>
      </c>
      <c r="Q27" s="9" t="inlineStr">
        <is>
          <t>High</t>
        </is>
      </c>
      <c r="R27" s="7" t="inlineStr"/>
      <c r="S27" s="7">
        <f>IF(OR(R27="",R27=0),"No","Yes")</f>
        <v/>
      </c>
      <c r="T27">
        <f>IFERROR(XLOOKUP(A27,'Source Ledger'!$B$5:$B$200,'Source Ledger'!$E$5:$E$200),"")</f>
        <v/>
      </c>
      <c r="U27">
        <f>IFERROR(XLOOKUP(A27,'Source Ledger'!$B$5:$B$200,'Source Ledger'!$H$5:$H$200),"")</f>
        <v/>
      </c>
      <c r="V27">
        <f>IFERROR(XLOOKUP(A27,'Source Ledger'!$B$5:$B$200,'Source Ledger'!$G$5:$G$200),"")</f>
        <v/>
      </c>
      <c r="W27">
        <f>IF(OR(M27="",T27=""),"",T27-M27)</f>
        <v/>
      </c>
      <c r="X27">
        <f>IF(V27="","No","Yes")</f>
        <v/>
      </c>
    </row>
    <row r="28">
      <c r="A28" s="7" t="inlineStr">
        <is>
          <t>MD-00024</t>
        </is>
      </c>
      <c r="B28" s="7">
        <f>IFERROR(XLOOKUP(A28,'Source Inventory'!$A$5:$A$200,'Source Inventory'!$B$5:$B$200),"")</f>
        <v/>
      </c>
      <c r="C28" s="7">
        <f>IFERROR(XLOOKUP(A28,'Source Inventory'!$A$5:$A$200,'Source Inventory'!$C$5:$C$200),"")</f>
        <v/>
      </c>
      <c r="D28" s="7">
        <f>IFERROR(XLOOKUP(A28,'Source Inventory'!$A$5:$A$200,'Source Inventory'!$D$5:$D$200),"")</f>
        <v/>
      </c>
      <c r="E28" s="7">
        <f>IFERROR(XLOOKUP(A28,'Source Inventory'!$A$5:$A$200,'Source Inventory'!$E$5:$E$200),"")</f>
        <v/>
      </c>
      <c r="F28" s="7">
        <f>IFERROR(XLOOKUP(A28,'Source Inventory'!$A$5:$A$200,'Source Inventory'!$F$5:$F$200),"")</f>
        <v/>
      </c>
      <c r="G28" s="7">
        <f>IFERROR(XLOOKUP(A28,'Source Inventory'!$A$5:$A$200,'Source Inventory'!$G$5:$G$200),"")</f>
        <v/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MD-00024 / MD-NE-050024: Dell U2723QE at Atlanta marked In Use; acquisition $6,335. buy path PO-2022-0005. HR row shows Chris Daley (E0024) as Active. transfer TR-00024 dated Jan 18, 2026, received 2026-01-21, APR-00024. ledger FA-000024 NBV $503.85.</t>
        </is>
      </c>
      <c r="L28" s="7" t="inlineStr">
        <is>
          <t>2026-08-05</t>
        </is>
      </c>
      <c r="M28" s="7">
        <f>IFERROR(XLOOKUP(A28,'Source Inventory'!$A$5:$A$200,'Source Inventory'!$H$5:$H$200),"")</f>
        <v/>
      </c>
      <c r="N28" s="7" t="n">
        <v>503.85</v>
      </c>
      <c r="O28" s="7">
        <f>IFERROR(XLOOKUP(A28,'Source Ledger'!$B$5:$B$200,'Source Ledger'!$A$5:$A$200),"")</f>
        <v/>
      </c>
      <c r="P28" s="7">
        <f>IFERROR(XLOOKUP(A28,'Source Ledger'!$B$5:$B$200,'Source Ledger'!$D$5:$D$200),"")</f>
        <v/>
      </c>
      <c r="Q28" s="9" t="inlineStr">
        <is>
          <t>High</t>
        </is>
      </c>
      <c r="R28" s="7" t="inlineStr"/>
      <c r="S28" s="7">
        <f>IF(OR(R28="",R28=0),"No","Yes")</f>
        <v/>
      </c>
      <c r="T28">
        <f>IFERROR(XLOOKUP(A28,'Source Ledger'!$B$5:$B$200,'Source Ledger'!$E$5:$E$200),"")</f>
        <v/>
      </c>
      <c r="U28">
        <f>IFERROR(XLOOKUP(A28,'Source Ledger'!$B$5:$B$200,'Source Ledger'!$H$5:$H$200),"")</f>
        <v/>
      </c>
      <c r="V28">
        <f>IFERROR(XLOOKUP(A28,'Source Ledger'!$B$5:$B$200,'Source Ledger'!$G$5:$G$200),"")</f>
        <v/>
      </c>
      <c r="W28">
        <f>IF(OR(M28="",T28=""),"",T28-M28)</f>
        <v/>
      </c>
      <c r="X28">
        <f>IF(V28="","No","Yes")</f>
        <v/>
      </c>
    </row>
    <row r="29">
      <c r="A29" s="7" t="inlineStr">
        <is>
          <t>MD-00025</t>
        </is>
      </c>
      <c r="B29" s="7">
        <f>IFERROR(XLOOKUP(A29,'Source Inventory'!$A$5:$A$200,'Source Inventory'!$B$5:$B$200),"")</f>
        <v/>
      </c>
      <c r="C29" s="7">
        <f>IFERROR(XLOOKUP(A29,'Source Inventory'!$A$5:$A$200,'Source Inventory'!$C$5:$C$200),"")</f>
        <v/>
      </c>
      <c r="D29" s="7">
        <f>IFERROR(XLOOKUP(A29,'Source Inventory'!$A$5:$A$200,'Source Inventory'!$D$5:$D$200),"")</f>
        <v/>
      </c>
      <c r="E29" s="7">
        <f>IFERROR(XLOOKUP(A29,'Source Inventory'!$A$5:$A$200,'Source Inventory'!$E$5:$E$200),"")</f>
        <v/>
      </c>
      <c r="F29" s="7">
        <f>IFERROR(XLOOKUP(A29,'Source Inventory'!$A$5:$A$200,'Source Inventory'!$F$5:$F$200),"")</f>
        <v/>
      </c>
      <c r="G29" s="7">
        <f>IFERROR(XLOOKUP(A29,'Source Inventory'!$A$5:$A$200,'Source Inventory'!$G$5:$G$200),"")</f>
        <v/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PO-2022-0005 and FA-000025 both cite MD-00025 (LG UltraFine 27MD5KL); register basis $2,030. duplicate serial MD-LA-050021. HR row shows Fatima Hussein (E0025) as Active. transfer TR-00025 dated Jan 21, 2026, received 2026-01-22, APR-00025.</t>
        </is>
      </c>
      <c r="L29" s="7" t="inlineStr">
        <is>
          <t>2026-08-05</t>
        </is>
      </c>
      <c r="M29" s="7">
        <f>IFERROR(XLOOKUP(A29,'Source Inventory'!$A$5:$A$200,'Source Inventory'!$H$5:$H$200),"")</f>
        <v/>
      </c>
      <c r="N29" s="7" t="n">
        <v>0</v>
      </c>
      <c r="O29" s="7">
        <f>IFERROR(XLOOKUP(A29,'Source Ledger'!$B$5:$B$200,'Source Ledger'!$A$5:$A$200),"")</f>
        <v/>
      </c>
      <c r="P29" s="7">
        <f>IFERROR(XLOOKUP(A29,'Source Ledger'!$B$5:$B$200,'Source Ledger'!$D$5:$D$200),"")</f>
        <v/>
      </c>
      <c r="Q29" s="7" t="inlineStr">
        <is>
          <t>Medium</t>
        </is>
      </c>
      <c r="R29" s="7" t="inlineStr">
        <is>
          <t>EX-0003, EX-0004</t>
        </is>
      </c>
      <c r="S29" s="7">
        <f>IF(OR(R29="",R29=0),"No","Yes")</f>
        <v/>
      </c>
      <c r="T29">
        <f>IFERROR(XLOOKUP(A29,'Source Ledger'!$B$5:$B$200,'Source Ledger'!$E$5:$E$200),"")</f>
        <v/>
      </c>
      <c r="U29">
        <f>IFERROR(XLOOKUP(A29,'Source Ledger'!$B$5:$B$200,'Source Ledger'!$H$5:$H$200),"")</f>
        <v/>
      </c>
      <c r="V29">
        <f>IFERROR(XLOOKUP(A29,'Source Ledger'!$B$5:$B$200,'Source Ledger'!$G$5:$G$200),"")</f>
        <v/>
      </c>
      <c r="W29">
        <f>IF(OR(M29="",T29=""),"",T29-M29)</f>
        <v/>
      </c>
      <c r="X29">
        <f>IF(V29="","No","Yes")</f>
        <v/>
      </c>
    </row>
    <row r="30">
      <c r="A30" s="7" t="inlineStr">
        <is>
          <t>MD-00026</t>
        </is>
      </c>
      <c r="B30" s="7">
        <f>IFERROR(XLOOKUP(A30,'Source Inventory'!$A$5:$A$200,'Source Inventory'!$B$5:$B$200),"")</f>
        <v/>
      </c>
      <c r="C30" s="7">
        <f>IFERROR(XLOOKUP(A30,'Source Inventory'!$A$5:$A$200,'Source Inventory'!$C$5:$C$200),"")</f>
        <v/>
      </c>
      <c r="D30" s="7">
        <f>IFERROR(XLOOKUP(A30,'Source Inventory'!$A$5:$A$200,'Source Inventory'!$D$5:$D$200),"")</f>
        <v/>
      </c>
      <c r="E30" s="7">
        <f>IFERROR(XLOOKUP(A30,'Source Inventory'!$A$5:$A$200,'Source Inventory'!$E$5:$E$200),"")</f>
        <v/>
      </c>
      <c r="F30" s="7">
        <f>IFERROR(XLOOKUP(A30,'Source Inventory'!$A$5:$A$200,'Source Inventory'!$F$5:$F$200),"")</f>
        <v/>
      </c>
      <c r="G30" s="7">
        <f>IFERROR(XLOOKUP(A30,'Source Inventory'!$A$5:$A$200,'Source Inventory'!$G$5:$G$200),"")</f>
        <v/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MD-00026 custodian Brendan Walsh (E0026) is Active in hr_employee_status; site Dallas, status In Use. buy path PO-2022-0005. transfer TR-00026 dated Feb 23, 2026, received 2026-02-27, APR-00026. ledger FA-000026 NBV $382.34.</t>
        </is>
      </c>
      <c r="L30" s="7" t="inlineStr">
        <is>
          <t>2026-08-05</t>
        </is>
      </c>
      <c r="M30" s="7">
        <f>IFERROR(XLOOKUP(A30,'Source Inventory'!$A$5:$A$200,'Source Inventory'!$H$5:$H$200),"")</f>
        <v/>
      </c>
      <c r="N30" s="7" t="n">
        <v>382.34</v>
      </c>
      <c r="O30" s="7">
        <f>IFERROR(XLOOKUP(A30,'Source Ledger'!$B$5:$B$200,'Source Ledger'!$A$5:$A$200),"")</f>
        <v/>
      </c>
      <c r="P30" s="7">
        <f>IFERROR(XLOOKUP(A30,'Source Ledger'!$B$5:$B$200,'Source Ledger'!$D$5:$D$200),"")</f>
        <v/>
      </c>
      <c r="Q30" s="9" t="inlineStr">
        <is>
          <t>High</t>
        </is>
      </c>
      <c r="R30" s="7" t="inlineStr">
        <is>
          <t>EX-0005</t>
        </is>
      </c>
      <c r="S30" s="7">
        <f>IF(OR(R30="",R30=0),"No","Yes")</f>
        <v/>
      </c>
      <c r="T30">
        <f>IFERROR(XLOOKUP(A30,'Source Ledger'!$B$5:$B$200,'Source Ledger'!$E$5:$E$200),"")</f>
        <v/>
      </c>
      <c r="U30">
        <f>IFERROR(XLOOKUP(A30,'Source Ledger'!$B$5:$B$200,'Source Ledger'!$H$5:$H$200),"")</f>
        <v/>
      </c>
      <c r="V30">
        <f>IFERROR(XLOOKUP(A30,'Source Ledger'!$B$5:$B$200,'Source Ledger'!$G$5:$G$200),"")</f>
        <v/>
      </c>
      <c r="W30">
        <f>IF(OR(M30="",T30=""),"",T30-M30)</f>
        <v/>
      </c>
      <c r="X30">
        <f>IF(V30="","No","Yes")</f>
        <v/>
      </c>
    </row>
    <row r="31">
      <c r="A31" s="7" t="inlineStr">
        <is>
          <t>MD-00027</t>
        </is>
      </c>
      <c r="B31" s="7">
        <f>IFERROR(XLOOKUP(A31,'Source Inventory'!$A$5:$A$200,'Source Inventory'!$B$5:$B$200),"")</f>
        <v/>
      </c>
      <c r="C31" s="7">
        <f>IFERROR(XLOOKUP(A31,'Source Inventory'!$A$5:$A$200,'Source Inventory'!$C$5:$C$200),"")</f>
        <v/>
      </c>
      <c r="D31" s="7">
        <f>IFERROR(XLOOKUP(A31,'Source Inventory'!$A$5:$A$200,'Source Inventory'!$D$5:$D$200),"")</f>
        <v/>
      </c>
      <c r="E31" s="7">
        <f>IFERROR(XLOOKUP(A31,'Source Inventory'!$A$5:$A$200,'Source Inventory'!$E$5:$E$200),"")</f>
        <v/>
      </c>
      <c r="F31" s="7">
        <f>IFERROR(XLOOKUP(A31,'Source Inventory'!$A$5:$A$200,'Source Inventory'!$F$5:$F$200),"")</f>
        <v/>
      </c>
      <c r="G31" s="7">
        <f>IFERROR(XLOOKUP(A31,'Source Inventory'!$A$5:$A$200,'Source Inventory'!$G$5:$G$200),"")</f>
        <v/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MD-00027 / MD-MO-050027: BenQ PD2705U at Denver marked In Use; acquisition $1,220. HR row shows Yuki Tanaka (E0027) as Active. transfer TR-00027 dated Mar 31, 2026, received 2026-04-06, APR-00027. ledger FA-000027 NBV $672.21. buy path PO-2022-0005.</t>
        </is>
      </c>
      <c r="L31" s="7" t="inlineStr">
        <is>
          <t>2026-08-05</t>
        </is>
      </c>
      <c r="M31" s="7">
        <f>IFERROR(XLOOKUP(A31,'Source Inventory'!$A$5:$A$200,'Source Inventory'!$H$5:$H$200),"")</f>
        <v/>
      </c>
      <c r="N31" s="7" t="n">
        <v>672.21</v>
      </c>
      <c r="O31" s="7">
        <f>IFERROR(XLOOKUP(A31,'Source Ledger'!$B$5:$B$200,'Source Ledger'!$A$5:$A$200),"")</f>
        <v/>
      </c>
      <c r="P31" s="7">
        <f>IFERROR(XLOOKUP(A31,'Source Ledger'!$B$5:$B$200,'Source Ledger'!$D$5:$D$200),"")</f>
        <v/>
      </c>
      <c r="Q31" s="9" t="inlineStr">
        <is>
          <t>High</t>
        </is>
      </c>
      <c r="R31" s="7" t="inlineStr">
        <is>
          <t>EX-0006</t>
        </is>
      </c>
      <c r="S31" s="7">
        <f>IF(OR(R31="",R31=0),"No","Yes")</f>
        <v/>
      </c>
      <c r="T31">
        <f>IFERROR(XLOOKUP(A31,'Source Ledger'!$B$5:$B$200,'Source Ledger'!$E$5:$E$200),"")</f>
        <v/>
      </c>
      <c r="U31">
        <f>IFERROR(XLOOKUP(A31,'Source Ledger'!$B$5:$B$200,'Source Ledger'!$H$5:$H$200),"")</f>
        <v/>
      </c>
      <c r="V31">
        <f>IFERROR(XLOOKUP(A31,'Source Ledger'!$B$5:$B$200,'Source Ledger'!$G$5:$G$200),"")</f>
        <v/>
      </c>
      <c r="W31">
        <f>IF(OR(M31="",T31=""),"",T31-M31)</f>
        <v/>
      </c>
      <c r="X31">
        <f>IF(V31="","No","Yes")</f>
        <v/>
      </c>
    </row>
    <row r="32">
      <c r="A32" s="7" t="inlineStr">
        <is>
          <t>MD-00028</t>
        </is>
      </c>
      <c r="B32" s="7">
        <f>IFERROR(XLOOKUP(A32,'Source Inventory'!$A$5:$A$200,'Source Inventory'!$B$5:$B$200),"")</f>
        <v/>
      </c>
      <c r="C32" s="7">
        <f>IFERROR(XLOOKUP(A32,'Source Inventory'!$A$5:$A$200,'Source Inventory'!$C$5:$C$200),"")</f>
        <v/>
      </c>
      <c r="D32" s="7">
        <f>IFERROR(XLOOKUP(A32,'Source Inventory'!$A$5:$A$200,'Source Inventory'!$D$5:$D$200),"")</f>
        <v/>
      </c>
      <c r="E32" s="7">
        <f>IFERROR(XLOOKUP(A32,'Source Inventory'!$A$5:$A$200,'Source Inventory'!$E$5:$E$200),"")</f>
        <v/>
      </c>
      <c r="F32" s="7">
        <f>IFERROR(XLOOKUP(A32,'Source Inventory'!$A$5:$A$200,'Source Inventory'!$F$5:$F$200),"")</f>
        <v/>
      </c>
      <c r="G32" s="7">
        <f>IFERROR(XLOOKUP(A32,'Source Inventory'!$A$5:$A$200,'Source Inventory'!$G$5:$G$200),"")</f>
        <v/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FA-000028 carries NBV $914.09 for MD-00028; operating status In Use at New York. HR row shows Megan Copeland (E0028) as Active. transfer TR-00028 dated May 01, 2026, received 2026-05-02, APR-00028. purchasing extract lists PO-2023-0006.</t>
        </is>
      </c>
      <c r="L32" s="7" t="inlineStr">
        <is>
          <t>2026-08-05</t>
        </is>
      </c>
      <c r="M32" s="7">
        <f>IFERROR(XLOOKUP(A32,'Source Inventory'!$A$5:$A$200,'Source Inventory'!$H$5:$H$200),"")</f>
        <v/>
      </c>
      <c r="N32" s="7" t="n">
        <v>914.09</v>
      </c>
      <c r="O32" s="7">
        <f>IFERROR(XLOOKUP(A32,'Source Ledger'!$B$5:$B$200,'Source Ledger'!$A$5:$A$200),"")</f>
        <v/>
      </c>
      <c r="P32" s="7">
        <f>IFERROR(XLOOKUP(A32,'Source Ledger'!$B$5:$B$200,'Source Ledger'!$D$5:$D$200),"")</f>
        <v/>
      </c>
      <c r="Q32" s="9" t="inlineStr">
        <is>
          <t>High</t>
        </is>
      </c>
      <c r="R32" s="7" t="inlineStr">
        <is>
          <t>EX-0007</t>
        </is>
      </c>
      <c r="S32" s="7">
        <f>IF(OR(R32="",R32=0),"No","Yes")</f>
        <v/>
      </c>
      <c r="T32">
        <f>IFERROR(XLOOKUP(A32,'Source Ledger'!$B$5:$B$200,'Source Ledger'!$E$5:$E$200),"")</f>
        <v/>
      </c>
      <c r="U32">
        <f>IFERROR(XLOOKUP(A32,'Source Ledger'!$B$5:$B$200,'Source Ledger'!$H$5:$H$200),"")</f>
        <v/>
      </c>
      <c r="V32">
        <f>IFERROR(XLOOKUP(A32,'Source Ledger'!$B$5:$B$200,'Source Ledger'!$G$5:$G$200),"")</f>
        <v/>
      </c>
      <c r="W32">
        <f>IF(OR(M32="",T32=""),"",T32-M32)</f>
        <v/>
      </c>
      <c r="X32">
        <f>IF(V32="","No","Yes")</f>
        <v/>
      </c>
    </row>
    <row r="33">
      <c r="A33" s="7" t="inlineStr">
        <is>
          <t>MD-00029</t>
        </is>
      </c>
      <c r="B33" s="7">
        <f>IFERROR(XLOOKUP(A33,'Source Inventory'!$A$5:$A$200,'Source Inventory'!$B$5:$B$200),"")</f>
        <v/>
      </c>
      <c r="C33" s="7">
        <f>IFERROR(XLOOKUP(A33,'Source Inventory'!$A$5:$A$200,'Source Inventory'!$C$5:$C$200),"")</f>
        <v/>
      </c>
      <c r="D33" s="7">
        <f>IFERROR(XLOOKUP(A33,'Source Inventory'!$A$5:$A$200,'Source Inventory'!$D$5:$D$200),"")</f>
        <v/>
      </c>
      <c r="E33" s="7">
        <f>IFERROR(XLOOKUP(A33,'Source Inventory'!$A$5:$A$200,'Source Inventory'!$E$5:$E$200),"")</f>
        <v/>
      </c>
      <c r="F33" s="7">
        <f>IFERROR(XLOOKUP(A33,'Source Inventory'!$A$5:$A$200,'Source Inventory'!$F$5:$F$200),"")</f>
        <v/>
      </c>
      <c r="G33" s="7">
        <f>IFERROR(XLOOKUP(A33,'Source Inventory'!$A$5:$A$200,'Source Inventory'!$G$5:$G$200),"")</f>
        <v/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MD-00029 custodian Omar Haddad (E0029) is Active in hr_employee_status; site Seattle, status In Use. transfer TR-00029 dated Jun 05, 2026, received 2026-06-11, APR-00029. ledger FA-000029 NBV $0. buy path PO-2023-0006.</t>
        </is>
      </c>
      <c r="L33" s="7" t="inlineStr">
        <is>
          <t>2026-08-05</t>
        </is>
      </c>
      <c r="M33" s="7">
        <f>IFERROR(XLOOKUP(A33,'Source Inventory'!$A$5:$A$200,'Source Inventory'!$H$5:$H$200),"")</f>
        <v/>
      </c>
      <c r="N33" s="7" t="n">
        <v>0</v>
      </c>
      <c r="O33" s="7">
        <f>IFERROR(XLOOKUP(A33,'Source Ledger'!$B$5:$B$200,'Source Ledger'!$A$5:$A$200),"")</f>
        <v/>
      </c>
      <c r="P33" s="7">
        <f>IFERROR(XLOOKUP(A33,'Source Ledger'!$B$5:$B$200,'Source Ledger'!$D$5:$D$200),"")</f>
        <v/>
      </c>
      <c r="Q33" s="9" t="inlineStr">
        <is>
          <t>High</t>
        </is>
      </c>
      <c r="R33" s="7" t="inlineStr">
        <is>
          <t>EX-0008</t>
        </is>
      </c>
      <c r="S33" s="7">
        <f>IF(OR(R33="",R33=0),"No","Yes")</f>
        <v/>
      </c>
      <c r="T33">
        <f>IFERROR(XLOOKUP(A33,'Source Ledger'!$B$5:$B$200,'Source Ledger'!$E$5:$E$200),"")</f>
        <v/>
      </c>
      <c r="U33">
        <f>IFERROR(XLOOKUP(A33,'Source Ledger'!$B$5:$B$200,'Source Ledger'!$H$5:$H$200),"")</f>
        <v/>
      </c>
      <c r="V33">
        <f>IFERROR(XLOOKUP(A33,'Source Ledger'!$B$5:$B$200,'Source Ledger'!$G$5:$G$200),"")</f>
        <v/>
      </c>
      <c r="W33">
        <f>IF(OR(M33="",T33=""),"",T33-M33)</f>
        <v/>
      </c>
      <c r="X33">
        <f>IF(V33="","No","Yes")</f>
        <v/>
      </c>
    </row>
    <row r="34">
      <c r="A34" s="7" t="inlineStr">
        <is>
          <t>MD-00030</t>
        </is>
      </c>
      <c r="B34" s="7">
        <f>IFERROR(XLOOKUP(A34,'Source Inventory'!$A$5:$A$200,'Source Inventory'!$B$5:$B$200),"")</f>
        <v/>
      </c>
      <c r="C34" s="7">
        <f>IFERROR(XLOOKUP(A34,'Source Inventory'!$A$5:$A$200,'Source Inventory'!$C$5:$C$200),"")</f>
        <v/>
      </c>
      <c r="D34" s="7">
        <f>IFERROR(XLOOKUP(A34,'Source Inventory'!$A$5:$A$200,'Source Inventory'!$D$5:$D$200),"")</f>
        <v/>
      </c>
      <c r="E34" s="7">
        <f>IFERROR(XLOOKUP(A34,'Source Inventory'!$A$5:$A$200,'Source Inventory'!$E$5:$E$200),"")</f>
        <v/>
      </c>
      <c r="F34" s="7">
        <f>IFERROR(XLOOKUP(A34,'Source Inventory'!$A$5:$A$200,'Source Inventory'!$F$5:$F$200),"")</f>
        <v/>
      </c>
      <c r="G34" s="7">
        <f>IFERROR(XLOOKUP(A34,'Source Inventory'!$A$5:$A$200,'Source Inventory'!$G$5:$G$200),"")</f>
        <v/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PO-2023-0006 and FA-000030 both cite MD-00030 (Samsung ViewFinity S8); register basis $610. transfer TR-00030 dated Jan 10, 2026, received 2026-01-13, APR-00030. HR row shows Stephanie Ruiz (E0030) as Active.</t>
        </is>
      </c>
      <c r="L34" s="7" t="inlineStr">
        <is>
          <t>2026-08-05</t>
        </is>
      </c>
      <c r="M34" s="7">
        <f>IFERROR(XLOOKUP(A34,'Source Inventory'!$A$5:$A$200,'Source Inventory'!$H$5:$H$200),"")</f>
        <v/>
      </c>
      <c r="N34" s="7" t="n">
        <v>355.14</v>
      </c>
      <c r="O34" s="7">
        <f>IFERROR(XLOOKUP(A34,'Source Ledger'!$B$5:$B$200,'Source Ledger'!$A$5:$A$200),"")</f>
        <v/>
      </c>
      <c r="P34" s="7">
        <f>IFERROR(XLOOKUP(A34,'Source Ledger'!$B$5:$B$200,'Source Ledger'!$D$5:$D$200),"")</f>
        <v/>
      </c>
      <c r="Q34" s="9" t="inlineStr">
        <is>
          <t>High</t>
        </is>
      </c>
      <c r="R34" s="7" t="inlineStr">
        <is>
          <t>EX-0009</t>
        </is>
      </c>
      <c r="S34" s="7">
        <f>IF(OR(R34="",R34=0),"No","Yes")</f>
        <v/>
      </c>
      <c r="T34">
        <f>IFERROR(XLOOKUP(A34,'Source Ledger'!$B$5:$B$200,'Source Ledger'!$E$5:$E$200),"")</f>
        <v/>
      </c>
      <c r="U34">
        <f>IFERROR(XLOOKUP(A34,'Source Ledger'!$B$5:$B$200,'Source Ledger'!$H$5:$H$200),"")</f>
        <v/>
      </c>
      <c r="V34">
        <f>IFERROR(XLOOKUP(A34,'Source Ledger'!$B$5:$B$200,'Source Ledger'!$G$5:$G$200),"")</f>
        <v/>
      </c>
      <c r="W34">
        <f>IF(OR(M34="",T34=""),"",T34-M34)</f>
        <v/>
      </c>
      <c r="X34">
        <f>IF(V34="","No","Yes")</f>
        <v/>
      </c>
    </row>
    <row r="35">
      <c r="A35" s="7" t="inlineStr">
        <is>
          <t>MD-00031</t>
        </is>
      </c>
      <c r="B35" s="7">
        <f>IFERROR(XLOOKUP(A35,'Source Inventory'!$A$5:$A$200,'Source Inventory'!$B$5:$B$200),"")</f>
        <v/>
      </c>
      <c r="C35" s="7">
        <f>IFERROR(XLOOKUP(A35,'Source Inventory'!$A$5:$A$200,'Source Inventory'!$C$5:$C$200),"")</f>
        <v/>
      </c>
      <c r="D35" s="7">
        <f>IFERROR(XLOOKUP(A35,'Source Inventory'!$A$5:$A$200,'Source Inventory'!$D$5:$D$200),"")</f>
        <v/>
      </c>
      <c r="E35" s="7">
        <f>IFERROR(XLOOKUP(A35,'Source Inventory'!$A$5:$A$200,'Source Inventory'!$E$5:$E$200),"")</f>
        <v/>
      </c>
      <c r="F35" s="7">
        <f>IFERROR(XLOOKUP(A35,'Source Inventory'!$A$5:$A$200,'Source Inventory'!$F$5:$F$200),"")</f>
        <v/>
      </c>
      <c r="G35" s="7">
        <f>IFERROR(XLOOKUP(A35,'Source Inventory'!$A$5:$A$200,'Source Inventory'!$G$5:$G$200),"")</f>
        <v/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TR-00031 moved MD-00031 (MD-MO-050031); inbound 2026-02-11; now In Use / Chicago. ledger FA-000031 NBV $722.59. HR row shows Keith Moreau (E0031) as Active. buy path PO-2023-0006.</t>
        </is>
      </c>
      <c r="L35" s="7" t="inlineStr">
        <is>
          <t>2026-08-05</t>
        </is>
      </c>
      <c r="M35" s="7">
        <f>IFERROR(XLOOKUP(A35,'Source Inventory'!$A$5:$A$200,'Source Inventory'!$H$5:$H$200),"")</f>
        <v/>
      </c>
      <c r="N35" s="7" t="n">
        <v>722.59</v>
      </c>
      <c r="O35" s="7">
        <f>IFERROR(XLOOKUP(A35,'Source Ledger'!$B$5:$B$200,'Source Ledger'!$A$5:$A$200),"")</f>
        <v/>
      </c>
      <c r="P35" s="7">
        <f>IFERROR(XLOOKUP(A35,'Source Ledger'!$B$5:$B$200,'Source Ledger'!$D$5:$D$200),"")</f>
        <v/>
      </c>
      <c r="Q35" s="9" t="inlineStr">
        <is>
          <t>High</t>
        </is>
      </c>
      <c r="R35" s="7" t="inlineStr">
        <is>
          <t>EX-0010</t>
        </is>
      </c>
      <c r="S35" s="7">
        <f>IF(OR(R35="",R35=0),"No","Yes")</f>
        <v/>
      </c>
      <c r="T35">
        <f>IFERROR(XLOOKUP(A35,'Source Ledger'!$B$5:$B$200,'Source Ledger'!$E$5:$E$200),"")</f>
        <v/>
      </c>
      <c r="U35">
        <f>IFERROR(XLOOKUP(A35,'Source Ledger'!$B$5:$B$200,'Source Ledger'!$H$5:$H$200),"")</f>
        <v/>
      </c>
      <c r="V35">
        <f>IFERROR(XLOOKUP(A35,'Source Ledger'!$B$5:$B$200,'Source Ledger'!$G$5:$G$200),"")</f>
        <v/>
      </c>
      <c r="W35">
        <f>IF(OR(M35="",T35=""),"",T35-M35)</f>
        <v/>
      </c>
      <c r="X35">
        <f>IF(V35="","No","Yes")</f>
        <v/>
      </c>
    </row>
    <row r="36">
      <c r="A36" s="7" t="inlineStr">
        <is>
          <t>MD-00032</t>
        </is>
      </c>
      <c r="B36" s="7">
        <f>IFERROR(XLOOKUP(A36,'Source Inventory'!$A$5:$A$200,'Source Inventory'!$B$5:$B$200),"")</f>
        <v/>
      </c>
      <c r="C36" s="7">
        <f>IFERROR(XLOOKUP(A36,'Source Inventory'!$A$5:$A$200,'Source Inventory'!$C$5:$C$200),"")</f>
        <v/>
      </c>
      <c r="D36" s="7">
        <f>IFERROR(XLOOKUP(A36,'Source Inventory'!$A$5:$A$200,'Source Inventory'!$D$5:$D$200),"")</f>
        <v/>
      </c>
      <c r="E36" s="7">
        <f>IFERROR(XLOOKUP(A36,'Source Inventory'!$A$5:$A$200,'Source Inventory'!$E$5:$E$200),"")</f>
        <v/>
      </c>
      <c r="F36" s="7">
        <f>IFERROR(XLOOKUP(A36,'Source Inventory'!$A$5:$A$200,'Source Inventory'!$F$5:$F$200),"")</f>
        <v/>
      </c>
      <c r="G36" s="7">
        <f>IFERROR(XLOOKUP(A36,'Source Inventory'!$A$5:$A$200,'Source Inventory'!$G$5:$G$200),"")</f>
        <v/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MD-00032 / MD-NE-050032: Dell P2422H at Dallas marked In Use; acquisition $6,380. ledger FA-000032 NBV $1,384.30. buy path PO-2023-0006. HR row shows Diana Voss (E0032) as Active. transfer TR-00032 dated Mar 16, 2026, received 2026-03-22, APR-00032.</t>
        </is>
      </c>
      <c r="L36" s="7" t="inlineStr">
        <is>
          <t>2026-08-05</t>
        </is>
      </c>
      <c r="M36" s="7">
        <f>IFERROR(XLOOKUP(A36,'Source Inventory'!$A$5:$A$200,'Source Inventory'!$H$5:$H$200),"")</f>
        <v/>
      </c>
      <c r="N36" s="7" t="n">
        <v>1384.3</v>
      </c>
      <c r="O36" s="7">
        <f>IFERROR(XLOOKUP(A36,'Source Ledger'!$B$5:$B$200,'Source Ledger'!$A$5:$A$200),"")</f>
        <v/>
      </c>
      <c r="P36" s="7">
        <f>IFERROR(XLOOKUP(A36,'Source Ledger'!$B$5:$B$200,'Source Ledger'!$D$5:$D$200),"")</f>
        <v/>
      </c>
      <c r="Q36" s="9" t="inlineStr">
        <is>
          <t>High</t>
        </is>
      </c>
      <c r="R36" s="7" t="inlineStr">
        <is>
          <t>EX-0011</t>
        </is>
      </c>
      <c r="S36" s="7">
        <f>IF(OR(R36="",R36=0),"No","Yes")</f>
        <v/>
      </c>
      <c r="T36">
        <f>IFERROR(XLOOKUP(A36,'Source Ledger'!$B$5:$B$200,'Source Ledger'!$E$5:$E$200),"")</f>
        <v/>
      </c>
      <c r="U36">
        <f>IFERROR(XLOOKUP(A36,'Source Ledger'!$B$5:$B$200,'Source Ledger'!$H$5:$H$200),"")</f>
        <v/>
      </c>
      <c r="V36">
        <f>IFERROR(XLOOKUP(A36,'Source Ledger'!$B$5:$B$200,'Source Ledger'!$G$5:$G$200),"")</f>
        <v/>
      </c>
      <c r="W36">
        <f>IF(OR(M36="",T36=""),"",T36-M36)</f>
        <v/>
      </c>
      <c r="X36">
        <f>IF(V36="","No","Yes")</f>
        <v/>
      </c>
    </row>
    <row r="37">
      <c r="A37" s="7" t="inlineStr">
        <is>
          <t>MD-00033</t>
        </is>
      </c>
      <c r="B37" s="7">
        <f>IFERROR(XLOOKUP(A37,'Source Inventory'!$A$5:$A$200,'Source Inventory'!$B$5:$B$200),"")</f>
        <v/>
      </c>
      <c r="C37" s="7">
        <f>IFERROR(XLOOKUP(A37,'Source Inventory'!$A$5:$A$200,'Source Inventory'!$C$5:$C$200),"")</f>
        <v/>
      </c>
      <c r="D37" s="7">
        <f>IFERROR(XLOOKUP(A37,'Source Inventory'!$A$5:$A$200,'Source Inventory'!$D$5:$D$200),"")</f>
        <v/>
      </c>
      <c r="E37" s="7">
        <f>IFERROR(XLOOKUP(A37,'Source Inventory'!$A$5:$A$200,'Source Inventory'!$E$5:$E$200),"")</f>
        <v/>
      </c>
      <c r="F37" s="7">
        <f>IFERROR(XLOOKUP(A37,'Source Inventory'!$A$5:$A$200,'Source Inventory'!$F$5:$F$200),"")</f>
        <v/>
      </c>
      <c r="G37" s="7">
        <f>IFERROR(XLOOKUP(A37,'Source Inventory'!$A$5:$A$200,'Source Inventory'!$G$5:$G$200),"")</f>
        <v/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PO-2023-0006 and FA-000033 both cite MD-00033 (Dell U2723QE); register basis $2,075. HR row shows Jordan Blake (E0033) as Active. transfer TR-00033 dated Apr 20, 2026, received 2026-04-22, APR-00033.</t>
        </is>
      </c>
      <c r="L37" s="7" t="inlineStr">
        <is>
          <t>2026-08-05</t>
        </is>
      </c>
      <c r="M37" s="7">
        <f>IFERROR(XLOOKUP(A37,'Source Inventory'!$A$5:$A$200,'Source Inventory'!$H$5:$H$200),"")</f>
        <v/>
      </c>
      <c r="N37" s="7" t="n">
        <v>116.93</v>
      </c>
      <c r="O37" s="7">
        <f>IFERROR(XLOOKUP(A37,'Source Ledger'!$B$5:$B$200,'Source Ledger'!$A$5:$A$200),"")</f>
        <v/>
      </c>
      <c r="P37" s="7">
        <f>IFERROR(XLOOKUP(A37,'Source Ledger'!$B$5:$B$200,'Source Ledger'!$D$5:$D$200),"")</f>
        <v/>
      </c>
      <c r="Q37" s="9" t="inlineStr">
        <is>
          <t>High</t>
        </is>
      </c>
      <c r="R37" s="7" t="inlineStr">
        <is>
          <t>EX-0012</t>
        </is>
      </c>
      <c r="S37" s="7">
        <f>IF(OR(R37="",R37=0),"No","Yes")</f>
        <v/>
      </c>
      <c r="T37">
        <f>IFERROR(XLOOKUP(A37,'Source Ledger'!$B$5:$B$200,'Source Ledger'!$E$5:$E$200),"")</f>
        <v/>
      </c>
      <c r="U37">
        <f>IFERROR(XLOOKUP(A37,'Source Ledger'!$B$5:$B$200,'Source Ledger'!$H$5:$H$200),"")</f>
        <v/>
      </c>
      <c r="V37">
        <f>IFERROR(XLOOKUP(A37,'Source Ledger'!$B$5:$B$200,'Source Ledger'!$G$5:$G$200),"")</f>
        <v/>
      </c>
      <c r="W37">
        <f>IF(OR(M37="",T37=""),"",T37-M37)</f>
        <v/>
      </c>
      <c r="X37">
        <f>IF(V37="","No","Yes")</f>
        <v/>
      </c>
    </row>
    <row r="38">
      <c r="A38" s="7" t="inlineStr">
        <is>
          <t>MD-00034</t>
        </is>
      </c>
      <c r="B38" s="7">
        <f>IFERROR(XLOOKUP(A38,'Source Inventory'!$A$5:$A$200,'Source Inventory'!$B$5:$B$200),"")</f>
        <v/>
      </c>
      <c r="C38" s="7">
        <f>IFERROR(XLOOKUP(A38,'Source Inventory'!$A$5:$A$200,'Source Inventory'!$C$5:$C$200),"")</f>
        <v/>
      </c>
      <c r="D38" s="7">
        <f>IFERROR(XLOOKUP(A38,'Source Inventory'!$A$5:$A$200,'Source Inventory'!$D$5:$D$200),"")</f>
        <v/>
      </c>
      <c r="E38" s="7">
        <f>IFERROR(XLOOKUP(A38,'Source Inventory'!$A$5:$A$200,'Source Inventory'!$E$5:$E$200),"")</f>
        <v/>
      </c>
      <c r="F38" s="7">
        <f>IFERROR(XLOOKUP(A38,'Source Inventory'!$A$5:$A$200,'Source Inventory'!$F$5:$F$200),"")</f>
        <v/>
      </c>
      <c r="G38" s="7">
        <f>IFERROR(XLOOKUP(A38,'Source Inventory'!$A$5:$A$200,'Source Inventory'!$G$5:$G$200),"")</f>
        <v/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TR-00034 moved MD-00034 (MD-MO-050034); inbound 2026-05-22; now In Use / New York. ledger FA-000034 NBV $479.88. HR row shows Amelia Grant (E0034) as Active. buy path PO-2024-0007.</t>
        </is>
      </c>
      <c r="L38" s="7" t="inlineStr">
        <is>
          <t>2026-08-05</t>
        </is>
      </c>
      <c r="M38" s="7">
        <f>IFERROR(XLOOKUP(A38,'Source Inventory'!$A$5:$A$200,'Source Inventory'!$H$5:$H$200),"")</f>
        <v/>
      </c>
      <c r="N38" s="7" t="n">
        <v>479.88</v>
      </c>
      <c r="O38" s="7">
        <f>IFERROR(XLOOKUP(A38,'Source Ledger'!$B$5:$B$200,'Source Ledger'!$A$5:$A$200),"")</f>
        <v/>
      </c>
      <c r="P38" s="7">
        <f>IFERROR(XLOOKUP(A38,'Source Ledger'!$B$5:$B$200,'Source Ledger'!$D$5:$D$200),"")</f>
        <v/>
      </c>
      <c r="Q38" s="9" t="inlineStr">
        <is>
          <t>High</t>
        </is>
      </c>
      <c r="R38" s="7" t="inlineStr">
        <is>
          <t>EX-0013, EX-0014</t>
        </is>
      </c>
      <c r="S38" s="7">
        <f>IF(OR(R38="",R38=0),"No","Yes")</f>
        <v/>
      </c>
      <c r="T38">
        <f>IFERROR(XLOOKUP(A38,'Source Ledger'!$B$5:$B$200,'Source Ledger'!$E$5:$E$200),"")</f>
        <v/>
      </c>
      <c r="U38">
        <f>IFERROR(XLOOKUP(A38,'Source Ledger'!$B$5:$B$200,'Source Ledger'!$H$5:$H$200),"")</f>
        <v/>
      </c>
      <c r="V38">
        <f>IFERROR(XLOOKUP(A38,'Source Ledger'!$B$5:$B$200,'Source Ledger'!$G$5:$G$200),"")</f>
        <v/>
      </c>
      <c r="W38">
        <f>IF(OR(M38="",T38=""),"",T38-M38)</f>
        <v/>
      </c>
      <c r="X38">
        <f>IF(V38="","No","Yes")</f>
        <v/>
      </c>
    </row>
    <row r="39">
      <c r="A39" s="7" t="inlineStr">
        <is>
          <t>MD-00035</t>
        </is>
      </c>
      <c r="B39" s="7">
        <f>IFERROR(XLOOKUP(A39,'Source Inventory'!$A$5:$A$200,'Source Inventory'!$B$5:$B$200),"")</f>
        <v/>
      </c>
      <c r="C39" s="7">
        <f>IFERROR(XLOOKUP(A39,'Source Inventory'!$A$5:$A$200,'Source Inventory'!$C$5:$C$200),"")</f>
        <v/>
      </c>
      <c r="D39" s="7">
        <f>IFERROR(XLOOKUP(A39,'Source Inventory'!$A$5:$A$200,'Source Inventory'!$D$5:$D$200),"")</f>
        <v/>
      </c>
      <c r="E39" s="7">
        <f>IFERROR(XLOOKUP(A39,'Source Inventory'!$A$5:$A$200,'Source Inventory'!$E$5:$E$200),"")</f>
        <v/>
      </c>
      <c r="F39" s="7">
        <f>IFERROR(XLOOKUP(A39,'Source Inventory'!$A$5:$A$200,'Source Inventory'!$F$5:$F$200),"")</f>
        <v/>
      </c>
      <c r="G39" s="7">
        <f>IFERROR(XLOOKUP(A39,'Source Inventory'!$A$5:$A$200,'Source Inventory'!$G$5:$G$200),"")</f>
        <v/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MD-00035 / MD-MO-050035: Samsung ViewFinity S8 at Seattle marked In Use; acquisition $950. HR row shows Rafael Mendes (E0035) as Active. ledger FA-000035 NBV $741.92. transfer TR-00035 dated Jun 26, 2026, received 2026-06-30, APR-00035. buy path PO-2024-0007.</t>
        </is>
      </c>
      <c r="L39" s="7" t="inlineStr">
        <is>
          <t>2026-08-05</t>
        </is>
      </c>
      <c r="M39" s="7">
        <f>IFERROR(XLOOKUP(A39,'Source Inventory'!$A$5:$A$200,'Source Inventory'!$H$5:$H$200),"")</f>
        <v/>
      </c>
      <c r="N39" s="7" t="n">
        <v>741.92</v>
      </c>
      <c r="O39" s="7">
        <f>IFERROR(XLOOKUP(A39,'Source Ledger'!$B$5:$B$200,'Source Ledger'!$A$5:$A$200),"")</f>
        <v/>
      </c>
      <c r="P39" s="7">
        <f>IFERROR(XLOOKUP(A39,'Source Ledger'!$B$5:$B$200,'Source Ledger'!$D$5:$D$200),"")</f>
        <v/>
      </c>
      <c r="Q39" s="9" t="inlineStr">
        <is>
          <t>High</t>
        </is>
      </c>
      <c r="R39" s="7" t="inlineStr">
        <is>
          <t>EX-0015</t>
        </is>
      </c>
      <c r="S39" s="7">
        <f>IF(OR(R39="",R39=0),"No","Yes")</f>
        <v/>
      </c>
      <c r="T39">
        <f>IFERROR(XLOOKUP(A39,'Source Ledger'!$B$5:$B$200,'Source Ledger'!$E$5:$E$200),"")</f>
        <v/>
      </c>
      <c r="U39">
        <f>IFERROR(XLOOKUP(A39,'Source Ledger'!$B$5:$B$200,'Source Ledger'!$H$5:$H$200),"")</f>
        <v/>
      </c>
      <c r="V39">
        <f>IFERROR(XLOOKUP(A39,'Source Ledger'!$B$5:$B$200,'Source Ledger'!$G$5:$G$200),"")</f>
        <v/>
      </c>
      <c r="W39">
        <f>IF(OR(M39="",T39=""),"",T39-M39)</f>
        <v/>
      </c>
      <c r="X39">
        <f>IF(V39="","No","Yes")</f>
        <v/>
      </c>
    </row>
    <row r="40">
      <c r="A40" s="7" t="inlineStr">
        <is>
          <t>MD-00036</t>
        </is>
      </c>
      <c r="B40" s="7">
        <f>IFERROR(XLOOKUP(A40,'Source Inventory'!$A$5:$A$200,'Source Inventory'!$B$5:$B$200),"")</f>
        <v/>
      </c>
      <c r="C40" s="7">
        <f>IFERROR(XLOOKUP(A40,'Source Inventory'!$A$5:$A$200,'Source Inventory'!$C$5:$C$200),"")</f>
        <v/>
      </c>
      <c r="D40" s="7">
        <f>IFERROR(XLOOKUP(A40,'Source Inventory'!$A$5:$A$200,'Source Inventory'!$D$5:$D$200),"")</f>
        <v/>
      </c>
      <c r="E40" s="7">
        <f>IFERROR(XLOOKUP(A40,'Source Inventory'!$A$5:$A$200,'Source Inventory'!$E$5:$E$200),"")</f>
        <v/>
      </c>
      <c r="F40" s="7">
        <f>IFERROR(XLOOKUP(A40,'Source Inventory'!$A$5:$A$200,'Source Inventory'!$F$5:$F$200),"")</f>
        <v/>
      </c>
      <c r="G40" s="7">
        <f>IFERROR(XLOOKUP(A40,'Source Inventory'!$A$5:$A$200,'Source Inventory'!$G$5:$G$200),"")</f>
        <v/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FA-000036 carries NBV $537.73 for MD-00036; operating status In Use at Atlanta. HR row shows Kate Sorenson (E0036) as Active. purchasing extract lists PO-2025-0008. transfer TR-00036 dated Jan 30, 2026, received 2026-02-01, APR-00036.</t>
        </is>
      </c>
      <c r="L40" s="7" t="inlineStr">
        <is>
          <t>2026-08-05</t>
        </is>
      </c>
      <c r="M40" s="7">
        <f>IFERROR(XLOOKUP(A40,'Source Inventory'!$A$5:$A$200,'Source Inventory'!$H$5:$H$200),"")</f>
        <v/>
      </c>
      <c r="N40" s="7" t="n">
        <v>537.73</v>
      </c>
      <c r="O40" s="7">
        <f>IFERROR(XLOOKUP(A40,'Source Ledger'!$B$5:$B$200,'Source Ledger'!$A$5:$A$200),"")</f>
        <v/>
      </c>
      <c r="P40" s="7">
        <f>IFERROR(XLOOKUP(A40,'Source Ledger'!$B$5:$B$200,'Source Ledger'!$D$5:$D$200),"")</f>
        <v/>
      </c>
      <c r="Q40" s="9" t="inlineStr">
        <is>
          <t>High</t>
        </is>
      </c>
      <c r="R40" s="7" t="inlineStr">
        <is>
          <t>EX-0016</t>
        </is>
      </c>
      <c r="S40" s="7">
        <f>IF(OR(R40="",R40=0),"No","Yes")</f>
        <v/>
      </c>
      <c r="T40">
        <f>IFERROR(XLOOKUP(A40,'Source Ledger'!$B$5:$B$200,'Source Ledger'!$E$5:$E$200),"")</f>
        <v/>
      </c>
      <c r="U40">
        <f>IFERROR(XLOOKUP(A40,'Source Ledger'!$B$5:$B$200,'Source Ledger'!$H$5:$H$200),"")</f>
        <v/>
      </c>
      <c r="V40">
        <f>IFERROR(XLOOKUP(A40,'Source Ledger'!$B$5:$B$200,'Source Ledger'!$G$5:$G$200),"")</f>
        <v/>
      </c>
      <c r="W40">
        <f>IF(OR(M40="",T40=""),"",T40-M40)</f>
        <v/>
      </c>
      <c r="X40">
        <f>IF(V40="","No","Yes")</f>
        <v/>
      </c>
    </row>
    <row r="41">
      <c r="A41" s="7" t="inlineStr">
        <is>
          <t>MD-00037</t>
        </is>
      </c>
      <c r="B41" s="7">
        <f>IFERROR(XLOOKUP(A41,'Source Inventory'!$A$5:$A$200,'Source Inventory'!$B$5:$B$200),"")</f>
        <v/>
      </c>
      <c r="C41" s="7">
        <f>IFERROR(XLOOKUP(A41,'Source Inventory'!$A$5:$A$200,'Source Inventory'!$C$5:$C$200),"")</f>
        <v/>
      </c>
      <c r="D41" s="7">
        <f>IFERROR(XLOOKUP(A41,'Source Inventory'!$A$5:$A$200,'Source Inventory'!$D$5:$D$200),"")</f>
        <v/>
      </c>
      <c r="E41" s="7">
        <f>IFERROR(XLOOKUP(A41,'Source Inventory'!$A$5:$A$200,'Source Inventory'!$E$5:$E$200),"")</f>
        <v/>
      </c>
      <c r="F41" s="7">
        <f>IFERROR(XLOOKUP(A41,'Source Inventory'!$A$5:$A$200,'Source Inventory'!$F$5:$F$200),"")</f>
        <v/>
      </c>
      <c r="G41" s="7">
        <f>IFERROR(XLOOKUP(A41,'Source Inventory'!$A$5:$A$200,'Source Inventory'!$G$5:$G$200),"")</f>
        <v/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MD-00037 custodian Victor Lang (E0037) is Active in hr_employee_status; site Chicago, status In Use. ledger FA-000037 NBV $0. transfer TR-00037 dated Feb 02, 2026, received 2026-02-02, APR-00037. buy path PO-2025-0008.</t>
        </is>
      </c>
      <c r="L41" s="7" t="inlineStr">
        <is>
          <t>2026-08-05</t>
        </is>
      </c>
      <c r="M41" s="7">
        <f>IFERROR(XLOOKUP(A41,'Source Inventory'!$A$5:$A$200,'Source Inventory'!$H$5:$H$200),"")</f>
        <v/>
      </c>
      <c r="N41" s="7" t="n">
        <v>0</v>
      </c>
      <c r="O41" s="7">
        <f>IFERROR(XLOOKUP(A41,'Source Ledger'!$B$5:$B$200,'Source Ledger'!$A$5:$A$200),"")</f>
        <v/>
      </c>
      <c r="P41" s="7">
        <f>IFERROR(XLOOKUP(A41,'Source Ledger'!$B$5:$B$200,'Source Ledger'!$D$5:$D$200),"")</f>
        <v/>
      </c>
      <c r="Q41" s="9" t="inlineStr">
        <is>
          <t>High</t>
        </is>
      </c>
      <c r="R41" s="7" t="inlineStr">
        <is>
          <t>EX-0017</t>
        </is>
      </c>
      <c r="S41" s="7">
        <f>IF(OR(R41="",R41=0),"No","Yes")</f>
        <v/>
      </c>
      <c r="T41">
        <f>IFERROR(XLOOKUP(A41,'Source Ledger'!$B$5:$B$200,'Source Ledger'!$E$5:$E$200),"")</f>
        <v/>
      </c>
      <c r="U41">
        <f>IFERROR(XLOOKUP(A41,'Source Ledger'!$B$5:$B$200,'Source Ledger'!$H$5:$H$200),"")</f>
        <v/>
      </c>
      <c r="V41">
        <f>IFERROR(XLOOKUP(A41,'Source Ledger'!$B$5:$B$200,'Source Ledger'!$G$5:$G$200),"")</f>
        <v/>
      </c>
      <c r="W41">
        <f>IF(OR(M41="",T41=""),"",T41-M41)</f>
        <v/>
      </c>
      <c r="X41">
        <f>IF(V41="","No","Yes")</f>
        <v/>
      </c>
    </row>
    <row r="42">
      <c r="A42" s="7" t="inlineStr">
        <is>
          <t>MD-00038</t>
        </is>
      </c>
      <c r="B42" s="7">
        <f>IFERROR(XLOOKUP(A42,'Source Inventory'!$A$5:$A$200,'Source Inventory'!$B$5:$B$200),"")</f>
        <v/>
      </c>
      <c r="C42" s="7">
        <f>IFERROR(XLOOKUP(A42,'Source Inventory'!$A$5:$A$200,'Source Inventory'!$C$5:$C$200),"")</f>
        <v/>
      </c>
      <c r="D42" s="7">
        <f>IFERROR(XLOOKUP(A42,'Source Inventory'!$A$5:$A$200,'Source Inventory'!$D$5:$D$200),"")</f>
        <v/>
      </c>
      <c r="E42" s="7">
        <f>IFERROR(XLOOKUP(A42,'Source Inventory'!$A$5:$A$200,'Source Inventory'!$E$5:$E$200),"")</f>
        <v/>
      </c>
      <c r="F42" s="7">
        <f>IFERROR(XLOOKUP(A42,'Source Inventory'!$A$5:$A$200,'Source Inventory'!$F$5:$F$200),"")</f>
        <v/>
      </c>
      <c r="G42" s="7">
        <f>IFERROR(XLOOKUP(A42,'Source Inventory'!$A$5:$A$200,'Source Inventory'!$G$5:$G$200),"")</f>
        <v/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MD-00038 / MD-MO-050038: Samsung Galaxy S24 at Dallas marked In Use; acquisition $655. transfer TR-00038 dated Mar 07, 2026, received 2026-03-11, APR-00038. buy path PO-2025-0008. ledger FA-000038 NBV $340.46. HR row shows Noelle Harper (E0038) as Active.</t>
        </is>
      </c>
      <c r="L42" s="7" t="inlineStr">
        <is>
          <t>2026-08-05</t>
        </is>
      </c>
      <c r="M42" s="7">
        <f>IFERROR(XLOOKUP(A42,'Source Inventory'!$A$5:$A$200,'Source Inventory'!$H$5:$H$200),"")</f>
        <v/>
      </c>
      <c r="N42" s="7" t="n">
        <v>340.46</v>
      </c>
      <c r="O42" s="7">
        <f>IFERROR(XLOOKUP(A42,'Source Ledger'!$B$5:$B$200,'Source Ledger'!$A$5:$A$200),"")</f>
        <v/>
      </c>
      <c r="P42" s="7">
        <f>IFERROR(XLOOKUP(A42,'Source Ledger'!$B$5:$B$200,'Source Ledger'!$D$5:$D$200),"")</f>
        <v/>
      </c>
      <c r="Q42" s="9" t="inlineStr">
        <is>
          <t>High</t>
        </is>
      </c>
      <c r="R42" s="7" t="inlineStr">
        <is>
          <t>EX-0018</t>
        </is>
      </c>
      <c r="S42" s="7">
        <f>IF(OR(R42="",R42=0),"No","Yes")</f>
        <v/>
      </c>
      <c r="T42">
        <f>IFERROR(XLOOKUP(A42,'Source Ledger'!$B$5:$B$200,'Source Ledger'!$E$5:$E$200),"")</f>
        <v/>
      </c>
      <c r="U42">
        <f>IFERROR(XLOOKUP(A42,'Source Ledger'!$B$5:$B$200,'Source Ledger'!$H$5:$H$200),"")</f>
        <v/>
      </c>
      <c r="V42">
        <f>IFERROR(XLOOKUP(A42,'Source Ledger'!$B$5:$B$200,'Source Ledger'!$G$5:$G$200),"")</f>
        <v/>
      </c>
      <c r="W42">
        <f>IF(OR(M42="",T42=""),"",T42-M42)</f>
        <v/>
      </c>
      <c r="X42">
        <f>IF(V42="","No","Yes")</f>
        <v/>
      </c>
    </row>
    <row r="43">
      <c r="A43" s="7" t="inlineStr">
        <is>
          <t>MD-00039</t>
        </is>
      </c>
      <c r="B43" s="7">
        <f>IFERROR(XLOOKUP(A43,'Source Inventory'!$A$5:$A$200,'Source Inventory'!$B$5:$B$200),"")</f>
        <v/>
      </c>
      <c r="C43" s="7">
        <f>IFERROR(XLOOKUP(A43,'Source Inventory'!$A$5:$A$200,'Source Inventory'!$C$5:$C$200),"")</f>
        <v/>
      </c>
      <c r="D43" s="7">
        <f>IFERROR(XLOOKUP(A43,'Source Inventory'!$A$5:$A$200,'Source Inventory'!$D$5:$D$200),"")</f>
        <v/>
      </c>
      <c r="E43" s="7">
        <f>IFERROR(XLOOKUP(A43,'Source Inventory'!$A$5:$A$200,'Source Inventory'!$E$5:$E$200),"")</f>
        <v/>
      </c>
      <c r="F43" s="7">
        <f>IFERROR(XLOOKUP(A43,'Source Inventory'!$A$5:$A$200,'Source Inventory'!$F$5:$F$200),"")</f>
        <v/>
      </c>
      <c r="G43" s="7">
        <f>IFERROR(XLOOKUP(A43,'Source Inventory'!$A$5:$A$200,'Source Inventory'!$G$5:$G$200),"")</f>
        <v/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FA-000039 carries NBV $635 for MD-00039; operating status In Use at Denver. purchasing extract lists PO-2025-0008. transfer TR-00039 dated Apr 12, 2026, received 2026-04-14, APR-00039. HR row shows Samir Kapoor (E0039) as Active.</t>
        </is>
      </c>
      <c r="L43" s="7" t="inlineStr">
        <is>
          <t>2026-08-05</t>
        </is>
      </c>
      <c r="M43" s="7">
        <f>IFERROR(XLOOKUP(A43,'Source Inventory'!$A$5:$A$200,'Source Inventory'!$H$5:$H$200),"")</f>
        <v/>
      </c>
      <c r="N43" s="7" t="n">
        <v>635</v>
      </c>
      <c r="O43" s="7">
        <f>IFERROR(XLOOKUP(A43,'Source Ledger'!$B$5:$B$200,'Source Ledger'!$A$5:$A$200),"")</f>
        <v/>
      </c>
      <c r="P43" s="7">
        <f>IFERROR(XLOOKUP(A43,'Source Ledger'!$B$5:$B$200,'Source Ledger'!$D$5:$D$200),"")</f>
        <v/>
      </c>
      <c r="Q43" s="9" t="inlineStr">
        <is>
          <t>High</t>
        </is>
      </c>
      <c r="R43" s="7" t="inlineStr">
        <is>
          <t>EX-0019</t>
        </is>
      </c>
      <c r="S43" s="7">
        <f>IF(OR(R43="",R43=0),"No","Yes")</f>
        <v/>
      </c>
      <c r="T43">
        <f>IFERROR(XLOOKUP(A43,'Source Ledger'!$B$5:$B$200,'Source Ledger'!$E$5:$E$200),"")</f>
        <v/>
      </c>
      <c r="U43">
        <f>IFERROR(XLOOKUP(A43,'Source Ledger'!$B$5:$B$200,'Source Ledger'!$H$5:$H$200),"")</f>
        <v/>
      </c>
      <c r="V43">
        <f>IFERROR(XLOOKUP(A43,'Source Ledger'!$B$5:$B$200,'Source Ledger'!$G$5:$G$200),"")</f>
        <v/>
      </c>
      <c r="W43">
        <f>IF(OR(M43="",T43=""),"",T43-M43)</f>
        <v/>
      </c>
      <c r="X43">
        <f>IF(V43="","No","Yes")</f>
        <v/>
      </c>
    </row>
    <row r="44">
      <c r="A44" s="7" t="inlineStr">
        <is>
          <t>MD-00040</t>
        </is>
      </c>
      <c r="B44" s="7">
        <f>IFERROR(XLOOKUP(A44,'Source Inventory'!$A$5:$A$200,'Source Inventory'!$B$5:$B$200),"")</f>
        <v/>
      </c>
      <c r="C44" s="7">
        <f>IFERROR(XLOOKUP(A44,'Source Inventory'!$A$5:$A$200,'Source Inventory'!$C$5:$C$200),"")</f>
        <v/>
      </c>
      <c r="D44" s="7">
        <f>IFERROR(XLOOKUP(A44,'Source Inventory'!$A$5:$A$200,'Source Inventory'!$D$5:$D$200),"")</f>
        <v/>
      </c>
      <c r="E44" s="7">
        <f>IFERROR(XLOOKUP(A44,'Source Inventory'!$A$5:$A$200,'Source Inventory'!$E$5:$E$200),"")</f>
        <v/>
      </c>
      <c r="F44" s="7">
        <f>IFERROR(XLOOKUP(A44,'Source Inventory'!$A$5:$A$200,'Source Inventory'!$F$5:$F$200),"")</f>
        <v/>
      </c>
      <c r="G44" s="7">
        <f>IFERROR(XLOOKUP(A44,'Source Inventory'!$A$5:$A$200,'Source Inventory'!$G$5:$G$200),"")</f>
        <v/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MD-00040 / MD-NE-050040: Samsung Galaxy S23 FE at New York marked In Use; acquisition $6,425. HR row shows Holly Jensen (E0040) as Active. buy path PO-2025-0008. ledger FA-000040 NBV $989.48. transfer TR-00040 dated May 13, 2026, received 2026-05-13, APR-00040.</t>
        </is>
      </c>
      <c r="L44" s="7" t="inlineStr">
        <is>
          <t>2026-08-05</t>
        </is>
      </c>
      <c r="M44" s="7">
        <f>IFERROR(XLOOKUP(A44,'Source Inventory'!$A$5:$A$200,'Source Inventory'!$H$5:$H$200),"")</f>
        <v/>
      </c>
      <c r="N44" s="7" t="n">
        <v>989.48</v>
      </c>
      <c r="O44" s="7">
        <f>IFERROR(XLOOKUP(A44,'Source Ledger'!$B$5:$B$200,'Source Ledger'!$A$5:$A$200),"")</f>
        <v/>
      </c>
      <c r="P44" s="7">
        <f>IFERROR(XLOOKUP(A44,'Source Ledger'!$B$5:$B$200,'Source Ledger'!$D$5:$D$200),"")</f>
        <v/>
      </c>
      <c r="Q44" s="9" t="inlineStr">
        <is>
          <t>High</t>
        </is>
      </c>
      <c r="R44" s="7" t="inlineStr">
        <is>
          <t>EX-0020</t>
        </is>
      </c>
      <c r="S44" s="7">
        <f>IF(OR(R44="",R44=0),"No","Yes")</f>
        <v/>
      </c>
      <c r="T44">
        <f>IFERROR(XLOOKUP(A44,'Source Ledger'!$B$5:$B$200,'Source Ledger'!$E$5:$E$200),"")</f>
        <v/>
      </c>
      <c r="U44">
        <f>IFERROR(XLOOKUP(A44,'Source Ledger'!$B$5:$B$200,'Source Ledger'!$H$5:$H$200),"")</f>
        <v/>
      </c>
      <c r="V44">
        <f>IFERROR(XLOOKUP(A44,'Source Ledger'!$B$5:$B$200,'Source Ledger'!$G$5:$G$200),"")</f>
        <v/>
      </c>
      <c r="W44">
        <f>IF(OR(M44="",T44=""),"",T44-M44)</f>
        <v/>
      </c>
      <c r="X44">
        <f>IF(V44="","No","Yes")</f>
        <v/>
      </c>
    </row>
    <row r="45">
      <c r="A45" s="7" t="inlineStr">
        <is>
          <t>MD-00041</t>
        </is>
      </c>
      <c r="B45" s="7">
        <f>IFERROR(XLOOKUP(A45,'Source Inventory'!$A$5:$A$200,'Source Inventory'!$B$5:$B$200),"")</f>
        <v/>
      </c>
      <c r="C45" s="7">
        <f>IFERROR(XLOOKUP(A45,'Source Inventory'!$A$5:$A$200,'Source Inventory'!$C$5:$C$200),"")</f>
        <v/>
      </c>
      <c r="D45" s="7">
        <f>IFERROR(XLOOKUP(A45,'Source Inventory'!$A$5:$A$200,'Source Inventory'!$D$5:$D$200),"")</f>
        <v/>
      </c>
      <c r="E45" s="7">
        <f>IFERROR(XLOOKUP(A45,'Source Inventory'!$A$5:$A$200,'Source Inventory'!$E$5:$E$200),"")</f>
        <v/>
      </c>
      <c r="F45" s="7">
        <f>IFERROR(XLOOKUP(A45,'Source Inventory'!$A$5:$A$200,'Source Inventory'!$F$5:$F$200),"")</f>
        <v/>
      </c>
      <c r="G45" s="7">
        <f>IFERROR(XLOOKUP(A45,'Source Inventory'!$A$5:$A$200,'Source Inventory'!$G$5:$G$200),"")</f>
        <v/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PO-2025-0008 and FA-000041 both cite MD-00041 (iPhone 14); register basis $2,120. HR row shows Eric Vann (E0041) as Active. transfer TR-00041 dated Jun 17, 2026, received 2026-06-20, APR-00041.</t>
        </is>
      </c>
      <c r="L45" s="7" t="inlineStr">
        <is>
          <t>2026-08-05</t>
        </is>
      </c>
      <c r="M45" s="7">
        <f>IFERROR(XLOOKUP(A45,'Source Inventory'!$A$5:$A$200,'Source Inventory'!$H$5:$H$200),"")</f>
        <v/>
      </c>
      <c r="N45" s="7" t="n">
        <v>0</v>
      </c>
      <c r="O45" s="7">
        <f>IFERROR(XLOOKUP(A45,'Source Ledger'!$B$5:$B$200,'Source Ledger'!$A$5:$A$200),"")</f>
        <v/>
      </c>
      <c r="P45" s="7">
        <f>IFERROR(XLOOKUP(A45,'Source Ledger'!$B$5:$B$200,'Source Ledger'!$D$5:$D$200),"")</f>
        <v/>
      </c>
      <c r="Q45" s="9" t="inlineStr">
        <is>
          <t>High</t>
        </is>
      </c>
      <c r="R45" s="7" t="inlineStr">
        <is>
          <t>EX-0021</t>
        </is>
      </c>
      <c r="S45" s="7">
        <f>IF(OR(R45="",R45=0),"No","Yes")</f>
        <v/>
      </c>
      <c r="T45">
        <f>IFERROR(XLOOKUP(A45,'Source Ledger'!$B$5:$B$200,'Source Ledger'!$E$5:$E$200),"")</f>
        <v/>
      </c>
      <c r="U45">
        <f>IFERROR(XLOOKUP(A45,'Source Ledger'!$B$5:$B$200,'Source Ledger'!$H$5:$H$200),"")</f>
        <v/>
      </c>
      <c r="V45">
        <f>IFERROR(XLOOKUP(A45,'Source Ledger'!$B$5:$B$200,'Source Ledger'!$G$5:$G$200),"")</f>
        <v/>
      </c>
      <c r="W45">
        <f>IF(OR(M45="",T45=""),"",T45-M45)</f>
        <v/>
      </c>
      <c r="X45">
        <f>IF(V45="","No","Yes")</f>
        <v/>
      </c>
    </row>
    <row r="46">
      <c r="A46" s="7" t="inlineStr">
        <is>
          <t>MD-00042</t>
        </is>
      </c>
      <c r="B46" s="7">
        <f>IFERROR(XLOOKUP(A46,'Source Inventory'!$A$5:$A$200,'Source Inventory'!$B$5:$B$200),"")</f>
        <v/>
      </c>
      <c r="C46" s="7">
        <f>IFERROR(XLOOKUP(A46,'Source Inventory'!$A$5:$A$200,'Source Inventory'!$C$5:$C$200),"")</f>
        <v/>
      </c>
      <c r="D46" s="7">
        <f>IFERROR(XLOOKUP(A46,'Source Inventory'!$A$5:$A$200,'Source Inventory'!$D$5:$D$200),"")</f>
        <v/>
      </c>
      <c r="E46" s="7">
        <f>IFERROR(XLOOKUP(A46,'Source Inventory'!$A$5:$A$200,'Source Inventory'!$E$5:$E$200),"")</f>
        <v/>
      </c>
      <c r="F46" s="7">
        <f>IFERROR(XLOOKUP(A46,'Source Inventory'!$A$5:$A$200,'Source Inventory'!$F$5:$F$200),"")</f>
        <v/>
      </c>
      <c r="G46" s="7">
        <f>IFERROR(XLOOKUP(A46,'Source Inventory'!$A$5:$A$200,'Source Inventory'!$G$5:$G$200),"")</f>
        <v/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TR-00042 moved MD-00042 (MD-MO-050042); inbound 2026-01-24; now In Use / Atlanta. ledger FA-000042 NBV $306.16. buy path PO-2025-0008. HR row shows Claudia Rossi (E0042) as Active.</t>
        </is>
      </c>
      <c r="L46" s="7" t="inlineStr">
        <is>
          <t>2026-08-05</t>
        </is>
      </c>
      <c r="M46" s="7">
        <f>IFERROR(XLOOKUP(A46,'Source Inventory'!$A$5:$A$200,'Source Inventory'!$H$5:$H$200),"")</f>
        <v/>
      </c>
      <c r="N46" s="7" t="n">
        <v>306.16</v>
      </c>
      <c r="O46" s="7">
        <f>IFERROR(XLOOKUP(A46,'Source Ledger'!$B$5:$B$200,'Source Ledger'!$A$5:$A$200),"")</f>
        <v/>
      </c>
      <c r="P46" s="7">
        <f>IFERROR(XLOOKUP(A46,'Source Ledger'!$B$5:$B$200,'Source Ledger'!$D$5:$D$200),"")</f>
        <v/>
      </c>
      <c r="Q46" s="9" t="inlineStr">
        <is>
          <t>High</t>
        </is>
      </c>
      <c r="R46" s="7" t="inlineStr">
        <is>
          <t>EX-0022</t>
        </is>
      </c>
      <c r="S46" s="7">
        <f>IF(OR(R46="",R46=0),"No","Yes")</f>
        <v/>
      </c>
      <c r="T46">
        <f>IFERROR(XLOOKUP(A46,'Source Ledger'!$B$5:$B$200,'Source Ledger'!$E$5:$E$200),"")</f>
        <v/>
      </c>
      <c r="U46">
        <f>IFERROR(XLOOKUP(A46,'Source Ledger'!$B$5:$B$200,'Source Ledger'!$H$5:$H$200),"")</f>
        <v/>
      </c>
      <c r="V46">
        <f>IFERROR(XLOOKUP(A46,'Source Ledger'!$B$5:$B$200,'Source Ledger'!$G$5:$G$200),"")</f>
        <v/>
      </c>
      <c r="W46">
        <f>IF(OR(M46="",T46=""),"",T46-M46)</f>
        <v/>
      </c>
      <c r="X46">
        <f>IF(V46="","No","Yes")</f>
        <v/>
      </c>
    </row>
    <row r="47">
      <c r="A47" s="7" t="inlineStr">
        <is>
          <t>MD-00043</t>
        </is>
      </c>
      <c r="B47" s="7">
        <f>IFERROR(XLOOKUP(A47,'Source Inventory'!$A$5:$A$200,'Source Inventory'!$B$5:$B$200),"")</f>
        <v/>
      </c>
      <c r="C47" s="7">
        <f>IFERROR(XLOOKUP(A47,'Source Inventory'!$A$5:$A$200,'Source Inventory'!$C$5:$C$200),"")</f>
        <v/>
      </c>
      <c r="D47" s="7">
        <f>IFERROR(XLOOKUP(A47,'Source Inventory'!$A$5:$A$200,'Source Inventory'!$D$5:$D$200),"")</f>
        <v/>
      </c>
      <c r="E47" s="7">
        <f>IFERROR(XLOOKUP(A47,'Source Inventory'!$A$5:$A$200,'Source Inventory'!$E$5:$E$200),"")</f>
        <v/>
      </c>
      <c r="F47" s="7">
        <f>IFERROR(XLOOKUP(A47,'Source Inventory'!$A$5:$A$200,'Source Inventory'!$F$5:$F$200),"")</f>
        <v/>
      </c>
      <c r="G47" s="7">
        <f>IFERROR(XLOOKUP(A47,'Source Inventory'!$A$5:$A$200,'Source Inventory'!$G$5:$G$200),"")</f>
        <v/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MD-00043 / MD-MO-050043: iPhone 15 at Chicago marked In Use; acquisition $995. transfer TR-00043 dated Feb 23, 2026, received 2026-03-01, APR-00043. buy path PO-2025-0008. HR row shows Tyler Brooks (E0043) as Active. ledger FA-000043 NBV $673.55.</t>
        </is>
      </c>
      <c r="L47" s="7" t="inlineStr">
        <is>
          <t>2026-08-05</t>
        </is>
      </c>
      <c r="M47" s="7">
        <f>IFERROR(XLOOKUP(A47,'Source Inventory'!$A$5:$A$200,'Source Inventory'!$H$5:$H$200),"")</f>
        <v/>
      </c>
      <c r="N47" s="7" t="n">
        <v>673.55</v>
      </c>
      <c r="O47" s="7">
        <f>IFERROR(XLOOKUP(A47,'Source Ledger'!$B$5:$B$200,'Source Ledger'!$A$5:$A$200),"")</f>
        <v/>
      </c>
      <c r="P47" s="7">
        <f>IFERROR(XLOOKUP(A47,'Source Ledger'!$B$5:$B$200,'Source Ledger'!$D$5:$D$200),"")</f>
        <v/>
      </c>
      <c r="Q47" s="9" t="inlineStr">
        <is>
          <t>High</t>
        </is>
      </c>
      <c r="R47" s="7" t="inlineStr">
        <is>
          <t>EX-0023</t>
        </is>
      </c>
      <c r="S47" s="7">
        <f>IF(OR(R47="",R47=0),"No","Yes")</f>
        <v/>
      </c>
      <c r="T47">
        <f>IFERROR(XLOOKUP(A47,'Source Ledger'!$B$5:$B$200,'Source Ledger'!$E$5:$E$200),"")</f>
        <v/>
      </c>
      <c r="U47">
        <f>IFERROR(XLOOKUP(A47,'Source Ledger'!$B$5:$B$200,'Source Ledger'!$H$5:$H$200),"")</f>
        <v/>
      </c>
      <c r="V47">
        <f>IFERROR(XLOOKUP(A47,'Source Ledger'!$B$5:$B$200,'Source Ledger'!$G$5:$G$200),"")</f>
        <v/>
      </c>
      <c r="W47">
        <f>IF(OR(M47="",T47=""),"",T47-M47)</f>
        <v/>
      </c>
      <c r="X47">
        <f>IF(V47="","No","Yes")</f>
        <v/>
      </c>
    </row>
    <row r="48">
      <c r="A48" s="7" t="inlineStr">
        <is>
          <t>MD-00044</t>
        </is>
      </c>
      <c r="B48" s="7">
        <f>IFERROR(XLOOKUP(A48,'Source Inventory'!$A$5:$A$200,'Source Inventory'!$B$5:$B$200),"")</f>
        <v/>
      </c>
      <c r="C48" s="7">
        <f>IFERROR(XLOOKUP(A48,'Source Inventory'!$A$5:$A$200,'Source Inventory'!$C$5:$C$200),"")</f>
        <v/>
      </c>
      <c r="D48" s="7">
        <f>IFERROR(XLOOKUP(A48,'Source Inventory'!$A$5:$A$200,'Source Inventory'!$D$5:$D$200),"")</f>
        <v/>
      </c>
      <c r="E48" s="7">
        <f>IFERROR(XLOOKUP(A48,'Source Inventory'!$A$5:$A$200,'Source Inventory'!$E$5:$E$200),"")</f>
        <v/>
      </c>
      <c r="F48" s="7">
        <f>IFERROR(XLOOKUP(A48,'Source Inventory'!$A$5:$A$200,'Source Inventory'!$F$5:$F$200),"")</f>
        <v/>
      </c>
      <c r="G48" s="7">
        <f>IFERROR(XLOOKUP(A48,'Source Inventory'!$A$5:$A$200,'Source Inventory'!$G$5:$G$200),"")</f>
        <v/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PO-2025-0008 and FA-000044 both cite MD-00044 (Google Pixel 8); register basis $6,290. transfer TR-00044 dated Mar 28, 2026, received 2026-03-31, APR-00044. HR row shows Leah Okada (E0044) as Active.</t>
        </is>
      </c>
      <c r="L48" s="7" t="inlineStr">
        <is>
          <t>2026-08-05</t>
        </is>
      </c>
      <c r="M48" s="7">
        <f>IFERROR(XLOOKUP(A48,'Source Inventory'!$A$5:$A$200,'Source Inventory'!$H$5:$H$200),"")</f>
        <v/>
      </c>
      <c r="N48" s="7" t="n">
        <v>1406.1</v>
      </c>
      <c r="O48" s="7">
        <f>IFERROR(XLOOKUP(A48,'Source Ledger'!$B$5:$B$200,'Source Ledger'!$A$5:$A$200),"")</f>
        <v/>
      </c>
      <c r="P48" s="7">
        <f>IFERROR(XLOOKUP(A48,'Source Ledger'!$B$5:$B$200,'Source Ledger'!$D$5:$D$200),"")</f>
        <v/>
      </c>
      <c r="Q48" s="9" t="inlineStr">
        <is>
          <t>High</t>
        </is>
      </c>
      <c r="R48" s="7" t="inlineStr">
        <is>
          <t>EX-0024</t>
        </is>
      </c>
      <c r="S48" s="7">
        <f>IF(OR(R48="",R48=0),"No","Yes")</f>
        <v/>
      </c>
      <c r="T48">
        <f>IFERROR(XLOOKUP(A48,'Source Ledger'!$B$5:$B$200,'Source Ledger'!$E$5:$E$200),"")</f>
        <v/>
      </c>
      <c r="U48">
        <f>IFERROR(XLOOKUP(A48,'Source Ledger'!$B$5:$B$200,'Source Ledger'!$H$5:$H$200),"")</f>
        <v/>
      </c>
      <c r="V48">
        <f>IFERROR(XLOOKUP(A48,'Source Ledger'!$B$5:$B$200,'Source Ledger'!$G$5:$G$200),"")</f>
        <v/>
      </c>
      <c r="W48">
        <f>IF(OR(M48="",T48=""),"",T48-M48)</f>
        <v/>
      </c>
      <c r="X48">
        <f>IF(V48="","No","Yes")</f>
        <v/>
      </c>
    </row>
    <row r="49">
      <c r="A49" s="7" t="inlineStr">
        <is>
          <t>MD-00045</t>
        </is>
      </c>
      <c r="B49" s="7">
        <f>IFERROR(XLOOKUP(A49,'Source Inventory'!$A$5:$A$200,'Source Inventory'!$B$5:$B$200),"")</f>
        <v/>
      </c>
      <c r="C49" s="7">
        <f>IFERROR(XLOOKUP(A49,'Source Inventory'!$A$5:$A$200,'Source Inventory'!$C$5:$C$200),"")</f>
        <v/>
      </c>
      <c r="D49" s="7">
        <f>IFERROR(XLOOKUP(A49,'Source Inventory'!$A$5:$A$200,'Source Inventory'!$D$5:$D$200),"")</f>
        <v/>
      </c>
      <c r="E49" s="7">
        <f>IFERROR(XLOOKUP(A49,'Source Inventory'!$A$5:$A$200,'Source Inventory'!$E$5:$E$200),"")</f>
        <v/>
      </c>
      <c r="F49" s="7">
        <f>IFERROR(XLOOKUP(A49,'Source Inventory'!$A$5:$A$200,'Source Inventory'!$F$5:$F$200),"")</f>
        <v/>
      </c>
      <c r="G49" s="7">
        <f>IFERROR(XLOOKUP(A49,'Source Inventory'!$A$5:$A$200,'Source Inventory'!$G$5:$G$200),"")</f>
        <v/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TR-00045 moved MD-00045 (MD-LA-050045); inbound 2026-05-03; now In Use / Denver. HR row shows Darnell Price (E0045) as Active. ledger FA-000045 NBV $133.60. buy path PO-2022-0009.</t>
        </is>
      </c>
      <c r="L49" s="7" t="inlineStr">
        <is>
          <t>2026-08-05</t>
        </is>
      </c>
      <c r="M49" s="7">
        <f>IFERROR(XLOOKUP(A49,'Source Inventory'!$A$5:$A$200,'Source Inventory'!$H$5:$H$200),"")</f>
        <v/>
      </c>
      <c r="N49" s="7" t="n">
        <v>133.6</v>
      </c>
      <c r="O49" s="7">
        <f>IFERROR(XLOOKUP(A49,'Source Ledger'!$B$5:$B$200,'Source Ledger'!$A$5:$A$200),"")</f>
        <v/>
      </c>
      <c r="P49" s="7">
        <f>IFERROR(XLOOKUP(A49,'Source Ledger'!$B$5:$B$200,'Source Ledger'!$D$5:$D$200),"")</f>
        <v/>
      </c>
      <c r="Q49" s="9" t="inlineStr">
        <is>
          <t>High</t>
        </is>
      </c>
      <c r="R49" s="7" t="inlineStr">
        <is>
          <t>EX-0025</t>
        </is>
      </c>
      <c r="S49" s="7">
        <f>IF(OR(R49="",R49=0),"No","Yes")</f>
        <v/>
      </c>
      <c r="T49">
        <f>IFERROR(XLOOKUP(A49,'Source Ledger'!$B$5:$B$200,'Source Ledger'!$E$5:$E$200),"")</f>
        <v/>
      </c>
      <c r="U49">
        <f>IFERROR(XLOOKUP(A49,'Source Ledger'!$B$5:$B$200,'Source Ledger'!$H$5:$H$200),"")</f>
        <v/>
      </c>
      <c r="V49">
        <f>IFERROR(XLOOKUP(A49,'Source Ledger'!$B$5:$B$200,'Source Ledger'!$G$5:$G$200),"")</f>
        <v/>
      </c>
      <c r="W49">
        <f>IF(OR(M49="",T49=""),"",T49-M49)</f>
        <v/>
      </c>
      <c r="X49">
        <f>IF(V49="","No","Yes")</f>
        <v/>
      </c>
    </row>
    <row r="50">
      <c r="A50" s="7" t="inlineStr">
        <is>
          <t>MD-00046</t>
        </is>
      </c>
      <c r="B50" s="7">
        <f>IFERROR(XLOOKUP(A50,'Source Inventory'!$A$5:$A$200,'Source Inventory'!$B$5:$B$200),"")</f>
        <v/>
      </c>
      <c r="C50" s="7">
        <f>IFERROR(XLOOKUP(A50,'Source Inventory'!$A$5:$A$200,'Source Inventory'!$C$5:$C$200),"")</f>
        <v/>
      </c>
      <c r="D50" s="7">
        <f>IFERROR(XLOOKUP(A50,'Source Inventory'!$A$5:$A$200,'Source Inventory'!$D$5:$D$200),"")</f>
        <v/>
      </c>
      <c r="E50" s="7">
        <f>IFERROR(XLOOKUP(A50,'Source Inventory'!$A$5:$A$200,'Source Inventory'!$E$5:$E$200),"")</f>
        <v/>
      </c>
      <c r="F50" s="7">
        <f>IFERROR(XLOOKUP(A50,'Source Inventory'!$A$5:$A$200,'Source Inventory'!$F$5:$F$200),"")</f>
        <v/>
      </c>
      <c r="G50" s="7">
        <f>IFERROR(XLOOKUP(A50,'Source Inventory'!$A$5:$A$200,'Source Inventory'!$G$5:$G$200),"")</f>
        <v/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MD-00046 / MD-MO-050046: iPhone 14 at New York marked Available; acquisition $700. transfer TR-00046 dated Jun 03, 2026, received 2026-06-07, APR-00046. ledger FA-000046 NBV $460.82. buy path PO-2022-0009.</t>
        </is>
      </c>
      <c r="L50" s="7" t="inlineStr">
        <is>
          <t>2026-05-24</t>
        </is>
      </c>
      <c r="M50" s="7">
        <f>IFERROR(XLOOKUP(A50,'Source Inventory'!$A$5:$A$200,'Source Inventory'!$H$5:$H$200),"")</f>
        <v/>
      </c>
      <c r="N50" s="7" t="n">
        <v>460.82</v>
      </c>
      <c r="O50" s="7">
        <f>IFERROR(XLOOKUP(A50,'Source Ledger'!$B$5:$B$200,'Source Ledger'!$A$5:$A$200),"")</f>
        <v/>
      </c>
      <c r="P50" s="7">
        <f>IFERROR(XLOOKUP(A50,'Source Ledger'!$B$5:$B$200,'Source Ledger'!$D$5:$D$200),"")</f>
        <v/>
      </c>
      <c r="Q50" s="9" t="inlineStr">
        <is>
          <t>High</t>
        </is>
      </c>
      <c r="R50" s="7" t="inlineStr">
        <is>
          <t>EX-0026</t>
        </is>
      </c>
      <c r="S50" s="7">
        <f>IF(OR(R50="",R50=0),"No","Yes")</f>
        <v/>
      </c>
      <c r="T50">
        <f>IFERROR(XLOOKUP(A50,'Source Ledger'!$B$5:$B$200,'Source Ledger'!$E$5:$E$200),"")</f>
        <v/>
      </c>
      <c r="U50">
        <f>IFERROR(XLOOKUP(A50,'Source Ledger'!$B$5:$B$200,'Source Ledger'!$H$5:$H$200),"")</f>
        <v/>
      </c>
      <c r="V50">
        <f>IFERROR(XLOOKUP(A50,'Source Ledger'!$B$5:$B$200,'Source Ledger'!$G$5:$G$200),"")</f>
        <v/>
      </c>
      <c r="W50">
        <f>IF(OR(M50="",T50=""),"",T50-M50)</f>
        <v/>
      </c>
      <c r="X50">
        <f>IF(V50="","No","Yes")</f>
        <v/>
      </c>
    </row>
    <row r="51">
      <c r="A51" s="7" t="inlineStr">
        <is>
          <t>MD-00047</t>
        </is>
      </c>
      <c r="B51" s="7">
        <f>IFERROR(XLOOKUP(A51,'Source Inventory'!$A$5:$A$200,'Source Inventory'!$B$5:$B$200),"")</f>
        <v/>
      </c>
      <c r="C51" s="7">
        <f>IFERROR(XLOOKUP(A51,'Source Inventory'!$A$5:$A$200,'Source Inventory'!$C$5:$C$200),"")</f>
        <v/>
      </c>
      <c r="D51" s="7">
        <f>IFERROR(XLOOKUP(A51,'Source Inventory'!$A$5:$A$200,'Source Inventory'!$D$5:$D$200),"")</f>
        <v/>
      </c>
      <c r="E51" s="7">
        <f>IFERROR(XLOOKUP(A51,'Source Inventory'!$A$5:$A$200,'Source Inventory'!$E$5:$E$200),"")</f>
        <v/>
      </c>
      <c r="F51" s="7">
        <f>IFERROR(XLOOKUP(A51,'Source Inventory'!$A$5:$A$200,'Source Inventory'!$F$5:$F$200),"")</f>
        <v/>
      </c>
      <c r="G51" s="7">
        <f>IFERROR(XLOOKUP(A51,'Source Inventory'!$A$5:$A$200,'Source Inventory'!$G$5:$G$200),"")</f>
        <v/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FA-000047 carries NBV $930.51 for MD-00047; operating status Available at Seattle. transfer TR-00047 dated Jul 08, 2026, received 2026-07-10, APR-00047. purchasing extract lists PO-2022-0009.</t>
        </is>
      </c>
      <c r="L51" s="7" t="inlineStr">
        <is>
          <t>2026-06-25</t>
        </is>
      </c>
      <c r="M51" s="7">
        <f>IFERROR(XLOOKUP(A51,'Source Inventory'!$A$5:$A$200,'Source Inventory'!$H$5:$H$200),"")</f>
        <v/>
      </c>
      <c r="N51" s="7" t="n">
        <v>930.51</v>
      </c>
      <c r="O51" s="7">
        <f>IFERROR(XLOOKUP(A51,'Source Ledger'!$B$5:$B$200,'Source Ledger'!$A$5:$A$200),"")</f>
        <v/>
      </c>
      <c r="P51" s="7">
        <f>IFERROR(XLOOKUP(A51,'Source Ledger'!$B$5:$B$200,'Source Ledger'!$D$5:$D$200),"")</f>
        <v/>
      </c>
      <c r="Q51" s="9" t="inlineStr">
        <is>
          <t>High</t>
        </is>
      </c>
      <c r="R51" s="7" t="inlineStr">
        <is>
          <t>EX-0027</t>
        </is>
      </c>
      <c r="S51" s="7">
        <f>IF(OR(R51="",R51=0),"No","Yes")</f>
        <v/>
      </c>
      <c r="T51">
        <f>IFERROR(XLOOKUP(A51,'Source Ledger'!$B$5:$B$200,'Source Ledger'!$E$5:$E$200),"")</f>
        <v/>
      </c>
      <c r="U51">
        <f>IFERROR(XLOOKUP(A51,'Source Ledger'!$B$5:$B$200,'Source Ledger'!$H$5:$H$200),"")</f>
        <v/>
      </c>
      <c r="V51">
        <f>IFERROR(XLOOKUP(A51,'Source Ledger'!$B$5:$B$200,'Source Ledger'!$G$5:$G$200),"")</f>
        <v/>
      </c>
      <c r="W51">
        <f>IF(OR(M51="",T51=""),"",T51-M51)</f>
        <v/>
      </c>
      <c r="X51">
        <f>IF(V51="","No","Yes")</f>
        <v/>
      </c>
    </row>
    <row r="52">
      <c r="A52" s="7" t="inlineStr">
        <is>
          <t>MD-00048</t>
        </is>
      </c>
      <c r="B52" s="7">
        <f>IFERROR(XLOOKUP(A52,'Source Inventory'!$A$5:$A$200,'Source Inventory'!$B$5:$B$200),"")</f>
        <v/>
      </c>
      <c r="C52" s="7">
        <f>IFERROR(XLOOKUP(A52,'Source Inventory'!$A$5:$A$200,'Source Inventory'!$C$5:$C$200),"")</f>
        <v/>
      </c>
      <c r="D52" s="7">
        <f>IFERROR(XLOOKUP(A52,'Source Inventory'!$A$5:$A$200,'Source Inventory'!$D$5:$D$200),"")</f>
        <v/>
      </c>
      <c r="E52" s="7">
        <f>IFERROR(XLOOKUP(A52,'Source Inventory'!$A$5:$A$200,'Source Inventory'!$E$5:$E$200),"")</f>
        <v/>
      </c>
      <c r="F52" s="7">
        <f>IFERROR(XLOOKUP(A52,'Source Inventory'!$A$5:$A$200,'Source Inventory'!$F$5:$F$200),"")</f>
        <v/>
      </c>
      <c r="G52" s="7">
        <f>IFERROR(XLOOKUP(A52,'Source Inventory'!$A$5:$A$200,'Source Inventory'!$G$5:$G$200),"")</f>
        <v/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MD-00048 / MD-NE-050048: iPhone 15 at Atlanta marked Available; acquisition $6,470. transfer TR-00048 dated Jan 18, 2026, received 2026-01-24, APR-00048. ledger FA-000048 NBV $514.59. buy path PO-2022-0009.</t>
        </is>
      </c>
      <c r="L52" s="7" t="inlineStr">
        <is>
          <t>2026-01-02</t>
        </is>
      </c>
      <c r="M52" s="7">
        <f>IFERROR(XLOOKUP(A52,'Source Inventory'!$A$5:$A$200,'Source Inventory'!$H$5:$H$200),"")</f>
        <v/>
      </c>
      <c r="N52" s="7" t="n">
        <v>514.59</v>
      </c>
      <c r="O52" s="7">
        <f>IFERROR(XLOOKUP(A52,'Source Ledger'!$B$5:$B$200,'Source Ledger'!$A$5:$A$200),"")</f>
        <v/>
      </c>
      <c r="P52" s="7">
        <f>IFERROR(XLOOKUP(A52,'Source Ledger'!$B$5:$B$200,'Source Ledger'!$D$5:$D$200),"")</f>
        <v/>
      </c>
      <c r="Q52" s="9" t="inlineStr">
        <is>
          <t>High</t>
        </is>
      </c>
      <c r="R52" s="7" t="inlineStr">
        <is>
          <t>EX-0028</t>
        </is>
      </c>
      <c r="S52" s="7">
        <f>IF(OR(R52="",R52=0),"No","Yes")</f>
        <v/>
      </c>
      <c r="T52">
        <f>IFERROR(XLOOKUP(A52,'Source Ledger'!$B$5:$B$200,'Source Ledger'!$E$5:$E$200),"")</f>
        <v/>
      </c>
      <c r="U52">
        <f>IFERROR(XLOOKUP(A52,'Source Ledger'!$B$5:$B$200,'Source Ledger'!$H$5:$H$200),"")</f>
        <v/>
      </c>
      <c r="V52">
        <f>IFERROR(XLOOKUP(A52,'Source Ledger'!$B$5:$B$200,'Source Ledger'!$G$5:$G$200),"")</f>
        <v/>
      </c>
      <c r="W52">
        <f>IF(OR(M52="",T52=""),"",T52-M52)</f>
        <v/>
      </c>
      <c r="X52">
        <f>IF(V52="","No","Yes")</f>
        <v/>
      </c>
    </row>
    <row r="53">
      <c r="A53" s="7" t="inlineStr">
        <is>
          <t>MD-00049</t>
        </is>
      </c>
      <c r="B53" s="7">
        <f>IFERROR(XLOOKUP(A53,'Source Inventory'!$A$5:$A$200,'Source Inventory'!$B$5:$B$200),"")</f>
        <v/>
      </c>
      <c r="C53" s="7">
        <f>IFERROR(XLOOKUP(A53,'Source Inventory'!$A$5:$A$200,'Source Inventory'!$C$5:$C$200),"")</f>
        <v/>
      </c>
      <c r="D53" s="7">
        <f>IFERROR(XLOOKUP(A53,'Source Inventory'!$A$5:$A$200,'Source Inventory'!$D$5:$D$200),"")</f>
        <v/>
      </c>
      <c r="E53" s="7">
        <f>IFERROR(XLOOKUP(A53,'Source Inventory'!$A$5:$A$200,'Source Inventory'!$E$5:$E$200),"")</f>
        <v/>
      </c>
      <c r="F53" s="7">
        <f>IFERROR(XLOOKUP(A53,'Source Inventory'!$A$5:$A$200,'Source Inventory'!$F$5:$F$200),"")</f>
        <v/>
      </c>
      <c r="G53" s="7">
        <f>IFERROR(XLOOKUP(A53,'Source Inventory'!$A$5:$A$200,'Source Inventory'!$G$5:$G$200),"")</f>
        <v/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MD-00049 / MD-LA-050049: Google Pixel 8 at Chicago marked Available; acquisition $1,850. transfer TR-00049 dated Jan 21, 2026, received 2026-01-23, APR-00049. ledger FA-000049 NBV $0. buy path PO-2022-0009.</t>
        </is>
      </c>
      <c r="L53" s="7" t="inlineStr">
        <is>
          <t>2026-02-03</t>
        </is>
      </c>
      <c r="M53" s="7">
        <f>IFERROR(XLOOKUP(A53,'Source Inventory'!$A$5:$A$200,'Source Inventory'!$H$5:$H$200),"")</f>
        <v/>
      </c>
      <c r="N53" s="7" t="n">
        <v>0</v>
      </c>
      <c r="O53" s="7">
        <f>IFERROR(XLOOKUP(A53,'Source Ledger'!$B$5:$B$200,'Source Ledger'!$A$5:$A$200),"")</f>
        <v/>
      </c>
      <c r="P53" s="7">
        <f>IFERROR(XLOOKUP(A53,'Source Ledger'!$B$5:$B$200,'Source Ledger'!$D$5:$D$200),"")</f>
        <v/>
      </c>
      <c r="Q53" s="9" t="inlineStr">
        <is>
          <t>High</t>
        </is>
      </c>
      <c r="R53" s="7" t="inlineStr">
        <is>
          <t>EX-0029</t>
        </is>
      </c>
      <c r="S53" s="7">
        <f>IF(OR(R53="",R53=0),"No","Yes")</f>
        <v/>
      </c>
      <c r="T53">
        <f>IFERROR(XLOOKUP(A53,'Source Ledger'!$B$5:$B$200,'Source Ledger'!$E$5:$E$200),"")</f>
        <v/>
      </c>
      <c r="U53">
        <f>IFERROR(XLOOKUP(A53,'Source Ledger'!$B$5:$B$200,'Source Ledger'!$H$5:$H$200),"")</f>
        <v/>
      </c>
      <c r="V53">
        <f>IFERROR(XLOOKUP(A53,'Source Ledger'!$B$5:$B$200,'Source Ledger'!$G$5:$G$200),"")</f>
        <v/>
      </c>
      <c r="W53">
        <f>IF(OR(M53="",T53=""),"",T53-M53)</f>
        <v/>
      </c>
      <c r="X53">
        <f>IF(V53="","No","Yes")</f>
        <v/>
      </c>
    </row>
    <row r="54">
      <c r="A54" s="7" t="inlineStr">
        <is>
          <t>MD-00050</t>
        </is>
      </c>
      <c r="B54" s="7">
        <f>IFERROR(XLOOKUP(A54,'Source Inventory'!$A$5:$A$200,'Source Inventory'!$B$5:$B$200),"")</f>
        <v/>
      </c>
      <c r="C54" s="7">
        <f>IFERROR(XLOOKUP(A54,'Source Inventory'!$A$5:$A$200,'Source Inventory'!$C$5:$C$200),"")</f>
        <v/>
      </c>
      <c r="D54" s="7">
        <f>IFERROR(XLOOKUP(A54,'Source Inventory'!$A$5:$A$200,'Source Inventory'!$D$5:$D$200),"")</f>
        <v/>
      </c>
      <c r="E54" s="7">
        <f>IFERROR(XLOOKUP(A54,'Source Inventory'!$A$5:$A$200,'Source Inventory'!$E$5:$E$200),"")</f>
        <v/>
      </c>
      <c r="F54" s="7">
        <f>IFERROR(XLOOKUP(A54,'Source Inventory'!$A$5:$A$200,'Source Inventory'!$F$5:$F$200),"")</f>
        <v/>
      </c>
      <c r="G54" s="7">
        <f>IFERROR(XLOOKUP(A54,'Source Inventory'!$A$5:$A$200,'Source Inventory'!$G$5:$G$200),"")</f>
        <v/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TR-00050 moved MD-00050 (MD-MO-050050); inbound 2026-02-23; now Available / Dallas. buy path PO-2023-0010. ledger FA-000050 NBV $289.96.</t>
        </is>
      </c>
      <c r="L54" s="7" t="inlineStr">
        <is>
          <t>2026-03-04</t>
        </is>
      </c>
      <c r="M54" s="7">
        <f>IFERROR(XLOOKUP(A54,'Source Inventory'!$A$5:$A$200,'Source Inventory'!$H$5:$H$200),"")</f>
        <v/>
      </c>
      <c r="N54" s="7" t="n">
        <v>289.96</v>
      </c>
      <c r="O54" s="7">
        <f>IFERROR(XLOOKUP(A54,'Source Ledger'!$B$5:$B$200,'Source Ledger'!$A$5:$A$200),"")</f>
        <v/>
      </c>
      <c r="P54" s="7">
        <f>IFERROR(XLOOKUP(A54,'Source Ledger'!$B$5:$B$200,'Source Ledger'!$D$5:$D$200),"")</f>
        <v/>
      </c>
      <c r="Q54" s="9" t="inlineStr">
        <is>
          <t>High</t>
        </is>
      </c>
      <c r="R54" s="7" t="inlineStr">
        <is>
          <t>EX-0030</t>
        </is>
      </c>
      <c r="S54" s="7">
        <f>IF(OR(R54="",R54=0),"No","Yes")</f>
        <v/>
      </c>
      <c r="T54">
        <f>IFERROR(XLOOKUP(A54,'Source Ledger'!$B$5:$B$200,'Source Ledger'!$E$5:$E$200),"")</f>
        <v/>
      </c>
      <c r="U54">
        <f>IFERROR(XLOOKUP(A54,'Source Ledger'!$B$5:$B$200,'Source Ledger'!$H$5:$H$200),"")</f>
        <v/>
      </c>
      <c r="V54">
        <f>IFERROR(XLOOKUP(A54,'Source Ledger'!$B$5:$B$200,'Source Ledger'!$G$5:$G$200),"")</f>
        <v/>
      </c>
      <c r="W54">
        <f>IF(OR(M54="",T54=""),"",T54-M54)</f>
        <v/>
      </c>
      <c r="X54">
        <f>IF(V54="","No","Yes")</f>
        <v/>
      </c>
    </row>
    <row r="55">
      <c r="A55" s="7" t="inlineStr">
        <is>
          <t>MD-00051</t>
        </is>
      </c>
      <c r="B55" s="7">
        <f>IFERROR(XLOOKUP(A55,'Source Inventory'!$A$5:$A$200,'Source Inventory'!$B$5:$B$200),"")</f>
        <v/>
      </c>
      <c r="C55" s="7">
        <f>IFERROR(XLOOKUP(A55,'Source Inventory'!$A$5:$A$200,'Source Inventory'!$C$5:$C$200),"")</f>
        <v/>
      </c>
      <c r="D55" s="7">
        <f>IFERROR(XLOOKUP(A55,'Source Inventory'!$A$5:$A$200,'Source Inventory'!$D$5:$D$200),"")</f>
        <v/>
      </c>
      <c r="E55" s="7">
        <f>IFERROR(XLOOKUP(A55,'Source Inventory'!$A$5:$A$200,'Source Inventory'!$E$5:$E$200),"")</f>
        <v/>
      </c>
      <c r="F55" s="7">
        <f>IFERROR(XLOOKUP(A55,'Source Inventory'!$A$5:$A$200,'Source Inventory'!$F$5:$F$200),"")</f>
        <v/>
      </c>
      <c r="G55" s="7">
        <f>IFERROR(XLOOKUP(A55,'Source Inventory'!$A$5:$A$200,'Source Inventory'!$G$5:$G$200),"")</f>
        <v/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MD-00051 / MD-MO-050051: Samsung Galaxy S24 at Denver marked Available; acquisition $1,040. buy path PO-2023-0010. ledger FA-000051 NBV $573.03. transfer TR-00051 dated Mar 31, 2026, received 2026-03-31, APR-00051.</t>
        </is>
      </c>
      <c r="L55" s="7" t="inlineStr">
        <is>
          <t>2026-04-05</t>
        </is>
      </c>
      <c r="M55" s="7">
        <f>IFERROR(XLOOKUP(A55,'Source Inventory'!$A$5:$A$200,'Source Inventory'!$H$5:$H$200),"")</f>
        <v/>
      </c>
      <c r="N55" s="7" t="n">
        <v>573.03</v>
      </c>
      <c r="O55" s="7">
        <f>IFERROR(XLOOKUP(A55,'Source Ledger'!$B$5:$B$200,'Source Ledger'!$A$5:$A$200),"")</f>
        <v/>
      </c>
      <c r="P55" s="7">
        <f>IFERROR(XLOOKUP(A55,'Source Ledger'!$B$5:$B$200,'Source Ledger'!$D$5:$D$200),"")</f>
        <v/>
      </c>
      <c r="Q55" s="9" t="inlineStr">
        <is>
          <t>High</t>
        </is>
      </c>
      <c r="R55" s="7" t="inlineStr">
        <is>
          <t>EX-0031, EX-0032</t>
        </is>
      </c>
      <c r="S55" s="7">
        <f>IF(OR(R55="",R55=0),"No","Yes")</f>
        <v/>
      </c>
      <c r="T55">
        <f>IFERROR(XLOOKUP(A55,'Source Ledger'!$B$5:$B$200,'Source Ledger'!$E$5:$E$200),"")</f>
        <v/>
      </c>
      <c r="U55">
        <f>IFERROR(XLOOKUP(A55,'Source Ledger'!$B$5:$B$200,'Source Ledger'!$H$5:$H$200),"")</f>
        <v/>
      </c>
      <c r="V55">
        <f>IFERROR(XLOOKUP(A55,'Source Ledger'!$B$5:$B$200,'Source Ledger'!$G$5:$G$200),"")</f>
        <v/>
      </c>
      <c r="W55">
        <f>IF(OR(M55="",T55=""),"",T55-M55)</f>
        <v/>
      </c>
      <c r="X55">
        <f>IF(V55="","No","Yes")</f>
        <v/>
      </c>
    </row>
    <row r="56">
      <c r="A56" s="7" t="inlineStr">
        <is>
          <t>MD-00052</t>
        </is>
      </c>
      <c r="B56" s="7">
        <f>IFERROR(XLOOKUP(A56,'Source Inventory'!$A$5:$A$200,'Source Inventory'!$B$5:$B$200),"")</f>
        <v/>
      </c>
      <c r="C56" s="7">
        <f>IFERROR(XLOOKUP(A56,'Source Inventory'!$A$5:$A$200,'Source Inventory'!$C$5:$C$200),"")</f>
        <v/>
      </c>
      <c r="D56" s="7">
        <f>IFERROR(XLOOKUP(A56,'Source Inventory'!$A$5:$A$200,'Source Inventory'!$D$5:$D$200),"")</f>
        <v/>
      </c>
      <c r="E56" s="7">
        <f>IFERROR(XLOOKUP(A56,'Source Inventory'!$A$5:$A$200,'Source Inventory'!$E$5:$E$200),"")</f>
        <v/>
      </c>
      <c r="F56" s="7">
        <f>IFERROR(XLOOKUP(A56,'Source Inventory'!$A$5:$A$200,'Source Inventory'!$F$5:$F$200),"")</f>
        <v/>
      </c>
      <c r="G56" s="7">
        <f>IFERROR(XLOOKUP(A56,'Source Inventory'!$A$5:$A$200,'Source Inventory'!$G$5:$G$200),"")</f>
        <v/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PO-2023-0010 and FA-000052 both cite MD-00052 (iPhone 15); register basis $6,335. transfer TR-00052 dated May 01, 2026, received 2026-05-02, APR-00052.</t>
        </is>
      </c>
      <c r="L56" s="7" t="inlineStr">
        <is>
          <t>2026-05-06</t>
        </is>
      </c>
      <c r="M56" s="7">
        <f>IFERROR(XLOOKUP(A56,'Source Inventory'!$A$5:$A$200,'Source Inventory'!$H$5:$H$200),"")</f>
        <v/>
      </c>
      <c r="N56" s="7" t="n">
        <v>933.99</v>
      </c>
      <c r="O56" s="7">
        <f>IFERROR(XLOOKUP(A56,'Source Ledger'!$B$5:$B$200,'Source Ledger'!$A$5:$A$200),"")</f>
        <v/>
      </c>
      <c r="P56" s="7">
        <f>IFERROR(XLOOKUP(A56,'Source Ledger'!$B$5:$B$200,'Source Ledger'!$D$5:$D$200),"")</f>
        <v/>
      </c>
      <c r="Q56" s="9" t="inlineStr">
        <is>
          <t>High</t>
        </is>
      </c>
      <c r="R56" s="7" t="inlineStr">
        <is>
          <t>EX-0033</t>
        </is>
      </c>
      <c r="S56" s="7">
        <f>IF(OR(R56="",R56=0),"No","Yes")</f>
        <v/>
      </c>
      <c r="T56">
        <f>IFERROR(XLOOKUP(A56,'Source Ledger'!$B$5:$B$200,'Source Ledger'!$E$5:$E$200),"")</f>
        <v/>
      </c>
      <c r="U56">
        <f>IFERROR(XLOOKUP(A56,'Source Ledger'!$B$5:$B$200,'Source Ledger'!$H$5:$H$200),"")</f>
        <v/>
      </c>
      <c r="V56">
        <f>IFERROR(XLOOKUP(A56,'Source Ledger'!$B$5:$B$200,'Source Ledger'!$G$5:$G$200),"")</f>
        <v/>
      </c>
      <c r="W56">
        <f>IF(OR(M56="",T56=""),"",T56-M56)</f>
        <v/>
      </c>
      <c r="X56">
        <f>IF(V56="","No","Yes")</f>
        <v/>
      </c>
    </row>
    <row r="57">
      <c r="A57" s="7" t="inlineStr">
        <is>
          <t>MD-00053</t>
        </is>
      </c>
      <c r="B57" s="7">
        <f>IFERROR(XLOOKUP(A57,'Source Inventory'!$A$5:$A$200,'Source Inventory'!$B$5:$B$200),"")</f>
        <v/>
      </c>
      <c r="C57" s="7">
        <f>IFERROR(XLOOKUP(A57,'Source Inventory'!$A$5:$A$200,'Source Inventory'!$C$5:$C$200),"")</f>
        <v/>
      </c>
      <c r="D57" s="7">
        <f>IFERROR(XLOOKUP(A57,'Source Inventory'!$A$5:$A$200,'Source Inventory'!$D$5:$D$200),"")</f>
        <v/>
      </c>
      <c r="E57" s="7">
        <f>IFERROR(XLOOKUP(A57,'Source Inventory'!$A$5:$A$200,'Source Inventory'!$E$5:$E$200),"")</f>
        <v/>
      </c>
      <c r="F57" s="7">
        <f>IFERROR(XLOOKUP(A57,'Source Inventory'!$A$5:$A$200,'Source Inventory'!$F$5:$F$200),"")</f>
        <v/>
      </c>
      <c r="G57" s="7">
        <f>IFERROR(XLOOKUP(A57,'Source Inventory'!$A$5:$A$200,'Source Inventory'!$G$5:$G$200),"")</f>
        <v/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TR-00053 moved MD-00053 (MD-LA-050053); inbound 2026-06-05; now Available / Seattle. buy path PO-2024-0011. ledger FA-000053 NBV $0.</t>
        </is>
      </c>
      <c r="L57" s="7" t="inlineStr">
        <is>
          <t>2026-06-07</t>
        </is>
      </c>
      <c r="M57" s="7">
        <f>IFERROR(XLOOKUP(A57,'Source Inventory'!$A$5:$A$200,'Source Inventory'!$H$5:$H$200),"")</f>
        <v/>
      </c>
      <c r="N57" s="7" t="n">
        <v>0</v>
      </c>
      <c r="O57" s="7">
        <f>IFERROR(XLOOKUP(A57,'Source Ledger'!$B$5:$B$200,'Source Ledger'!$A$5:$A$200),"")</f>
        <v/>
      </c>
      <c r="P57" s="7">
        <f>IFERROR(XLOOKUP(A57,'Source Ledger'!$B$5:$B$200,'Source Ledger'!$D$5:$D$200),"")</f>
        <v/>
      </c>
      <c r="Q57" s="9" t="inlineStr">
        <is>
          <t>High</t>
        </is>
      </c>
      <c r="R57" s="7" t="inlineStr">
        <is>
          <t>EX-0034</t>
        </is>
      </c>
      <c r="S57" s="7">
        <f>IF(OR(R57="",R57=0),"No","Yes")</f>
        <v/>
      </c>
      <c r="T57">
        <f>IFERROR(XLOOKUP(A57,'Source Ledger'!$B$5:$B$200,'Source Ledger'!$E$5:$E$200),"")</f>
        <v/>
      </c>
      <c r="U57">
        <f>IFERROR(XLOOKUP(A57,'Source Ledger'!$B$5:$B$200,'Source Ledger'!$H$5:$H$200),"")</f>
        <v/>
      </c>
      <c r="V57">
        <f>IFERROR(XLOOKUP(A57,'Source Ledger'!$B$5:$B$200,'Source Ledger'!$G$5:$G$200),"")</f>
        <v/>
      </c>
      <c r="W57">
        <f>IF(OR(M57="",T57=""),"",T57-M57)</f>
        <v/>
      </c>
      <c r="X57">
        <f>IF(V57="","No","Yes")</f>
        <v/>
      </c>
    </row>
    <row r="58">
      <c r="A58" s="7" t="inlineStr">
        <is>
          <t>MD-00054</t>
        </is>
      </c>
      <c r="B58" s="7">
        <f>IFERROR(XLOOKUP(A58,'Source Inventory'!$A$5:$A$200,'Source Inventory'!$B$5:$B$200),"")</f>
        <v/>
      </c>
      <c r="C58" s="7">
        <f>IFERROR(XLOOKUP(A58,'Source Inventory'!$A$5:$A$200,'Source Inventory'!$C$5:$C$200),"")</f>
        <v/>
      </c>
      <c r="D58" s="7">
        <f>IFERROR(XLOOKUP(A58,'Source Inventory'!$A$5:$A$200,'Source Inventory'!$D$5:$D$200),"")</f>
        <v/>
      </c>
      <c r="E58" s="7">
        <f>IFERROR(XLOOKUP(A58,'Source Inventory'!$A$5:$A$200,'Source Inventory'!$E$5:$E$200),"")</f>
        <v/>
      </c>
      <c r="F58" s="7">
        <f>IFERROR(XLOOKUP(A58,'Source Inventory'!$A$5:$A$200,'Source Inventory'!$F$5:$F$200),"")</f>
        <v/>
      </c>
      <c r="G58" s="7">
        <f>IFERROR(XLOOKUP(A58,'Source Inventory'!$A$5:$A$200,'Source Inventory'!$G$5:$G$200),"")</f>
        <v/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MD-00054 / MD-MO-050054: Samsung Galaxy S23 FE at Atlanta marked Available; acquisition $745. buy path PO-2024-0011. ledger FA-000054 NBV $433.74. transfer TR-00054 dated Jan 10, 2026, received 2026-01-16, APR-00054.</t>
        </is>
      </c>
      <c r="L58" s="7" t="inlineStr">
        <is>
          <t>2026-01-08</t>
        </is>
      </c>
      <c r="M58" s="7">
        <f>IFERROR(XLOOKUP(A58,'Source Inventory'!$A$5:$A$200,'Source Inventory'!$H$5:$H$200),"")</f>
        <v/>
      </c>
      <c r="N58" s="7" t="n">
        <v>433.74</v>
      </c>
      <c r="O58" s="7">
        <f>IFERROR(XLOOKUP(A58,'Source Ledger'!$B$5:$B$200,'Source Ledger'!$A$5:$A$200),"")</f>
        <v/>
      </c>
      <c r="P58" s="7">
        <f>IFERROR(XLOOKUP(A58,'Source Ledger'!$B$5:$B$200,'Source Ledger'!$D$5:$D$200),"")</f>
        <v/>
      </c>
      <c r="Q58" s="9" t="inlineStr">
        <is>
          <t>High</t>
        </is>
      </c>
      <c r="R58" s="7" t="inlineStr">
        <is>
          <t>EX-0035</t>
        </is>
      </c>
      <c r="S58" s="7">
        <f>IF(OR(R58="",R58=0),"No","Yes")</f>
        <v/>
      </c>
      <c r="T58">
        <f>IFERROR(XLOOKUP(A58,'Source Ledger'!$B$5:$B$200,'Source Ledger'!$E$5:$E$200),"")</f>
        <v/>
      </c>
      <c r="U58">
        <f>IFERROR(XLOOKUP(A58,'Source Ledger'!$B$5:$B$200,'Source Ledger'!$H$5:$H$200),"")</f>
        <v/>
      </c>
      <c r="V58">
        <f>IFERROR(XLOOKUP(A58,'Source Ledger'!$B$5:$B$200,'Source Ledger'!$G$5:$G$200),"")</f>
        <v/>
      </c>
      <c r="W58">
        <f>IF(OR(M58="",T58=""),"",T58-M58)</f>
        <v/>
      </c>
      <c r="X58">
        <f>IF(V58="","No","Yes")</f>
        <v/>
      </c>
    </row>
    <row r="59">
      <c r="A59" s="7" t="inlineStr">
        <is>
          <t>MD-00055</t>
        </is>
      </c>
      <c r="B59" s="7">
        <f>IFERROR(XLOOKUP(A59,'Source Inventory'!$A$5:$A$200,'Source Inventory'!$B$5:$B$200),"")</f>
        <v/>
      </c>
      <c r="C59" s="7">
        <f>IFERROR(XLOOKUP(A59,'Source Inventory'!$A$5:$A$200,'Source Inventory'!$C$5:$C$200),"")</f>
        <v/>
      </c>
      <c r="D59" s="7">
        <f>IFERROR(XLOOKUP(A59,'Source Inventory'!$A$5:$A$200,'Source Inventory'!$D$5:$D$200),"")</f>
        <v/>
      </c>
      <c r="E59" s="7">
        <f>IFERROR(XLOOKUP(A59,'Source Inventory'!$A$5:$A$200,'Source Inventory'!$E$5:$E$200),"")</f>
        <v/>
      </c>
      <c r="F59" s="7">
        <f>IFERROR(XLOOKUP(A59,'Source Inventory'!$A$5:$A$200,'Source Inventory'!$F$5:$F$200),"")</f>
        <v/>
      </c>
      <c r="G59" s="7">
        <f>IFERROR(XLOOKUP(A59,'Source Inventory'!$A$5:$A$200,'Source Inventory'!$G$5:$G$200),"")</f>
        <v/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PO-2024-0011 and FA-000055 both cite MD-00055 (iPhone 14); register basis $1,220. transfer TR-00055 dated Feb 11, 2026, received 2026-02-12, APR-00055.</t>
        </is>
      </c>
      <c r="L59" s="7" t="inlineStr">
        <is>
          <t>2026-02-09</t>
        </is>
      </c>
      <c r="M59" s="7">
        <f>IFERROR(XLOOKUP(A59,'Source Inventory'!$A$5:$A$200,'Source Inventory'!$H$5:$H$200),"")</f>
        <v/>
      </c>
      <c r="N59" s="7" t="n">
        <v>812.5</v>
      </c>
      <c r="O59" s="7">
        <f>IFERROR(XLOOKUP(A59,'Source Ledger'!$B$5:$B$200,'Source Ledger'!$A$5:$A$200),"")</f>
        <v/>
      </c>
      <c r="P59" s="7">
        <f>IFERROR(XLOOKUP(A59,'Source Ledger'!$B$5:$B$200,'Source Ledger'!$D$5:$D$200),"")</f>
        <v/>
      </c>
      <c r="Q59" s="9" t="inlineStr">
        <is>
          <t>High</t>
        </is>
      </c>
      <c r="R59" s="7" t="inlineStr">
        <is>
          <t>EX-0036</t>
        </is>
      </c>
      <c r="S59" s="7">
        <f>IF(OR(R59="",R59=0),"No","Yes")</f>
        <v/>
      </c>
      <c r="T59">
        <f>IFERROR(XLOOKUP(A59,'Source Ledger'!$B$5:$B$200,'Source Ledger'!$E$5:$E$200),"")</f>
        <v/>
      </c>
      <c r="U59">
        <f>IFERROR(XLOOKUP(A59,'Source Ledger'!$B$5:$B$200,'Source Ledger'!$H$5:$H$200),"")</f>
        <v/>
      </c>
      <c r="V59">
        <f>IFERROR(XLOOKUP(A59,'Source Ledger'!$B$5:$B$200,'Source Ledger'!$G$5:$G$200),"")</f>
        <v/>
      </c>
      <c r="W59">
        <f>IF(OR(M59="",T59=""),"",T59-M59)</f>
        <v/>
      </c>
      <c r="X59">
        <f>IF(V59="","No","Yes")</f>
        <v/>
      </c>
    </row>
    <row r="60">
      <c r="A60" s="7" t="inlineStr">
        <is>
          <t>MD-00056</t>
        </is>
      </c>
      <c r="B60" s="7">
        <f>IFERROR(XLOOKUP(A60,'Source Inventory'!$A$5:$A$200,'Source Inventory'!$B$5:$B$200),"")</f>
        <v/>
      </c>
      <c r="C60" s="7">
        <f>IFERROR(XLOOKUP(A60,'Source Inventory'!$A$5:$A$200,'Source Inventory'!$C$5:$C$200),"")</f>
        <v/>
      </c>
      <c r="D60" s="7">
        <f>IFERROR(XLOOKUP(A60,'Source Inventory'!$A$5:$A$200,'Source Inventory'!$D$5:$D$200),"")</f>
        <v/>
      </c>
      <c r="E60" s="7">
        <f>IFERROR(XLOOKUP(A60,'Source Inventory'!$A$5:$A$200,'Source Inventory'!$E$5:$E$200),"")</f>
        <v/>
      </c>
      <c r="F60" s="7">
        <f>IFERROR(XLOOKUP(A60,'Source Inventory'!$A$5:$A$200,'Source Inventory'!$F$5:$F$200),"")</f>
        <v/>
      </c>
      <c r="G60" s="7">
        <f>IFERROR(XLOOKUP(A60,'Source Inventory'!$A$5:$A$200,'Source Inventory'!$G$5:$G$200),"")</f>
        <v/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MD-00056 / MD-NE-050056: Samsung Galaxy S24 at Dallas marked Available; acquisition $6,200. buy path PO-2024-0011. ledger FA-000056 NBV $1,345.24. transfer TR-00056 dated Mar 16, 2026, received 2026-03-16, APR-00056.</t>
        </is>
      </c>
      <c r="L60" s="7" t="inlineStr">
        <is>
          <t>2026-03-10</t>
        </is>
      </c>
      <c r="M60" s="7">
        <f>IFERROR(XLOOKUP(A60,'Source Inventory'!$A$5:$A$200,'Source Inventory'!$H$5:$H$200),"")</f>
        <v/>
      </c>
      <c r="N60" s="7" t="n">
        <v>1345.24</v>
      </c>
      <c r="O60" s="7">
        <f>IFERROR(XLOOKUP(A60,'Source Ledger'!$B$5:$B$200,'Source Ledger'!$A$5:$A$200),"")</f>
        <v/>
      </c>
      <c r="P60" s="7">
        <f>IFERROR(XLOOKUP(A60,'Source Ledger'!$B$5:$B$200,'Source Ledger'!$D$5:$D$200),"")</f>
        <v/>
      </c>
      <c r="Q60" s="9" t="inlineStr">
        <is>
          <t>High</t>
        </is>
      </c>
      <c r="R60" s="7" t="inlineStr">
        <is>
          <t>EX-0037</t>
        </is>
      </c>
      <c r="S60" s="7">
        <f>IF(OR(R60="",R60=0),"No","Yes")</f>
        <v/>
      </c>
      <c r="T60">
        <f>IFERROR(XLOOKUP(A60,'Source Ledger'!$B$5:$B$200,'Source Ledger'!$E$5:$E$200),"")</f>
        <v/>
      </c>
      <c r="U60">
        <f>IFERROR(XLOOKUP(A60,'Source Ledger'!$B$5:$B$200,'Source Ledger'!$H$5:$H$200),"")</f>
        <v/>
      </c>
      <c r="V60">
        <f>IFERROR(XLOOKUP(A60,'Source Ledger'!$B$5:$B$200,'Source Ledger'!$G$5:$G$200),"")</f>
        <v/>
      </c>
      <c r="W60">
        <f>IF(OR(M60="",T60=""),"",T60-M60)</f>
        <v/>
      </c>
      <c r="X60">
        <f>IF(V60="","No","Yes")</f>
        <v/>
      </c>
    </row>
    <row r="61">
      <c r="A61" s="7" t="inlineStr">
        <is>
          <t>MD-00057</t>
        </is>
      </c>
      <c r="B61" s="7">
        <f>IFERROR(XLOOKUP(A61,'Source Inventory'!$A$5:$A$200,'Source Inventory'!$B$5:$B$200),"")</f>
        <v/>
      </c>
      <c r="C61" s="7">
        <f>IFERROR(XLOOKUP(A61,'Source Inventory'!$A$5:$A$200,'Source Inventory'!$C$5:$C$200),"")</f>
        <v/>
      </c>
      <c r="D61" s="7">
        <f>IFERROR(XLOOKUP(A61,'Source Inventory'!$A$5:$A$200,'Source Inventory'!$D$5:$D$200),"")</f>
        <v/>
      </c>
      <c r="E61" s="7">
        <f>IFERROR(XLOOKUP(A61,'Source Inventory'!$A$5:$A$200,'Source Inventory'!$E$5:$E$200),"")</f>
        <v/>
      </c>
      <c r="F61" s="7">
        <f>IFERROR(XLOOKUP(A61,'Source Inventory'!$A$5:$A$200,'Source Inventory'!$F$5:$F$200),"")</f>
        <v/>
      </c>
      <c r="G61" s="7">
        <f>IFERROR(XLOOKUP(A61,'Source Inventory'!$A$5:$A$200,'Source Inventory'!$G$5:$G$200),"")</f>
        <v/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MD-00057 / MD-LA-050057: iPhone 15 at Denver marked Available; acquisition $1,895. buy path PO-2024-0011. transfer TR-00057 dated Apr 20, 2026, received 2026-04-24, APR-00057. ledger FA-000057 NBV $106.79.</t>
        </is>
      </c>
      <c r="L61" s="7" t="inlineStr">
        <is>
          <t>2026-04-11</t>
        </is>
      </c>
      <c r="M61" s="7">
        <f>IFERROR(XLOOKUP(A61,'Source Inventory'!$A$5:$A$200,'Source Inventory'!$H$5:$H$200),"")</f>
        <v/>
      </c>
      <c r="N61" s="7" t="n">
        <v>106.79</v>
      </c>
      <c r="O61" s="7">
        <f>IFERROR(XLOOKUP(A61,'Source Ledger'!$B$5:$B$200,'Source Ledger'!$A$5:$A$200),"")</f>
        <v/>
      </c>
      <c r="P61" s="7">
        <f>IFERROR(XLOOKUP(A61,'Source Ledger'!$B$5:$B$200,'Source Ledger'!$D$5:$D$200),"")</f>
        <v/>
      </c>
      <c r="Q61" s="9" t="inlineStr">
        <is>
          <t>High</t>
        </is>
      </c>
      <c r="R61" s="7" t="inlineStr">
        <is>
          <t>EX-0038</t>
        </is>
      </c>
      <c r="S61" s="7">
        <f>IF(OR(R61="",R61=0),"No","Yes")</f>
        <v/>
      </c>
      <c r="T61">
        <f>IFERROR(XLOOKUP(A61,'Source Ledger'!$B$5:$B$200,'Source Ledger'!$E$5:$E$200),"")</f>
        <v/>
      </c>
      <c r="U61">
        <f>IFERROR(XLOOKUP(A61,'Source Ledger'!$B$5:$B$200,'Source Ledger'!$H$5:$H$200),"")</f>
        <v/>
      </c>
      <c r="V61">
        <f>IFERROR(XLOOKUP(A61,'Source Ledger'!$B$5:$B$200,'Source Ledger'!$G$5:$G$200),"")</f>
        <v/>
      </c>
      <c r="W61">
        <f>IF(OR(M61="",T61=""),"",T61-M61)</f>
        <v/>
      </c>
      <c r="X61">
        <f>IF(V61="","No","Yes")</f>
        <v/>
      </c>
    </row>
    <row r="62">
      <c r="A62" s="7" t="inlineStr">
        <is>
          <t>MD-00058</t>
        </is>
      </c>
      <c r="B62" s="7">
        <f>IFERROR(XLOOKUP(A62,'Source Inventory'!$A$5:$A$200,'Source Inventory'!$B$5:$B$200),"")</f>
        <v/>
      </c>
      <c r="C62" s="7">
        <f>IFERROR(XLOOKUP(A62,'Source Inventory'!$A$5:$A$200,'Source Inventory'!$C$5:$C$200),"")</f>
        <v/>
      </c>
      <c r="D62" s="7">
        <f>IFERROR(XLOOKUP(A62,'Source Inventory'!$A$5:$A$200,'Source Inventory'!$D$5:$D$200),"")</f>
        <v/>
      </c>
      <c r="E62" s="7">
        <f>IFERROR(XLOOKUP(A62,'Source Inventory'!$A$5:$A$200,'Source Inventory'!$E$5:$E$200),"")</f>
        <v/>
      </c>
      <c r="F62" s="7">
        <f>IFERROR(XLOOKUP(A62,'Source Inventory'!$A$5:$A$200,'Source Inventory'!$F$5:$F$200),"")</f>
        <v/>
      </c>
      <c r="G62" s="7">
        <f>IFERROR(XLOOKUP(A62,'Source Inventory'!$A$5:$A$200,'Source Inventory'!$G$5:$G$200),"")</f>
        <v/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FA-000058 carries NBV $397.56 for MD-00058; operating status Pending Redeployment at New York. purchasing extract lists PO-2024-0011. transfer TR-00058 dated May 22, 2026, received 2026-05-23, approval blank.</t>
        </is>
      </c>
      <c r="L62" s="7" t="inlineStr">
        <is>
          <t>2026-08-05</t>
        </is>
      </c>
      <c r="M62" s="7">
        <f>IFERROR(XLOOKUP(A62,'Source Inventory'!$A$5:$A$200,'Source Inventory'!$H$5:$H$200),"")</f>
        <v/>
      </c>
      <c r="N62" s="7" t="n">
        <v>397.56</v>
      </c>
      <c r="O62" s="7">
        <f>IFERROR(XLOOKUP(A62,'Source Ledger'!$B$5:$B$200,'Source Ledger'!$A$5:$A$200),"")</f>
        <v/>
      </c>
      <c r="P62" s="7">
        <f>IFERROR(XLOOKUP(A62,'Source Ledger'!$B$5:$B$200,'Source Ledger'!$D$5:$D$200),"")</f>
        <v/>
      </c>
      <c r="Q62" s="7" t="inlineStr">
        <is>
          <t>Medium</t>
        </is>
      </c>
      <c r="R62" s="7" t="inlineStr">
        <is>
          <t>EX-0039, EX-0040, EX-0041</t>
        </is>
      </c>
      <c r="S62" s="7">
        <f>IF(OR(R62="",R62=0),"No","Yes")</f>
        <v/>
      </c>
      <c r="T62">
        <f>IFERROR(XLOOKUP(A62,'Source Ledger'!$B$5:$B$200,'Source Ledger'!$E$5:$E$200),"")</f>
        <v/>
      </c>
      <c r="U62">
        <f>IFERROR(XLOOKUP(A62,'Source Ledger'!$B$5:$B$200,'Source Ledger'!$H$5:$H$200),"")</f>
        <v/>
      </c>
      <c r="V62">
        <f>IFERROR(XLOOKUP(A62,'Source Ledger'!$B$5:$B$200,'Source Ledger'!$G$5:$G$200),"")</f>
        <v/>
      </c>
      <c r="W62">
        <f>IF(OR(M62="",T62=""),"",T62-M62)</f>
        <v/>
      </c>
      <c r="X62">
        <f>IF(V62="","No","Yes")</f>
        <v/>
      </c>
    </row>
    <row r="63">
      <c r="A63" s="7" t="inlineStr">
        <is>
          <t>MD-00059</t>
        </is>
      </c>
      <c r="B63" s="7">
        <f>IFERROR(XLOOKUP(A63,'Source Inventory'!$A$5:$A$200,'Source Inventory'!$B$5:$B$200),"")</f>
        <v/>
      </c>
      <c r="C63" s="7">
        <f>IFERROR(XLOOKUP(A63,'Source Inventory'!$A$5:$A$200,'Source Inventory'!$C$5:$C$200),"")</f>
        <v/>
      </c>
      <c r="D63" s="7">
        <f>IFERROR(XLOOKUP(A63,'Source Inventory'!$A$5:$A$200,'Source Inventory'!$D$5:$D$200),"")</f>
        <v/>
      </c>
      <c r="E63" s="7">
        <f>IFERROR(XLOOKUP(A63,'Source Inventory'!$A$5:$A$200,'Source Inventory'!$E$5:$E$200),"")</f>
        <v/>
      </c>
      <c r="F63" s="7">
        <f>IFERROR(XLOOKUP(A63,'Source Inventory'!$A$5:$A$200,'Source Inventory'!$F$5:$F$200),"")</f>
        <v/>
      </c>
      <c r="G63" s="7">
        <f>IFERROR(XLOOKUP(A63,'Source Inventory'!$A$5:$A$200,'Source Inventory'!$G$5:$G$200),"")</f>
        <v/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MD-00059 / MD-MO-050059: Samsung Galaxy S23 FE at Seattle marked Pending Redeployment; acquisition $1,085. buy path PO-2024-0011. ledger FA-000059 NBV $847.35. transfer TR-00059 dated Jun 26, 2026, received 2026-06-26, approval blank.</t>
        </is>
      </c>
      <c r="L63" s="7" t="inlineStr">
        <is>
          <t>2026-08-05</t>
        </is>
      </c>
      <c r="M63" s="7">
        <f>IFERROR(XLOOKUP(A63,'Source Inventory'!$A$5:$A$200,'Source Inventory'!$H$5:$H$200),"")</f>
        <v/>
      </c>
      <c r="N63" s="7" t="n">
        <v>847.35</v>
      </c>
      <c r="O63" s="7">
        <f>IFERROR(XLOOKUP(A63,'Source Ledger'!$B$5:$B$200,'Source Ledger'!$A$5:$A$200),"")</f>
        <v/>
      </c>
      <c r="P63" s="7">
        <f>IFERROR(XLOOKUP(A63,'Source Ledger'!$B$5:$B$200,'Source Ledger'!$D$5:$D$200),"")</f>
        <v/>
      </c>
      <c r="Q63" s="7" t="inlineStr">
        <is>
          <t>Medium</t>
        </is>
      </c>
      <c r="R63" s="7" t="inlineStr">
        <is>
          <t>EX-0042, EX-0043, EX-0044</t>
        </is>
      </c>
      <c r="S63" s="7">
        <f>IF(OR(R63="",R63=0),"No","Yes")</f>
        <v/>
      </c>
      <c r="T63">
        <f>IFERROR(XLOOKUP(A63,'Source Ledger'!$B$5:$B$200,'Source Ledger'!$E$5:$E$200),"")</f>
        <v/>
      </c>
      <c r="U63">
        <f>IFERROR(XLOOKUP(A63,'Source Ledger'!$B$5:$B$200,'Source Ledger'!$H$5:$H$200),"")</f>
        <v/>
      </c>
      <c r="V63">
        <f>IFERROR(XLOOKUP(A63,'Source Ledger'!$B$5:$B$200,'Source Ledger'!$G$5:$G$200),"")</f>
        <v/>
      </c>
      <c r="W63">
        <f>IF(OR(M63="",T63=""),"",T63-M63)</f>
        <v/>
      </c>
      <c r="X63">
        <f>IF(V63="","No","Yes")</f>
        <v/>
      </c>
    </row>
    <row r="64">
      <c r="A64" s="7" t="inlineStr">
        <is>
          <t>MD-00060</t>
        </is>
      </c>
      <c r="B64" s="7">
        <f>IFERROR(XLOOKUP(A64,'Source Inventory'!$A$5:$A$200,'Source Inventory'!$B$5:$B$200),"")</f>
        <v/>
      </c>
      <c r="C64" s="7">
        <f>IFERROR(XLOOKUP(A64,'Source Inventory'!$A$5:$A$200,'Source Inventory'!$C$5:$C$200),"")</f>
        <v/>
      </c>
      <c r="D64" s="7">
        <f>IFERROR(XLOOKUP(A64,'Source Inventory'!$A$5:$A$200,'Source Inventory'!$D$5:$D$200),"")</f>
        <v/>
      </c>
      <c r="E64" s="7">
        <f>IFERROR(XLOOKUP(A64,'Source Inventory'!$A$5:$A$200,'Source Inventory'!$E$5:$E$200),"")</f>
        <v/>
      </c>
      <c r="F64" s="7">
        <f>IFERROR(XLOOKUP(A64,'Source Inventory'!$A$5:$A$200,'Source Inventory'!$F$5:$F$200),"")</f>
        <v/>
      </c>
      <c r="G64" s="7">
        <f>IFERROR(XLOOKUP(A64,'Source Inventory'!$A$5:$A$200,'Source Inventory'!$G$5:$G$200),"")</f>
        <v/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PO-2024-0011 and FA-000060 both cite MD-00060 (Samsung Galaxy S24); register basis $6,380. transfer TR-00060 dated Jan 30, 2026, received 2026-02-02, APR-00060.</t>
        </is>
      </c>
      <c r="L64" s="7" t="inlineStr">
        <is>
          <t>2026-08-05</t>
        </is>
      </c>
      <c r="M64" s="7">
        <f>IFERROR(XLOOKUP(A64,'Source Inventory'!$A$5:$A$200,'Source Inventory'!$H$5:$H$200),"")</f>
        <v/>
      </c>
      <c r="N64" s="7" t="n">
        <v>549.35</v>
      </c>
      <c r="O64" s="7">
        <f>IFERROR(XLOOKUP(A64,'Source Ledger'!$B$5:$B$200,'Source Ledger'!$A$5:$A$200),"")</f>
        <v/>
      </c>
      <c r="P64" s="7">
        <f>IFERROR(XLOOKUP(A64,'Source Ledger'!$B$5:$B$200,'Source Ledger'!$D$5:$D$200),"")</f>
        <v/>
      </c>
      <c r="Q64" s="9" t="inlineStr">
        <is>
          <t>High</t>
        </is>
      </c>
      <c r="R64" s="7" t="inlineStr">
        <is>
          <t>EX-0045, EX-0046</t>
        </is>
      </c>
      <c r="S64" s="7">
        <f>IF(OR(R64="",R64=0),"No","Yes")</f>
        <v/>
      </c>
      <c r="T64">
        <f>IFERROR(XLOOKUP(A64,'Source Ledger'!$B$5:$B$200,'Source Ledger'!$E$5:$E$200),"")</f>
        <v/>
      </c>
      <c r="U64">
        <f>IFERROR(XLOOKUP(A64,'Source Ledger'!$B$5:$B$200,'Source Ledger'!$H$5:$H$200),"")</f>
        <v/>
      </c>
      <c r="V64">
        <f>IFERROR(XLOOKUP(A64,'Source Ledger'!$B$5:$B$200,'Source Ledger'!$G$5:$G$200),"")</f>
        <v/>
      </c>
      <c r="W64">
        <f>IF(OR(M64="",T64=""),"",T64-M64)</f>
        <v/>
      </c>
      <c r="X64">
        <f>IF(V64="","No","Yes")</f>
        <v/>
      </c>
    </row>
    <row r="65">
      <c r="A65" s="7" t="inlineStr">
        <is>
          <t>MD-00061</t>
        </is>
      </c>
      <c r="B65" s="7">
        <f>IFERROR(XLOOKUP(A65,'Source Inventory'!$A$5:$A$200,'Source Inventory'!$B$5:$B$200),"")</f>
        <v/>
      </c>
      <c r="C65" s="7">
        <f>IFERROR(XLOOKUP(A65,'Source Inventory'!$A$5:$A$200,'Source Inventory'!$C$5:$C$200),"")</f>
        <v/>
      </c>
      <c r="D65" s="7">
        <f>IFERROR(XLOOKUP(A65,'Source Inventory'!$A$5:$A$200,'Source Inventory'!$D$5:$D$200),"")</f>
        <v/>
      </c>
      <c r="E65" s="7">
        <f>IFERROR(XLOOKUP(A65,'Source Inventory'!$A$5:$A$200,'Source Inventory'!$E$5:$E$200),"")</f>
        <v/>
      </c>
      <c r="F65" s="7">
        <f>IFERROR(XLOOKUP(A65,'Source Inventory'!$A$5:$A$200,'Source Inventory'!$F$5:$F$200),"")</f>
        <v/>
      </c>
      <c r="G65" s="7">
        <f>IFERROR(XLOOKUP(A65,'Source Inventory'!$A$5:$A$200,'Source Inventory'!$G$5:$G$200),"")</f>
        <v/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TR-00061 moved MD-00061 (MD-LA-050061); inbound 2026-02-03; now Pending Redeployment / Chicago. buy path PO-2025-0012. ledger FA-000061 NBV $0.</t>
        </is>
      </c>
      <c r="L65" s="7" t="inlineStr">
        <is>
          <t>2026-08-05</t>
        </is>
      </c>
      <c r="M65" s="7">
        <f>IFERROR(XLOOKUP(A65,'Source Inventory'!$A$5:$A$200,'Source Inventory'!$H$5:$H$200),"")</f>
        <v/>
      </c>
      <c r="N65" s="7" t="n">
        <v>0</v>
      </c>
      <c r="O65" s="7">
        <f>IFERROR(XLOOKUP(A65,'Source Ledger'!$B$5:$B$200,'Source Ledger'!$A$5:$A$200),"")</f>
        <v/>
      </c>
      <c r="P65" s="7">
        <f>IFERROR(XLOOKUP(A65,'Source Ledger'!$B$5:$B$200,'Source Ledger'!$D$5:$D$200),"")</f>
        <v/>
      </c>
      <c r="Q65" s="9" t="inlineStr">
        <is>
          <t>High</t>
        </is>
      </c>
      <c r="R65" s="7" t="inlineStr">
        <is>
          <t>EX-0047, EX-0048</t>
        </is>
      </c>
      <c r="S65" s="7">
        <f>IF(OR(R65="",R65=0),"No","Yes")</f>
        <v/>
      </c>
      <c r="T65">
        <f>IFERROR(XLOOKUP(A65,'Source Ledger'!$B$5:$B$200,'Source Ledger'!$E$5:$E$200),"")</f>
        <v/>
      </c>
      <c r="U65">
        <f>IFERROR(XLOOKUP(A65,'Source Ledger'!$B$5:$B$200,'Source Ledger'!$H$5:$H$200),"")</f>
        <v/>
      </c>
      <c r="V65">
        <f>IFERROR(XLOOKUP(A65,'Source Ledger'!$B$5:$B$200,'Source Ledger'!$G$5:$G$200),"")</f>
        <v/>
      </c>
      <c r="W65">
        <f>IF(OR(M65="",T65=""),"",T65-M65)</f>
        <v/>
      </c>
      <c r="X65">
        <f>IF(V65="","No","Yes")</f>
        <v/>
      </c>
    </row>
    <row r="66">
      <c r="A66" s="7" t="inlineStr">
        <is>
          <t>MD-00062</t>
        </is>
      </c>
      <c r="B66" s="7">
        <f>IFERROR(XLOOKUP(A66,'Source Inventory'!$A$5:$A$200,'Source Inventory'!$B$5:$B$200),"")</f>
        <v/>
      </c>
      <c r="C66" s="7">
        <f>IFERROR(XLOOKUP(A66,'Source Inventory'!$A$5:$A$200,'Source Inventory'!$C$5:$C$200),"")</f>
        <v/>
      </c>
      <c r="D66" s="7">
        <f>IFERROR(XLOOKUP(A66,'Source Inventory'!$A$5:$A$200,'Source Inventory'!$D$5:$D$200),"")</f>
        <v/>
      </c>
      <c r="E66" s="7">
        <f>IFERROR(XLOOKUP(A66,'Source Inventory'!$A$5:$A$200,'Source Inventory'!$E$5:$E$200),"")</f>
        <v/>
      </c>
      <c r="F66" s="7">
        <f>IFERROR(XLOOKUP(A66,'Source Inventory'!$A$5:$A$200,'Source Inventory'!$F$5:$F$200),"")</f>
        <v/>
      </c>
      <c r="G66" s="7">
        <f>IFERROR(XLOOKUP(A66,'Source Inventory'!$A$5:$A$200,'Source Inventory'!$G$5:$G$200),"")</f>
        <v/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MD-00062 / MD-MO-050062: Google Pixel 8 at Dallas marked Pending Redeployment; acquisition $790. ledger FA-000062 NBV $410.63. buy path PO-2025-0012. transfer TR-00062 dated Mar 07, 2026, received 2026-03-07, APR-00062.</t>
        </is>
      </c>
      <c r="L66" s="7" t="inlineStr">
        <is>
          <t>2026-08-05</t>
        </is>
      </c>
      <c r="M66" s="7">
        <f>IFERROR(XLOOKUP(A66,'Source Inventory'!$A$5:$A$200,'Source Inventory'!$H$5:$H$200),"")</f>
        <v/>
      </c>
      <c r="N66" s="7" t="n">
        <v>410.63</v>
      </c>
      <c r="O66" s="7">
        <f>IFERROR(XLOOKUP(A66,'Source Ledger'!$B$5:$B$200,'Source Ledger'!$A$5:$A$200),"")</f>
        <v/>
      </c>
      <c r="P66" s="7">
        <f>IFERROR(XLOOKUP(A66,'Source Ledger'!$B$5:$B$200,'Source Ledger'!$D$5:$D$200),"")</f>
        <v/>
      </c>
      <c r="Q66" s="9" t="inlineStr">
        <is>
          <t>High</t>
        </is>
      </c>
      <c r="R66" s="7" t="inlineStr">
        <is>
          <t>EX-0049, EX-0050</t>
        </is>
      </c>
      <c r="S66" s="7">
        <f>IF(OR(R66="",R66=0),"No","Yes")</f>
        <v/>
      </c>
      <c r="T66">
        <f>IFERROR(XLOOKUP(A66,'Source Ledger'!$B$5:$B$200,'Source Ledger'!$E$5:$E$200),"")</f>
        <v/>
      </c>
      <c r="U66">
        <f>IFERROR(XLOOKUP(A66,'Source Ledger'!$B$5:$B$200,'Source Ledger'!$H$5:$H$200),"")</f>
        <v/>
      </c>
      <c r="V66">
        <f>IFERROR(XLOOKUP(A66,'Source Ledger'!$B$5:$B$200,'Source Ledger'!$G$5:$G$200),"")</f>
        <v/>
      </c>
      <c r="W66">
        <f>IF(OR(M66="",T66=""),"",T66-M66)</f>
        <v/>
      </c>
      <c r="X66">
        <f>IF(V66="","No","Yes")</f>
        <v/>
      </c>
    </row>
    <row r="67">
      <c r="A67" s="7" t="inlineStr">
        <is>
          <t>MD-00063</t>
        </is>
      </c>
      <c r="B67" s="7">
        <f>IFERROR(XLOOKUP(A67,'Source Inventory'!$A$5:$A$200,'Source Inventory'!$B$5:$B$200),"")</f>
        <v/>
      </c>
      <c r="C67" s="7">
        <f>IFERROR(XLOOKUP(A67,'Source Inventory'!$A$5:$A$200,'Source Inventory'!$C$5:$C$200),"")</f>
        <v/>
      </c>
      <c r="D67" s="7">
        <f>IFERROR(XLOOKUP(A67,'Source Inventory'!$A$5:$A$200,'Source Inventory'!$D$5:$D$200),"")</f>
        <v/>
      </c>
      <c r="E67" s="7">
        <f>IFERROR(XLOOKUP(A67,'Source Inventory'!$A$5:$A$200,'Source Inventory'!$E$5:$E$200),"")</f>
        <v/>
      </c>
      <c r="F67" s="7">
        <f>IFERROR(XLOOKUP(A67,'Source Inventory'!$A$5:$A$200,'Source Inventory'!$F$5:$F$200),"")</f>
        <v/>
      </c>
      <c r="G67" s="7">
        <f>IFERROR(XLOOKUP(A67,'Source Inventory'!$A$5:$A$200,'Source Inventory'!$G$5:$G$200),"")</f>
        <v/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PO-2025-0012 and FA-000063 both cite MD-00063 (Samsung Galaxy S23 FE); register basis $950. transfer TR-00063 dated Apr 12, 2026, received 2026-04-16, APR-00063.</t>
        </is>
      </c>
      <c r="L67" s="7" t="inlineStr">
        <is>
          <t>2026-08-05</t>
        </is>
      </c>
      <c r="M67" s="7">
        <f>IFERROR(XLOOKUP(A67,'Source Inventory'!$A$5:$A$200,'Source Inventory'!$H$5:$H$200),"")</f>
        <v/>
      </c>
      <c r="N67" s="7" t="n">
        <v>533.85</v>
      </c>
      <c r="O67" s="7">
        <f>IFERROR(XLOOKUP(A67,'Source Ledger'!$B$5:$B$200,'Source Ledger'!$A$5:$A$200),"")</f>
        <v/>
      </c>
      <c r="P67" s="7">
        <f>IFERROR(XLOOKUP(A67,'Source Ledger'!$B$5:$B$200,'Source Ledger'!$D$5:$D$200),"")</f>
        <v/>
      </c>
      <c r="Q67" s="9" t="inlineStr">
        <is>
          <t>High</t>
        </is>
      </c>
      <c r="R67" s="7" t="inlineStr">
        <is>
          <t>EX-0051, EX-0052</t>
        </is>
      </c>
      <c r="S67" s="7">
        <f>IF(OR(R67="",R67=0),"No","Yes")</f>
        <v/>
      </c>
      <c r="T67">
        <f>IFERROR(XLOOKUP(A67,'Source Ledger'!$B$5:$B$200,'Source Ledger'!$E$5:$E$200),"")</f>
        <v/>
      </c>
      <c r="U67">
        <f>IFERROR(XLOOKUP(A67,'Source Ledger'!$B$5:$B$200,'Source Ledger'!$H$5:$H$200),"")</f>
        <v/>
      </c>
      <c r="V67">
        <f>IFERROR(XLOOKUP(A67,'Source Ledger'!$B$5:$B$200,'Source Ledger'!$G$5:$G$200),"")</f>
        <v/>
      </c>
      <c r="W67">
        <f>IF(OR(M67="",T67=""),"",T67-M67)</f>
        <v/>
      </c>
      <c r="X67">
        <f>IF(V67="","No","Yes")</f>
        <v/>
      </c>
    </row>
    <row r="68">
      <c r="A68" s="7" t="inlineStr">
        <is>
          <t>MD-00064</t>
        </is>
      </c>
      <c r="B68" s="7">
        <f>IFERROR(XLOOKUP(A68,'Source Inventory'!$A$5:$A$200,'Source Inventory'!$B$5:$B$200),"")</f>
        <v/>
      </c>
      <c r="C68" s="7">
        <f>IFERROR(XLOOKUP(A68,'Source Inventory'!$A$5:$A$200,'Source Inventory'!$C$5:$C$200),"")</f>
        <v/>
      </c>
      <c r="D68" s="7">
        <f>IFERROR(XLOOKUP(A68,'Source Inventory'!$A$5:$A$200,'Source Inventory'!$D$5:$D$200),"")</f>
        <v/>
      </c>
      <c r="E68" s="7">
        <f>IFERROR(XLOOKUP(A68,'Source Inventory'!$A$5:$A$200,'Source Inventory'!$E$5:$E$200),"")</f>
        <v/>
      </c>
      <c r="F68" s="7">
        <f>IFERROR(XLOOKUP(A68,'Source Inventory'!$A$5:$A$200,'Source Inventory'!$F$5:$F$200),"")</f>
        <v/>
      </c>
      <c r="G68" s="7">
        <f>IFERROR(XLOOKUP(A68,'Source Inventory'!$A$5:$A$200,'Source Inventory'!$G$5:$G$200),"")</f>
        <v/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TR-00064 moved MD-00064 (MD-NE-050064); inbound 2026-05-14; now Pending Redeployment / New York. ledger FA-000064 NBV $961.76. buy path PO-2025-0012.</t>
        </is>
      </c>
      <c r="L68" s="7" t="inlineStr">
        <is>
          <t>2026-08-05</t>
        </is>
      </c>
      <c r="M68" s="7">
        <f>IFERROR(XLOOKUP(A68,'Source Inventory'!$A$5:$A$200,'Source Inventory'!$H$5:$H$200),"")</f>
        <v/>
      </c>
      <c r="N68" s="7" t="n">
        <v>961.76</v>
      </c>
      <c r="O68" s="7">
        <f>IFERROR(XLOOKUP(A68,'Source Ledger'!$B$5:$B$200,'Source Ledger'!$A$5:$A$200),"")</f>
        <v/>
      </c>
      <c r="P68" s="7">
        <f>IFERROR(XLOOKUP(A68,'Source Ledger'!$B$5:$B$200,'Source Ledger'!$D$5:$D$200),"")</f>
        <v/>
      </c>
      <c r="Q68" s="7" t="inlineStr">
        <is>
          <t>Medium</t>
        </is>
      </c>
      <c r="R68" s="7" t="inlineStr">
        <is>
          <t>EX-0053, EX-0054, EX-0055</t>
        </is>
      </c>
      <c r="S68" s="7">
        <f>IF(OR(R68="",R68=0),"No","Yes")</f>
        <v/>
      </c>
      <c r="T68">
        <f>IFERROR(XLOOKUP(A68,'Source Ledger'!$B$5:$B$200,'Source Ledger'!$E$5:$E$200),"")</f>
        <v/>
      </c>
      <c r="U68">
        <f>IFERROR(XLOOKUP(A68,'Source Ledger'!$B$5:$B$200,'Source Ledger'!$H$5:$H$200),"")</f>
        <v/>
      </c>
      <c r="V68">
        <f>IFERROR(XLOOKUP(A68,'Source Ledger'!$B$5:$B$200,'Source Ledger'!$G$5:$G$200),"")</f>
        <v/>
      </c>
      <c r="W68">
        <f>IF(OR(M68="",T68=""),"",T68-M68)</f>
        <v/>
      </c>
      <c r="X68">
        <f>IF(V68="","No","Yes")</f>
        <v/>
      </c>
    </row>
    <row r="69">
      <c r="A69" s="7" t="inlineStr">
        <is>
          <t>MD-00065</t>
        </is>
      </c>
      <c r="B69" s="7">
        <f>IFERROR(XLOOKUP(A69,'Source Inventory'!$A$5:$A$200,'Source Inventory'!$B$5:$B$200),"")</f>
        <v/>
      </c>
      <c r="C69" s="7">
        <f>IFERROR(XLOOKUP(A69,'Source Inventory'!$A$5:$A$200,'Source Inventory'!$C$5:$C$200),"")</f>
        <v/>
      </c>
      <c r="D69" s="7">
        <f>IFERROR(XLOOKUP(A69,'Source Inventory'!$A$5:$A$200,'Source Inventory'!$D$5:$D$200),"")</f>
        <v/>
      </c>
      <c r="E69" s="7">
        <f>IFERROR(XLOOKUP(A69,'Source Inventory'!$A$5:$A$200,'Source Inventory'!$E$5:$E$200),"")</f>
        <v/>
      </c>
      <c r="F69" s="7">
        <f>IFERROR(XLOOKUP(A69,'Source Inventory'!$A$5:$A$200,'Source Inventory'!$F$5:$F$200),"")</f>
        <v/>
      </c>
      <c r="G69" s="7">
        <f>IFERROR(XLOOKUP(A69,'Source Inventory'!$A$5:$A$200,'Source Inventory'!$G$5:$G$200),"")</f>
        <v/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MD-00065 / MD-LA-050065: Samsung Galaxy S24 at Seattle marked Pending Redeployment; acquisition $1,940. transfer TR-00065 dated Jun 17, 2026, received 2026-06-23, approval blank. buy path PO-2022-0013. ledger FA-000065 NBV $0.</t>
        </is>
      </c>
      <c r="L69" s="7" t="inlineStr">
        <is>
          <t>2026-08-05</t>
        </is>
      </c>
      <c r="M69" s="7">
        <f>IFERROR(XLOOKUP(A69,'Source Inventory'!$A$5:$A$200,'Source Inventory'!$H$5:$H$200),"")</f>
        <v/>
      </c>
      <c r="N69" s="7" t="n">
        <v>0</v>
      </c>
      <c r="O69" s="7">
        <f>IFERROR(XLOOKUP(A69,'Source Ledger'!$B$5:$B$200,'Source Ledger'!$A$5:$A$200),"")</f>
        <v/>
      </c>
      <c r="P69" s="7">
        <f>IFERROR(XLOOKUP(A69,'Source Ledger'!$B$5:$B$200,'Source Ledger'!$D$5:$D$200),"")</f>
        <v/>
      </c>
      <c r="Q69" s="7" t="inlineStr">
        <is>
          <t>Medium</t>
        </is>
      </c>
      <c r="R69" s="7" t="inlineStr">
        <is>
          <t>EX-0056, EX-0057, EX-0058</t>
        </is>
      </c>
      <c r="S69" s="7">
        <f>IF(OR(R69="",R69=0),"No","Yes")</f>
        <v/>
      </c>
      <c r="T69">
        <f>IFERROR(XLOOKUP(A69,'Source Ledger'!$B$5:$B$200,'Source Ledger'!$E$5:$E$200),"")</f>
        <v/>
      </c>
      <c r="U69">
        <f>IFERROR(XLOOKUP(A69,'Source Ledger'!$B$5:$B$200,'Source Ledger'!$H$5:$H$200),"")</f>
        <v/>
      </c>
      <c r="V69">
        <f>IFERROR(XLOOKUP(A69,'Source Ledger'!$B$5:$B$200,'Source Ledger'!$G$5:$G$200),"")</f>
        <v/>
      </c>
      <c r="W69">
        <f>IF(OR(M69="",T69=""),"",T69-M69)</f>
        <v/>
      </c>
      <c r="X69">
        <f>IF(V69="","No","Yes")</f>
        <v/>
      </c>
    </row>
    <row r="70">
      <c r="A70" s="7" t="inlineStr">
        <is>
          <t>MD-00066</t>
        </is>
      </c>
      <c r="B70" s="7">
        <f>IFERROR(XLOOKUP(A70,'Source Inventory'!$A$5:$A$200,'Source Inventory'!$B$5:$B$200),"")</f>
        <v/>
      </c>
      <c r="C70" s="7">
        <f>IFERROR(XLOOKUP(A70,'Source Inventory'!$A$5:$A$200,'Source Inventory'!$C$5:$C$200),"")</f>
        <v/>
      </c>
      <c r="D70" s="7">
        <f>IFERROR(XLOOKUP(A70,'Source Inventory'!$A$5:$A$200,'Source Inventory'!$D$5:$D$200),"")</f>
        <v/>
      </c>
      <c r="E70" s="7">
        <f>IFERROR(XLOOKUP(A70,'Source Inventory'!$A$5:$A$200,'Source Inventory'!$E$5:$E$200),"")</f>
        <v/>
      </c>
      <c r="F70" s="7">
        <f>IFERROR(XLOOKUP(A70,'Source Inventory'!$A$5:$A$200,'Source Inventory'!$F$5:$F$200),"")</f>
        <v/>
      </c>
      <c r="G70" s="7">
        <f>IFERROR(XLOOKUP(A70,'Source Inventory'!$A$5:$A$200,'Source Inventory'!$G$5:$G$200),"")</f>
        <v/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FA-000066 carries NBV $385.65 for MD-00066; operating status Pending Redeployment at Atlanta. transfer TR-00066 dated Jan 22, 2026, received 2026-01-25, APR-00066. purchasing extract lists PO-2022-0013.</t>
        </is>
      </c>
      <c r="L70" s="7" t="inlineStr">
        <is>
          <t>2026-08-05</t>
        </is>
      </c>
      <c r="M70" s="7">
        <f>IFERROR(XLOOKUP(A70,'Source Inventory'!$A$5:$A$200,'Source Inventory'!$H$5:$H$200),"")</f>
        <v/>
      </c>
      <c r="N70" s="7" t="n">
        <v>385.65</v>
      </c>
      <c r="O70" s="7">
        <f>IFERROR(XLOOKUP(A70,'Source Ledger'!$B$5:$B$200,'Source Ledger'!$A$5:$A$200),"")</f>
        <v/>
      </c>
      <c r="P70" s="7">
        <f>IFERROR(XLOOKUP(A70,'Source Ledger'!$B$5:$B$200,'Source Ledger'!$D$5:$D$200),"")</f>
        <v/>
      </c>
      <c r="Q70" s="9" t="inlineStr">
        <is>
          <t>High</t>
        </is>
      </c>
      <c r="R70" s="7" t="inlineStr">
        <is>
          <t>EX-0059, EX-0060</t>
        </is>
      </c>
      <c r="S70" s="7">
        <f>IF(OR(R70="",R70=0),"No","Yes")</f>
        <v/>
      </c>
      <c r="T70">
        <f>IFERROR(XLOOKUP(A70,'Source Ledger'!$B$5:$B$200,'Source Ledger'!$E$5:$E$200),"")</f>
        <v/>
      </c>
      <c r="U70">
        <f>IFERROR(XLOOKUP(A70,'Source Ledger'!$B$5:$B$200,'Source Ledger'!$H$5:$H$200),"")</f>
        <v/>
      </c>
      <c r="V70">
        <f>IFERROR(XLOOKUP(A70,'Source Ledger'!$B$5:$B$200,'Source Ledger'!$G$5:$G$200),"")</f>
        <v/>
      </c>
      <c r="W70">
        <f>IF(OR(M70="",T70=""),"",T70-M70)</f>
        <v/>
      </c>
      <c r="X70">
        <f>IF(V70="","No","Yes")</f>
        <v/>
      </c>
    </row>
    <row r="71">
      <c r="A71" s="7" t="inlineStr">
        <is>
          <t>MD-00067</t>
        </is>
      </c>
      <c r="B71" s="7">
        <f>IFERROR(XLOOKUP(A71,'Source Inventory'!$A$5:$A$200,'Source Inventory'!$B$5:$B$200),"")</f>
        <v/>
      </c>
      <c r="C71" s="7">
        <f>IFERROR(XLOOKUP(A71,'Source Inventory'!$A$5:$A$200,'Source Inventory'!$C$5:$C$200),"")</f>
        <v/>
      </c>
      <c r="D71" s="7">
        <f>IFERROR(XLOOKUP(A71,'Source Inventory'!$A$5:$A$200,'Source Inventory'!$D$5:$D$200),"")</f>
        <v/>
      </c>
      <c r="E71" s="7">
        <f>IFERROR(XLOOKUP(A71,'Source Inventory'!$A$5:$A$200,'Source Inventory'!$E$5:$E$200),"")</f>
        <v/>
      </c>
      <c r="F71" s="7">
        <f>IFERROR(XLOOKUP(A71,'Source Inventory'!$A$5:$A$200,'Source Inventory'!$F$5:$F$200),"")</f>
        <v/>
      </c>
      <c r="G71" s="7">
        <f>IFERROR(XLOOKUP(A71,'Source Inventory'!$A$5:$A$200,'Source Inventory'!$G$5:$G$200),"")</f>
        <v/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MD-00067 / MD-MO-050067: Google Pixel 8 at Chicago marked Pending Redeployment; acquisition $1,130. transfer TR-00067 dated Feb 23, 2026, received 2026-02-23, APR-00067. buy path PO-2022-0013. ledger FA-000067 NBV $764.93.</t>
        </is>
      </c>
      <c r="L71" s="7" t="inlineStr">
        <is>
          <t>2026-08-05</t>
        </is>
      </c>
      <c r="M71" s="7">
        <f>IFERROR(XLOOKUP(A71,'Source Inventory'!$A$5:$A$200,'Source Inventory'!$H$5:$H$200),"")</f>
        <v/>
      </c>
      <c r="N71" s="7" t="n">
        <v>764.93</v>
      </c>
      <c r="O71" s="7">
        <f>IFERROR(XLOOKUP(A71,'Source Ledger'!$B$5:$B$200,'Source Ledger'!$A$5:$A$200),"")</f>
        <v/>
      </c>
      <c r="P71" s="7">
        <f>IFERROR(XLOOKUP(A71,'Source Ledger'!$B$5:$B$200,'Source Ledger'!$D$5:$D$200),"")</f>
        <v/>
      </c>
      <c r="Q71" s="9" t="inlineStr">
        <is>
          <t>High</t>
        </is>
      </c>
      <c r="R71" s="7" t="inlineStr">
        <is>
          <t>EX-0061, EX-0062</t>
        </is>
      </c>
      <c r="S71" s="7">
        <f>IF(OR(R71="",R71=0),"No","Yes")</f>
        <v/>
      </c>
      <c r="T71">
        <f>IFERROR(XLOOKUP(A71,'Source Ledger'!$B$5:$B$200,'Source Ledger'!$E$5:$E$200),"")</f>
        <v/>
      </c>
      <c r="U71">
        <f>IFERROR(XLOOKUP(A71,'Source Ledger'!$B$5:$B$200,'Source Ledger'!$H$5:$H$200),"")</f>
        <v/>
      </c>
      <c r="V71">
        <f>IFERROR(XLOOKUP(A71,'Source Ledger'!$B$5:$B$200,'Source Ledger'!$G$5:$G$200),"")</f>
        <v/>
      </c>
      <c r="W71">
        <f>IF(OR(M71="",T71=""),"",T71-M71)</f>
        <v/>
      </c>
      <c r="X71">
        <f>IF(V71="","No","Yes")</f>
        <v/>
      </c>
    </row>
    <row r="72">
      <c r="A72" s="7" t="inlineStr">
        <is>
          <t>MD-00068</t>
        </is>
      </c>
      <c r="B72" s="7">
        <f>IFERROR(XLOOKUP(A72,'Source Inventory'!$A$5:$A$200,'Source Inventory'!$B$5:$B$200),"")</f>
        <v/>
      </c>
      <c r="C72" s="7">
        <f>IFERROR(XLOOKUP(A72,'Source Inventory'!$A$5:$A$200,'Source Inventory'!$C$5:$C$200),"")</f>
        <v/>
      </c>
      <c r="D72" s="7">
        <f>IFERROR(XLOOKUP(A72,'Source Inventory'!$A$5:$A$200,'Source Inventory'!$D$5:$D$200),"")</f>
        <v/>
      </c>
      <c r="E72" s="7">
        <f>IFERROR(XLOOKUP(A72,'Source Inventory'!$A$5:$A$200,'Source Inventory'!$E$5:$E$200),"")</f>
        <v/>
      </c>
      <c r="F72" s="7">
        <f>IFERROR(XLOOKUP(A72,'Source Inventory'!$A$5:$A$200,'Source Inventory'!$F$5:$F$200),"")</f>
        <v/>
      </c>
      <c r="G72" s="7">
        <f>IFERROR(XLOOKUP(A72,'Source Inventory'!$A$5:$A$200,'Source Inventory'!$G$5:$G$200),"")</f>
        <v/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MD-00068 / MD-NE-050068: Samsung Galaxy S23 FE at Remote - Former Employee marked Return Overdue; acquisition $6,425. ticket OFF-00068 cited. HR row shows Elliott Park (E0081) as Separated. buy path PO-2022-0013. overdue return lacks acceptance+receiving scan. transfer TR-00068 dated Mar 28, 2026, received 2026-04-03, APR-00068. ledger FA-000068 NBV $1,436.28.</t>
        </is>
      </c>
      <c r="L72" s="7" t="inlineStr">
        <is>
          <t>2026-06-25</t>
        </is>
      </c>
      <c r="M72" s="7">
        <f>IFERROR(XLOOKUP(A72,'Source Inventory'!$A$5:$A$200,'Source Inventory'!$H$5:$H$200),"")</f>
        <v/>
      </c>
      <c r="N72" s="7" t="n">
        <v>1436.28</v>
      </c>
      <c r="O72" s="7">
        <f>IFERROR(XLOOKUP(A72,'Source Ledger'!$B$5:$B$200,'Source Ledger'!$A$5:$A$200),"")</f>
        <v/>
      </c>
      <c r="P72" s="7">
        <f>IFERROR(XLOOKUP(A72,'Source Ledger'!$B$5:$B$200,'Source Ledger'!$D$5:$D$200),"")</f>
        <v/>
      </c>
      <c r="Q72" s="7" t="inlineStr">
        <is>
          <t>Low</t>
        </is>
      </c>
      <c r="R72" s="7" t="inlineStr">
        <is>
          <t>EX-0063, EX-0064, EX-0065</t>
        </is>
      </c>
      <c r="S72" s="7">
        <f>IF(OR(R72="",R72=0),"No","Yes")</f>
        <v/>
      </c>
      <c r="T72">
        <f>IFERROR(XLOOKUP(A72,'Source Ledger'!$B$5:$B$200,'Source Ledger'!$E$5:$E$200),"")</f>
        <v/>
      </c>
      <c r="U72">
        <f>IFERROR(XLOOKUP(A72,'Source Ledger'!$B$5:$B$200,'Source Ledger'!$H$5:$H$200),"")</f>
        <v/>
      </c>
      <c r="V72">
        <f>IFERROR(XLOOKUP(A72,'Source Ledger'!$B$5:$B$200,'Source Ledger'!$G$5:$G$200),"")</f>
        <v/>
      </c>
      <c r="W72">
        <f>IF(OR(M72="",T72=""),"",T72-M72)</f>
        <v/>
      </c>
      <c r="X72">
        <f>IF(V72="","No","Yes")</f>
        <v/>
      </c>
    </row>
    <row r="73">
      <c r="A73" s="7" t="inlineStr">
        <is>
          <t>MD-00069</t>
        </is>
      </c>
      <c r="B73" s="7">
        <f>IFERROR(XLOOKUP(A73,'Source Inventory'!$A$5:$A$200,'Source Inventory'!$B$5:$B$200),"")</f>
        <v/>
      </c>
      <c r="C73" s="7">
        <f>IFERROR(XLOOKUP(A73,'Source Inventory'!$A$5:$A$200,'Source Inventory'!$C$5:$C$200),"")</f>
        <v/>
      </c>
      <c r="D73" s="7">
        <f>IFERROR(XLOOKUP(A73,'Source Inventory'!$A$5:$A$200,'Source Inventory'!$D$5:$D$200),"")</f>
        <v/>
      </c>
      <c r="E73" s="7">
        <f>IFERROR(XLOOKUP(A73,'Source Inventory'!$A$5:$A$200,'Source Inventory'!$E$5:$E$200),"")</f>
        <v/>
      </c>
      <c r="F73" s="7">
        <f>IFERROR(XLOOKUP(A73,'Source Inventory'!$A$5:$A$200,'Source Inventory'!$F$5:$F$200),"")</f>
        <v/>
      </c>
      <c r="G73" s="7">
        <f>IFERROR(XLOOKUP(A73,'Source Inventory'!$A$5:$A$200,'Source Inventory'!$G$5:$G$200),"")</f>
        <v/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FA-000069 carries NBV $142.69 for MD-00069; operating status Return Overdue at Remote - Former Employee. overdue return lacks acceptance+receiving scan. purchasing extract lists PO-2022-0013. ticket OFF-00069 cited. transfer TR-00069 dated May 02, 2026, received 2026-05-04, APR-00069. HR row shows Carmen Diaz (E0082) as Separated.</t>
        </is>
      </c>
      <c r="L73" s="7" t="inlineStr">
        <is>
          <t>2026-06-25</t>
        </is>
      </c>
      <c r="M73" s="7">
        <f>IFERROR(XLOOKUP(A73,'Source Inventory'!$A$5:$A$200,'Source Inventory'!$H$5:$H$200),"")</f>
        <v/>
      </c>
      <c r="N73" s="7" t="n">
        <v>142.69</v>
      </c>
      <c r="O73" s="7">
        <f>IFERROR(XLOOKUP(A73,'Source Ledger'!$B$5:$B$200,'Source Ledger'!$A$5:$A$200),"")</f>
        <v/>
      </c>
      <c r="P73" s="7">
        <f>IFERROR(XLOOKUP(A73,'Source Ledger'!$B$5:$B$200,'Source Ledger'!$D$5:$D$200),"")</f>
        <v/>
      </c>
      <c r="Q73" s="7" t="inlineStr">
        <is>
          <t>Low</t>
        </is>
      </c>
      <c r="R73" s="7" t="inlineStr">
        <is>
          <t>EX-0066, EX-0067</t>
        </is>
      </c>
      <c r="S73" s="7">
        <f>IF(OR(R73="",R73=0),"No","Yes")</f>
        <v/>
      </c>
      <c r="T73">
        <f>IFERROR(XLOOKUP(A73,'Source Ledger'!$B$5:$B$200,'Source Ledger'!$E$5:$E$200),"")</f>
        <v/>
      </c>
      <c r="U73">
        <f>IFERROR(XLOOKUP(A73,'Source Ledger'!$B$5:$B$200,'Source Ledger'!$H$5:$H$200),"")</f>
        <v/>
      </c>
      <c r="V73">
        <f>IFERROR(XLOOKUP(A73,'Source Ledger'!$B$5:$B$200,'Source Ledger'!$G$5:$G$200),"")</f>
        <v/>
      </c>
      <c r="W73">
        <f>IF(OR(M73="",T73=""),"",T73-M73)</f>
        <v/>
      </c>
      <c r="X73">
        <f>IF(V73="","No","Yes")</f>
        <v/>
      </c>
    </row>
    <row r="74">
      <c r="A74" s="7" t="inlineStr">
        <is>
          <t>MD-00070</t>
        </is>
      </c>
      <c r="B74" s="7">
        <f>IFERROR(XLOOKUP(A74,'Source Inventory'!$A$5:$A$200,'Source Inventory'!$B$5:$B$200),"")</f>
        <v/>
      </c>
      <c r="C74" s="7">
        <f>IFERROR(XLOOKUP(A74,'Source Inventory'!$A$5:$A$200,'Source Inventory'!$C$5:$C$200),"")</f>
        <v/>
      </c>
      <c r="D74" s="7">
        <f>IFERROR(XLOOKUP(A74,'Source Inventory'!$A$5:$A$200,'Source Inventory'!$D$5:$D$200),"")</f>
        <v/>
      </c>
      <c r="E74" s="7">
        <f>IFERROR(XLOOKUP(A74,'Source Inventory'!$A$5:$A$200,'Source Inventory'!$E$5:$E$200),"")</f>
        <v/>
      </c>
      <c r="F74" s="7">
        <f>IFERROR(XLOOKUP(A74,'Source Inventory'!$A$5:$A$200,'Source Inventory'!$F$5:$F$200),"")</f>
        <v/>
      </c>
      <c r="G74" s="7">
        <f>IFERROR(XLOOKUP(A74,'Source Inventory'!$A$5:$A$200,'Source Inventory'!$G$5:$G$200),"")</f>
        <v/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OFF-00070 remains on file for MD-00070 (iPhone 15, $520); verified state Return Overdue at Remote - Former Employee. overdue return lacks acceptance+receiving scan. transfer TR-00070 dated Jun 03, 2026, received 2026-06-03, APR-00070. ledger FA-000070 NBV $342.32. buy path PO-2022-0013. HR row shows Hugh Talbot (E0083) as Separated.</t>
        </is>
      </c>
      <c r="L74" s="7" t="inlineStr">
        <is>
          <t>2026-06-25</t>
        </is>
      </c>
      <c r="M74" s="7">
        <f>IFERROR(XLOOKUP(A74,'Source Inventory'!$A$5:$A$200,'Source Inventory'!$H$5:$H$200),"")</f>
        <v/>
      </c>
      <c r="N74" s="7" t="n">
        <v>342.32</v>
      </c>
      <c r="O74" s="7">
        <f>IFERROR(XLOOKUP(A74,'Source Ledger'!$B$5:$B$200,'Source Ledger'!$A$5:$A$200),"")</f>
        <v/>
      </c>
      <c r="P74" s="7">
        <f>IFERROR(XLOOKUP(A74,'Source Ledger'!$B$5:$B$200,'Source Ledger'!$D$5:$D$200),"")</f>
        <v/>
      </c>
      <c r="Q74" s="7" t="inlineStr">
        <is>
          <t>Low</t>
        </is>
      </c>
      <c r="R74" s="7" t="inlineStr">
        <is>
          <t>EX-0068, EX-0069</t>
        </is>
      </c>
      <c r="S74" s="7">
        <f>IF(OR(R74="",R74=0),"No","Yes")</f>
        <v/>
      </c>
      <c r="T74">
        <f>IFERROR(XLOOKUP(A74,'Source Ledger'!$B$5:$B$200,'Source Ledger'!$E$5:$E$200),"")</f>
        <v/>
      </c>
      <c r="U74">
        <f>IFERROR(XLOOKUP(A74,'Source Ledger'!$B$5:$B$200,'Source Ledger'!$H$5:$H$200),"")</f>
        <v/>
      </c>
      <c r="V74">
        <f>IFERROR(XLOOKUP(A74,'Source Ledger'!$B$5:$B$200,'Source Ledger'!$G$5:$G$200),"")</f>
        <v/>
      </c>
      <c r="W74">
        <f>IF(OR(M74="",T74=""),"",T74-M74)</f>
        <v/>
      </c>
      <c r="X74">
        <f>IF(V74="","No","Yes")</f>
        <v/>
      </c>
    </row>
    <row r="75">
      <c r="A75" s="7" t="inlineStr">
        <is>
          <t>MD-00071</t>
        </is>
      </c>
      <c r="B75" s="7">
        <f>IFERROR(XLOOKUP(A75,'Source Inventory'!$A$5:$A$200,'Source Inventory'!$B$5:$B$200),"")</f>
        <v/>
      </c>
      <c r="C75" s="7">
        <f>IFERROR(XLOOKUP(A75,'Source Inventory'!$A$5:$A$200,'Source Inventory'!$C$5:$C$200),"")</f>
        <v/>
      </c>
      <c r="D75" s="7">
        <f>IFERROR(XLOOKUP(A75,'Source Inventory'!$A$5:$A$200,'Source Inventory'!$D$5:$D$200),"")</f>
        <v/>
      </c>
      <c r="E75" s="7">
        <f>IFERROR(XLOOKUP(A75,'Source Inventory'!$A$5:$A$200,'Source Inventory'!$E$5:$E$200),"")</f>
        <v/>
      </c>
      <c r="F75" s="7">
        <f>IFERROR(XLOOKUP(A75,'Source Inventory'!$A$5:$A$200,'Source Inventory'!$F$5:$F$200),"")</f>
        <v/>
      </c>
      <c r="G75" s="7">
        <f>IFERROR(XLOOKUP(A75,'Source Inventory'!$A$5:$A$200,'Source Inventory'!$G$5:$G$200),"")</f>
        <v/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PO-2023-0014 and FA-000071 both cite MD-00071 (Google Pixel 8); register basis $995. HR row shows Mira Adelman (E0084) as Separated. transfer TR-00071 dated Jul 08, 2026, received 2026-07-12, APR-00071. ticket OFF-00071 cited. overdue return lacks acceptance+receiving scan.</t>
        </is>
      </c>
      <c r="L75" s="7" t="inlineStr">
        <is>
          <t>2026-06-25</t>
        </is>
      </c>
      <c r="M75" s="7">
        <f>IFERROR(XLOOKUP(A75,'Source Inventory'!$A$5:$A$200,'Source Inventory'!$H$5:$H$200),"")</f>
        <v/>
      </c>
      <c r="N75" s="7" t="n">
        <v>787.96</v>
      </c>
      <c r="O75" s="7">
        <f>IFERROR(XLOOKUP(A75,'Source Ledger'!$B$5:$B$200,'Source Ledger'!$A$5:$A$200),"")</f>
        <v/>
      </c>
      <c r="P75" s="7">
        <f>IFERROR(XLOOKUP(A75,'Source Ledger'!$B$5:$B$200,'Source Ledger'!$D$5:$D$200),"")</f>
        <v/>
      </c>
      <c r="Q75" s="7" t="inlineStr">
        <is>
          <t>Low</t>
        </is>
      </c>
      <c r="R75" s="7" t="inlineStr">
        <is>
          <t>EX-0070, EX-0071</t>
        </is>
      </c>
      <c r="S75" s="7">
        <f>IF(OR(R75="",R75=0),"No","Yes")</f>
        <v/>
      </c>
      <c r="T75">
        <f>IFERROR(XLOOKUP(A75,'Source Ledger'!$B$5:$B$200,'Source Ledger'!$E$5:$E$200),"")</f>
        <v/>
      </c>
      <c r="U75">
        <f>IFERROR(XLOOKUP(A75,'Source Ledger'!$B$5:$B$200,'Source Ledger'!$H$5:$H$200),"")</f>
        <v/>
      </c>
      <c r="V75">
        <f>IFERROR(XLOOKUP(A75,'Source Ledger'!$B$5:$B$200,'Source Ledger'!$G$5:$G$200),"")</f>
        <v/>
      </c>
      <c r="W75">
        <f>IF(OR(M75="",T75=""),"",T75-M75)</f>
        <v/>
      </c>
      <c r="X75">
        <f>IF(V75="","No","Yes")</f>
        <v/>
      </c>
    </row>
    <row r="76">
      <c r="A76" s="7" t="inlineStr">
        <is>
          <t>MD-00072</t>
        </is>
      </c>
      <c r="B76" s="7">
        <f>IFERROR(XLOOKUP(A76,'Source Inventory'!$A$5:$A$200,'Source Inventory'!$B$5:$B$200),"")</f>
        <v/>
      </c>
      <c r="C76" s="7">
        <f>IFERROR(XLOOKUP(A76,'Source Inventory'!$A$5:$A$200,'Source Inventory'!$C$5:$C$200),"")</f>
        <v/>
      </c>
      <c r="D76" s="7">
        <f>IFERROR(XLOOKUP(A76,'Source Inventory'!$A$5:$A$200,'Source Inventory'!$D$5:$D$200),"")</f>
        <v/>
      </c>
      <c r="E76" s="7">
        <f>IFERROR(XLOOKUP(A76,'Source Inventory'!$A$5:$A$200,'Source Inventory'!$E$5:$E$200),"")</f>
        <v/>
      </c>
      <c r="F76" s="7">
        <f>IFERROR(XLOOKUP(A76,'Source Inventory'!$A$5:$A$200,'Source Inventory'!$F$5:$F$200),"")</f>
        <v/>
      </c>
      <c r="G76" s="7">
        <f>IFERROR(XLOOKUP(A76,'Source Inventory'!$A$5:$A$200,'Source Inventory'!$G$5:$G$200),"")</f>
        <v/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TR-00072 moved MD-00072 (MD-NE-050072); inbound 2026-01-18; now Return Overdue / Remote - Former Employee. ticket OFF-00072 cited. HR row shows Quincy Rhodes (E0085) as Separated. overdue return lacks acceptance+receiving scan. buy path PO-2023-0014. ledger FA-000072 NBV $500.27.</t>
        </is>
      </c>
      <c r="L76" s="7" t="inlineStr">
        <is>
          <t>2026-06-25</t>
        </is>
      </c>
      <c r="M76" s="7">
        <f>IFERROR(XLOOKUP(A76,'Source Inventory'!$A$5:$A$200,'Source Inventory'!$H$5:$H$200),"")</f>
        <v/>
      </c>
      <c r="N76" s="7" t="n">
        <v>500.27</v>
      </c>
      <c r="O76" s="7">
        <f>IFERROR(XLOOKUP(A76,'Source Ledger'!$B$5:$B$200,'Source Ledger'!$A$5:$A$200),"")</f>
        <v/>
      </c>
      <c r="P76" s="7">
        <f>IFERROR(XLOOKUP(A76,'Source Ledger'!$B$5:$B$200,'Source Ledger'!$D$5:$D$200),"")</f>
        <v/>
      </c>
      <c r="Q76" s="7" t="inlineStr">
        <is>
          <t>Low</t>
        </is>
      </c>
      <c r="R76" s="7" t="inlineStr">
        <is>
          <t>EX-0072, EX-0073</t>
        </is>
      </c>
      <c r="S76" s="7">
        <f>IF(OR(R76="",R76=0),"No","Yes")</f>
        <v/>
      </c>
      <c r="T76">
        <f>IFERROR(XLOOKUP(A76,'Source Ledger'!$B$5:$B$200,'Source Ledger'!$E$5:$E$200),"")</f>
        <v/>
      </c>
      <c r="U76">
        <f>IFERROR(XLOOKUP(A76,'Source Ledger'!$B$5:$B$200,'Source Ledger'!$H$5:$H$200),"")</f>
        <v/>
      </c>
      <c r="V76">
        <f>IFERROR(XLOOKUP(A76,'Source Ledger'!$B$5:$B$200,'Source Ledger'!$G$5:$G$200),"")</f>
        <v/>
      </c>
      <c r="W76">
        <f>IF(OR(M76="",T76=""),"",T76-M76)</f>
        <v/>
      </c>
      <c r="X76">
        <f>IF(V76="","No","Yes")</f>
        <v/>
      </c>
    </row>
    <row r="77">
      <c r="A77" s="7" t="inlineStr">
        <is>
          <t>MD-00073</t>
        </is>
      </c>
      <c r="B77" s="7">
        <f>IFERROR(XLOOKUP(A77,'Source Inventory'!$A$5:$A$200,'Source Inventory'!$B$5:$B$200),"")</f>
        <v/>
      </c>
      <c r="C77" s="7">
        <f>IFERROR(XLOOKUP(A77,'Source Inventory'!$A$5:$A$200,'Source Inventory'!$C$5:$C$200),"")</f>
        <v/>
      </c>
      <c r="D77" s="7">
        <f>IFERROR(XLOOKUP(A77,'Source Inventory'!$A$5:$A$200,'Source Inventory'!$D$5:$D$200),"")</f>
        <v/>
      </c>
      <c r="E77" s="7">
        <f>IFERROR(XLOOKUP(A77,'Source Inventory'!$A$5:$A$200,'Source Inventory'!$E$5:$E$200),"")</f>
        <v/>
      </c>
      <c r="F77" s="7">
        <f>IFERROR(XLOOKUP(A77,'Source Inventory'!$A$5:$A$200,'Source Inventory'!$F$5:$F$200),"")</f>
        <v/>
      </c>
      <c r="G77" s="7">
        <f>IFERROR(XLOOKUP(A77,'Source Inventory'!$A$5:$A$200,'Source Inventory'!$G$5:$G$200),"")</f>
        <v/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OFF-00073 remains on file for MD-00073 (Cisco C9300, $1,985); verified state Return Overdue at Remote - Former Employee. HR row shows Sloane Richter (E0086) as Separated. transfer TR-00073 dated Jan 21, 2026, received 2026-01-24, APR-00073. overdue return lacks acceptance+receiving scan. buy path PO-2023-0014. ledger FA-000073 NBV $0.</t>
        </is>
      </c>
      <c r="L77" s="7" t="inlineStr">
        <is>
          <t>2026-06-25</t>
        </is>
      </c>
      <c r="M77" s="7">
        <f>IFERROR(XLOOKUP(A77,'Source Inventory'!$A$5:$A$200,'Source Inventory'!$H$5:$H$200),"")</f>
        <v/>
      </c>
      <c r="N77" s="7" t="n">
        <v>0</v>
      </c>
      <c r="O77" s="7">
        <f>IFERROR(XLOOKUP(A77,'Source Ledger'!$B$5:$B$200,'Source Ledger'!$A$5:$A$200),"")</f>
        <v/>
      </c>
      <c r="P77" s="7">
        <f>IFERROR(XLOOKUP(A77,'Source Ledger'!$B$5:$B$200,'Source Ledger'!$D$5:$D$200),"")</f>
        <v/>
      </c>
      <c r="Q77" s="7" t="inlineStr">
        <is>
          <t>Low</t>
        </is>
      </c>
      <c r="R77" s="7" t="inlineStr">
        <is>
          <t>EX-0074, EX-0075</t>
        </is>
      </c>
      <c r="S77" s="7">
        <f>IF(OR(R77="",R77=0),"No","Yes")</f>
        <v/>
      </c>
      <c r="T77">
        <f>IFERROR(XLOOKUP(A77,'Source Ledger'!$B$5:$B$200,'Source Ledger'!$E$5:$E$200),"")</f>
        <v/>
      </c>
      <c r="U77">
        <f>IFERROR(XLOOKUP(A77,'Source Ledger'!$B$5:$B$200,'Source Ledger'!$H$5:$H$200),"")</f>
        <v/>
      </c>
      <c r="V77">
        <f>IFERROR(XLOOKUP(A77,'Source Ledger'!$B$5:$B$200,'Source Ledger'!$G$5:$G$200),"")</f>
        <v/>
      </c>
      <c r="W77">
        <f>IF(OR(M77="",T77=""),"",T77-M77)</f>
        <v/>
      </c>
      <c r="X77">
        <f>IF(V77="","No","Yes")</f>
        <v/>
      </c>
    </row>
    <row r="78">
      <c r="A78" s="7" t="inlineStr">
        <is>
          <t>MD-00074</t>
        </is>
      </c>
      <c r="B78" s="7">
        <f>IFERROR(XLOOKUP(A78,'Source Inventory'!$A$5:$A$200,'Source Inventory'!$B$5:$B$200),"")</f>
        <v/>
      </c>
      <c r="C78" s="7">
        <f>IFERROR(XLOOKUP(A78,'Source Inventory'!$A$5:$A$200,'Source Inventory'!$C$5:$C$200),"")</f>
        <v/>
      </c>
      <c r="D78" s="7">
        <f>IFERROR(XLOOKUP(A78,'Source Inventory'!$A$5:$A$200,'Source Inventory'!$D$5:$D$200),"")</f>
        <v/>
      </c>
      <c r="E78" s="7">
        <f>IFERROR(XLOOKUP(A78,'Source Inventory'!$A$5:$A$200,'Source Inventory'!$E$5:$E$200),"")</f>
        <v/>
      </c>
      <c r="F78" s="7">
        <f>IFERROR(XLOOKUP(A78,'Source Inventory'!$A$5:$A$200,'Source Inventory'!$F$5:$F$200),"")</f>
        <v/>
      </c>
      <c r="G78" s="7">
        <f>IFERROR(XLOOKUP(A78,'Source Inventory'!$A$5:$A$200,'Source Inventory'!$G$5:$G$200),"")</f>
        <v/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PO-2023-0014 and FA-000074 both cite MD-00074 (Aruba 6300M); register basis $700. overdue return lacks acceptance+receiving scan. HR row shows Nolan Vega (E0087) as Separated. serial MISMATCH-0074 vs MD-MO-050074. ticket OFF-00074 cited. transfer TR-00074 dated Feb 23, 2026, received 2026-02-24, APR-00074.</t>
        </is>
      </c>
      <c r="L78" s="7" t="inlineStr">
        <is>
          <t>2026-06-25</t>
        </is>
      </c>
      <c r="M78" s="7">
        <f>IFERROR(XLOOKUP(A78,'Source Inventory'!$A$5:$A$200,'Source Inventory'!$H$5:$H$200),"")</f>
        <v/>
      </c>
      <c r="N78" s="7" t="n">
        <v>359.25</v>
      </c>
      <c r="O78" s="7">
        <f>IFERROR(XLOOKUP(A78,'Source Ledger'!$B$5:$B$200,'Source Ledger'!$A$5:$A$200),"")</f>
        <v/>
      </c>
      <c r="P78" s="7">
        <f>IFERROR(XLOOKUP(A78,'Source Ledger'!$B$5:$B$200,'Source Ledger'!$D$5:$D$200),"")</f>
        <v/>
      </c>
      <c r="Q78" s="7" t="inlineStr">
        <is>
          <t>Low</t>
        </is>
      </c>
      <c r="R78" s="7" t="inlineStr">
        <is>
          <t>EX-0076, EX-0077, EX-0078</t>
        </is>
      </c>
      <c r="S78" s="7">
        <f>IF(OR(R78="",R78=0),"No","Yes")</f>
        <v/>
      </c>
      <c r="T78">
        <f>IFERROR(XLOOKUP(A78,'Source Ledger'!$B$5:$B$200,'Source Ledger'!$E$5:$E$200),"")</f>
        <v/>
      </c>
      <c r="U78">
        <f>IFERROR(XLOOKUP(A78,'Source Ledger'!$B$5:$B$200,'Source Ledger'!$H$5:$H$200),"")</f>
        <v/>
      </c>
      <c r="V78">
        <f>IFERROR(XLOOKUP(A78,'Source Ledger'!$B$5:$B$200,'Source Ledger'!$G$5:$G$200),"")</f>
        <v/>
      </c>
      <c r="W78">
        <f>IF(OR(M78="",T78=""),"",T78-M78)</f>
        <v/>
      </c>
      <c r="X78">
        <f>IF(V78="","No","Yes")</f>
        <v/>
      </c>
    </row>
    <row r="79">
      <c r="A79" s="7" t="inlineStr">
        <is>
          <t>MD-00075</t>
        </is>
      </c>
      <c r="B79" s="7">
        <f>IFERROR(XLOOKUP(A79,'Source Inventory'!$A$5:$A$200,'Source Inventory'!$B$5:$B$200),"")</f>
        <v/>
      </c>
      <c r="C79" s="7">
        <f>IFERROR(XLOOKUP(A79,'Source Inventory'!$A$5:$A$200,'Source Inventory'!$C$5:$C$200),"")</f>
        <v/>
      </c>
      <c r="D79" s="7">
        <f>IFERROR(XLOOKUP(A79,'Source Inventory'!$A$5:$A$200,'Source Inventory'!$D$5:$D$200),"")</f>
        <v/>
      </c>
      <c r="E79" s="7">
        <f>IFERROR(XLOOKUP(A79,'Source Inventory'!$A$5:$A$200,'Source Inventory'!$E$5:$E$200),"")</f>
        <v/>
      </c>
      <c r="F79" s="7">
        <f>IFERROR(XLOOKUP(A79,'Source Inventory'!$A$5:$A$200,'Source Inventory'!$F$5:$F$200),"")</f>
        <v/>
      </c>
      <c r="G79" s="7">
        <f>IFERROR(XLOOKUP(A79,'Source Inventory'!$A$5:$A$200,'Source Inventory'!$G$5:$G$200),"")</f>
        <v/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TR-00075 moved MD-00075 (MD-MO-050075); inbound 2026-04-01; now Return Overdue / Remote - Former Employee. ticket OFF-00075 cited. HR row shows Ivy Chenoweth (E0088) as Separated. overdue return lacks acceptance+receiving scan. buy path PO-2023-0014. ledger FA-000075 NBV $647.42.</t>
        </is>
      </c>
      <c r="L79" s="7" t="inlineStr">
        <is>
          <t>2026-06-25</t>
        </is>
      </c>
      <c r="M79" s="7">
        <f>IFERROR(XLOOKUP(A79,'Source Inventory'!$A$5:$A$200,'Source Inventory'!$H$5:$H$200),"")</f>
        <v/>
      </c>
      <c r="N79" s="7" t="n">
        <v>647.42</v>
      </c>
      <c r="O79" s="7">
        <f>IFERROR(XLOOKUP(A79,'Source Ledger'!$B$5:$B$200,'Source Ledger'!$A$5:$A$200),"")</f>
        <v/>
      </c>
      <c r="P79" s="7">
        <f>IFERROR(XLOOKUP(A79,'Source Ledger'!$B$5:$B$200,'Source Ledger'!$D$5:$D$200),"")</f>
        <v/>
      </c>
      <c r="Q79" s="7" t="inlineStr">
        <is>
          <t>Low</t>
        </is>
      </c>
      <c r="R79" s="7" t="inlineStr">
        <is>
          <t>EX-0079, EX-0080</t>
        </is>
      </c>
      <c r="S79" s="7">
        <f>IF(OR(R79="",R79=0),"No","Yes")</f>
        <v/>
      </c>
      <c r="T79">
        <f>IFERROR(XLOOKUP(A79,'Source Ledger'!$B$5:$B$200,'Source Ledger'!$E$5:$E$200),"")</f>
        <v/>
      </c>
      <c r="U79">
        <f>IFERROR(XLOOKUP(A79,'Source Ledger'!$B$5:$B$200,'Source Ledger'!$H$5:$H$200),"")</f>
        <v/>
      </c>
      <c r="V79">
        <f>IFERROR(XLOOKUP(A79,'Source Ledger'!$B$5:$B$200,'Source Ledger'!$G$5:$G$200),"")</f>
        <v/>
      </c>
      <c r="W79">
        <f>IF(OR(M79="",T79=""),"",T79-M79)</f>
        <v/>
      </c>
      <c r="X79">
        <f>IF(V79="","No","Yes")</f>
        <v/>
      </c>
    </row>
    <row r="80">
      <c r="A80" s="7" t="inlineStr">
        <is>
          <t>MD-00076</t>
        </is>
      </c>
      <c r="B80" s="7">
        <f>IFERROR(XLOOKUP(A80,'Source Inventory'!$A$5:$A$200,'Source Inventory'!$B$5:$B$200),"")</f>
        <v/>
      </c>
      <c r="C80" s="7">
        <f>IFERROR(XLOOKUP(A80,'Source Inventory'!$A$5:$A$200,'Source Inventory'!$C$5:$C$200),"")</f>
        <v/>
      </c>
      <c r="D80" s="7">
        <f>IFERROR(XLOOKUP(A80,'Source Inventory'!$A$5:$A$200,'Source Inventory'!$D$5:$D$200),"")</f>
        <v/>
      </c>
      <c r="E80" s="7">
        <f>IFERROR(XLOOKUP(A80,'Source Inventory'!$A$5:$A$200,'Source Inventory'!$E$5:$E$200),"")</f>
        <v/>
      </c>
      <c r="F80" s="7">
        <f>IFERROR(XLOOKUP(A80,'Source Inventory'!$A$5:$A$200,'Source Inventory'!$F$5:$F$200),"")</f>
        <v/>
      </c>
      <c r="G80" s="7">
        <f>IFERROR(XLOOKUP(A80,'Source Inventory'!$A$5:$A$200,'Source Inventory'!$G$5:$G$200),"")</f>
        <v/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MD-00076 / MD-NE-050076: Cisco Meraki MS250 at Carrier Network / Unverified marked Return Overdue; acquisition $6,470. ticket OFF-00076 cited. transfer TR-00076 dated May 01, 2026, received 2026-05-03, APR-00076. ledger FA-000076 NBV $953.89. buy path PO-2023-0014. serial MISMATCH-0076 vs MD-NE-050076. overdue return lacks acceptance+receiving scan. HR row shows Percy Lambert (E0089) as Separated.</t>
        </is>
      </c>
      <c r="L80" s="7" t="inlineStr">
        <is>
          <t>2026-06-25</t>
        </is>
      </c>
      <c r="M80" s="7">
        <f>IFERROR(XLOOKUP(A80,'Source Inventory'!$A$5:$A$200,'Source Inventory'!$H$5:$H$200),"")</f>
        <v/>
      </c>
      <c r="N80" s="7" t="n">
        <v>953.89</v>
      </c>
      <c r="O80" s="7">
        <f>IFERROR(XLOOKUP(A80,'Source Ledger'!$B$5:$B$200,'Source Ledger'!$A$5:$A$200),"")</f>
        <v/>
      </c>
      <c r="P80" s="7">
        <f>IFERROR(XLOOKUP(A80,'Source Ledger'!$B$5:$B$200,'Source Ledger'!$D$5:$D$200),"")</f>
        <v/>
      </c>
      <c r="Q80" s="7" t="inlineStr">
        <is>
          <t>Low</t>
        </is>
      </c>
      <c r="R80" s="7" t="inlineStr">
        <is>
          <t>EX-0081, EX-0082, EX-0083</t>
        </is>
      </c>
      <c r="S80" s="7">
        <f>IF(OR(R80="",R80=0),"No","Yes")</f>
        <v/>
      </c>
      <c r="T80">
        <f>IFERROR(XLOOKUP(A80,'Source Ledger'!$B$5:$B$200,'Source Ledger'!$E$5:$E$200),"")</f>
        <v/>
      </c>
      <c r="U80">
        <f>IFERROR(XLOOKUP(A80,'Source Ledger'!$B$5:$B$200,'Source Ledger'!$H$5:$H$200),"")</f>
        <v/>
      </c>
      <c r="V80">
        <f>IFERROR(XLOOKUP(A80,'Source Ledger'!$B$5:$B$200,'Source Ledger'!$G$5:$G$200),"")</f>
        <v/>
      </c>
      <c r="W80">
        <f>IF(OR(M80="",T80=""),"",T80-M80)</f>
        <v/>
      </c>
      <c r="X80">
        <f>IF(V80="","No","Yes")</f>
        <v/>
      </c>
    </row>
    <row r="81">
      <c r="A81" s="7" t="inlineStr">
        <is>
          <t>MD-00077</t>
        </is>
      </c>
      <c r="B81" s="7">
        <f>IFERROR(XLOOKUP(A81,'Source Inventory'!$A$5:$A$200,'Source Inventory'!$B$5:$B$200),"")</f>
        <v/>
      </c>
      <c r="C81" s="7">
        <f>IFERROR(XLOOKUP(A81,'Source Inventory'!$A$5:$A$200,'Source Inventory'!$C$5:$C$200),"")</f>
        <v/>
      </c>
      <c r="D81" s="7">
        <f>IFERROR(XLOOKUP(A81,'Source Inventory'!$A$5:$A$200,'Source Inventory'!$D$5:$D$200),"")</f>
        <v/>
      </c>
      <c r="E81" s="7">
        <f>IFERROR(XLOOKUP(A81,'Source Inventory'!$A$5:$A$200,'Source Inventory'!$E$5:$E$200),"")</f>
        <v/>
      </c>
      <c r="F81" s="7">
        <f>IFERROR(XLOOKUP(A81,'Source Inventory'!$A$5:$A$200,'Source Inventory'!$F$5:$F$200),"")</f>
        <v/>
      </c>
      <c r="G81" s="7">
        <f>IFERROR(XLOOKUP(A81,'Source Inventory'!$A$5:$A$200,'Source Inventory'!$G$5:$G$200),"")</f>
        <v/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FA-000077 carries NBV $0 for MD-00077; operating status Return Overdue at Remote - Former Employee. overdue return lacks acceptance+receiving scan. transfer TR-00077 dated Jun 05, 2026, received 2026-06-06, APR-00077. purchasing extract lists PO-2023-0014. ticket OFF-00077 cited. HR row shows Dana Ghosh (E0090) as Separated.</t>
        </is>
      </c>
      <c r="L81" s="7" t="inlineStr">
        <is>
          <t>2026-06-25</t>
        </is>
      </c>
      <c r="M81" s="7">
        <f>IFERROR(XLOOKUP(A81,'Source Inventory'!$A$5:$A$200,'Source Inventory'!$H$5:$H$200),"")</f>
        <v/>
      </c>
      <c r="N81" s="7" t="n">
        <v>0</v>
      </c>
      <c r="O81" s="7">
        <f>IFERROR(XLOOKUP(A81,'Source Ledger'!$B$5:$B$200,'Source Ledger'!$A$5:$A$200),"")</f>
        <v/>
      </c>
      <c r="P81" s="7">
        <f>IFERROR(XLOOKUP(A81,'Source Ledger'!$B$5:$B$200,'Source Ledger'!$D$5:$D$200),"")</f>
        <v/>
      </c>
      <c r="Q81" s="7" t="inlineStr">
        <is>
          <t>Low</t>
        </is>
      </c>
      <c r="R81" s="7" t="inlineStr">
        <is>
          <t>EX-0084, EX-0085</t>
        </is>
      </c>
      <c r="S81" s="7">
        <f>IF(OR(R81="",R81=0),"No","Yes")</f>
        <v/>
      </c>
      <c r="T81">
        <f>IFERROR(XLOOKUP(A81,'Source Ledger'!$B$5:$B$200,'Source Ledger'!$E$5:$E$200),"")</f>
        <v/>
      </c>
      <c r="U81">
        <f>IFERROR(XLOOKUP(A81,'Source Ledger'!$B$5:$B$200,'Source Ledger'!$H$5:$H$200),"")</f>
        <v/>
      </c>
      <c r="V81">
        <f>IFERROR(XLOOKUP(A81,'Source Ledger'!$B$5:$B$200,'Source Ledger'!$G$5:$G$200),"")</f>
        <v/>
      </c>
      <c r="W81">
        <f>IF(OR(M81="",T81=""),"",T81-M81)</f>
        <v/>
      </c>
      <c r="X81">
        <f>IF(V81="","No","Yes")</f>
        <v/>
      </c>
    </row>
    <row r="82">
      <c r="A82" s="7" t="inlineStr">
        <is>
          <t>MD-00078</t>
        </is>
      </c>
      <c r="B82" s="7">
        <f>IFERROR(XLOOKUP(A82,'Source Inventory'!$A$5:$A$200,'Source Inventory'!$B$5:$B$200),"")</f>
        <v/>
      </c>
      <c r="C82" s="7">
        <f>IFERROR(XLOOKUP(A82,'Source Inventory'!$A$5:$A$200,'Source Inventory'!$C$5:$C$200),"")</f>
        <v/>
      </c>
      <c r="D82" s="7">
        <f>IFERROR(XLOOKUP(A82,'Source Inventory'!$A$5:$A$200,'Source Inventory'!$D$5:$D$200),"")</f>
        <v/>
      </c>
      <c r="E82" s="7">
        <f>IFERROR(XLOOKUP(A82,'Source Inventory'!$A$5:$A$200,'Source Inventory'!$E$5:$E$200),"")</f>
        <v/>
      </c>
      <c r="F82" s="7">
        <f>IFERROR(XLOOKUP(A82,'Source Inventory'!$A$5:$A$200,'Source Inventory'!$F$5:$F$200),"")</f>
        <v/>
      </c>
      <c r="G82" s="7">
        <f>IFERROR(XLOOKUP(A82,'Source Inventory'!$A$5:$A$200,'Source Inventory'!$G$5:$G$200),"")</f>
        <v/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MD-00078 custodian Harlan Smith (E0091) is Separated in hr_employee_status; site Remote - Former Employee, status Return Overdue. overdue return lacks acceptance+receiving scan. ledger FA-000078 NBV $328.95. buy path PO-2024-0015. ticket OFF-00078 cited. transfer TR-00078 dated Jan 10, 2026, received 2026-01-10, APR-00078.</t>
        </is>
      </c>
      <c r="L82" s="7" t="inlineStr">
        <is>
          <t>2026-06-25</t>
        </is>
      </c>
      <c r="M82" s="7">
        <f>IFERROR(XLOOKUP(A82,'Source Inventory'!$A$5:$A$200,'Source Inventory'!$H$5:$H$200),"")</f>
        <v/>
      </c>
      <c r="N82" s="7" t="n">
        <v>328.95</v>
      </c>
      <c r="O82" s="7">
        <f>IFERROR(XLOOKUP(A82,'Source Ledger'!$B$5:$B$200,'Source Ledger'!$A$5:$A$200),"")</f>
        <v/>
      </c>
      <c r="P82" s="7">
        <f>IFERROR(XLOOKUP(A82,'Source Ledger'!$B$5:$B$200,'Source Ledger'!$D$5:$D$200),"")</f>
        <v/>
      </c>
      <c r="Q82" s="7" t="inlineStr">
        <is>
          <t>Low</t>
        </is>
      </c>
      <c r="R82" s="7" t="inlineStr">
        <is>
          <t>EX-0086, EX-0087</t>
        </is>
      </c>
      <c r="S82" s="7">
        <f>IF(OR(R82="",R82=0),"No","Yes")</f>
        <v/>
      </c>
      <c r="T82">
        <f>IFERROR(XLOOKUP(A82,'Source Ledger'!$B$5:$B$200,'Source Ledger'!$E$5:$E$200),"")</f>
        <v/>
      </c>
      <c r="U82">
        <f>IFERROR(XLOOKUP(A82,'Source Ledger'!$B$5:$B$200,'Source Ledger'!$H$5:$H$200),"")</f>
        <v/>
      </c>
      <c r="V82">
        <f>IFERROR(XLOOKUP(A82,'Source Ledger'!$B$5:$B$200,'Source Ledger'!$G$5:$G$200),"")</f>
        <v/>
      </c>
      <c r="W82">
        <f>IF(OR(M82="",T82=""),"",T82-M82)</f>
        <v/>
      </c>
      <c r="X82">
        <f>IF(V82="","No","Yes")</f>
        <v/>
      </c>
    </row>
    <row r="83">
      <c r="A83" s="7" t="inlineStr">
        <is>
          <t>MD-00079</t>
        </is>
      </c>
      <c r="B83" s="7">
        <f>IFERROR(XLOOKUP(A83,'Source Inventory'!$A$5:$A$200,'Source Inventory'!$B$5:$B$200),"")</f>
        <v/>
      </c>
      <c r="C83" s="7">
        <f>IFERROR(XLOOKUP(A83,'Source Inventory'!$A$5:$A$200,'Source Inventory'!$C$5:$C$200),"")</f>
        <v/>
      </c>
      <c r="D83" s="7">
        <f>IFERROR(XLOOKUP(A83,'Source Inventory'!$A$5:$A$200,'Source Inventory'!$D$5:$D$200),"")</f>
        <v/>
      </c>
      <c r="E83" s="7">
        <f>IFERROR(XLOOKUP(A83,'Source Inventory'!$A$5:$A$200,'Source Inventory'!$E$5:$E$200),"")</f>
        <v/>
      </c>
      <c r="F83" s="7">
        <f>IFERROR(XLOOKUP(A83,'Source Inventory'!$A$5:$A$200,'Source Inventory'!$F$5:$F$200),"")</f>
        <v/>
      </c>
      <c r="G83" s="7">
        <f>IFERROR(XLOOKUP(A83,'Source Inventory'!$A$5:$A$200,'Source Inventory'!$G$5:$G$200),"")</f>
        <v/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MD-00079 / MD-MO-050079: Aruba 6300M at Remote - Former Employee marked Return Overdue; acquisition $1,040. ticket OFF-00079 cited. transfer TR-00079 dated Feb 11, 2026, received 2026-02-13, APR-00079. ledger FA-000079 NBV $692.62. buy path PO-2024-0015. HR row shows June Okoye (E0092) as Separated. overdue return lacks acceptance+receiving scan.</t>
        </is>
      </c>
      <c r="L83" s="7" t="inlineStr">
        <is>
          <t>2026-06-25</t>
        </is>
      </c>
      <c r="M83" s="7">
        <f>IFERROR(XLOOKUP(A83,'Source Inventory'!$A$5:$A$200,'Source Inventory'!$H$5:$H$200),"")</f>
        <v/>
      </c>
      <c r="N83" s="7" t="n">
        <v>692.62</v>
      </c>
      <c r="O83" s="7">
        <f>IFERROR(XLOOKUP(A83,'Source Ledger'!$B$5:$B$200,'Source Ledger'!$A$5:$A$200),"")</f>
        <v/>
      </c>
      <c r="P83" s="7">
        <f>IFERROR(XLOOKUP(A83,'Source Ledger'!$B$5:$B$200,'Source Ledger'!$D$5:$D$200),"")</f>
        <v/>
      </c>
      <c r="Q83" s="7" t="inlineStr">
        <is>
          <t>Low</t>
        </is>
      </c>
      <c r="R83" s="7" t="inlineStr">
        <is>
          <t>EX-0088, EX-0089</t>
        </is>
      </c>
      <c r="S83" s="7">
        <f>IF(OR(R83="",R83=0),"No","Yes")</f>
        <v/>
      </c>
      <c r="T83">
        <f>IFERROR(XLOOKUP(A83,'Source Ledger'!$B$5:$B$200,'Source Ledger'!$E$5:$E$200),"")</f>
        <v/>
      </c>
      <c r="U83">
        <f>IFERROR(XLOOKUP(A83,'Source Ledger'!$B$5:$B$200,'Source Ledger'!$H$5:$H$200),"")</f>
        <v/>
      </c>
      <c r="V83">
        <f>IFERROR(XLOOKUP(A83,'Source Ledger'!$B$5:$B$200,'Source Ledger'!$G$5:$G$200),"")</f>
        <v/>
      </c>
      <c r="W83">
        <f>IF(OR(M83="",T83=""),"",T83-M83)</f>
        <v/>
      </c>
      <c r="X83">
        <f>IF(V83="","No","Yes")</f>
        <v/>
      </c>
    </row>
    <row r="84">
      <c r="A84" s="7" t="inlineStr">
        <is>
          <t>MD-00080</t>
        </is>
      </c>
      <c r="B84" s="7">
        <f>IFERROR(XLOOKUP(A84,'Source Inventory'!$A$5:$A$200,'Source Inventory'!$B$5:$B$200),"")</f>
        <v/>
      </c>
      <c r="C84" s="7">
        <f>IFERROR(XLOOKUP(A84,'Source Inventory'!$A$5:$A$200,'Source Inventory'!$C$5:$C$200),"")</f>
        <v/>
      </c>
      <c r="D84" s="7">
        <f>IFERROR(XLOOKUP(A84,'Source Inventory'!$A$5:$A$200,'Source Inventory'!$D$5:$D$200),"")</f>
        <v/>
      </c>
      <c r="E84" s="7">
        <f>IFERROR(XLOOKUP(A84,'Source Inventory'!$A$5:$A$200,'Source Inventory'!$E$5:$E$200),"")</f>
        <v/>
      </c>
      <c r="F84" s="7">
        <f>IFERROR(XLOOKUP(A84,'Source Inventory'!$A$5:$A$200,'Source Inventory'!$F$5:$F$200),"")</f>
        <v/>
      </c>
      <c r="G84" s="7">
        <f>IFERROR(XLOOKUP(A84,'Source Inventory'!$A$5:$A$200,'Source Inventory'!$G$5:$G$200),"")</f>
        <v/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TR-00080 moved MD-00080 (MD-NE-050080); inbound 2026-03-17; now Available / Atlanta Warehouse. ledger FA-000080 NBV $1,374.53. buy path PO-2024-0015.</t>
        </is>
      </c>
      <c r="L84" s="7" t="inlineStr">
        <is>
          <t>2026-07-07</t>
        </is>
      </c>
      <c r="M84" s="7">
        <f>IFERROR(XLOOKUP(A84,'Source Inventory'!$A$5:$A$200,'Source Inventory'!$H$5:$H$200),"")</f>
        <v/>
      </c>
      <c r="N84" s="7" t="n">
        <v>1374.53</v>
      </c>
      <c r="O84" s="7">
        <f>IFERROR(XLOOKUP(A84,'Source Ledger'!$B$5:$B$200,'Source Ledger'!$A$5:$A$200),"")</f>
        <v/>
      </c>
      <c r="P84" s="7">
        <f>IFERROR(XLOOKUP(A84,'Source Ledger'!$B$5:$B$200,'Source Ledger'!$D$5:$D$200),"")</f>
        <v/>
      </c>
      <c r="Q84" s="9" t="inlineStr">
        <is>
          <t>High</t>
        </is>
      </c>
      <c r="R84" s="7" t="inlineStr">
        <is>
          <t>EX-0090</t>
        </is>
      </c>
      <c r="S84" s="7">
        <f>IF(OR(R84="",R84=0),"No","Yes")</f>
        <v/>
      </c>
      <c r="T84">
        <f>IFERROR(XLOOKUP(A84,'Source Ledger'!$B$5:$B$200,'Source Ledger'!$E$5:$E$200),"")</f>
        <v/>
      </c>
      <c r="U84">
        <f>IFERROR(XLOOKUP(A84,'Source Ledger'!$B$5:$B$200,'Source Ledger'!$H$5:$H$200),"")</f>
        <v/>
      </c>
      <c r="V84">
        <f>IFERROR(XLOOKUP(A84,'Source Ledger'!$B$5:$B$200,'Source Ledger'!$G$5:$G$200),"")</f>
        <v/>
      </c>
      <c r="W84">
        <f>IF(OR(M84="",T84=""),"",T84-M84)</f>
        <v/>
      </c>
      <c r="X84">
        <f>IF(V84="","No","Yes")</f>
        <v/>
      </c>
    </row>
    <row r="85">
      <c r="A85" s="7" t="inlineStr">
        <is>
          <t>MD-00081</t>
        </is>
      </c>
      <c r="B85" s="7">
        <f>IFERROR(XLOOKUP(A85,'Source Inventory'!$A$5:$A$200,'Source Inventory'!$B$5:$B$200),"")</f>
        <v/>
      </c>
      <c r="C85" s="7">
        <f>IFERROR(XLOOKUP(A85,'Source Inventory'!$A$5:$A$200,'Source Inventory'!$C$5:$C$200),"")</f>
        <v/>
      </c>
      <c r="D85" s="7">
        <f>IFERROR(XLOOKUP(A85,'Source Inventory'!$A$5:$A$200,'Source Inventory'!$D$5:$D$200),"")</f>
        <v/>
      </c>
      <c r="E85" s="7">
        <f>IFERROR(XLOOKUP(A85,'Source Inventory'!$A$5:$A$200,'Source Inventory'!$E$5:$E$200),"")</f>
        <v/>
      </c>
      <c r="F85" s="7">
        <f>IFERROR(XLOOKUP(A85,'Source Inventory'!$A$5:$A$200,'Source Inventory'!$F$5:$F$200),"")</f>
        <v/>
      </c>
      <c r="G85" s="7">
        <f>IFERROR(XLOOKUP(A85,'Source Inventory'!$A$5:$A$200,'Source Inventory'!$G$5:$G$200),"")</f>
        <v/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MD-00081 / MD-LA-050081: Fortinet FortiSwitch 148F at Atlanta Warehouse marked Available; acquisition $2,030. buy path PO-2024-0015. ledger FA-000081 NBV $114.40. transfer TR-00081 dated Apr 20, 2026, received 2026-04-20, APR-00081.</t>
        </is>
      </c>
      <c r="L85" s="7" t="inlineStr">
        <is>
          <t>2026-07-07</t>
        </is>
      </c>
      <c r="M85" s="7">
        <f>IFERROR(XLOOKUP(A85,'Source Inventory'!$A$5:$A$200,'Source Inventory'!$H$5:$H$200),"")</f>
        <v/>
      </c>
      <c r="N85" s="7" t="n">
        <v>114.4</v>
      </c>
      <c r="O85" s="7">
        <f>IFERROR(XLOOKUP(A85,'Source Ledger'!$B$5:$B$200,'Source Ledger'!$A$5:$A$200),"")</f>
        <v/>
      </c>
      <c r="P85" s="7">
        <f>IFERROR(XLOOKUP(A85,'Source Ledger'!$B$5:$B$200,'Source Ledger'!$D$5:$D$200),"")</f>
        <v/>
      </c>
      <c r="Q85" s="9" t="inlineStr">
        <is>
          <t>High</t>
        </is>
      </c>
      <c r="R85" s="7" t="inlineStr">
        <is>
          <t>EX-0091</t>
        </is>
      </c>
      <c r="S85" s="7">
        <f>IF(OR(R85="",R85=0),"No","Yes")</f>
        <v/>
      </c>
      <c r="T85">
        <f>IFERROR(XLOOKUP(A85,'Source Ledger'!$B$5:$B$200,'Source Ledger'!$E$5:$E$200),"")</f>
        <v/>
      </c>
      <c r="U85">
        <f>IFERROR(XLOOKUP(A85,'Source Ledger'!$B$5:$B$200,'Source Ledger'!$H$5:$H$200),"")</f>
        <v/>
      </c>
      <c r="V85">
        <f>IFERROR(XLOOKUP(A85,'Source Ledger'!$B$5:$B$200,'Source Ledger'!$G$5:$G$200),"")</f>
        <v/>
      </c>
      <c r="W85">
        <f>IF(OR(M85="",T85=""),"",T85-M85)</f>
        <v/>
      </c>
      <c r="X85">
        <f>IF(V85="","No","Yes")</f>
        <v/>
      </c>
    </row>
    <row r="86">
      <c r="A86" s="7" t="inlineStr">
        <is>
          <t>MD-00082</t>
        </is>
      </c>
      <c r="B86" s="7">
        <f>IFERROR(XLOOKUP(A86,'Source Inventory'!$A$5:$A$200,'Source Inventory'!$B$5:$B$200),"")</f>
        <v/>
      </c>
      <c r="C86" s="7">
        <f>IFERROR(XLOOKUP(A86,'Source Inventory'!$A$5:$A$200,'Source Inventory'!$C$5:$C$200),"")</f>
        <v/>
      </c>
      <c r="D86" s="7">
        <f>IFERROR(XLOOKUP(A86,'Source Inventory'!$A$5:$A$200,'Source Inventory'!$D$5:$D$200),"")</f>
        <v/>
      </c>
      <c r="E86" s="7">
        <f>IFERROR(XLOOKUP(A86,'Source Inventory'!$A$5:$A$200,'Source Inventory'!$E$5:$E$200),"")</f>
        <v/>
      </c>
      <c r="F86" s="7">
        <f>IFERROR(XLOOKUP(A86,'Source Inventory'!$A$5:$A$200,'Source Inventory'!$F$5:$F$200),"")</f>
        <v/>
      </c>
      <c r="G86" s="7">
        <f>IFERROR(XLOOKUP(A86,'Source Inventory'!$A$5:$A$200,'Source Inventory'!$G$5:$G$200),"")</f>
        <v/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PO-2024-0015 and FA-000082 both cite MD-00082 (Cisco C9300); register basis $745. carrier 1ZMD00000082 is Label Created only. dock PNG is HOLD lead only. serial MISMATCH-0082 vs MD-MO-050082. transfer TR-00082 dated May 22, 2026, received 2026-05-24, APR-00082. HR row shows Emmett Boyle (E0095) as Separated. ticket OFF-00082 cited.</t>
        </is>
      </c>
      <c r="L86" s="7" t="inlineStr">
        <is>
          <t>2026-07-02</t>
        </is>
      </c>
      <c r="M86" s="7">
        <f>IFERROR(XLOOKUP(A86,'Source Inventory'!$A$5:$A$200,'Source Inventory'!$H$5:$H$200),"")</f>
        <v/>
      </c>
      <c r="N86" s="7" t="n">
        <v>485.55</v>
      </c>
      <c r="O86" s="7">
        <f>IFERROR(XLOOKUP(A86,'Source Ledger'!$B$5:$B$200,'Source Ledger'!$A$5:$A$200),"")</f>
        <v/>
      </c>
      <c r="P86" s="7">
        <f>IFERROR(XLOOKUP(A86,'Source Ledger'!$B$5:$B$200,'Source Ledger'!$D$5:$D$200),"")</f>
        <v/>
      </c>
      <c r="Q86" s="7" t="inlineStr">
        <is>
          <t>Low</t>
        </is>
      </c>
      <c r="R86" s="7" t="inlineStr">
        <is>
          <t>EX-0092, EX-0093</t>
        </is>
      </c>
      <c r="S86" s="7">
        <f>IF(OR(R86="",R86=0),"No","Yes")</f>
        <v/>
      </c>
      <c r="T86">
        <f>IFERROR(XLOOKUP(A86,'Source Ledger'!$B$5:$B$200,'Source Ledger'!$E$5:$E$200),"")</f>
        <v/>
      </c>
      <c r="U86">
        <f>IFERROR(XLOOKUP(A86,'Source Ledger'!$B$5:$B$200,'Source Ledger'!$H$5:$H$200),"")</f>
        <v/>
      </c>
      <c r="V86">
        <f>IFERROR(XLOOKUP(A86,'Source Ledger'!$B$5:$B$200,'Source Ledger'!$G$5:$G$200),"")</f>
        <v/>
      </c>
      <c r="W86">
        <f>IF(OR(M86="",T86=""),"",T86-M86)</f>
        <v/>
      </c>
      <c r="X86">
        <f>IF(V86="","No","Yes")</f>
        <v/>
      </c>
    </row>
    <row r="87">
      <c r="A87" s="7" t="inlineStr">
        <is>
          <t>MD-00083</t>
        </is>
      </c>
      <c r="B87" s="7">
        <f>IFERROR(XLOOKUP(A87,'Source Inventory'!$A$5:$A$200,'Source Inventory'!$B$5:$B$200),"")</f>
        <v/>
      </c>
      <c r="C87" s="7">
        <f>IFERROR(XLOOKUP(A87,'Source Inventory'!$A$5:$A$200,'Source Inventory'!$C$5:$C$200),"")</f>
        <v/>
      </c>
      <c r="D87" s="7">
        <f>IFERROR(XLOOKUP(A87,'Source Inventory'!$A$5:$A$200,'Source Inventory'!$D$5:$D$200),"")</f>
        <v/>
      </c>
      <c r="E87" s="7">
        <f>IFERROR(XLOOKUP(A87,'Source Inventory'!$A$5:$A$200,'Source Inventory'!$E$5:$E$200),"")</f>
        <v/>
      </c>
      <c r="F87" s="7">
        <f>IFERROR(XLOOKUP(A87,'Source Inventory'!$A$5:$A$200,'Source Inventory'!$F$5:$F$200),"")</f>
        <v/>
      </c>
      <c r="G87" s="7">
        <f>IFERROR(XLOOKUP(A87,'Source Inventory'!$A$5:$A$200,'Source Inventory'!$G$5:$G$200),"")</f>
        <v/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TR-00083 moved MD-00083 (MD-MO-050083); inbound 2026-06-27; now Available / Atlanta Warehouse. buy path PO-2025-0016. ledger FA-000083 NBV $952.79.</t>
        </is>
      </c>
      <c r="L87" s="7" t="inlineStr">
        <is>
          <t>2026-07-07</t>
        </is>
      </c>
      <c r="M87" s="7">
        <f>IFERROR(XLOOKUP(A87,'Source Inventory'!$A$5:$A$200,'Source Inventory'!$H$5:$H$200),"")</f>
        <v/>
      </c>
      <c r="N87" s="7" t="n">
        <v>952.79</v>
      </c>
      <c r="O87" s="7">
        <f>IFERROR(XLOOKUP(A87,'Source Ledger'!$B$5:$B$200,'Source Ledger'!$A$5:$A$200),"")</f>
        <v/>
      </c>
      <c r="P87" s="7">
        <f>IFERROR(XLOOKUP(A87,'Source Ledger'!$B$5:$B$200,'Source Ledger'!$D$5:$D$200),"")</f>
        <v/>
      </c>
      <c r="Q87" s="9" t="inlineStr">
        <is>
          <t>High</t>
        </is>
      </c>
      <c r="R87" s="7" t="inlineStr">
        <is>
          <t>EX-0094</t>
        </is>
      </c>
      <c r="S87" s="7">
        <f>IF(OR(R87="",R87=0),"No","Yes")</f>
        <v/>
      </c>
      <c r="T87">
        <f>IFERROR(XLOOKUP(A87,'Source Ledger'!$B$5:$B$200,'Source Ledger'!$E$5:$E$200),"")</f>
        <v/>
      </c>
      <c r="U87">
        <f>IFERROR(XLOOKUP(A87,'Source Ledger'!$B$5:$B$200,'Source Ledger'!$H$5:$H$200),"")</f>
        <v/>
      </c>
      <c r="V87">
        <f>IFERROR(XLOOKUP(A87,'Source Ledger'!$B$5:$B$200,'Source Ledger'!$G$5:$G$200),"")</f>
        <v/>
      </c>
      <c r="W87">
        <f>IF(OR(M87="",T87=""),"",T87-M87)</f>
        <v/>
      </c>
      <c r="X87">
        <f>IF(V87="","No","Yes")</f>
        <v/>
      </c>
    </row>
    <row r="88">
      <c r="A88" s="7" t="inlineStr">
        <is>
          <t>MD-00084</t>
        </is>
      </c>
      <c r="B88" s="7">
        <f>IFERROR(XLOOKUP(A88,'Source Inventory'!$A$5:$A$200,'Source Inventory'!$B$5:$B$200),"")</f>
        <v/>
      </c>
      <c r="C88" s="7">
        <f>IFERROR(XLOOKUP(A88,'Source Inventory'!$A$5:$A$200,'Source Inventory'!$C$5:$C$200),"")</f>
        <v/>
      </c>
      <c r="D88" s="7">
        <f>IFERROR(XLOOKUP(A88,'Source Inventory'!$A$5:$A$200,'Source Inventory'!$D$5:$D$200),"")</f>
        <v/>
      </c>
      <c r="E88" s="7">
        <f>IFERROR(XLOOKUP(A88,'Source Inventory'!$A$5:$A$200,'Source Inventory'!$E$5:$E$200),"")</f>
        <v/>
      </c>
      <c r="F88" s="7">
        <f>IFERROR(XLOOKUP(A88,'Source Inventory'!$A$5:$A$200,'Source Inventory'!$F$5:$F$200),"")</f>
        <v/>
      </c>
      <c r="G88" s="7">
        <f>IFERROR(XLOOKUP(A88,'Source Inventory'!$A$5:$A$200,'Source Inventory'!$G$5:$G$200),"")</f>
        <v/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OFF-00084 remains on file for MD-00084 (Juniper EX3400, $6,200); verified state In Transit - Exception at Carrier Network / Unverified. ledger FA-000084 NBV $533.85. buy path PO-2025-0016. serial MISMATCH-0084 vs MD-NE-050084. transfer TR-00084 dated Jan 30, 2026, received 2026-02-05, APR-00084. HR row shows Anita Bose (E0072) as Separated.</t>
        </is>
      </c>
      <c r="L88" s="7" t="inlineStr">
        <is>
          <t>2026-07-02</t>
        </is>
      </c>
      <c r="M88" s="7">
        <f>IFERROR(XLOOKUP(A88,'Source Inventory'!$A$5:$A$200,'Source Inventory'!$H$5:$H$200),"")</f>
        <v/>
      </c>
      <c r="N88" s="7" t="n">
        <v>533.85</v>
      </c>
      <c r="O88" s="7">
        <f>IFERROR(XLOOKUP(A88,'Source Ledger'!$B$5:$B$200,'Source Ledger'!$A$5:$A$200),"")</f>
        <v/>
      </c>
      <c r="P88" s="7">
        <f>IFERROR(XLOOKUP(A88,'Source Ledger'!$B$5:$B$200,'Source Ledger'!$D$5:$D$200),"")</f>
        <v/>
      </c>
      <c r="Q88" s="7" t="inlineStr">
        <is>
          <t>Low</t>
        </is>
      </c>
      <c r="R88" s="7" t="inlineStr">
        <is>
          <t>EX-0095, EX-0096</t>
        </is>
      </c>
      <c r="S88" s="7">
        <f>IF(OR(R88="",R88=0),"No","Yes")</f>
        <v/>
      </c>
      <c r="T88">
        <f>IFERROR(XLOOKUP(A88,'Source Ledger'!$B$5:$B$200,'Source Ledger'!$E$5:$E$200),"")</f>
        <v/>
      </c>
      <c r="U88">
        <f>IFERROR(XLOOKUP(A88,'Source Ledger'!$B$5:$B$200,'Source Ledger'!$H$5:$H$200),"")</f>
        <v/>
      </c>
      <c r="V88">
        <f>IFERROR(XLOOKUP(A88,'Source Ledger'!$B$5:$B$200,'Source Ledger'!$G$5:$G$200),"")</f>
        <v/>
      </c>
      <c r="W88">
        <f>IF(OR(M88="",T88=""),"",T88-M88)</f>
        <v/>
      </c>
      <c r="X88">
        <f>IF(V88="","No","Yes")</f>
        <v/>
      </c>
    </row>
    <row r="89">
      <c r="A89" s="7" t="inlineStr">
        <is>
          <t>MD-00085</t>
        </is>
      </c>
      <c r="B89" s="7">
        <f>IFERROR(XLOOKUP(A89,'Source Inventory'!$A$5:$A$200,'Source Inventory'!$B$5:$B$200),"")</f>
        <v/>
      </c>
      <c r="C89" s="7">
        <f>IFERROR(XLOOKUP(A89,'Source Inventory'!$A$5:$A$200,'Source Inventory'!$C$5:$C$200),"")</f>
        <v/>
      </c>
      <c r="D89" s="7">
        <f>IFERROR(XLOOKUP(A89,'Source Inventory'!$A$5:$A$200,'Source Inventory'!$D$5:$D$200),"")</f>
        <v/>
      </c>
      <c r="E89" s="7">
        <f>IFERROR(XLOOKUP(A89,'Source Inventory'!$A$5:$A$200,'Source Inventory'!$E$5:$E$200),"")</f>
        <v/>
      </c>
      <c r="F89" s="7">
        <f>IFERROR(XLOOKUP(A89,'Source Inventory'!$A$5:$A$200,'Source Inventory'!$F$5:$F$200),"")</f>
        <v/>
      </c>
      <c r="G89" s="7">
        <f>IFERROR(XLOOKUP(A89,'Source Inventory'!$A$5:$A$200,'Source Inventory'!$G$5:$G$200),"")</f>
        <v/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PO-2025-0016 and FA-000085 both cite MD-00085 (Cisco Meraki MS250); register basis $1,895. transfer TR-00085 dated Feb 02, 2026, received 2026-02-03, APR-00085.</t>
        </is>
      </c>
      <c r="L89" s="7" t="inlineStr">
        <is>
          <t>2026-07-07</t>
        </is>
      </c>
      <c r="M89" s="7">
        <f>IFERROR(XLOOKUP(A89,'Source Inventory'!$A$5:$A$200,'Source Inventory'!$H$5:$H$200),"")</f>
        <v/>
      </c>
      <c r="N89" s="7" t="n">
        <v>0</v>
      </c>
      <c r="O89" s="7">
        <f>IFERROR(XLOOKUP(A89,'Source Ledger'!$B$5:$B$200,'Source Ledger'!$A$5:$A$200),"")</f>
        <v/>
      </c>
      <c r="P89" s="7">
        <f>IFERROR(XLOOKUP(A89,'Source Ledger'!$B$5:$B$200,'Source Ledger'!$D$5:$D$200),"")</f>
        <v/>
      </c>
      <c r="Q89" s="9" t="inlineStr">
        <is>
          <t>High</t>
        </is>
      </c>
      <c r="R89" s="7" t="inlineStr">
        <is>
          <t>EX-0097, EX-0098</t>
        </is>
      </c>
      <c r="S89" s="7">
        <f>IF(OR(R89="",R89=0),"No","Yes")</f>
        <v/>
      </c>
      <c r="T89">
        <f>IFERROR(XLOOKUP(A89,'Source Ledger'!$B$5:$B$200,'Source Ledger'!$E$5:$E$200),"")</f>
        <v/>
      </c>
      <c r="U89">
        <f>IFERROR(XLOOKUP(A89,'Source Ledger'!$B$5:$B$200,'Source Ledger'!$H$5:$H$200),"")</f>
        <v/>
      </c>
      <c r="V89">
        <f>IFERROR(XLOOKUP(A89,'Source Ledger'!$B$5:$B$200,'Source Ledger'!$G$5:$G$200),"")</f>
        <v/>
      </c>
      <c r="W89">
        <f>IF(OR(M89="",T89=""),"",T89-M89)</f>
        <v/>
      </c>
      <c r="X89">
        <f>IF(V89="","No","Yes")</f>
        <v/>
      </c>
    </row>
    <row r="90">
      <c r="A90" s="7" t="inlineStr">
        <is>
          <t>MD-00086</t>
        </is>
      </c>
      <c r="B90" s="7">
        <f>IFERROR(XLOOKUP(A90,'Source Inventory'!$A$5:$A$200,'Source Inventory'!$B$5:$B$200),"")</f>
        <v/>
      </c>
      <c r="C90" s="7">
        <f>IFERROR(XLOOKUP(A90,'Source Inventory'!$A$5:$A$200,'Source Inventory'!$C$5:$C$200),"")</f>
        <v/>
      </c>
      <c r="D90" s="7">
        <f>IFERROR(XLOOKUP(A90,'Source Inventory'!$A$5:$A$200,'Source Inventory'!$D$5:$D$200),"")</f>
        <v/>
      </c>
      <c r="E90" s="7">
        <f>IFERROR(XLOOKUP(A90,'Source Inventory'!$A$5:$A$200,'Source Inventory'!$E$5:$E$200),"")</f>
        <v/>
      </c>
      <c r="F90" s="7">
        <f>IFERROR(XLOOKUP(A90,'Source Inventory'!$A$5:$A$200,'Source Inventory'!$F$5:$F$200),"")</f>
        <v/>
      </c>
      <c r="G90" s="7">
        <f>IFERROR(XLOOKUP(A90,'Source Inventory'!$A$5:$A$200,'Source Inventory'!$G$5:$G$200),"")</f>
        <v/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MD-00086 / MD-MO-050086: Fortinet FortiSwitch 148F at Atlanta Warehouse marked Available; acquisition $610. ledger FA-000086 NBV $317.07. transfer TR-00086 dated Mar 07, 2026, received 2026-03-08, APR-00086. buy path PO-2022-0017.</t>
        </is>
      </c>
      <c r="L90" s="7" t="inlineStr">
        <is>
          <t>2026-07-07</t>
        </is>
      </c>
      <c r="M90" s="7">
        <f>IFERROR(XLOOKUP(A90,'Source Inventory'!$A$5:$A$200,'Source Inventory'!$H$5:$H$200),"")</f>
        <v/>
      </c>
      <c r="N90" s="7" t="n">
        <v>317.07</v>
      </c>
      <c r="O90" s="7">
        <f>IFERROR(XLOOKUP(A90,'Source Ledger'!$B$5:$B$200,'Source Ledger'!$A$5:$A$200),"")</f>
        <v/>
      </c>
      <c r="P90" s="7">
        <f>IFERROR(XLOOKUP(A90,'Source Ledger'!$B$5:$B$200,'Source Ledger'!$D$5:$D$200),"")</f>
        <v/>
      </c>
      <c r="Q90" s="9" t="inlineStr">
        <is>
          <t>High</t>
        </is>
      </c>
      <c r="R90" s="7" t="inlineStr">
        <is>
          <t>EX-0099</t>
        </is>
      </c>
      <c r="S90" s="7">
        <f>IF(OR(R90="",R90=0),"No","Yes")</f>
        <v/>
      </c>
      <c r="T90">
        <f>IFERROR(XLOOKUP(A90,'Source Ledger'!$B$5:$B$200,'Source Ledger'!$E$5:$E$200),"")</f>
        <v/>
      </c>
      <c r="U90">
        <f>IFERROR(XLOOKUP(A90,'Source Ledger'!$B$5:$B$200,'Source Ledger'!$H$5:$H$200),"")</f>
        <v/>
      </c>
      <c r="V90">
        <f>IFERROR(XLOOKUP(A90,'Source Ledger'!$B$5:$B$200,'Source Ledger'!$G$5:$G$200),"")</f>
        <v/>
      </c>
      <c r="W90">
        <f>IF(OR(M90="",T90=""),"",T90-M90)</f>
        <v/>
      </c>
      <c r="X90">
        <f>IF(V90="","No","Yes")</f>
        <v/>
      </c>
    </row>
    <row r="91">
      <c r="A91" s="7" t="inlineStr">
        <is>
          <t>MD-00087</t>
        </is>
      </c>
      <c r="B91" s="7">
        <f>IFERROR(XLOOKUP(A91,'Source Inventory'!$A$5:$A$200,'Source Inventory'!$B$5:$B$200),"")</f>
        <v/>
      </c>
      <c r="C91" s="7">
        <f>IFERROR(XLOOKUP(A91,'Source Inventory'!$A$5:$A$200,'Source Inventory'!$C$5:$C$200),"")</f>
        <v/>
      </c>
      <c r="D91" s="7">
        <f>IFERROR(XLOOKUP(A91,'Source Inventory'!$A$5:$A$200,'Source Inventory'!$D$5:$D$200),"")</f>
        <v/>
      </c>
      <c r="E91" s="7">
        <f>IFERROR(XLOOKUP(A91,'Source Inventory'!$A$5:$A$200,'Source Inventory'!$E$5:$E$200),"")</f>
        <v/>
      </c>
      <c r="F91" s="7">
        <f>IFERROR(XLOOKUP(A91,'Source Inventory'!$A$5:$A$200,'Source Inventory'!$F$5:$F$200),"")</f>
        <v/>
      </c>
      <c r="G91" s="7">
        <f>IFERROR(XLOOKUP(A91,'Source Inventory'!$A$5:$A$200,'Source Inventory'!$G$5:$G$200),"")</f>
        <v/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MD-00087 / MD-MO-050087: Cisco C9300 at Atlanta Warehouse marked Available; acquisition $1,085. ledger FA-000087 NBV $609.71. transfer TR-00087 dated Apr 12, 2026, received 2026-04-12, APR-00087. buy path PO-2022-0017.</t>
        </is>
      </c>
      <c r="L91" s="7" t="inlineStr">
        <is>
          <t>2026-07-07</t>
        </is>
      </c>
      <c r="M91" s="7">
        <f>IFERROR(XLOOKUP(A91,'Source Inventory'!$A$5:$A$200,'Source Inventory'!$H$5:$H$200),"")</f>
        <v/>
      </c>
      <c r="N91" s="7" t="n">
        <v>609.71</v>
      </c>
      <c r="O91" s="7">
        <f>IFERROR(XLOOKUP(A91,'Source Ledger'!$B$5:$B$200,'Source Ledger'!$A$5:$A$200),"")</f>
        <v/>
      </c>
      <c r="P91" s="7">
        <f>IFERROR(XLOOKUP(A91,'Source Ledger'!$B$5:$B$200,'Source Ledger'!$D$5:$D$200),"")</f>
        <v/>
      </c>
      <c r="Q91" s="9" t="inlineStr">
        <is>
          <t>High</t>
        </is>
      </c>
      <c r="R91" s="7" t="inlineStr">
        <is>
          <t>EX-0100</t>
        </is>
      </c>
      <c r="S91" s="7">
        <f>IF(OR(R91="",R91=0),"No","Yes")</f>
        <v/>
      </c>
      <c r="T91">
        <f>IFERROR(XLOOKUP(A91,'Source Ledger'!$B$5:$B$200,'Source Ledger'!$E$5:$E$200),"")</f>
        <v/>
      </c>
      <c r="U91">
        <f>IFERROR(XLOOKUP(A91,'Source Ledger'!$B$5:$B$200,'Source Ledger'!$H$5:$H$200),"")</f>
        <v/>
      </c>
      <c r="V91">
        <f>IFERROR(XLOOKUP(A91,'Source Ledger'!$B$5:$B$200,'Source Ledger'!$G$5:$G$200),"")</f>
        <v/>
      </c>
      <c r="W91">
        <f>IF(OR(M91="",T91=""),"",T91-M91)</f>
        <v/>
      </c>
      <c r="X91">
        <f>IF(V91="","No","Yes")</f>
        <v/>
      </c>
    </row>
    <row r="92">
      <c r="A92" s="7" t="inlineStr">
        <is>
          <t>MD-00088</t>
        </is>
      </c>
      <c r="B92" s="7">
        <f>IFERROR(XLOOKUP(A92,'Source Inventory'!$A$5:$A$200,'Source Inventory'!$B$5:$B$200),"")</f>
        <v/>
      </c>
      <c r="C92" s="7">
        <f>IFERROR(XLOOKUP(A92,'Source Inventory'!$A$5:$A$200,'Source Inventory'!$C$5:$C$200),"")</f>
        <v/>
      </c>
      <c r="D92" s="7">
        <f>IFERROR(XLOOKUP(A92,'Source Inventory'!$A$5:$A$200,'Source Inventory'!$D$5:$D$200),"")</f>
        <v/>
      </c>
      <c r="E92" s="7">
        <f>IFERROR(XLOOKUP(A92,'Source Inventory'!$A$5:$A$200,'Source Inventory'!$E$5:$E$200),"")</f>
        <v/>
      </c>
      <c r="F92" s="7">
        <f>IFERROR(XLOOKUP(A92,'Source Inventory'!$A$5:$A$200,'Source Inventory'!$F$5:$F$200),"")</f>
        <v/>
      </c>
      <c r="G92" s="7">
        <f>IFERROR(XLOOKUP(A92,'Source Inventory'!$A$5:$A$200,'Source Inventory'!$G$5:$G$200),"")</f>
        <v/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FA-000088 carries NBV $982.55 for MD-00088; operating status Available at Atlanta Warehouse. purchasing extract lists PO-2022-0017. transfer TR-00088 dated May 13, 2026, received 2026-05-14, APR-00088. duplicate serial MD-NE-050088.</t>
        </is>
      </c>
      <c r="L92" s="7" t="inlineStr">
        <is>
          <t>2026-07-07</t>
        </is>
      </c>
      <c r="M92" s="7">
        <f>IFERROR(XLOOKUP(A92,'Source Inventory'!$A$5:$A$200,'Source Inventory'!$H$5:$H$200),"")</f>
        <v/>
      </c>
      <c r="N92" s="7" t="n">
        <v>982.55</v>
      </c>
      <c r="O92" s="7">
        <f>IFERROR(XLOOKUP(A92,'Source Ledger'!$B$5:$B$200,'Source Ledger'!$A$5:$A$200),"")</f>
        <v/>
      </c>
      <c r="P92" s="7">
        <f>IFERROR(XLOOKUP(A92,'Source Ledger'!$B$5:$B$200,'Source Ledger'!$D$5:$D$200),"")</f>
        <v/>
      </c>
      <c r="Q92" s="7" t="inlineStr">
        <is>
          <t>Medium</t>
        </is>
      </c>
      <c r="R92" s="7" t="inlineStr">
        <is>
          <t>EX-0101, EX-0102</t>
        </is>
      </c>
      <c r="S92" s="7">
        <f>IF(OR(R92="",R92=0),"No","Yes")</f>
        <v/>
      </c>
      <c r="T92">
        <f>IFERROR(XLOOKUP(A92,'Source Ledger'!$B$5:$B$200,'Source Ledger'!$E$5:$E$200),"")</f>
        <v/>
      </c>
      <c r="U92">
        <f>IFERROR(XLOOKUP(A92,'Source Ledger'!$B$5:$B$200,'Source Ledger'!$H$5:$H$200),"")</f>
        <v/>
      </c>
      <c r="V92">
        <f>IFERROR(XLOOKUP(A92,'Source Ledger'!$B$5:$B$200,'Source Ledger'!$G$5:$G$200),"")</f>
        <v/>
      </c>
      <c r="W92">
        <f>IF(OR(M92="",T92=""),"",T92-M92)</f>
        <v/>
      </c>
      <c r="X92">
        <f>IF(V92="","No","Yes")</f>
        <v/>
      </c>
    </row>
    <row r="93">
      <c r="A93" s="7" t="inlineStr">
        <is>
          <t>MD-00089</t>
        </is>
      </c>
      <c r="B93" s="7">
        <f>IFERROR(XLOOKUP(A93,'Source Inventory'!$A$5:$A$200,'Source Inventory'!$B$5:$B$200),"")</f>
        <v/>
      </c>
      <c r="C93" s="7">
        <f>IFERROR(XLOOKUP(A93,'Source Inventory'!$A$5:$A$200,'Source Inventory'!$C$5:$C$200),"")</f>
        <v/>
      </c>
      <c r="D93" s="7">
        <f>IFERROR(XLOOKUP(A93,'Source Inventory'!$A$5:$A$200,'Source Inventory'!$D$5:$D$200),"")</f>
        <v/>
      </c>
      <c r="E93" s="7">
        <f>IFERROR(XLOOKUP(A93,'Source Inventory'!$A$5:$A$200,'Source Inventory'!$E$5:$E$200),"")</f>
        <v/>
      </c>
      <c r="F93" s="7">
        <f>IFERROR(XLOOKUP(A93,'Source Inventory'!$A$5:$A$200,'Source Inventory'!$F$5:$F$200),"")</f>
        <v/>
      </c>
      <c r="G93" s="7">
        <f>IFERROR(XLOOKUP(A93,'Source Inventory'!$A$5:$A$200,'Source Inventory'!$G$5:$G$200),"")</f>
        <v/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MD-00089 custodian Jonah Freedman (E0077) is Separated in hr_employee_status; site Unknown, status Missing. buy path PO-2022-0017. ticket OFF-00089 cited. last register site =IFERROR(XLOOKUP(A93,'Source Inventory'!$A$5:$A$200,'Source Inventory'!$F$5:$F$200),""). ledger FA-000089 NBV $0. transfer TR-00089 dated Jun 17, 2026, received 2026-06-17, APR-00089.</t>
        </is>
      </c>
      <c r="L93" s="7" t="inlineStr">
        <is>
          <t>2026-06-18</t>
        </is>
      </c>
      <c r="M93" s="7">
        <f>IFERROR(XLOOKUP(A93,'Source Inventory'!$A$5:$A$200,'Source Inventory'!$H$5:$H$200),"")</f>
        <v/>
      </c>
      <c r="N93" s="7" t="n">
        <v>0</v>
      </c>
      <c r="O93" s="7">
        <f>IFERROR(XLOOKUP(A93,'Source Ledger'!$B$5:$B$200,'Source Ledger'!$A$5:$A$200),"")</f>
        <v/>
      </c>
      <c r="P93" s="7">
        <f>IFERROR(XLOOKUP(A93,'Source Ledger'!$B$5:$B$200,'Source Ledger'!$D$5:$D$200),"")</f>
        <v/>
      </c>
      <c r="Q93" s="7" t="inlineStr">
        <is>
          <t>Low</t>
        </is>
      </c>
      <c r="R93" s="7" t="inlineStr">
        <is>
          <t>EX-0103, EX-0104</t>
        </is>
      </c>
      <c r="S93" s="7">
        <f>IF(OR(R93="",R93=0),"No","Yes")</f>
        <v/>
      </c>
      <c r="T93">
        <f>IFERROR(XLOOKUP(A93,'Source Ledger'!$B$5:$B$200,'Source Ledger'!$E$5:$E$200),"")</f>
        <v/>
      </c>
      <c r="U93">
        <f>IFERROR(XLOOKUP(A93,'Source Ledger'!$B$5:$B$200,'Source Ledger'!$H$5:$H$200),"")</f>
        <v/>
      </c>
      <c r="V93">
        <f>IFERROR(XLOOKUP(A93,'Source Ledger'!$B$5:$B$200,'Source Ledger'!$G$5:$G$200),"")</f>
        <v/>
      </c>
      <c r="W93">
        <f>IF(OR(M93="",T93=""),"",T93-M93)</f>
        <v/>
      </c>
      <c r="X93">
        <f>IF(V93="","No","Yes")</f>
        <v/>
      </c>
    </row>
    <row r="94">
      <c r="A94" s="7" t="inlineStr">
        <is>
          <t>MD-00090</t>
        </is>
      </c>
      <c r="B94" s="7">
        <f>IFERROR(XLOOKUP(A94,'Source Inventory'!$A$5:$A$200,'Source Inventory'!$B$5:$B$200),"")</f>
        <v/>
      </c>
      <c r="C94" s="7">
        <f>IFERROR(XLOOKUP(A94,'Source Inventory'!$A$5:$A$200,'Source Inventory'!$C$5:$C$200),"")</f>
        <v/>
      </c>
      <c r="D94" s="7">
        <f>IFERROR(XLOOKUP(A94,'Source Inventory'!$A$5:$A$200,'Source Inventory'!$D$5:$D$200),"")</f>
        <v/>
      </c>
      <c r="E94" s="7">
        <f>IFERROR(XLOOKUP(A94,'Source Inventory'!$A$5:$A$200,'Source Inventory'!$E$5:$E$200),"")</f>
        <v/>
      </c>
      <c r="F94" s="7">
        <f>IFERROR(XLOOKUP(A94,'Source Inventory'!$A$5:$A$200,'Source Inventory'!$F$5:$F$200),"")</f>
        <v/>
      </c>
      <c r="G94" s="7">
        <f>IFERROR(XLOOKUP(A94,'Source Inventory'!$A$5:$A$200,'Source Inventory'!$G$5:$G$200),"")</f>
        <v/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PO-2023-0018 and FA-000090 both cite MD-00090 (Fortinet FortiSwitch 148F); register basis $790. HR row shows Regina Lowe (E0078) as Separated. ticket OFF-00090 cited. transfer TR-00090 dated Jan 22, 2026, received 2026-01-28, APR-00090. last register site =IFERROR(XLOOKUP(A94,'Source Inventory'!$A$5:$A$200,'Source Inventory'!$F$5:$F$200),"").</t>
        </is>
      </c>
      <c r="L94" s="7" t="inlineStr">
        <is>
          <t>2026-06-07</t>
        </is>
      </c>
      <c r="M94" s="7">
        <f>IFERROR(XLOOKUP(A94,'Source Inventory'!$A$5:$A$200,'Source Inventory'!$H$5:$H$200),"")</f>
        <v/>
      </c>
      <c r="N94" s="7" t="n">
        <v>465.13</v>
      </c>
      <c r="O94" s="7">
        <f>IFERROR(XLOOKUP(A94,'Source Ledger'!$B$5:$B$200,'Source Ledger'!$A$5:$A$200),"")</f>
        <v/>
      </c>
      <c r="P94" s="7">
        <f>IFERROR(XLOOKUP(A94,'Source Ledger'!$B$5:$B$200,'Source Ledger'!$D$5:$D$200),"")</f>
        <v/>
      </c>
      <c r="Q94" s="7" t="inlineStr">
        <is>
          <t>Low</t>
        </is>
      </c>
      <c r="R94" s="7" t="inlineStr">
        <is>
          <t>EX-0105, EX-0106</t>
        </is>
      </c>
      <c r="S94" s="7">
        <f>IF(OR(R94="",R94=0),"No","Yes")</f>
        <v/>
      </c>
      <c r="T94">
        <f>IFERROR(XLOOKUP(A94,'Source Ledger'!$B$5:$B$200,'Source Ledger'!$E$5:$E$200),"")</f>
        <v/>
      </c>
      <c r="U94">
        <f>IFERROR(XLOOKUP(A94,'Source Ledger'!$B$5:$B$200,'Source Ledger'!$H$5:$H$200),"")</f>
        <v/>
      </c>
      <c r="V94">
        <f>IFERROR(XLOOKUP(A94,'Source Ledger'!$B$5:$B$200,'Source Ledger'!$G$5:$G$200),"")</f>
        <v/>
      </c>
      <c r="W94">
        <f>IF(OR(M94="",T94=""),"",T94-M94)</f>
        <v/>
      </c>
      <c r="X94">
        <f>IF(V94="","No","Yes")</f>
        <v/>
      </c>
    </row>
    <row r="95">
      <c r="A95" s="7" t="inlineStr">
        <is>
          <t>MD-00091</t>
        </is>
      </c>
      <c r="B95" s="7">
        <f>IFERROR(XLOOKUP(A95,'Source Inventory'!$A$5:$A$200,'Source Inventory'!$B$5:$B$200),"")</f>
        <v/>
      </c>
      <c r="C95" s="7">
        <f>IFERROR(XLOOKUP(A95,'Source Inventory'!$A$5:$A$200,'Source Inventory'!$C$5:$C$200),"")</f>
        <v/>
      </c>
      <c r="D95" s="7">
        <f>IFERROR(XLOOKUP(A95,'Source Inventory'!$A$5:$A$200,'Source Inventory'!$D$5:$D$200),"")</f>
        <v/>
      </c>
      <c r="E95" s="7">
        <f>IFERROR(XLOOKUP(A95,'Source Inventory'!$A$5:$A$200,'Source Inventory'!$E$5:$E$200),"")</f>
        <v/>
      </c>
      <c r="F95" s="7">
        <f>IFERROR(XLOOKUP(A95,'Source Inventory'!$A$5:$A$200,'Source Inventory'!$F$5:$F$200),"")</f>
        <v/>
      </c>
      <c r="G95" s="7">
        <f>IFERROR(XLOOKUP(A95,'Source Inventory'!$A$5:$A$200,'Source Inventory'!$G$5:$G$200),"")</f>
        <v/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TR-00091 moved MD-00091 (MD-MO-050091); inbound 2026-02-24; now Missing / Unknown. last register site =IFERROR(XLOOKUP(A95,'Source Inventory'!$A$5:$A$200,'Source Inventory'!$F$5:$F$200),""). buy path PO-2023-0018. ledger FA-000091 NBV $643.09. ticket OFF-00091 cited. HR row shows Wes Carvalho (E0079) as Separated.</t>
        </is>
      </c>
      <c r="L95" s="7" t="inlineStr">
        <is>
          <t>2026-05-08</t>
        </is>
      </c>
      <c r="M95" s="7">
        <f>IFERROR(XLOOKUP(A95,'Source Inventory'!$A$5:$A$200,'Source Inventory'!$H$5:$H$200),"")</f>
        <v/>
      </c>
      <c r="N95" s="7" t="n">
        <v>643.09</v>
      </c>
      <c r="O95" s="7">
        <f>IFERROR(XLOOKUP(A95,'Source Ledger'!$B$5:$B$200,'Source Ledger'!$A$5:$A$200),"")</f>
        <v/>
      </c>
      <c r="P95" s="7">
        <f>IFERROR(XLOOKUP(A95,'Source Ledger'!$B$5:$B$200,'Source Ledger'!$D$5:$D$200),"")</f>
        <v/>
      </c>
      <c r="Q95" s="7" t="inlineStr">
        <is>
          <t>Low</t>
        </is>
      </c>
      <c r="R95" s="7" t="inlineStr">
        <is>
          <t>EX-0107, EX-0108</t>
        </is>
      </c>
      <c r="S95" s="7">
        <f>IF(OR(R95="",R95=0),"No","Yes")</f>
        <v/>
      </c>
      <c r="T95">
        <f>IFERROR(XLOOKUP(A95,'Source Ledger'!$B$5:$B$200,'Source Ledger'!$E$5:$E$200),"")</f>
        <v/>
      </c>
      <c r="U95">
        <f>IFERROR(XLOOKUP(A95,'Source Ledger'!$B$5:$B$200,'Source Ledger'!$H$5:$H$200),"")</f>
        <v/>
      </c>
      <c r="V95">
        <f>IFERROR(XLOOKUP(A95,'Source Ledger'!$B$5:$B$200,'Source Ledger'!$G$5:$G$200),"")</f>
        <v/>
      </c>
      <c r="W95">
        <f>IF(OR(M95="",T95=""),"",T95-M95)</f>
        <v/>
      </c>
      <c r="X95">
        <f>IF(V95="","No","Yes")</f>
        <v/>
      </c>
    </row>
    <row r="96">
      <c r="A96" s="7" t="inlineStr">
        <is>
          <t>MD-00092</t>
        </is>
      </c>
      <c r="B96" s="7">
        <f>IFERROR(XLOOKUP(A96,'Source Inventory'!$A$5:$A$200,'Source Inventory'!$B$5:$B$200),"")</f>
        <v/>
      </c>
      <c r="C96" s="7">
        <f>IFERROR(XLOOKUP(A96,'Source Inventory'!$A$5:$A$200,'Source Inventory'!$C$5:$C$200),"")</f>
        <v/>
      </c>
      <c r="D96" s="7">
        <f>IFERROR(XLOOKUP(A96,'Source Inventory'!$A$5:$A$200,'Source Inventory'!$D$5:$D$200),"")</f>
        <v/>
      </c>
      <c r="E96" s="7">
        <f>IFERROR(XLOOKUP(A96,'Source Inventory'!$A$5:$A$200,'Source Inventory'!$E$5:$E$200),"")</f>
        <v/>
      </c>
      <c r="F96" s="7">
        <f>IFERROR(XLOOKUP(A96,'Source Inventory'!$A$5:$A$200,'Source Inventory'!$F$5:$F$200),"")</f>
        <v/>
      </c>
      <c r="G96" s="7">
        <f>IFERROR(XLOOKUP(A96,'Source Inventory'!$A$5:$A$200,'Source Inventory'!$G$5:$G$200),"")</f>
        <v/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OFF-00092 remains on file for MD-00092 (Aruba 6300M, $6,245); verified state Missing at Unknown. last register site =IFERROR(XLOOKUP(A96,'Source Inventory'!$A$5:$A$200,'Source Inventory'!$F$5:$F$200),""). ledger FA-000092 NBV $1,396.04. duplicate serial MD-NE-050088. buy path PO-2023-0018. HR row shows Tara Singh (E0080) as Separated. transfer TR-00092 dated Mar 28, 2026, received 2026-03-28, APR-00092.</t>
        </is>
      </c>
      <c r="L96" s="7" t="inlineStr">
        <is>
          <t>2026-06-09</t>
        </is>
      </c>
      <c r="M96" s="7">
        <f>IFERROR(XLOOKUP(A96,'Source Inventory'!$A$5:$A$200,'Source Inventory'!$H$5:$H$200),"")</f>
        <v/>
      </c>
      <c r="N96" s="7" t="n">
        <v>1396.04</v>
      </c>
      <c r="O96" s="7">
        <f>IFERROR(XLOOKUP(A96,'Source Ledger'!$B$5:$B$200,'Source Ledger'!$A$5:$A$200),"")</f>
        <v/>
      </c>
      <c r="P96" s="7">
        <f>IFERROR(XLOOKUP(A96,'Source Ledger'!$B$5:$B$200,'Source Ledger'!$D$5:$D$200),"")</f>
        <v/>
      </c>
      <c r="Q96" s="7" t="inlineStr">
        <is>
          <t>Low</t>
        </is>
      </c>
      <c r="R96" s="7" t="inlineStr">
        <is>
          <t>EX-0109, EX-0110, EX-0111</t>
        </is>
      </c>
      <c r="S96" s="7">
        <f>IF(OR(R96="",R96=0),"No","Yes")</f>
        <v/>
      </c>
      <c r="T96">
        <f>IFERROR(XLOOKUP(A96,'Source Ledger'!$B$5:$B$200,'Source Ledger'!$E$5:$E$200),"")</f>
        <v/>
      </c>
      <c r="U96">
        <f>IFERROR(XLOOKUP(A96,'Source Ledger'!$B$5:$B$200,'Source Ledger'!$H$5:$H$200),"")</f>
        <v/>
      </c>
      <c r="V96">
        <f>IFERROR(XLOOKUP(A96,'Source Ledger'!$B$5:$B$200,'Source Ledger'!$G$5:$G$200),"")</f>
        <v/>
      </c>
      <c r="W96">
        <f>IF(OR(M96="",T96=""),"",T96-M96)</f>
        <v/>
      </c>
      <c r="X96">
        <f>IF(V96="","No","Yes")</f>
        <v/>
      </c>
    </row>
    <row r="97">
      <c r="A97" s="7" t="inlineStr">
        <is>
          <t>MD-00093</t>
        </is>
      </c>
      <c r="B97" s="7">
        <f>IFERROR(XLOOKUP(A97,'Source Inventory'!$A$5:$A$200,'Source Inventory'!$B$5:$B$200),"")</f>
        <v/>
      </c>
      <c r="C97" s="7">
        <f>IFERROR(XLOOKUP(A97,'Source Inventory'!$A$5:$A$200,'Source Inventory'!$C$5:$C$200),"")</f>
        <v/>
      </c>
      <c r="D97" s="7">
        <f>IFERROR(XLOOKUP(A97,'Source Inventory'!$A$5:$A$200,'Source Inventory'!$D$5:$D$200),"")</f>
        <v/>
      </c>
      <c r="E97" s="7">
        <f>IFERROR(XLOOKUP(A97,'Source Inventory'!$A$5:$A$200,'Source Inventory'!$E$5:$E$200),"")</f>
        <v/>
      </c>
      <c r="F97" s="7">
        <f>IFERROR(XLOOKUP(A97,'Source Inventory'!$A$5:$A$200,'Source Inventory'!$F$5:$F$200),"")</f>
        <v/>
      </c>
      <c r="G97" s="7">
        <f>IFERROR(XLOOKUP(A97,'Source Inventory'!$A$5:$A$200,'Source Inventory'!$G$5:$G$200),"")</f>
        <v/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PO-2023-0018 and FA-000093 both cite MD-00093 (Juniper EX3400); register basis $1,940. transfer TR-00093 dated May 02, 2026, received 2026-05-06, APR-00093. last register site =IFERROR(XLOOKUP(A97,'Source Inventory'!$A$5:$A$200,'Source Inventory'!$F$5:$F$200),""). HR row shows Elliott Park (E0081) as Separated. ticket OFF-00093 cited.</t>
        </is>
      </c>
      <c r="L97" s="7" t="inlineStr">
        <is>
          <t>2026-05-10</t>
        </is>
      </c>
      <c r="M97" s="7">
        <f>IFERROR(XLOOKUP(A97,'Source Inventory'!$A$5:$A$200,'Source Inventory'!$H$5:$H$200),"")</f>
        <v/>
      </c>
      <c r="N97" s="7" t="n">
        <v>130.57</v>
      </c>
      <c r="O97" s="7">
        <f>IFERROR(XLOOKUP(A97,'Source Ledger'!$B$5:$B$200,'Source Ledger'!$A$5:$A$200),"")</f>
        <v/>
      </c>
      <c r="P97" s="7">
        <f>IFERROR(XLOOKUP(A97,'Source Ledger'!$B$5:$B$200,'Source Ledger'!$D$5:$D$200),"")</f>
        <v/>
      </c>
      <c r="Q97" s="7" t="inlineStr">
        <is>
          <t>Low</t>
        </is>
      </c>
      <c r="R97" s="7" t="inlineStr">
        <is>
          <t>EX-0112, EX-0113</t>
        </is>
      </c>
      <c r="S97" s="7">
        <f>IF(OR(R97="",R97=0),"No","Yes")</f>
        <v/>
      </c>
      <c r="T97">
        <f>IFERROR(XLOOKUP(A97,'Source Ledger'!$B$5:$B$200,'Source Ledger'!$E$5:$E$200),"")</f>
        <v/>
      </c>
      <c r="U97">
        <f>IFERROR(XLOOKUP(A97,'Source Ledger'!$B$5:$B$200,'Source Ledger'!$H$5:$H$200),"")</f>
        <v/>
      </c>
      <c r="V97">
        <f>IFERROR(XLOOKUP(A97,'Source Ledger'!$B$5:$B$200,'Source Ledger'!$G$5:$G$200),"")</f>
        <v/>
      </c>
      <c r="W97">
        <f>IF(OR(M97="",T97=""),"",T97-M97)</f>
        <v/>
      </c>
      <c r="X97">
        <f>IF(V97="","No","Yes")</f>
        <v/>
      </c>
    </row>
    <row r="98">
      <c r="A98" s="7" t="inlineStr">
        <is>
          <t>MD-00094</t>
        </is>
      </c>
      <c r="B98" s="7">
        <f>IFERROR(XLOOKUP(A98,'Source Inventory'!$A$5:$A$200,'Source Inventory'!$B$5:$B$200),"")</f>
        <v/>
      </c>
      <c r="C98" s="7">
        <f>IFERROR(XLOOKUP(A98,'Source Inventory'!$A$5:$A$200,'Source Inventory'!$C$5:$C$200),"")</f>
        <v/>
      </c>
      <c r="D98" s="7">
        <f>IFERROR(XLOOKUP(A98,'Source Inventory'!$A$5:$A$200,'Source Inventory'!$D$5:$D$200),"")</f>
        <v/>
      </c>
      <c r="E98" s="7">
        <f>IFERROR(XLOOKUP(A98,'Source Inventory'!$A$5:$A$200,'Source Inventory'!$E$5:$E$200),"")</f>
        <v/>
      </c>
      <c r="F98" s="7">
        <f>IFERROR(XLOOKUP(A98,'Source Inventory'!$A$5:$A$200,'Source Inventory'!$F$5:$F$200),"")</f>
        <v/>
      </c>
      <c r="G98" s="7">
        <f>IFERROR(XLOOKUP(A98,'Source Inventory'!$A$5:$A$200,'Source Inventory'!$G$5:$G$200),"")</f>
        <v/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TR-00094 moved MD-00094 (MD-MO-050094); inbound 2026-06-04; now Missing / Unknown. last register site =IFERROR(XLOOKUP(A98,'Source Inventory'!$A$5:$A$200,'Source Inventory'!$F$5:$F$200),""). buy path PO-2023-0018. ledger FA-000094 NBV $431.20. ticket OFF-00094 cited. HR row shows Carmen Diaz (E0082) as Separated.</t>
        </is>
      </c>
      <c r="L98" s="7" t="inlineStr">
        <is>
          <t>2026-06-11</t>
        </is>
      </c>
      <c r="M98" s="7">
        <f>IFERROR(XLOOKUP(A98,'Source Inventory'!$A$5:$A$200,'Source Inventory'!$H$5:$H$200),"")</f>
        <v/>
      </c>
      <c r="N98" s="7" t="n">
        <v>431.2</v>
      </c>
      <c r="O98" s="7">
        <f>IFERROR(XLOOKUP(A98,'Source Ledger'!$B$5:$B$200,'Source Ledger'!$A$5:$A$200),"")</f>
        <v/>
      </c>
      <c r="P98" s="7">
        <f>IFERROR(XLOOKUP(A98,'Source Ledger'!$B$5:$B$200,'Source Ledger'!$D$5:$D$200),"")</f>
        <v/>
      </c>
      <c r="Q98" s="7" t="inlineStr">
        <is>
          <t>Low</t>
        </is>
      </c>
      <c r="R98" s="7" t="inlineStr">
        <is>
          <t>EX-0114, EX-0115</t>
        </is>
      </c>
      <c r="S98" s="7">
        <f>IF(OR(R98="",R98=0),"No","Yes")</f>
        <v/>
      </c>
      <c r="T98">
        <f>IFERROR(XLOOKUP(A98,'Source Ledger'!$B$5:$B$200,'Source Ledger'!$E$5:$E$200),"")</f>
        <v/>
      </c>
      <c r="U98">
        <f>IFERROR(XLOOKUP(A98,'Source Ledger'!$B$5:$B$200,'Source Ledger'!$H$5:$H$200),"")</f>
        <v/>
      </c>
      <c r="V98">
        <f>IFERROR(XLOOKUP(A98,'Source Ledger'!$B$5:$B$200,'Source Ledger'!$G$5:$G$200),"")</f>
        <v/>
      </c>
      <c r="W98">
        <f>IF(OR(M98="",T98=""),"",T98-M98)</f>
        <v/>
      </c>
      <c r="X98">
        <f>IF(V98="","No","Yes")</f>
        <v/>
      </c>
    </row>
    <row r="99">
      <c r="A99" s="7" t="inlineStr">
        <is>
          <t>MD-00095</t>
        </is>
      </c>
      <c r="B99" s="7">
        <f>IFERROR(XLOOKUP(A99,'Source Inventory'!$A$5:$A$200,'Source Inventory'!$B$5:$B$200),"")</f>
        <v/>
      </c>
      <c r="C99" s="7">
        <f>IFERROR(XLOOKUP(A99,'Source Inventory'!$A$5:$A$200,'Source Inventory'!$C$5:$C$200),"")</f>
        <v/>
      </c>
      <c r="D99" s="7">
        <f>IFERROR(XLOOKUP(A99,'Source Inventory'!$A$5:$A$200,'Source Inventory'!$D$5:$D$200),"")</f>
        <v/>
      </c>
      <c r="E99" s="7">
        <f>IFERROR(XLOOKUP(A99,'Source Inventory'!$A$5:$A$200,'Source Inventory'!$E$5:$E$200),"")</f>
        <v/>
      </c>
      <c r="F99" s="7">
        <f>IFERROR(XLOOKUP(A99,'Source Inventory'!$A$5:$A$200,'Source Inventory'!$F$5:$F$200),"")</f>
        <v/>
      </c>
      <c r="G99" s="7">
        <f>IFERROR(XLOOKUP(A99,'Source Inventory'!$A$5:$A$200,'Source Inventory'!$G$5:$G$200),"")</f>
        <v/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OFF-00095 remains on file for MD-00095 (Fortinet FortiSwitch 148F, $1,130); verified state Missing at Unknown. last register site =IFERROR(XLOOKUP(A99,'Source Inventory'!$A$5:$A$200,'Source Inventory'!$F$5:$F$200),""). ledger FA-000095 NBV $894.87. transfer TR-00095 dated Jul 08, 2026, received 2026-07-08, APR-00095. buy path PO-2023-0018. HR row shows Hugh Talbot (E0083) as Separated.</t>
        </is>
      </c>
      <c r="L99" s="7" t="inlineStr">
        <is>
          <t>2026-06-24</t>
        </is>
      </c>
      <c r="M99" s="7">
        <f>IFERROR(XLOOKUP(A99,'Source Inventory'!$A$5:$A$200,'Source Inventory'!$H$5:$H$200),"")</f>
        <v/>
      </c>
      <c r="N99" s="7" t="n">
        <v>894.87</v>
      </c>
      <c r="O99" s="7">
        <f>IFERROR(XLOOKUP(A99,'Source Ledger'!$B$5:$B$200,'Source Ledger'!$A$5:$A$200),"")</f>
        <v/>
      </c>
      <c r="P99" s="7">
        <f>IFERROR(XLOOKUP(A99,'Source Ledger'!$B$5:$B$200,'Source Ledger'!$D$5:$D$200),"")</f>
        <v/>
      </c>
      <c r="Q99" s="7" t="inlineStr">
        <is>
          <t>Low</t>
        </is>
      </c>
      <c r="R99" s="7" t="inlineStr">
        <is>
          <t>EX-0116, EX-0117</t>
        </is>
      </c>
      <c r="S99" s="7">
        <f>IF(OR(R99="",R99=0),"No","Yes")</f>
        <v/>
      </c>
      <c r="T99">
        <f>IFERROR(XLOOKUP(A99,'Source Ledger'!$B$5:$B$200,'Source Ledger'!$E$5:$E$200),"")</f>
        <v/>
      </c>
      <c r="U99">
        <f>IFERROR(XLOOKUP(A99,'Source Ledger'!$B$5:$B$200,'Source Ledger'!$H$5:$H$200),"")</f>
        <v/>
      </c>
      <c r="V99">
        <f>IFERROR(XLOOKUP(A99,'Source Ledger'!$B$5:$B$200,'Source Ledger'!$G$5:$G$200),"")</f>
        <v/>
      </c>
      <c r="W99">
        <f>IF(OR(M99="",T99=""),"",T99-M99)</f>
        <v/>
      </c>
      <c r="X99">
        <f>IF(V99="","No","Yes")</f>
        <v/>
      </c>
    </row>
    <row r="100">
      <c r="A100" s="7" t="inlineStr">
        <is>
          <t>MD-00096</t>
        </is>
      </c>
      <c r="B100" s="7">
        <f>IFERROR(XLOOKUP(A100,'Source Inventory'!$A$5:$A$200,'Source Inventory'!$B$5:$B$200),"")</f>
        <v/>
      </c>
      <c r="C100" s="7">
        <f>IFERROR(XLOOKUP(A100,'Source Inventory'!$A$5:$A$200,'Source Inventory'!$C$5:$C$200),"")</f>
        <v/>
      </c>
      <c r="D100" s="7">
        <f>IFERROR(XLOOKUP(A100,'Source Inventory'!$A$5:$A$200,'Source Inventory'!$D$5:$D$200),"")</f>
        <v/>
      </c>
      <c r="E100" s="7">
        <f>IFERROR(XLOOKUP(A100,'Source Inventory'!$A$5:$A$200,'Source Inventory'!$E$5:$E$200),"")</f>
        <v/>
      </c>
      <c r="F100" s="7">
        <f>IFERROR(XLOOKUP(A100,'Source Inventory'!$A$5:$A$200,'Source Inventory'!$F$5:$F$200),"")</f>
        <v/>
      </c>
      <c r="G100" s="7">
        <f>IFERROR(XLOOKUP(A100,'Source Inventory'!$A$5:$A$200,'Source Inventory'!$G$5:$G$200),"")</f>
        <v/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PO-2023-0018 and FA-000096 both cite MD-00096 (Cisco C9300); register basis $6,425. HR row shows Mira Adelman (E0084) as Separated. ticket OFF-00096 cited. transfer TR-00096 dated Jan 18, 2026, received 2026-01-19, APR-00096. last register site =IFERROR(XLOOKUP(A100,'Source Inventory'!$A$5:$A$200,'Source Inventory'!$F$5:$F$200),"").</t>
        </is>
      </c>
      <c r="L100" s="7" t="inlineStr">
        <is>
          <t>2026-06-13</t>
        </is>
      </c>
      <c r="M100" s="7">
        <f>IFERROR(XLOOKUP(A100,'Source Inventory'!$A$5:$A$200,'Source Inventory'!$H$5:$H$200),"")</f>
        <v/>
      </c>
      <c r="N100" s="7" t="n">
        <v>511.01</v>
      </c>
      <c r="O100" s="7">
        <f>IFERROR(XLOOKUP(A100,'Source Ledger'!$B$5:$B$200,'Source Ledger'!$A$5:$A$200),"")</f>
        <v/>
      </c>
      <c r="P100" s="7">
        <f>IFERROR(XLOOKUP(A100,'Source Ledger'!$B$5:$B$200,'Source Ledger'!$D$5:$D$200),"")</f>
        <v/>
      </c>
      <c r="Q100" s="7" t="inlineStr">
        <is>
          <t>Low</t>
        </is>
      </c>
      <c r="R100" s="7" t="inlineStr">
        <is>
          <t>EX-0118, EX-0119</t>
        </is>
      </c>
      <c r="S100" s="7">
        <f>IF(OR(R100="",R100=0),"No","Yes")</f>
        <v/>
      </c>
      <c r="T100">
        <f>IFERROR(XLOOKUP(A100,'Source Ledger'!$B$5:$B$200,'Source Ledger'!$E$5:$E$200),"")</f>
        <v/>
      </c>
      <c r="U100">
        <f>IFERROR(XLOOKUP(A100,'Source Ledger'!$B$5:$B$200,'Source Ledger'!$H$5:$H$200),"")</f>
        <v/>
      </c>
      <c r="V100">
        <f>IFERROR(XLOOKUP(A100,'Source Ledger'!$B$5:$B$200,'Source Ledger'!$G$5:$G$200),"")</f>
        <v/>
      </c>
      <c r="W100">
        <f>IF(OR(M100="",T100=""),"",T100-M100)</f>
        <v/>
      </c>
      <c r="X100">
        <f>IF(V100="","No","Yes")</f>
        <v/>
      </c>
    </row>
    <row r="101">
      <c r="A101" s="7" t="inlineStr">
        <is>
          <t>MD-00097</t>
        </is>
      </c>
      <c r="B101" s="7">
        <f>IFERROR(XLOOKUP(A101,'Source Inventory'!$A$5:$A$200,'Source Inventory'!$B$5:$B$200),"")</f>
        <v/>
      </c>
      <c r="C101" s="7">
        <f>IFERROR(XLOOKUP(A101,'Source Inventory'!$A$5:$A$200,'Source Inventory'!$C$5:$C$200),"")</f>
        <v/>
      </c>
      <c r="D101" s="7">
        <f>IFERROR(XLOOKUP(A101,'Source Inventory'!$A$5:$A$200,'Source Inventory'!$D$5:$D$200),"")</f>
        <v/>
      </c>
      <c r="E101" s="7">
        <f>IFERROR(XLOOKUP(A101,'Source Inventory'!$A$5:$A$200,'Source Inventory'!$E$5:$E$200),"")</f>
        <v/>
      </c>
      <c r="F101" s="7">
        <f>IFERROR(XLOOKUP(A101,'Source Inventory'!$A$5:$A$200,'Source Inventory'!$F$5:$F$200),"")</f>
        <v/>
      </c>
      <c r="G101" s="7">
        <f>IFERROR(XLOOKUP(A101,'Source Inventory'!$A$5:$A$200,'Source Inventory'!$G$5:$G$200),"")</f>
        <v/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PO-2023-0018 and FA-000097 both cite MD-00097 (Aruba 6300M); register basis $2,120. transfer TR-00097 dated Jan 21, 2026, received 2026-01-27, APR-00097. last register site =IFERROR(XLOOKUP(A101,'Source Inventory'!$A$5:$A$200,'Source Inventory'!$F$5:$F$200),""). HR row shows Quincy Rhodes (E0085) as Separated. ticket OFF-00097 cited.</t>
        </is>
      </c>
      <c r="L101" s="7" t="inlineStr">
        <is>
          <t>2026-05-14</t>
        </is>
      </c>
      <c r="M101" s="7">
        <f>IFERROR(XLOOKUP(A101,'Source Inventory'!$A$5:$A$200,'Source Inventory'!$H$5:$H$200),"")</f>
        <v/>
      </c>
      <c r="N101" s="7" t="n">
        <v>0</v>
      </c>
      <c r="O101" s="7">
        <f>IFERROR(XLOOKUP(A101,'Source Ledger'!$B$5:$B$200,'Source Ledger'!$A$5:$A$200),"")</f>
        <v/>
      </c>
      <c r="P101" s="7">
        <f>IFERROR(XLOOKUP(A101,'Source Ledger'!$B$5:$B$200,'Source Ledger'!$D$5:$D$200),"")</f>
        <v/>
      </c>
      <c r="Q101" s="7" t="inlineStr">
        <is>
          <t>Low</t>
        </is>
      </c>
      <c r="R101" s="7" t="inlineStr">
        <is>
          <t>EX-0120, EX-0121</t>
        </is>
      </c>
      <c r="S101" s="7">
        <f>IF(OR(R101="",R101=0),"No","Yes")</f>
        <v/>
      </c>
      <c r="T101">
        <f>IFERROR(XLOOKUP(A101,'Source Ledger'!$B$5:$B$200,'Source Ledger'!$E$5:$E$200),"")</f>
        <v/>
      </c>
      <c r="U101">
        <f>IFERROR(XLOOKUP(A101,'Source Ledger'!$B$5:$B$200,'Source Ledger'!$H$5:$H$200),"")</f>
        <v/>
      </c>
      <c r="V101">
        <f>IFERROR(XLOOKUP(A101,'Source Ledger'!$B$5:$B$200,'Source Ledger'!$G$5:$G$200),"")</f>
        <v/>
      </c>
      <c r="W101">
        <f>IF(OR(M101="",T101=""),"",T101-M101)</f>
        <v/>
      </c>
      <c r="X101">
        <f>IF(V101="","No","Yes")</f>
        <v/>
      </c>
    </row>
    <row r="102">
      <c r="A102" s="7" t="inlineStr">
        <is>
          <t>MD-00098</t>
        </is>
      </c>
      <c r="B102" s="7">
        <f>IFERROR(XLOOKUP(A102,'Source Inventory'!$A$5:$A$200,'Source Inventory'!$B$5:$B$200),"")</f>
        <v/>
      </c>
      <c r="C102" s="7">
        <f>IFERROR(XLOOKUP(A102,'Source Inventory'!$A$5:$A$200,'Source Inventory'!$C$5:$C$200),"")</f>
        <v/>
      </c>
      <c r="D102" s="7">
        <f>IFERROR(XLOOKUP(A102,'Source Inventory'!$A$5:$A$200,'Source Inventory'!$D$5:$D$200),"")</f>
        <v/>
      </c>
      <c r="E102" s="7">
        <f>IFERROR(XLOOKUP(A102,'Source Inventory'!$A$5:$A$200,'Source Inventory'!$E$5:$E$200),"")</f>
        <v/>
      </c>
      <c r="F102" s="7">
        <f>IFERROR(XLOOKUP(A102,'Source Inventory'!$A$5:$A$200,'Source Inventory'!$F$5:$F$200),"")</f>
        <v/>
      </c>
      <c r="G102" s="7">
        <f>IFERROR(XLOOKUP(A102,'Source Inventory'!$A$5:$A$200,'Source Inventory'!$G$5:$G$200),"")</f>
        <v/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PO-2024-0019 and FA-000098 both cite MD-00098 (Juniper EX3400); register basis $520. HR row shows Sloane Richter (E0086) as Separated. last register site =IFERROR(XLOOKUP(A102,'Source Inventory'!$A$5:$A$200,'Source Inventory'!$F$5:$F$200),""). ticket OFF-00098 cited. transfer TR-00098 dated Feb 23, 2026, received 2026-02-24, APR-00098.</t>
        </is>
      </c>
      <c r="L102" s="7" t="inlineStr">
        <is>
          <t>2026-06-15</t>
        </is>
      </c>
      <c r="M102" s="7">
        <f>IFERROR(XLOOKUP(A102,'Source Inventory'!$A$5:$A$200,'Source Inventory'!$H$5:$H$200),"")</f>
        <v/>
      </c>
      <c r="N102" s="7" t="n">
        <v>266.87</v>
      </c>
      <c r="O102" s="7">
        <f>IFERROR(XLOOKUP(A102,'Source Ledger'!$B$5:$B$200,'Source Ledger'!$A$5:$A$200),"")</f>
        <v/>
      </c>
      <c r="P102" s="7">
        <f>IFERROR(XLOOKUP(A102,'Source Ledger'!$B$5:$B$200,'Source Ledger'!$D$5:$D$200),"")</f>
        <v/>
      </c>
      <c r="Q102" s="7" t="inlineStr">
        <is>
          <t>Low</t>
        </is>
      </c>
      <c r="R102" s="7" t="inlineStr">
        <is>
          <t>EX-0122, EX-0123</t>
        </is>
      </c>
      <c r="S102" s="7">
        <f>IF(OR(R102="",R102=0),"No","Yes")</f>
        <v/>
      </c>
      <c r="T102">
        <f>IFERROR(XLOOKUP(A102,'Source Ledger'!$B$5:$B$200,'Source Ledger'!$E$5:$E$200),"")</f>
        <v/>
      </c>
      <c r="U102">
        <f>IFERROR(XLOOKUP(A102,'Source Ledger'!$B$5:$B$200,'Source Ledger'!$H$5:$H$200),"")</f>
        <v/>
      </c>
      <c r="V102">
        <f>IFERROR(XLOOKUP(A102,'Source Ledger'!$B$5:$B$200,'Source Ledger'!$G$5:$G$200),"")</f>
        <v/>
      </c>
      <c r="W102">
        <f>IF(OR(M102="",T102=""),"",T102-M102)</f>
        <v/>
      </c>
      <c r="X102">
        <f>IF(V102="","No","Yes")</f>
        <v/>
      </c>
    </row>
    <row r="103">
      <c r="A103" s="7" t="inlineStr">
        <is>
          <t>MD-00099</t>
        </is>
      </c>
      <c r="B103" s="7">
        <f>IFERROR(XLOOKUP(A103,'Source Inventory'!$A$5:$A$200,'Source Inventory'!$B$5:$B$200),"")</f>
        <v/>
      </c>
      <c r="C103" s="7">
        <f>IFERROR(XLOOKUP(A103,'Source Inventory'!$A$5:$A$200,'Source Inventory'!$C$5:$C$200),"")</f>
        <v/>
      </c>
      <c r="D103" s="7">
        <f>IFERROR(XLOOKUP(A103,'Source Inventory'!$A$5:$A$200,'Source Inventory'!$D$5:$D$200),"")</f>
        <v/>
      </c>
      <c r="E103" s="7">
        <f>IFERROR(XLOOKUP(A103,'Source Inventory'!$A$5:$A$200,'Source Inventory'!$E$5:$E$200),"")</f>
        <v/>
      </c>
      <c r="F103" s="7">
        <f>IFERROR(XLOOKUP(A103,'Source Inventory'!$A$5:$A$200,'Source Inventory'!$F$5:$F$200),"")</f>
        <v/>
      </c>
      <c r="G103" s="7">
        <f>IFERROR(XLOOKUP(A103,'Source Inventory'!$A$5:$A$200,'Source Inventory'!$G$5:$G$200),"")</f>
        <v/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PO-2024-0019 and FA-000099 both cite MD-00099 (Cisco Meraki MS250); register basis $995. transfer TR-00099 dated Mar 31, 2026, received 2026-04-02, APR-00099. last register site =IFERROR(XLOOKUP(A103,'Source Inventory'!$A$5:$A$200,'Source Inventory'!$F$5:$F$200),""). HR row shows Nolan Vega (E0087) as Separated. ticket OFF-00099 cited.</t>
        </is>
      </c>
      <c r="L103" s="7" t="inlineStr">
        <is>
          <t>2026-05-16</t>
        </is>
      </c>
      <c r="M103" s="7">
        <f>IFERROR(XLOOKUP(A103,'Source Inventory'!$A$5:$A$200,'Source Inventory'!$H$5:$H$200),"")</f>
        <v/>
      </c>
      <c r="N103" s="7" t="n">
        <v>548.24</v>
      </c>
      <c r="O103" s="7">
        <f>IFERROR(XLOOKUP(A103,'Source Ledger'!$B$5:$B$200,'Source Ledger'!$A$5:$A$200),"")</f>
        <v/>
      </c>
      <c r="P103" s="7">
        <f>IFERROR(XLOOKUP(A103,'Source Ledger'!$B$5:$B$200,'Source Ledger'!$D$5:$D$200),"")</f>
        <v/>
      </c>
      <c r="Q103" s="7" t="inlineStr">
        <is>
          <t>Low</t>
        </is>
      </c>
      <c r="R103" s="7" t="inlineStr">
        <is>
          <t>EX-0124, EX-0125</t>
        </is>
      </c>
      <c r="S103" s="7">
        <f>IF(OR(R103="",R103=0),"No","Yes")</f>
        <v/>
      </c>
      <c r="T103">
        <f>IFERROR(XLOOKUP(A103,'Source Ledger'!$B$5:$B$200,'Source Ledger'!$E$5:$E$200),"")</f>
        <v/>
      </c>
      <c r="U103">
        <f>IFERROR(XLOOKUP(A103,'Source Ledger'!$B$5:$B$200,'Source Ledger'!$H$5:$H$200),"")</f>
        <v/>
      </c>
      <c r="V103">
        <f>IFERROR(XLOOKUP(A103,'Source Ledger'!$B$5:$B$200,'Source Ledger'!$G$5:$G$200),"")</f>
        <v/>
      </c>
      <c r="W103">
        <f>IF(OR(M103="",T103=""),"",T103-M103)</f>
        <v/>
      </c>
      <c r="X103">
        <f>IF(V103="","No","Yes")</f>
        <v/>
      </c>
    </row>
    <row r="104">
      <c r="A104" s="7" t="inlineStr">
        <is>
          <t>MD-00100</t>
        </is>
      </c>
      <c r="B104" s="7">
        <f>IFERROR(XLOOKUP(A104,'Source Inventory'!$A$5:$A$200,'Source Inventory'!$B$5:$B$200),"")</f>
        <v/>
      </c>
      <c r="C104" s="7">
        <f>IFERROR(XLOOKUP(A104,'Source Inventory'!$A$5:$A$200,'Source Inventory'!$C$5:$C$200),"")</f>
        <v/>
      </c>
      <c r="D104" s="7">
        <f>IFERROR(XLOOKUP(A104,'Source Inventory'!$A$5:$A$200,'Source Inventory'!$D$5:$D$200),"")</f>
        <v/>
      </c>
      <c r="E104" s="7">
        <f>IFERROR(XLOOKUP(A104,'Source Inventory'!$A$5:$A$200,'Source Inventory'!$E$5:$E$200),"")</f>
        <v/>
      </c>
      <c r="F104" s="7">
        <f>IFERROR(XLOOKUP(A104,'Source Inventory'!$A$5:$A$200,'Source Inventory'!$F$5:$F$200),"")</f>
        <v/>
      </c>
      <c r="G104" s="7">
        <f>IFERROR(XLOOKUP(A104,'Source Inventory'!$A$5:$A$200,'Source Inventory'!$G$5:$G$200),"")</f>
        <v/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PO-2024-0019 and FA-000100 both cite MD-00100 (HP EliteBook 840 G10); register basis $6,290. transfer TR-00100 dated May 01, 2026, received 2026-05-05, APR-00100. HR row shows Ivy Chenoweth (E0088) as Separated. last register site =IFERROR(XLOOKUP(A104,'Source Inventory'!$A$5:$A$200,'Source Inventory'!$F$5:$F$200),""). ticket OFF-00100 cited.</t>
        </is>
      </c>
      <c r="L104" s="7" t="inlineStr">
        <is>
          <t>2026-06-17</t>
        </is>
      </c>
      <c r="M104" s="7">
        <f>IFERROR(XLOOKUP(A104,'Source Inventory'!$A$5:$A$200,'Source Inventory'!$H$5:$H$200),"")</f>
        <v/>
      </c>
      <c r="N104" s="7" t="n">
        <v>927.36</v>
      </c>
      <c r="O104" s="7">
        <f>IFERROR(XLOOKUP(A104,'Source Ledger'!$B$5:$B$200,'Source Ledger'!$A$5:$A$200),"")</f>
        <v/>
      </c>
      <c r="P104" s="7">
        <f>IFERROR(XLOOKUP(A104,'Source Ledger'!$B$5:$B$200,'Source Ledger'!$D$5:$D$200),"")</f>
        <v/>
      </c>
      <c r="Q104" s="7" t="inlineStr">
        <is>
          <t>Low</t>
        </is>
      </c>
      <c r="R104" s="7" t="inlineStr">
        <is>
          <t>EX-0126, EX-0127</t>
        </is>
      </c>
      <c r="S104" s="7">
        <f>IF(OR(R104="",R104=0),"No","Yes")</f>
        <v/>
      </c>
      <c r="T104">
        <f>IFERROR(XLOOKUP(A104,'Source Ledger'!$B$5:$B$200,'Source Ledger'!$E$5:$E$200),"")</f>
        <v/>
      </c>
      <c r="U104">
        <f>IFERROR(XLOOKUP(A104,'Source Ledger'!$B$5:$B$200,'Source Ledger'!$H$5:$H$200),"")</f>
        <v/>
      </c>
      <c r="V104">
        <f>IFERROR(XLOOKUP(A104,'Source Ledger'!$B$5:$B$200,'Source Ledger'!$G$5:$G$200),"")</f>
        <v/>
      </c>
      <c r="W104">
        <f>IF(OR(M104="",T104=""),"",T104-M104)</f>
        <v/>
      </c>
      <c r="X104">
        <f>IF(V104="","No","Yes")</f>
        <v/>
      </c>
    </row>
    <row r="105">
      <c r="A105" s="7" t="inlineStr">
        <is>
          <t>MD-00101</t>
        </is>
      </c>
      <c r="B105" s="7">
        <f>IFERROR(XLOOKUP(A105,'Source Inventory'!$A$5:$A$200,'Source Inventory'!$B$5:$B$200),"")</f>
        <v/>
      </c>
      <c r="C105" s="7">
        <f>IFERROR(XLOOKUP(A105,'Source Inventory'!$A$5:$A$200,'Source Inventory'!$C$5:$C$200),"")</f>
        <v/>
      </c>
      <c r="D105" s="7">
        <f>IFERROR(XLOOKUP(A105,'Source Inventory'!$A$5:$A$200,'Source Inventory'!$D$5:$D$200),"")</f>
        <v/>
      </c>
      <c r="E105" s="7">
        <f>IFERROR(XLOOKUP(A105,'Source Inventory'!$A$5:$A$200,'Source Inventory'!$E$5:$E$200),"")</f>
        <v/>
      </c>
      <c r="F105" s="7">
        <f>IFERROR(XLOOKUP(A105,'Source Inventory'!$A$5:$A$200,'Source Inventory'!$F$5:$F$200),"")</f>
        <v/>
      </c>
      <c r="G105" s="7">
        <f>IFERROR(XLOOKUP(A105,'Source Inventory'!$A$5:$A$200,'Source Inventory'!$G$5:$G$200),"")</f>
        <v/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PO-2024-0019 and FA-000101 both cite MD-00101 (Microsoft Surface Laptop 5); register basis $1,985. transfer TR-00101 dated Jun 05, 2026, received 2026-06-07, APR-00101. ticket RET-00101 cited.</t>
        </is>
      </c>
      <c r="L105" s="7" t="inlineStr">
        <is>
          <t>2026-06-07</t>
        </is>
      </c>
      <c r="M105" s="7">
        <f>IFERROR(XLOOKUP(A105,'Source Inventory'!$A$5:$A$200,'Source Inventory'!$H$5:$H$200),"")</f>
        <v/>
      </c>
      <c r="N105" s="7" t="n">
        <v>0</v>
      </c>
      <c r="O105" s="7">
        <f>IFERROR(XLOOKUP(A105,'Source Ledger'!$B$5:$B$200,'Source Ledger'!$A$5:$A$200),"")</f>
        <v/>
      </c>
      <c r="P105" s="7">
        <f>IFERROR(XLOOKUP(A105,'Source Ledger'!$B$5:$B$200,'Source Ledger'!$D$5:$D$200),"")</f>
        <v/>
      </c>
      <c r="Q105" s="7" t="inlineStr">
        <is>
          <t>Medium</t>
        </is>
      </c>
      <c r="R105" s="7" t="inlineStr">
        <is>
          <t>EX-0128, EX-0129</t>
        </is>
      </c>
      <c r="S105" s="7">
        <f>IF(OR(R105="",R105=0),"No","Yes")</f>
        <v/>
      </c>
      <c r="T105">
        <f>IFERROR(XLOOKUP(A105,'Source Ledger'!$B$5:$B$200,'Source Ledger'!$E$5:$E$200),"")</f>
        <v/>
      </c>
      <c r="U105">
        <f>IFERROR(XLOOKUP(A105,'Source Ledger'!$B$5:$B$200,'Source Ledger'!$H$5:$H$200),"")</f>
        <v/>
      </c>
      <c r="V105">
        <f>IFERROR(XLOOKUP(A105,'Source Ledger'!$B$5:$B$200,'Source Ledger'!$G$5:$G$200),"")</f>
        <v/>
      </c>
      <c r="W105">
        <f>IF(OR(M105="",T105=""),"",T105-M105)</f>
        <v/>
      </c>
      <c r="X105">
        <f>IF(V105="","No","Yes")</f>
        <v/>
      </c>
    </row>
    <row r="106">
      <c r="A106" s="7" t="inlineStr">
        <is>
          <t>MD-00102</t>
        </is>
      </c>
      <c r="B106" s="7">
        <f>IFERROR(XLOOKUP(A106,'Source Inventory'!$A$5:$A$200,'Source Inventory'!$B$5:$B$200),"")</f>
        <v/>
      </c>
      <c r="C106" s="7">
        <f>IFERROR(XLOOKUP(A106,'Source Inventory'!$A$5:$A$200,'Source Inventory'!$C$5:$C$200),"")</f>
        <v/>
      </c>
      <c r="D106" s="7">
        <f>IFERROR(XLOOKUP(A106,'Source Inventory'!$A$5:$A$200,'Source Inventory'!$D$5:$D$200),"")</f>
        <v/>
      </c>
      <c r="E106" s="7">
        <f>IFERROR(XLOOKUP(A106,'Source Inventory'!$A$5:$A$200,'Source Inventory'!$E$5:$E$200),"")</f>
        <v/>
      </c>
      <c r="F106" s="7">
        <f>IFERROR(XLOOKUP(A106,'Source Inventory'!$A$5:$A$200,'Source Inventory'!$F$5:$F$200),"")</f>
        <v/>
      </c>
      <c r="G106" s="7">
        <f>IFERROR(XLOOKUP(A106,'Source Inventory'!$A$5:$A$200,'Source Inventory'!$G$5:$G$200),"")</f>
        <v/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PO-2024-0019 and FA-000102 both cite MD-00102 (Lenovo ThinkPad X1 Carbon); register basis $700. ticket RET-00102 cited. transfer TR-00102 dated Jan 10, 2026, received 2026-01-11, APR-00102.</t>
        </is>
      </c>
      <c r="L106" s="7" t="inlineStr">
        <is>
          <t>2026-05-31</t>
        </is>
      </c>
      <c r="M106" s="7">
        <f>IFERROR(XLOOKUP(A106,'Source Inventory'!$A$5:$A$200,'Source Inventory'!$H$5:$H$200),"")</f>
        <v/>
      </c>
      <c r="N106" s="7" t="n">
        <v>407.54</v>
      </c>
      <c r="O106" s="7">
        <f>IFERROR(XLOOKUP(A106,'Source Ledger'!$B$5:$B$200,'Source Ledger'!$A$5:$A$200),"")</f>
        <v/>
      </c>
      <c r="P106" s="7">
        <f>IFERROR(XLOOKUP(A106,'Source Ledger'!$B$5:$B$200,'Source Ledger'!$D$5:$D$200),"")</f>
        <v/>
      </c>
      <c r="Q106" s="7" t="inlineStr">
        <is>
          <t>Medium</t>
        </is>
      </c>
      <c r="R106" s="7" t="inlineStr">
        <is>
          <t>EX-0130, EX-0131, EX-0132</t>
        </is>
      </c>
      <c r="S106" s="7">
        <f>IF(OR(R106="",R106=0),"No","Yes")</f>
        <v/>
      </c>
      <c r="T106">
        <f>IFERROR(XLOOKUP(A106,'Source Ledger'!$B$5:$B$200,'Source Ledger'!$E$5:$E$200),"")</f>
        <v/>
      </c>
      <c r="U106">
        <f>IFERROR(XLOOKUP(A106,'Source Ledger'!$B$5:$B$200,'Source Ledger'!$H$5:$H$200),"")</f>
        <v/>
      </c>
      <c r="V106">
        <f>IFERROR(XLOOKUP(A106,'Source Ledger'!$B$5:$B$200,'Source Ledger'!$G$5:$G$200),"")</f>
        <v/>
      </c>
      <c r="W106">
        <f>IF(OR(M106="",T106=""),"",T106-M106)</f>
        <v/>
      </c>
      <c r="X106">
        <f>IF(V106="","No","Yes")</f>
        <v/>
      </c>
    </row>
    <row r="107">
      <c r="A107" s="7" t="inlineStr">
        <is>
          <t>MD-00103</t>
        </is>
      </c>
      <c r="B107" s="7">
        <f>IFERROR(XLOOKUP(A107,'Source Inventory'!$A$5:$A$200,'Source Inventory'!$B$5:$B$200),"")</f>
        <v/>
      </c>
      <c r="C107" s="7">
        <f>IFERROR(XLOOKUP(A107,'Source Inventory'!$A$5:$A$200,'Source Inventory'!$C$5:$C$200),"")</f>
        <v/>
      </c>
      <c r="D107" s="7">
        <f>IFERROR(XLOOKUP(A107,'Source Inventory'!$A$5:$A$200,'Source Inventory'!$D$5:$D$200),"")</f>
        <v/>
      </c>
      <c r="E107" s="7">
        <f>IFERROR(XLOOKUP(A107,'Source Inventory'!$A$5:$A$200,'Source Inventory'!$E$5:$E$200),"")</f>
        <v/>
      </c>
      <c r="F107" s="7">
        <f>IFERROR(XLOOKUP(A107,'Source Inventory'!$A$5:$A$200,'Source Inventory'!$F$5:$F$200),"")</f>
        <v/>
      </c>
      <c r="G107" s="7">
        <f>IFERROR(XLOOKUP(A107,'Source Inventory'!$A$5:$A$200,'Source Inventory'!$G$5:$G$200),"")</f>
        <v/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PO-2024-0019 and FA-000103 both cite MD-00103 (Lenovo ThinkPad T14); register basis $1,175. ticket RET-00103 cited. transfer TR-00103 dated Feb 11, 2026, received 2026-02-14, APR-00103.</t>
        </is>
      </c>
      <c r="L107" s="7" t="inlineStr">
        <is>
          <t>2026-05-31</t>
        </is>
      </c>
      <c r="M107" s="7">
        <f>IFERROR(XLOOKUP(A107,'Source Inventory'!$A$5:$A$200,'Source Inventory'!$H$5:$H$200),"")</f>
        <v/>
      </c>
      <c r="N107" s="7" t="n">
        <v>782.53</v>
      </c>
      <c r="O107" s="7">
        <f>IFERROR(XLOOKUP(A107,'Source Ledger'!$B$5:$B$200,'Source Ledger'!$A$5:$A$200),"")</f>
        <v/>
      </c>
      <c r="P107" s="7">
        <f>IFERROR(XLOOKUP(A107,'Source Ledger'!$B$5:$B$200,'Source Ledger'!$D$5:$D$200),"")</f>
        <v/>
      </c>
      <c r="Q107" s="7" t="inlineStr">
        <is>
          <t>Medium</t>
        </is>
      </c>
      <c r="R107" s="7" t="inlineStr">
        <is>
          <t>EX-0133, EX-0134</t>
        </is>
      </c>
      <c r="S107" s="7">
        <f>IF(OR(R107="",R107=0),"No","Yes")</f>
        <v/>
      </c>
      <c r="T107">
        <f>IFERROR(XLOOKUP(A107,'Source Ledger'!$B$5:$B$200,'Source Ledger'!$E$5:$E$200),"")</f>
        <v/>
      </c>
      <c r="U107">
        <f>IFERROR(XLOOKUP(A107,'Source Ledger'!$B$5:$B$200,'Source Ledger'!$H$5:$H$200),"")</f>
        <v/>
      </c>
      <c r="V107">
        <f>IFERROR(XLOOKUP(A107,'Source Ledger'!$B$5:$B$200,'Source Ledger'!$G$5:$G$200),"")</f>
        <v/>
      </c>
      <c r="W107">
        <f>IF(OR(M107="",T107=""),"",T107-M107)</f>
        <v/>
      </c>
      <c r="X107">
        <f>IF(V107="","No","Yes")</f>
        <v/>
      </c>
    </row>
    <row r="108">
      <c r="A108" s="7" t="inlineStr">
        <is>
          <t>MD-00104</t>
        </is>
      </c>
      <c r="B108" s="7">
        <f>IFERROR(XLOOKUP(A108,'Source Inventory'!$A$5:$A$200,'Source Inventory'!$B$5:$B$200),"")</f>
        <v/>
      </c>
      <c r="C108" s="7">
        <f>IFERROR(XLOOKUP(A108,'Source Inventory'!$A$5:$A$200,'Source Inventory'!$C$5:$C$200),"")</f>
        <v/>
      </c>
      <c r="D108" s="7">
        <f>IFERROR(XLOOKUP(A108,'Source Inventory'!$A$5:$A$200,'Source Inventory'!$D$5:$D$200),"")</f>
        <v/>
      </c>
      <c r="E108" s="7">
        <f>IFERROR(XLOOKUP(A108,'Source Inventory'!$A$5:$A$200,'Source Inventory'!$E$5:$E$200),"")</f>
        <v/>
      </c>
      <c r="F108" s="7">
        <f>IFERROR(XLOOKUP(A108,'Source Inventory'!$A$5:$A$200,'Source Inventory'!$F$5:$F$200),"")</f>
        <v/>
      </c>
      <c r="G108" s="7">
        <f>IFERROR(XLOOKUP(A108,'Source Inventory'!$A$5:$A$200,'Source Inventory'!$G$5:$G$200),"")</f>
        <v/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PO-2025-0020 and FA-000104 both cite MD-00104 (MacBook Pro 14); register basis $6,470. ticket RET-00104 cited. transfer TR-00104 dated Mar 16, 2026, received 2026-03-18, APR-00104.</t>
        </is>
      </c>
      <c r="L108" s="7" t="inlineStr">
        <is>
          <t>2026-05-31</t>
        </is>
      </c>
      <c r="M108" s="7">
        <f>IFERROR(XLOOKUP(A108,'Source Inventory'!$A$5:$A$200,'Source Inventory'!$H$5:$H$200),"")</f>
        <v/>
      </c>
      <c r="N108" s="7" t="n">
        <v>1403.83</v>
      </c>
      <c r="O108" s="7">
        <f>IFERROR(XLOOKUP(A108,'Source Ledger'!$B$5:$B$200,'Source Ledger'!$A$5:$A$200),"")</f>
        <v/>
      </c>
      <c r="P108" s="7">
        <f>IFERROR(XLOOKUP(A108,'Source Ledger'!$B$5:$B$200,'Source Ledger'!$D$5:$D$200),"")</f>
        <v/>
      </c>
      <c r="Q108" s="7" t="inlineStr">
        <is>
          <t>Medium</t>
        </is>
      </c>
      <c r="R108" s="7" t="inlineStr">
        <is>
          <t>EX-0135, EX-0136</t>
        </is>
      </c>
      <c r="S108" s="7">
        <f>IF(OR(R108="",R108=0),"No","Yes")</f>
        <v/>
      </c>
      <c r="T108">
        <f>IFERROR(XLOOKUP(A108,'Source Ledger'!$B$5:$B$200,'Source Ledger'!$E$5:$E$200),"")</f>
        <v/>
      </c>
      <c r="U108">
        <f>IFERROR(XLOOKUP(A108,'Source Ledger'!$B$5:$B$200,'Source Ledger'!$H$5:$H$200),"")</f>
        <v/>
      </c>
      <c r="V108">
        <f>IFERROR(XLOOKUP(A108,'Source Ledger'!$B$5:$B$200,'Source Ledger'!$G$5:$G$200),"")</f>
        <v/>
      </c>
      <c r="W108">
        <f>IF(OR(M108="",T108=""),"",T108-M108)</f>
        <v/>
      </c>
      <c r="X108">
        <f>IF(V108="","No","Yes")</f>
        <v/>
      </c>
    </row>
    <row r="109">
      <c r="A109" s="7" t="inlineStr">
        <is>
          <t>MD-00105</t>
        </is>
      </c>
      <c r="B109" s="7">
        <f>IFERROR(XLOOKUP(A109,'Source Inventory'!$A$5:$A$200,'Source Inventory'!$B$5:$B$200),"")</f>
        <v/>
      </c>
      <c r="C109" s="7">
        <f>IFERROR(XLOOKUP(A109,'Source Inventory'!$A$5:$A$200,'Source Inventory'!$C$5:$C$200),"")</f>
        <v/>
      </c>
      <c r="D109" s="7">
        <f>IFERROR(XLOOKUP(A109,'Source Inventory'!$A$5:$A$200,'Source Inventory'!$D$5:$D$200),"")</f>
        <v/>
      </c>
      <c r="E109" s="7">
        <f>IFERROR(XLOOKUP(A109,'Source Inventory'!$A$5:$A$200,'Source Inventory'!$E$5:$E$200),"")</f>
        <v/>
      </c>
      <c r="F109" s="7">
        <f>IFERROR(XLOOKUP(A109,'Source Inventory'!$A$5:$A$200,'Source Inventory'!$F$5:$F$200),"")</f>
        <v/>
      </c>
      <c r="G109" s="7">
        <f>IFERROR(XLOOKUP(A109,'Source Inventory'!$A$5:$A$200,'Source Inventory'!$G$5:$G$200),"")</f>
        <v/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PO-2025-0020 and FA-000105 both cite MD-00105 (Dell Latitude 7440); register basis $1,850. transfer TR-00105 dated Apr 20, 2026, received 2026-04-21, APR-00105. ticket RET-00105 cited.</t>
        </is>
      </c>
      <c r="L109" s="7" t="inlineStr">
        <is>
          <t>2026-05-31</t>
        </is>
      </c>
      <c r="M109" s="7">
        <f>IFERROR(XLOOKUP(A109,'Source Inventory'!$A$5:$A$200,'Source Inventory'!$H$5:$H$200),"")</f>
        <v/>
      </c>
      <c r="N109" s="7" t="n">
        <v>104.26</v>
      </c>
      <c r="O109" s="7">
        <f>IFERROR(XLOOKUP(A109,'Source Ledger'!$B$5:$B$200,'Source Ledger'!$A$5:$A$200),"")</f>
        <v/>
      </c>
      <c r="P109" s="7">
        <f>IFERROR(XLOOKUP(A109,'Source Ledger'!$B$5:$B$200,'Source Ledger'!$D$5:$D$200),"")</f>
        <v/>
      </c>
      <c r="Q109" s="7" t="inlineStr">
        <is>
          <t>Medium</t>
        </is>
      </c>
      <c r="R109" s="7" t="inlineStr">
        <is>
          <t>EX-0137, EX-0138</t>
        </is>
      </c>
      <c r="S109" s="7">
        <f>IF(OR(R109="",R109=0),"No","Yes")</f>
        <v/>
      </c>
      <c r="T109">
        <f>IFERROR(XLOOKUP(A109,'Source Ledger'!$B$5:$B$200,'Source Ledger'!$E$5:$E$200),"")</f>
        <v/>
      </c>
      <c r="U109">
        <f>IFERROR(XLOOKUP(A109,'Source Ledger'!$B$5:$B$200,'Source Ledger'!$H$5:$H$200),"")</f>
        <v/>
      </c>
      <c r="V109">
        <f>IFERROR(XLOOKUP(A109,'Source Ledger'!$B$5:$B$200,'Source Ledger'!$G$5:$G$200),"")</f>
        <v/>
      </c>
      <c r="W109">
        <f>IF(OR(M109="",T109=""),"",T109-M109)</f>
        <v/>
      </c>
      <c r="X109">
        <f>IF(V109="","No","Yes")</f>
        <v/>
      </c>
    </row>
    <row r="110">
      <c r="A110" s="7" t="inlineStr">
        <is>
          <t>MD-00106</t>
        </is>
      </c>
      <c r="B110" s="7">
        <f>IFERROR(XLOOKUP(A110,'Source Inventory'!$A$5:$A$200,'Source Inventory'!$B$5:$B$200),"")</f>
        <v/>
      </c>
      <c r="C110" s="7">
        <f>IFERROR(XLOOKUP(A110,'Source Inventory'!$A$5:$A$200,'Source Inventory'!$C$5:$C$200),"")</f>
        <v/>
      </c>
      <c r="D110" s="7">
        <f>IFERROR(XLOOKUP(A110,'Source Inventory'!$A$5:$A$200,'Source Inventory'!$D$5:$D$200),"")</f>
        <v/>
      </c>
      <c r="E110" s="7">
        <f>IFERROR(XLOOKUP(A110,'Source Inventory'!$A$5:$A$200,'Source Inventory'!$E$5:$E$200),"")</f>
        <v/>
      </c>
      <c r="F110" s="7">
        <f>IFERROR(XLOOKUP(A110,'Source Inventory'!$A$5:$A$200,'Source Inventory'!$F$5:$F$200),"")</f>
        <v/>
      </c>
      <c r="G110" s="7">
        <f>IFERROR(XLOOKUP(A110,'Source Inventory'!$A$5:$A$200,'Source Inventory'!$G$5:$G$200),"")</f>
        <v/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FA-000106 carries NBV $368.24 for MD-00106; operating status Retired/Pending Disposal at New York. ticket RET-00106 cited. purchasing extract lists PO-2025-0020. transfer TR-00106 dated May 22, 2026, received 2026-05-25, APR-00106.</t>
        </is>
      </c>
      <c r="L110" s="7" t="inlineStr">
        <is>
          <t>2026-05-31</t>
        </is>
      </c>
      <c r="M110" s="7">
        <f>IFERROR(XLOOKUP(A110,'Source Inventory'!$A$5:$A$200,'Source Inventory'!$H$5:$H$200),"")</f>
        <v/>
      </c>
      <c r="N110" s="7" t="n">
        <v>368.24</v>
      </c>
      <c r="O110" s="7">
        <f>IFERROR(XLOOKUP(A110,'Source Ledger'!$B$5:$B$200,'Source Ledger'!$A$5:$A$200),"")</f>
        <v/>
      </c>
      <c r="P110" s="7">
        <f>IFERROR(XLOOKUP(A110,'Source Ledger'!$B$5:$B$200,'Source Ledger'!$D$5:$D$200),"")</f>
        <v/>
      </c>
      <c r="Q110" s="7" t="inlineStr">
        <is>
          <t>Medium</t>
        </is>
      </c>
      <c r="R110" s="7" t="inlineStr">
        <is>
          <t>EX-0139, EX-0140</t>
        </is>
      </c>
      <c r="S110" s="7">
        <f>IF(OR(R110="",R110=0),"No","Yes")</f>
        <v/>
      </c>
      <c r="T110">
        <f>IFERROR(XLOOKUP(A110,'Source Ledger'!$B$5:$B$200,'Source Ledger'!$E$5:$E$200),"")</f>
        <v/>
      </c>
      <c r="U110">
        <f>IFERROR(XLOOKUP(A110,'Source Ledger'!$B$5:$B$200,'Source Ledger'!$H$5:$H$200),"")</f>
        <v/>
      </c>
      <c r="V110">
        <f>IFERROR(XLOOKUP(A110,'Source Ledger'!$B$5:$B$200,'Source Ledger'!$G$5:$G$200),"")</f>
        <v/>
      </c>
      <c r="W110">
        <f>IF(OR(M110="",T110=""),"",T110-M110)</f>
        <v/>
      </c>
      <c r="X110">
        <f>IF(V110="","No","Yes")</f>
        <v/>
      </c>
    </row>
    <row r="111">
      <c r="A111" s="7" t="inlineStr">
        <is>
          <t>MD-00107</t>
        </is>
      </c>
      <c r="B111" s="7">
        <f>IFERROR(XLOOKUP(A111,'Source Inventory'!$A$5:$A$200,'Source Inventory'!$B$5:$B$200),"")</f>
        <v/>
      </c>
      <c r="C111" s="7">
        <f>IFERROR(XLOOKUP(A111,'Source Inventory'!$A$5:$A$200,'Source Inventory'!$C$5:$C$200),"")</f>
        <v/>
      </c>
      <c r="D111" s="7">
        <f>IFERROR(XLOOKUP(A111,'Source Inventory'!$A$5:$A$200,'Source Inventory'!$D$5:$D$200),"")</f>
        <v/>
      </c>
      <c r="E111" s="7">
        <f>IFERROR(XLOOKUP(A111,'Source Inventory'!$A$5:$A$200,'Source Inventory'!$E$5:$E$200),"")</f>
        <v/>
      </c>
      <c r="F111" s="7">
        <f>IFERROR(XLOOKUP(A111,'Source Inventory'!$A$5:$A$200,'Source Inventory'!$F$5:$F$200),"")</f>
        <v/>
      </c>
      <c r="G111" s="7">
        <f>IFERROR(XLOOKUP(A111,'Source Inventory'!$A$5:$A$200,'Source Inventory'!$G$5:$G$200),"")</f>
        <v/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FA-000107 carries NBV $812.21 for MD-00107; operating status Retired/Pending Disposal at Seattle. purchasing extract lists PO-2022-0021. transfer TR-00107 dated Jun 26, 2026, received 2026-06-27, APR-00107. ticket RET-00107 cited.</t>
        </is>
      </c>
      <c r="L111" s="7" t="inlineStr">
        <is>
          <t>2026-06-13</t>
        </is>
      </c>
      <c r="M111" s="7">
        <f>IFERROR(XLOOKUP(A111,'Source Inventory'!$A$5:$A$200,'Source Inventory'!$H$5:$H$200),"")</f>
        <v/>
      </c>
      <c r="N111" s="7" t="n">
        <v>812.21</v>
      </c>
      <c r="O111" s="7">
        <f>IFERROR(XLOOKUP(A111,'Source Ledger'!$B$5:$B$200,'Source Ledger'!$A$5:$A$200),"")</f>
        <v/>
      </c>
      <c r="P111" s="7">
        <f>IFERROR(XLOOKUP(A111,'Source Ledger'!$B$5:$B$200,'Source Ledger'!$D$5:$D$200),"")</f>
        <v/>
      </c>
      <c r="Q111" s="7" t="inlineStr">
        <is>
          <t>Medium</t>
        </is>
      </c>
      <c r="R111" s="7" t="inlineStr">
        <is>
          <t>EX-0141, EX-0142</t>
        </is>
      </c>
      <c r="S111" s="7">
        <f>IF(OR(R111="",R111=0),"No","Yes")</f>
        <v/>
      </c>
      <c r="T111">
        <f>IFERROR(XLOOKUP(A111,'Source Ledger'!$B$5:$B$200,'Source Ledger'!$E$5:$E$200),"")</f>
        <v/>
      </c>
      <c r="U111">
        <f>IFERROR(XLOOKUP(A111,'Source Ledger'!$B$5:$B$200,'Source Ledger'!$H$5:$H$200),"")</f>
        <v/>
      </c>
      <c r="V111">
        <f>IFERROR(XLOOKUP(A111,'Source Ledger'!$B$5:$B$200,'Source Ledger'!$G$5:$G$200),"")</f>
        <v/>
      </c>
      <c r="W111">
        <f>IF(OR(M111="",T111=""),"",T111-M111)</f>
        <v/>
      </c>
      <c r="X111">
        <f>IF(V111="","No","Yes")</f>
        <v/>
      </c>
    </row>
    <row r="112">
      <c r="A112" s="7" t="inlineStr">
        <is>
          <t>MD-00108</t>
        </is>
      </c>
      <c r="B112" s="7">
        <f>IFERROR(XLOOKUP(A112,'Source Inventory'!$A$5:$A$200,'Source Inventory'!$B$5:$B$200),"")</f>
        <v/>
      </c>
      <c r="C112" s="7">
        <f>IFERROR(XLOOKUP(A112,'Source Inventory'!$A$5:$A$200,'Source Inventory'!$C$5:$C$200),"")</f>
        <v/>
      </c>
      <c r="D112" s="7">
        <f>IFERROR(XLOOKUP(A112,'Source Inventory'!$A$5:$A$200,'Source Inventory'!$D$5:$D$200),"")</f>
        <v/>
      </c>
      <c r="E112" s="7">
        <f>IFERROR(XLOOKUP(A112,'Source Inventory'!$A$5:$A$200,'Source Inventory'!$E$5:$E$200),"")</f>
        <v/>
      </c>
      <c r="F112" s="7">
        <f>IFERROR(XLOOKUP(A112,'Source Inventory'!$A$5:$A$200,'Source Inventory'!$F$5:$F$200),"")</f>
        <v/>
      </c>
      <c r="G112" s="7">
        <f>IFERROR(XLOOKUP(A112,'Source Inventory'!$A$5:$A$200,'Source Inventory'!$G$5:$G$200),"")</f>
        <v/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FA-000108 carries NBV $545.48 for MD-00108; operating status Retired/Pending Disposal at Atlanta. purchasing extract lists PO-2022-0021. transfer TR-00108 dated Jan 30, 2026, received 2026-01-30, APR-00108. ticket RET-00108 cited.</t>
        </is>
      </c>
      <c r="L112" s="7" t="inlineStr">
        <is>
          <t>2026-05-31</t>
        </is>
      </c>
      <c r="M112" s="7">
        <f>IFERROR(XLOOKUP(A112,'Source Inventory'!$A$5:$A$200,'Source Inventory'!$H$5:$H$200),"")</f>
        <v/>
      </c>
      <c r="N112" s="7" t="n">
        <v>545.48</v>
      </c>
      <c r="O112" s="7">
        <f>IFERROR(XLOOKUP(A112,'Source Ledger'!$B$5:$B$200,'Source Ledger'!$A$5:$A$200),"")</f>
        <v/>
      </c>
      <c r="P112" s="7">
        <f>IFERROR(XLOOKUP(A112,'Source Ledger'!$B$5:$B$200,'Source Ledger'!$D$5:$D$200),"")</f>
        <v/>
      </c>
      <c r="Q112" s="7" t="inlineStr">
        <is>
          <t>Medium</t>
        </is>
      </c>
      <c r="R112" s="7" t="inlineStr">
        <is>
          <t>EX-0143, EX-0144</t>
        </is>
      </c>
      <c r="S112" s="7">
        <f>IF(OR(R112="",R112=0),"No","Yes")</f>
        <v/>
      </c>
      <c r="T112">
        <f>IFERROR(XLOOKUP(A112,'Source Ledger'!$B$5:$B$200,'Source Ledger'!$E$5:$E$200),"")</f>
        <v/>
      </c>
      <c r="U112">
        <f>IFERROR(XLOOKUP(A112,'Source Ledger'!$B$5:$B$200,'Source Ledger'!$H$5:$H$200),"")</f>
        <v/>
      </c>
      <c r="V112">
        <f>IFERROR(XLOOKUP(A112,'Source Ledger'!$B$5:$B$200,'Source Ledger'!$G$5:$G$200),"")</f>
        <v/>
      </c>
      <c r="W112">
        <f>IF(OR(M112="",T112=""),"",T112-M112)</f>
        <v/>
      </c>
      <c r="X112">
        <f>IF(V112="","No","Yes")</f>
        <v/>
      </c>
    </row>
    <row r="113">
      <c r="A113" s="7" t="inlineStr">
        <is>
          <t>MD-00109</t>
        </is>
      </c>
      <c r="B113" s="7">
        <f>IFERROR(XLOOKUP(A113,'Source Inventory'!$A$5:$A$200,'Source Inventory'!$B$5:$B$200),"")</f>
        <v/>
      </c>
      <c r="C113" s="7">
        <f>IFERROR(XLOOKUP(A113,'Source Inventory'!$A$5:$A$200,'Source Inventory'!$C$5:$C$200),"")</f>
        <v/>
      </c>
      <c r="D113" s="7">
        <f>IFERROR(XLOOKUP(A113,'Source Inventory'!$A$5:$A$200,'Source Inventory'!$D$5:$D$200),"")</f>
        <v/>
      </c>
      <c r="E113" s="7">
        <f>IFERROR(XLOOKUP(A113,'Source Inventory'!$A$5:$A$200,'Source Inventory'!$E$5:$E$200),"")</f>
        <v/>
      </c>
      <c r="F113" s="7">
        <f>IFERROR(XLOOKUP(A113,'Source Inventory'!$A$5:$A$200,'Source Inventory'!$F$5:$F$200),"")</f>
        <v/>
      </c>
      <c r="G113" s="7">
        <f>IFERROR(XLOOKUP(A113,'Source Inventory'!$A$5:$A$200,'Source Inventory'!$G$5:$G$200),"")</f>
        <v/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FA-000109 carries NBV $0 for MD-00109; operating status Retired/Pending Disposal at Chicago. purchasing extract lists PO-2022-0021. transfer TR-00109 dated Feb 02, 2026, received 2026-02-04, APR-00109. ticket RET-00109 cited.</t>
        </is>
      </c>
      <c r="L113" s="7" t="inlineStr">
        <is>
          <t>2026-05-31</t>
        </is>
      </c>
      <c r="M113" s="7">
        <f>IFERROR(XLOOKUP(A113,'Source Inventory'!$A$5:$A$200,'Source Inventory'!$H$5:$H$200),"")</f>
        <v/>
      </c>
      <c r="N113" s="7" t="n">
        <v>0</v>
      </c>
      <c r="O113" s="7">
        <f>IFERROR(XLOOKUP(A113,'Source Ledger'!$B$5:$B$200,'Source Ledger'!$A$5:$A$200),"")</f>
        <v/>
      </c>
      <c r="P113" s="7">
        <f>IFERROR(XLOOKUP(A113,'Source Ledger'!$B$5:$B$200,'Source Ledger'!$D$5:$D$200),"")</f>
        <v/>
      </c>
      <c r="Q113" s="7" t="inlineStr">
        <is>
          <t>Medium</t>
        </is>
      </c>
      <c r="R113" s="7" t="inlineStr">
        <is>
          <t>EX-0145, EX-0146</t>
        </is>
      </c>
      <c r="S113" s="7">
        <f>IF(OR(R113="",R113=0),"No","Yes")</f>
        <v/>
      </c>
      <c r="T113">
        <f>IFERROR(XLOOKUP(A113,'Source Ledger'!$B$5:$B$200,'Source Ledger'!$E$5:$E$200),"")</f>
        <v/>
      </c>
      <c r="U113">
        <f>IFERROR(XLOOKUP(A113,'Source Ledger'!$B$5:$B$200,'Source Ledger'!$H$5:$H$200),"")</f>
        <v/>
      </c>
      <c r="V113">
        <f>IFERROR(XLOOKUP(A113,'Source Ledger'!$B$5:$B$200,'Source Ledger'!$G$5:$G$200),"")</f>
        <v/>
      </c>
      <c r="W113">
        <f>IF(OR(M113="",T113=""),"",T113-M113)</f>
        <v/>
      </c>
      <c r="X113">
        <f>IF(V113="","No","Yes")</f>
        <v/>
      </c>
    </row>
    <row r="114">
      <c r="A114" s="7" t="inlineStr">
        <is>
          <t>MD-00110</t>
        </is>
      </c>
      <c r="B114" s="7">
        <f>IFERROR(XLOOKUP(A114,'Source Inventory'!$A$5:$A$200,'Source Inventory'!$B$5:$B$200),"")</f>
        <v/>
      </c>
      <c r="C114" s="7">
        <f>IFERROR(XLOOKUP(A114,'Source Inventory'!$A$5:$A$200,'Source Inventory'!$C$5:$C$200),"")</f>
        <v/>
      </c>
      <c r="D114" s="7">
        <f>IFERROR(XLOOKUP(A114,'Source Inventory'!$A$5:$A$200,'Source Inventory'!$D$5:$D$200),"")</f>
        <v/>
      </c>
      <c r="E114" s="7">
        <f>IFERROR(XLOOKUP(A114,'Source Inventory'!$A$5:$A$200,'Source Inventory'!$E$5:$E$200),"")</f>
        <v/>
      </c>
      <c r="F114" s="7">
        <f>IFERROR(XLOOKUP(A114,'Source Inventory'!$A$5:$A$200,'Source Inventory'!$F$5:$F$200),"")</f>
        <v/>
      </c>
      <c r="G114" s="7">
        <f>IFERROR(XLOOKUP(A114,'Source Inventory'!$A$5:$A$200,'Source Inventory'!$G$5:$G$200),"")</f>
        <v/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PO-2022-0021 and FA-000110 both cite MD-00110 (Dell Latitude 7440); register basis $745. transfer TR-00110 dated Mar 07, 2026, received 2026-03-08, APR-00110. ticket RET-00110 cited.</t>
        </is>
      </c>
      <c r="L114" s="7" t="inlineStr">
        <is>
          <t>2026-05-31</t>
        </is>
      </c>
      <c r="M114" s="7">
        <f>IFERROR(XLOOKUP(A114,'Source Inventory'!$A$5:$A$200,'Source Inventory'!$H$5:$H$200),"")</f>
        <v/>
      </c>
      <c r="N114" s="7" t="n">
        <v>387.24</v>
      </c>
      <c r="O114" s="7">
        <f>IFERROR(XLOOKUP(A114,'Source Ledger'!$B$5:$B$200,'Source Ledger'!$A$5:$A$200),"")</f>
        <v/>
      </c>
      <c r="P114" s="7">
        <f>IFERROR(XLOOKUP(A114,'Source Ledger'!$B$5:$B$200,'Source Ledger'!$D$5:$D$200),"")</f>
        <v/>
      </c>
      <c r="Q114" s="7" t="inlineStr">
        <is>
          <t>Medium</t>
        </is>
      </c>
      <c r="R114" s="7" t="inlineStr">
        <is>
          <t>EX-0147, EX-0148</t>
        </is>
      </c>
      <c r="S114" s="7">
        <f>IF(OR(R114="",R114=0),"No","Yes")</f>
        <v/>
      </c>
      <c r="T114">
        <f>IFERROR(XLOOKUP(A114,'Source Ledger'!$B$5:$B$200,'Source Ledger'!$E$5:$E$200),"")</f>
        <v/>
      </c>
      <c r="U114">
        <f>IFERROR(XLOOKUP(A114,'Source Ledger'!$B$5:$B$200,'Source Ledger'!$H$5:$H$200),"")</f>
        <v/>
      </c>
      <c r="V114">
        <f>IFERROR(XLOOKUP(A114,'Source Ledger'!$B$5:$B$200,'Source Ledger'!$G$5:$G$200),"")</f>
        <v/>
      </c>
      <c r="W114">
        <f>IF(OR(M114="",T114=""),"",T114-M114)</f>
        <v/>
      </c>
      <c r="X114">
        <f>IF(V114="","No","Yes")</f>
        <v/>
      </c>
    </row>
    <row r="115">
      <c r="A115" s="7" t="inlineStr">
        <is>
          <t>MD-00111</t>
        </is>
      </c>
      <c r="B115" s="7">
        <f>IFERROR(XLOOKUP(A115,'Source Inventory'!$A$5:$A$200,'Source Inventory'!$B$5:$B$200),"")</f>
        <v/>
      </c>
      <c r="C115" s="7">
        <f>IFERROR(XLOOKUP(A115,'Source Inventory'!$A$5:$A$200,'Source Inventory'!$C$5:$C$200),"")</f>
        <v/>
      </c>
      <c r="D115" s="7">
        <f>IFERROR(XLOOKUP(A115,'Source Inventory'!$A$5:$A$200,'Source Inventory'!$D$5:$D$200),"")</f>
        <v/>
      </c>
      <c r="E115" s="7">
        <f>IFERROR(XLOOKUP(A115,'Source Inventory'!$A$5:$A$200,'Source Inventory'!$E$5:$E$200),"")</f>
        <v/>
      </c>
      <c r="F115" s="7">
        <f>IFERROR(XLOOKUP(A115,'Source Inventory'!$A$5:$A$200,'Source Inventory'!$F$5:$F$200),"")</f>
        <v/>
      </c>
      <c r="G115" s="7">
        <f>IFERROR(XLOOKUP(A115,'Source Inventory'!$A$5:$A$200,'Source Inventory'!$G$5:$G$200),"")</f>
        <v/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PO-2022-0021 and FA-000111 both cite MD-00111 (HP EliteBook 840 G10); register basis $1,220. transfer TR-00111 dated Apr 12, 2026, received 2026-04-13, APR-00111.</t>
        </is>
      </c>
      <c r="L115" s="7" t="inlineStr">
        <is>
          <t>2026-07-20</t>
        </is>
      </c>
      <c r="M115" s="7">
        <f>IFERROR(XLOOKUP(A115,'Source Inventory'!$A$5:$A$200,'Source Inventory'!$H$5:$H$200),"")</f>
        <v/>
      </c>
      <c r="N115" s="7" t="n">
        <v>0</v>
      </c>
      <c r="O115" s="7">
        <f>IFERROR(XLOOKUP(A115,'Source Ledger'!$B$5:$B$200,'Source Ledger'!$A$5:$A$200),"")</f>
        <v/>
      </c>
      <c r="P115" s="7">
        <f>IFERROR(XLOOKUP(A115,'Source Ledger'!$B$5:$B$200,'Source Ledger'!$D$5:$D$200),"")</f>
        <v/>
      </c>
      <c r="Q115" s="9" t="inlineStr">
        <is>
          <t>High</t>
        </is>
      </c>
      <c r="R115" s="7" t="inlineStr"/>
      <c r="S115" s="7">
        <f>IF(OR(R115="",R115=0),"No","Yes")</f>
        <v/>
      </c>
      <c r="T115">
        <f>IFERROR(XLOOKUP(A115,'Source Ledger'!$B$5:$B$200,'Source Ledger'!$E$5:$E$200),"")</f>
        <v/>
      </c>
      <c r="U115">
        <f>IFERROR(XLOOKUP(A115,'Source Ledger'!$B$5:$B$200,'Source Ledger'!$H$5:$H$200),"")</f>
        <v/>
      </c>
      <c r="V115">
        <f>IFERROR(XLOOKUP(A115,'Source Ledger'!$B$5:$B$200,'Source Ledger'!$G$5:$G$200),"")</f>
        <v/>
      </c>
      <c r="W115">
        <f>IF(OR(M115="",T115=""),"",T115-M115)</f>
        <v/>
      </c>
      <c r="X115">
        <f>IF(V115="","No","Yes")</f>
        <v/>
      </c>
    </row>
    <row r="116">
      <c r="A116" s="7" t="inlineStr">
        <is>
          <t>MD-00112</t>
        </is>
      </c>
      <c r="B116" s="7">
        <f>IFERROR(XLOOKUP(A116,'Source Inventory'!$A$5:$A$200,'Source Inventory'!$B$5:$B$200),"")</f>
        <v/>
      </c>
      <c r="C116" s="7">
        <f>IFERROR(XLOOKUP(A116,'Source Inventory'!$A$5:$A$200,'Source Inventory'!$C$5:$C$200),"")</f>
        <v/>
      </c>
      <c r="D116" s="7">
        <f>IFERROR(XLOOKUP(A116,'Source Inventory'!$A$5:$A$200,'Source Inventory'!$D$5:$D$200),"")</f>
        <v/>
      </c>
      <c r="E116" s="7">
        <f>IFERROR(XLOOKUP(A116,'Source Inventory'!$A$5:$A$200,'Source Inventory'!$E$5:$E$200),"")</f>
        <v/>
      </c>
      <c r="F116" s="7">
        <f>IFERROR(XLOOKUP(A116,'Source Inventory'!$A$5:$A$200,'Source Inventory'!$F$5:$F$200),"")</f>
        <v/>
      </c>
      <c r="G116" s="7">
        <f>IFERROR(XLOOKUP(A116,'Source Inventory'!$A$5:$A$200,'Source Inventory'!$G$5:$G$200),"")</f>
        <v/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PO-2024-0024 and FA-000112 both cite MD-00112 (Microsoft Surface Laptop 5); register basis $6,200. transfer TR-00112 dated May 13, 2026, received 2026-05-15, APR-00112.</t>
        </is>
      </c>
      <c r="L116" s="7" t="inlineStr">
        <is>
          <t>2026-07-20</t>
        </is>
      </c>
      <c r="M116" s="7">
        <f>IFERROR(XLOOKUP(A116,'Source Inventory'!$A$5:$A$200,'Source Inventory'!$H$5:$H$200),"")</f>
        <v/>
      </c>
      <c r="N116" s="7" t="n">
        <v>0</v>
      </c>
      <c r="O116" s="7">
        <f>IFERROR(XLOOKUP(A116,'Source Ledger'!$B$5:$B$200,'Source Ledger'!$A$5:$A$200),"")</f>
        <v/>
      </c>
      <c r="P116" s="7">
        <f>IFERROR(XLOOKUP(A116,'Source Ledger'!$B$5:$B$200,'Source Ledger'!$D$5:$D$200),"")</f>
        <v/>
      </c>
      <c r="Q116" s="9" t="inlineStr">
        <is>
          <t>High</t>
        </is>
      </c>
      <c r="R116" s="7" t="inlineStr"/>
      <c r="S116" s="7">
        <f>IF(OR(R116="",R116=0),"No","Yes")</f>
        <v/>
      </c>
      <c r="T116">
        <f>IFERROR(XLOOKUP(A116,'Source Ledger'!$B$5:$B$200,'Source Ledger'!$E$5:$E$200),"")</f>
        <v/>
      </c>
      <c r="U116">
        <f>IFERROR(XLOOKUP(A116,'Source Ledger'!$B$5:$B$200,'Source Ledger'!$H$5:$H$200),"")</f>
        <v/>
      </c>
      <c r="V116">
        <f>IFERROR(XLOOKUP(A116,'Source Ledger'!$B$5:$B$200,'Source Ledger'!$G$5:$G$200),"")</f>
        <v/>
      </c>
      <c r="W116">
        <f>IF(OR(M116="",T116=""),"",T116-M116)</f>
        <v/>
      </c>
      <c r="X116">
        <f>IF(V116="","No","Yes")</f>
        <v/>
      </c>
    </row>
    <row r="117">
      <c r="A117" s="7" t="inlineStr">
        <is>
          <t>MD-00113</t>
        </is>
      </c>
      <c r="B117" s="7">
        <f>IFERROR(XLOOKUP(A117,'Source Inventory'!$A$5:$A$200,'Source Inventory'!$B$5:$B$200),"")</f>
        <v/>
      </c>
      <c r="C117" s="7">
        <f>IFERROR(XLOOKUP(A117,'Source Inventory'!$A$5:$A$200,'Source Inventory'!$C$5:$C$200),"")</f>
        <v/>
      </c>
      <c r="D117" s="7">
        <f>IFERROR(XLOOKUP(A117,'Source Inventory'!$A$5:$A$200,'Source Inventory'!$D$5:$D$200),"")</f>
        <v/>
      </c>
      <c r="E117" s="7">
        <f>IFERROR(XLOOKUP(A117,'Source Inventory'!$A$5:$A$200,'Source Inventory'!$E$5:$E$200),"")</f>
        <v/>
      </c>
      <c r="F117" s="7">
        <f>IFERROR(XLOOKUP(A117,'Source Inventory'!$A$5:$A$200,'Source Inventory'!$F$5:$F$200),"")</f>
        <v/>
      </c>
      <c r="G117" s="7">
        <f>IFERROR(XLOOKUP(A117,'Source Inventory'!$A$5:$A$200,'Source Inventory'!$G$5:$G$200),"")</f>
        <v/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PO-2024-0024 and FA-000113 both cite MD-00113 (Lenovo ThinkPad X1 Carbon); register basis $1,895. transfer TR-00113 dated Jun 17, 2026, received 2026-06-18, APR-00113.</t>
        </is>
      </c>
      <c r="L117" s="7" t="inlineStr">
        <is>
          <t>2026-07-20</t>
        </is>
      </c>
      <c r="M117" s="7">
        <f>IFERROR(XLOOKUP(A117,'Source Inventory'!$A$5:$A$200,'Source Inventory'!$H$5:$H$200),"")</f>
        <v/>
      </c>
      <c r="N117" s="7" t="n">
        <v>0</v>
      </c>
      <c r="O117" s="7">
        <f>IFERROR(XLOOKUP(A117,'Source Ledger'!$B$5:$B$200,'Source Ledger'!$A$5:$A$200),"")</f>
        <v/>
      </c>
      <c r="P117" s="7">
        <f>IFERROR(XLOOKUP(A117,'Source Ledger'!$B$5:$B$200,'Source Ledger'!$D$5:$D$200),"")</f>
        <v/>
      </c>
      <c r="Q117" s="9" t="inlineStr">
        <is>
          <t>High</t>
        </is>
      </c>
      <c r="R117" s="7" t="inlineStr"/>
      <c r="S117" s="7">
        <f>IF(OR(R117="",R117=0),"No","Yes")</f>
        <v/>
      </c>
      <c r="T117">
        <f>IFERROR(XLOOKUP(A117,'Source Ledger'!$B$5:$B$200,'Source Ledger'!$E$5:$E$200),"")</f>
        <v/>
      </c>
      <c r="U117">
        <f>IFERROR(XLOOKUP(A117,'Source Ledger'!$B$5:$B$200,'Source Ledger'!$H$5:$H$200),"")</f>
        <v/>
      </c>
      <c r="V117">
        <f>IFERROR(XLOOKUP(A117,'Source Ledger'!$B$5:$B$200,'Source Ledger'!$G$5:$G$200),"")</f>
        <v/>
      </c>
      <c r="W117">
        <f>IF(OR(M117="",T117=""),"",T117-M117)</f>
        <v/>
      </c>
      <c r="X117">
        <f>IF(V117="","No","Yes")</f>
        <v/>
      </c>
    </row>
    <row r="118">
      <c r="A118" s="7" t="inlineStr">
        <is>
          <t>MD-00114</t>
        </is>
      </c>
      <c r="B118" s="7">
        <f>IFERROR(XLOOKUP(A118,'Source Inventory'!$A$5:$A$200,'Source Inventory'!$B$5:$B$200),"")</f>
        <v/>
      </c>
      <c r="C118" s="7">
        <f>IFERROR(XLOOKUP(A118,'Source Inventory'!$A$5:$A$200,'Source Inventory'!$C$5:$C$200),"")</f>
        <v/>
      </c>
      <c r="D118" s="7">
        <f>IFERROR(XLOOKUP(A118,'Source Inventory'!$A$5:$A$200,'Source Inventory'!$D$5:$D$200),"")</f>
        <v/>
      </c>
      <c r="E118" s="7">
        <f>IFERROR(XLOOKUP(A118,'Source Inventory'!$A$5:$A$200,'Source Inventory'!$E$5:$E$200),"")</f>
        <v/>
      </c>
      <c r="F118" s="7">
        <f>IFERROR(XLOOKUP(A118,'Source Inventory'!$A$5:$A$200,'Source Inventory'!$F$5:$F$200),"")</f>
        <v/>
      </c>
      <c r="G118" s="7">
        <f>IFERROR(XLOOKUP(A118,'Source Inventory'!$A$5:$A$200,'Source Inventory'!$G$5:$G$200),"")</f>
        <v/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PO-2024-0024 and FA-000114 both cite MD-00114 (Lenovo ThinkPad T14); register basis $610. ticket RET-00114 cited. no verified disposal certificate. transfer TR-00114 dated Jan 22, 2026, received 2026-01-22, APR-00114.</t>
        </is>
      </c>
      <c r="L118" s="7" t="inlineStr">
        <is>
          <t>2026-01-20</t>
        </is>
      </c>
      <c r="M118" s="7">
        <f>IFERROR(XLOOKUP(A118,'Source Inventory'!$A$5:$A$200,'Source Inventory'!$H$5:$H$200),"")</f>
        <v/>
      </c>
      <c r="N118" s="7" t="n">
        <v>0</v>
      </c>
      <c r="O118" s="7">
        <f>IFERROR(XLOOKUP(A118,'Source Ledger'!$B$5:$B$200,'Source Ledger'!$A$5:$A$200),"")</f>
        <v/>
      </c>
      <c r="P118" s="7">
        <f>IFERROR(XLOOKUP(A118,'Source Ledger'!$B$5:$B$200,'Source Ledger'!$D$5:$D$200),"")</f>
        <v/>
      </c>
      <c r="Q118" s="7" t="inlineStr">
        <is>
          <t>Low</t>
        </is>
      </c>
      <c r="R118" s="7" t="inlineStr">
        <is>
          <t>EX-0149, EX-0150</t>
        </is>
      </c>
      <c r="S118" s="7">
        <f>IF(OR(R118="",R118=0),"No","Yes")</f>
        <v/>
      </c>
      <c r="T118">
        <f>IFERROR(XLOOKUP(A118,'Source Ledger'!$B$5:$B$200,'Source Ledger'!$E$5:$E$200),"")</f>
        <v/>
      </c>
      <c r="U118">
        <f>IFERROR(XLOOKUP(A118,'Source Ledger'!$B$5:$B$200,'Source Ledger'!$H$5:$H$200),"")</f>
        <v/>
      </c>
      <c r="V118">
        <f>IFERROR(XLOOKUP(A118,'Source Ledger'!$B$5:$B$200,'Source Ledger'!$G$5:$G$200),"")</f>
        <v/>
      </c>
      <c r="W118">
        <f>IF(OR(M118="",T118=""),"",T118-M118)</f>
        <v/>
      </c>
      <c r="X118">
        <f>IF(V118="","No","Yes")</f>
        <v/>
      </c>
    </row>
    <row r="119">
      <c r="A119" s="7" t="inlineStr">
        <is>
          <t>MD-00115</t>
        </is>
      </c>
      <c r="B119" s="7">
        <f>IFERROR(XLOOKUP(A119,'Source Inventory'!$A$5:$A$200,'Source Inventory'!$B$5:$B$200),"")</f>
        <v/>
      </c>
      <c r="C119" s="7">
        <f>IFERROR(XLOOKUP(A119,'Source Inventory'!$A$5:$A$200,'Source Inventory'!$C$5:$C$200),"")</f>
        <v/>
      </c>
      <c r="D119" s="7">
        <f>IFERROR(XLOOKUP(A119,'Source Inventory'!$A$5:$A$200,'Source Inventory'!$D$5:$D$200),"")</f>
        <v/>
      </c>
      <c r="E119" s="7">
        <f>IFERROR(XLOOKUP(A119,'Source Inventory'!$A$5:$A$200,'Source Inventory'!$E$5:$E$200),"")</f>
        <v/>
      </c>
      <c r="F119" s="7">
        <f>IFERROR(XLOOKUP(A119,'Source Inventory'!$A$5:$A$200,'Source Inventory'!$F$5:$F$200),"")</f>
        <v/>
      </c>
      <c r="G119" s="7">
        <f>IFERROR(XLOOKUP(A119,'Source Inventory'!$A$5:$A$200,'Source Inventory'!$G$5:$G$200),"")</f>
        <v/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PO-2024-0024 and FA-000115 both cite MD-00115 (MacBook Pro 14); register basis $1,085. transfer TR-00115 dated Feb 23, 2026, received 2026-02-25, APR-00115.</t>
        </is>
      </c>
      <c r="L119" s="7" t="inlineStr">
        <is>
          <t>2026-07-20</t>
        </is>
      </c>
      <c r="M119" s="7">
        <f>IFERROR(XLOOKUP(A119,'Source Inventory'!$A$5:$A$200,'Source Inventory'!$H$5:$H$200),"")</f>
        <v/>
      </c>
      <c r="N119" s="7" t="n">
        <v>0</v>
      </c>
      <c r="O119" s="7">
        <f>IFERROR(XLOOKUP(A119,'Source Ledger'!$B$5:$B$200,'Source Ledger'!$A$5:$A$200),"")</f>
        <v/>
      </c>
      <c r="P119" s="7">
        <f>IFERROR(XLOOKUP(A119,'Source Ledger'!$B$5:$B$200,'Source Ledger'!$D$5:$D$200),"")</f>
        <v/>
      </c>
      <c r="Q119" s="9" t="inlineStr">
        <is>
          <t>High</t>
        </is>
      </c>
      <c r="R119" s="7" t="inlineStr"/>
      <c r="S119" s="7">
        <f>IF(OR(R119="",R119=0),"No","Yes")</f>
        <v/>
      </c>
      <c r="T119">
        <f>IFERROR(XLOOKUP(A119,'Source Ledger'!$B$5:$B$200,'Source Ledger'!$E$5:$E$200),"")</f>
        <v/>
      </c>
      <c r="U119">
        <f>IFERROR(XLOOKUP(A119,'Source Ledger'!$B$5:$B$200,'Source Ledger'!$H$5:$H$200),"")</f>
        <v/>
      </c>
      <c r="V119">
        <f>IFERROR(XLOOKUP(A119,'Source Ledger'!$B$5:$B$200,'Source Ledger'!$G$5:$G$200),"")</f>
        <v/>
      </c>
      <c r="W119">
        <f>IF(OR(M119="",T119=""),"",T119-M119)</f>
        <v/>
      </c>
      <c r="X119">
        <f>IF(V119="","No","Yes")</f>
        <v/>
      </c>
    </row>
    <row r="120">
      <c r="A120" s="7" t="inlineStr">
        <is>
          <t>MD-00116</t>
        </is>
      </c>
      <c r="B120" s="7">
        <f>IFERROR(XLOOKUP(A120,'Source Inventory'!$A$5:$A$200,'Source Inventory'!$B$5:$B$200),"")</f>
        <v/>
      </c>
      <c r="C120" s="7">
        <f>IFERROR(XLOOKUP(A120,'Source Inventory'!$A$5:$A$200,'Source Inventory'!$C$5:$C$200),"")</f>
        <v/>
      </c>
      <c r="D120" s="7">
        <f>IFERROR(XLOOKUP(A120,'Source Inventory'!$A$5:$A$200,'Source Inventory'!$D$5:$D$200),"")</f>
        <v/>
      </c>
      <c r="E120" s="7">
        <f>IFERROR(XLOOKUP(A120,'Source Inventory'!$A$5:$A$200,'Source Inventory'!$E$5:$E$200),"")</f>
        <v/>
      </c>
      <c r="F120" s="7">
        <f>IFERROR(XLOOKUP(A120,'Source Inventory'!$A$5:$A$200,'Source Inventory'!$F$5:$F$200),"")</f>
        <v/>
      </c>
      <c r="G120" s="7">
        <f>IFERROR(XLOOKUP(A120,'Source Inventory'!$A$5:$A$200,'Source Inventory'!$G$5:$G$200),"")</f>
        <v/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FA-000116 carries NBV $0 for MD-00116; operating status Disposed at Disposed. transfer TR-00116 dated Mar 28, 2026, received 2026-03-29, APR-00116. purchasing extract lists PO-2024-0024.</t>
        </is>
      </c>
      <c r="L120" s="7" t="inlineStr">
        <is>
          <t>2026-07-20</t>
        </is>
      </c>
      <c r="M120" s="7">
        <f>IFERROR(XLOOKUP(A120,'Source Inventory'!$A$5:$A$200,'Source Inventory'!$H$5:$H$200),"")</f>
        <v/>
      </c>
      <c r="N120" s="7" t="n">
        <v>0</v>
      </c>
      <c r="O120" s="7">
        <f>IFERROR(XLOOKUP(A120,'Source Ledger'!$B$5:$B$200,'Source Ledger'!$A$5:$A$200),"")</f>
        <v/>
      </c>
      <c r="P120" s="7">
        <f>IFERROR(XLOOKUP(A120,'Source Ledger'!$B$5:$B$200,'Source Ledger'!$D$5:$D$200),"")</f>
        <v/>
      </c>
      <c r="Q120" s="9" t="inlineStr">
        <is>
          <t>High</t>
        </is>
      </c>
      <c r="R120" s="7" t="inlineStr"/>
      <c r="S120" s="7">
        <f>IF(OR(R120="",R120=0),"No","Yes")</f>
        <v/>
      </c>
      <c r="T120">
        <f>IFERROR(XLOOKUP(A120,'Source Ledger'!$B$5:$B$200,'Source Ledger'!$E$5:$E$200),"")</f>
        <v/>
      </c>
      <c r="U120">
        <f>IFERROR(XLOOKUP(A120,'Source Ledger'!$B$5:$B$200,'Source Ledger'!$H$5:$H$200),"")</f>
        <v/>
      </c>
      <c r="V120">
        <f>IFERROR(XLOOKUP(A120,'Source Ledger'!$B$5:$B$200,'Source Ledger'!$G$5:$G$200),"")</f>
        <v/>
      </c>
      <c r="W120">
        <f>IF(OR(M120="",T120=""),"",T120-M120)</f>
        <v/>
      </c>
      <c r="X120">
        <f>IF(V120="","No","Yes")</f>
        <v/>
      </c>
    </row>
    <row r="121">
      <c r="A121" s="7" t="inlineStr">
        <is>
          <t>MD-00117</t>
        </is>
      </c>
      <c r="B121" s="7">
        <f>IFERROR(XLOOKUP(A121,'Source Inventory'!$A$5:$A$200,'Source Inventory'!$B$5:$B$200),"")</f>
        <v/>
      </c>
      <c r="C121" s="7">
        <f>IFERROR(XLOOKUP(A121,'Source Inventory'!$A$5:$A$200,'Source Inventory'!$C$5:$C$200),"")</f>
        <v/>
      </c>
      <c r="D121" s="7">
        <f>IFERROR(XLOOKUP(A121,'Source Inventory'!$A$5:$A$200,'Source Inventory'!$D$5:$D$200),"")</f>
        <v/>
      </c>
      <c r="E121" s="7">
        <f>IFERROR(XLOOKUP(A121,'Source Inventory'!$A$5:$A$200,'Source Inventory'!$E$5:$E$200),"")</f>
        <v/>
      </c>
      <c r="F121" s="7">
        <f>IFERROR(XLOOKUP(A121,'Source Inventory'!$A$5:$A$200,'Source Inventory'!$F$5:$F$200),"")</f>
        <v/>
      </c>
      <c r="G121" s="7">
        <f>IFERROR(XLOOKUP(A121,'Source Inventory'!$A$5:$A$200,'Source Inventory'!$G$5:$G$200),"")</f>
        <v/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FA-000117 carries NBV $0 for MD-00117; operating status Disposed at Disposed. purchasing extract lists PO-2024-0024. transfer TR-00117 dated May 02, 2026, received 2026-05-02, APR-00117.</t>
        </is>
      </c>
      <c r="L121" s="7" t="inlineStr">
        <is>
          <t>2026-07-20</t>
        </is>
      </c>
      <c r="M121" s="7">
        <f>IFERROR(XLOOKUP(A121,'Source Inventory'!$A$5:$A$200,'Source Inventory'!$H$5:$H$200),"")</f>
        <v/>
      </c>
      <c r="N121" s="7" t="n">
        <v>0</v>
      </c>
      <c r="O121" s="7">
        <f>IFERROR(XLOOKUP(A121,'Source Ledger'!$B$5:$B$200,'Source Ledger'!$A$5:$A$200),"")</f>
        <v/>
      </c>
      <c r="P121" s="7">
        <f>IFERROR(XLOOKUP(A121,'Source Ledger'!$B$5:$B$200,'Source Ledger'!$D$5:$D$200),"")</f>
        <v/>
      </c>
      <c r="Q121" s="9" t="inlineStr">
        <is>
          <t>High</t>
        </is>
      </c>
      <c r="R121" s="7" t="inlineStr"/>
      <c r="S121" s="7">
        <f>IF(OR(R121="",R121=0),"No","Yes")</f>
        <v/>
      </c>
      <c r="T121">
        <f>IFERROR(XLOOKUP(A121,'Source Ledger'!$B$5:$B$200,'Source Ledger'!$E$5:$E$200),"")</f>
        <v/>
      </c>
      <c r="U121">
        <f>IFERROR(XLOOKUP(A121,'Source Ledger'!$B$5:$B$200,'Source Ledger'!$H$5:$H$200),"")</f>
        <v/>
      </c>
      <c r="V121">
        <f>IFERROR(XLOOKUP(A121,'Source Ledger'!$B$5:$B$200,'Source Ledger'!$G$5:$G$200),"")</f>
        <v/>
      </c>
      <c r="W121">
        <f>IF(OR(M121="",T121=""),"",T121-M121)</f>
        <v/>
      </c>
      <c r="X121">
        <f>IF(V121="","No","Yes")</f>
        <v/>
      </c>
    </row>
    <row r="122">
      <c r="A122" s="7" t="inlineStr">
        <is>
          <t>MD-00118</t>
        </is>
      </c>
      <c r="B122" s="7">
        <f>IFERROR(XLOOKUP(A122,'Source Inventory'!$A$5:$A$200,'Source Inventory'!$B$5:$B$200),"")</f>
        <v/>
      </c>
      <c r="C122" s="7">
        <f>IFERROR(XLOOKUP(A122,'Source Inventory'!$A$5:$A$200,'Source Inventory'!$C$5:$C$200),"")</f>
        <v/>
      </c>
      <c r="D122" s="7">
        <f>IFERROR(XLOOKUP(A122,'Source Inventory'!$A$5:$A$200,'Source Inventory'!$D$5:$D$200),"")</f>
        <v/>
      </c>
      <c r="E122" s="7">
        <f>IFERROR(XLOOKUP(A122,'Source Inventory'!$A$5:$A$200,'Source Inventory'!$E$5:$E$200),"")</f>
        <v/>
      </c>
      <c r="F122" s="7">
        <f>IFERROR(XLOOKUP(A122,'Source Inventory'!$A$5:$A$200,'Source Inventory'!$F$5:$F$200),"")</f>
        <v/>
      </c>
      <c r="G122" s="7">
        <f>IFERROR(XLOOKUP(A122,'Source Inventory'!$A$5:$A$200,'Source Inventory'!$G$5:$G$200),"")</f>
        <v/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FA-000118 carries NBV $0 for MD-00118; operating status Retired/Pending Disposal at Disposed (certificate missing). purchasing extract lists PO-2024-0024. ticket RET-00118 cited. no verified disposal certificate. transfer TR-00118 dated Jun 03, 2026, received 2026-06-04, APR-00118.</t>
        </is>
      </c>
      <c r="L122" s="7" t="inlineStr">
        <is>
          <t>2026-05-24</t>
        </is>
      </c>
      <c r="M122" s="7">
        <f>IFERROR(XLOOKUP(A122,'Source Inventory'!$A$5:$A$200,'Source Inventory'!$H$5:$H$200),"")</f>
        <v/>
      </c>
      <c r="N122" s="7" t="n">
        <v>0</v>
      </c>
      <c r="O122" s="7">
        <f>IFERROR(XLOOKUP(A122,'Source Ledger'!$B$5:$B$200,'Source Ledger'!$A$5:$A$200),"")</f>
        <v/>
      </c>
      <c r="P122" s="7">
        <f>IFERROR(XLOOKUP(A122,'Source Ledger'!$B$5:$B$200,'Source Ledger'!$D$5:$D$200),"")</f>
        <v/>
      </c>
      <c r="Q122" s="7" t="inlineStr">
        <is>
          <t>Low</t>
        </is>
      </c>
      <c r="R122" s="7" t="inlineStr">
        <is>
          <t>EX-0151, EX-0152</t>
        </is>
      </c>
      <c r="S122" s="7">
        <f>IF(OR(R122="",R122=0),"No","Yes")</f>
        <v/>
      </c>
      <c r="T122">
        <f>IFERROR(XLOOKUP(A122,'Source Ledger'!$B$5:$B$200,'Source Ledger'!$E$5:$E$200),"")</f>
        <v/>
      </c>
      <c r="U122">
        <f>IFERROR(XLOOKUP(A122,'Source Ledger'!$B$5:$B$200,'Source Ledger'!$H$5:$H$200),"")</f>
        <v/>
      </c>
      <c r="V122">
        <f>IFERROR(XLOOKUP(A122,'Source Ledger'!$B$5:$B$200,'Source Ledger'!$G$5:$G$200),"")</f>
        <v/>
      </c>
      <c r="W122">
        <f>IF(OR(M122="",T122=""),"",T122-M122)</f>
        <v/>
      </c>
      <c r="X122">
        <f>IF(V122="","No","Yes")</f>
        <v/>
      </c>
    </row>
    <row r="123">
      <c r="A123" s="7" t="inlineStr">
        <is>
          <t>MD-00119</t>
        </is>
      </c>
      <c r="B123" s="7">
        <f>IFERROR(XLOOKUP(A123,'Source Inventory'!$A$5:$A$200,'Source Inventory'!$B$5:$B$200),"")</f>
        <v/>
      </c>
      <c r="C123" s="7">
        <f>IFERROR(XLOOKUP(A123,'Source Inventory'!$A$5:$A$200,'Source Inventory'!$C$5:$C$200),"")</f>
        <v/>
      </c>
      <c r="D123" s="7">
        <f>IFERROR(XLOOKUP(A123,'Source Inventory'!$A$5:$A$200,'Source Inventory'!$D$5:$D$200),"")</f>
        <v/>
      </c>
      <c r="E123" s="7">
        <f>IFERROR(XLOOKUP(A123,'Source Inventory'!$A$5:$A$200,'Source Inventory'!$E$5:$E$200),"")</f>
        <v/>
      </c>
      <c r="F123" s="7">
        <f>IFERROR(XLOOKUP(A123,'Source Inventory'!$A$5:$A$200,'Source Inventory'!$F$5:$F$200),"")</f>
        <v/>
      </c>
      <c r="G123" s="7">
        <f>IFERROR(XLOOKUP(A123,'Source Inventory'!$A$5:$A$200,'Source Inventory'!$G$5:$G$200),"")</f>
        <v/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FA-000119 carries NBV $0 for MD-00119; operating status Disposed at Disposed. purchasing extract lists PO-2024-0024. transfer TR-00119 dated Jul 08, 2026, received 2026-07-09, APR-00119.</t>
        </is>
      </c>
      <c r="L123" s="7" t="inlineStr">
        <is>
          <t>2026-07-20</t>
        </is>
      </c>
      <c r="M123" s="7">
        <f>IFERROR(XLOOKUP(A123,'Source Inventory'!$A$5:$A$200,'Source Inventory'!$H$5:$H$200),"")</f>
        <v/>
      </c>
      <c r="N123" s="7" t="n">
        <v>0</v>
      </c>
      <c r="O123" s="7">
        <f>IFERROR(XLOOKUP(A123,'Source Ledger'!$B$5:$B$200,'Source Ledger'!$A$5:$A$200),"")</f>
        <v/>
      </c>
      <c r="P123" s="7">
        <f>IFERROR(XLOOKUP(A123,'Source Ledger'!$B$5:$B$200,'Source Ledger'!$D$5:$D$200),"")</f>
        <v/>
      </c>
      <c r="Q123" s="9" t="inlineStr">
        <is>
          <t>High</t>
        </is>
      </c>
      <c r="R123" s="7" t="inlineStr">
        <is>
          <t>EX-0153</t>
        </is>
      </c>
      <c r="S123" s="7">
        <f>IF(OR(R123="",R123=0),"No","Yes")</f>
        <v/>
      </c>
      <c r="T123">
        <f>IFERROR(XLOOKUP(A123,'Source Ledger'!$B$5:$B$200,'Source Ledger'!$E$5:$E$200),"")</f>
        <v/>
      </c>
      <c r="U123">
        <f>IFERROR(XLOOKUP(A123,'Source Ledger'!$B$5:$B$200,'Source Ledger'!$H$5:$H$200),"")</f>
        <v/>
      </c>
      <c r="V123">
        <f>IFERROR(XLOOKUP(A123,'Source Ledger'!$B$5:$B$200,'Source Ledger'!$G$5:$G$200),"")</f>
        <v/>
      </c>
      <c r="W123">
        <f>IF(OR(M123="",T123=""),"",T123-M123)</f>
        <v/>
      </c>
      <c r="X123">
        <f>IF(V123="","No","Yes")</f>
        <v/>
      </c>
    </row>
    <row r="124">
      <c r="A124" s="7" t="inlineStr">
        <is>
          <t>MD-00120</t>
        </is>
      </c>
      <c r="B124" s="7">
        <f>IFERROR(XLOOKUP(A124,'Source Inventory'!$A$5:$A$200,'Source Inventory'!$B$5:$B$200),"")</f>
        <v/>
      </c>
      <c r="C124" s="7">
        <f>IFERROR(XLOOKUP(A124,'Source Inventory'!$A$5:$A$200,'Source Inventory'!$C$5:$C$200),"")</f>
        <v/>
      </c>
      <c r="D124" s="7">
        <f>IFERROR(XLOOKUP(A124,'Source Inventory'!$A$5:$A$200,'Source Inventory'!$D$5:$D$200),"")</f>
        <v/>
      </c>
      <c r="E124" s="7">
        <f>IFERROR(XLOOKUP(A124,'Source Inventory'!$A$5:$A$200,'Source Inventory'!$E$5:$E$200),"")</f>
        <v/>
      </c>
      <c r="F124" s="7">
        <f>IFERROR(XLOOKUP(A124,'Source Inventory'!$A$5:$A$200,'Source Inventory'!$F$5:$F$200),"")</f>
        <v/>
      </c>
      <c r="G124" s="7">
        <f>IFERROR(XLOOKUP(A124,'Source Inventory'!$A$5:$A$200,'Source Inventory'!$G$5:$G$200),"")</f>
        <v/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PO-2025-0025 and FA-000120 both cite MD-00120 (MacBook Pro 14); register basis $6,245. transfer TR-00120 dated Jan 18, 2026, received 2026-01-20, APR-00120.</t>
        </is>
      </c>
      <c r="L124" s="7" t="inlineStr">
        <is>
          <t>2026-07-20</t>
        </is>
      </c>
      <c r="M124" s="7">
        <f>IFERROR(XLOOKUP(A124,'Source Inventory'!$A$5:$A$200,'Source Inventory'!$H$5:$H$200),"")</f>
        <v/>
      </c>
      <c r="N124" s="7" t="n">
        <v>0</v>
      </c>
      <c r="O124" s="7">
        <f>IFERROR(XLOOKUP(A124,'Source Ledger'!$B$5:$B$200,'Source Ledger'!$A$5:$A$200),"")</f>
        <v/>
      </c>
      <c r="P124" s="7">
        <f>IFERROR(XLOOKUP(A124,'Source Ledger'!$B$5:$B$200,'Source Ledger'!$D$5:$D$200),"")</f>
        <v/>
      </c>
      <c r="Q124" s="9" t="inlineStr">
        <is>
          <t>High</t>
        </is>
      </c>
      <c r="R124" s="7" t="inlineStr"/>
      <c r="S124" s="7">
        <f>IF(OR(R124="",R124=0),"No","Yes")</f>
        <v/>
      </c>
      <c r="T124">
        <f>IFERROR(XLOOKUP(A124,'Source Ledger'!$B$5:$B$200,'Source Ledger'!$E$5:$E$200),"")</f>
        <v/>
      </c>
      <c r="U124">
        <f>IFERROR(XLOOKUP(A124,'Source Ledger'!$B$5:$B$200,'Source Ledger'!$H$5:$H$200),"")</f>
        <v/>
      </c>
      <c r="V124">
        <f>IFERROR(XLOOKUP(A124,'Source Ledger'!$B$5:$B$200,'Source Ledger'!$G$5:$G$200),"")</f>
        <v/>
      </c>
      <c r="W124">
        <f>IF(OR(M124="",T124=""),"",T124-M124)</f>
        <v/>
      </c>
      <c r="X124">
        <f>IF(V124="","No","Yes")</f>
        <v/>
      </c>
    </row>
    <row r="125">
      <c r="A125" s="7" t="inlineStr">
        <is>
          <t>MD-00121</t>
        </is>
      </c>
      <c r="B125" s="7">
        <f>IFERROR(XLOOKUP(A125,'Source Inventory'!$A$5:$A$200,'Source Inventory'!$B$5:$B$200),"")</f>
        <v/>
      </c>
      <c r="C125" s="7">
        <f>IFERROR(XLOOKUP(A125,'Source Inventory'!$A$5:$A$200,'Source Inventory'!$C$5:$C$200),"")</f>
        <v/>
      </c>
      <c r="D125" s="7">
        <f>IFERROR(XLOOKUP(A125,'Source Inventory'!$A$5:$A$200,'Source Inventory'!$D$5:$D$200),"")</f>
        <v/>
      </c>
      <c r="E125" s="7">
        <f>IFERROR(XLOOKUP(A125,'Source Inventory'!$A$5:$A$200,'Source Inventory'!$E$5:$E$200),"")</f>
        <v/>
      </c>
      <c r="F125" s="7">
        <f>IFERROR(XLOOKUP(A125,'Source Inventory'!$A$5:$A$200,'Source Inventory'!$F$5:$F$200),"")</f>
        <v/>
      </c>
      <c r="G125" s="7">
        <f>IFERROR(XLOOKUP(A125,'Source Inventory'!$A$5:$A$200,'Source Inventory'!$G$5:$G$200),"")</f>
        <v/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PO-2025-0025 and FA-000121 both cite MD-00121 (Dell Latitude 7440); register basis $1,940. transfer TR-00121 dated Jan 21, 2026, received 2026-01-21, APR-00121.</t>
        </is>
      </c>
      <c r="L125" s="7" t="inlineStr">
        <is>
          <t>2026-02-03</t>
        </is>
      </c>
      <c r="M125" s="7">
        <f>IFERROR(XLOOKUP(A125,'Source Inventory'!$A$5:$A$200,'Source Inventory'!$H$5:$H$200),"")</f>
        <v/>
      </c>
      <c r="N125" s="7" t="n">
        <v>0</v>
      </c>
      <c r="O125" s="7">
        <f>IFERROR(XLOOKUP(A125,'Source Ledger'!$B$5:$B$200,'Source Ledger'!$A$5:$A$200),"")</f>
        <v/>
      </c>
      <c r="P125" s="7">
        <f>IFERROR(XLOOKUP(A125,'Source Ledger'!$B$5:$B$200,'Source Ledger'!$D$5:$D$200),"")</f>
        <v/>
      </c>
      <c r="Q125" s="9" t="inlineStr">
        <is>
          <t>High</t>
        </is>
      </c>
      <c r="R125" s="7" t="inlineStr">
        <is>
          <t>EX-0154</t>
        </is>
      </c>
      <c r="S125" s="7">
        <f>IF(OR(R125="",R125=0),"No","Yes")</f>
        <v/>
      </c>
      <c r="T125">
        <f>IFERROR(XLOOKUP(A125,'Source Ledger'!$B$5:$B$200,'Source Ledger'!$E$5:$E$200),"")</f>
        <v/>
      </c>
      <c r="U125">
        <f>IFERROR(XLOOKUP(A125,'Source Ledger'!$B$5:$B$200,'Source Ledger'!$H$5:$H$200),"")</f>
        <v/>
      </c>
      <c r="V125">
        <f>IFERROR(XLOOKUP(A125,'Source Ledger'!$B$5:$B$200,'Source Ledger'!$G$5:$G$200),"")</f>
        <v/>
      </c>
      <c r="W125">
        <f>IF(OR(M125="",T125=""),"",T125-M125)</f>
        <v/>
      </c>
      <c r="X125">
        <f>IF(V125="","No","Yes")</f>
        <v/>
      </c>
    </row>
    <row r="126">
      <c r="A126" s="7" t="inlineStr">
        <is>
          <t>MD-00122</t>
        </is>
      </c>
      <c r="B126" s="7">
        <f>IFERROR(XLOOKUP(A126,'Source Inventory'!$A$5:$A$200,'Source Inventory'!$B$5:$B$200),"")</f>
        <v/>
      </c>
      <c r="C126" s="7">
        <f>IFERROR(XLOOKUP(A126,'Source Inventory'!$A$5:$A$200,'Source Inventory'!$C$5:$C$200),"")</f>
        <v/>
      </c>
      <c r="D126" s="7">
        <f>IFERROR(XLOOKUP(A126,'Source Inventory'!$A$5:$A$200,'Source Inventory'!$D$5:$D$200),"")</f>
        <v/>
      </c>
      <c r="E126" s="7">
        <f>IFERROR(XLOOKUP(A126,'Source Inventory'!$A$5:$A$200,'Source Inventory'!$E$5:$E$200),"")</f>
        <v/>
      </c>
      <c r="F126" s="7">
        <f>IFERROR(XLOOKUP(A126,'Source Inventory'!$A$5:$A$200,'Source Inventory'!$F$5:$F$200),"")</f>
        <v/>
      </c>
      <c r="G126" s="7">
        <f>IFERROR(XLOOKUP(A126,'Source Inventory'!$A$5:$A$200,'Source Inventory'!$G$5:$G$200),"")</f>
        <v/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PO-2025-0025 and FA-000122 both cite MD-00122 (HP EliteBook 840 G10); register basis $655. transfer TR-00122 dated Feb 23, 2026, received 2026-02-25, APR-00122.</t>
        </is>
      </c>
      <c r="L126" s="7" t="inlineStr">
        <is>
          <t>2026-03-04</t>
        </is>
      </c>
      <c r="M126" s="7">
        <f>IFERROR(XLOOKUP(A126,'Source Inventory'!$A$5:$A$200,'Source Inventory'!$H$5:$H$200),"")</f>
        <v/>
      </c>
      <c r="N126" s="7" t="n">
        <v>336.15</v>
      </c>
      <c r="O126" s="7">
        <f>IFERROR(XLOOKUP(A126,'Source Ledger'!$B$5:$B$200,'Source Ledger'!$A$5:$A$200),"")</f>
        <v/>
      </c>
      <c r="P126" s="7">
        <f>IFERROR(XLOOKUP(A126,'Source Ledger'!$B$5:$B$200,'Source Ledger'!$D$5:$D$200),"")</f>
        <v/>
      </c>
      <c r="Q126" s="9" t="inlineStr">
        <is>
          <t>High</t>
        </is>
      </c>
      <c r="R126" s="7" t="inlineStr">
        <is>
          <t>EX-0155</t>
        </is>
      </c>
      <c r="S126" s="7">
        <f>IF(OR(R126="",R126=0),"No","Yes")</f>
        <v/>
      </c>
      <c r="T126">
        <f>IFERROR(XLOOKUP(A126,'Source Ledger'!$B$5:$B$200,'Source Ledger'!$E$5:$E$200),"")</f>
        <v/>
      </c>
      <c r="U126">
        <f>IFERROR(XLOOKUP(A126,'Source Ledger'!$B$5:$B$200,'Source Ledger'!$H$5:$H$200),"")</f>
        <v/>
      </c>
      <c r="V126">
        <f>IFERROR(XLOOKUP(A126,'Source Ledger'!$B$5:$B$200,'Source Ledger'!$G$5:$G$200),"")</f>
        <v/>
      </c>
      <c r="W126">
        <f>IF(OR(M126="",T126=""),"",T126-M126)</f>
        <v/>
      </c>
      <c r="X126">
        <f>IF(V126="","No","Yes")</f>
        <v/>
      </c>
    </row>
    <row r="127">
      <c r="A127" s="7" t="inlineStr">
        <is>
          <t>MD-00123</t>
        </is>
      </c>
      <c r="B127" s="7">
        <f>IFERROR(XLOOKUP(A127,'Source Inventory'!$A$5:$A$200,'Source Inventory'!$B$5:$B$200),"")</f>
        <v/>
      </c>
      <c r="C127" s="7">
        <f>IFERROR(XLOOKUP(A127,'Source Inventory'!$A$5:$A$200,'Source Inventory'!$C$5:$C$200),"")</f>
        <v/>
      </c>
      <c r="D127" s="7">
        <f>IFERROR(XLOOKUP(A127,'Source Inventory'!$A$5:$A$200,'Source Inventory'!$D$5:$D$200),"")</f>
        <v/>
      </c>
      <c r="E127" s="7">
        <f>IFERROR(XLOOKUP(A127,'Source Inventory'!$A$5:$A$200,'Source Inventory'!$E$5:$E$200),"")</f>
        <v/>
      </c>
      <c r="F127" s="7">
        <f>IFERROR(XLOOKUP(A127,'Source Inventory'!$A$5:$A$200,'Source Inventory'!$F$5:$F$200),"")</f>
        <v/>
      </c>
      <c r="G127" s="7">
        <f>IFERROR(XLOOKUP(A127,'Source Inventory'!$A$5:$A$200,'Source Inventory'!$G$5:$G$200),"")</f>
        <v/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PO-2025-0025 and FA-000123 both cite MD-00123 (Microsoft Surface Laptop 5); register basis $1,130. transfer TR-00123 dated Mar 31, 2026, received 2026-04-03, APR-00123.</t>
        </is>
      </c>
      <c r="L127" s="7" t="inlineStr">
        <is>
          <t>2026-04-05</t>
        </is>
      </c>
      <c r="M127" s="7">
        <f>IFERROR(XLOOKUP(A127,'Source Inventory'!$A$5:$A$200,'Source Inventory'!$H$5:$H$200),"")</f>
        <v/>
      </c>
      <c r="N127" s="7" t="n">
        <v>622.62</v>
      </c>
      <c r="O127" s="7">
        <f>IFERROR(XLOOKUP(A127,'Source Ledger'!$B$5:$B$200,'Source Ledger'!$A$5:$A$200),"")</f>
        <v/>
      </c>
      <c r="P127" s="7">
        <f>IFERROR(XLOOKUP(A127,'Source Ledger'!$B$5:$B$200,'Source Ledger'!$D$5:$D$200),"")</f>
        <v/>
      </c>
      <c r="Q127" s="9" t="inlineStr">
        <is>
          <t>High</t>
        </is>
      </c>
      <c r="R127" s="7" t="inlineStr">
        <is>
          <t>EX-0156</t>
        </is>
      </c>
      <c r="S127" s="7">
        <f>IF(OR(R127="",R127=0),"No","Yes")</f>
        <v/>
      </c>
      <c r="T127">
        <f>IFERROR(XLOOKUP(A127,'Source Ledger'!$B$5:$B$200,'Source Ledger'!$E$5:$E$200),"")</f>
        <v/>
      </c>
      <c r="U127">
        <f>IFERROR(XLOOKUP(A127,'Source Ledger'!$B$5:$B$200,'Source Ledger'!$H$5:$H$200),"")</f>
        <v/>
      </c>
      <c r="V127">
        <f>IFERROR(XLOOKUP(A127,'Source Ledger'!$B$5:$B$200,'Source Ledger'!$G$5:$G$200),"")</f>
        <v/>
      </c>
      <c r="W127">
        <f>IF(OR(M127="",T127=""),"",T127-M127)</f>
        <v/>
      </c>
      <c r="X127">
        <f>IF(V127="","No","Yes")</f>
        <v/>
      </c>
    </row>
    <row r="128">
      <c r="A128" s="7" t="inlineStr">
        <is>
          <t>MD-00124</t>
        </is>
      </c>
      <c r="B128" s="7">
        <f>IFERROR(XLOOKUP(A128,'Source Inventory'!$A$5:$A$200,'Source Inventory'!$B$5:$B$200),"")</f>
        <v/>
      </c>
      <c r="C128" s="7">
        <f>IFERROR(XLOOKUP(A128,'Source Inventory'!$A$5:$A$200,'Source Inventory'!$C$5:$C$200),"")</f>
        <v/>
      </c>
      <c r="D128" s="7">
        <f>IFERROR(XLOOKUP(A128,'Source Inventory'!$A$5:$A$200,'Source Inventory'!$D$5:$D$200),"")</f>
        <v/>
      </c>
      <c r="E128" s="7">
        <f>IFERROR(XLOOKUP(A128,'Source Inventory'!$A$5:$A$200,'Source Inventory'!$E$5:$E$200),"")</f>
        <v/>
      </c>
      <c r="F128" s="7">
        <f>IFERROR(XLOOKUP(A128,'Source Inventory'!$A$5:$A$200,'Source Inventory'!$F$5:$F$200),"")</f>
        <v/>
      </c>
      <c r="G128" s="7">
        <f>IFERROR(XLOOKUP(A128,'Source Inventory'!$A$5:$A$200,'Source Inventory'!$G$5:$G$200),"")</f>
        <v/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PO-2022-0026 and FA-000124 both cite MD-00124 (Lenovo ThinkPad X1 Carbon); register basis $6,425. transfer TR-00124 dated May 01, 2026, received 2026-05-01, APR-00124.</t>
        </is>
      </c>
      <c r="L128" s="7" t="inlineStr">
        <is>
          <t>2026-05-06</t>
        </is>
      </c>
      <c r="M128" s="7">
        <f>IFERROR(XLOOKUP(A128,'Source Inventory'!$A$5:$A$200,'Source Inventory'!$H$5:$H$200),"")</f>
        <v/>
      </c>
      <c r="N128" s="7" t="n">
        <v>947.26</v>
      </c>
      <c r="O128" s="7">
        <f>IFERROR(XLOOKUP(A128,'Source Ledger'!$B$5:$B$200,'Source Ledger'!$A$5:$A$200),"")</f>
        <v/>
      </c>
      <c r="P128" s="7">
        <f>IFERROR(XLOOKUP(A128,'Source Ledger'!$B$5:$B$200,'Source Ledger'!$D$5:$D$200),"")</f>
        <v/>
      </c>
      <c r="Q128" s="9" t="inlineStr">
        <is>
          <t>High</t>
        </is>
      </c>
      <c r="R128" s="7" t="inlineStr">
        <is>
          <t>EX-0157</t>
        </is>
      </c>
      <c r="S128" s="7">
        <f>IF(OR(R128="",R128=0),"No","Yes")</f>
        <v/>
      </c>
      <c r="T128">
        <f>IFERROR(XLOOKUP(A128,'Source Ledger'!$B$5:$B$200,'Source Ledger'!$E$5:$E$200),"")</f>
        <v/>
      </c>
      <c r="U128">
        <f>IFERROR(XLOOKUP(A128,'Source Ledger'!$B$5:$B$200,'Source Ledger'!$H$5:$H$200),"")</f>
        <v/>
      </c>
      <c r="V128">
        <f>IFERROR(XLOOKUP(A128,'Source Ledger'!$B$5:$B$200,'Source Ledger'!$G$5:$G$200),"")</f>
        <v/>
      </c>
      <c r="W128">
        <f>IF(OR(M128="",T128=""),"",T128-M128)</f>
        <v/>
      </c>
      <c r="X128">
        <f>IF(V128="","No","Yes")</f>
        <v/>
      </c>
    </row>
    <row r="129">
      <c r="A129" s="7" t="inlineStr">
        <is>
          <t>MD-00125</t>
        </is>
      </c>
      <c r="B129" s="7">
        <f>IFERROR(XLOOKUP(A129,'Source Inventory'!$A$5:$A$200,'Source Inventory'!$B$5:$B$200),"")</f>
        <v/>
      </c>
      <c r="C129" s="7">
        <f>IFERROR(XLOOKUP(A129,'Source Inventory'!$A$5:$A$200,'Source Inventory'!$C$5:$C$200),"")</f>
        <v/>
      </c>
      <c r="D129" s="7">
        <f>IFERROR(XLOOKUP(A129,'Source Inventory'!$A$5:$A$200,'Source Inventory'!$D$5:$D$200),"")</f>
        <v/>
      </c>
      <c r="E129" s="7">
        <f>IFERROR(XLOOKUP(A129,'Source Inventory'!$A$5:$A$200,'Source Inventory'!$E$5:$E$200),"")</f>
        <v/>
      </c>
      <c r="F129" s="7">
        <f>IFERROR(XLOOKUP(A129,'Source Inventory'!$A$5:$A$200,'Source Inventory'!$F$5:$F$200),"")</f>
        <v/>
      </c>
      <c r="G129" s="7">
        <f>IFERROR(XLOOKUP(A129,'Source Inventory'!$A$5:$A$200,'Source Inventory'!$G$5:$G$200),"")</f>
        <v/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PO-2022-0026 and FA-000125 both cite MD-00125 (Lenovo ThinkPad T14); register basis $2,120. transfer TR-00125 dated Jun 05, 2026, received 2026-06-08, APR-00125.</t>
        </is>
      </c>
      <c r="L129" s="7" t="inlineStr">
        <is>
          <t>2026-06-07</t>
        </is>
      </c>
      <c r="M129" s="7">
        <f>IFERROR(XLOOKUP(A129,'Source Inventory'!$A$5:$A$200,'Source Inventory'!$H$5:$H$200),"")</f>
        <v/>
      </c>
      <c r="N129" s="7" t="n">
        <v>0</v>
      </c>
      <c r="O129" s="7">
        <f>IFERROR(XLOOKUP(A129,'Source Ledger'!$B$5:$B$200,'Source Ledger'!$A$5:$A$200),"")</f>
        <v/>
      </c>
      <c r="P129" s="7">
        <f>IFERROR(XLOOKUP(A129,'Source Ledger'!$B$5:$B$200,'Source Ledger'!$D$5:$D$200),"")</f>
        <v/>
      </c>
      <c r="Q129" s="9" t="inlineStr">
        <is>
          <t>High</t>
        </is>
      </c>
      <c r="R129" s="7" t="inlineStr">
        <is>
          <t>EX-0158</t>
        </is>
      </c>
      <c r="S129" s="7">
        <f>IF(OR(R129="",R129=0),"No","Yes")</f>
        <v/>
      </c>
      <c r="T129">
        <f>IFERROR(XLOOKUP(A129,'Source Ledger'!$B$5:$B$200,'Source Ledger'!$E$5:$E$200),"")</f>
        <v/>
      </c>
      <c r="U129">
        <f>IFERROR(XLOOKUP(A129,'Source Ledger'!$B$5:$B$200,'Source Ledger'!$H$5:$H$200),"")</f>
        <v/>
      </c>
      <c r="V129">
        <f>IFERROR(XLOOKUP(A129,'Source Ledger'!$B$5:$B$200,'Source Ledger'!$G$5:$G$200),"")</f>
        <v/>
      </c>
      <c r="W129">
        <f>IF(OR(M129="",T129=""),"",T129-M129)</f>
        <v/>
      </c>
      <c r="X129">
        <f>IF(V129="","No","Yes")</f>
        <v/>
      </c>
    </row>
    <row r="130">
      <c r="A130" s="7" t="inlineStr">
        <is>
          <t>MD-00126</t>
        </is>
      </c>
      <c r="B130" s="7">
        <f>IFERROR(XLOOKUP(A130,'Source Inventory'!$A$5:$A$200,'Source Inventory'!$B$5:$B$200),"")</f>
        <v/>
      </c>
      <c r="C130" s="7">
        <f>IFERROR(XLOOKUP(A130,'Source Inventory'!$A$5:$A$200,'Source Inventory'!$C$5:$C$200),"")</f>
        <v/>
      </c>
      <c r="D130" s="7">
        <f>IFERROR(XLOOKUP(A130,'Source Inventory'!$A$5:$A$200,'Source Inventory'!$D$5:$D$200),"")</f>
        <v/>
      </c>
      <c r="E130" s="7">
        <f>IFERROR(XLOOKUP(A130,'Source Inventory'!$A$5:$A$200,'Source Inventory'!$E$5:$E$200),"")</f>
        <v/>
      </c>
      <c r="F130" s="7">
        <f>IFERROR(XLOOKUP(A130,'Source Inventory'!$A$5:$A$200,'Source Inventory'!$F$5:$F$200),"")</f>
        <v/>
      </c>
      <c r="G130" s="7">
        <f>IFERROR(XLOOKUP(A130,'Source Inventory'!$A$5:$A$200,'Source Inventory'!$G$5:$G$200),"")</f>
        <v/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FA-000126 carries NBV $302.75 for MD-00126; operating status Available at Atlanta. transfer TR-00126 dated Jan 10, 2026, received 2026-01-12, APR-00126. purchasing extract lists PO-2022-0026.</t>
        </is>
      </c>
      <c r="L130" s="7" t="inlineStr">
        <is>
          <t>2026-01-08</t>
        </is>
      </c>
      <c r="M130" s="7">
        <f>IFERROR(XLOOKUP(A130,'Source Inventory'!$A$5:$A$200,'Source Inventory'!$H$5:$H$200),"")</f>
        <v/>
      </c>
      <c r="N130" s="7" t="n">
        <v>302.75</v>
      </c>
      <c r="O130" s="7">
        <f>IFERROR(XLOOKUP(A130,'Source Ledger'!$B$5:$B$200,'Source Ledger'!$A$5:$A$200),"")</f>
        <v/>
      </c>
      <c r="P130" s="7">
        <f>IFERROR(XLOOKUP(A130,'Source Ledger'!$B$5:$B$200,'Source Ledger'!$D$5:$D$200),"")</f>
        <v/>
      </c>
      <c r="Q130" s="9" t="inlineStr">
        <is>
          <t>High</t>
        </is>
      </c>
      <c r="R130" s="7" t="inlineStr">
        <is>
          <t>EX-0159</t>
        </is>
      </c>
      <c r="S130" s="7">
        <f>IF(OR(R130="",R130=0),"No","Yes")</f>
        <v/>
      </c>
      <c r="T130">
        <f>IFERROR(XLOOKUP(A130,'Source Ledger'!$B$5:$B$200,'Source Ledger'!$E$5:$E$200),"")</f>
        <v/>
      </c>
      <c r="U130">
        <f>IFERROR(XLOOKUP(A130,'Source Ledger'!$B$5:$B$200,'Source Ledger'!$H$5:$H$200),"")</f>
        <v/>
      </c>
      <c r="V130">
        <f>IFERROR(XLOOKUP(A130,'Source Ledger'!$B$5:$B$200,'Source Ledger'!$G$5:$G$200),"")</f>
        <v/>
      </c>
      <c r="W130">
        <f>IF(OR(M130="",T130=""),"",T130-M130)</f>
        <v/>
      </c>
      <c r="X130">
        <f>IF(V130="","No","Yes")</f>
        <v/>
      </c>
    </row>
    <row r="131">
      <c r="A131" s="7" t="inlineStr">
        <is>
          <t>MD-00127</t>
        </is>
      </c>
      <c r="B131" s="7">
        <f>IFERROR(XLOOKUP(A131,'Source Inventory'!$A$5:$A$200,'Source Inventory'!$B$5:$B$200),"")</f>
        <v/>
      </c>
      <c r="C131" s="7">
        <f>IFERROR(XLOOKUP(A131,'Source Inventory'!$A$5:$A$200,'Source Inventory'!$C$5:$C$200),"")</f>
        <v/>
      </c>
      <c r="D131" s="7">
        <f>IFERROR(XLOOKUP(A131,'Source Inventory'!$A$5:$A$200,'Source Inventory'!$D$5:$D$200),"")</f>
        <v/>
      </c>
      <c r="E131" s="7">
        <f>IFERROR(XLOOKUP(A131,'Source Inventory'!$A$5:$A$200,'Source Inventory'!$E$5:$E$200),"")</f>
        <v/>
      </c>
      <c r="F131" s="7">
        <f>IFERROR(XLOOKUP(A131,'Source Inventory'!$A$5:$A$200,'Source Inventory'!$F$5:$F$200),"")</f>
        <v/>
      </c>
      <c r="G131" s="7">
        <f>IFERROR(XLOOKUP(A131,'Source Inventory'!$A$5:$A$200,'Source Inventory'!$G$5:$G$200),"")</f>
        <v/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FA-000127 carries NBV $662.65 for MD-00127; operating status In Use at Denver. HR row shows Liam Keane (E0061) as Transferred. transfer TR-00127 dated Feb 11, 2026, received 2026-02-17, approval blank. purchasing extract lists PO-2022-0026.</t>
        </is>
      </c>
      <c r="L131" s="7" t="inlineStr">
        <is>
          <t>2026-08-05</t>
        </is>
      </c>
      <c r="M131" s="7">
        <f>IFERROR(XLOOKUP(A131,'Source Inventory'!$A$5:$A$200,'Source Inventory'!$H$5:$H$200),"")</f>
        <v/>
      </c>
      <c r="N131" s="7" t="n">
        <v>662.65</v>
      </c>
      <c r="O131" s="7">
        <f>IFERROR(XLOOKUP(A131,'Source Ledger'!$B$5:$B$200,'Source Ledger'!$A$5:$A$200),"")</f>
        <v/>
      </c>
      <c r="P131" s="7">
        <f>IFERROR(XLOOKUP(A131,'Source Ledger'!$B$5:$B$200,'Source Ledger'!$D$5:$D$200),"")</f>
        <v/>
      </c>
      <c r="Q131" s="7" t="inlineStr">
        <is>
          <t>Medium</t>
        </is>
      </c>
      <c r="R131" s="7" t="inlineStr">
        <is>
          <t>EX-0160</t>
        </is>
      </c>
      <c r="S131" s="7">
        <f>IF(OR(R131="",R131=0),"No","Yes")</f>
        <v/>
      </c>
      <c r="T131">
        <f>IFERROR(XLOOKUP(A131,'Source Ledger'!$B$5:$B$200,'Source Ledger'!$E$5:$E$200),"")</f>
        <v/>
      </c>
      <c r="U131">
        <f>IFERROR(XLOOKUP(A131,'Source Ledger'!$B$5:$B$200,'Source Ledger'!$H$5:$H$200),"")</f>
        <v/>
      </c>
      <c r="V131">
        <f>IFERROR(XLOOKUP(A131,'Source Ledger'!$B$5:$B$200,'Source Ledger'!$G$5:$G$200),"")</f>
        <v/>
      </c>
      <c r="W131">
        <f>IF(OR(M131="",T131=""),"",T131-M131)</f>
        <v/>
      </c>
      <c r="X131">
        <f>IF(V131="","No","Yes")</f>
        <v/>
      </c>
    </row>
    <row r="132">
      <c r="A132" s="7" t="inlineStr">
        <is>
          <t>MD-00128</t>
        </is>
      </c>
      <c r="B132" s="7">
        <f>IFERROR(XLOOKUP(A132,'Source Inventory'!$A$5:$A$200,'Source Inventory'!$B$5:$B$200),"")</f>
        <v/>
      </c>
      <c r="C132" s="7">
        <f>IFERROR(XLOOKUP(A132,'Source Inventory'!$A$5:$A$200,'Source Inventory'!$C$5:$C$200),"")</f>
        <v/>
      </c>
      <c r="D132" s="7">
        <f>IFERROR(XLOOKUP(A132,'Source Inventory'!$A$5:$A$200,'Source Inventory'!$D$5:$D$200),"")</f>
        <v/>
      </c>
      <c r="E132" s="7">
        <f>IFERROR(XLOOKUP(A132,'Source Inventory'!$A$5:$A$200,'Source Inventory'!$E$5:$E$200),"")</f>
        <v/>
      </c>
      <c r="F132" s="7">
        <f>IFERROR(XLOOKUP(A132,'Source Inventory'!$A$5:$A$200,'Source Inventory'!$F$5:$F$200),"")</f>
        <v/>
      </c>
      <c r="G132" s="7">
        <f>IFERROR(XLOOKUP(A132,'Source Inventory'!$A$5:$A$200,'Source Inventory'!$G$5:$G$200),"")</f>
        <v/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FA-000128 carries NBV $1,364.77 for MD-00128; operating status In Use at New York. HR row shows Bianca Silva (E0062) as Transferred. transfer TR-00128 dated Mar 16, 2026, received 2026-03-19, APR-00128. purchasing extract lists PO-2022-0026.</t>
        </is>
      </c>
      <c r="L132" s="7" t="inlineStr">
        <is>
          <t>2026-08-05</t>
        </is>
      </c>
      <c r="M132" s="7">
        <f>IFERROR(XLOOKUP(A132,'Source Inventory'!$A$5:$A$200,'Source Inventory'!$H$5:$H$200),"")</f>
        <v/>
      </c>
      <c r="N132" s="7" t="n">
        <v>1364.77</v>
      </c>
      <c r="O132" s="7">
        <f>IFERROR(XLOOKUP(A132,'Source Ledger'!$B$5:$B$200,'Source Ledger'!$A$5:$A$200),"")</f>
        <v/>
      </c>
      <c r="P132" s="7">
        <f>IFERROR(XLOOKUP(A132,'Source Ledger'!$B$5:$B$200,'Source Ledger'!$D$5:$D$200),"")</f>
        <v/>
      </c>
      <c r="Q132" s="9" t="inlineStr">
        <is>
          <t>High</t>
        </is>
      </c>
      <c r="R132" s="7" t="inlineStr"/>
      <c r="S132" s="7">
        <f>IF(OR(R132="",R132=0),"No","Yes")</f>
        <v/>
      </c>
      <c r="T132">
        <f>IFERROR(XLOOKUP(A132,'Source Ledger'!$B$5:$B$200,'Source Ledger'!$E$5:$E$200),"")</f>
        <v/>
      </c>
      <c r="U132">
        <f>IFERROR(XLOOKUP(A132,'Source Ledger'!$B$5:$B$200,'Source Ledger'!$H$5:$H$200),"")</f>
        <v/>
      </c>
      <c r="V132">
        <f>IFERROR(XLOOKUP(A132,'Source Ledger'!$B$5:$B$200,'Source Ledger'!$G$5:$G$200),"")</f>
        <v/>
      </c>
      <c r="W132">
        <f>IF(OR(M132="",T132=""),"",T132-M132)</f>
        <v/>
      </c>
      <c r="X132">
        <f>IF(V132="","No","Yes")</f>
        <v/>
      </c>
    </row>
    <row r="133">
      <c r="A133" s="7" t="inlineStr">
        <is>
          <t>MD-00129</t>
        </is>
      </c>
      <c r="B133" s="7">
        <f>IFERROR(XLOOKUP(A133,'Source Inventory'!$A$5:$A$200,'Source Inventory'!$B$5:$B$200),"")</f>
        <v/>
      </c>
      <c r="C133" s="7">
        <f>IFERROR(XLOOKUP(A133,'Source Inventory'!$A$5:$A$200,'Source Inventory'!$C$5:$C$200),"")</f>
        <v/>
      </c>
      <c r="D133" s="7">
        <f>IFERROR(XLOOKUP(A133,'Source Inventory'!$A$5:$A$200,'Source Inventory'!$D$5:$D$200),"")</f>
        <v/>
      </c>
      <c r="E133" s="7">
        <f>IFERROR(XLOOKUP(A133,'Source Inventory'!$A$5:$A$200,'Source Inventory'!$E$5:$E$200),"")</f>
        <v/>
      </c>
      <c r="F133" s="7">
        <f>IFERROR(XLOOKUP(A133,'Source Inventory'!$A$5:$A$200,'Source Inventory'!$F$5:$F$200),"")</f>
        <v/>
      </c>
      <c r="G133" s="7">
        <f>IFERROR(XLOOKUP(A133,'Source Inventory'!$A$5:$A$200,'Source Inventory'!$G$5:$G$200),"")</f>
        <v/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FA-000129 carries NBV $111.86 for MD-00129; operating status In Use at Seattle. HR row shows Greg Hollis (E0063) as Transferred. transfer TR-00129 dated Apr 20, 2026, received 2026-04-21, APR-00129. purchasing extract lists PO-2022-0026.</t>
        </is>
      </c>
      <c r="L133" s="7" t="inlineStr">
        <is>
          <t>2026-08-05</t>
        </is>
      </c>
      <c r="M133" s="7">
        <f>IFERROR(XLOOKUP(A133,'Source Inventory'!$A$5:$A$200,'Source Inventory'!$H$5:$H$200),"")</f>
        <v/>
      </c>
      <c r="N133" s="7" t="n">
        <v>111.86</v>
      </c>
      <c r="O133" s="7">
        <f>IFERROR(XLOOKUP(A133,'Source Ledger'!$B$5:$B$200,'Source Ledger'!$A$5:$A$200),"")</f>
        <v/>
      </c>
      <c r="P133" s="7">
        <f>IFERROR(XLOOKUP(A133,'Source Ledger'!$B$5:$B$200,'Source Ledger'!$D$5:$D$200),"")</f>
        <v/>
      </c>
      <c r="Q133" s="9" t="inlineStr">
        <is>
          <t>High</t>
        </is>
      </c>
      <c r="R133" s="7" t="inlineStr"/>
      <c r="S133" s="7">
        <f>IF(OR(R133="",R133=0),"No","Yes")</f>
        <v/>
      </c>
      <c r="T133">
        <f>IFERROR(XLOOKUP(A133,'Source Ledger'!$B$5:$B$200,'Source Ledger'!$E$5:$E$200),"")</f>
        <v/>
      </c>
      <c r="U133">
        <f>IFERROR(XLOOKUP(A133,'Source Ledger'!$B$5:$B$200,'Source Ledger'!$H$5:$H$200),"")</f>
        <v/>
      </c>
      <c r="V133">
        <f>IFERROR(XLOOKUP(A133,'Source Ledger'!$B$5:$B$200,'Source Ledger'!$G$5:$G$200),"")</f>
        <v/>
      </c>
      <c r="W133">
        <f>IF(OR(M133="",T133=""),"",T133-M133)</f>
        <v/>
      </c>
      <c r="X133">
        <f>IF(V133="","No","Yes")</f>
        <v/>
      </c>
    </row>
    <row r="134">
      <c r="A134" s="7" t="inlineStr">
        <is>
          <t>MD-00130</t>
        </is>
      </c>
      <c r="B134" s="7">
        <f>IFERROR(XLOOKUP(A134,'Source Inventory'!$A$5:$A$200,'Source Inventory'!$B$5:$B$200),"")</f>
        <v/>
      </c>
      <c r="C134" s="7">
        <f>IFERROR(XLOOKUP(A134,'Source Inventory'!$A$5:$A$200,'Source Inventory'!$C$5:$C$200),"")</f>
        <v/>
      </c>
      <c r="D134" s="7">
        <f>IFERROR(XLOOKUP(A134,'Source Inventory'!$A$5:$A$200,'Source Inventory'!$D$5:$D$200),"")</f>
        <v/>
      </c>
      <c r="E134" s="7">
        <f>IFERROR(XLOOKUP(A134,'Source Inventory'!$A$5:$A$200,'Source Inventory'!$E$5:$E$200),"")</f>
        <v/>
      </c>
      <c r="F134" s="7">
        <f>IFERROR(XLOOKUP(A134,'Source Inventory'!$A$5:$A$200,'Source Inventory'!$F$5:$F$200),"")</f>
        <v/>
      </c>
      <c r="G134" s="7">
        <f>IFERROR(XLOOKUP(A134,'Source Inventory'!$A$5:$A$200,'Source Inventory'!$G$5:$G$200),"")</f>
        <v/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MD-00130 / MD-MO-050130: Lenovo ThinkPad T14 at Atlanta marked In Use; acquisition $700. transfer TR-00130 dated May 22, 2026, received 2026-05-28, APR-00130. HR row shows Naomi Berger (E0064) as Transferred. PO-2023-0023 under $2,500 gate - FAR silence expected (ITAM-001 §7).</t>
        </is>
      </c>
      <c r="L134" s="7" t="inlineStr">
        <is>
          <t>2026-08-05</t>
        </is>
      </c>
      <c r="M134" s="7">
        <f>IFERROR(XLOOKUP(A134,'Source Inventory'!$A$5:$A$200,'Source Inventory'!$H$5:$H$200),"")</f>
        <v/>
      </c>
      <c r="N134" s="7">
        <f>IF(V134="","",V134)</f>
        <v/>
      </c>
      <c r="O134" s="7">
        <f>IFERROR(XLOOKUP(A134,'Source Ledger'!$B$5:$B$200,'Source Ledger'!$A$5:$A$200),"")</f>
        <v/>
      </c>
      <c r="P134" s="7">
        <f>IFERROR(XLOOKUP(A134,'Source Ledger'!$B$5:$B$200,'Source Ledger'!$D$5:$D$200),"")</f>
        <v/>
      </c>
      <c r="Q134" s="9" t="inlineStr">
        <is>
          <t>High</t>
        </is>
      </c>
      <c r="R134" s="7" t="inlineStr">
        <is>
          <t>EX-0161</t>
        </is>
      </c>
      <c r="S134" s="7">
        <f>IF(OR(R134="",R134=0),"No","Yes")</f>
        <v/>
      </c>
      <c r="T134">
        <f>IFERROR(XLOOKUP(A134,'Source Ledger'!$B$5:$B$200,'Source Ledger'!$E$5:$E$200),"")</f>
        <v/>
      </c>
      <c r="U134">
        <f>IFERROR(XLOOKUP(A134,'Source Ledger'!$B$5:$B$200,'Source Ledger'!$H$5:$H$200),"")</f>
        <v/>
      </c>
      <c r="V134">
        <f>IFERROR(XLOOKUP(A134,'Source Ledger'!$B$5:$B$200,'Source Ledger'!$G$5:$G$200),"")</f>
        <v/>
      </c>
      <c r="W134">
        <f>IF(OR(M134="",T134=""),"",T134-M134)</f>
        <v/>
      </c>
      <c r="X134">
        <f>IF(V134="","No","Yes")</f>
        <v/>
      </c>
    </row>
    <row r="135">
      <c r="A135" s="7" t="inlineStr">
        <is>
          <t>MD-00131</t>
        </is>
      </c>
      <c r="B135" s="7">
        <f>IFERROR(XLOOKUP(A135,'Source Inventory'!$A$5:$A$200,'Source Inventory'!$B$5:$B$200),"")</f>
        <v/>
      </c>
      <c r="C135" s="7">
        <f>IFERROR(XLOOKUP(A135,'Source Inventory'!$A$5:$A$200,'Source Inventory'!$C$5:$C$200),"")</f>
        <v/>
      </c>
      <c r="D135" s="7">
        <f>IFERROR(XLOOKUP(A135,'Source Inventory'!$A$5:$A$200,'Source Inventory'!$D$5:$D$200),"")</f>
        <v/>
      </c>
      <c r="E135" s="7">
        <f>IFERROR(XLOOKUP(A135,'Source Inventory'!$A$5:$A$200,'Source Inventory'!$E$5:$E$200),"")</f>
        <v/>
      </c>
      <c r="F135" s="7">
        <f>IFERROR(XLOOKUP(A135,'Source Inventory'!$A$5:$A$200,'Source Inventory'!$F$5:$F$200),"")</f>
        <v/>
      </c>
      <c r="G135" s="7">
        <f>IFERROR(XLOOKUP(A135,'Source Inventory'!$A$5:$A$200,'Source Inventory'!$G$5:$G$200),"")</f>
        <v/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MD-00131 / MD-MO-050131: MacBook Pro 14 at Chicago marked In Use; acquisition $1,175. transfer TR-00131 dated Jun 26, 2026, received 2026-06-28, APR-00131. HR row shows Felix Moreno (E0065) as Transferred. PO-2023-0023 under $2,500 gate - FAR silence expected (ITAM-001 §7).</t>
        </is>
      </c>
      <c r="L135" s="7" t="inlineStr">
        <is>
          <t>2026-08-05</t>
        </is>
      </c>
      <c r="M135" s="7">
        <f>IFERROR(XLOOKUP(A135,'Source Inventory'!$A$5:$A$200,'Source Inventory'!$H$5:$H$200),"")</f>
        <v/>
      </c>
      <c r="N135" s="7">
        <f>IF(V135="","",V135)</f>
        <v/>
      </c>
      <c r="O135" s="7">
        <f>IFERROR(XLOOKUP(A135,'Source Ledger'!$B$5:$B$200,'Source Ledger'!$A$5:$A$200),"")</f>
        <v/>
      </c>
      <c r="P135" s="7">
        <f>IFERROR(XLOOKUP(A135,'Source Ledger'!$B$5:$B$200,'Source Ledger'!$D$5:$D$200),"")</f>
        <v/>
      </c>
      <c r="Q135" s="9" t="inlineStr">
        <is>
          <t>High</t>
        </is>
      </c>
      <c r="R135" s="7" t="inlineStr">
        <is>
          <t>EX-0162</t>
        </is>
      </c>
      <c r="S135" s="7">
        <f>IF(OR(R135="",R135=0),"No","Yes")</f>
        <v/>
      </c>
      <c r="T135">
        <f>IFERROR(XLOOKUP(A135,'Source Ledger'!$B$5:$B$200,'Source Ledger'!$E$5:$E$200),"")</f>
        <v/>
      </c>
      <c r="U135">
        <f>IFERROR(XLOOKUP(A135,'Source Ledger'!$B$5:$B$200,'Source Ledger'!$H$5:$H$200),"")</f>
        <v/>
      </c>
      <c r="V135">
        <f>IFERROR(XLOOKUP(A135,'Source Ledger'!$B$5:$B$200,'Source Ledger'!$G$5:$G$200),"")</f>
        <v/>
      </c>
      <c r="W135">
        <f>IF(OR(M135="",T135=""),"",T135-M135)</f>
        <v/>
      </c>
      <c r="X135">
        <f>IF(V135="","No","Yes")</f>
        <v/>
      </c>
    </row>
    <row r="136">
      <c r="A136" s="7" t="inlineStr">
        <is>
          <t>MD-00132</t>
        </is>
      </c>
      <c r="B136" s="7">
        <f>IFERROR(XLOOKUP(A136,'Source Inventory'!$A$5:$A$200,'Source Inventory'!$B$5:$B$200),"")</f>
        <v/>
      </c>
      <c r="C136" s="7">
        <f>IFERROR(XLOOKUP(A136,'Source Inventory'!$A$5:$A$200,'Source Inventory'!$C$5:$C$200),"")</f>
        <v/>
      </c>
      <c r="D136" s="7">
        <f>IFERROR(XLOOKUP(A136,'Source Inventory'!$A$5:$A$200,'Source Inventory'!$D$5:$D$200),"")</f>
        <v/>
      </c>
      <c r="E136" s="7">
        <f>IFERROR(XLOOKUP(A136,'Source Inventory'!$A$5:$A$200,'Source Inventory'!$E$5:$E$200),"")</f>
        <v/>
      </c>
      <c r="F136" s="7">
        <f>IFERROR(XLOOKUP(A136,'Source Inventory'!$A$5:$A$200,'Source Inventory'!$F$5:$F$200),"")</f>
        <v/>
      </c>
      <c r="G136" s="7">
        <f>IFERROR(XLOOKUP(A136,'Source Inventory'!$A$5:$A$200,'Source Inventory'!$G$5:$G$200),"")</f>
        <v/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MD-00132 / MD-NE-050132: Dell Latitude 7440 at Dallas marked In Use; acquisition $6,470. transfer TR-00132 dated Jan 30, 2026, received 2026-01-31, APR-00132. HR row shows Sharon Quinlan (E0066) as Transferred. RN-0132 rejected; $6,470 capital-qualifying with no FA row.</t>
        </is>
      </c>
      <c r="L136" s="7" t="inlineStr">
        <is>
          <t>2026-08-05</t>
        </is>
      </c>
      <c r="M136" s="7">
        <f>IFERROR(XLOOKUP(A136,'Source Inventory'!$A$5:$A$200,'Source Inventory'!$H$5:$H$200),"")</f>
        <v/>
      </c>
      <c r="N136" s="7">
        <f>IF(V136="","",V136)</f>
        <v/>
      </c>
      <c r="O136" s="7">
        <f>IFERROR(XLOOKUP(A136,'Source Ledger'!$B$5:$B$200,'Source Ledger'!$A$5:$A$200),"")</f>
        <v/>
      </c>
      <c r="P136" s="7">
        <f>IFERROR(XLOOKUP(A136,'Source Ledger'!$B$5:$B$200,'Source Ledger'!$D$5:$D$200),"")</f>
        <v/>
      </c>
      <c r="Q136" s="9" t="inlineStr">
        <is>
          <t>High</t>
        </is>
      </c>
      <c r="R136" s="7" t="inlineStr">
        <is>
          <t>EX-0163</t>
        </is>
      </c>
      <c r="S136" s="7">
        <f>IF(OR(R136="",R136=0),"No","Yes")</f>
        <v/>
      </c>
      <c r="T136">
        <f>IFERROR(XLOOKUP(A136,'Source Ledger'!$B$5:$B$200,'Source Ledger'!$E$5:$E$200),"")</f>
        <v/>
      </c>
      <c r="U136">
        <f>IFERROR(XLOOKUP(A136,'Source Ledger'!$B$5:$B$200,'Source Ledger'!$H$5:$H$200),"")</f>
        <v/>
      </c>
      <c r="V136">
        <f>IFERROR(XLOOKUP(A136,'Source Ledger'!$B$5:$B$200,'Source Ledger'!$G$5:$G$200),"")</f>
        <v/>
      </c>
      <c r="W136">
        <f>IF(OR(M136="",T136=""),"",T136-M136)</f>
        <v/>
      </c>
      <c r="X136">
        <f>IF(V136="","No","Yes")</f>
        <v/>
      </c>
    </row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2">
    <mergeCell ref="A2:S2"/>
    <mergeCell ref="A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PO:PO-2025-0004; RegisterCost:1985.0; LedgerCost:2070.0; OverDepreciation:90.0</t>
        </is>
      </c>
      <c r="G5" s="7">
        <f>IF(B5="Inventory-to-Ledger Difference",IF(IFERROR(XLOOKUP(D5,'Source Ledger'!$B$5:$B$200,'Source Ledger'!$H$5:$H$200),"")="Disposed",IFERROR(XLOOKUP(D5,'Source Ledger'!$B$5:$B$200,'Source Ledger'!$G$5:$G$200),0),IF(IFERROR(XLOOKUP(D5,'Source Ledger'!$B$5:$B$200,'Source Ledger'!$E$5:$E$200),"")="",IFERROR(XLOOKUP(D5,'Corrected Register'!$A$5:$A$200,'Corrected Register'!$M$5:$M$200),0),ABS(IFERROR(XLOOKUP(D5,'Source Ledger'!$B$5:$B$200,'Source Ledger'!$E$5:$E$200),0)-IFERROR(XLOOKUP(D5,'Corrected Register'!$A$5:$A$200,'Corrected Register'!$M$5:$M$200),0)))),IFERROR(XLOOKUP(D5,'Corrected Register'!$A$5:$A$200,'Corrected Register'!$N$5:$N$200),0))</f>
        <v>85</v>
      </c>
      <c r="H5" s="7" t="inlineStr">
        <is>
          <t>Finance Controller: clear over-depreciation and cost basis on FA-000017 / MD-00017 before relying on NBV.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PO-2025-0004 supports register $1,985 on MD-00017; FA-000017 carries $2,070 and $2,160 accumulated depreciation ( $90 above the ledger acquisition line).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across MD-00021 and MD-00025; Serial:MD-LA-050021; AlsoTagged:MD-00021,MD-00025</t>
        </is>
      </c>
      <c r="G6" s="7">
        <f>IF(B6="Inventory-to-Ledger Difference",IF(IFERROR(XLOOKUP(D6,'Source Ledger'!$B$5:$B$200,'Source Ledger'!$H$5:$H$200),"")="Disposed",IFERROR(XLOOKUP(D6,'Source Ledger'!$B$5:$B$200,'Source Ledger'!$G$5:$G$200),0),IF(IFERROR(XLOOKUP(D6,'Source Ledger'!$B$5:$B$200,'Source Ledger'!$E$5:$E$200),"")="",IFERROR(XLOOKUP(D6,'Corrected Register'!$A$5:$A$200,'Corrected Register'!$M$5:$M$200),0),ABS(IFERROR(XLOOKUP(D6,'Source Ledger'!$B$5:$B$200,'Source Ledger'!$E$5:$E$200),0)-IFERROR(XLOOKUP(D6,'Corrected Register'!$A$5:$A$200,'Corrected Register'!$M$5:$M$200),0)))),IFERROR(XLOOKUP(D6,'Corrected Register'!$A$5:$A$200,'Corrected Register'!$N$5:$N$200),0))</f>
        <v>124.52</v>
      </c>
      <c r="H6" s="7" t="inlineStr">
        <is>
          <t>Bench-validate and retag duplicate serial MD-LA-050021 involving MD-00021 (EX-0002).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is shared by MD-00021 and MD-00021,MD-00025; bench validation and retag required (EX-0002).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Difference",IF(IFERROR(XLOOKUP(D7,'Source Ledger'!$B$5:$B$200,'Source Ledger'!$H$5:$H$200),"")="Disposed",IFERROR(XLOOKUP(D7,'Source Ledger'!$B$5:$B$200,'Source Ledger'!$G$5:$G$200),0),IF(IFERROR(XLOOKUP(D7,'Source Ledger'!$B$5:$B$200,'Source Ledger'!$E$5:$E$200),"")="",IFERROR(XLOOKUP(D7,'Corrected Register'!$A$5:$A$200,'Corrected Register'!$M$5:$M$200),0),ABS(IFERROR(XLOOKUP(D7,'Source Ledger'!$B$5:$B$200,'Source Ledger'!$E$5:$E$200),0)-IFERROR(XLOOKUP(D7,'Corrected Register'!$A$5:$A$200,'Corrected Register'!$M$5:$M$200),0)))),IFERROR(XLOOKUP(D7,'Corrected Register'!$A$5:$A$200,'Corrected Register'!$N$5:$N$200),0))</f>
        <v>0</v>
      </c>
      <c r="H7" s="7" t="inlineStr">
        <is>
          <t>IT Asset Specialist: post Chicago on MD-00025 and retire Denver - Closed (EX-0003).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opened under EX-0003 — register location for MD-00025 was never flipped off Denver - Closed; TR-00025 already points inbound to Chicago; live footprint is Chicago.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across MD-00021 and MD-00025; Serial:MD-LA-050021; AlsoTagged:MD-00021,MD-00025</t>
        </is>
      </c>
      <c r="G8" s="7">
        <f>IF(B8="Inventory-to-Ledger Difference",IF(IFERROR(XLOOKUP(D8,'Source Ledger'!$B$5:$B$200,'Source Ledger'!$H$5:$H$200),"")="Disposed",IFERROR(XLOOKUP(D8,'Source Ledger'!$B$5:$B$200,'Source Ledger'!$G$5:$G$200),0),IF(IFERROR(XLOOKUP(D8,'Source Ledger'!$B$5:$B$200,'Source Ledger'!$E$5:$E$200),"")="",IFERROR(XLOOKUP(D8,'Corrected Register'!$A$5:$A$200,'Corrected Register'!$M$5:$M$200),0),ABS(IFERROR(XLOOKUP(D8,'Source Ledger'!$B$5:$B$200,'Source Ledger'!$E$5:$E$200),0)-IFERROR(XLOOKUP(D8,'Corrected Register'!$A$5:$A$200,'Corrected Register'!$M$5:$M$200),0)))),IFERROR(XLOOKUP(D8,'Corrected Register'!$A$5:$A$200,'Corrected Register'!$N$5:$N$200),0))</f>
        <v>0</v>
      </c>
      <c r="H8" s="7" t="inlineStr">
        <is>
          <t>Bench-validate and retag duplicate serial MD-LA-050021 involving MD-00025 (EX-0004).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is shared by MD-00025 and MD-00021,MD-00025; bench validation and retag required (EX-0004).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Difference",IF(IFERROR(XLOOKUP(D9,'Source Ledger'!$B$5:$B$200,'Source Ledger'!$H$5:$H$200),"")="Disposed",IFERROR(XLOOKUP(D9,'Source Ledger'!$B$5:$B$200,'Source Ledger'!$G$5:$G$200),0),IF(IFERROR(XLOOKUP(D9,'Source Ledger'!$B$5:$B$200,'Source Ledger'!$E$5:$E$200),"")="",IFERROR(XLOOKUP(D9,'Corrected Register'!$A$5:$A$200,'Corrected Register'!$M$5:$M$200),0),ABS(IFERROR(XLOOKUP(D9,'Source Ledger'!$B$5:$B$200,'Source Ledger'!$E$5:$E$200),0)-IFERROR(XLOOKUP(D9,'Corrected Register'!$A$5:$A$200,'Corrected Register'!$M$5:$M$200),0)))),IFERROR(XLOOKUP(D9,'Corrected Register'!$A$5:$A$200,'Corrected Register'!$N$5:$N$200),0))</f>
        <v>382.34</v>
      </c>
      <c r="H9" s="7" t="inlineStr">
        <is>
          <t>EX-0005: location hygiene on MD-00026 — replace Chicago - Closed with Dallas.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Chicago - Closed remains on MD-00026 after the consolidation cutover; TR-00026 already points inbound to Dallas; live footprint is Dallas; see EX-0005.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Difference",IF(IFERROR(XLOOKUP(D10,'Source Ledger'!$B$5:$B$200,'Source Ledger'!$H$5:$H$200),"")="Disposed",IFERROR(XLOOKUP(D10,'Source Ledger'!$B$5:$B$200,'Source Ledger'!$G$5:$G$200),0),IF(IFERROR(XLOOKUP(D10,'Source Ledger'!$B$5:$B$200,'Source Ledger'!$E$5:$E$200),"")="",IFERROR(XLOOKUP(D10,'Corrected Register'!$A$5:$A$200,'Corrected Register'!$M$5:$M$200),0),ABS(IFERROR(XLOOKUP(D10,'Source Ledger'!$B$5:$B$200,'Source Ledger'!$E$5:$E$200),0)-IFERROR(XLOOKUP(D10,'Corrected Register'!$A$5:$A$200,'Corrected Register'!$M$5:$M$200),0)))),IFERROR(XLOOKUP(D10,'Corrected Register'!$A$5:$A$200,'Corrected Register'!$N$5:$N$200),0))</f>
        <v>672.21</v>
      </c>
      <c r="H10" s="7" t="inlineStr">
        <is>
          <t>Pending register edit EX-0006: MD-00027 should show Denver, not Denver - Closed.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MD-00027 still shows closed floor Denver - Closed on the extract; TR-00027 already points inbound to Denver; live footprint is Denver; logged as EX-0006.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Difference",IF(IFERROR(XLOOKUP(D11,'Source Ledger'!$B$5:$B$200,'Source Ledger'!$H$5:$H$200),"")="Disposed",IFERROR(XLOOKUP(D11,'Source Ledger'!$B$5:$B$200,'Source Ledger'!$G$5:$G$200),0),IF(IFERROR(XLOOKUP(D11,'Source Ledger'!$B$5:$B$200,'Source Ledger'!$E$5:$E$200),"")="",IFERROR(XLOOKUP(D11,'Corrected Register'!$A$5:$A$200,'Corrected Register'!$M$5:$M$200),0),ABS(IFERROR(XLOOKUP(D11,'Source Ledger'!$B$5:$B$200,'Source Ledger'!$E$5:$E$200),0)-IFERROR(XLOOKUP(D11,'Corrected Register'!$A$5:$A$200,'Corrected Register'!$M$5:$M$200),0)))),IFERROR(XLOOKUP(D11,'Corrected Register'!$A$5:$A$200,'Corrected Register'!$N$5:$N$200),0))</f>
        <v>914.09</v>
      </c>
      <c r="H11" s="7" t="inlineStr">
        <is>
          <t>Register fix for MD-00028 — drop Chicago - Closed, keep New York; reference TR-00028. EX-0007.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ticketed EX-0007; site field on MD-00028 (MD-NE-050028) still reads Chicago - Closed; TR-00028 already points inbound to New York; live footprint is New York.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Difference",IF(IFERROR(XLOOKUP(D12,'Source Ledger'!$B$5:$B$200,'Source Ledger'!$H$5:$H$200),"")="Disposed",IFERROR(XLOOKUP(D12,'Source Ledger'!$B$5:$B$200,'Source Ledger'!$G$5:$G$200),0),IF(IFERROR(XLOOKUP(D12,'Source Ledger'!$B$5:$B$200,'Source Ledger'!$E$5:$E$200),"")="",IFERROR(XLOOKUP(D12,'Corrected Register'!$A$5:$A$200,'Corrected Register'!$M$5:$M$200),0),ABS(IFERROR(XLOOKUP(D12,'Source Ledger'!$B$5:$B$200,'Source Ledger'!$E$5:$E$200),0)-IFERROR(XLOOKUP(D12,'Corrected Register'!$A$5:$A$200,'Corrected Register'!$M$5:$M$200),0)))),IFERROR(XLOOKUP(D12,'Corrected Register'!$A$5:$A$200,'Corrected Register'!$N$5:$N$200),0))</f>
        <v>0</v>
      </c>
      <c r="H12" s="7" t="inlineStr">
        <is>
          <t>Do not certify MD-00029 while location still says Denver - Closed; target Seattle (EX-0008).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Denver - Closed remains on MD-00029 after the consolidation cutover; TR-00029 already points inbound to Seattle; live footprint is Seattle; see EX-0008.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Difference",IF(IFERROR(XLOOKUP(D13,'Source Ledger'!$B$5:$B$200,'Source Ledger'!$H$5:$H$200),"")="Disposed",IFERROR(XLOOKUP(D13,'Source Ledger'!$B$5:$B$200,'Source Ledger'!$G$5:$G$200),0),IF(IFERROR(XLOOKUP(D13,'Source Ledger'!$B$5:$B$200,'Source Ledger'!$E$5:$E$200),"")="",IFERROR(XLOOKUP(D13,'Corrected Register'!$A$5:$A$200,'Corrected Register'!$M$5:$M$200),0),ABS(IFERROR(XLOOKUP(D13,'Source Ledger'!$B$5:$B$200,'Source Ledger'!$E$5:$E$200),0)-IFERROR(XLOOKUP(D13,'Corrected Register'!$A$5:$A$200,'Corrected Register'!$M$5:$M$200),0)))),IFERROR(XLOOKUP(D13,'Corrected Register'!$A$5:$A$200,'Corrected Register'!$N$5:$N$200),0))</f>
        <v>355.14</v>
      </c>
      <c r="H13" s="7" t="inlineStr">
        <is>
          <t>Register fix for MD-00030 — drop Chicago - Closed, keep Atlanta; reference TR-00030. EX-0009.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Chicago - Closed remains on MD-00030 after the consolidation cutover — TR-00030 already points inbound to Atlanta; live footprint is Atlanta; see EX-0009.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Difference",IF(IFERROR(XLOOKUP(D14,'Source Ledger'!$B$5:$B$200,'Source Ledger'!$H$5:$H$200),"")="Disposed",IFERROR(XLOOKUP(D14,'Source Ledger'!$B$5:$B$200,'Source Ledger'!$G$5:$G$200),0),IF(IFERROR(XLOOKUP(D14,'Source Ledger'!$B$5:$B$200,'Source Ledger'!$E$5:$E$200),"")="",IFERROR(XLOOKUP(D14,'Corrected Register'!$A$5:$A$200,'Corrected Register'!$M$5:$M$200),0),ABS(IFERROR(XLOOKUP(D14,'Source Ledger'!$B$5:$B$200,'Source Ledger'!$E$5:$E$200),0)-IFERROR(XLOOKUP(D14,'Corrected Register'!$A$5:$A$200,'Corrected Register'!$M$5:$M$200),0)))),IFERROR(XLOOKUP(D14,'Corrected Register'!$A$5:$A$200,'Corrected Register'!$N$5:$N$200),0))</f>
        <v>722.59</v>
      </c>
      <c r="H14" s="7" t="inlineStr">
        <is>
          <t>EX-0010: location hygiene on MD-00031 — replace Denver - Closed with Chicago.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Denver - Closed remains on MD-00031 after the consolidation cutover. TR-00031 already points inbound to Chicago. Live footprint is Chicago. See EX-0010.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Difference",IF(IFERROR(XLOOKUP(D15,'Source Ledger'!$B$5:$B$200,'Source Ledger'!$H$5:$H$200),"")="Disposed",IFERROR(XLOOKUP(D15,'Source Ledger'!$B$5:$B$200,'Source Ledger'!$G$5:$G$200),0),IF(IFERROR(XLOOKUP(D15,'Source Ledger'!$B$5:$B$200,'Source Ledger'!$E$5:$E$200),"")="",IFERROR(XLOOKUP(D15,'Corrected Register'!$A$5:$A$200,'Corrected Register'!$M$5:$M$200),0),ABS(IFERROR(XLOOKUP(D15,'Source Ledger'!$B$5:$B$200,'Source Ledger'!$E$5:$E$200),0)-IFERROR(XLOOKUP(D15,'Corrected Register'!$A$5:$A$200,'Corrected Register'!$M$5:$M$200),0)))),IFERROR(XLOOKUP(D15,'Corrected Register'!$A$5:$A$200,'Corrected Register'!$N$5:$N$200),0))</f>
        <v>1384.3</v>
      </c>
      <c r="H15" s="7" t="inlineStr">
        <is>
          <t>IT stock desk: rewrite site on MD-00032 to Dallas; Chicago - Closed is retired (EX-0011).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MD-00032 still shows closed floor Chicago - Closed on the extract; TR-00032 already points inbound to Dallas; live footprint is Dallas; logged as EX-0011.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Difference",IF(IFERROR(XLOOKUP(D16,'Source Ledger'!$B$5:$B$200,'Source Ledger'!$H$5:$H$200),"")="Disposed",IFERROR(XLOOKUP(D16,'Source Ledger'!$B$5:$B$200,'Source Ledger'!$G$5:$G$200),0),IF(IFERROR(XLOOKUP(D16,'Source Ledger'!$B$5:$B$200,'Source Ledger'!$E$5:$E$200),"")="",IFERROR(XLOOKUP(D16,'Corrected Register'!$A$5:$A$200,'Corrected Register'!$M$5:$M$200),0),ABS(IFERROR(XLOOKUP(D16,'Source Ledger'!$B$5:$B$200,'Source Ledger'!$E$5:$E$200),0)-IFERROR(XLOOKUP(D16,'Corrected Register'!$A$5:$A$200,'Corrected Register'!$M$5:$M$200),0)))),IFERROR(XLOOKUP(D16,'Corrected Register'!$A$5:$A$200,'Corrected Register'!$N$5:$N$200),0))</f>
        <v>116.93</v>
      </c>
      <c r="H16" s="7" t="inlineStr">
        <is>
          <t>Register fix for MD-00033 — drop Denver - Closed, keep Denver; reference TR-00033. EX-0012.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ticketed EX-0012 — site field on MD-00033 (MD-LA-050033) still reads Denver - Closed; TR-00033 already points inbound to Denver; live footprint is Denver.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Difference",IF(IFERROR(XLOOKUP(D17,'Source Ledger'!$B$5:$B$200,'Source Ledger'!$H$5:$H$200),"")="Disposed",IFERROR(XLOOKUP(D17,'Source Ledger'!$B$5:$B$200,'Source Ledger'!$G$5:$G$200),0),IF(IFERROR(XLOOKUP(D17,'Source Ledger'!$B$5:$B$200,'Source Ledger'!$E$5:$E$200),"")="",IFERROR(XLOOKUP(D17,'Corrected Register'!$A$5:$A$200,'Corrected Register'!$M$5:$M$200),0),ABS(IFERROR(XLOOKUP(D17,'Source Ledger'!$B$5:$B$200,'Source Ledger'!$E$5:$E$200),0)-IFERROR(XLOOKUP(D17,'Corrected Register'!$A$5:$A$200,'Corrected Register'!$M$5:$M$200),0)))),IFERROR(XLOOKUP(D17,'Corrected Register'!$A$5:$A$200,'Corrected Register'!$N$5:$N$200),0))</f>
        <v>479.88</v>
      </c>
      <c r="H17" s="7" t="inlineStr">
        <is>
          <t>Do not certify MD-00034 while location still says Chicago - Closed; target New York (EX-0013).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Chicago - Closed remains on MD-00034 after the consolidation cutover. TR-00034 already points inbound to New York. Live footprint is New York. See EX-0013.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PO:PO-2024-0007; RegisterCost:790.0; LedgerCost:930.0</t>
        </is>
      </c>
      <c r="G18" s="7">
        <f>IF(B18="Inventory-to-Ledger Difference",IF(IFERROR(XLOOKUP(D18,'Source Ledger'!$B$5:$B$200,'Source Ledger'!$H$5:$H$200),"")="Disposed",IFERROR(XLOOKUP(D18,'Source Ledger'!$B$5:$B$200,'Source Ledger'!$G$5:$G$200),0),IF(IFERROR(XLOOKUP(D18,'Source Ledger'!$B$5:$B$200,'Source Ledger'!$E$5:$E$200),"")="",IFERROR(XLOOKUP(D18,'Corrected Register'!$A$5:$A$200,'Corrected Register'!$M$5:$M$200),0),ABS(IFERROR(XLOOKUP(D18,'Source Ledger'!$B$5:$B$200,'Source Ledger'!$E$5:$E$200),0)-IFERROR(XLOOKUP(D18,'Corrected Register'!$A$5:$A$200,'Corrected Register'!$M$5:$M$200),0)))),IFERROR(XLOOKUP(D18,'Corrected Register'!$A$5:$A$200,'Corrected Register'!$N$5:$N$200),0))</f>
        <v>140</v>
      </c>
      <c r="H18" s="7" t="inlineStr">
        <is>
          <t>Finance: tie register $790 to ledger $930 on FA-000034 and confirm NBV $479.88.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PO-2024-0007 and FA-000034 disagree on basis for MD-00034: register $790 vs ledger $930. Ledger NBV on FA-000034 is $479.88 ($930 − $450.12 accumulated depreciation).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Difference",IF(IFERROR(XLOOKUP(D19,'Source Ledger'!$B$5:$B$200,'Source Ledger'!$H$5:$H$200),"")="Disposed",IFERROR(XLOOKUP(D19,'Source Ledger'!$B$5:$B$200,'Source Ledger'!$G$5:$G$200),0),IF(IFERROR(XLOOKUP(D19,'Source Ledger'!$B$5:$B$200,'Source Ledger'!$E$5:$E$200),"")="",IFERROR(XLOOKUP(D19,'Corrected Register'!$A$5:$A$200,'Corrected Register'!$M$5:$M$200),0),ABS(IFERROR(XLOOKUP(D19,'Source Ledger'!$B$5:$B$200,'Source Ledger'!$E$5:$E$200),0)-IFERROR(XLOOKUP(D19,'Corrected Register'!$A$5:$A$200,'Corrected Register'!$M$5:$M$200),0)))),IFERROR(XLOOKUP(D19,'Corrected Register'!$A$5:$A$200,'Corrected Register'!$N$5:$N$200),0))</f>
        <v>741.92</v>
      </c>
      <c r="H19" s="7" t="inlineStr">
        <is>
          <t>Correct MD-00035 site code (Denver - Closed) now that TR-00035 supports Seattle (EX-0015).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Denver - Closed remains on MD-00035 after the consolidation cutover; TR-00035 already points inbound to Seattle; live footprint is Seattle; see EX-0015.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Difference",IF(IFERROR(XLOOKUP(D20,'Source Ledger'!$B$5:$B$200,'Source Ledger'!$H$5:$H$200),"")="Disposed",IFERROR(XLOOKUP(D20,'Source Ledger'!$B$5:$B$200,'Source Ledger'!$G$5:$G$200),0),IF(IFERROR(XLOOKUP(D20,'Source Ledger'!$B$5:$B$200,'Source Ledger'!$E$5:$E$200),"")="",IFERROR(XLOOKUP(D20,'Corrected Register'!$A$5:$A$200,'Corrected Register'!$M$5:$M$200),0),ABS(IFERROR(XLOOKUP(D20,'Source Ledger'!$B$5:$B$200,'Source Ledger'!$E$5:$E$200),0)-IFERROR(XLOOKUP(D20,'Corrected Register'!$A$5:$A$200,'Corrected Register'!$M$5:$M$200),0)))),IFERROR(XLOOKUP(D20,'Corrected Register'!$A$5:$A$200,'Corrected Register'!$N$5:$N$200),0))</f>
        <v>537.73</v>
      </c>
      <c r="H20" s="7" t="inlineStr">
        <is>
          <t>Close the location lag on MD-00036 (Chicago - Closed → Atlanta) before next cert cycle (EX-0016).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opened under EX-0016; register location for MD-00036 was never flipped off Chicago - Closed; TR-00036 already points inbound to Atlanta; live footprint is Atlanta.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Difference",IF(IFERROR(XLOOKUP(D21,'Source Ledger'!$B$5:$B$200,'Source Ledger'!$H$5:$H$200),"")="Disposed",IFERROR(XLOOKUP(D21,'Source Ledger'!$B$5:$B$200,'Source Ledger'!$G$5:$G$200),0),IF(IFERROR(XLOOKUP(D21,'Source Ledger'!$B$5:$B$200,'Source Ledger'!$E$5:$E$200),"")="",IFERROR(XLOOKUP(D21,'Corrected Register'!$A$5:$A$200,'Corrected Register'!$M$5:$M$200),0),ABS(IFERROR(XLOOKUP(D21,'Source Ledger'!$B$5:$B$200,'Source Ledger'!$E$5:$E$200),0)-IFERROR(XLOOKUP(D21,'Corrected Register'!$A$5:$A$200,'Corrected Register'!$M$5:$M$200),0)))),IFERROR(XLOOKUP(D21,'Corrected Register'!$A$5:$A$200,'Corrected Register'!$N$5:$N$200),0))</f>
        <v>0</v>
      </c>
      <c r="H21" s="7" t="inlineStr">
        <is>
          <t>EX-0017: location hygiene on MD-00037 — replace Denver - Closed with Chicago.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MD-00037 still shows closed floor Denver - Closed on the extract; TR-00037 already points inbound to Chicago; live footprint is Chicago; logged as EX-0017.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Difference",IF(IFERROR(XLOOKUP(D22,'Source Ledger'!$B$5:$B$200,'Source Ledger'!$H$5:$H$200),"")="Disposed",IFERROR(XLOOKUP(D22,'Source Ledger'!$B$5:$B$200,'Source Ledger'!$G$5:$G$200),0),IF(IFERROR(XLOOKUP(D22,'Source Ledger'!$B$5:$B$200,'Source Ledger'!$E$5:$E$200),"")="",IFERROR(XLOOKUP(D22,'Corrected Register'!$A$5:$A$200,'Corrected Register'!$M$5:$M$200),0),ABS(IFERROR(XLOOKUP(D22,'Source Ledger'!$B$5:$B$200,'Source Ledger'!$E$5:$E$200),0)-IFERROR(XLOOKUP(D22,'Corrected Register'!$A$5:$A$200,'Corrected Register'!$M$5:$M$200),0)))),IFERROR(XLOOKUP(D22,'Corrected Register'!$A$5:$A$200,'Corrected Register'!$N$5:$N$200),0))</f>
        <v>340.46</v>
      </c>
      <c r="H22" s="7" t="inlineStr">
        <is>
          <t>Pending register edit EX-0018: MD-00038 should show Dallas, not Chicago - Closed.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ticketed EX-0018 — site field on MD-00038 (MD-MO-050038) still reads Chicago - Closed; TR-00038 already points inbound to Dallas; live footprint is Dallas.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Difference",IF(IFERROR(XLOOKUP(D23,'Source Ledger'!$B$5:$B$200,'Source Ledger'!$H$5:$H$200),"")="Disposed",IFERROR(XLOOKUP(D23,'Source Ledger'!$B$5:$B$200,'Source Ledger'!$G$5:$G$200),0),IF(IFERROR(XLOOKUP(D23,'Source Ledger'!$B$5:$B$200,'Source Ledger'!$E$5:$E$200),"")="",IFERROR(XLOOKUP(D23,'Corrected Register'!$A$5:$A$200,'Corrected Register'!$M$5:$M$200),0),ABS(IFERROR(XLOOKUP(D23,'Source Ledger'!$B$5:$B$200,'Source Ledger'!$E$5:$E$200),0)-IFERROR(XLOOKUP(D23,'Corrected Register'!$A$5:$A$200,'Corrected Register'!$M$5:$M$200),0)))),IFERROR(XLOOKUP(D23,'Corrected Register'!$A$5:$A$200,'Corrected Register'!$N$5:$N$200),0))</f>
        <v>635</v>
      </c>
      <c r="H23" s="7" t="inlineStr">
        <is>
          <t>Register fix for MD-00039 — drop Denver - Closed, keep Denver; reference TR-00039. EX-0019.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Denver - Closed remains on MD-00039 after the consolidation cutover. TR-00039 already points inbound to Denver. Live footprint is Denver. See EX-0019.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Difference",IF(IFERROR(XLOOKUP(D24,'Source Ledger'!$B$5:$B$200,'Source Ledger'!$H$5:$H$200),"")="Disposed",IFERROR(XLOOKUP(D24,'Source Ledger'!$B$5:$B$200,'Source Ledger'!$G$5:$G$200),0),IF(IFERROR(XLOOKUP(D24,'Source Ledger'!$B$5:$B$200,'Source Ledger'!$E$5:$E$200),"")="",IFERROR(XLOOKUP(D24,'Corrected Register'!$A$5:$A$200,'Corrected Register'!$M$5:$M$200),0),ABS(IFERROR(XLOOKUP(D24,'Source Ledger'!$B$5:$B$200,'Source Ledger'!$E$5:$E$200),0)-IFERROR(XLOOKUP(D24,'Corrected Register'!$A$5:$A$200,'Corrected Register'!$M$5:$M$200),0)))),IFERROR(XLOOKUP(D24,'Corrected Register'!$A$5:$A$200,'Corrected Register'!$N$5:$N$200),0))</f>
        <v>989.48</v>
      </c>
      <c r="H24" s="7" t="inlineStr">
        <is>
          <t>Pending register edit EX-0020: MD-00040 should show New York, not Chicago - Closed.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Chicago - Closed remains on MD-00040 after the consolidation cutover; TR-00040 already points inbound to New York; live footprint is New York; see EX-0020.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Difference",IF(IFERROR(XLOOKUP(D25,'Source Ledger'!$B$5:$B$200,'Source Ledger'!$H$5:$H$200),"")="Disposed",IFERROR(XLOOKUP(D25,'Source Ledger'!$B$5:$B$200,'Source Ledger'!$G$5:$G$200),0),IF(IFERROR(XLOOKUP(D25,'Source Ledger'!$B$5:$B$200,'Source Ledger'!$E$5:$E$200),"")="",IFERROR(XLOOKUP(D25,'Corrected Register'!$A$5:$A$200,'Corrected Register'!$M$5:$M$200),0),ABS(IFERROR(XLOOKUP(D25,'Source Ledger'!$B$5:$B$200,'Source Ledger'!$E$5:$E$200),0)-IFERROR(XLOOKUP(D25,'Corrected Register'!$A$5:$A$200,'Corrected Register'!$M$5:$M$200),0)))),IFERROR(XLOOKUP(D25,'Corrected Register'!$A$5:$A$200,'Corrected Register'!$N$5:$N$200),0))</f>
        <v>0</v>
      </c>
      <c r="H25" s="7" t="inlineStr">
        <is>
          <t>Register fix for MD-00041 — drop Denver - Closed, keep Seattle; reference TR-00041. EX-0021.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opened under EX-0021 — register location for MD-00041 was never flipped off Denver - Closed; TR-00041 already points inbound to Seattle; live footprint is Seattle.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Difference",IF(IFERROR(XLOOKUP(D26,'Source Ledger'!$B$5:$B$200,'Source Ledger'!$H$5:$H$200),"")="Disposed",IFERROR(XLOOKUP(D26,'Source Ledger'!$B$5:$B$200,'Source Ledger'!$G$5:$G$200),0),IF(IFERROR(XLOOKUP(D26,'Source Ledger'!$B$5:$B$200,'Source Ledger'!$E$5:$E$200),"")="",IFERROR(XLOOKUP(D26,'Corrected Register'!$A$5:$A$200,'Corrected Register'!$M$5:$M$200),0),ABS(IFERROR(XLOOKUP(D26,'Source Ledger'!$B$5:$B$200,'Source Ledger'!$E$5:$E$200),0)-IFERROR(XLOOKUP(D26,'Corrected Register'!$A$5:$A$200,'Corrected Register'!$M$5:$M$200),0)))),IFERROR(XLOOKUP(D26,'Corrected Register'!$A$5:$A$200,'Corrected Register'!$N$5:$N$200),0))</f>
        <v>306.16</v>
      </c>
      <c r="H26" s="7" t="inlineStr">
        <is>
          <t>EX-0022: location hygiene on MD-00042 — replace Chicago - Closed with Atlanta.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MD-00042 still shows closed floor Chicago - Closed on the extract. TR-00042 already points inbound to Atlanta. Live footprint is Atlanta. Logged as EX-0022.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Difference",IF(IFERROR(XLOOKUP(D27,'Source Ledger'!$B$5:$B$200,'Source Ledger'!$H$5:$H$200),"")="Disposed",IFERROR(XLOOKUP(D27,'Source Ledger'!$B$5:$B$200,'Source Ledger'!$G$5:$G$200),0),IF(IFERROR(XLOOKUP(D27,'Source Ledger'!$B$5:$B$200,'Source Ledger'!$E$5:$E$200),"")="",IFERROR(XLOOKUP(D27,'Corrected Register'!$A$5:$A$200,'Corrected Register'!$M$5:$M$200),0),ABS(IFERROR(XLOOKUP(D27,'Source Ledger'!$B$5:$B$200,'Source Ledger'!$E$5:$E$200),0)-IFERROR(XLOOKUP(D27,'Corrected Register'!$A$5:$A$200,'Corrected Register'!$M$5:$M$200),0)))),IFERROR(XLOOKUP(D27,'Corrected Register'!$A$5:$A$200,'Corrected Register'!$N$5:$N$200),0))</f>
        <v>673.55</v>
      </c>
      <c r="H27" s="7" t="inlineStr">
        <is>
          <t>IT stock desk: rewrite site on MD-00043 to Chicago; Denver - Closed is retired (EX-0023).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ticketed EX-0023; site field on MD-00043 (MD-MO-050043) still reads Denver - Closed; TR-00043 already points inbound to Chicago; live footprint is Chicago.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Difference",IF(IFERROR(XLOOKUP(D28,'Source Ledger'!$B$5:$B$200,'Source Ledger'!$H$5:$H$200),"")="Disposed",IFERROR(XLOOKUP(D28,'Source Ledger'!$B$5:$B$200,'Source Ledger'!$G$5:$G$200),0),IF(IFERROR(XLOOKUP(D28,'Source Ledger'!$B$5:$B$200,'Source Ledger'!$E$5:$E$200),"")="",IFERROR(XLOOKUP(D28,'Corrected Register'!$A$5:$A$200,'Corrected Register'!$M$5:$M$200),0),ABS(IFERROR(XLOOKUP(D28,'Source Ledger'!$B$5:$B$200,'Source Ledger'!$E$5:$E$200),0)-IFERROR(XLOOKUP(D28,'Corrected Register'!$A$5:$A$200,'Corrected Register'!$M$5:$M$200),0)))),IFERROR(XLOOKUP(D28,'Corrected Register'!$A$5:$A$200,'Corrected Register'!$N$5:$N$200),0))</f>
        <v>1406.1</v>
      </c>
      <c r="H28" s="7" t="inlineStr">
        <is>
          <t>IT Asset Specialist: post Dallas on MD-00044 and retire Chicago - Closed (EX-0024).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Chicago - Closed remains on MD-00044 after the consolidation cutover; TR-00044 already points inbound to Dallas; live footprint is Dallas; see EX-0024.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Difference",IF(IFERROR(XLOOKUP(D29,'Source Ledger'!$B$5:$B$200,'Source Ledger'!$H$5:$H$200),"")="Disposed",IFERROR(XLOOKUP(D29,'Source Ledger'!$B$5:$B$200,'Source Ledger'!$G$5:$G$200),0),IF(IFERROR(XLOOKUP(D29,'Source Ledger'!$B$5:$B$200,'Source Ledger'!$E$5:$E$200),"")="",IFERROR(XLOOKUP(D29,'Corrected Register'!$A$5:$A$200,'Corrected Register'!$M$5:$M$200),0),ABS(IFERROR(XLOOKUP(D29,'Source Ledger'!$B$5:$B$200,'Source Ledger'!$E$5:$E$200),0)-IFERROR(XLOOKUP(D29,'Corrected Register'!$A$5:$A$200,'Corrected Register'!$M$5:$M$200),0)))),IFERROR(XLOOKUP(D29,'Corrected Register'!$A$5:$A$200,'Corrected Register'!$N$5:$N$200),0))</f>
        <v>133.6</v>
      </c>
      <c r="H29" s="7" t="inlineStr">
        <is>
          <t>Do not certify MD-00045 while location still says Denver - Closed; target Denver (EX-0025).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opened under EX-0025; register location for MD-00045 was never flipped off Denver - Closed; TR-00045 already points inbound to Denver; live footprint is Denver.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Difference",IF(IFERROR(XLOOKUP(D30,'Source Ledger'!$B$5:$B$200,'Source Ledger'!$H$5:$H$200),"")="Disposed",IFERROR(XLOOKUP(D30,'Source Ledger'!$B$5:$B$200,'Source Ledger'!$G$5:$G$200),0),IF(IFERROR(XLOOKUP(D30,'Source Ledger'!$B$5:$B$200,'Source Ledger'!$E$5:$E$200),"")="",IFERROR(XLOOKUP(D30,'Corrected Register'!$A$5:$A$200,'Corrected Register'!$M$5:$M$200),0),ABS(IFERROR(XLOOKUP(D30,'Source Ledger'!$B$5:$B$200,'Source Ledger'!$E$5:$E$200),0)-IFERROR(XLOOKUP(D30,'Corrected Register'!$A$5:$A$200,'Corrected Register'!$M$5:$M$200),0)))),IFERROR(XLOOKUP(D30,'Corrected Register'!$A$5:$A$200,'Corrected Register'!$N$5:$N$200),0))</f>
        <v>460.82</v>
      </c>
      <c r="H30" s="7" t="inlineStr">
        <is>
          <t>Swap Chicago - Closed → New York on MD-00046's location field (EX-0026).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ticketed EX-0026; site field on MD-00046 (MD-MO-050046) still reads Chicago - Closed; TR-00046 already points inbound to New York; live footprint is New York.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Difference",IF(IFERROR(XLOOKUP(D31,'Source Ledger'!$B$5:$B$200,'Source Ledger'!$H$5:$H$200),"")="Disposed",IFERROR(XLOOKUP(D31,'Source Ledger'!$B$5:$B$200,'Source Ledger'!$G$5:$G$200),0),IF(IFERROR(XLOOKUP(D31,'Source Ledger'!$B$5:$B$200,'Source Ledger'!$E$5:$E$200),"")="",IFERROR(XLOOKUP(D31,'Corrected Register'!$A$5:$A$200,'Corrected Register'!$M$5:$M$200),0),ABS(IFERROR(XLOOKUP(D31,'Source Ledger'!$B$5:$B$200,'Source Ledger'!$E$5:$E$200),0)-IFERROR(XLOOKUP(D31,'Corrected Register'!$A$5:$A$200,'Corrected Register'!$M$5:$M$200),0)))),IFERROR(XLOOKUP(D31,'Corrected Register'!$A$5:$A$200,'Corrected Register'!$N$5:$N$200),0))</f>
        <v>930.51</v>
      </c>
      <c r="H31" s="7" t="inlineStr">
        <is>
          <t>Update MD-00047 from Denver - Closed to Seattle using TR-00047 (EX-0027).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Denver - Closed remains on MD-00047 after the consolidation cutover; TR-00047 already points inbound to Seattle; live footprint is Seattle; see EX-0027.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Difference",IF(IFERROR(XLOOKUP(D32,'Source Ledger'!$B$5:$B$200,'Source Ledger'!$H$5:$H$200),"")="Disposed",IFERROR(XLOOKUP(D32,'Source Ledger'!$B$5:$B$200,'Source Ledger'!$G$5:$G$200),0),IF(IFERROR(XLOOKUP(D32,'Source Ledger'!$B$5:$B$200,'Source Ledger'!$E$5:$E$200),"")="",IFERROR(XLOOKUP(D32,'Corrected Register'!$A$5:$A$200,'Corrected Register'!$M$5:$M$200),0),ABS(IFERROR(XLOOKUP(D32,'Source Ledger'!$B$5:$B$200,'Source Ledger'!$E$5:$E$200),0)-IFERROR(XLOOKUP(D32,'Corrected Register'!$A$5:$A$200,'Corrected Register'!$M$5:$M$200),0)))),IFERROR(XLOOKUP(D32,'Corrected Register'!$A$5:$A$200,'Corrected Register'!$N$5:$N$200),0))</f>
        <v>514.59</v>
      </c>
      <c r="H32" s="7" t="inlineStr">
        <is>
          <t>Correct MD-00048 site code (Chicago - Closed) now that TR-00048 supports Atlanta (EX-0028).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opened under EX-0028; register location for MD-00048 was never flipped off Chicago - Closed; TR-00048 already points inbound to Atlanta; live footprint is Atlanta.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Difference",IF(IFERROR(XLOOKUP(D33,'Source Ledger'!$B$5:$B$200,'Source Ledger'!$H$5:$H$200),"")="Disposed",IFERROR(XLOOKUP(D33,'Source Ledger'!$B$5:$B$200,'Source Ledger'!$G$5:$G$200),0),IF(IFERROR(XLOOKUP(D33,'Source Ledger'!$B$5:$B$200,'Source Ledger'!$E$5:$E$200),"")="",IFERROR(XLOOKUP(D33,'Corrected Register'!$A$5:$A$200,'Corrected Register'!$M$5:$M$200),0),ABS(IFERROR(XLOOKUP(D33,'Source Ledger'!$B$5:$B$200,'Source Ledger'!$E$5:$E$200),0)-IFERROR(XLOOKUP(D33,'Corrected Register'!$A$5:$A$200,'Corrected Register'!$M$5:$M$200),0)))),IFERROR(XLOOKUP(D33,'Corrected Register'!$A$5:$A$200,'Corrected Register'!$N$5:$N$200),0))</f>
        <v>0</v>
      </c>
      <c r="H33" s="7" t="inlineStr">
        <is>
          <t>Close the location lag on MD-00049 (Denver - Closed → Chicago) before next cert cycle (EX-0029).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MD-00049 still shows closed floor Denver - Closed on the extract — TR-00049 already points inbound to Chicago; live footprint is Chicago; logged as EX-0029.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Difference",IF(IFERROR(XLOOKUP(D34,'Source Ledger'!$B$5:$B$200,'Source Ledger'!$H$5:$H$200),"")="Disposed",IFERROR(XLOOKUP(D34,'Source Ledger'!$B$5:$B$200,'Source Ledger'!$G$5:$G$200),0),IF(IFERROR(XLOOKUP(D34,'Source Ledger'!$B$5:$B$200,'Source Ledger'!$E$5:$E$200),"")="",IFERROR(XLOOKUP(D34,'Corrected Register'!$A$5:$A$200,'Corrected Register'!$M$5:$M$200),0),ABS(IFERROR(XLOOKUP(D34,'Source Ledger'!$B$5:$B$200,'Source Ledger'!$E$5:$E$200),0)-IFERROR(XLOOKUP(D34,'Corrected Register'!$A$5:$A$200,'Corrected Register'!$M$5:$M$200),0)))),IFERROR(XLOOKUP(D34,'Corrected Register'!$A$5:$A$200,'Corrected Register'!$N$5:$N$200),0))</f>
        <v>289.96</v>
      </c>
      <c r="H34" s="7" t="inlineStr">
        <is>
          <t>Correct MD-00050 site code (Chicago - Closed) now that TR-00050 supports Dallas (EX-0030).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Opened under EX-0030. Register location for MD-00050 was never flipped off Chicago - Closed. TR-00050 already points inbound to Dallas. Live footprint is Dallas.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Difference",IF(IFERROR(XLOOKUP(D35,'Source Ledger'!$B$5:$B$200,'Source Ledger'!$H$5:$H$200),"")="Disposed",IFERROR(XLOOKUP(D35,'Source Ledger'!$B$5:$B$200,'Source Ledger'!$G$5:$G$200),0),IF(IFERROR(XLOOKUP(D35,'Source Ledger'!$B$5:$B$200,'Source Ledger'!$E$5:$E$200),"")="",IFERROR(XLOOKUP(D35,'Corrected Register'!$A$5:$A$200,'Corrected Register'!$M$5:$M$200),0),ABS(IFERROR(XLOOKUP(D35,'Source Ledger'!$B$5:$B$200,'Source Ledger'!$E$5:$E$200),0)-IFERROR(XLOOKUP(D35,'Corrected Register'!$A$5:$A$200,'Corrected Register'!$M$5:$M$200),0)))),IFERROR(XLOOKUP(D35,'Corrected Register'!$A$5:$A$200,'Corrected Register'!$N$5:$N$200),0))</f>
        <v>573.03</v>
      </c>
      <c r="H35" s="7" t="inlineStr">
        <is>
          <t>Swap Denver - Closed → Denver on MD-00051's location field (EX-0031).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ticketed EX-0031; site field on MD-00051 (MD-MO-050051) still reads Denver - Closed; TR-00051 already points inbound to Denver; live footprint is Denver.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PO:PO-2023-0010; RegisterCost:1040.0; LedgerCost:1250.0</t>
        </is>
      </c>
      <c r="G36" s="7">
        <f>IF(B36="Inventory-to-Ledger Difference",IF(IFERROR(XLOOKUP(D36,'Source Ledger'!$B$5:$B$200,'Source Ledger'!$H$5:$H$200),"")="Disposed",IFERROR(XLOOKUP(D36,'Source Ledger'!$B$5:$B$200,'Source Ledger'!$G$5:$G$200),0),IF(IFERROR(XLOOKUP(D36,'Source Ledger'!$B$5:$B$200,'Source Ledger'!$E$5:$E$200),"")="",IFERROR(XLOOKUP(D36,'Corrected Register'!$A$5:$A$200,'Corrected Register'!$M$5:$M$200),0),ABS(IFERROR(XLOOKUP(D36,'Source Ledger'!$B$5:$B$200,'Source Ledger'!$E$5:$E$200),0)-IFERROR(XLOOKUP(D36,'Corrected Register'!$A$5:$A$200,'Corrected Register'!$M$5:$M$200),0)))),IFERROR(XLOOKUP(D36,'Corrected Register'!$A$5:$A$200,'Corrected Register'!$N$5:$N$200),0))</f>
        <v>210</v>
      </c>
      <c r="H36" s="7" t="inlineStr">
        <is>
          <t>Align MD-00051 cost: register $1,040 vs ledger $1,250 (FA-000051) (EX-0032).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PO-2023-0010 and FA-000051 disagree for MD-00051 ($1,040 vs $1,250) — EX-0032.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Difference",IF(IFERROR(XLOOKUP(D37,'Source Ledger'!$B$5:$B$200,'Source Ledger'!$H$5:$H$200),"")="Disposed",IFERROR(XLOOKUP(D37,'Source Ledger'!$B$5:$B$200,'Source Ledger'!$G$5:$G$200),0),IF(IFERROR(XLOOKUP(D37,'Source Ledger'!$B$5:$B$200,'Source Ledger'!$E$5:$E$200),"")="",IFERROR(XLOOKUP(D37,'Corrected Register'!$A$5:$A$200,'Corrected Register'!$M$5:$M$200),0),ABS(IFERROR(XLOOKUP(D37,'Source Ledger'!$B$5:$B$200,'Source Ledger'!$E$5:$E$200),0)-IFERROR(XLOOKUP(D37,'Corrected Register'!$A$5:$A$200,'Corrected Register'!$M$5:$M$200),0)))),IFERROR(XLOOKUP(D37,'Corrected Register'!$A$5:$A$200,'Corrected Register'!$N$5:$N$200),0))</f>
        <v>933.99</v>
      </c>
      <c r="H37" s="7" t="inlineStr">
        <is>
          <t>Register fix for MD-00052 — drop Chicago - Closed, keep New York; reference TR-00052. EX-0033.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MD-00052 still shows closed floor Chicago - Closed on the extract; TR-00052 already points inbound to New York; live footprint is New York; logged as EX-0033.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Difference",IF(IFERROR(XLOOKUP(D38,'Source Ledger'!$B$5:$B$200,'Source Ledger'!$H$5:$H$200),"")="Disposed",IFERROR(XLOOKUP(D38,'Source Ledger'!$B$5:$B$200,'Source Ledger'!$G$5:$G$200),0),IF(IFERROR(XLOOKUP(D38,'Source Ledger'!$B$5:$B$200,'Source Ledger'!$E$5:$E$200),"")="",IFERROR(XLOOKUP(D38,'Corrected Register'!$A$5:$A$200,'Corrected Register'!$M$5:$M$200),0),ABS(IFERROR(XLOOKUP(D38,'Source Ledger'!$B$5:$B$200,'Source Ledger'!$E$5:$E$200),0)-IFERROR(XLOOKUP(D38,'Corrected Register'!$A$5:$A$200,'Corrected Register'!$M$5:$M$200),0)))),IFERROR(XLOOKUP(D38,'Corrected Register'!$A$5:$A$200,'Corrected Register'!$N$5:$N$200),0))</f>
        <v>0</v>
      </c>
      <c r="H38" s="7" t="inlineStr">
        <is>
          <t>EX-0034: location hygiene on MD-00053 — replace Denver - Closed with Seattle.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ticketed EX-0034; site field on MD-00053 (MD-LA-050053) still reads Denver - Closed; TR-00053 already points inbound to Seattle; live footprint is Seattle.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Difference",IF(IFERROR(XLOOKUP(D39,'Source Ledger'!$B$5:$B$200,'Source Ledger'!$H$5:$H$200),"")="Disposed",IFERROR(XLOOKUP(D39,'Source Ledger'!$B$5:$B$200,'Source Ledger'!$G$5:$G$200),0),IF(IFERROR(XLOOKUP(D39,'Source Ledger'!$B$5:$B$200,'Source Ledger'!$E$5:$E$200),"")="",IFERROR(XLOOKUP(D39,'Corrected Register'!$A$5:$A$200,'Corrected Register'!$M$5:$M$200),0),ABS(IFERROR(XLOOKUP(D39,'Source Ledger'!$B$5:$B$200,'Source Ledger'!$E$5:$E$200),0)-IFERROR(XLOOKUP(D39,'Corrected Register'!$A$5:$A$200,'Corrected Register'!$M$5:$M$200),0)))),IFERROR(XLOOKUP(D39,'Corrected Register'!$A$5:$A$200,'Corrected Register'!$N$5:$N$200),0))</f>
        <v>433.74</v>
      </c>
      <c r="H39" s="7" t="inlineStr">
        <is>
          <t>IT stock desk: rewrite site on MD-00054 to Atlanta; Chicago - Closed is retired (EX-0035).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opened under EX-0035; register location for MD-00054 was never flipped off Chicago - Closed; TR-00054 already points inbound to Atlanta; live footprint is Atlanta.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Difference",IF(IFERROR(XLOOKUP(D40,'Source Ledger'!$B$5:$B$200,'Source Ledger'!$H$5:$H$200),"")="Disposed",IFERROR(XLOOKUP(D40,'Source Ledger'!$B$5:$B$200,'Source Ledger'!$G$5:$G$200),0),IF(IFERROR(XLOOKUP(D40,'Source Ledger'!$B$5:$B$200,'Source Ledger'!$E$5:$E$200),"")="",IFERROR(XLOOKUP(D40,'Corrected Register'!$A$5:$A$200,'Corrected Register'!$M$5:$M$200),0),ABS(IFERROR(XLOOKUP(D40,'Source Ledger'!$B$5:$B$200,'Source Ledger'!$E$5:$E$200),0)-IFERROR(XLOOKUP(D40,'Corrected Register'!$A$5:$A$200,'Corrected Register'!$M$5:$M$200),0)))),IFERROR(XLOOKUP(D40,'Corrected Register'!$A$5:$A$200,'Corrected Register'!$N$5:$N$200),0))</f>
        <v>812.5</v>
      </c>
      <c r="H40" s="7" t="inlineStr">
        <is>
          <t>IT Asset Specialist: post Chicago on MD-00055 and retire Denver - Closed (EX-0036).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MD-00055 still shows closed floor Denver - Closed on the extract; TR-00055 already points inbound to Chicago; live footprint is Chicago; logged as EX-0036.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Difference",IF(IFERROR(XLOOKUP(D41,'Source Ledger'!$B$5:$B$200,'Source Ledger'!$H$5:$H$200),"")="Disposed",IFERROR(XLOOKUP(D41,'Source Ledger'!$B$5:$B$200,'Source Ledger'!$G$5:$G$200),0),IF(IFERROR(XLOOKUP(D41,'Source Ledger'!$B$5:$B$200,'Source Ledger'!$E$5:$E$200),"")="",IFERROR(XLOOKUP(D41,'Corrected Register'!$A$5:$A$200,'Corrected Register'!$M$5:$M$200),0),ABS(IFERROR(XLOOKUP(D41,'Source Ledger'!$B$5:$B$200,'Source Ledger'!$E$5:$E$200),0)-IFERROR(XLOOKUP(D41,'Corrected Register'!$A$5:$A$200,'Corrected Register'!$M$5:$M$200),0)))),IFERROR(XLOOKUP(D41,'Corrected Register'!$A$5:$A$200,'Corrected Register'!$N$5:$N$200),0))</f>
        <v>1345.24</v>
      </c>
      <c r="H41" s="7" t="inlineStr">
        <is>
          <t>Do not certify MD-00056 while location still says Chicago - Closed; target Dallas (EX-0037).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ticketed EX-0037; site field on MD-00056 (MD-NE-050056) still reads Chicago - Closed; TR-00056 already points inbound to Dallas; live footprint is Dallas.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Difference",IF(IFERROR(XLOOKUP(D42,'Source Ledger'!$B$5:$B$200,'Source Ledger'!$H$5:$H$200),"")="Disposed",IFERROR(XLOOKUP(D42,'Source Ledger'!$B$5:$B$200,'Source Ledger'!$G$5:$G$200),0),IF(IFERROR(XLOOKUP(D42,'Source Ledger'!$B$5:$B$200,'Source Ledger'!$E$5:$E$200),"")="",IFERROR(XLOOKUP(D42,'Corrected Register'!$A$5:$A$200,'Corrected Register'!$M$5:$M$200),0),ABS(IFERROR(XLOOKUP(D42,'Source Ledger'!$B$5:$B$200,'Source Ledger'!$E$5:$E$200),0)-IFERROR(XLOOKUP(D42,'Corrected Register'!$A$5:$A$200,'Corrected Register'!$M$5:$M$200),0)))),IFERROR(XLOOKUP(D42,'Corrected Register'!$A$5:$A$200,'Corrected Register'!$N$5:$N$200),0))</f>
        <v>106.79</v>
      </c>
      <c r="H42" s="7" t="inlineStr">
        <is>
          <t>Swap Denver - Closed → Denver on MD-00057's location field (EX-0038).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Denver - Closed remains on MD-00057 after the consolidation cutover — TR-00057 already points inbound to Denver; live footprint is Denver; see EX-0038.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Difference",IF(IFERROR(XLOOKUP(D43,'Source Ledger'!$B$5:$B$200,'Source Ledger'!$H$5:$H$200),"")="Disposed",IFERROR(XLOOKUP(D43,'Source Ledger'!$B$5:$B$200,'Source Ledger'!$G$5:$G$200),0),IF(IFERROR(XLOOKUP(D43,'Source Ledger'!$B$5:$B$200,'Source Ledger'!$E$5:$E$200),"")="",IFERROR(XLOOKUP(D43,'Corrected Register'!$A$5:$A$200,'Corrected Register'!$M$5:$M$200),0),ABS(IFERROR(XLOOKUP(D43,'Source Ledger'!$B$5:$B$200,'Source Ledger'!$E$5:$E$200),0)-IFERROR(XLOOKUP(D43,'Corrected Register'!$A$5:$A$200,'Corrected Register'!$M$5:$M$200),0)))),IFERROR(XLOOKUP(D43,'Corrected Register'!$A$5:$A$200,'Corrected Register'!$N$5:$N$200),0))</f>
        <v>397.56</v>
      </c>
      <c r="H43" s="7" t="inlineStr">
        <is>
          <t>HR Operations Lead: clear former-employee assignment on MD-00058 (Sean McCabe) (EX-0039).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Offboarding left MD-00058 hanging on Sean McCabe (E0071); status Separated in hr_employee_status, ticket OFF-00058. EX-0039.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Difference",IF(IFERROR(XLOOKUP(D44,'Source Ledger'!$B$5:$B$200,'Source Ledger'!$H$5:$H$200),"")="Disposed",IFERROR(XLOOKUP(D44,'Source Ledger'!$B$5:$B$200,'Source Ledger'!$G$5:$G$200),0),IF(IFERROR(XLOOKUP(D44,'Source Ledger'!$B$5:$B$200,'Source Ledger'!$E$5:$E$200),"")="",IFERROR(XLOOKUP(D44,'Corrected Register'!$A$5:$A$200,'Corrected Register'!$M$5:$M$200),0),ABS(IFERROR(XLOOKUP(D44,'Source Ledger'!$B$5:$B$200,'Source Ledger'!$E$5:$E$200),0)-IFERROR(XLOOKUP(D44,'Corrected Register'!$A$5:$A$200,'Corrected Register'!$M$5:$M$200),0)))),IFERROR(XLOOKUP(D44,'Corrected Register'!$A$5:$A$200,'Corrected Register'!$N$5:$N$200),0))</f>
        <v>397.56</v>
      </c>
      <c r="H44" s="7" t="inlineStr">
        <is>
          <t>Close the location lag on MD-00058 (Chicago - Closed → New York) before next cert cycle (EX-0040).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Ticketed EX-0040. Site field on MD-00058 (MD-MO-050058) still reads Chicago - Closed. TR-00058 already points inbound to New York. Live footprint is New York.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Difference",IF(IFERROR(XLOOKUP(D45,'Source Ledger'!$B$5:$B$200,'Source Ledger'!$H$5:$H$200),"")="Disposed",IFERROR(XLOOKUP(D45,'Source Ledger'!$B$5:$B$200,'Source Ledger'!$G$5:$G$200),0),IF(IFERROR(XLOOKUP(D45,'Source Ledger'!$B$5:$B$200,'Source Ledger'!$E$5:$E$200),"")="",IFERROR(XLOOKUP(D45,'Corrected Register'!$A$5:$A$200,'Corrected Register'!$M$5:$M$200),0),ABS(IFERROR(XLOOKUP(D45,'Source Ledger'!$B$5:$B$200,'Source Ledger'!$E$5:$E$200),0)-IFERROR(XLOOKUP(D45,'Corrected Register'!$A$5:$A$200,'Corrected Register'!$M$5:$M$200),0)))),IFERROR(XLOOKUP(D45,'Corrected Register'!$A$5:$A$200,'Corrected Register'!$N$5:$N$200),0))</f>
        <v>397.56</v>
      </c>
      <c r="H45" s="7" t="inlineStr">
        <is>
          <t>Obtain APR on TR-00058 or reverse the move for MD-00058 (EX-0041).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TR-00058 for MD-00058 has a blank approval_id in equipment_transfer_log (ITAM-001 §4) — EX-0041.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Difference",IF(IFERROR(XLOOKUP(D46,'Source Ledger'!$B$5:$B$200,'Source Ledger'!$H$5:$H$200),"")="Disposed",IFERROR(XLOOKUP(D46,'Source Ledger'!$B$5:$B$200,'Source Ledger'!$G$5:$G$200),0),IF(IFERROR(XLOOKUP(D46,'Source Ledger'!$B$5:$B$200,'Source Ledger'!$E$5:$E$200),"")="",IFERROR(XLOOKUP(D46,'Corrected Register'!$A$5:$A$200,'Corrected Register'!$M$5:$M$200),0),ABS(IFERROR(XLOOKUP(D46,'Source Ledger'!$B$5:$B$200,'Source Ledger'!$E$5:$E$200),0)-IFERROR(XLOOKUP(D46,'Corrected Register'!$A$5:$A$200,'Corrected Register'!$M$5:$M$200),0)))),IFERROR(XLOOKUP(D46,'Corrected Register'!$A$5:$A$200,'Corrected Register'!$N$5:$N$200),0))</f>
        <v>847.35</v>
      </c>
      <c r="H46" s="7" t="inlineStr">
        <is>
          <t>Reassign MD-00059 off separated Anita Bose to a stock/Regional IT bucket (EX-0042).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Separated custodian Anita Bose (E0072) remains on MD-00059 after OFF-00059 closed. Clear under EX-0042.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Difference",IF(IFERROR(XLOOKUP(D47,'Source Ledger'!$B$5:$B$200,'Source Ledger'!$H$5:$H$200),"")="Disposed",IFERROR(XLOOKUP(D47,'Source Ledger'!$B$5:$B$200,'Source Ledger'!$G$5:$G$200),0),IF(IFERROR(XLOOKUP(D47,'Source Ledger'!$B$5:$B$200,'Source Ledger'!$E$5:$E$200),"")="",IFERROR(XLOOKUP(D47,'Corrected Register'!$A$5:$A$200,'Corrected Register'!$M$5:$M$200),0),ABS(IFERROR(XLOOKUP(D47,'Source Ledger'!$B$5:$B$200,'Source Ledger'!$E$5:$E$200),0)-IFERROR(XLOOKUP(D47,'Corrected Register'!$A$5:$A$200,'Corrected Register'!$M$5:$M$200),0)))),IFERROR(XLOOKUP(D47,'Corrected Register'!$A$5:$A$200,'Corrected Register'!$N$5:$N$200),0))</f>
        <v>847.35</v>
      </c>
      <c r="H47" s="7" t="inlineStr">
        <is>
          <t>IT stock desk: rewrite site on MD-00059 to Seattle; Denver - Closed is retired (EX-0043).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opened under EX-0043 — register location for MD-00059 was never flipped off Denver - Closed; TR-00059 already points inbound to Seattle; live footprint is Seattle.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Difference",IF(IFERROR(XLOOKUP(D48,'Source Ledger'!$B$5:$B$200,'Source Ledger'!$H$5:$H$200),"")="Disposed",IFERROR(XLOOKUP(D48,'Source Ledger'!$B$5:$B$200,'Source Ledger'!$G$5:$G$200),0),IF(IFERROR(XLOOKUP(D48,'Source Ledger'!$B$5:$B$200,'Source Ledger'!$E$5:$E$200),"")="",IFERROR(XLOOKUP(D48,'Corrected Register'!$A$5:$A$200,'Corrected Register'!$M$5:$M$200),0),ABS(IFERROR(XLOOKUP(D48,'Source Ledger'!$B$5:$B$200,'Source Ledger'!$E$5:$E$200),0)-IFERROR(XLOOKUP(D48,'Corrected Register'!$A$5:$A$200,'Corrected Register'!$M$5:$M$200),0)))),IFERROR(XLOOKUP(D48,'Corrected Register'!$A$5:$A$200,'Corrected Register'!$N$5:$N$200),0))</f>
        <v>847.35</v>
      </c>
      <c r="H48" s="7" t="inlineStr">
        <is>
          <t>Obtain APR on TR-00059 or reverse the move for MD-00059 (EX-0044).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TR-00059 for MD-00059 has a blank approval_id in equipment_transfer_log (ITAM-001 §4) — EX-0044.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Difference",IF(IFERROR(XLOOKUP(D49,'Source Ledger'!$B$5:$B$200,'Source Ledger'!$H$5:$H$200),"")="Disposed",IFERROR(XLOOKUP(D49,'Source Ledger'!$B$5:$B$200,'Source Ledger'!$G$5:$G$200),0),IF(IFERROR(XLOOKUP(D49,'Source Ledger'!$B$5:$B$200,'Source Ledger'!$E$5:$E$200),"")="",IFERROR(XLOOKUP(D49,'Corrected Register'!$A$5:$A$200,'Corrected Register'!$M$5:$M$200),0),ABS(IFERROR(XLOOKUP(D49,'Source Ledger'!$B$5:$B$200,'Source Ledger'!$E$5:$E$200),0)-IFERROR(XLOOKUP(D49,'Corrected Register'!$A$5:$A$200,'Corrected Register'!$M$5:$M$200),0)))),IFERROR(XLOOKUP(D49,'Corrected Register'!$A$5:$A$200,'Corrected Register'!$N$5:$N$200),0))</f>
        <v>549.35</v>
      </c>
      <c r="H49" s="7" t="inlineStr">
        <is>
          <t>Reassign MD-00060 off separated Drew Carmichael to a stock/Regional IT bucket (EX-0045).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MD-00060 is still assigned to Drew Carmichael (E0073), whose hr_employee_status row is Separated; OFF-00060 closed with no custodian rewrite (EX-0045).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Difference",IF(IFERROR(XLOOKUP(D50,'Source Ledger'!$B$5:$B$200,'Source Ledger'!$H$5:$H$200),"")="Disposed",IFERROR(XLOOKUP(D50,'Source Ledger'!$B$5:$B$200,'Source Ledger'!$G$5:$G$200),0),IF(IFERROR(XLOOKUP(D50,'Source Ledger'!$B$5:$B$200,'Source Ledger'!$E$5:$E$200),"")="",IFERROR(XLOOKUP(D50,'Corrected Register'!$A$5:$A$200,'Corrected Register'!$M$5:$M$200),0),ABS(IFERROR(XLOOKUP(D50,'Source Ledger'!$B$5:$B$200,'Source Ledger'!$E$5:$E$200),0)-IFERROR(XLOOKUP(D50,'Corrected Register'!$A$5:$A$200,'Corrected Register'!$M$5:$M$200),0)))),IFERROR(XLOOKUP(D50,'Corrected Register'!$A$5:$A$200,'Corrected Register'!$N$5:$N$200),0))</f>
        <v>549.35</v>
      </c>
      <c r="H50" s="7" t="inlineStr">
        <is>
          <t>Close the location lag on MD-00060 (Chicago - Closed → Atlanta) before next cert cycle (EX-0046).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MD-00060 still shows closed floor Chicago - Closed on the extract; TR-00060 already points inbound to Atlanta; live footprint is Atlanta; logged as EX-0046.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Difference",IF(IFERROR(XLOOKUP(D51,'Source Ledger'!$B$5:$B$200,'Source Ledger'!$H$5:$H$200),"")="Disposed",IFERROR(XLOOKUP(D51,'Source Ledger'!$B$5:$B$200,'Source Ledger'!$G$5:$G$200),0),IF(IFERROR(XLOOKUP(D51,'Source Ledger'!$B$5:$B$200,'Source Ledger'!$E$5:$E$200),"")="",IFERROR(XLOOKUP(D51,'Corrected Register'!$A$5:$A$200,'Corrected Register'!$M$5:$M$200),0),ABS(IFERROR(XLOOKUP(D51,'Source Ledger'!$B$5:$B$200,'Source Ledger'!$E$5:$E$200),0)-IFERROR(XLOOKUP(D51,'Corrected Register'!$A$5:$A$200,'Corrected Register'!$M$5:$M$200),0)))),IFERROR(XLOOKUP(D51,'Corrected Register'!$A$5:$A$200,'Corrected Register'!$N$5:$N$200),0))</f>
        <v>0</v>
      </c>
      <c r="H51" s="7" t="inlineStr">
        <is>
          <t>HR Operations Lead: clear former-employee assignment on MD-00061 (Lila Novak) (EX-0047).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MD-00061 is still assigned to Lila Novak (E0074), whose hr_employee_status row is Separated; OFF-00061 closed with no custodian rewrite (EX-0047).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Difference",IF(IFERROR(XLOOKUP(D52,'Source Ledger'!$B$5:$B$200,'Source Ledger'!$H$5:$H$200),"")="Disposed",IFERROR(XLOOKUP(D52,'Source Ledger'!$B$5:$B$200,'Source Ledger'!$G$5:$G$200),0),IF(IFERROR(XLOOKUP(D52,'Source Ledger'!$B$5:$B$200,'Source Ledger'!$E$5:$E$200),"")="",IFERROR(XLOOKUP(D52,'Corrected Register'!$A$5:$A$200,'Corrected Register'!$M$5:$M$200),0),ABS(IFERROR(XLOOKUP(D52,'Source Ledger'!$B$5:$B$200,'Source Ledger'!$E$5:$E$200),0)-IFERROR(XLOOKUP(D52,'Corrected Register'!$A$5:$A$200,'Corrected Register'!$M$5:$M$200),0)))),IFERROR(XLOOKUP(D52,'Corrected Register'!$A$5:$A$200,'Corrected Register'!$N$5:$N$200),0))</f>
        <v>0</v>
      </c>
      <c r="H52" s="7" t="inlineStr">
        <is>
          <t>Register fix for MD-00061 — drop Denver - Closed, keep Chicago; reference TR-00061. EX-0048.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MD-00061 still shows closed floor Denver - Closed on the extract — TR-00061 already points inbound to Chicago; live footprint is Chicago; logged as EX-0048.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Difference",IF(IFERROR(XLOOKUP(D53,'Source Ledger'!$B$5:$B$200,'Source Ledger'!$H$5:$H$200),"")="Disposed",IFERROR(XLOOKUP(D53,'Source Ledger'!$B$5:$B$200,'Source Ledger'!$G$5:$G$200),0),IF(IFERROR(XLOOKUP(D53,'Source Ledger'!$B$5:$B$200,'Source Ledger'!$E$5:$E$200),"")="",IFERROR(XLOOKUP(D53,'Corrected Register'!$A$5:$A$200,'Corrected Register'!$M$5:$M$200),0),ABS(IFERROR(XLOOKUP(D53,'Source Ledger'!$B$5:$B$200,'Source Ledger'!$E$5:$E$200),0)-IFERROR(XLOOKUP(D53,'Corrected Register'!$A$5:$A$200,'Corrected Register'!$M$5:$M$200),0)))),IFERROR(XLOOKUP(D53,'Corrected Register'!$A$5:$A$200,'Corrected Register'!$N$5:$N$200),0))</f>
        <v>410.63</v>
      </c>
      <c r="H53" s="7" t="inlineStr">
        <is>
          <t>Remove Curtis Bennett from MD-00062; park under Regional IT or IT Stock (EX-0049).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Separated custodian Curtis Bennett (E0075) remains on MD-00062 after OFF-00062 closed. Clear under EX-0049.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Difference",IF(IFERROR(XLOOKUP(D54,'Source Ledger'!$B$5:$B$200,'Source Ledger'!$H$5:$H$200),"")="Disposed",IFERROR(XLOOKUP(D54,'Source Ledger'!$B$5:$B$200,'Source Ledger'!$G$5:$G$200),0),IF(IFERROR(XLOOKUP(D54,'Source Ledger'!$B$5:$B$200,'Source Ledger'!$E$5:$E$200),"")="",IFERROR(XLOOKUP(D54,'Corrected Register'!$A$5:$A$200,'Corrected Register'!$M$5:$M$200),0),ABS(IFERROR(XLOOKUP(D54,'Source Ledger'!$B$5:$B$200,'Source Ledger'!$E$5:$E$200),0)-IFERROR(XLOOKUP(D54,'Corrected Register'!$A$5:$A$200,'Corrected Register'!$M$5:$M$200),0)))),IFERROR(XLOOKUP(D54,'Corrected Register'!$A$5:$A$200,'Corrected Register'!$N$5:$N$200),0))</f>
        <v>410.63</v>
      </c>
      <c r="H54" s="7" t="inlineStr">
        <is>
          <t>IT Asset Specialist: post Dallas on MD-00062 and retire Chicago - Closed (EX-0050).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Opened under EX-0050. Register location for MD-00062 was never flipped off Chicago - Closed. TR-00062 already points inbound to Dallas. Live footprint is Dallas.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Difference",IF(IFERROR(XLOOKUP(D55,'Source Ledger'!$B$5:$B$200,'Source Ledger'!$H$5:$H$200),"")="Disposed",IFERROR(XLOOKUP(D55,'Source Ledger'!$B$5:$B$200,'Source Ledger'!$G$5:$G$200),0),IF(IFERROR(XLOOKUP(D55,'Source Ledger'!$B$5:$B$200,'Source Ledger'!$E$5:$E$200),"")="",IFERROR(XLOOKUP(D55,'Corrected Register'!$A$5:$A$200,'Corrected Register'!$M$5:$M$200),0),ABS(IFERROR(XLOOKUP(D55,'Source Ledger'!$B$5:$B$200,'Source Ledger'!$E$5:$E$200),0)-IFERROR(XLOOKUP(D55,'Corrected Register'!$A$5:$A$200,'Corrected Register'!$M$5:$M$200),0)))),IFERROR(XLOOKUP(D55,'Corrected Register'!$A$5:$A$200,'Corrected Register'!$N$5:$N$200),0))</f>
        <v>533.85</v>
      </c>
      <c r="H55" s="7" t="inlineStr">
        <is>
          <t>Reassign MD-00063 off separated Pilar Santos to a stock/Regional IT bucket (EX-0051).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HR shows Pilar Santos (E0076) terminated, yet the register still lists them on MD-00063 (OFF-00063) — EX-0051.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Difference",IF(IFERROR(XLOOKUP(D56,'Source Ledger'!$B$5:$B$200,'Source Ledger'!$H$5:$H$200),"")="Disposed",IFERROR(XLOOKUP(D56,'Source Ledger'!$B$5:$B$200,'Source Ledger'!$G$5:$G$200),0),IF(IFERROR(XLOOKUP(D56,'Source Ledger'!$B$5:$B$200,'Source Ledger'!$E$5:$E$200),"")="",IFERROR(XLOOKUP(D56,'Corrected Register'!$A$5:$A$200,'Corrected Register'!$M$5:$M$200),0),ABS(IFERROR(XLOOKUP(D56,'Source Ledger'!$B$5:$B$200,'Source Ledger'!$E$5:$E$200),0)-IFERROR(XLOOKUP(D56,'Corrected Register'!$A$5:$A$200,'Corrected Register'!$M$5:$M$200),0)))),IFERROR(XLOOKUP(D56,'Corrected Register'!$A$5:$A$200,'Corrected Register'!$N$5:$N$200),0))</f>
        <v>533.85</v>
      </c>
      <c r="H56" s="7" t="inlineStr">
        <is>
          <t>Update MD-00063 from Denver - Closed to Denver using TR-00063 (EX-0052).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Denver - Closed remains on MD-00063 after the consolidation cutover — TR-00063 already points inbound to Denver; live footprint is Denver; see EX-0052.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Difference",IF(IFERROR(XLOOKUP(D57,'Source Ledger'!$B$5:$B$200,'Source Ledger'!$H$5:$H$200),"")="Disposed",IFERROR(XLOOKUP(D57,'Source Ledger'!$B$5:$B$200,'Source Ledger'!$G$5:$G$200),0),IF(IFERROR(XLOOKUP(D57,'Source Ledger'!$B$5:$B$200,'Source Ledger'!$E$5:$E$200),"")="",IFERROR(XLOOKUP(D57,'Corrected Register'!$A$5:$A$200,'Corrected Register'!$M$5:$M$200),0),ABS(IFERROR(XLOOKUP(D57,'Source Ledger'!$B$5:$B$200,'Source Ledger'!$E$5:$E$200),0)-IFERROR(XLOOKUP(D57,'Corrected Register'!$A$5:$A$200,'Corrected Register'!$M$5:$M$200),0)))),IFERROR(XLOOKUP(D57,'Corrected Register'!$A$5:$A$200,'Corrected Register'!$N$5:$N$200),0))</f>
        <v>961.76</v>
      </c>
      <c r="H57" s="7" t="inlineStr">
        <is>
          <t>HR Operations Lead: clear former-employee assignment on MD-00064 (Jonah Freedman) (EX-0053).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HR shows Jonah Freedman (E0077) terminated, yet the register still lists them on MD-00064 (OFF-00064) — EX-0053.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Difference",IF(IFERROR(XLOOKUP(D58,'Source Ledger'!$B$5:$B$200,'Source Ledger'!$H$5:$H$200),"")="Disposed",IFERROR(XLOOKUP(D58,'Source Ledger'!$B$5:$B$200,'Source Ledger'!$G$5:$G$200),0),IF(IFERROR(XLOOKUP(D58,'Source Ledger'!$B$5:$B$200,'Source Ledger'!$E$5:$E$200),"")="",IFERROR(XLOOKUP(D58,'Corrected Register'!$A$5:$A$200,'Corrected Register'!$M$5:$M$200),0),ABS(IFERROR(XLOOKUP(D58,'Source Ledger'!$B$5:$B$200,'Source Ledger'!$E$5:$E$200),0)-IFERROR(XLOOKUP(D58,'Corrected Register'!$A$5:$A$200,'Corrected Register'!$M$5:$M$200),0)))),IFERROR(XLOOKUP(D58,'Corrected Register'!$A$5:$A$200,'Corrected Register'!$N$5:$N$200),0))</f>
        <v>961.76</v>
      </c>
      <c r="H58" s="7" t="inlineStr">
        <is>
          <t>Do not certify MD-00064 while location still says Chicago - Closed; target New York (EX-0054).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Chicago - Closed remains on MD-00064 after the consolidation cutover. TR-00064 already points inbound to New York. Live footprint is New York. See EX-0054.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Difference",IF(IFERROR(XLOOKUP(D59,'Source Ledger'!$B$5:$B$200,'Source Ledger'!$H$5:$H$200),"")="Disposed",IFERROR(XLOOKUP(D59,'Source Ledger'!$B$5:$B$200,'Source Ledger'!$G$5:$G$200),0),IF(IFERROR(XLOOKUP(D59,'Source Ledger'!$B$5:$B$200,'Source Ledger'!$E$5:$E$200),"")="",IFERROR(XLOOKUP(D59,'Corrected Register'!$A$5:$A$200,'Corrected Register'!$M$5:$M$200),0),ABS(IFERROR(XLOOKUP(D59,'Source Ledger'!$B$5:$B$200,'Source Ledger'!$E$5:$E$200),0)-IFERROR(XLOOKUP(D59,'Corrected Register'!$A$5:$A$200,'Corrected Register'!$M$5:$M$200),0)))),IFERROR(XLOOKUP(D59,'Corrected Register'!$A$5:$A$200,'Corrected Register'!$N$5:$N$200),0))</f>
        <v>961.76</v>
      </c>
      <c r="H59" s="7" t="inlineStr">
        <is>
          <t>Obtain APR on TR-00064 or reverse the move for MD-00064 (EX-0055).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TR-00064 for MD-00064 has a blank approval_id in equipment_transfer_log (ITAM-001 §4) — EX-0055.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Difference",IF(IFERROR(XLOOKUP(D60,'Source Ledger'!$B$5:$B$200,'Source Ledger'!$H$5:$H$200),"")="Disposed",IFERROR(XLOOKUP(D60,'Source Ledger'!$B$5:$B$200,'Source Ledger'!$G$5:$G$200),0),IF(IFERROR(XLOOKUP(D60,'Source Ledger'!$B$5:$B$200,'Source Ledger'!$E$5:$E$200),"")="",IFERROR(XLOOKUP(D60,'Corrected Register'!$A$5:$A$200,'Corrected Register'!$M$5:$M$200),0),ABS(IFERROR(XLOOKUP(D60,'Source Ledger'!$B$5:$B$200,'Source Ledger'!$E$5:$E$200),0)-IFERROR(XLOOKUP(D60,'Corrected Register'!$A$5:$A$200,'Corrected Register'!$M$5:$M$200),0)))),IFERROR(XLOOKUP(D60,'Corrected Register'!$A$5:$A$200,'Corrected Register'!$N$5:$N$200),0))</f>
        <v>0</v>
      </c>
      <c r="H60" s="7" t="inlineStr">
        <is>
          <t>Remove Regina Lowe from MD-00065; park under Regional IT or IT Stock (EX-0056).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MD-00065 is still assigned to Regina Lowe (E0078), whose hr_employee_status row is Separated; OFF-00065 closed with no custodian rewrite (EX-0056).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Difference",IF(IFERROR(XLOOKUP(D61,'Source Ledger'!$B$5:$B$200,'Source Ledger'!$H$5:$H$200),"")="Disposed",IFERROR(XLOOKUP(D61,'Source Ledger'!$B$5:$B$200,'Source Ledger'!$G$5:$G$200),0),IF(IFERROR(XLOOKUP(D61,'Source Ledger'!$B$5:$B$200,'Source Ledger'!$E$5:$E$200),"")="",IFERROR(XLOOKUP(D61,'Corrected Register'!$A$5:$A$200,'Corrected Register'!$M$5:$M$200),0),ABS(IFERROR(XLOOKUP(D61,'Source Ledger'!$B$5:$B$200,'Source Ledger'!$E$5:$E$200),0)-IFERROR(XLOOKUP(D61,'Corrected Register'!$A$5:$A$200,'Corrected Register'!$M$5:$M$200),0)))),IFERROR(XLOOKUP(D61,'Corrected Register'!$A$5:$A$200,'Corrected Register'!$N$5:$N$200),0))</f>
        <v>0</v>
      </c>
      <c r="H61" s="7" t="inlineStr">
        <is>
          <t>Update MD-00065 from Denver - Closed to Seattle using TR-00065 (EX-0057).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MD-00065 still shows closed floor Denver - Closed on the extract — TR-00065 already points inbound to Seattle; live footprint is Seattle; logged as EX-0057.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Difference",IF(IFERROR(XLOOKUP(D62,'Source Ledger'!$B$5:$B$200,'Source Ledger'!$H$5:$H$200),"")="Disposed",IFERROR(XLOOKUP(D62,'Source Ledger'!$B$5:$B$200,'Source Ledger'!$G$5:$G$200),0),IF(IFERROR(XLOOKUP(D62,'Source Ledger'!$B$5:$B$200,'Source Ledger'!$E$5:$E$200),"")="",IFERROR(XLOOKUP(D62,'Corrected Register'!$A$5:$A$200,'Corrected Register'!$M$5:$M$200),0),ABS(IFERROR(XLOOKUP(D62,'Source Ledger'!$B$5:$B$200,'Source Ledger'!$E$5:$E$200),0)-IFERROR(XLOOKUP(D62,'Corrected Register'!$A$5:$A$200,'Corrected Register'!$M$5:$M$200),0)))),IFERROR(XLOOKUP(D62,'Corrected Register'!$A$5:$A$200,'Corrected Register'!$N$5:$N$200),0))</f>
        <v>0</v>
      </c>
      <c r="H62" s="7" t="inlineStr">
        <is>
          <t>Obtain APR on TR-00065 or reverse the move for MD-00065 (EX-0058).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TR-00065 for MD-00065 has a blank approval_id in equipment_transfer_log (ITAM-001 §4) — EX-0058.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Difference",IF(IFERROR(XLOOKUP(D63,'Source Ledger'!$B$5:$B$200,'Source Ledger'!$H$5:$H$200),"")="Disposed",IFERROR(XLOOKUP(D63,'Source Ledger'!$B$5:$B$200,'Source Ledger'!$G$5:$G$200),0),IF(IFERROR(XLOOKUP(D63,'Source Ledger'!$B$5:$B$200,'Source Ledger'!$E$5:$E$200),"")="",IFERROR(XLOOKUP(D63,'Corrected Register'!$A$5:$A$200,'Corrected Register'!$M$5:$M$200),0),ABS(IFERROR(XLOOKUP(D63,'Source Ledger'!$B$5:$B$200,'Source Ledger'!$E$5:$E$200),0)-IFERROR(XLOOKUP(D63,'Corrected Register'!$A$5:$A$200,'Corrected Register'!$M$5:$M$200),0)))),IFERROR(XLOOKUP(D63,'Corrected Register'!$A$5:$A$200,'Corrected Register'!$N$5:$N$200),0))</f>
        <v>385.65</v>
      </c>
      <c r="H63" s="7" t="inlineStr">
        <is>
          <t>Reassign MD-00066 off separated Wes Carvalho to a stock/Regional IT bucket (EX-0059).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HR shows Wes Carvalho (E0079) terminated, yet the register still lists them on MD-00066 (OFF-00066) — EX-0059.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Difference",IF(IFERROR(XLOOKUP(D64,'Source Ledger'!$B$5:$B$200,'Source Ledger'!$H$5:$H$200),"")="Disposed",IFERROR(XLOOKUP(D64,'Source Ledger'!$B$5:$B$200,'Source Ledger'!$G$5:$G$200),0),IF(IFERROR(XLOOKUP(D64,'Source Ledger'!$B$5:$B$200,'Source Ledger'!$E$5:$E$200),"")="",IFERROR(XLOOKUP(D64,'Corrected Register'!$A$5:$A$200,'Corrected Register'!$M$5:$M$200),0),ABS(IFERROR(XLOOKUP(D64,'Source Ledger'!$B$5:$B$200,'Source Ledger'!$E$5:$E$200),0)-IFERROR(XLOOKUP(D64,'Corrected Register'!$A$5:$A$200,'Corrected Register'!$M$5:$M$200),0)))),IFERROR(XLOOKUP(D64,'Corrected Register'!$A$5:$A$200,'Corrected Register'!$N$5:$N$200),0))</f>
        <v>385.65</v>
      </c>
      <c r="H64" s="7" t="inlineStr">
        <is>
          <t>IT Asset Specialist: post Atlanta on MD-00066 and retire Chicago - Closed (EX-0060).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ticketed EX-0060; site field on MD-00066 (MD-MO-050066) still reads Chicago - Closed; TR-00066 already points inbound to Atlanta; live footprint is Atlanta.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Difference",IF(IFERROR(XLOOKUP(D65,'Source Ledger'!$B$5:$B$200,'Source Ledger'!$H$5:$H$200),"")="Disposed",IFERROR(XLOOKUP(D65,'Source Ledger'!$B$5:$B$200,'Source Ledger'!$G$5:$G$200),0),IF(IFERROR(XLOOKUP(D65,'Source Ledger'!$B$5:$B$200,'Source Ledger'!$E$5:$E$200),"")="",IFERROR(XLOOKUP(D65,'Corrected Register'!$A$5:$A$200,'Corrected Register'!$M$5:$M$200),0),ABS(IFERROR(XLOOKUP(D65,'Source Ledger'!$B$5:$B$200,'Source Ledger'!$E$5:$E$200),0)-IFERROR(XLOOKUP(D65,'Corrected Register'!$A$5:$A$200,'Corrected Register'!$M$5:$M$200),0)))),IFERROR(XLOOKUP(D65,'Corrected Register'!$A$5:$A$200,'Corrected Register'!$N$5:$N$200),0))</f>
        <v>764.93</v>
      </c>
      <c r="H65" s="7" t="inlineStr">
        <is>
          <t>Remove Tara Singh from MD-00067; park under Regional IT or IT Stock (EX-0061).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Offboarding left MD-00067 hanging on Tara Singh (E0080); status Separated in hr_employee_status, ticket OFF-00067. EX-0061.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Difference",IF(IFERROR(XLOOKUP(D66,'Source Ledger'!$B$5:$B$200,'Source Ledger'!$H$5:$H$200),"")="Disposed",IFERROR(XLOOKUP(D66,'Source Ledger'!$B$5:$B$200,'Source Ledger'!$G$5:$G$200),0),IF(IFERROR(XLOOKUP(D66,'Source Ledger'!$B$5:$B$200,'Source Ledger'!$E$5:$E$200),"")="",IFERROR(XLOOKUP(D66,'Corrected Register'!$A$5:$A$200,'Corrected Register'!$M$5:$M$200),0),ABS(IFERROR(XLOOKUP(D66,'Source Ledger'!$B$5:$B$200,'Source Ledger'!$E$5:$E$200),0)-IFERROR(XLOOKUP(D66,'Corrected Register'!$A$5:$A$200,'Corrected Register'!$M$5:$M$200),0)))),IFERROR(XLOOKUP(D66,'Corrected Register'!$A$5:$A$200,'Corrected Register'!$N$5:$N$200),0))</f>
        <v>764.93</v>
      </c>
      <c r="H66" s="7" t="inlineStr">
        <is>
          <t>Update MD-00067 from Denver - Closed to Chicago using TR-00067 (EX-0062).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ticketed EX-0062 — site field on MD-00067 (MD-MO-050067) still reads Denver - Closed; TR-00067 already points inbound to Chicago; live footprint is Chicago.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Difference",IF(IFERROR(XLOOKUP(D67,'Source Ledger'!$B$5:$B$200,'Source Ledger'!$H$5:$H$200),"")="Disposed",IFERROR(XLOOKUP(D67,'Source Ledger'!$B$5:$B$200,'Source Ledger'!$G$5:$G$200),0),IF(IFERROR(XLOOKUP(D67,'Source Ledger'!$B$5:$B$200,'Source Ledger'!$E$5:$E$200),"")="",IFERROR(XLOOKUP(D67,'Corrected Register'!$A$5:$A$200,'Corrected Register'!$M$5:$M$200),0),ABS(IFERROR(XLOOKUP(D67,'Source Ledger'!$B$5:$B$200,'Source Ledger'!$E$5:$E$200),0)-IFERROR(XLOOKUP(D67,'Corrected Register'!$A$5:$A$200,'Corrected Register'!$M$5:$M$200),0)))),IFERROR(XLOOKUP(D67,'Corrected Register'!$A$5:$A$200,'Corrected Register'!$N$5:$N$200),0))</f>
        <v>1436.28</v>
      </c>
      <c r="H67" s="7" t="inlineStr">
        <is>
          <t>Escalate recovery of MD-00068; 1ZMD00000068 is not proof of return (EX-0063).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1ZMD00000068 for MD-00068 never advanced past Label Created; no acceptance, delivery, or receiving scan for MD-NE-050068 (EX-0063).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Difference",IF(IFERROR(XLOOKUP(D68,'Source Ledger'!$B$5:$B$200,'Source Ledger'!$H$5:$H$200),"")="Disposed",IFERROR(XLOOKUP(D68,'Source Ledger'!$B$5:$B$200,'Source Ledger'!$G$5:$G$200),0),IF(IFERROR(XLOOKUP(D68,'Source Ledger'!$B$5:$B$200,'Source Ledger'!$E$5:$E$200),"")="",IFERROR(XLOOKUP(D68,'Corrected Register'!$A$5:$A$200,'Corrected Register'!$M$5:$M$200),0),ABS(IFERROR(XLOOKUP(D68,'Source Ledger'!$B$5:$B$200,'Source Ledger'!$E$5:$E$200),0)-IFERROR(XLOOKUP(D68,'Corrected Register'!$A$5:$A$200,'Corrected Register'!$M$5:$M$200),0)))),IFERROR(XLOOKUP(D68,'Corrected Register'!$A$5:$A$200,'Corrected Register'!$N$5:$N$200),0))</f>
        <v>1436.28</v>
      </c>
      <c r="H68" s="7" t="inlineStr">
        <is>
          <t>Reassign MD-00068 off separated Elliott Park to a stock/Regional IT bucket (EX-0064).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Separated custodian Elliott Park (E0081) remains on MD-00068 after OFF-00068 closed. Clear under EX-0064.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PO:PO-2022-0013; RegisterCost:6425.0; LedgerCost:6480.0</t>
        </is>
      </c>
      <c r="G69" s="7">
        <f>IF(B69="Inventory-to-Ledger Difference",IF(IFERROR(XLOOKUP(D69,'Source Ledger'!$B$5:$B$200,'Source Ledger'!$H$5:$H$200),"")="Disposed",IFERROR(XLOOKUP(D69,'Source Ledger'!$B$5:$B$200,'Source Ledger'!$G$5:$G$200),0),IF(IFERROR(XLOOKUP(D69,'Source Ledger'!$B$5:$B$200,'Source Ledger'!$E$5:$E$200),"")="",IFERROR(XLOOKUP(D69,'Corrected Register'!$A$5:$A$200,'Corrected Register'!$M$5:$M$200),0),ABS(IFERROR(XLOOKUP(D69,'Source Ledger'!$B$5:$B$200,'Source Ledger'!$E$5:$E$200),0)-IFERROR(XLOOKUP(D69,'Corrected Register'!$A$5:$A$200,'Corrected Register'!$M$5:$M$200),0)))),IFERROR(XLOOKUP(D69,'Corrected Register'!$A$5:$A$200,'Corrected Register'!$N$5:$N$200),0))</f>
        <v>55</v>
      </c>
      <c r="H69" s="7" t="inlineStr">
        <is>
          <t>Align MD-00068 cost: register $6,425 vs ledger $6,480 (FA-000068) (EX-0065).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PO-2022-0013 and FA-000068 disagree for MD-00068 ($6,425 vs $6,480) — EX-0065.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Difference",IF(IFERROR(XLOOKUP(D70,'Source Ledger'!$B$5:$B$200,'Source Ledger'!$H$5:$H$200),"")="Disposed",IFERROR(XLOOKUP(D70,'Source Ledger'!$B$5:$B$200,'Source Ledger'!$G$5:$G$200),0),IF(IFERROR(XLOOKUP(D70,'Source Ledger'!$B$5:$B$200,'Source Ledger'!$E$5:$E$200),"")="",IFERROR(XLOOKUP(D70,'Corrected Register'!$A$5:$A$200,'Corrected Register'!$M$5:$M$200),0),ABS(IFERROR(XLOOKUP(D70,'Source Ledger'!$B$5:$B$200,'Source Ledger'!$E$5:$E$200),0)-IFERROR(XLOOKUP(D70,'Corrected Register'!$A$5:$A$200,'Corrected Register'!$M$5:$M$200),0)))),IFERROR(XLOOKUP(D70,'Corrected Register'!$A$5:$A$200,'Corrected Register'!$N$5:$N$200),0))</f>
        <v>142.69</v>
      </c>
      <c r="H70" s="7" t="inlineStr">
        <is>
          <t>IT Asset Specialist: chase MD-00069 overdue return — Label Created only on 1ZMD00000069 (EX-0066).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OFF-00069 still open on paper for MD-00069; shipment 1ZMD00000069 shows Label Created only (EX-0066).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Difference",IF(IFERROR(XLOOKUP(D71,'Source Ledger'!$B$5:$B$200,'Source Ledger'!$H$5:$H$200),"")="Disposed",IFERROR(XLOOKUP(D71,'Source Ledger'!$B$5:$B$200,'Source Ledger'!$G$5:$G$200),0),IF(IFERROR(XLOOKUP(D71,'Source Ledger'!$B$5:$B$200,'Source Ledger'!$E$5:$E$200),"")="",IFERROR(XLOOKUP(D71,'Corrected Register'!$A$5:$A$200,'Corrected Register'!$M$5:$M$200),0),ABS(IFERROR(XLOOKUP(D71,'Source Ledger'!$B$5:$B$200,'Source Ledger'!$E$5:$E$200),0)-IFERROR(XLOOKUP(D71,'Corrected Register'!$A$5:$A$200,'Corrected Register'!$M$5:$M$200),0)))),IFERROR(XLOOKUP(D71,'Corrected Register'!$A$5:$A$200,'Corrected Register'!$N$5:$N$200),0))</f>
        <v>142.69</v>
      </c>
      <c r="H71" s="7" t="inlineStr">
        <is>
          <t>HR Operations Lead: clear former-employee assignment on MD-00069 (Carmen Diaz) (EX-0067).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Offboarding left MD-00069 hanging on Carmen Diaz (E0082); status Separated in hr_employee_status, ticket OFF-00069. EX-0067.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Difference",IF(IFERROR(XLOOKUP(D72,'Source Ledger'!$B$5:$B$200,'Source Ledger'!$H$5:$H$200),"")="Disposed",IFERROR(XLOOKUP(D72,'Source Ledger'!$B$5:$B$200,'Source Ledger'!$G$5:$G$200),0),IF(IFERROR(XLOOKUP(D72,'Source Ledger'!$B$5:$B$200,'Source Ledger'!$E$5:$E$200),"")="",IFERROR(XLOOKUP(D72,'Corrected Register'!$A$5:$A$200,'Corrected Register'!$M$5:$M$200),0),ABS(IFERROR(XLOOKUP(D72,'Source Ledger'!$B$5:$B$200,'Source Ledger'!$E$5:$E$200),0)-IFERROR(XLOOKUP(D72,'Corrected Register'!$A$5:$A$200,'Corrected Register'!$M$5:$M$200),0)))),IFERROR(XLOOKUP(D72,'Corrected Register'!$A$5:$A$200,'Corrected Register'!$N$5:$N$200),0))</f>
        <v>342.32</v>
      </c>
      <c r="H72" s="7" t="inlineStr">
        <is>
          <t>Do not clear MD-00070 Available until carrier acceptance + receiving scan exist (EX-0068).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Return clock on MD-00070 expired with only a prepaid label (1ZMD00000070) — not docked (EX-0068).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Difference",IF(IFERROR(XLOOKUP(D73,'Source Ledger'!$B$5:$B$200,'Source Ledger'!$H$5:$H$200),"")="Disposed",IFERROR(XLOOKUP(D73,'Source Ledger'!$B$5:$B$200,'Source Ledger'!$G$5:$G$200),0),IF(IFERROR(XLOOKUP(D73,'Source Ledger'!$B$5:$B$200,'Source Ledger'!$E$5:$E$200),"")="",IFERROR(XLOOKUP(D73,'Corrected Register'!$A$5:$A$200,'Corrected Register'!$M$5:$M$200),0),ABS(IFERROR(XLOOKUP(D73,'Source Ledger'!$B$5:$B$200,'Source Ledger'!$E$5:$E$200),0)-IFERROR(XLOOKUP(D73,'Corrected Register'!$A$5:$A$200,'Corrected Register'!$M$5:$M$200),0)))),IFERROR(XLOOKUP(D73,'Corrected Register'!$A$5:$A$200,'Corrected Register'!$N$5:$N$200),0))</f>
        <v>342.32</v>
      </c>
      <c r="H73" s="7" t="inlineStr">
        <is>
          <t>HR Operations Lead: clear former-employee assignment on MD-00070 (Hugh Talbot) (EX-0069).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MD-00070 is still assigned to Hugh Talbot (E0083), whose hr_employee_status row is Separated; OFF-00070 closed with no custodian rewrite (EX-0069).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Difference",IF(IFERROR(XLOOKUP(D74,'Source Ledger'!$B$5:$B$200,'Source Ledger'!$H$5:$H$200),"")="Disposed",IFERROR(XLOOKUP(D74,'Source Ledger'!$B$5:$B$200,'Source Ledger'!$G$5:$G$200),0),IF(IFERROR(XLOOKUP(D74,'Source Ledger'!$B$5:$B$200,'Source Ledger'!$E$5:$E$200),"")="",IFERROR(XLOOKUP(D74,'Corrected Register'!$A$5:$A$200,'Corrected Register'!$M$5:$M$200),0),ABS(IFERROR(XLOOKUP(D74,'Source Ledger'!$B$5:$B$200,'Source Ledger'!$E$5:$E$200),0)-IFERROR(XLOOKUP(D74,'Corrected Register'!$A$5:$A$200,'Corrected Register'!$M$5:$M$200),0)))),IFERROR(XLOOKUP(D74,'Corrected Register'!$A$5:$A$200,'Corrected Register'!$N$5:$N$200),0))</f>
        <v>787.96</v>
      </c>
      <c r="H74" s="7" t="inlineStr">
        <is>
          <t>Escalate recovery of MD-00071; 1ZMD00000071 is not proof of return (EX-0070).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1ZMD00000071 for MD-00071 never advanced past Label Created; no acceptance, delivery, or receiving scan for MD-MO-050071 (EX-0070).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Difference",IF(IFERROR(XLOOKUP(D75,'Source Ledger'!$B$5:$B$200,'Source Ledger'!$H$5:$H$200),"")="Disposed",IFERROR(XLOOKUP(D75,'Source Ledger'!$B$5:$B$200,'Source Ledger'!$G$5:$G$200),0),IF(IFERROR(XLOOKUP(D75,'Source Ledger'!$B$5:$B$200,'Source Ledger'!$E$5:$E$200),"")="",IFERROR(XLOOKUP(D75,'Corrected Register'!$A$5:$A$200,'Corrected Register'!$M$5:$M$200),0),ABS(IFERROR(XLOOKUP(D75,'Source Ledger'!$B$5:$B$200,'Source Ledger'!$E$5:$E$200),0)-IFERROR(XLOOKUP(D75,'Corrected Register'!$A$5:$A$200,'Corrected Register'!$M$5:$M$200),0)))),IFERROR(XLOOKUP(D75,'Corrected Register'!$A$5:$A$200,'Corrected Register'!$N$5:$N$200),0))</f>
        <v>787.96</v>
      </c>
      <c r="H75" s="7" t="inlineStr">
        <is>
          <t>Remove Mira Adelman from MD-00071; park under Regional IT or IT Stock (EX-0071).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Separated custodian Mira Adelman (E0084) remains on MD-00071 after OFF-00071 closed. Clear under EX-0071.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Difference",IF(IFERROR(XLOOKUP(D76,'Source Ledger'!$B$5:$B$200,'Source Ledger'!$H$5:$H$200),"")="Disposed",IFERROR(XLOOKUP(D76,'Source Ledger'!$B$5:$B$200,'Source Ledger'!$G$5:$G$200),0),IF(IFERROR(XLOOKUP(D76,'Source Ledger'!$B$5:$B$200,'Source Ledger'!$E$5:$E$200),"")="",IFERROR(XLOOKUP(D76,'Corrected Register'!$A$5:$A$200,'Corrected Register'!$M$5:$M$200),0),ABS(IFERROR(XLOOKUP(D76,'Source Ledger'!$B$5:$B$200,'Source Ledger'!$E$5:$E$200),0)-IFERROR(XLOOKUP(D76,'Corrected Register'!$A$5:$A$200,'Corrected Register'!$M$5:$M$200),0)))),IFERROR(XLOOKUP(D76,'Corrected Register'!$A$5:$A$200,'Corrected Register'!$N$5:$N$200),0))</f>
        <v>500.27</v>
      </c>
      <c r="H76" s="7" t="inlineStr">
        <is>
          <t>Do not clear MD-00072 Available until carrier acceptance + receiving scan exist (EX-0072).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Return clock on MD-00072 expired with only a prepaid label (1ZMD00000072) — not docked (EX-0072).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Difference",IF(IFERROR(XLOOKUP(D77,'Source Ledger'!$B$5:$B$200,'Source Ledger'!$H$5:$H$200),"")="Disposed",IFERROR(XLOOKUP(D77,'Source Ledger'!$B$5:$B$200,'Source Ledger'!$G$5:$G$200),0),IF(IFERROR(XLOOKUP(D77,'Source Ledger'!$B$5:$B$200,'Source Ledger'!$E$5:$E$200),"")="",IFERROR(XLOOKUP(D77,'Corrected Register'!$A$5:$A$200,'Corrected Register'!$M$5:$M$200),0),ABS(IFERROR(XLOOKUP(D77,'Source Ledger'!$B$5:$B$200,'Source Ledger'!$E$5:$E$200),0)-IFERROR(XLOOKUP(D77,'Corrected Register'!$A$5:$A$200,'Corrected Register'!$M$5:$M$200),0)))),IFERROR(XLOOKUP(D77,'Corrected Register'!$A$5:$A$200,'Corrected Register'!$N$5:$N$200),0))</f>
        <v>500.27</v>
      </c>
      <c r="H77" s="7" t="inlineStr">
        <is>
          <t>Reassign MD-00072 off separated Quincy Rhodes to a stock/Regional IT bucket (EX-0073).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HR shows Quincy Rhodes (E0085) terminated, yet the register still lists them on MD-00072 (OFF-00072) — EX-0073.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Difference",IF(IFERROR(XLOOKUP(D78,'Source Ledger'!$B$5:$B$200,'Source Ledger'!$H$5:$H$200),"")="Disposed",IFERROR(XLOOKUP(D78,'Source Ledger'!$B$5:$B$200,'Source Ledger'!$G$5:$G$200),0),IF(IFERROR(XLOOKUP(D78,'Source Ledger'!$B$5:$B$200,'Source Ledger'!$E$5:$E$200),"")="",IFERROR(XLOOKUP(D78,'Corrected Register'!$A$5:$A$200,'Corrected Register'!$M$5:$M$200),0),ABS(IFERROR(XLOOKUP(D78,'Source Ledger'!$B$5:$B$200,'Source Ledger'!$E$5:$E$200),0)-IFERROR(XLOOKUP(D78,'Corrected Register'!$A$5:$A$200,'Corrected Register'!$M$5:$M$200),0)))),IFERROR(XLOOKUP(D78,'Corrected Register'!$A$5:$A$200,'Corrected Register'!$N$5:$N$200),0))</f>
        <v>0</v>
      </c>
      <c r="H78" s="7" t="inlineStr">
        <is>
          <t>Do not clear MD-00073 Available until carrier acceptance + receiving scan exist (EX-0074).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OFF-00073 still open on paper for MD-00073; shipment 1ZMD00000073 shows Label Created only (EX-0074).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Difference",IF(IFERROR(XLOOKUP(D79,'Source Ledger'!$B$5:$B$200,'Source Ledger'!$H$5:$H$200),"")="Disposed",IFERROR(XLOOKUP(D79,'Source Ledger'!$B$5:$B$200,'Source Ledger'!$G$5:$G$200),0),IF(IFERROR(XLOOKUP(D79,'Source Ledger'!$B$5:$B$200,'Source Ledger'!$E$5:$E$200),"")="",IFERROR(XLOOKUP(D79,'Corrected Register'!$A$5:$A$200,'Corrected Register'!$M$5:$M$200),0),ABS(IFERROR(XLOOKUP(D79,'Source Ledger'!$B$5:$B$200,'Source Ledger'!$E$5:$E$200),0)-IFERROR(XLOOKUP(D79,'Corrected Register'!$A$5:$A$200,'Corrected Register'!$M$5:$M$200),0)))),IFERROR(XLOOKUP(D79,'Corrected Register'!$A$5:$A$200,'Corrected Register'!$N$5:$N$200),0))</f>
        <v>0</v>
      </c>
      <c r="H79" s="7" t="inlineStr">
        <is>
          <t>HR Operations Lead: clear former-employee assignment on MD-00073 (Sloane Richter) (EX-0075).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HR shows Sloane Richter (E0086) terminated, yet the register still lists them on MD-00073 (OFF-00073) — EX-0075.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Difference",IF(IFERROR(XLOOKUP(D80,'Source Ledger'!$B$5:$B$200,'Source Ledger'!$H$5:$H$200),"")="Disposed",IFERROR(XLOOKUP(D80,'Source Ledger'!$B$5:$B$200,'Source Ledger'!$G$5:$G$200),0),IF(IFERROR(XLOOKUP(D80,'Source Ledger'!$B$5:$B$200,'Source Ledger'!$E$5:$E$200),"")="",IFERROR(XLOOKUP(D80,'Corrected Register'!$A$5:$A$200,'Corrected Register'!$M$5:$M$200),0),ABS(IFERROR(XLOOKUP(D80,'Source Ledger'!$B$5:$B$200,'Source Ledger'!$E$5:$E$200),0)-IFERROR(XLOOKUP(D80,'Corrected Register'!$A$5:$A$200,'Corrected Register'!$M$5:$M$200),0)))),IFERROR(XLOOKUP(D80,'Corrected Register'!$A$5:$A$200,'Corrected Register'!$N$5:$N$200),0))</f>
        <v>359.25</v>
      </c>
      <c r="H80" s="7" t="inlineStr">
        <is>
          <t>Critical certification blocker — IT Operations Manager: block Available on MD-00074 until mismatch cleared (EX-0076).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Critical certification blocker — Serial clash on MD-00074 (MISMATCH-0074 vs MD-MO-050074 via 1ZMD00000074). Do not clear Available.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Difference",IF(IFERROR(XLOOKUP(D81,'Source Ledger'!$B$5:$B$200,'Source Ledger'!$H$5:$H$200),"")="Disposed",IFERROR(XLOOKUP(D81,'Source Ledger'!$B$5:$B$200,'Source Ledger'!$G$5:$G$200),0),IF(IFERROR(XLOOKUP(D81,'Source Ledger'!$B$5:$B$200,'Source Ledger'!$E$5:$E$200),"")="",IFERROR(XLOOKUP(D81,'Corrected Register'!$A$5:$A$200,'Corrected Register'!$M$5:$M$200),0),ABS(IFERROR(XLOOKUP(D81,'Source Ledger'!$B$5:$B$200,'Source Ledger'!$E$5:$E$200),0)-IFERROR(XLOOKUP(D81,'Corrected Register'!$A$5:$A$200,'Corrected Register'!$M$5:$M$200),0)))),IFERROR(XLOOKUP(D81,'Corrected Register'!$A$5:$A$200,'Corrected Register'!$N$5:$N$200),0))</f>
        <v>359.25</v>
      </c>
      <c r="H81" s="7" t="inlineStr">
        <is>
          <t>HR Operations Lead: clear former-employee assignment on MD-00074 (Nolan Vega) (EX-0077).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HR shows Nolan Vega (E0087) terminated, yet the register still lists them on MD-00074 (OFF-00074) — EX-0077.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Difference",IF(IFERROR(XLOOKUP(D82,'Source Ledger'!$B$5:$B$200,'Source Ledger'!$H$5:$H$200),"")="Disposed",IFERROR(XLOOKUP(D82,'Source Ledger'!$B$5:$B$200,'Source Ledger'!$G$5:$G$200),0),IF(IFERROR(XLOOKUP(D82,'Source Ledger'!$B$5:$B$200,'Source Ledger'!$E$5:$E$200),"")="",IFERROR(XLOOKUP(D82,'Corrected Register'!$A$5:$A$200,'Corrected Register'!$M$5:$M$200),0),ABS(IFERROR(XLOOKUP(D82,'Source Ledger'!$B$5:$B$200,'Source Ledger'!$E$5:$E$200),0)-IFERROR(XLOOKUP(D82,'Corrected Register'!$A$5:$A$200,'Corrected Register'!$M$5:$M$200),0)))),IFERROR(XLOOKUP(D82,'Corrected Register'!$A$5:$A$200,'Corrected Register'!$N$5:$N$200),0))</f>
        <v>359.25</v>
      </c>
      <c r="H82" s="7" t="inlineStr">
        <is>
          <t>Escalate recovery of MD-00074; 1ZMD00000074 is not proof of return (EX-0078).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Cannot treat MD-00074 as returned: 1ZMD00000074 lacks carrier acceptance and receiving scan for MD-MO-050074 (EX-0078).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Difference",IF(IFERROR(XLOOKUP(D83,'Source Ledger'!$B$5:$B$200,'Source Ledger'!$H$5:$H$200),"")="Disposed",IFERROR(XLOOKUP(D83,'Source Ledger'!$B$5:$B$200,'Source Ledger'!$G$5:$G$200),0),IF(IFERROR(XLOOKUP(D83,'Source Ledger'!$B$5:$B$200,'Source Ledger'!$E$5:$E$200),"")="",IFERROR(XLOOKUP(D83,'Corrected Register'!$A$5:$A$200,'Corrected Register'!$M$5:$M$200),0),ABS(IFERROR(XLOOKUP(D83,'Source Ledger'!$B$5:$B$200,'Source Ledger'!$E$5:$E$200),0)-IFERROR(XLOOKUP(D83,'Corrected Register'!$A$5:$A$200,'Corrected Register'!$M$5:$M$200),0)))),IFERROR(XLOOKUP(D83,'Corrected Register'!$A$5:$A$200,'Corrected Register'!$N$5:$N$200),0))</f>
        <v>647.42</v>
      </c>
      <c r="H83" s="7" t="inlineStr">
        <is>
          <t>Escalate recovery of MD-00075; 1ZMD00000075 is not proof of return (EX-0079).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OFF-00075 still open on paper for MD-00075; shipment 1ZMD00000075 shows Label Created only (EX-0079).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Difference",IF(IFERROR(XLOOKUP(D84,'Source Ledger'!$B$5:$B$200,'Source Ledger'!$H$5:$H$200),"")="Disposed",IFERROR(XLOOKUP(D84,'Source Ledger'!$B$5:$B$200,'Source Ledger'!$G$5:$G$200),0),IF(IFERROR(XLOOKUP(D84,'Source Ledger'!$B$5:$B$200,'Source Ledger'!$E$5:$E$200),"")="",IFERROR(XLOOKUP(D84,'Corrected Register'!$A$5:$A$200,'Corrected Register'!$M$5:$M$200),0),ABS(IFERROR(XLOOKUP(D84,'Source Ledger'!$B$5:$B$200,'Source Ledger'!$E$5:$E$200),0)-IFERROR(XLOOKUP(D84,'Corrected Register'!$A$5:$A$200,'Corrected Register'!$M$5:$M$200),0)))),IFERROR(XLOOKUP(D84,'Corrected Register'!$A$5:$A$200,'Corrected Register'!$N$5:$N$200),0))</f>
        <v>647.42</v>
      </c>
      <c r="H84" s="7" t="inlineStr">
        <is>
          <t>Reassign MD-00075 off separated Ivy Chenoweth to a stock/Regional IT bucket (EX-0080).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Separated custodian Ivy Chenoweth (E0088) remains on MD-00075 after OFF-00075 closed. Clear under EX-0080.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Difference",IF(IFERROR(XLOOKUP(D85,'Source Ledger'!$B$5:$B$200,'Source Ledger'!$H$5:$H$200),"")="Disposed",IFERROR(XLOOKUP(D85,'Source Ledger'!$B$5:$B$200,'Source Ledger'!$G$5:$G$200),0),IF(IFERROR(XLOOKUP(D85,'Source Ledger'!$B$5:$B$200,'Source Ledger'!$E$5:$E$200),"")="",IFERROR(XLOOKUP(D85,'Corrected Register'!$A$5:$A$200,'Corrected Register'!$M$5:$M$200),0),ABS(IFERROR(XLOOKUP(D85,'Source Ledger'!$B$5:$B$200,'Source Ledger'!$E$5:$E$200),0)-IFERROR(XLOOKUP(D85,'Corrected Register'!$A$5:$A$200,'Corrected Register'!$M$5:$M$200),0)))),IFERROR(XLOOKUP(D85,'Corrected Register'!$A$5:$A$200,'Corrected Register'!$N$5:$N$200),0))</f>
        <v>953.89</v>
      </c>
      <c r="H85" s="7" t="inlineStr">
        <is>
          <t>Critical certification blocker — IT Operations Manager: block Available on MD-00076 until mismatch cleared (EX-0081).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Critical certification blocker — Inbound MISMATCH-0076 on 1ZMD00000076 disagrees with register MD-NE-050076; MD-00076 stays In Transit - Exception until reconciled.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Difference",IF(IFERROR(XLOOKUP(D86,'Source Ledger'!$B$5:$B$200,'Source Ledger'!$H$5:$H$200),"")="Disposed",IFERROR(XLOOKUP(D86,'Source Ledger'!$B$5:$B$200,'Source Ledger'!$G$5:$G$200),0),IF(IFERROR(XLOOKUP(D86,'Source Ledger'!$B$5:$B$200,'Source Ledger'!$E$5:$E$200),"")="",IFERROR(XLOOKUP(D86,'Corrected Register'!$A$5:$A$200,'Corrected Register'!$M$5:$M$200),0),ABS(IFERROR(XLOOKUP(D86,'Source Ledger'!$B$5:$B$200,'Source Ledger'!$E$5:$E$200),0)-IFERROR(XLOOKUP(D86,'Corrected Register'!$A$5:$A$200,'Corrected Register'!$M$5:$M$200),0)))),IFERROR(XLOOKUP(D86,'Corrected Register'!$A$5:$A$200,'Corrected Register'!$N$5:$N$200),0))</f>
        <v>953.89</v>
      </c>
      <c r="H86" s="7" t="inlineStr">
        <is>
          <t>HR Operations Lead: clear former-employee assignment on MD-00076 (Percy Lambert) (EX-0082).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Separated custodian Percy Lambert (E0089) remains on MD-00076 after OFF-00076 closed. Clear under EX-0082.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Difference",IF(IFERROR(XLOOKUP(D87,'Source Ledger'!$B$5:$B$200,'Source Ledger'!$H$5:$H$200),"")="Disposed",IFERROR(XLOOKUP(D87,'Source Ledger'!$B$5:$B$200,'Source Ledger'!$G$5:$G$200),0),IF(IFERROR(XLOOKUP(D87,'Source Ledger'!$B$5:$B$200,'Source Ledger'!$E$5:$E$200),"")="",IFERROR(XLOOKUP(D87,'Corrected Register'!$A$5:$A$200,'Corrected Register'!$M$5:$M$200),0),ABS(IFERROR(XLOOKUP(D87,'Source Ledger'!$B$5:$B$200,'Source Ledger'!$E$5:$E$200),0)-IFERROR(XLOOKUP(D87,'Corrected Register'!$A$5:$A$200,'Corrected Register'!$M$5:$M$200),0)))),IFERROR(XLOOKUP(D87,'Corrected Register'!$A$5:$A$200,'Corrected Register'!$N$5:$N$200),0))</f>
        <v>953.89</v>
      </c>
      <c r="H87" s="7" t="inlineStr">
        <is>
          <t>IT Asset Specialist: chase MD-00076 overdue return — Label Created only on 1ZMD00000076 (EX-0083).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Return clock on MD-00076 expired with only a prepaid label (1ZMD00000076) — not docked (EX-0083).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Difference",IF(IFERROR(XLOOKUP(D88,'Source Ledger'!$B$5:$B$200,'Source Ledger'!$H$5:$H$200),"")="Disposed",IFERROR(XLOOKUP(D88,'Source Ledger'!$B$5:$B$200,'Source Ledger'!$G$5:$G$200),0),IF(IFERROR(XLOOKUP(D88,'Source Ledger'!$B$5:$B$200,'Source Ledger'!$E$5:$E$200),"")="",IFERROR(XLOOKUP(D88,'Corrected Register'!$A$5:$A$200,'Corrected Register'!$M$5:$M$200),0),ABS(IFERROR(XLOOKUP(D88,'Source Ledger'!$B$5:$B$200,'Source Ledger'!$E$5:$E$200),0)-IFERROR(XLOOKUP(D88,'Corrected Register'!$A$5:$A$200,'Corrected Register'!$M$5:$M$200),0)))),IFERROR(XLOOKUP(D88,'Corrected Register'!$A$5:$A$200,'Corrected Register'!$N$5:$N$200),0))</f>
        <v>0</v>
      </c>
      <c r="H88" s="7" t="inlineStr">
        <is>
          <t>Escalate recovery of MD-00077; 1ZMD00000077 is not proof of return (EX-0084).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1ZMD00000077 for MD-00077 never advanced past Label Created; no acceptance, delivery, or receiving scan for MD-LA-050077 (EX-0084).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Difference",IF(IFERROR(XLOOKUP(D89,'Source Ledger'!$B$5:$B$200,'Source Ledger'!$H$5:$H$200),"")="Disposed",IFERROR(XLOOKUP(D89,'Source Ledger'!$B$5:$B$200,'Source Ledger'!$G$5:$G$200),0),IF(IFERROR(XLOOKUP(D89,'Source Ledger'!$B$5:$B$200,'Source Ledger'!$E$5:$E$200),"")="",IFERROR(XLOOKUP(D89,'Corrected Register'!$A$5:$A$200,'Corrected Register'!$M$5:$M$200),0),ABS(IFERROR(XLOOKUP(D89,'Source Ledger'!$B$5:$B$200,'Source Ledger'!$E$5:$E$200),0)-IFERROR(XLOOKUP(D89,'Corrected Register'!$A$5:$A$200,'Corrected Register'!$M$5:$M$200),0)))),IFERROR(XLOOKUP(D89,'Corrected Register'!$A$5:$A$200,'Corrected Register'!$N$5:$N$200),0))</f>
        <v>0</v>
      </c>
      <c r="H89" s="7" t="inlineStr">
        <is>
          <t>Remove Dana Ghosh from MD-00077; park under Regional IT or IT Stock (EX-0085).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Offboarding left MD-00077 hanging on Dana Ghosh (E0090); status Separated in hr_employee_status, ticket OFF-00077. EX-0085.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Difference",IF(IFERROR(XLOOKUP(D90,'Source Ledger'!$B$5:$B$200,'Source Ledger'!$H$5:$H$200),"")="Disposed",IFERROR(XLOOKUP(D90,'Source Ledger'!$B$5:$B$200,'Source Ledger'!$G$5:$G$200),0),IF(IFERROR(XLOOKUP(D90,'Source Ledger'!$B$5:$B$200,'Source Ledger'!$E$5:$E$200),"")="",IFERROR(XLOOKUP(D90,'Corrected Register'!$A$5:$A$200,'Corrected Register'!$M$5:$M$200),0),ABS(IFERROR(XLOOKUP(D90,'Source Ledger'!$B$5:$B$200,'Source Ledger'!$E$5:$E$200),0)-IFERROR(XLOOKUP(D90,'Corrected Register'!$A$5:$A$200,'Corrected Register'!$M$5:$M$200),0)))),IFERROR(XLOOKUP(D90,'Corrected Register'!$A$5:$A$200,'Corrected Register'!$N$5:$N$200),0))</f>
        <v>328.95</v>
      </c>
      <c r="H90" s="7" t="inlineStr">
        <is>
          <t>Escalate recovery of MD-00078; 1ZMD00000078 is not proof of return (EX-0086).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Return clock on MD-00078 expired with only a prepaid label (1ZMD00000078) — not docked (EX-0086).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Difference",IF(IFERROR(XLOOKUP(D91,'Source Ledger'!$B$5:$B$200,'Source Ledger'!$H$5:$H$200),"")="Disposed",IFERROR(XLOOKUP(D91,'Source Ledger'!$B$5:$B$200,'Source Ledger'!$G$5:$G$200),0),IF(IFERROR(XLOOKUP(D91,'Source Ledger'!$B$5:$B$200,'Source Ledger'!$E$5:$E$200),"")="",IFERROR(XLOOKUP(D91,'Corrected Register'!$A$5:$A$200,'Corrected Register'!$M$5:$M$200),0),ABS(IFERROR(XLOOKUP(D91,'Source Ledger'!$B$5:$B$200,'Source Ledger'!$E$5:$E$200),0)-IFERROR(XLOOKUP(D91,'Corrected Register'!$A$5:$A$200,'Corrected Register'!$M$5:$M$200),0)))),IFERROR(XLOOKUP(D91,'Corrected Register'!$A$5:$A$200,'Corrected Register'!$N$5:$N$200),0))</f>
        <v>328.95</v>
      </c>
      <c r="H91" s="7" t="inlineStr">
        <is>
          <t>Reassign MD-00078 off separated Harlan Smith to a stock/Regional IT bucket (EX-0087).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MD-00078 is still assigned to Harlan Smith (E0091), whose hr_employee_status row is Separated; OFF-00078 closed with no custodian rewrite (EX-0087).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Difference",IF(IFERROR(XLOOKUP(D92,'Source Ledger'!$B$5:$B$200,'Source Ledger'!$H$5:$H$200),"")="Disposed",IFERROR(XLOOKUP(D92,'Source Ledger'!$B$5:$B$200,'Source Ledger'!$G$5:$G$200),0),IF(IFERROR(XLOOKUP(D92,'Source Ledger'!$B$5:$B$200,'Source Ledger'!$E$5:$E$200),"")="",IFERROR(XLOOKUP(D92,'Corrected Register'!$A$5:$A$200,'Corrected Register'!$M$5:$M$200),0),ABS(IFERROR(XLOOKUP(D92,'Source Ledger'!$B$5:$B$200,'Source Ledger'!$E$5:$E$200),0)-IFERROR(XLOOKUP(D92,'Corrected Register'!$A$5:$A$200,'Corrected Register'!$M$5:$M$200),0)))),IFERROR(XLOOKUP(D92,'Corrected Register'!$A$5:$A$200,'Corrected Register'!$N$5:$N$200),0))</f>
        <v>692.62</v>
      </c>
      <c r="H92" s="7" t="inlineStr">
        <is>
          <t>Do not clear MD-00079 Available until carrier acceptance + receiving scan exist (EX-0088).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OFF-00079 still open on paper for MD-00079; shipment 1ZMD00000079 shows Label Created only (EX-0088).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Difference",IF(IFERROR(XLOOKUP(D93,'Source Ledger'!$B$5:$B$200,'Source Ledger'!$H$5:$H$200),"")="Disposed",IFERROR(XLOOKUP(D93,'Source Ledger'!$B$5:$B$200,'Source Ledger'!$G$5:$G$200),0),IF(IFERROR(XLOOKUP(D93,'Source Ledger'!$B$5:$B$200,'Source Ledger'!$E$5:$E$200),"")="",IFERROR(XLOOKUP(D93,'Corrected Register'!$A$5:$A$200,'Corrected Register'!$M$5:$M$200),0),ABS(IFERROR(XLOOKUP(D93,'Source Ledger'!$B$5:$B$200,'Source Ledger'!$E$5:$E$200),0)-IFERROR(XLOOKUP(D93,'Corrected Register'!$A$5:$A$200,'Corrected Register'!$M$5:$M$200),0)))),IFERROR(XLOOKUP(D93,'Corrected Register'!$A$5:$A$200,'Corrected Register'!$N$5:$N$200),0))</f>
        <v>692.62</v>
      </c>
      <c r="H93" s="7" t="inlineStr">
        <is>
          <t>HR Operations Lead: clear former-employee assignment on MD-00079 (June Okoye) (EX-0089).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MD-00079 is still assigned to June Okoye (E0092), whose hr_employee_status row is Separated; OFF-00079 closed with no custodian rewrite (EX-0089).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Difference",IF(IFERROR(XLOOKUP(D94,'Source Ledger'!$B$5:$B$200,'Source Ledger'!$H$5:$H$200),"")="Disposed",IFERROR(XLOOKUP(D94,'Source Ledger'!$B$5:$B$200,'Source Ledger'!$G$5:$G$200),0),IF(IFERROR(XLOOKUP(D94,'Source Ledger'!$B$5:$B$200,'Source Ledger'!$E$5:$E$200),"")="",IFERROR(XLOOKUP(D94,'Corrected Register'!$A$5:$A$200,'Corrected Register'!$M$5:$M$200),0),ABS(IFERROR(XLOOKUP(D94,'Source Ledger'!$B$5:$B$200,'Source Ledger'!$E$5:$E$200),0)-IFERROR(XLOOKUP(D94,'Corrected Register'!$A$5:$A$200,'Corrected Register'!$M$5:$M$200),0)))),IFERROR(XLOOKUP(D94,'Corrected Register'!$A$5:$A$200,'Corrected Register'!$N$5:$N$200),0))</f>
        <v>1374.53</v>
      </c>
      <c r="H94" s="7" t="inlineStr">
        <is>
          <t>HR Operations Lead: clear former-employee assignment on MD-00080 (Rory Phelps) (EX-0090).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MD-00080 is still assigned to Rory Phelps (E0093), whose hr_employee_status row is Separated; OFF-00080 closed with no custodian rewrite (EX-0090).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Difference",IF(IFERROR(XLOOKUP(D95,'Source Ledger'!$B$5:$B$200,'Source Ledger'!$H$5:$H$200),"")="Disposed",IFERROR(XLOOKUP(D95,'Source Ledger'!$B$5:$B$200,'Source Ledger'!$G$5:$G$200),0),IF(IFERROR(XLOOKUP(D95,'Source Ledger'!$B$5:$B$200,'Source Ledger'!$E$5:$E$200),"")="",IFERROR(XLOOKUP(D95,'Corrected Register'!$A$5:$A$200,'Corrected Register'!$M$5:$M$200),0),ABS(IFERROR(XLOOKUP(D95,'Source Ledger'!$B$5:$B$200,'Source Ledger'!$E$5:$E$200),0)-IFERROR(XLOOKUP(D95,'Corrected Register'!$A$5:$A$200,'Corrected Register'!$M$5:$M$200),0)))),IFERROR(XLOOKUP(D95,'Corrected Register'!$A$5:$A$200,'Corrected Register'!$N$5:$N$200),0))</f>
        <v>114.4</v>
      </c>
      <c r="H95" s="7" t="inlineStr">
        <is>
          <t>HR Operations Lead: clear former-employee assignment on MD-00081 (Cecilia Hart) (EX-0091).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Offboarding left MD-00081 hanging on Cecilia Hart (E0094); status Separated in hr_employee_status, ticket OFF-00081. EX-0091.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Difference",IF(IFERROR(XLOOKUP(D96,'Source Ledger'!$B$5:$B$200,'Source Ledger'!$H$5:$H$200),"")="Disposed",IFERROR(XLOOKUP(D96,'Source Ledger'!$B$5:$B$200,'Source Ledger'!$G$5:$G$200),0),IF(IFERROR(XLOOKUP(D96,'Source Ledger'!$B$5:$B$200,'Source Ledger'!$E$5:$E$200),"")="",IFERROR(XLOOKUP(D96,'Corrected Register'!$A$5:$A$200,'Corrected Register'!$M$5:$M$200),0),ABS(IFERROR(XLOOKUP(D96,'Source Ledger'!$B$5:$B$200,'Source Ledger'!$E$5:$E$200),0)-IFERROR(XLOOKUP(D96,'Corrected Register'!$A$5:$A$200,'Corrected Register'!$M$5:$M$200),0)))),IFERROR(XLOOKUP(D96,'Corrected Register'!$A$5:$A$200,'Corrected Register'!$N$5:$N$200),0))</f>
        <v>485.55</v>
      </c>
      <c r="H96" s="7" t="inlineStr">
        <is>
          <t>Critical certification blocker — Hold MD-00082; resolve MISMATCH-0082 vs MD-MO-050082 before clearing custody.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Critical certification blocker — Atlanta dock photo receiving_exception_scan_1ZMD00000082.png is a HOLD lead only; MISMATCH-0082 on 1ZMD00000082 does not match register MD-MO-050082.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Difference",IF(IFERROR(XLOOKUP(D97,'Source Ledger'!$B$5:$B$200,'Source Ledger'!$H$5:$H$200),"")="Disposed",IFERROR(XLOOKUP(D97,'Source Ledger'!$B$5:$B$200,'Source Ledger'!$G$5:$G$200),0),IF(IFERROR(XLOOKUP(D97,'Source Ledger'!$B$5:$B$200,'Source Ledger'!$E$5:$E$200),"")="",IFERROR(XLOOKUP(D97,'Corrected Register'!$A$5:$A$200,'Corrected Register'!$M$5:$M$200),0),ABS(IFERROR(XLOOKUP(D97,'Source Ledger'!$B$5:$B$200,'Source Ledger'!$E$5:$E$200),0)-IFERROR(XLOOKUP(D97,'Corrected Register'!$A$5:$A$200,'Corrected Register'!$M$5:$M$200),0)))),IFERROR(XLOOKUP(D97,'Corrected Register'!$A$5:$A$200,'Corrected Register'!$N$5:$N$200),0))</f>
        <v>485.55</v>
      </c>
      <c r="H97" s="7" t="inlineStr">
        <is>
          <t>Remove Emmett Boyle from MD-00082; park under Regional IT or IT Stock (EX-0093).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MD-00082 is still assigned to Emmett Boyle (E0095), whose hr_employee_status row is Separated; OFF-00082 closed with no custodian rewrite (EX-0093).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Difference",IF(IFERROR(XLOOKUP(D98,'Source Ledger'!$B$5:$B$200,'Source Ledger'!$H$5:$H$200),"")="Disposed",IFERROR(XLOOKUP(D98,'Source Ledger'!$B$5:$B$200,'Source Ledger'!$G$5:$G$200),0),IF(IFERROR(XLOOKUP(D98,'Source Ledger'!$B$5:$B$200,'Source Ledger'!$E$5:$E$200),"")="",IFERROR(XLOOKUP(D98,'Corrected Register'!$A$5:$A$200,'Corrected Register'!$M$5:$M$200),0),ABS(IFERROR(XLOOKUP(D98,'Source Ledger'!$B$5:$B$200,'Source Ledger'!$E$5:$E$200),0)-IFERROR(XLOOKUP(D98,'Corrected Register'!$A$5:$A$200,'Corrected Register'!$M$5:$M$200),0)))),IFERROR(XLOOKUP(D98,'Corrected Register'!$A$5:$A$200,'Corrected Register'!$N$5:$N$200),0))</f>
        <v>952.79</v>
      </c>
      <c r="H98" s="7" t="inlineStr">
        <is>
          <t>Remove Sean McCabe from MD-00083; park under Regional IT or IT Stock (EX-0094).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HR shows Sean McCabe (E0071) terminated, yet the register still lists them on MD-00083 (OFF-00083) — EX-0094.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Difference",IF(IFERROR(XLOOKUP(D99,'Source Ledger'!$B$5:$B$200,'Source Ledger'!$H$5:$H$200),"")="Disposed",IFERROR(XLOOKUP(D99,'Source Ledger'!$B$5:$B$200,'Source Ledger'!$G$5:$G$200),0),IF(IFERROR(XLOOKUP(D99,'Source Ledger'!$B$5:$B$200,'Source Ledger'!$E$5:$E$200),"")="",IFERROR(XLOOKUP(D99,'Corrected Register'!$A$5:$A$200,'Corrected Register'!$M$5:$M$200),0),ABS(IFERROR(XLOOKUP(D99,'Source Ledger'!$B$5:$B$200,'Source Ledger'!$E$5:$E$200),0)-IFERROR(XLOOKUP(D99,'Corrected Register'!$A$5:$A$200,'Corrected Register'!$M$5:$M$200),0)))),IFERROR(XLOOKUP(D99,'Corrected Register'!$A$5:$A$200,'Corrected Register'!$N$5:$N$200),0))</f>
        <v>533.85</v>
      </c>
      <c r="H99" s="7" t="inlineStr">
        <is>
          <t>Critical certification blocker — Resolve MISMATCH-0084 vs MD-NE-050084 on 1ZMD00000084 for MD-00084 (EX-0095).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Critical certification blocker — Inbound MISMATCH-0084 on 1ZMD00000084 disagrees with register MD-NE-050084; MD-00084 stays In Transit - Exception until reconciled.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Difference",IF(IFERROR(XLOOKUP(D100,'Source Ledger'!$B$5:$B$200,'Source Ledger'!$H$5:$H$200),"")="Disposed",IFERROR(XLOOKUP(D100,'Source Ledger'!$B$5:$B$200,'Source Ledger'!$G$5:$G$200),0),IF(IFERROR(XLOOKUP(D100,'Source Ledger'!$B$5:$B$200,'Source Ledger'!$E$5:$E$200),"")="",IFERROR(XLOOKUP(D100,'Corrected Register'!$A$5:$A$200,'Corrected Register'!$M$5:$M$200),0),ABS(IFERROR(XLOOKUP(D100,'Source Ledger'!$B$5:$B$200,'Source Ledger'!$E$5:$E$200),0)-IFERROR(XLOOKUP(D100,'Corrected Register'!$A$5:$A$200,'Corrected Register'!$M$5:$M$200),0)))),IFERROR(XLOOKUP(D100,'Corrected Register'!$A$5:$A$200,'Corrected Register'!$N$5:$N$200),0))</f>
        <v>533.85</v>
      </c>
      <c r="H100" s="7" t="inlineStr">
        <is>
          <t>Reassign MD-00084 off separated Anita Bose to a stock/Regional IT bucket (EX-0096).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Offboarding left MD-00084 hanging on Anita Bose (E0072); status Separated in hr_employee_status, ticket OFF-00084. EX-0096.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Difference",IF(IFERROR(XLOOKUP(D101,'Source Ledger'!$B$5:$B$200,'Source Ledger'!$H$5:$H$200),"")="Disposed",IFERROR(XLOOKUP(D101,'Source Ledger'!$B$5:$B$200,'Source Ledger'!$G$5:$G$200),0),IF(IFERROR(XLOOKUP(D101,'Source Ledger'!$B$5:$B$200,'Source Ledger'!$E$5:$E$200),"")="",IFERROR(XLOOKUP(D101,'Corrected Register'!$A$5:$A$200,'Corrected Register'!$M$5:$M$200),0),ABS(IFERROR(XLOOKUP(D101,'Source Ledger'!$B$5:$B$200,'Source Ledger'!$E$5:$E$200),0)-IFERROR(XLOOKUP(D101,'Corrected Register'!$A$5:$A$200,'Corrected Register'!$M$5:$M$200),0)))),IFERROR(XLOOKUP(D101,'Corrected Register'!$A$5:$A$200,'Corrected Register'!$N$5:$N$200),0))</f>
        <v>0</v>
      </c>
      <c r="H101" s="7" t="inlineStr">
        <is>
          <t>Reassign MD-00085 off separated Drew Carmichael to a stock/Regional IT bucket (EX-0097).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HR shows Drew Carmichael (E0073) terminated, yet the register still lists them on MD-00085 (OFF-00085) — EX-0097.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PO:PO-2025-0016; RegisterCost:1895.0; LedgerCost:2090.0; OverDepreciation:20.0</t>
        </is>
      </c>
      <c r="G102" s="7">
        <f>IF(B102="Inventory-to-Ledger Difference",IF(IFERROR(XLOOKUP(D102,'Source Ledger'!$B$5:$B$200,'Source Ledger'!$H$5:$H$200),"")="Disposed",IFERROR(XLOOKUP(D102,'Source Ledger'!$B$5:$B$200,'Source Ledger'!$G$5:$G$200),0),IF(IFERROR(XLOOKUP(D102,'Source Ledger'!$B$5:$B$200,'Source Ledger'!$E$5:$E$200),"")="",IFERROR(XLOOKUP(D102,'Corrected Register'!$A$5:$A$200,'Corrected Register'!$M$5:$M$200),0),ABS(IFERROR(XLOOKUP(D102,'Source Ledger'!$B$5:$B$200,'Source Ledger'!$E$5:$E$200),0)-IFERROR(XLOOKUP(D102,'Corrected Register'!$A$5:$A$200,'Corrected Register'!$M$5:$M$200),0)))),IFERROR(XLOOKUP(D102,'Corrected Register'!$A$5:$A$200,'Corrected Register'!$N$5:$N$200),0))</f>
        <v>195</v>
      </c>
      <c r="H102" s="7" t="inlineStr">
        <is>
          <t>Finance: correct FA-000085 NBV to $20 and align $1,895 vs $2,090 for MD-00085.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FA-000085 shows acquisition $2,090 against register $1,895 on MD-00085; accumulated depreciation $2,070 leaves printed NBV $0 while $20 remains supportable.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Difference",IF(IFERROR(XLOOKUP(D103,'Source Ledger'!$B$5:$B$200,'Source Ledger'!$H$5:$H$200),"")="Disposed",IFERROR(XLOOKUP(D103,'Source Ledger'!$B$5:$B$200,'Source Ledger'!$G$5:$G$200),0),IF(IFERROR(XLOOKUP(D103,'Source Ledger'!$B$5:$B$200,'Source Ledger'!$E$5:$E$200),"")="",IFERROR(XLOOKUP(D103,'Corrected Register'!$A$5:$A$200,'Corrected Register'!$M$5:$M$200),0),ABS(IFERROR(XLOOKUP(D103,'Source Ledger'!$B$5:$B$200,'Source Ledger'!$E$5:$E$200),0)-IFERROR(XLOOKUP(D103,'Corrected Register'!$A$5:$A$200,'Corrected Register'!$M$5:$M$200),0)))),IFERROR(XLOOKUP(D103,'Corrected Register'!$A$5:$A$200,'Corrected Register'!$N$5:$N$200),0))</f>
        <v>317.07</v>
      </c>
      <c r="H103" s="7" t="inlineStr">
        <is>
          <t>HR Operations Lead: clear former-employee assignment on MD-00086 (Lila Novak) (EX-0099).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HR shows Lila Novak (E0074) terminated, yet the register still lists them on MD-00086 (OFF-00086) — EX-0099.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Difference",IF(IFERROR(XLOOKUP(D104,'Source Ledger'!$B$5:$B$200,'Source Ledger'!$H$5:$H$200),"")="Disposed",IFERROR(XLOOKUP(D104,'Source Ledger'!$B$5:$B$200,'Source Ledger'!$G$5:$G$200),0),IF(IFERROR(XLOOKUP(D104,'Source Ledger'!$B$5:$B$200,'Source Ledger'!$E$5:$E$200),"")="",IFERROR(XLOOKUP(D104,'Corrected Register'!$A$5:$A$200,'Corrected Register'!$M$5:$M$200),0),ABS(IFERROR(XLOOKUP(D104,'Source Ledger'!$B$5:$B$200,'Source Ledger'!$E$5:$E$200),0)-IFERROR(XLOOKUP(D104,'Corrected Register'!$A$5:$A$200,'Corrected Register'!$M$5:$M$200),0)))),IFERROR(XLOOKUP(D104,'Corrected Register'!$A$5:$A$200,'Corrected Register'!$N$5:$N$200),0))</f>
        <v>609.71</v>
      </c>
      <c r="H104" s="7" t="inlineStr">
        <is>
          <t>HR Operations Lead: clear former-employee assignment on MD-00087 (Curtis Bennett) (EX-0100).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MD-00087 is still assigned to Curtis Bennett (E0075), whose hr_employee_status row is Separated; OFF-00087 closed with no custodian rewrite (EX-0100).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Difference",IF(IFERROR(XLOOKUP(D105,'Source Ledger'!$B$5:$B$200,'Source Ledger'!$H$5:$H$200),"")="Disposed",IFERROR(XLOOKUP(D105,'Source Ledger'!$B$5:$B$200,'Source Ledger'!$G$5:$G$200),0),IF(IFERROR(XLOOKUP(D105,'Source Ledger'!$B$5:$B$200,'Source Ledger'!$E$5:$E$200),"")="",IFERROR(XLOOKUP(D105,'Corrected Register'!$A$5:$A$200,'Corrected Register'!$M$5:$M$200),0),ABS(IFERROR(XLOOKUP(D105,'Source Ledger'!$B$5:$B$200,'Source Ledger'!$E$5:$E$200),0)-IFERROR(XLOOKUP(D105,'Corrected Register'!$A$5:$A$200,'Corrected Register'!$M$5:$M$200),0)))),IFERROR(XLOOKUP(D105,'Corrected Register'!$A$5:$A$200,'Corrected Register'!$N$5:$N$200),0))</f>
        <v>982.55</v>
      </c>
      <c r="H105" s="7" t="inlineStr">
        <is>
          <t>Remove Pilar Santos from MD-00088; park under Regional IT or IT Stock (EX-0101).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Offboarding left MD-00088 hanging on Pilar Santos (E0076); status Separated in hr_employee_status, ticket OFF-00088. EX-0101.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across MD-00088 and MD-00092; Serial:MD-NE-050088; AlsoTagged:MD-00088,MD-00092</t>
        </is>
      </c>
      <c r="G106" s="7">
        <f>IF(B106="Inventory-to-Ledger Difference",IF(IFERROR(XLOOKUP(D106,'Source Ledger'!$B$5:$B$200,'Source Ledger'!$H$5:$H$200),"")="Disposed",IFERROR(XLOOKUP(D106,'Source Ledger'!$B$5:$B$200,'Source Ledger'!$G$5:$G$200),0),IF(IFERROR(XLOOKUP(D106,'Source Ledger'!$B$5:$B$200,'Source Ledger'!$E$5:$E$200),"")="",IFERROR(XLOOKUP(D106,'Corrected Register'!$A$5:$A$200,'Corrected Register'!$M$5:$M$200),0),ABS(IFERROR(XLOOKUP(D106,'Source Ledger'!$B$5:$B$200,'Source Ledger'!$E$5:$E$200),0)-IFERROR(XLOOKUP(D106,'Corrected Register'!$A$5:$A$200,'Corrected Register'!$M$5:$M$200),0)))),IFERROR(XLOOKUP(D106,'Corrected Register'!$A$5:$A$200,'Corrected Register'!$N$5:$N$200),0))</f>
        <v>982.55</v>
      </c>
      <c r="H106" s="7" t="inlineStr">
        <is>
          <t>Bench-validate and retag duplicate serial MD-NE-050088 involving MD-00088 (EX-0102).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is shared by MD-00088 and MD-00088,MD-00092; bench validation and retag required (EX-0102).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Difference",IF(IFERROR(XLOOKUP(D107,'Source Ledger'!$B$5:$B$200,'Source Ledger'!$H$5:$H$200),"")="Disposed",IFERROR(XLOOKUP(D107,'Source Ledger'!$B$5:$B$200,'Source Ledger'!$G$5:$G$200),0),IF(IFERROR(XLOOKUP(D107,'Source Ledger'!$B$5:$B$200,'Source Ledger'!$E$5:$E$200),"")="",IFERROR(XLOOKUP(D107,'Corrected Register'!$A$5:$A$200,'Corrected Register'!$M$5:$M$200),0),ABS(IFERROR(XLOOKUP(D107,'Source Ledger'!$B$5:$B$200,'Source Ledger'!$E$5:$E$200),0)-IFERROR(XLOOKUP(D107,'Corrected Register'!$A$5:$A$200,'Corrected Register'!$M$5:$M$200),0)))),IFERROR(XLOOKUP(D107,'Corrected Register'!$A$5:$A$200,'Corrected Register'!$N$5:$N$200),0))</f>
        <v>0</v>
      </c>
      <c r="H107" s="7" t="inlineStr">
        <is>
          <t>Open loss investigation on MD-00089; remain Missing until located or write-off approved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MD-00089 dropped from the floor after Denver - Closed; nothing in receiving or disposal files (EX-0103).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Difference",IF(IFERROR(XLOOKUP(D108,'Source Ledger'!$B$5:$B$200,'Source Ledger'!$H$5:$H$200),"")="Disposed",IFERROR(XLOOKUP(D108,'Source Ledger'!$B$5:$B$200,'Source Ledger'!$G$5:$G$200),0),IF(IFERROR(XLOOKUP(D108,'Source Ledger'!$B$5:$B$200,'Source Ledger'!$E$5:$E$200),"")="",IFERROR(XLOOKUP(D108,'Corrected Register'!$A$5:$A$200,'Corrected Register'!$M$5:$M$200),0),ABS(IFERROR(XLOOKUP(D108,'Source Ledger'!$B$5:$B$200,'Source Ledger'!$E$5:$E$200),0)-IFERROR(XLOOKUP(D108,'Corrected Register'!$A$5:$A$200,'Corrected Register'!$M$5:$M$200),0)))),IFERROR(XLOOKUP(D108,'Corrected Register'!$A$5:$A$200,'Corrected Register'!$N$5:$N$200),0))</f>
        <v>0</v>
      </c>
      <c r="H108" s="7" t="inlineStr">
        <is>
          <t>Reassign MD-00089 off separated Jonah Freedman to a stock/Regional IT bucket (EX-0104).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Separated custodian Jonah Freedman (E0077) remains on MD-00089 after OFF-00089 closed. Clear under EX-0104.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Difference",IF(IFERROR(XLOOKUP(D109,'Source Ledger'!$B$5:$B$200,'Source Ledger'!$H$5:$H$200),"")="Disposed",IFERROR(XLOOKUP(D109,'Source Ledger'!$B$5:$B$200,'Source Ledger'!$G$5:$G$200),0),IF(IFERROR(XLOOKUP(D109,'Source Ledger'!$B$5:$B$200,'Source Ledger'!$E$5:$E$200),"")="",IFERROR(XLOOKUP(D109,'Corrected Register'!$A$5:$A$200,'Corrected Register'!$M$5:$M$200),0),ABS(IFERROR(XLOOKUP(D109,'Source Ledger'!$B$5:$B$200,'Source Ledger'!$E$5:$E$200),0)-IFERROR(XLOOKUP(D109,'Corrected Register'!$A$5:$A$200,'Corrected Register'!$M$5:$M$200),0)))),IFERROR(XLOOKUP(D109,'Corrected Register'!$A$5:$A$200,'Corrected Register'!$N$5:$N$200),0))</f>
        <v>465.13</v>
      </c>
      <c r="H109" s="7" t="inlineStr">
        <is>
          <t>Open loss investigation on MD-00090; remain Missing until located or write-off approved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MD-00090 dropped from the floor after Chicago - Closed; nothing in receiving or disposal files (EX-0105).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Difference",IF(IFERROR(XLOOKUP(D110,'Source Ledger'!$B$5:$B$200,'Source Ledger'!$H$5:$H$200),"")="Disposed",IFERROR(XLOOKUP(D110,'Source Ledger'!$B$5:$B$200,'Source Ledger'!$G$5:$G$200),0),IF(IFERROR(XLOOKUP(D110,'Source Ledger'!$B$5:$B$200,'Source Ledger'!$E$5:$E$200),"")="",IFERROR(XLOOKUP(D110,'Corrected Register'!$A$5:$A$200,'Corrected Register'!$M$5:$M$200),0),ABS(IFERROR(XLOOKUP(D110,'Source Ledger'!$B$5:$B$200,'Source Ledger'!$E$5:$E$200),0)-IFERROR(XLOOKUP(D110,'Corrected Register'!$A$5:$A$200,'Corrected Register'!$M$5:$M$200),0)))),IFERROR(XLOOKUP(D110,'Corrected Register'!$A$5:$A$200,'Corrected Register'!$N$5:$N$200),0))</f>
        <v>465.13</v>
      </c>
      <c r="H110" s="7" t="inlineStr">
        <is>
          <t>Reassign MD-00090 off separated Regina Lowe to a stock/Regional IT bucket (EX-0106).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HR shows Regina Lowe (E0078) terminated, yet the register still lists them on MD-00090 (OFF-00090) — EX-0106.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Difference",IF(IFERROR(XLOOKUP(D111,'Source Ledger'!$B$5:$B$200,'Source Ledger'!$H$5:$H$200),"")="Disposed",IFERROR(XLOOKUP(D111,'Source Ledger'!$B$5:$B$200,'Source Ledger'!$G$5:$G$200),0),IF(IFERROR(XLOOKUP(D111,'Source Ledger'!$B$5:$B$200,'Source Ledger'!$E$5:$E$200),"")="",IFERROR(XLOOKUP(D111,'Corrected Register'!$A$5:$A$200,'Corrected Register'!$M$5:$M$200),0),ABS(IFERROR(XLOOKUP(D111,'Source Ledger'!$B$5:$B$200,'Source Ledger'!$E$5:$E$200),0)-IFERROR(XLOOKUP(D111,'Corrected Register'!$A$5:$A$200,'Corrected Register'!$M$5:$M$200),0)))),IFERROR(XLOOKUP(D111,'Corrected Register'!$A$5:$A$200,'Corrected Register'!$N$5:$N$200),0))</f>
        <v>643.09</v>
      </c>
      <c r="H111" s="7" t="inlineStr">
        <is>
          <t>Open loss investigation on MD-00091; remain Missing until located or write-off approved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Physical search has not recovered MD-00091 (MD-MO-050091); register still points at Denver - Closed (EX-0107).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Difference",IF(IFERROR(XLOOKUP(D112,'Source Ledger'!$B$5:$B$200,'Source Ledger'!$H$5:$H$200),"")="Disposed",IFERROR(XLOOKUP(D112,'Source Ledger'!$B$5:$B$200,'Source Ledger'!$G$5:$G$200),0),IF(IFERROR(XLOOKUP(D112,'Source Ledger'!$B$5:$B$200,'Source Ledger'!$E$5:$E$200),"")="",IFERROR(XLOOKUP(D112,'Corrected Register'!$A$5:$A$200,'Corrected Register'!$M$5:$M$200),0),ABS(IFERROR(XLOOKUP(D112,'Source Ledger'!$B$5:$B$200,'Source Ledger'!$E$5:$E$200),0)-IFERROR(XLOOKUP(D112,'Corrected Register'!$A$5:$A$200,'Corrected Register'!$M$5:$M$200),0)))),IFERROR(XLOOKUP(D112,'Corrected Register'!$A$5:$A$200,'Corrected Register'!$N$5:$N$200),0))</f>
        <v>643.09</v>
      </c>
      <c r="H112" s="7" t="inlineStr">
        <is>
          <t>HR Operations Lead: clear former-employee assignment on MD-00091 (Wes Carvalho) (EX-0108).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Offboarding left MD-00091 hanging on Wes Carvalho (E0079); status Separated in hr_employee_status, ticket OFF-00091. EX-0108.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Difference",IF(IFERROR(XLOOKUP(D113,'Source Ledger'!$B$5:$B$200,'Source Ledger'!$H$5:$H$200),"")="Disposed",IFERROR(XLOOKUP(D113,'Source Ledger'!$B$5:$B$200,'Source Ledger'!$G$5:$G$200),0),IF(IFERROR(XLOOKUP(D113,'Source Ledger'!$B$5:$B$200,'Source Ledger'!$E$5:$E$200),"")="",IFERROR(XLOOKUP(D113,'Corrected Register'!$A$5:$A$200,'Corrected Register'!$M$5:$M$200),0),ABS(IFERROR(XLOOKUP(D113,'Source Ledger'!$B$5:$B$200,'Source Ledger'!$E$5:$E$200),0)-IFERROR(XLOOKUP(D113,'Corrected Register'!$A$5:$A$200,'Corrected Register'!$M$5:$M$200),0)))),IFERROR(XLOOKUP(D113,'Corrected Register'!$A$5:$A$200,'Corrected Register'!$N$5:$N$200),0))</f>
        <v>1396.04</v>
      </c>
      <c r="H113" s="7" t="inlineStr">
        <is>
          <t>Open loss investigation on MD-00092; remain Missing until located or write-off approved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Loss path open on MD-00092 — last known Chicago - Closed; EX-0109.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Difference",IF(IFERROR(XLOOKUP(D114,'Source Ledger'!$B$5:$B$200,'Source Ledger'!$H$5:$H$200),"")="Disposed",IFERROR(XLOOKUP(D114,'Source Ledger'!$B$5:$B$200,'Source Ledger'!$G$5:$G$200),0),IF(IFERROR(XLOOKUP(D114,'Source Ledger'!$B$5:$B$200,'Source Ledger'!$E$5:$E$200),"")="",IFERROR(XLOOKUP(D114,'Corrected Register'!$A$5:$A$200,'Corrected Register'!$M$5:$M$200),0),ABS(IFERROR(XLOOKUP(D114,'Source Ledger'!$B$5:$B$200,'Source Ledger'!$E$5:$E$200),0)-IFERROR(XLOOKUP(D114,'Corrected Register'!$A$5:$A$200,'Corrected Register'!$M$5:$M$200),0)))),IFERROR(XLOOKUP(D114,'Corrected Register'!$A$5:$A$200,'Corrected Register'!$N$5:$N$200),0))</f>
        <v>1396.04</v>
      </c>
      <c r="H114" s="7" t="inlineStr">
        <is>
          <t>Remove Tara Singh from MD-00092; park under Regional IT or IT Stock (EX-0110).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MD-00092 is still assigned to Tara Singh (E0080), whose hr_employee_status row is Separated; OFF-00092 closed with no custodian rewrite (EX-0110).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across MD-00088 and MD-00092; Serial:MD-NE-050088; AlsoTagged:MD-00088,MD-00092</t>
        </is>
      </c>
      <c r="G115" s="7">
        <f>IF(B115="Inventory-to-Ledger Difference",IF(IFERROR(XLOOKUP(D115,'Source Ledger'!$B$5:$B$200,'Source Ledger'!$H$5:$H$200),"")="Disposed",IFERROR(XLOOKUP(D115,'Source Ledger'!$B$5:$B$200,'Source Ledger'!$G$5:$G$200),0),IF(IFERROR(XLOOKUP(D115,'Source Ledger'!$B$5:$B$200,'Source Ledger'!$E$5:$E$200),"")="",IFERROR(XLOOKUP(D115,'Corrected Register'!$A$5:$A$200,'Corrected Register'!$M$5:$M$200),0),ABS(IFERROR(XLOOKUP(D115,'Source Ledger'!$B$5:$B$200,'Source Ledger'!$E$5:$E$200),0)-IFERROR(XLOOKUP(D115,'Corrected Register'!$A$5:$A$200,'Corrected Register'!$M$5:$M$200),0)))),IFERROR(XLOOKUP(D115,'Corrected Register'!$A$5:$A$200,'Corrected Register'!$N$5:$N$200),0))</f>
        <v>1396.04</v>
      </c>
      <c r="H115" s="7" t="inlineStr">
        <is>
          <t>Bench-validate and retag duplicate serial MD-NE-050088 involving MD-00092 (EX-0111).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Serial MD-NE-050088 is shared by MD-00092 and MD-00088,MD-00092; bench validation and retag required (EX-0111).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Difference",IF(IFERROR(XLOOKUP(D116,'Source Ledger'!$B$5:$B$200,'Source Ledger'!$H$5:$H$200),"")="Disposed",IFERROR(XLOOKUP(D116,'Source Ledger'!$B$5:$B$200,'Source Ledger'!$G$5:$G$200),0),IF(IFERROR(XLOOKUP(D116,'Source Ledger'!$B$5:$B$200,'Source Ledger'!$E$5:$E$200),"")="",IFERROR(XLOOKUP(D116,'Corrected Register'!$A$5:$A$200,'Corrected Register'!$M$5:$M$200),0),ABS(IFERROR(XLOOKUP(D116,'Source Ledger'!$B$5:$B$200,'Source Ledger'!$E$5:$E$200),0)-IFERROR(XLOOKUP(D116,'Corrected Register'!$A$5:$A$200,'Corrected Register'!$M$5:$M$200),0)))),IFERROR(XLOOKUP(D116,'Corrected Register'!$A$5:$A$200,'Corrected Register'!$N$5:$N$200),0))</f>
        <v>130.57</v>
      </c>
      <c r="H116" s="7" t="inlineStr">
        <is>
          <t>Open loss investigation on MD-00093; remain Missing until located or write-off approved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No count, dock scan, or disposal certificate places MD-00093; last register site Denver - Closed (EX-0112).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Difference",IF(IFERROR(XLOOKUP(D117,'Source Ledger'!$B$5:$B$200,'Source Ledger'!$H$5:$H$200),"")="Disposed",IFERROR(XLOOKUP(D117,'Source Ledger'!$B$5:$B$200,'Source Ledger'!$G$5:$G$200),0),IF(IFERROR(XLOOKUP(D117,'Source Ledger'!$B$5:$B$200,'Source Ledger'!$E$5:$E$200),"")="",IFERROR(XLOOKUP(D117,'Corrected Register'!$A$5:$A$200,'Corrected Register'!$M$5:$M$200),0),ABS(IFERROR(XLOOKUP(D117,'Source Ledger'!$B$5:$B$200,'Source Ledger'!$E$5:$E$200),0)-IFERROR(XLOOKUP(D117,'Corrected Register'!$A$5:$A$200,'Corrected Register'!$M$5:$M$200),0)))),IFERROR(XLOOKUP(D117,'Corrected Register'!$A$5:$A$200,'Corrected Register'!$N$5:$N$200),0))</f>
        <v>130.57</v>
      </c>
      <c r="H117" s="7" t="inlineStr">
        <is>
          <t>Reassign MD-00093 off separated Elliott Park to a stock/Regional IT bucket (EX-0113).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HR shows Elliott Park (E0081) terminated, yet the register still lists them on MD-00093 (OFF-00093) — EX-0113.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Difference",IF(IFERROR(XLOOKUP(D118,'Source Ledger'!$B$5:$B$200,'Source Ledger'!$H$5:$H$200),"")="Disposed",IFERROR(XLOOKUP(D118,'Source Ledger'!$B$5:$B$200,'Source Ledger'!$G$5:$G$200),0),IF(IFERROR(XLOOKUP(D118,'Source Ledger'!$B$5:$B$200,'Source Ledger'!$E$5:$E$200),"")="",IFERROR(XLOOKUP(D118,'Corrected Register'!$A$5:$A$200,'Corrected Register'!$M$5:$M$200),0),ABS(IFERROR(XLOOKUP(D118,'Source Ledger'!$B$5:$B$200,'Source Ledger'!$E$5:$E$200),0)-IFERROR(XLOOKUP(D118,'Corrected Register'!$A$5:$A$200,'Corrected Register'!$M$5:$M$200),0)))),IFERROR(XLOOKUP(D118,'Corrected Register'!$A$5:$A$200,'Corrected Register'!$N$5:$N$200),0))</f>
        <v>431.2</v>
      </c>
      <c r="H118" s="7" t="inlineStr">
        <is>
          <t>Open loss investigation on MD-00094; remain Missing until located or write-off approved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Loss path open on MD-00094 — last known Chicago - Closed; EX-0114.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Difference",IF(IFERROR(XLOOKUP(D119,'Source Ledger'!$B$5:$B$200,'Source Ledger'!$H$5:$H$200),"")="Disposed",IFERROR(XLOOKUP(D119,'Source Ledger'!$B$5:$B$200,'Source Ledger'!$G$5:$G$200),0),IF(IFERROR(XLOOKUP(D119,'Source Ledger'!$B$5:$B$200,'Source Ledger'!$E$5:$E$200),"")="",IFERROR(XLOOKUP(D119,'Corrected Register'!$A$5:$A$200,'Corrected Register'!$M$5:$M$200),0),ABS(IFERROR(XLOOKUP(D119,'Source Ledger'!$B$5:$B$200,'Source Ledger'!$E$5:$E$200),0)-IFERROR(XLOOKUP(D119,'Corrected Register'!$A$5:$A$200,'Corrected Register'!$M$5:$M$200),0)))),IFERROR(XLOOKUP(D119,'Corrected Register'!$A$5:$A$200,'Corrected Register'!$N$5:$N$200),0))</f>
        <v>431.2</v>
      </c>
      <c r="H119" s="7" t="inlineStr">
        <is>
          <t>HR Operations Lead: clear former-employee assignment on MD-00094 (Carmen Diaz) (EX-0115).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HR shows Carmen Diaz (E0082) terminated, yet the register still lists them on MD-00094 (OFF-00094) — EX-0115.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Difference",IF(IFERROR(XLOOKUP(D120,'Source Ledger'!$B$5:$B$200,'Source Ledger'!$H$5:$H$200),"")="Disposed",IFERROR(XLOOKUP(D120,'Source Ledger'!$B$5:$B$200,'Source Ledger'!$G$5:$G$200),0),IF(IFERROR(XLOOKUP(D120,'Source Ledger'!$B$5:$B$200,'Source Ledger'!$E$5:$E$200),"")="",IFERROR(XLOOKUP(D120,'Corrected Register'!$A$5:$A$200,'Corrected Register'!$M$5:$M$200),0),ABS(IFERROR(XLOOKUP(D120,'Source Ledger'!$B$5:$B$200,'Source Ledger'!$E$5:$E$200),0)-IFERROR(XLOOKUP(D120,'Corrected Register'!$A$5:$A$200,'Corrected Register'!$M$5:$M$200),0)))),IFERROR(XLOOKUP(D120,'Corrected Register'!$A$5:$A$200,'Corrected Register'!$N$5:$N$200),0))</f>
        <v>894.87</v>
      </c>
      <c r="H120" s="7" t="inlineStr">
        <is>
          <t>Open loss investigation on MD-00095; remain Missing until located or write-off approved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MD-00095 dropped from the floor after Denver - Closed; nothing in receiving or disposal files (EX-0116).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Difference",IF(IFERROR(XLOOKUP(D121,'Source Ledger'!$B$5:$B$200,'Source Ledger'!$H$5:$H$200),"")="Disposed",IFERROR(XLOOKUP(D121,'Source Ledger'!$B$5:$B$200,'Source Ledger'!$G$5:$G$200),0),IF(IFERROR(XLOOKUP(D121,'Source Ledger'!$B$5:$B$200,'Source Ledger'!$E$5:$E$200),"")="",IFERROR(XLOOKUP(D121,'Corrected Register'!$A$5:$A$200,'Corrected Register'!$M$5:$M$200),0),ABS(IFERROR(XLOOKUP(D121,'Source Ledger'!$B$5:$B$200,'Source Ledger'!$E$5:$E$200),0)-IFERROR(XLOOKUP(D121,'Corrected Register'!$A$5:$A$200,'Corrected Register'!$M$5:$M$200),0)))),IFERROR(XLOOKUP(D121,'Corrected Register'!$A$5:$A$200,'Corrected Register'!$N$5:$N$200),0))</f>
        <v>894.87</v>
      </c>
      <c r="H121" s="7" t="inlineStr">
        <is>
          <t>Remove Hugh Talbot from MD-00095; park under Regional IT or IT Stock (EX-0117).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HR shows Hugh Talbot (E0083) terminated, yet the register still lists them on MD-00095 (OFF-00095) —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Difference",IF(IFERROR(XLOOKUP(D122,'Source Ledger'!$B$5:$B$200,'Source Ledger'!$H$5:$H$200),"")="Disposed",IFERROR(XLOOKUP(D122,'Source Ledger'!$B$5:$B$200,'Source Ledger'!$G$5:$G$200),0),IF(IFERROR(XLOOKUP(D122,'Source Ledger'!$B$5:$B$200,'Source Ledger'!$E$5:$E$200),"")="",IFERROR(XLOOKUP(D122,'Corrected Register'!$A$5:$A$200,'Corrected Register'!$M$5:$M$200),0),ABS(IFERROR(XLOOKUP(D122,'Source Ledger'!$B$5:$B$200,'Source Ledger'!$E$5:$E$200),0)-IFERROR(XLOOKUP(D122,'Corrected Register'!$A$5:$A$200,'Corrected Register'!$M$5:$M$200),0)))),IFERROR(XLOOKUP(D122,'Corrected Register'!$A$5:$A$200,'Corrected Register'!$N$5:$N$200),0))</f>
        <v>511.01</v>
      </c>
      <c r="H122" s="7" t="inlineStr">
        <is>
          <t>Open loss investigation on MD-00096; remain Missing until located or write-off approved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Physical search has not recovered MD-00096 (MD-NE-050096); register still points at Chicago - Closed (EX-0118).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Difference",IF(IFERROR(XLOOKUP(D123,'Source Ledger'!$B$5:$B$200,'Source Ledger'!$H$5:$H$200),"")="Disposed",IFERROR(XLOOKUP(D123,'Source Ledger'!$B$5:$B$200,'Source Ledger'!$G$5:$G$200),0),IF(IFERROR(XLOOKUP(D123,'Source Ledger'!$B$5:$B$200,'Source Ledger'!$E$5:$E$200),"")="",IFERROR(XLOOKUP(D123,'Corrected Register'!$A$5:$A$200,'Corrected Register'!$M$5:$M$200),0),ABS(IFERROR(XLOOKUP(D123,'Source Ledger'!$B$5:$B$200,'Source Ledger'!$E$5:$E$200),0)-IFERROR(XLOOKUP(D123,'Corrected Register'!$A$5:$A$200,'Corrected Register'!$M$5:$M$200),0)))),IFERROR(XLOOKUP(D123,'Corrected Register'!$A$5:$A$200,'Corrected Register'!$N$5:$N$200),0))</f>
        <v>511.01</v>
      </c>
      <c r="H123" s="7" t="inlineStr">
        <is>
          <t>Remove Mira Adelman from MD-00096; park under Regional IT or IT Stock (EX-0119).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Offboarding left MD-00096 hanging on Mira Adelman (E0084); status Separated in hr_employee_status, ticket OFF-00096. EX-0119.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Difference",IF(IFERROR(XLOOKUP(D124,'Source Ledger'!$B$5:$B$200,'Source Ledger'!$H$5:$H$200),"")="Disposed",IFERROR(XLOOKUP(D124,'Source Ledger'!$B$5:$B$200,'Source Ledger'!$G$5:$G$200),0),IF(IFERROR(XLOOKUP(D124,'Source Ledger'!$B$5:$B$200,'Source Ledger'!$E$5:$E$200),"")="",IFERROR(XLOOKUP(D124,'Corrected Register'!$A$5:$A$200,'Corrected Register'!$M$5:$M$200),0),ABS(IFERROR(XLOOKUP(D124,'Source Ledger'!$B$5:$B$200,'Source Ledger'!$E$5:$E$200),0)-IFERROR(XLOOKUP(D124,'Corrected Register'!$A$5:$A$200,'Corrected Register'!$M$5:$M$200),0)))),IFERROR(XLOOKUP(D124,'Corrected Register'!$A$5:$A$200,'Corrected Register'!$N$5:$N$200),0))</f>
        <v>0</v>
      </c>
      <c r="H124" s="7" t="inlineStr">
        <is>
          <t>Open loss investigation on MD-00097; remain Missing until located or write-off approved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MD-00097 dropped from the floor after Denver - Closed; nothing in receiving or disposal files (EX-0120).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Difference",IF(IFERROR(XLOOKUP(D125,'Source Ledger'!$B$5:$B$200,'Source Ledger'!$H$5:$H$200),"")="Disposed",IFERROR(XLOOKUP(D125,'Source Ledger'!$B$5:$B$200,'Source Ledger'!$G$5:$G$200),0),IF(IFERROR(XLOOKUP(D125,'Source Ledger'!$B$5:$B$200,'Source Ledger'!$E$5:$E$200),"")="",IFERROR(XLOOKUP(D125,'Corrected Register'!$A$5:$A$200,'Corrected Register'!$M$5:$M$200),0),ABS(IFERROR(XLOOKUP(D125,'Source Ledger'!$B$5:$B$200,'Source Ledger'!$E$5:$E$200),0)-IFERROR(XLOOKUP(D125,'Corrected Register'!$A$5:$A$200,'Corrected Register'!$M$5:$M$200),0)))),IFERROR(XLOOKUP(D125,'Corrected Register'!$A$5:$A$200,'Corrected Register'!$N$5:$N$200),0))</f>
        <v>0</v>
      </c>
      <c r="H125" s="7" t="inlineStr">
        <is>
          <t>HR Operations Lead: clear former-employee assignment on MD-00097 (Quincy Rhodes) (EX-0121).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MD-00097 is still assigned to Quincy Rhodes (E0085), whose hr_employee_status row is Separated; OFF-00097 closed with no custodian rewrite (EX-0121).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Difference",IF(IFERROR(XLOOKUP(D126,'Source Ledger'!$B$5:$B$200,'Source Ledger'!$H$5:$H$200),"")="Disposed",IFERROR(XLOOKUP(D126,'Source Ledger'!$B$5:$B$200,'Source Ledger'!$G$5:$G$200),0),IF(IFERROR(XLOOKUP(D126,'Source Ledger'!$B$5:$B$200,'Source Ledger'!$E$5:$E$200),"")="",IFERROR(XLOOKUP(D126,'Corrected Register'!$A$5:$A$200,'Corrected Register'!$M$5:$M$200),0),ABS(IFERROR(XLOOKUP(D126,'Source Ledger'!$B$5:$B$200,'Source Ledger'!$E$5:$E$200),0)-IFERROR(XLOOKUP(D126,'Corrected Register'!$A$5:$A$200,'Corrected Register'!$M$5:$M$200),0)))),IFERROR(XLOOKUP(D126,'Corrected Register'!$A$5:$A$200,'Corrected Register'!$N$5:$N$200),0))</f>
        <v>266.87</v>
      </c>
      <c r="H126" s="7" t="inlineStr">
        <is>
          <t>Open loss investigation on MD-00098; remain Missing until located or write-off approved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Physical search has not recovered MD-00098 (MD-MO-050098); register still points at Chicago - Closed (EX-0122).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Difference",IF(IFERROR(XLOOKUP(D127,'Source Ledger'!$B$5:$B$200,'Source Ledger'!$H$5:$H$200),"")="Disposed",IFERROR(XLOOKUP(D127,'Source Ledger'!$B$5:$B$200,'Source Ledger'!$G$5:$G$200),0),IF(IFERROR(XLOOKUP(D127,'Source Ledger'!$B$5:$B$200,'Source Ledger'!$E$5:$E$200),"")="",IFERROR(XLOOKUP(D127,'Corrected Register'!$A$5:$A$200,'Corrected Register'!$M$5:$M$200),0),ABS(IFERROR(XLOOKUP(D127,'Source Ledger'!$B$5:$B$200,'Source Ledger'!$E$5:$E$200),0)-IFERROR(XLOOKUP(D127,'Corrected Register'!$A$5:$A$200,'Corrected Register'!$M$5:$M$200),0)))),IFERROR(XLOOKUP(D127,'Corrected Register'!$A$5:$A$200,'Corrected Register'!$N$5:$N$200),0))</f>
        <v>266.87</v>
      </c>
      <c r="H127" s="7" t="inlineStr">
        <is>
          <t>HR Operations Lead: clear former-employee assignment on MD-00098 (Sloane Richter) (EX-0123).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MD-00098 is still assigned to Sloane Richter (E0086), whose hr_employee_status row is Separated; OFF-00098 closed with no custodian rewrite (EX-0123).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Difference",IF(IFERROR(XLOOKUP(D128,'Source Ledger'!$B$5:$B$200,'Source Ledger'!$H$5:$H$200),"")="Disposed",IFERROR(XLOOKUP(D128,'Source Ledger'!$B$5:$B$200,'Source Ledger'!$G$5:$G$200),0),IF(IFERROR(XLOOKUP(D128,'Source Ledger'!$B$5:$B$200,'Source Ledger'!$E$5:$E$200),"")="",IFERROR(XLOOKUP(D128,'Corrected Register'!$A$5:$A$200,'Corrected Register'!$M$5:$M$200),0),ABS(IFERROR(XLOOKUP(D128,'Source Ledger'!$B$5:$B$200,'Source Ledger'!$E$5:$E$200),0)-IFERROR(XLOOKUP(D128,'Corrected Register'!$A$5:$A$200,'Corrected Register'!$M$5:$M$200),0)))),IFERROR(XLOOKUP(D128,'Corrected Register'!$A$5:$A$200,'Corrected Register'!$N$5:$N$200),0))</f>
        <v>548.24</v>
      </c>
      <c r="H128" s="7" t="inlineStr">
        <is>
          <t>Open loss investigation on MD-00099; remain Missing until located or write-off approved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Loss path open on MD-00099 — last known Denver - Closed; EX-0124.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Difference",IF(IFERROR(XLOOKUP(D129,'Source Ledger'!$B$5:$B$200,'Source Ledger'!$H$5:$H$200),"")="Disposed",IFERROR(XLOOKUP(D129,'Source Ledger'!$B$5:$B$200,'Source Ledger'!$G$5:$G$200),0),IF(IFERROR(XLOOKUP(D129,'Source Ledger'!$B$5:$B$200,'Source Ledger'!$E$5:$E$200),"")="",IFERROR(XLOOKUP(D129,'Corrected Register'!$A$5:$A$200,'Corrected Register'!$M$5:$M$200),0),ABS(IFERROR(XLOOKUP(D129,'Source Ledger'!$B$5:$B$200,'Source Ledger'!$E$5:$E$200),0)-IFERROR(XLOOKUP(D129,'Corrected Register'!$A$5:$A$200,'Corrected Register'!$M$5:$M$200),0)))),IFERROR(XLOOKUP(D129,'Corrected Register'!$A$5:$A$200,'Corrected Register'!$N$5:$N$200),0))</f>
        <v>548.24</v>
      </c>
      <c r="H129" s="7" t="inlineStr">
        <is>
          <t>Remove Nolan Vega from MD-00099; park under Regional IT or IT Stock (EX-0125).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Separated custodian Nolan Vega (E0087) remains on MD-00099 after OFF-00099 closed. Clear under EX-0125.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Difference",IF(IFERROR(XLOOKUP(D130,'Source Ledger'!$B$5:$B$200,'Source Ledger'!$H$5:$H$200),"")="Disposed",IFERROR(XLOOKUP(D130,'Source Ledger'!$B$5:$B$200,'Source Ledger'!$G$5:$G$200),0),IF(IFERROR(XLOOKUP(D130,'Source Ledger'!$B$5:$B$200,'Source Ledger'!$E$5:$E$200),"")="",IFERROR(XLOOKUP(D130,'Corrected Register'!$A$5:$A$200,'Corrected Register'!$M$5:$M$200),0),ABS(IFERROR(XLOOKUP(D130,'Source Ledger'!$B$5:$B$200,'Source Ledger'!$E$5:$E$200),0)-IFERROR(XLOOKUP(D130,'Corrected Register'!$A$5:$A$200,'Corrected Register'!$M$5:$M$200),0)))),IFERROR(XLOOKUP(D130,'Corrected Register'!$A$5:$A$200,'Corrected Register'!$N$5:$N$200),0))</f>
        <v>927.36</v>
      </c>
      <c r="H130" s="7" t="inlineStr">
        <is>
          <t>Open loss investigation on MD-00100; remain Missing until located or write-off approved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No count, dock scan, or disposal certificate places MD-00100; last register site Chicago - Closed (EX-0126).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Difference",IF(IFERROR(XLOOKUP(D131,'Source Ledger'!$B$5:$B$200,'Source Ledger'!$H$5:$H$200),"")="Disposed",IFERROR(XLOOKUP(D131,'Source Ledger'!$B$5:$B$200,'Source Ledger'!$G$5:$G$200),0),IF(IFERROR(XLOOKUP(D131,'Source Ledger'!$B$5:$B$200,'Source Ledger'!$E$5:$E$200),"")="",IFERROR(XLOOKUP(D131,'Corrected Register'!$A$5:$A$200,'Corrected Register'!$M$5:$M$200),0),ABS(IFERROR(XLOOKUP(D131,'Source Ledger'!$B$5:$B$200,'Source Ledger'!$E$5:$E$200),0)-IFERROR(XLOOKUP(D131,'Corrected Register'!$A$5:$A$200,'Corrected Register'!$M$5:$M$200),0)))),IFERROR(XLOOKUP(D131,'Corrected Register'!$A$5:$A$200,'Corrected Register'!$N$5:$N$200),0))</f>
        <v>927.36</v>
      </c>
      <c r="H131" s="7" t="inlineStr">
        <is>
          <t>Remove Ivy Chenoweth from MD-00100; park under Regional IT or IT Stock (EX-0127).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HR shows Ivy Chenoweth (E0088) terminated, yet the register still lists them on MD-00100 (OFF-00100) — EX-0127.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Difference",IF(IFERROR(XLOOKUP(D132,'Source Ledger'!$B$5:$B$200,'Source Ledger'!$H$5:$H$200),"")="Disposed",IFERROR(XLOOKUP(D132,'Source Ledger'!$B$5:$B$200,'Source Ledger'!$G$5:$G$200),0),IF(IFERROR(XLOOKUP(D132,'Source Ledger'!$B$5:$B$200,'Source Ledger'!$E$5:$E$200),"")="",IFERROR(XLOOKUP(D132,'Corrected Register'!$A$5:$A$200,'Corrected Register'!$M$5:$M$200),0),ABS(IFERROR(XLOOKUP(D132,'Source Ledger'!$B$5:$B$200,'Source Ledger'!$E$5:$E$200),0)-IFERROR(XLOOKUP(D132,'Corrected Register'!$A$5:$A$200,'Corrected Register'!$M$5:$M$200),0)))),IFERROR(XLOOKUP(D132,'Corrected Register'!$A$5:$A$200,'Corrected Register'!$N$5:$N$200),0))</f>
        <v>0</v>
      </c>
      <c r="H132" s="7" t="inlineStr">
        <is>
          <t>Obtain disposal certificate for MD-00101 or reverse the retirement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asset_disposal_records has no DC match for MD-LA-050101 on MD-00101 after TR-00101. EX-0128.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Difference",IF(IFERROR(XLOOKUP(D133,'Source Ledger'!$B$5:$B$200,'Source Ledger'!$H$5:$H$200),"")="Disposed",IFERROR(XLOOKUP(D133,'Source Ledger'!$B$5:$B$200,'Source Ledger'!$G$5:$G$200),0),IF(IFERROR(XLOOKUP(D133,'Source Ledger'!$B$5:$B$200,'Source Ledger'!$E$5:$E$200),"")="",IFERROR(XLOOKUP(D133,'Corrected Register'!$A$5:$A$200,'Corrected Register'!$M$5:$M$200),0),ABS(IFERROR(XLOOKUP(D133,'Source Ledger'!$B$5:$B$200,'Source Ledger'!$E$5:$E$200),0)-IFERROR(XLOOKUP(D133,'Corrected Register'!$A$5:$A$200,'Corrected Register'!$M$5:$M$200),0)))),IFERROR(XLOOKUP(D133,'Corrected Register'!$A$5:$A$200,'Corrected Register'!$N$5:$N$200),0))</f>
        <v>0</v>
      </c>
      <c r="H133" s="7" t="inlineStr">
        <is>
          <t>EX-0129: location hygiene on MD-00101 — replace Denver - Closed with Seattle.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MD-00101 still shows closed floor Denver - Closed on the extract — TR-00101 already points inbound to Seattle; live footprint is Seattle; logged as EX-0129.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Difference",IF(IFERROR(XLOOKUP(D134,'Source Ledger'!$B$5:$B$200,'Source Ledger'!$H$5:$H$200),"")="Disposed",IFERROR(XLOOKUP(D134,'Source Ledger'!$B$5:$B$200,'Source Ledger'!$G$5:$G$200),0),IF(IFERROR(XLOOKUP(D134,'Source Ledger'!$B$5:$B$200,'Source Ledger'!$E$5:$E$200),"")="",IFERROR(XLOOKUP(D134,'Corrected Register'!$A$5:$A$200,'Corrected Register'!$M$5:$M$200),0),ABS(IFERROR(XLOOKUP(D134,'Source Ledger'!$B$5:$B$200,'Source Ledger'!$E$5:$E$200),0)-IFERROR(XLOOKUP(D134,'Corrected Register'!$A$5:$A$200,'Corrected Register'!$M$5:$M$200),0)))),IFERROR(XLOOKUP(D134,'Corrected Register'!$A$5:$A$200,'Corrected Register'!$N$5:$N$200),0))</f>
        <v>407.54</v>
      </c>
      <c r="H134" s="7" t="inlineStr">
        <is>
          <t>Obtain disposal certificate for MD-00102 or reverse the retirement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MD-00102 is Retired/Pending Disposal without a verified disposal certificate; TR-00102 moved it to recycler (EX-0130).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PO:PO-2024-0019; RegisterCost:700.0; LedgerCost:820.0</t>
        </is>
      </c>
      <c r="G135" s="7">
        <f>IF(B135="Inventory-to-Ledger Difference",IF(IFERROR(XLOOKUP(D135,'Source Ledger'!$B$5:$B$200,'Source Ledger'!$H$5:$H$200),"")="Disposed",IFERROR(XLOOKUP(D135,'Source Ledger'!$B$5:$B$200,'Source Ledger'!$G$5:$G$200),0),IF(IFERROR(XLOOKUP(D135,'Source Ledger'!$B$5:$B$200,'Source Ledger'!$E$5:$E$200),"")="",IFERROR(XLOOKUP(D135,'Corrected Register'!$A$5:$A$200,'Corrected Register'!$M$5:$M$200),0),ABS(IFERROR(XLOOKUP(D135,'Source Ledger'!$B$5:$B$200,'Source Ledger'!$E$5:$E$200),0)-IFERROR(XLOOKUP(D135,'Corrected Register'!$A$5:$A$200,'Corrected Register'!$M$5:$M$200),0)))),IFERROR(XLOOKUP(D135,'Corrected Register'!$A$5:$A$200,'Corrected Register'!$N$5:$N$200),0))</f>
        <v>120</v>
      </c>
      <c r="H135" s="7" t="inlineStr">
        <is>
          <t>Align MD-00102 cost: register $700 vs ledger $820 (FA-000102) (EX-0131).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Register $700 on MD-00102 vs $820 on FA-000102 (Δ $120); EX-0131.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Difference",IF(IFERROR(XLOOKUP(D136,'Source Ledger'!$B$5:$B$200,'Source Ledger'!$H$5:$H$200),"")="Disposed",IFERROR(XLOOKUP(D136,'Source Ledger'!$B$5:$B$200,'Source Ledger'!$G$5:$G$200),0),IF(IFERROR(XLOOKUP(D136,'Source Ledger'!$B$5:$B$200,'Source Ledger'!$E$5:$E$200),"")="",IFERROR(XLOOKUP(D136,'Corrected Register'!$A$5:$A$200,'Corrected Register'!$M$5:$M$200),0),ABS(IFERROR(XLOOKUP(D136,'Source Ledger'!$B$5:$B$200,'Source Ledger'!$E$5:$E$200),0)-IFERROR(XLOOKUP(D136,'Corrected Register'!$A$5:$A$200,'Corrected Register'!$M$5:$M$200),0)))),IFERROR(XLOOKUP(D136,'Corrected Register'!$A$5:$A$200,'Corrected Register'!$N$5:$N$200),0))</f>
        <v>407.54</v>
      </c>
      <c r="H136" s="7" t="inlineStr">
        <is>
          <t>IT Asset Specialist: post Atlanta on MD-00102 and retire Chicago - Closed (EX-0132).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ticketed EX-0132; site field on MD-00102 (MD-MO-050102) still reads Chicago - Closed; TR-00102 already points inbound to Atlanta; live footprint is Atlanta.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Difference",IF(IFERROR(XLOOKUP(D137,'Source Ledger'!$B$5:$B$200,'Source Ledger'!$H$5:$H$200),"")="Disposed",IFERROR(XLOOKUP(D137,'Source Ledger'!$B$5:$B$200,'Source Ledger'!$G$5:$G$200),0),IF(IFERROR(XLOOKUP(D137,'Source Ledger'!$B$5:$B$200,'Source Ledger'!$E$5:$E$200),"")="",IFERROR(XLOOKUP(D137,'Corrected Register'!$A$5:$A$200,'Corrected Register'!$M$5:$M$200),0),ABS(IFERROR(XLOOKUP(D137,'Source Ledger'!$B$5:$B$200,'Source Ledger'!$E$5:$E$200),0)-IFERROR(XLOOKUP(D137,'Corrected Register'!$A$5:$A$200,'Corrected Register'!$M$5:$M$200),0)))),IFERROR(XLOOKUP(D137,'Corrected Register'!$A$5:$A$200,'Corrected Register'!$N$5:$N$200),0))</f>
        <v>782.53</v>
      </c>
      <c r="H137" s="7" t="inlineStr">
        <is>
          <t>Obtain disposal certificate for MD-00103 or reverse the retirement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asset_disposal_records has no DC match for MD-MO-050103 on MD-00103 after TR-00103. EX-0133.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Difference",IF(IFERROR(XLOOKUP(D138,'Source Ledger'!$B$5:$B$200,'Source Ledger'!$H$5:$H$200),"")="Disposed",IFERROR(XLOOKUP(D138,'Source Ledger'!$B$5:$B$200,'Source Ledger'!$G$5:$G$200),0),IF(IFERROR(XLOOKUP(D138,'Source Ledger'!$B$5:$B$200,'Source Ledger'!$E$5:$E$200),"")="",IFERROR(XLOOKUP(D138,'Corrected Register'!$A$5:$A$200,'Corrected Register'!$M$5:$M$200),0),ABS(IFERROR(XLOOKUP(D138,'Source Ledger'!$B$5:$B$200,'Source Ledger'!$E$5:$E$200),0)-IFERROR(XLOOKUP(D138,'Corrected Register'!$A$5:$A$200,'Corrected Register'!$M$5:$M$200),0)))),IFERROR(XLOOKUP(D138,'Corrected Register'!$A$5:$A$200,'Corrected Register'!$N$5:$N$200),0))</f>
        <v>782.53</v>
      </c>
      <c r="H138" s="7" t="inlineStr">
        <is>
          <t>EX-0134: location hygiene on MD-00103 — replace Denver - Closed with Chicago.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ticketed EX-0134 — site field on MD-00103 (MD-MO-050103) still reads Denver - Closed; TR-00103 already points inbound to Chicago; live footprint is Chicago.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Difference",IF(IFERROR(XLOOKUP(D139,'Source Ledger'!$B$5:$B$200,'Source Ledger'!$H$5:$H$200),"")="Disposed",IFERROR(XLOOKUP(D139,'Source Ledger'!$B$5:$B$200,'Source Ledger'!$G$5:$G$200),0),IF(IFERROR(XLOOKUP(D139,'Source Ledger'!$B$5:$B$200,'Source Ledger'!$E$5:$E$200),"")="",IFERROR(XLOOKUP(D139,'Corrected Register'!$A$5:$A$200,'Corrected Register'!$M$5:$M$200),0),ABS(IFERROR(XLOOKUP(D139,'Source Ledger'!$B$5:$B$200,'Source Ledger'!$E$5:$E$200),0)-IFERROR(XLOOKUP(D139,'Corrected Register'!$A$5:$A$200,'Corrected Register'!$M$5:$M$200),0)))),IFERROR(XLOOKUP(D139,'Corrected Register'!$A$5:$A$200,'Corrected Register'!$N$5:$N$200),0))</f>
        <v>1403.83</v>
      </c>
      <c r="H139" s="7" t="inlineStr">
        <is>
          <t>Obtain disposal certificate for MD-00104 or reverse the retirement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MD-00104 is Retired/Pending Disposal without a verified disposal certificate; TR-00104 moved it to recycler (EX-0135).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Difference",IF(IFERROR(XLOOKUP(D140,'Source Ledger'!$B$5:$B$200,'Source Ledger'!$H$5:$H$200),"")="Disposed",IFERROR(XLOOKUP(D140,'Source Ledger'!$B$5:$B$200,'Source Ledger'!$G$5:$G$200),0),IF(IFERROR(XLOOKUP(D140,'Source Ledger'!$B$5:$B$200,'Source Ledger'!$E$5:$E$200),"")="",IFERROR(XLOOKUP(D140,'Corrected Register'!$A$5:$A$200,'Corrected Register'!$M$5:$M$200),0),ABS(IFERROR(XLOOKUP(D140,'Source Ledger'!$B$5:$B$200,'Source Ledger'!$E$5:$E$200),0)-IFERROR(XLOOKUP(D140,'Corrected Register'!$A$5:$A$200,'Corrected Register'!$M$5:$M$200),0)))),IFERROR(XLOOKUP(D140,'Corrected Register'!$A$5:$A$200,'Corrected Register'!$N$5:$N$200),0))</f>
        <v>1403.83</v>
      </c>
      <c r="H140" s="7" t="inlineStr">
        <is>
          <t>Do not certify MD-00104 while location still says Chicago - Closed; target Dallas (EX-0136).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MD-00104 still shows closed floor Chicago - Closed on the extract; TR-00104 already points inbound to Dallas; live footprint is Dallas; logged as EX-0136.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Difference",IF(IFERROR(XLOOKUP(D141,'Source Ledger'!$B$5:$B$200,'Source Ledger'!$H$5:$H$200),"")="Disposed",IFERROR(XLOOKUP(D141,'Source Ledger'!$B$5:$B$200,'Source Ledger'!$G$5:$G$200),0),IF(IFERROR(XLOOKUP(D141,'Source Ledger'!$B$5:$B$200,'Source Ledger'!$E$5:$E$200),"")="",IFERROR(XLOOKUP(D141,'Corrected Register'!$A$5:$A$200,'Corrected Register'!$M$5:$M$200),0),ABS(IFERROR(XLOOKUP(D141,'Source Ledger'!$B$5:$B$200,'Source Ledger'!$E$5:$E$200),0)-IFERROR(XLOOKUP(D141,'Corrected Register'!$A$5:$A$200,'Corrected Register'!$M$5:$M$200),0)))),IFERROR(XLOOKUP(D141,'Corrected Register'!$A$5:$A$200,'Corrected Register'!$N$5:$N$200),0))</f>
        <v>104.26</v>
      </c>
      <c r="H141" s="7" t="inlineStr">
        <is>
          <t>Obtain disposal certificate for MD-00105 or reverse the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Retirement of MD-00105 lacks certificate proof; ledger may already show Disposed (EX-0137).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Difference",IF(IFERROR(XLOOKUP(D142,'Source Ledger'!$B$5:$B$200,'Source Ledger'!$H$5:$H$200),"")="Disposed",IFERROR(XLOOKUP(D142,'Source Ledger'!$B$5:$B$200,'Source Ledger'!$G$5:$G$200),0),IF(IFERROR(XLOOKUP(D142,'Source Ledger'!$B$5:$B$200,'Source Ledger'!$E$5:$E$200),"")="",IFERROR(XLOOKUP(D142,'Corrected Register'!$A$5:$A$200,'Corrected Register'!$M$5:$M$200),0),ABS(IFERROR(XLOOKUP(D142,'Source Ledger'!$B$5:$B$200,'Source Ledger'!$E$5:$E$200),0)-IFERROR(XLOOKUP(D142,'Corrected Register'!$A$5:$A$200,'Corrected Register'!$M$5:$M$200),0)))),IFERROR(XLOOKUP(D142,'Corrected Register'!$A$5:$A$200,'Corrected Register'!$N$5:$N$200),0))</f>
        <v>104.26</v>
      </c>
      <c r="H142" s="7" t="inlineStr">
        <is>
          <t>Correct MD-00105 site code (Denver - Closed) now that TR-00105 supports Denver (EX-0138).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MD-00105 still shows closed floor Denver - Closed on the extract — TR-00105 already points inbound to Denver; live footprint is Denver; logged as EX-0138.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Difference",IF(IFERROR(XLOOKUP(D143,'Source Ledger'!$B$5:$B$200,'Source Ledger'!$H$5:$H$200),"")="Disposed",IFERROR(XLOOKUP(D143,'Source Ledger'!$B$5:$B$200,'Source Ledger'!$G$5:$G$200),0),IF(IFERROR(XLOOKUP(D143,'Source Ledger'!$B$5:$B$200,'Source Ledger'!$E$5:$E$200),"")="",IFERROR(XLOOKUP(D143,'Corrected Register'!$A$5:$A$200,'Corrected Register'!$M$5:$M$200),0),ABS(IFERROR(XLOOKUP(D143,'Source Ledger'!$B$5:$B$200,'Source Ledger'!$E$5:$E$200),0)-IFERROR(XLOOKUP(D143,'Corrected Register'!$A$5:$A$200,'Corrected Register'!$M$5:$M$200),0)))),IFERROR(XLOOKUP(D143,'Corrected Register'!$A$5:$A$200,'Corrected Register'!$N$5:$N$200),0))</f>
        <v>368.24</v>
      </c>
      <c r="H143" s="7" t="inlineStr">
        <is>
          <t>Obtain disposal certificate for MD-00106 or reverse the retirement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MD-00106 is Retired/Pending Disposal without a verified disposal certificate; TR-00106 moved it to recycler (EX-0139).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Difference",IF(IFERROR(XLOOKUP(D144,'Source Ledger'!$B$5:$B$200,'Source Ledger'!$H$5:$H$200),"")="Disposed",IFERROR(XLOOKUP(D144,'Source Ledger'!$B$5:$B$200,'Source Ledger'!$G$5:$G$200),0),IF(IFERROR(XLOOKUP(D144,'Source Ledger'!$B$5:$B$200,'Source Ledger'!$E$5:$E$200),"")="",IFERROR(XLOOKUP(D144,'Corrected Register'!$A$5:$A$200,'Corrected Register'!$M$5:$M$200),0),ABS(IFERROR(XLOOKUP(D144,'Source Ledger'!$B$5:$B$200,'Source Ledger'!$E$5:$E$200),0)-IFERROR(XLOOKUP(D144,'Corrected Register'!$A$5:$A$200,'Corrected Register'!$M$5:$M$200),0)))),IFERROR(XLOOKUP(D144,'Corrected Register'!$A$5:$A$200,'Corrected Register'!$N$5:$N$200),0))</f>
        <v>368.24</v>
      </c>
      <c r="H144" s="7" t="inlineStr">
        <is>
          <t>Pending register edit EX-0140: MD-00106 should show New York, not Chicago - Closed.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Opened under EX-0140. Register location for MD-00106 was never flipped off Chicago - Closed. TR-00106 already points inbound to New York. Live footprint is New York.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Difference",IF(IFERROR(XLOOKUP(D145,'Source Ledger'!$B$5:$B$200,'Source Ledger'!$H$5:$H$200),"")="Disposed",IFERROR(XLOOKUP(D145,'Source Ledger'!$B$5:$B$200,'Source Ledger'!$G$5:$G$200),0),IF(IFERROR(XLOOKUP(D145,'Source Ledger'!$B$5:$B$200,'Source Ledger'!$E$5:$E$200),"")="",IFERROR(XLOOKUP(D145,'Corrected Register'!$A$5:$A$200,'Corrected Register'!$M$5:$M$200),0),ABS(IFERROR(XLOOKUP(D145,'Source Ledger'!$B$5:$B$200,'Source Ledger'!$E$5:$E$200),0)-IFERROR(XLOOKUP(D145,'Corrected Register'!$A$5:$A$200,'Corrected Register'!$M$5:$M$200),0)))),IFERROR(XLOOKUP(D145,'Corrected Register'!$A$5:$A$200,'Corrected Register'!$N$5:$N$200),0))</f>
        <v>812.21</v>
      </c>
      <c r="H145" s="7" t="inlineStr">
        <is>
          <t>Obtain disposal certificate for MD-00107 or reverse the retirement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Retirement of MD-00107 lacks certificate proof; ledger may already show Disposed (EX-0141).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Difference",IF(IFERROR(XLOOKUP(D146,'Source Ledger'!$B$5:$B$200,'Source Ledger'!$H$5:$H$200),"")="Disposed",IFERROR(XLOOKUP(D146,'Source Ledger'!$B$5:$B$200,'Source Ledger'!$G$5:$G$200),0),IF(IFERROR(XLOOKUP(D146,'Source Ledger'!$B$5:$B$200,'Source Ledger'!$E$5:$E$200),"")="",IFERROR(XLOOKUP(D146,'Corrected Register'!$A$5:$A$200,'Corrected Register'!$M$5:$M$200),0),ABS(IFERROR(XLOOKUP(D146,'Source Ledger'!$B$5:$B$200,'Source Ledger'!$E$5:$E$200),0)-IFERROR(XLOOKUP(D146,'Corrected Register'!$A$5:$A$200,'Corrected Register'!$M$5:$M$200),0)))),IFERROR(XLOOKUP(D146,'Corrected Register'!$A$5:$A$200,'Corrected Register'!$N$5:$N$200),0))</f>
        <v>812.21</v>
      </c>
      <c r="H146" s="7" t="inlineStr">
        <is>
          <t>IT stock desk: rewrite site on MD-00107 to Seattle; Denver - Closed is retired (EX-0142).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Denver - Closed remains on MD-00107 after the consolidation cutover — TR-00107 already points inbound to Seattle; live footprint is Seattle; see EX-0142.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Difference",IF(IFERROR(XLOOKUP(D147,'Source Ledger'!$B$5:$B$200,'Source Ledger'!$H$5:$H$200),"")="Disposed",IFERROR(XLOOKUP(D147,'Source Ledger'!$B$5:$B$200,'Source Ledger'!$G$5:$G$200),0),IF(IFERROR(XLOOKUP(D147,'Source Ledger'!$B$5:$B$200,'Source Ledger'!$E$5:$E$200),"")="",IFERROR(XLOOKUP(D147,'Corrected Register'!$A$5:$A$200,'Corrected Register'!$M$5:$M$200),0),ABS(IFERROR(XLOOKUP(D147,'Source Ledger'!$B$5:$B$200,'Source Ledger'!$E$5:$E$200),0)-IFERROR(XLOOKUP(D147,'Corrected Register'!$A$5:$A$200,'Corrected Register'!$M$5:$M$200),0)))),IFERROR(XLOOKUP(D147,'Corrected Register'!$A$5:$A$200,'Corrected Register'!$N$5:$N$200),0))</f>
        <v>545.48</v>
      </c>
      <c r="H147" s="7" t="inlineStr">
        <is>
          <t>Obtain disposal certificate for MD-00108 or reverse the retirement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asset_disposal_records has no DC match for MD-NE-050108 on MD-00108 after TR-00108. EX-0143.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Difference",IF(IFERROR(XLOOKUP(D148,'Source Ledger'!$B$5:$B$200,'Source Ledger'!$H$5:$H$200),"")="Disposed",IFERROR(XLOOKUP(D148,'Source Ledger'!$B$5:$B$200,'Source Ledger'!$G$5:$G$200),0),IF(IFERROR(XLOOKUP(D148,'Source Ledger'!$B$5:$B$200,'Source Ledger'!$E$5:$E$200),"")="",IFERROR(XLOOKUP(D148,'Corrected Register'!$A$5:$A$200,'Corrected Register'!$M$5:$M$200),0),ABS(IFERROR(XLOOKUP(D148,'Source Ledger'!$B$5:$B$200,'Source Ledger'!$E$5:$E$200),0)-IFERROR(XLOOKUP(D148,'Corrected Register'!$A$5:$A$200,'Corrected Register'!$M$5:$M$200),0)))),IFERROR(XLOOKUP(D148,'Corrected Register'!$A$5:$A$200,'Corrected Register'!$N$5:$N$200),0))</f>
        <v>545.48</v>
      </c>
      <c r="H148" s="7" t="inlineStr">
        <is>
          <t>Swap Chicago - Closed → Atlanta on MD-00108's location field (EX-0144).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Chicago - Closed remains on MD-00108 after the consolidation cutover. TR-00108 already points inbound to Atlanta. Live footprint is Atlanta. See EX-0144.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Difference",IF(IFERROR(XLOOKUP(D149,'Source Ledger'!$B$5:$B$200,'Source Ledger'!$H$5:$H$200),"")="Disposed",IFERROR(XLOOKUP(D149,'Source Ledger'!$B$5:$B$200,'Source Ledger'!$G$5:$G$200),0),IF(IFERROR(XLOOKUP(D149,'Source Ledger'!$B$5:$B$200,'Source Ledger'!$E$5:$E$200),"")="",IFERROR(XLOOKUP(D149,'Corrected Register'!$A$5:$A$200,'Corrected Register'!$M$5:$M$200),0),ABS(IFERROR(XLOOKUP(D149,'Source Ledger'!$B$5:$B$200,'Source Ledger'!$E$5:$E$200),0)-IFERROR(XLOOKUP(D149,'Corrected Register'!$A$5:$A$200,'Corrected Register'!$M$5:$M$200),0)))),IFERROR(XLOOKUP(D149,'Corrected Register'!$A$5:$A$200,'Corrected Register'!$N$5:$N$200),0))</f>
        <v>0</v>
      </c>
      <c r="H149" s="7" t="inlineStr">
        <is>
          <t>Obtain disposal certificate for MD-00109 or reverse the retirement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 of MD-00109 lacks certificate proof; ledger may already show Disposed (EX-0145).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Difference",IF(IFERROR(XLOOKUP(D150,'Source Ledger'!$B$5:$B$200,'Source Ledger'!$H$5:$H$200),"")="Disposed",IFERROR(XLOOKUP(D150,'Source Ledger'!$B$5:$B$200,'Source Ledger'!$G$5:$G$200),0),IF(IFERROR(XLOOKUP(D150,'Source Ledger'!$B$5:$B$200,'Source Ledger'!$E$5:$E$200),"")="",IFERROR(XLOOKUP(D150,'Corrected Register'!$A$5:$A$200,'Corrected Register'!$M$5:$M$200),0),ABS(IFERROR(XLOOKUP(D150,'Source Ledger'!$B$5:$B$200,'Source Ledger'!$E$5:$E$200),0)-IFERROR(XLOOKUP(D150,'Corrected Register'!$A$5:$A$200,'Corrected Register'!$M$5:$M$200),0)))),IFERROR(XLOOKUP(D150,'Corrected Register'!$A$5:$A$200,'Corrected Register'!$N$5:$N$200),0))</f>
        <v>0</v>
      </c>
      <c r="H150" s="7" t="inlineStr">
        <is>
          <t>Register fix for MD-00109 — drop Denver - Closed, keep Chicago; reference TR-00109. EX-0146.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Denver - Closed remains on MD-00109 after the consolidation cutover; TR-00109 already points inbound to Chicago; live footprint is Chicago; see EX-0146.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Difference",IF(IFERROR(XLOOKUP(D151,'Source Ledger'!$B$5:$B$200,'Source Ledger'!$H$5:$H$200),"")="Disposed",IFERROR(XLOOKUP(D151,'Source Ledger'!$B$5:$B$200,'Source Ledger'!$G$5:$G$200),0),IF(IFERROR(XLOOKUP(D151,'Source Ledger'!$B$5:$B$200,'Source Ledger'!$E$5:$E$200),"")="",IFERROR(XLOOKUP(D151,'Corrected Register'!$A$5:$A$200,'Corrected Register'!$M$5:$M$200),0),ABS(IFERROR(XLOOKUP(D151,'Source Ledger'!$B$5:$B$200,'Source Ledger'!$E$5:$E$200),0)-IFERROR(XLOOKUP(D151,'Corrected Register'!$A$5:$A$200,'Corrected Register'!$M$5:$M$200),0)))),IFERROR(XLOOKUP(D151,'Corrected Register'!$A$5:$A$200,'Corrected Register'!$N$5:$N$200),0))</f>
        <v>387.24</v>
      </c>
      <c r="H151" s="7" t="inlineStr">
        <is>
          <t>Obtain disposal certificate for MD-00110 or reverse the retirement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MD-00110 is Retired/Pending Disposal without a verified disposal certificate; TR-00110 moved it to recycler (EX-0147).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Difference",IF(IFERROR(XLOOKUP(D152,'Source Ledger'!$B$5:$B$200,'Source Ledger'!$H$5:$H$200),"")="Disposed",IFERROR(XLOOKUP(D152,'Source Ledger'!$B$5:$B$200,'Source Ledger'!$G$5:$G$200),0),IF(IFERROR(XLOOKUP(D152,'Source Ledger'!$B$5:$B$200,'Source Ledger'!$E$5:$E$200),"")="",IFERROR(XLOOKUP(D152,'Corrected Register'!$A$5:$A$200,'Corrected Register'!$M$5:$M$200),0),ABS(IFERROR(XLOOKUP(D152,'Source Ledger'!$B$5:$B$200,'Source Ledger'!$E$5:$E$200),0)-IFERROR(XLOOKUP(D152,'Corrected Register'!$A$5:$A$200,'Corrected Register'!$M$5:$M$200),0)))),IFERROR(XLOOKUP(D152,'Corrected Register'!$A$5:$A$200,'Corrected Register'!$N$5:$N$200),0))</f>
        <v>387.24</v>
      </c>
      <c r="H152" s="7" t="inlineStr">
        <is>
          <t>Do not certify MD-00110 while location still says Chicago - Closed; target Dallas (EX-0148).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ticketed EX-0148; site field on MD-00110 (MD-MO-050110) still reads Chicago - Closed; TR-00110 already points inbound to Dallas; live footprint is Dallas.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Difference",IF(IFERROR(XLOOKUP(D153,'Source Ledger'!$B$5:$B$200,'Source Ledger'!$H$5:$H$200),"")="Disposed",IFERROR(XLOOKUP(D153,'Source Ledger'!$B$5:$B$200,'Source Ledger'!$G$5:$G$200),0),IF(IFERROR(XLOOKUP(D153,'Source Ledger'!$B$5:$B$200,'Source Ledger'!$E$5:$E$200),"")="",IFERROR(XLOOKUP(D153,'Corrected Register'!$A$5:$A$200,'Corrected Register'!$M$5:$M$200),0),ABS(IFERROR(XLOOKUP(D153,'Source Ledger'!$B$5:$B$200,'Source Ledger'!$E$5:$E$200),0)-IFERROR(XLOOKUP(D153,'Corrected Register'!$A$5:$A$200,'Corrected Register'!$M$5:$M$200),0)))),IFERROR(XLOOKUP(D153,'Corrected Register'!$A$5:$A$200,'Corrected Register'!$N$5:$N$200),0))</f>
        <v>0</v>
      </c>
      <c r="H153" s="7" t="inlineStr">
        <is>
          <t>Critical certification blocker — Obtain disposal certificate for MD-00114 or reverse the retirement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Critical certification blocker — Retirement of MD-00114 lacks certificate proof; ledger may already show Disposed (EX-0149).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Difference",IF(IFERROR(XLOOKUP(D154,'Source Ledger'!$B$5:$B$200,'Source Ledger'!$H$5:$H$200),"")="Disposed",IFERROR(XLOOKUP(D154,'Source Ledger'!$B$5:$B$200,'Source Ledger'!$G$5:$G$200),0),IF(IFERROR(XLOOKUP(D154,'Source Ledger'!$B$5:$B$200,'Source Ledger'!$E$5:$E$200),"")="",IFERROR(XLOOKUP(D154,'Corrected Register'!$A$5:$A$200,'Corrected Register'!$M$5:$M$200),0),ABS(IFERROR(XLOOKUP(D154,'Source Ledger'!$B$5:$B$200,'Source Ledger'!$E$5:$E$200),0)-IFERROR(XLOOKUP(D154,'Corrected Register'!$A$5:$A$200,'Corrected Register'!$M$5:$M$200),0)))),IFERROR(XLOOKUP(D154,'Corrected Register'!$A$5:$A$200,'Corrected Register'!$N$5:$N$200),0))</f>
        <v>0</v>
      </c>
      <c r="H154" s="7" t="inlineStr">
        <is>
          <t>EX-0150: location hygiene on MD-00114 — replace Chicago - Closed with Disposed (certificate missing).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opened under EX-0150; register location for MD-00114 was never flipped off Chicago - Closed; TR-00114 already points inbound to Disposed (certificate missing); live footprint is Disposed (certificate missing).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Difference",IF(IFERROR(XLOOKUP(D155,'Source Ledger'!$B$5:$B$200,'Source Ledger'!$H$5:$H$200),"")="Disposed",IFERROR(XLOOKUP(D155,'Source Ledger'!$B$5:$B$200,'Source Ledger'!$G$5:$G$200),0),IF(IFERROR(XLOOKUP(D155,'Source Ledger'!$B$5:$B$200,'Source Ledger'!$E$5:$E$200),"")="",IFERROR(XLOOKUP(D155,'Corrected Register'!$A$5:$A$200,'Corrected Register'!$M$5:$M$200),0),ABS(IFERROR(XLOOKUP(D155,'Source Ledger'!$B$5:$B$200,'Source Ledger'!$E$5:$E$200),0)-IFERROR(XLOOKUP(D155,'Corrected Register'!$A$5:$A$200,'Corrected Register'!$M$5:$M$200),0)))),IFERROR(XLOOKUP(D155,'Corrected Register'!$A$5:$A$200,'Corrected Register'!$N$5:$N$200),0))</f>
        <v>0</v>
      </c>
      <c r="H155" s="7" t="inlineStr">
        <is>
          <t>Critical certification blocker — Obtain disposal certificate for MD-00118 or reverse the retirement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Critical certification blocker — asset_disposal_records has no DC match for MD-MO-050118 on MD-00118 after TR-00118. EX-0151.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Difference",IF(IFERROR(XLOOKUP(D156,'Source Ledger'!$B$5:$B$200,'Source Ledger'!$H$5:$H$200),"")="Disposed",IFERROR(XLOOKUP(D156,'Source Ledger'!$B$5:$B$200,'Source Ledger'!$G$5:$G$200),0),IF(IFERROR(XLOOKUP(D156,'Source Ledger'!$B$5:$B$200,'Source Ledger'!$E$5:$E$200),"")="",IFERROR(XLOOKUP(D156,'Corrected Register'!$A$5:$A$200,'Corrected Register'!$M$5:$M$200),0),ABS(IFERROR(XLOOKUP(D156,'Source Ledger'!$B$5:$B$200,'Source Ledger'!$E$5:$E$200),0)-IFERROR(XLOOKUP(D156,'Corrected Register'!$A$5:$A$200,'Corrected Register'!$M$5:$M$200),0)))),IFERROR(XLOOKUP(D156,'Corrected Register'!$A$5:$A$200,'Corrected Register'!$N$5:$N$200),0))</f>
        <v>0</v>
      </c>
      <c r="H156" s="7" t="inlineStr">
        <is>
          <t>Update MD-00118 from Chicago - Closed to Disposed (certificate missing) using TR-00118 (EX-0152).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opened under EX-0152; register location for MD-00118 was never flipped off Chicago - Closed; TR-00118 already points inbound to Disposed (certificate missing); live footprint is Disposed (certificate missing).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PO:PO-2024-0024; RegisterCost:950.0; LedgerCost:1115.0</t>
        </is>
      </c>
      <c r="G157" s="7">
        <f>IF(B157="Inventory-to-Ledger Difference",IF(IFERROR(XLOOKUP(D157,'Source Ledger'!$B$5:$B$200,'Source Ledger'!$H$5:$H$200),"")="Disposed",IFERROR(XLOOKUP(D157,'Source Ledger'!$B$5:$B$200,'Source Ledger'!$G$5:$G$200),0),IF(IFERROR(XLOOKUP(D157,'Source Ledger'!$B$5:$B$200,'Source Ledger'!$E$5:$E$200),"")="",IFERROR(XLOOKUP(D157,'Corrected Register'!$A$5:$A$200,'Corrected Register'!$M$5:$M$200),0),ABS(IFERROR(XLOOKUP(D157,'Source Ledger'!$B$5:$B$200,'Source Ledger'!$E$5:$E$200),0)-IFERROR(XLOOKUP(D157,'Corrected Register'!$A$5:$A$200,'Corrected Register'!$M$5:$M$200),0)))),IFERROR(XLOOKUP(D157,'Corrected Register'!$A$5:$A$200,'Corrected Register'!$N$5:$N$200),0))</f>
        <v>0</v>
      </c>
      <c r="H157" s="7" t="inlineStr">
        <is>
          <t>Align MD-00119 cost: register $950 vs ledger $1,115 (FA-000119) (EX-0153).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Cost basis split on MD-00119: inventory $950, ledger $1,115 via PO-2024-0024 / FA-000119 (EX-0153).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Difference",IF(IFERROR(XLOOKUP(D158,'Source Ledger'!$B$5:$B$200,'Source Ledger'!$H$5:$H$200),"")="Disposed",IFERROR(XLOOKUP(D158,'Source Ledger'!$B$5:$B$200,'Source Ledger'!$G$5:$G$200),0),IF(IFERROR(XLOOKUP(D158,'Source Ledger'!$B$5:$B$200,'Source Ledger'!$E$5:$E$200),"")="",IFERROR(XLOOKUP(D158,'Corrected Register'!$A$5:$A$200,'Corrected Register'!$M$5:$M$200),0),ABS(IFERROR(XLOOKUP(D158,'Source Ledger'!$B$5:$B$200,'Source Ledger'!$E$5:$E$200),0)-IFERROR(XLOOKUP(D158,'Corrected Register'!$A$5:$A$200,'Corrected Register'!$M$5:$M$200),0)))),IFERROR(XLOOKUP(D158,'Corrected Register'!$A$5:$A$200,'Corrected Register'!$N$5:$N$200),0))</f>
        <v>0</v>
      </c>
      <c r="H158" s="7" t="inlineStr">
        <is>
          <t>Swap Denver - Closed → Chicago on MD-00121's location field (EX-0154).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opened under EX-0154; register location for MD-00121 was never flipped off Denver - Closed; TR-00121 already points inbound to Chicago; live footprint is Chicago.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Difference",IF(IFERROR(XLOOKUP(D159,'Source Ledger'!$B$5:$B$200,'Source Ledger'!$H$5:$H$200),"")="Disposed",IFERROR(XLOOKUP(D159,'Source Ledger'!$B$5:$B$200,'Source Ledger'!$G$5:$G$200),0),IF(IFERROR(XLOOKUP(D159,'Source Ledger'!$B$5:$B$200,'Source Ledger'!$E$5:$E$200),"")="",IFERROR(XLOOKUP(D159,'Corrected Register'!$A$5:$A$200,'Corrected Register'!$M$5:$M$200),0),ABS(IFERROR(XLOOKUP(D159,'Source Ledger'!$B$5:$B$200,'Source Ledger'!$E$5:$E$200),0)-IFERROR(XLOOKUP(D159,'Corrected Register'!$A$5:$A$200,'Corrected Register'!$M$5:$M$200),0)))),IFERROR(XLOOKUP(D159,'Corrected Register'!$A$5:$A$200,'Corrected Register'!$N$5:$N$200),0))</f>
        <v>336.15</v>
      </c>
      <c r="H159" s="7" t="inlineStr">
        <is>
          <t>Update MD-00122 from Chicago - Closed to Dallas using TR-00122 (EX-0155).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MD-00122 still shows closed floor Chicago - Closed on the extract; TR-00122 already points inbound to Dallas; live footprint is Dallas; logged as EX-0155.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Difference",IF(IFERROR(XLOOKUP(D160,'Source Ledger'!$B$5:$B$200,'Source Ledger'!$H$5:$H$200),"")="Disposed",IFERROR(XLOOKUP(D160,'Source Ledger'!$B$5:$B$200,'Source Ledger'!$G$5:$G$200),0),IF(IFERROR(XLOOKUP(D160,'Source Ledger'!$B$5:$B$200,'Source Ledger'!$E$5:$E$200),"")="",IFERROR(XLOOKUP(D160,'Corrected Register'!$A$5:$A$200,'Corrected Register'!$M$5:$M$200),0),ABS(IFERROR(XLOOKUP(D160,'Source Ledger'!$B$5:$B$200,'Source Ledger'!$E$5:$E$200),0)-IFERROR(XLOOKUP(D160,'Corrected Register'!$A$5:$A$200,'Corrected Register'!$M$5:$M$200),0)))),IFERROR(XLOOKUP(D160,'Corrected Register'!$A$5:$A$200,'Corrected Register'!$N$5:$N$200),0))</f>
        <v>622.62</v>
      </c>
      <c r="H160" s="7" t="inlineStr">
        <is>
          <t>Pending register edit EX-0156: MD-00123 should show Denver, not Denver - Closed.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ticketed EX-0156; site field on MD-00123 (MD-MO-050123) still reads Denver - Closed; TR-00123 already points inbound to Denver; live footprint is Denver.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Difference",IF(IFERROR(XLOOKUP(D161,'Source Ledger'!$B$5:$B$200,'Source Ledger'!$H$5:$H$200),"")="Disposed",IFERROR(XLOOKUP(D161,'Source Ledger'!$B$5:$B$200,'Source Ledger'!$G$5:$G$200),0),IF(IFERROR(XLOOKUP(D161,'Source Ledger'!$B$5:$B$200,'Source Ledger'!$E$5:$E$200),"")="",IFERROR(XLOOKUP(D161,'Corrected Register'!$A$5:$A$200,'Corrected Register'!$M$5:$M$200),0),ABS(IFERROR(XLOOKUP(D161,'Source Ledger'!$B$5:$B$200,'Source Ledger'!$E$5:$E$200),0)-IFERROR(XLOOKUP(D161,'Corrected Register'!$A$5:$A$200,'Corrected Register'!$M$5:$M$200),0)))),IFERROR(XLOOKUP(D161,'Corrected Register'!$A$5:$A$200,'Corrected Register'!$N$5:$N$200),0))</f>
        <v>947.26</v>
      </c>
      <c r="H161" s="7" t="inlineStr">
        <is>
          <t>Close the location lag on MD-00124 (Chicago - Closed → New York) before next cert cycle (EX-0157).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Chicago - Closed remains on MD-00124 after the consolidation cutover — TR-00124 already points inbound to New York; live footprint is New York; see EX-0157.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Difference",IF(IFERROR(XLOOKUP(D162,'Source Ledger'!$B$5:$B$200,'Source Ledger'!$H$5:$H$200),"")="Disposed",IFERROR(XLOOKUP(D162,'Source Ledger'!$B$5:$B$200,'Source Ledger'!$G$5:$G$200),0),IF(IFERROR(XLOOKUP(D162,'Source Ledger'!$B$5:$B$200,'Source Ledger'!$E$5:$E$200),"")="",IFERROR(XLOOKUP(D162,'Corrected Register'!$A$5:$A$200,'Corrected Register'!$M$5:$M$200),0),ABS(IFERROR(XLOOKUP(D162,'Source Ledger'!$B$5:$B$200,'Source Ledger'!$E$5:$E$200),0)-IFERROR(XLOOKUP(D162,'Corrected Register'!$A$5:$A$200,'Corrected Register'!$M$5:$M$200),0)))),IFERROR(XLOOKUP(D162,'Corrected Register'!$A$5:$A$200,'Corrected Register'!$N$5:$N$200),0))</f>
        <v>0</v>
      </c>
      <c r="H162" s="7" t="inlineStr">
        <is>
          <t>EX-0158: location hygiene on MD-00125 — replace Denver - Closed with Seattle.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MD-00125 still shows closed floor Denver - Closed on the extract; TR-00125 already points inbound to Seattle; live footprint is Seattle; logged as EX-0158.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Difference",IF(IFERROR(XLOOKUP(D163,'Source Ledger'!$B$5:$B$200,'Source Ledger'!$H$5:$H$200),"")="Disposed",IFERROR(XLOOKUP(D163,'Source Ledger'!$B$5:$B$200,'Source Ledger'!$G$5:$G$200),0),IF(IFERROR(XLOOKUP(D163,'Source Ledger'!$B$5:$B$200,'Source Ledger'!$E$5:$E$200),"")="",IFERROR(XLOOKUP(D163,'Corrected Register'!$A$5:$A$200,'Corrected Register'!$M$5:$M$200),0),ABS(IFERROR(XLOOKUP(D163,'Source Ledger'!$B$5:$B$200,'Source Ledger'!$E$5:$E$200),0)-IFERROR(XLOOKUP(D163,'Corrected Register'!$A$5:$A$200,'Corrected Register'!$M$5:$M$200),0)))),IFERROR(XLOOKUP(D163,'Corrected Register'!$A$5:$A$200,'Corrected Register'!$N$5:$N$200),0))</f>
        <v>302.75</v>
      </c>
      <c r="H163" s="7" t="inlineStr">
        <is>
          <t>IT stock desk: rewrite site on MD-00126 to Atlanta; Chicago - Closed is retired (EX-0159).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ticketed EX-0159; site field on MD-00126 (MD-MO-050126) still reads Chicago - Closed; TR-00126 already points inbound to Atlanta; live footprint is Atlanta.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Difference",IF(IFERROR(XLOOKUP(D164,'Source Ledger'!$B$5:$B$200,'Source Ledger'!$H$5:$H$200),"")="Disposed",IFERROR(XLOOKUP(D164,'Source Ledger'!$B$5:$B$200,'Source Ledger'!$G$5:$G$200),0),IF(IFERROR(XLOOKUP(D164,'Source Ledger'!$B$5:$B$200,'Source Ledger'!$E$5:$E$200),"")="",IFERROR(XLOOKUP(D164,'Corrected Register'!$A$5:$A$200,'Corrected Register'!$M$5:$M$200),0),ABS(IFERROR(XLOOKUP(D164,'Source Ledger'!$B$5:$B$200,'Source Ledger'!$E$5:$E$200),0)-IFERROR(XLOOKUP(D164,'Corrected Register'!$A$5:$A$200,'Corrected Register'!$M$5:$M$200),0)))),IFERROR(XLOOKUP(D164,'Corrected Register'!$A$5:$A$200,'Corrected Register'!$N$5:$N$200),0))</f>
        <v>662.65</v>
      </c>
      <c r="H164" s="7" t="inlineStr">
        <is>
          <t>Obtain APR on TR-00127 or reverse the move for MD-00127 (EX-0160).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TR-00127 for MD-00127 has a blank approval_id in equipment_transfer_log (ITAM-001 §4) — EX-0160.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PO:PO-2023-0023; RegisterCost:700; Policy:ITAM-001 §7 per-asset threshold $2500; PO capitalization_approved does not override under-threshold lines; Ledger absence expected</t>
        </is>
      </c>
      <c r="G165" s="7">
        <f>IF(B165="Inventory-to-Ledger Difference",IF(IFERROR(XLOOKUP(D165,'Source Ledger'!$B$5:$B$200,'Source Ledger'!$H$5:$H$200),"")="Disposed",IFERROR(XLOOKUP(D165,'Source Ledger'!$B$5:$B$200,'Source Ledger'!$G$5:$G$200),0),IF(IFERROR(XLOOKUP(D165,'Source Ledger'!$B$5:$B$200,'Source Ledger'!$E$5:$E$200),"")="",IFERROR(XLOOKUP(D165,'Corrected Register'!$A$5:$A$200,'Corrected Register'!$M$5:$M$200),0),ABS(IFERROR(XLOOKUP(D165,'Source Ledger'!$B$5:$B$200,'Source Ledger'!$E$5:$E$200),0)-IFERROR(XLOOKUP(D165,'Corrected Register'!$A$5:$A$200,'Corrected Register'!$M$5:$M$200),0)))),IFERROR(XLOOKUP(D165,'Corrected Register'!$A$5:$A$200,'Corrected Register'!$N$5:$N$200),0))</f>
        <v>700</v>
      </c>
      <c r="H165" s="7" t="inlineStr">
        <is>
          <t>Informational — MD-00130 under $2,500 gate; no FAR row expected (EX-0161).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MD-00130 acquisition $700 sits under the $2,500 ITAM-001 §7 gate; missing FAR row is expected (EX-0161).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PO:PO-2023-0023; RegisterCost:1175; Policy:ITAM-001 §7 per-asset threshold $2500; PO capitalization_approved does not override under-threshold lines; Ledger absence expected</t>
        </is>
      </c>
      <c r="G166" s="7">
        <f>IF(B166="Inventory-to-Ledger Difference",IF(IFERROR(XLOOKUP(D166,'Source Ledger'!$B$5:$B$200,'Source Ledger'!$H$5:$H$200),"")="Disposed",IFERROR(XLOOKUP(D166,'Source Ledger'!$B$5:$B$200,'Source Ledger'!$G$5:$G$200),0),IF(IFERROR(XLOOKUP(D166,'Source Ledger'!$B$5:$B$200,'Source Ledger'!$E$5:$E$200),"")="",IFERROR(XLOOKUP(D166,'Corrected Register'!$A$5:$A$200,'Corrected Register'!$M$5:$M$200),0),ABS(IFERROR(XLOOKUP(D166,'Source Ledger'!$B$5:$B$200,'Source Ledger'!$E$5:$E$200),0)-IFERROR(XLOOKUP(D166,'Corrected Register'!$A$5:$A$200,'Corrected Register'!$M$5:$M$200),0)))),IFERROR(XLOOKUP(D166,'Corrected Register'!$A$5:$A$200,'Corrected Register'!$N$5:$N$200),0))</f>
        <v>1175</v>
      </c>
      <c r="H166" s="7" t="inlineStr">
        <is>
          <t>Informational — MD-00131 under $2,500 gate; no FAR row expected (EX-0162).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MD-00131 acquisition $1,175 sits under the $2,500 ITAM-001 §7 gate; missing FAR row is expected (EX-0162).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Difference",IF(IFERROR(XLOOKUP(D167,'Source Ledger'!$B$5:$B$200,'Source Ledger'!$H$5:$H$200),"")="Disposed",IFERROR(XLOOKUP(D167,'Source Ledger'!$B$5:$B$200,'Source Ledger'!$G$5:$G$200),0),IF(IFERROR(XLOOKUP(D167,'Source Ledger'!$B$5:$B$200,'Source Ledger'!$E$5:$E$200),"")="",IFERROR(XLOOKUP(D167,'Corrected Register'!$A$5:$A$200,'Corrected Register'!$M$5:$M$200),0),ABS(IFERROR(XLOOKUP(D167,'Source Ledger'!$B$5:$B$200,'Source Ledger'!$E$5:$E$200),0)-IFERROR(XLOOKUP(D167,'Corrected Register'!$A$5:$A$200,'Corrected Register'!$M$5:$M$200),0)))),IFERROR(XLOOKUP(D167,'Corrected Register'!$A$5:$A$200,'Corrected Register'!$N$5:$N$200),0))</f>
        <v>6470</v>
      </c>
      <c r="H167" s="7" t="inlineStr">
        <is>
          <t>Capitalize MD-00132 or obtain approved write-off; reject RN-0132 (EX-0163).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MD-00132 at $6,470 clears the $2,500 capitalization gate with no FA row; RN-0132 under-threshold claim rejected (EX-0163).</t>
        </is>
      </c>
      <c r="M167" s="12" t="inlineStr">
        <is>
          <t>Blocks certification</t>
        </is>
      </c>
    </row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-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PO-2025-0004</t>
        </is>
      </c>
      <c r="H5" s="7" t="inlineStr">
        <is>
          <t>Confirmed Fact</t>
        </is>
      </c>
      <c r="I5" s="7" t="inlineStr">
        <is>
          <t>Acquisition packet for MD-00017: vendor delivery against PO-2025-0004, $1,985.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 Appendix A</t>
        </is>
      </c>
      <c r="H6" s="7" t="inlineStr">
        <is>
          <t>Confirmed Fact</t>
        </is>
      </c>
      <c r="I6" s="7" t="inlineStr">
        <is>
          <t>Checked ITAM_control_matrix.png financial row while reviewing MD-00017; proof stays with PO-2025-0004.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TR-00017</t>
        </is>
      </c>
      <c r="H7" s="7" t="inlineStr">
        <is>
          <t>Confirmed Fact</t>
        </is>
      </c>
      <c r="I7" s="7" t="inlineStr">
        <is>
          <t>equipment_transfer_log TR-00017: 2026-06-17 out, 2026-06-19 in, APR APR-00017.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EX-0001</t>
        </is>
      </c>
      <c r="H8" s="7" t="inlineStr">
        <is>
          <t>Confirmed Fact</t>
        </is>
      </c>
      <c r="I8" s="7" t="inlineStr">
        <is>
          <t>Working end-state for MD-00017: In Use in Seattle, confidence High. Exceptions: EX-0001.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PO-2022-0005</t>
        </is>
      </c>
      <c r="H9" s="7" t="inlineStr">
        <is>
          <t>Confirmed Fact</t>
        </is>
      </c>
      <c r="I9" s="7" t="inlineStr">
        <is>
          <t>PO-2022-0005 → MD-00021 / Samsung ViewFinity S8, basis $1,850.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TR-00021</t>
        </is>
      </c>
      <c r="H10" s="7" t="inlineStr">
        <is>
          <t>Confirmed Fact</t>
        </is>
      </c>
      <c r="I10" s="7" t="inlineStr">
        <is>
          <t>Custody hop on MD-00021 via TR-00021 (APR APR-00021).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 Appendix A</t>
        </is>
      </c>
      <c r="H11" s="7" t="inlineStr">
        <is>
          <t>Confirmed Fact</t>
        </is>
      </c>
      <c r="I11" s="7" t="inlineStr">
        <is>
          <t>Pulled the financial strip on ITAM_control_matrix.png for MD-00021 before trusting PO-2022-0005.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EX-0002</t>
        </is>
      </c>
      <c r="H12" s="7" t="inlineStr">
        <is>
          <t>Confirmed Fact</t>
        </is>
      </c>
      <c r="I12" s="7" t="inlineStr">
        <is>
          <t>MD-00021 closes at In Use / Denver (Medium). EX-0002.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PO-2022-0005</t>
        </is>
      </c>
      <c r="H13" s="7" t="inlineStr">
        <is>
          <t>Confirmed Fact</t>
        </is>
      </c>
      <c r="I13" s="7" t="inlineStr">
        <is>
          <t>Bought MD-00025 (LG UltraFine 27MD5KL) on PO-2022-0005 for $2,030.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TR-00025</t>
        </is>
      </c>
      <c r="H14" s="7" t="inlineStr">
        <is>
          <t>Confirmed Fact</t>
        </is>
      </c>
      <c r="I14" s="7" t="inlineStr">
        <is>
          <t>equipment_transfer_log TR-00025: 2026-01-21 out, 2026-01-22 in, APR APR-00025.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Skipped empty RN hit for MD-00025; continued with HR/transfer/ledger files.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IT_asset_management_policy.pdf</t>
        </is>
      </c>
      <c r="H16" s="7" t="inlineStr">
        <is>
          <t>Confirmed Fact</t>
        </is>
      </c>
      <c r="I16" s="7" t="inlineStr">
        <is>
          <t>No image substitute: disposal control for MD-00025 still needs PO-2022-0005 in the packet.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EX-0003, EX-0004</t>
        </is>
      </c>
      <c r="H17" s="7" t="inlineStr">
        <is>
          <t>Confirmed Fact</t>
        </is>
      </c>
      <c r="I17" s="7" t="inlineStr">
        <is>
          <t>MD-00025 → In Use; location Chicago; Medium. EX-0003, EX-0004.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PO-2024-0007</t>
        </is>
      </c>
      <c r="H18" s="7" t="inlineStr">
        <is>
          <t>Confirmed Fact</t>
        </is>
      </c>
      <c r="I18" s="7" t="inlineStr">
        <is>
          <t>Bought MD-00034 (LG UltraFine 27MD5KL) on PO-2024-0007 for $790.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TR-00034</t>
        </is>
      </c>
      <c r="H19" s="7" t="inlineStr">
        <is>
          <t>Confirmed Fact</t>
        </is>
      </c>
      <c r="I19" s="7" t="inlineStr">
        <is>
          <t>TR-00034 moved MD-00034 on 2026-05-22; inbound 2026-05-22; APR APR-00034.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regional_IT_notes.docx searched for MD-00034; nothing usable as location proof.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IT_asset_management_policy.pdf</t>
        </is>
      </c>
      <c r="H21" s="7" t="inlineStr">
        <is>
          <t>Confirmed Fact</t>
        </is>
      </c>
      <c r="I21" s="7" t="inlineStr">
        <is>
          <t>Mapped MD-00034 to matrix disposal; kept PO-2024-0007 as the auditable record.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EX-0013, EX-0014</t>
        </is>
      </c>
      <c r="H22" s="7" t="inlineStr">
        <is>
          <t>Confirmed Fact</t>
        </is>
      </c>
      <c r="I22" s="7" t="inlineStr">
        <is>
          <t>MD-00034 → In Use; location New York; High. EX-0013, EX-0014.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PO-2023-0010</t>
        </is>
      </c>
      <c r="H23" s="7" t="inlineStr">
        <is>
          <t>Confirmed Fact</t>
        </is>
      </c>
      <c r="I23" s="7" t="inlineStr">
        <is>
          <t>MD-00051 capitalized path starts at PO-2023-0010 (Samsung Galaxy S24, $1,040).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TR-00051</t>
        </is>
      </c>
      <c r="H24" s="7" t="inlineStr">
        <is>
          <t>Confirmed Fact</t>
        </is>
      </c>
      <c r="I24" s="7" t="inlineStr">
        <is>
          <t>equipment_transfer_log TR-00051: 2026-03-31 out, 2026-03-31 in, APR APR-00051.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Skipped empty RN hit for MD-00051; continued with HR/transfer/ledger files.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IT_asset_management_policy.pdf §§4–9; ITAM_control_matrix.png</t>
        </is>
      </c>
      <c r="H26" s="7" t="inlineStr">
        <is>
          <t>Confirmed Fact</t>
        </is>
      </c>
      <c r="I26" s="7" t="inlineStr">
        <is>
          <t>Pulled the return strip on ITAM_control_matrix.png for MD-00051 before trusting PO-2023-0010.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EX-0031, EX-0032</t>
        </is>
      </c>
      <c r="H27" s="7" t="inlineStr">
        <is>
          <t>Confirmed Fact</t>
        </is>
      </c>
      <c r="I27" s="7" t="inlineStr">
        <is>
          <t>Cert packet lists MD-00051 as Available, site Denver, High. EX-0031, EX-0032.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PO-2024-0011</t>
        </is>
      </c>
      <c r="H28" s="7" t="inlineStr">
        <is>
          <t>Confirmed Fact</t>
        </is>
      </c>
      <c r="I28" s="7" t="inlineStr">
        <is>
          <t>Purchasing extract lists PO-2024-0011 covering MD-00058 at $610.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TR-00058</t>
        </is>
      </c>
      <c r="H29" s="7" t="inlineStr">
        <is>
          <t>Unresolved Assumption</t>
        </is>
      </c>
      <c r="I29" s="7" t="inlineStr">
        <is>
          <t>equipment_transfer_log TR-00058: 2026-05-22 out, 2026-05-23 in, approval blank.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OFF-00058</t>
        </is>
      </c>
      <c r="H30" s="7" t="inlineStr">
        <is>
          <t>Technician Claim</t>
        </is>
      </c>
      <c r="I30" s="7" t="inlineStr">
        <is>
          <t>Service desk OFF-00058: status Closed; return_required=Yes; due 2026-07-15. Ticket alone does not dock MD-00058.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regional_IT_notes.docx searched for MD-00058; nothing usable as location proof.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Cross-read IT_asset_management_policy.pdf §§4–9 against the transfer matrix line for MD-00058.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EX-0039, EX-0040, EX-0041</t>
        </is>
      </c>
      <c r="H34" s="7" t="inlineStr">
        <is>
          <t>Confirmed Fact</t>
        </is>
      </c>
      <c r="I34" s="7" t="inlineStr">
        <is>
          <t>After file review, MD-00058 is Pending Redeployment at New York (Medium). EX-0039, EX-0040, EX-0041.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PO-2024-0011</t>
        </is>
      </c>
      <c r="H35" s="7" t="inlineStr">
        <is>
          <t>Confirmed Fact</t>
        </is>
      </c>
      <c r="I35" s="7" t="inlineStr">
        <is>
          <t>MD-00059 capitalized path starts at PO-2024-0011 (Samsung Galaxy S23 FE, $1,085).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TR-00059</t>
        </is>
      </c>
      <c r="H36" s="7" t="inlineStr">
        <is>
          <t>Unresolved Assumption</t>
        </is>
      </c>
      <c r="I36" s="7" t="inlineStr">
        <is>
          <t>TR-00059 moved MD-00059 on 2026-06-26; inbound 2026-06-26; approval blank.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OFF-00059</t>
        </is>
      </c>
      <c r="H37" s="7" t="inlineStr">
        <is>
          <t>Technician Claim</t>
        </is>
      </c>
      <c r="I37" s="7" t="inlineStr">
        <is>
          <t>Service desk OFF-00059: status Closed; return_required=Yes; due 2026-07-15. Ticket alone does not dock MD-00059.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No corroborated RN line for MD-00059 in regional_IT_notes.docx.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 Appendix A</t>
        </is>
      </c>
      <c r="H40" s="7" t="inlineStr">
        <is>
          <t>Confirmed Fact</t>
        </is>
      </c>
      <c r="I40" s="7" t="inlineStr">
        <is>
          <t>For MD-00059, matrix financial criteria only frame the test; PO-2024-0011 is the evidence.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EX-0042, EX-0043, EX-0044</t>
        </is>
      </c>
      <c r="H41" s="7" t="inlineStr">
        <is>
          <t>Confirmed Fact</t>
        </is>
      </c>
      <c r="I41" s="7" t="inlineStr">
        <is>
          <t>MD-00059 closes at Pending Redeployment / Seattle (Medium). EX-0042, EX-0043, EX-0044.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PO-2024-0011</t>
        </is>
      </c>
      <c r="H42" s="7" t="inlineStr">
        <is>
          <t>Confirmed Fact</t>
        </is>
      </c>
      <c r="I42" s="7" t="inlineStr">
        <is>
          <t>Acquisition packet for MD-00060: vendor delivery against PO-2024-0011, $6,380.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TR-00060</t>
        </is>
      </c>
      <c r="H43" s="7" t="inlineStr">
        <is>
          <t>Confirmed Fact</t>
        </is>
      </c>
      <c r="I43" s="7" t="inlineStr">
        <is>
          <t>Custody hop on MD-00060 via TR-00060 (APR APR-00060).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OFF-00060</t>
        </is>
      </c>
      <c r="H44" s="7" t="inlineStr">
        <is>
          <t>Technician Claim</t>
        </is>
      </c>
      <c r="I44" s="7" t="inlineStr">
        <is>
          <t>Service desk OFF-00060: status Closed; return_required=Yes; due 2026-07-15. Ticket alone does not dock MD-00060.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Skipped empty RN hit for MD-00060; continued with HR/transfer/ledger files.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IT_asset_management_policy.pdf</t>
        </is>
      </c>
      <c r="H47" s="7" t="inlineStr">
        <is>
          <t>Confirmed Fact</t>
        </is>
      </c>
      <c r="I47" s="7" t="inlineStr">
        <is>
          <t>No image substitute: disposal control for MD-00060 still needs PO-2024-0011 in the packet.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EX-0045, EX-0046</t>
        </is>
      </c>
      <c r="H48" s="7" t="inlineStr">
        <is>
          <t>Confirmed Fact</t>
        </is>
      </c>
      <c r="I48" s="7" t="inlineStr">
        <is>
          <t>MD-00060 → Pending Redeployment; location Atlanta; High. EX-0045, EX-0046.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PO-2025-0012</t>
        </is>
      </c>
      <c r="H49" s="7" t="inlineStr">
        <is>
          <t>Confirmed Fact</t>
        </is>
      </c>
      <c r="I49" s="7" t="inlineStr">
        <is>
          <t>Purchasing extract lists PO-2025-0012 covering MD-00061 at $2,075.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TR-00061</t>
        </is>
      </c>
      <c r="H50" s="7" t="inlineStr">
        <is>
          <t>Confirmed Fact</t>
        </is>
      </c>
      <c r="I50" s="7" t="inlineStr">
        <is>
          <t>equipment_transfer_log TR-00061: 2026-02-02 out, 2026-02-03 in, APR APR-00061.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OFF-00061</t>
        </is>
      </c>
      <c r="H51" s="7" t="inlineStr">
        <is>
          <t>Technician Claim</t>
        </is>
      </c>
      <c r="I51" s="7" t="inlineStr">
        <is>
          <t>Service desk OFF-00061: status Closed; return_required=Yes; due 2026-07-15. Ticket alone does not dock MD-00061.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regional_IT_notes.docx searched for MD-00061; nothing usable as location proof.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Opened matrix PNG to the transfer band for MD-00061, then filed PO-2025-0012.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EX-0047, EX-0048</t>
        </is>
      </c>
      <c r="H55" s="7" t="inlineStr">
        <is>
          <t>Confirmed Fact</t>
        </is>
      </c>
      <c r="I55" s="7" t="inlineStr">
        <is>
          <t>After file review, MD-00061 is Pending Redeployment at Chicago (High). EX-0047, EX-0048.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PO-2025-0012</t>
        </is>
      </c>
      <c r="H56" s="7" t="inlineStr">
        <is>
          <t>Confirmed Fact</t>
        </is>
      </c>
      <c r="I56" s="7" t="inlineStr">
        <is>
          <t>MD-00062 capitalized path starts at PO-2025-0012 (Google Pixel 8, $790).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TR-00062</t>
        </is>
      </c>
      <c r="H57" s="7" t="inlineStr">
        <is>
          <t>Confirmed Fact</t>
        </is>
      </c>
      <c r="I57" s="7" t="inlineStr">
        <is>
          <t>TR-00062 moved MD-00062 on 2026-03-07; inbound 2026-03-07; APR APR-00062.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OFF-00062</t>
        </is>
      </c>
      <c r="H58" s="7" t="inlineStr">
        <is>
          <t>Technician Claim</t>
        </is>
      </c>
      <c r="I58" s="7" t="inlineStr">
        <is>
          <t>Service desk OFF-00062: status Closed; return_required=Yes; due 2026-07-15. Ticket alone does not dock MD-00062.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No corroborated RN line for MD-00062 in regional_IT_notes.docx.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 Appendix A</t>
        </is>
      </c>
      <c r="H61" s="7" t="inlineStr">
        <is>
          <t>Confirmed Fact</t>
        </is>
      </c>
      <c r="I61" s="7" t="inlineStr">
        <is>
          <t>Appendix A financial expectations for MD-00062 come from the matrix PNG — not a substitute for PO-2025-0012.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EX-0049, EX-0050</t>
        </is>
      </c>
      <c r="H62" s="7" t="inlineStr">
        <is>
          <t>Confirmed Fact</t>
        </is>
      </c>
      <c r="I62" s="7" t="inlineStr">
        <is>
          <t>MD-00062 closes at Pending Redeployment / Dallas (High). EX-0049, EX-0050.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PO-2025-0012</t>
        </is>
      </c>
      <c r="H63" s="7" t="inlineStr">
        <is>
          <t>Confirmed Fact</t>
        </is>
      </c>
      <c r="I63" s="7" t="inlineStr">
        <is>
          <t>PO-2025-0012 → MD-00063 / Samsung Galaxy S23 FE, basis $950.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TR-00063</t>
        </is>
      </c>
      <c r="H64" s="7" t="inlineStr">
        <is>
          <t>Confirmed Fact</t>
        </is>
      </c>
      <c r="I64" s="7" t="inlineStr">
        <is>
          <t>Custody hop on MD-00063 via TR-00063 (APR APR-00063).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OFF-00063</t>
        </is>
      </c>
      <c r="H65" s="7" t="inlineStr">
        <is>
          <t>Technician Claim</t>
        </is>
      </c>
      <c r="I65" s="7" t="inlineStr">
        <is>
          <t>Service desk OFF-00063: status Closed; return_required=Yes; due 2026-07-15. Ticket alone does not dock MD-00063.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Skipped empty RN hit for MD-00063; continued with HR/transfer/ledger files.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IT_asset_management_policy.pdf §§4–9; ITAM_control_matrix.png</t>
        </is>
      </c>
      <c r="H68" s="7" t="inlineStr">
        <is>
          <t>Confirmed Fact</t>
        </is>
      </c>
      <c r="I68" s="7" t="inlineStr">
        <is>
          <t>Control matrix return column consulted for MD-00063; dock/image leads still subordinate to PO-2025-0012.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EX-0051, EX-0052</t>
        </is>
      </c>
      <c r="H69" s="7" t="inlineStr">
        <is>
          <t>Confirmed Fact</t>
        </is>
      </c>
      <c r="I69" s="7" t="inlineStr">
        <is>
          <t>Cert packet lists MD-00063 as Pending Redeployment, site Denver, High. EX-0051, EX-0052.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PO-2025-0012</t>
        </is>
      </c>
      <c r="H70" s="7" t="inlineStr">
        <is>
          <t>Confirmed Fact</t>
        </is>
      </c>
      <c r="I70" s="7" t="inlineStr">
        <is>
          <t>Bought MD-00064 (iPhone 14) on PO-2025-0012 for $6,245.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TR-00064</t>
        </is>
      </c>
      <c r="H71" s="7" t="inlineStr">
        <is>
          <t>Unresolved Assumption</t>
        </is>
      </c>
      <c r="I71" s="7" t="inlineStr">
        <is>
          <t>equipment_transfer_log TR-00064: 2026-05-13 out, 2026-05-14 in, approval blank.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OFF-00064</t>
        </is>
      </c>
      <c r="H72" s="7" t="inlineStr">
        <is>
          <t>Technician Claim</t>
        </is>
      </c>
      <c r="I72" s="7" t="inlineStr">
        <is>
          <t>Service desk OFF-00064: status Closed; return_required=Yes; due 2026-07-15. Ticket alone does not dock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regional_IT_notes.docx searched for MD-00064; nothing usable as location proof.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</t>
        </is>
      </c>
      <c r="H75" s="7" t="inlineStr">
        <is>
          <t>Confirmed Fact</t>
        </is>
      </c>
      <c r="I75" s="7" t="inlineStr">
        <is>
          <t>MD-00064: used ITAM_control_matrix.png as a lead on assignment controls, then returned to PO-2025-0012.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EX-0053, EX-0054, EX-0055</t>
        </is>
      </c>
      <c r="H76" s="7" t="inlineStr">
        <is>
          <t>Confirmed Fact</t>
        </is>
      </c>
      <c r="I76" s="7" t="inlineStr">
        <is>
          <t>Working end-state for MD-00064: Pending Redeployment in New York, confidence Medium. Exceptions: EX-0053, EX-0054, EX-0055.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PO-2022-0013</t>
        </is>
      </c>
      <c r="H77" s="7" t="inlineStr">
        <is>
          <t>Confirmed Fact</t>
        </is>
      </c>
      <c r="I77" s="7" t="inlineStr">
        <is>
          <t>Acquisition packet for MD-00065: vendor delivery against PO-2022-0013, $1,940.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TR-00065</t>
        </is>
      </c>
      <c r="H78" s="7" t="inlineStr">
        <is>
          <t>Unresolved Assumption</t>
        </is>
      </c>
      <c r="I78" s="7" t="inlineStr">
        <is>
          <t>TR-00065 moved MD-00065 on 2026-06-17; inbound 2026-06-23; approval blank.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OFF-00065</t>
        </is>
      </c>
      <c r="H79" s="7" t="inlineStr">
        <is>
          <t>Technician Claim</t>
        </is>
      </c>
      <c r="I79" s="7" t="inlineStr">
        <is>
          <t>Service desk OFF-00065: status Closed; return_required=Yes; due 2026-07-15. Ticket alone does not dock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No corroborated RN line for MD-00065 in regional_IT_notes.docx.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IT_asset_management_policy.pdf</t>
        </is>
      </c>
      <c r="H82" s="7" t="inlineStr">
        <is>
          <t>Confirmed Fact</t>
        </is>
      </c>
      <c r="I82" s="7" t="inlineStr">
        <is>
          <t>Policy PDF §9 and the matrix disposal cell both flag the same burden of proof on MD-00065.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EX-0056, EX-0057, EX-0058</t>
        </is>
      </c>
      <c r="H83" s="7" t="inlineStr">
        <is>
          <t>Confirmed Fact</t>
        </is>
      </c>
      <c r="I83" s="7" t="inlineStr">
        <is>
          <t>MD-00065 → Pending Redeployment; location Seattle; Medium. EX-0056, EX-0057, EX-0058.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PO-2022-0013</t>
        </is>
      </c>
      <c r="H84" s="7" t="inlineStr">
        <is>
          <t>Confirmed Fact</t>
        </is>
      </c>
      <c r="I84" s="7" t="inlineStr">
        <is>
          <t>Purchasing extract lists PO-2022-0013 covering MD-00066 at $655.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TR-00066</t>
        </is>
      </c>
      <c r="H85" s="7" t="inlineStr">
        <is>
          <t>Confirmed Fact</t>
        </is>
      </c>
      <c r="I85" s="7" t="inlineStr">
        <is>
          <t>Custody hop on MD-00066 via TR-00066 (APR APR-00066).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OFF-00066</t>
        </is>
      </c>
      <c r="H86" s="7" t="inlineStr">
        <is>
          <t>Technician Claim</t>
        </is>
      </c>
      <c r="I86" s="7" t="inlineStr">
        <is>
          <t>Service desk OFF-00066: status Closed; return_required=Yes; due 2026-07-15. Ticket alone does not dock MD-00066.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Skipped empty RN hit for MD-00066; continued with HR/transfer/ledger files.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No image substitute: transfer control for MD-00066 still needs PO-2022-0013 in the packet.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EX-0059, EX-0060</t>
        </is>
      </c>
      <c r="H90" s="7" t="inlineStr">
        <is>
          <t>Confirmed Fact</t>
        </is>
      </c>
      <c r="I90" s="7" t="inlineStr">
        <is>
          <t>After file review, MD-00066 is Pending Redeployment at Atlanta (High). EX-0059, EX-0060.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PO-2022-0013</t>
        </is>
      </c>
      <c r="H91" s="7" t="inlineStr">
        <is>
          <t>Confirmed Fact</t>
        </is>
      </c>
      <c r="I91" s="7" t="inlineStr">
        <is>
          <t>MD-00067 capitalized path starts at PO-2022-0013 (Google Pixel 8, $1,130).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TR-00067</t>
        </is>
      </c>
      <c r="H92" s="7" t="inlineStr">
        <is>
          <t>Confirmed Fact</t>
        </is>
      </c>
      <c r="I92" s="7" t="inlineStr">
        <is>
          <t>equipment_transfer_log TR-00067: 2026-02-23 out, 2026-02-23 in, APR APR-00067.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OFF-00067</t>
        </is>
      </c>
      <c r="H93" s="7" t="inlineStr">
        <is>
          <t>Technician Claim</t>
        </is>
      </c>
      <c r="I93" s="7" t="inlineStr">
        <is>
          <t>Service desk OFF-00067: status Closed; return_required=Yes; due 2026-07-15. Ticket alone does not dock MD-00067.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regional_IT_notes.docx searched for MD-00067; nothing usable as location proof.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 Appendix A</t>
        </is>
      </c>
      <c r="H96" s="7" t="inlineStr">
        <is>
          <t>Confirmed Fact</t>
        </is>
      </c>
      <c r="I96" s="7" t="inlineStr">
        <is>
          <t>Opened matrix PNG to the financial band for MD-00067, then filed PO-2022-0013.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EX-0061, EX-0062</t>
        </is>
      </c>
      <c r="H97" s="7" t="inlineStr">
        <is>
          <t>Confirmed Fact</t>
        </is>
      </c>
      <c r="I97" s="7" t="inlineStr">
        <is>
          <t>MD-00067 closes at Pending Redeployment / Chicago (High). EX-0061, EX-0062.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PO-2022-0013</t>
        </is>
      </c>
      <c r="H98" s="7" t="inlineStr">
        <is>
          <t>Confirmed Fact</t>
        </is>
      </c>
      <c r="I98" s="7" t="inlineStr">
        <is>
          <t>PO-2022-0013 → MD-00068 / Samsung Galaxy S23 FE, basis $6,425.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TR-00068</t>
        </is>
      </c>
      <c r="H99" s="7" t="inlineStr">
        <is>
          <t>Confirmed Fact</t>
        </is>
      </c>
      <c r="I99" s="7" t="inlineStr">
        <is>
          <t>TR-00068 moved MD-00068 on 2026-03-28; inbound 2026-04-03; APR APR-00068.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OFF-00068</t>
        </is>
      </c>
      <c r="H100" s="7" t="inlineStr">
        <is>
          <t>Technician Claim</t>
        </is>
      </c>
      <c r="I100" s="7" t="inlineStr">
        <is>
          <t>Service desk OFF-00068: status Past Due; return_required=Yes; due 2026-07-15. Ticket alone does not dock MD-00068.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1ZMD00000068</t>
        </is>
      </c>
      <c r="H102" s="7" t="inlineStr">
        <is>
          <t>Technician Claim</t>
        </is>
      </c>
      <c r="I102" s="7" t="inlineStr">
        <is>
          <t>Prepaid label 1ZMD00000068 for MD-00068 is Label Created only — not a completed return.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regional_IT_notes.docx searched for MD-00068; nothing usable as location proof.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IT_asset_management_policy.pdf</t>
        </is>
      </c>
      <c r="H104" s="7" t="inlineStr">
        <is>
          <t>Confirmed Fact</t>
        </is>
      </c>
      <c r="I104" s="7" t="inlineStr">
        <is>
          <t>Mapped MD-00068 to matrix disposal; kept PO-2022-0013 as the auditable record.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EX-0063, EX-0064, EX-0065</t>
        </is>
      </c>
      <c r="H105" s="7" t="inlineStr">
        <is>
          <t>Unresolved Assumption</t>
        </is>
      </c>
      <c r="I105" s="7" t="inlineStr">
        <is>
          <t>MD-00068 → Return Overdue; location Remote - Former Employee; Low. EX-0063, EX-0064, EX-0065.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PO-2022-0013</t>
        </is>
      </c>
      <c r="H106" s="7" t="inlineStr">
        <is>
          <t>Confirmed Fact</t>
        </is>
      </c>
      <c r="I106" s="7" t="inlineStr">
        <is>
          <t>Purchasing extract lists PO-2022-0013 covering MD-00069 at $2,120.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TR-00069</t>
        </is>
      </c>
      <c r="H107" s="7" t="inlineStr">
        <is>
          <t>Confirmed Fact</t>
        </is>
      </c>
      <c r="I107" s="7" t="inlineStr">
        <is>
          <t>TR-00069 moved MD-00069 on 2026-05-02; inbound 2026-05-04; APR APR-00069.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OFF-00069</t>
        </is>
      </c>
      <c r="H108" s="7" t="inlineStr">
        <is>
          <t>Technician Claim</t>
        </is>
      </c>
      <c r="I108" s="7" t="inlineStr">
        <is>
          <t>Service desk OFF-00069: status Past Due; return_required=Yes; due 2026-07-15. Ticket alone does not dock MD-00069.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1ZMD00000069</t>
        </is>
      </c>
      <c r="H110" s="7" t="inlineStr">
        <is>
          <t>Technician Claim</t>
        </is>
      </c>
      <c r="I110" s="7" t="inlineStr">
        <is>
          <t>Prepaid label 1ZMD00000069 for MD-00069 is Label Created only — not a completed return.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regional_IT_notes.docx searched for MD-00069; nothing usable as location proof.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IT_asset_management_policy.pdf §§4–9; ITAM_control_matrix.png</t>
        </is>
      </c>
      <c r="H112" s="7" t="inlineStr">
        <is>
          <t>Confirmed Fact</t>
        </is>
      </c>
      <c r="I112" s="7" t="inlineStr">
        <is>
          <t>MD-00069: used ITAM_control_matrix.png as a lead on return controls, then returned to PO-2022-0013.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EX-0066, EX-0067</t>
        </is>
      </c>
      <c r="H113" s="7" t="inlineStr">
        <is>
          <t>Unresolved Assumption</t>
        </is>
      </c>
      <c r="I113" s="7" t="inlineStr">
        <is>
          <t>Cert packet lists MD-00069 as Return Overdue, site Remote - Former Employee, Low. EX-0066, EX-0067.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PO-2022-0013</t>
        </is>
      </c>
      <c r="H114" s="7" t="inlineStr">
        <is>
          <t>Confirmed Fact</t>
        </is>
      </c>
      <c r="I114" s="7" t="inlineStr">
        <is>
          <t>Purchasing extract lists PO-2022-0013 covering MD-00070 at $520.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TR-00070</t>
        </is>
      </c>
      <c r="H115" s="7" t="inlineStr">
        <is>
          <t>Confirmed Fact</t>
        </is>
      </c>
      <c r="I115" s="7" t="inlineStr">
        <is>
          <t>TR-00070 moved MD-00070 on 2026-06-03; inbound 2026-06-03; APR APR-00070.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OFF-00070</t>
        </is>
      </c>
      <c r="H116" s="7" t="inlineStr">
        <is>
          <t>Technician Claim</t>
        </is>
      </c>
      <c r="I116" s="7" t="inlineStr">
        <is>
          <t>Service desk OFF-00070: status Past Due; return_required=Yes; due 2026-07-15. Ticket alone does not dock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1ZMD00000070</t>
        </is>
      </c>
      <c r="H118" s="7" t="inlineStr">
        <is>
          <t>Technician Claim</t>
        </is>
      </c>
      <c r="I118" s="7" t="inlineStr">
        <is>
          <t>Prepaid label 1ZMD00000070 for MD-00070 is Label Created only — not a completed return.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regional_IT_notes.docx searched for MD-00070; nothing usable as location proof.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IT_asset_management_policy.pdf §§4–9; ITAM_control_matrix.png</t>
        </is>
      </c>
      <c r="H120" s="7" t="inlineStr">
        <is>
          <t>Confirmed Fact</t>
        </is>
      </c>
      <c r="I120" s="7" t="inlineStr">
        <is>
          <t>MD-00070: used ITAM_control_matrix.png as a lead on return controls, then returned to PO-2022-0013.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EX-0068, EX-0069</t>
        </is>
      </c>
      <c r="H121" s="7" t="inlineStr">
        <is>
          <t>Unresolved Assumption</t>
        </is>
      </c>
      <c r="I121" s="7" t="inlineStr">
        <is>
          <t>Cert packet lists MD-00070 as Return Overdue, site Remote - Former Employee, Low. EX-0068, EX-0069.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PO-2023-0014</t>
        </is>
      </c>
      <c r="H122" s="7" t="inlineStr">
        <is>
          <t>Confirmed Fact</t>
        </is>
      </c>
      <c r="I122" s="7" t="inlineStr">
        <is>
          <t>Bought MD-00071 (Google Pixel 8) on PO-2023-0014 for $995.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TR-00071</t>
        </is>
      </c>
      <c r="H123" s="7" t="inlineStr">
        <is>
          <t>Confirmed Fact</t>
        </is>
      </c>
      <c r="I123" s="7" t="inlineStr">
        <is>
          <t>TR-00071 moved MD-00071 on 2026-07-08; inbound 2026-07-12; APR APR-00071.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OFF-00071</t>
        </is>
      </c>
      <c r="H124" s="7" t="inlineStr">
        <is>
          <t>Technician Claim</t>
        </is>
      </c>
      <c r="I124" s="7" t="inlineStr">
        <is>
          <t>Service desk OFF-00071: status Past Due; return_required=Yes; due 2026-07-15. Ticket alone does not dock MD-00071.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1ZMD00000071</t>
        </is>
      </c>
      <c r="H126" s="7" t="inlineStr">
        <is>
          <t>Technician Claim</t>
        </is>
      </c>
      <c r="I126" s="7" t="inlineStr">
        <is>
          <t>Prepaid label 1ZMD00000071 for MD-00071 is Label Created only — not a completed return.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regional_IT_notes.docx searched for MD-00071; nothing usable as location proof.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Cross-read IT_asset_management_policy.pdf §§4–9 against the transfer matrix line for MD-00071.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EX-0070, EX-0071</t>
        </is>
      </c>
      <c r="H129" s="7" t="inlineStr">
        <is>
          <t>Unresolved Assumption</t>
        </is>
      </c>
      <c r="I129" s="7" t="inlineStr">
        <is>
          <t>After file review, MD-00071 is Return Overdue at Remote - Former Employee (Low). EX-0070, EX-0071.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PO-2023-0014</t>
        </is>
      </c>
      <c r="H130" s="7" t="inlineStr">
        <is>
          <t>Confirmed Fact</t>
        </is>
      </c>
      <c r="I130" s="7" t="inlineStr">
        <is>
          <t>MD-00072 capitalized path starts at PO-2023-0014 (Fortinet FortiSwitch 148F, $6,290).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TR-00072</t>
        </is>
      </c>
      <c r="H131" s="7" t="inlineStr">
        <is>
          <t>Confirmed Fact</t>
        </is>
      </c>
      <c r="I131" s="7" t="inlineStr">
        <is>
          <t>TR-00072 moved MD-00072 on 2026-01-18; inbound 2026-01-18; APR APR-00072.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OFF-00072</t>
        </is>
      </c>
      <c r="H132" s="7" t="inlineStr">
        <is>
          <t>Technician Claim</t>
        </is>
      </c>
      <c r="I132" s="7" t="inlineStr">
        <is>
          <t>Service desk OFF-00072: status Past Due; return_required=Yes; due 2026-07-15. Ticket alone does not dock MD-00072.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1ZMD00000072</t>
        </is>
      </c>
      <c r="H134" s="7" t="inlineStr">
        <is>
          <t>Technician Claim</t>
        </is>
      </c>
      <c r="I134" s="7" t="inlineStr">
        <is>
          <t>Prepaid label 1ZMD00000072 for MD-00072 is Label Created only — not a completed return.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regional_IT_notes.docx searched for MD-00072; nothing usable as location proof.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</t>
        </is>
      </c>
      <c r="H136" s="7" t="inlineStr">
        <is>
          <t>Confirmed Fact</t>
        </is>
      </c>
      <c r="I136" s="7" t="inlineStr">
        <is>
          <t>Opened matrix PNG to the assignment band for MD-00072, then filed PO-2023-0014.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EX-0072, EX-0073</t>
        </is>
      </c>
      <c r="H137" s="7" t="inlineStr">
        <is>
          <t>Unresolved Assumption</t>
        </is>
      </c>
      <c r="I137" s="7" t="inlineStr">
        <is>
          <t>Working end-state for MD-00072: Return Overdue in Remote - Former Employee, confidence Low. Exceptions: EX-0072, EX-0073.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PO-2023-0014</t>
        </is>
      </c>
      <c r="H138" s="7" t="inlineStr">
        <is>
          <t>Confirmed Fact</t>
        </is>
      </c>
      <c r="I138" s="7" t="inlineStr">
        <is>
          <t>Acquisition packet for MD-00073: vendor delivery against PO-2023-0014, $1,985.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TR-00073</t>
        </is>
      </c>
      <c r="H139" s="7" t="inlineStr">
        <is>
          <t>Confirmed Fact</t>
        </is>
      </c>
      <c r="I139" s="7" t="inlineStr">
        <is>
          <t>TR-00073 moved MD-00073 on 2026-01-21; inbound 2026-01-24; APR APR-00073.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OFF-00073</t>
        </is>
      </c>
      <c r="H140" s="7" t="inlineStr">
        <is>
          <t>Technician Claim</t>
        </is>
      </c>
      <c r="I140" s="7" t="inlineStr">
        <is>
          <t>Service desk OFF-00073: status Past Due; return_required=Yes; due 2026-07-15. Ticket alone does not dock MD-00073.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1ZMD00000073</t>
        </is>
      </c>
      <c r="H142" s="7" t="inlineStr">
        <is>
          <t>Technician Claim</t>
        </is>
      </c>
      <c r="I142" s="7" t="inlineStr">
        <is>
          <t>Prepaid label 1ZMD00000073 for MD-00073 is Label Created only — not a completed return.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regional_IT_notes.docx searched for MD-00073; nothing usable as location proof.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 Appendix A</t>
        </is>
      </c>
      <c r="H144" s="7" t="inlineStr">
        <is>
          <t>Confirmed Fact</t>
        </is>
      </c>
      <c r="I144" s="7" t="inlineStr">
        <is>
          <t>Mapped MD-00073 to matrix financial; kept PO-2023-0014 as the auditable record.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EX-0074, EX-0075</t>
        </is>
      </c>
      <c r="H145" s="7" t="inlineStr">
        <is>
          <t>Unresolved Assumption</t>
        </is>
      </c>
      <c r="I145" s="7" t="inlineStr">
        <is>
          <t>MD-00073 closes at Return Overdue / Remote - Former Employee (Low). EX-0074, EX-0075.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PO-2023-0014</t>
        </is>
      </c>
      <c r="H146" s="7" t="inlineStr">
        <is>
          <t>Confirmed Fact</t>
        </is>
      </c>
      <c r="I146" s="7" t="inlineStr">
        <is>
          <t>PO-2023-0014 → MD-00074 / Aruba 6300M, basis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TR-00074</t>
        </is>
      </c>
      <c r="H147" s="7" t="inlineStr">
        <is>
          <t>Confirmed Fact</t>
        </is>
      </c>
      <c r="I147" s="7" t="inlineStr">
        <is>
          <t>TR-00074 moved MD-00074 on 2026-02-23; inbound 2026-02-24; APR APR-00074.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OFF-00074</t>
        </is>
      </c>
      <c r="H148" s="7" t="inlineStr">
        <is>
          <t>Technician Claim</t>
        </is>
      </c>
      <c r="I148" s="7" t="inlineStr">
        <is>
          <t>Service desk OFF-00074: status Past Due; return_required=Yes; due 2026-07-15. Ticket alone does not dock MD-00074.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1ZMD00000074</t>
        </is>
      </c>
      <c r="H150" s="7" t="inlineStr">
        <is>
          <t>Technician Claim</t>
        </is>
      </c>
      <c r="I150" s="7" t="inlineStr">
        <is>
          <t>Prepaid label 1ZMD00000074 for MD-00074 is Label Created only — not a completed return.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1ZMD00000074</t>
        </is>
      </c>
      <c r="H151" s="7" t="inlineStr">
        <is>
          <t>Unresolved Assumption</t>
        </is>
      </c>
      <c r="I151" s="7" t="inlineStr">
        <is>
          <t>Carrier exception on 1ZMD00000074: inbound serial ≠ register MD-MO-050074 for MD-00074.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Skipped empty RN hit for MD-00074; continued with HR/transfer/ledger files.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 Appendix A</t>
        </is>
      </c>
      <c r="H153" s="7" t="inlineStr">
        <is>
          <t>Confirmed Fact</t>
        </is>
      </c>
      <c r="I153" s="7" t="inlineStr">
        <is>
          <t>Checked ITAM_control_matrix.png financial row while reviewing MD-00074; proof stays with PO-2023-0014.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EX-0076, EX-0077, EX-0078</t>
        </is>
      </c>
      <c r="H154" s="7" t="inlineStr">
        <is>
          <t>Unresolved Assumption</t>
        </is>
      </c>
      <c r="I154" s="7" t="inlineStr">
        <is>
          <t>Critical certification blocker — MD-00074 held In Transit - Exception for unresolved shipment serial mismatch. EX-0076, EX-0077, EX-0078.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PO-2023-0014</t>
        </is>
      </c>
      <c r="H155" s="7" t="inlineStr">
        <is>
          <t>Confirmed Fact</t>
        </is>
      </c>
      <c r="I155" s="7" t="inlineStr">
        <is>
          <t>PO-2023-0014 → MD-00075 / Juniper EX3400, basis $1,175.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TR-00075</t>
        </is>
      </c>
      <c r="H156" s="7" t="inlineStr">
        <is>
          <t>Confirmed Fact</t>
        </is>
      </c>
      <c r="I156" s="7" t="inlineStr">
        <is>
          <t>equipment_transfer_log TR-00075: 2026-03-31 out, 2026-04-01 in, APR APR-00075.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OFF-00075</t>
        </is>
      </c>
      <c r="H157" s="7" t="inlineStr">
        <is>
          <t>Technician Claim</t>
        </is>
      </c>
      <c r="I157" s="7" t="inlineStr">
        <is>
          <t>Service desk OFF-00075: status Past Due; return_required=Yes; due 2026-07-15. Ticket alone does not dock MD-00075.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1ZMD00000075</t>
        </is>
      </c>
      <c r="H159" s="7" t="inlineStr">
        <is>
          <t>Technician Claim</t>
        </is>
      </c>
      <c r="I159" s="7" t="inlineStr">
        <is>
          <t>Prepaid label 1ZMD00000075 for MD-00075 is Label Created only — not a completed return.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Skipped empty RN hit for MD-00075; continued with HR/transfer/ledger files.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IT_asset_management_policy.pdf</t>
        </is>
      </c>
      <c r="H161" s="7" t="inlineStr">
        <is>
          <t>Confirmed Fact</t>
        </is>
      </c>
      <c r="I161" s="7" t="inlineStr">
        <is>
          <t>No image substitute: disposal control for MD-00075 still needs PO-2023-0014 in the packet.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EX-0079, EX-0080</t>
        </is>
      </c>
      <c r="H162" s="7" t="inlineStr">
        <is>
          <t>Unresolved Assumption</t>
        </is>
      </c>
      <c r="I162" s="7" t="inlineStr">
        <is>
          <t>MD-00075 → Return Overdue; location Remote - Former Employee; Low. EX-0079, EX-0080.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PO-2023-0014</t>
        </is>
      </c>
      <c r="H163" s="7" t="inlineStr">
        <is>
          <t>Confirmed Fact</t>
        </is>
      </c>
      <c r="I163" s="7" t="inlineStr">
        <is>
          <t>Purchasing extract lists PO-2023-0014 covering MD-00076 at $6,470.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TR-00076</t>
        </is>
      </c>
      <c r="H164" s="7" t="inlineStr">
        <is>
          <t>Confirmed Fact</t>
        </is>
      </c>
      <c r="I164" s="7" t="inlineStr">
        <is>
          <t>equipment_transfer_log TR-00076: 2026-05-01 out, 2026-05-03 in, APR APR-00076.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OFF-00076</t>
        </is>
      </c>
      <c r="H165" s="7" t="inlineStr">
        <is>
          <t>Technician Claim</t>
        </is>
      </c>
      <c r="I165" s="7" t="inlineStr">
        <is>
          <t>Service desk OFF-00076: status Past Due; return_required=Yes; due 2026-07-15. Ticket alone does not dock MD-00076.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1ZMD00000076</t>
        </is>
      </c>
      <c r="H167" s="7" t="inlineStr">
        <is>
          <t>Technician Claim</t>
        </is>
      </c>
      <c r="I167" s="7" t="inlineStr">
        <is>
          <t>Prepaid label 1ZMD00000076 for MD-00076 is Label Created only — not a completed return.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1ZMD00000076</t>
        </is>
      </c>
      <c r="H168" s="7" t="inlineStr">
        <is>
          <t>Unresolved Assumption</t>
        </is>
      </c>
      <c r="I168" s="7" t="inlineStr">
        <is>
          <t>Carrier exception on 1ZMD00000076: inbound serial ≠ register MD-NE-050076 for MD-00076.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No corroborated RN line for MD-00076 in regional_IT_notes.docx.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IT_asset_management_policy.pdf</t>
        </is>
      </c>
      <c r="H170" s="7" t="inlineStr">
        <is>
          <t>Confirmed Fact</t>
        </is>
      </c>
      <c r="I170" s="7" t="inlineStr">
        <is>
          <t>Appendix A disposal expectations for MD-00076 come from the matrix PNG — not a substitute for PO-2023-0014.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EX-0081, EX-0082, EX-0083</t>
        </is>
      </c>
      <c r="H171" s="7" t="inlineStr">
        <is>
          <t>Unresolved Assumption</t>
        </is>
      </c>
      <c r="I171" s="7" t="inlineStr">
        <is>
          <t>Critical certification blocker — MD-00076 held In Transit - Exception for unresolved shipment serial mismatch. EX-0081, EX-0082, EX-0083.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PO-2023-0014</t>
        </is>
      </c>
      <c r="H172" s="7" t="inlineStr">
        <is>
          <t>Confirmed Fact</t>
        </is>
      </c>
      <c r="I172" s="7" t="inlineStr">
        <is>
          <t>Purchasing extract lists PO-2023-0014 covering MD-00077 at $1,850.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TR-00077</t>
        </is>
      </c>
      <c r="H173" s="7" t="inlineStr">
        <is>
          <t>Confirmed Fact</t>
        </is>
      </c>
      <c r="I173" s="7" t="inlineStr">
        <is>
          <t>Custody hop on MD-00077 via TR-00077 (APR APR-00077).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OFF-00077</t>
        </is>
      </c>
      <c r="H174" s="7" t="inlineStr">
        <is>
          <t>Technician Claim</t>
        </is>
      </c>
      <c r="I174" s="7" t="inlineStr">
        <is>
          <t>Service desk OFF-00077: status Past Due; return_required=Yes; due 2026-07-15. Ticket alone does not dock MD-00077.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1ZMD00000077</t>
        </is>
      </c>
      <c r="H176" s="7" t="inlineStr">
        <is>
          <t>Technician Claim</t>
        </is>
      </c>
      <c r="I176" s="7" t="inlineStr">
        <is>
          <t>Prepaid label 1ZMD00000077 for MD-00077 is Label Created only — not a completed return.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No corroborated RN line for MD-00077 in regional_IT_notes.docx.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IT_asset_management_policy.pdf §§4–9; ITAM_control_matrix.png</t>
        </is>
      </c>
      <c r="H178" s="7" t="inlineStr">
        <is>
          <t>Confirmed Fact</t>
        </is>
      </c>
      <c r="I178" s="7" t="inlineStr">
        <is>
          <t>ITAM-001 figure reference (return) noted for MD-00077; filing continues under PO-2023-0014.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EX-0084, EX-0085</t>
        </is>
      </c>
      <c r="H179" s="7" t="inlineStr">
        <is>
          <t>Unresolved Assumption</t>
        </is>
      </c>
      <c r="I179" s="7" t="inlineStr">
        <is>
          <t>Cert packet lists MD-00077 as Return Overdue, site Remote - Former Employee, Low. EX-0084, EX-0085.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PO-2024-0015</t>
        </is>
      </c>
      <c r="H180" s="7" t="inlineStr">
        <is>
          <t>Confirmed Fact</t>
        </is>
      </c>
      <c r="I180" s="7" t="inlineStr">
        <is>
          <t>Bought MD-00078 (Cisco C9300) on PO-2024-0015 for $565.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TR-00078</t>
        </is>
      </c>
      <c r="H181" s="7" t="inlineStr">
        <is>
          <t>Confirmed Fact</t>
        </is>
      </c>
      <c r="I181" s="7" t="inlineStr">
        <is>
          <t>Custody hop on MD-00078 via TR-00078 (APR APR-00078).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OFF-00078</t>
        </is>
      </c>
      <c r="H182" s="7" t="inlineStr">
        <is>
          <t>Technician Claim</t>
        </is>
      </c>
      <c r="I182" s="7" t="inlineStr">
        <is>
          <t>Service desk OFF-00078: status Past Due; return_required=Yes; due 2026-07-15. Ticket alone does not dock MD-00078.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1ZMD00000078</t>
        </is>
      </c>
      <c r="H184" s="7" t="inlineStr">
        <is>
          <t>Technician Claim</t>
        </is>
      </c>
      <c r="I184" s="7" t="inlineStr">
        <is>
          <t>Prepaid label 1ZMD00000078 for MD-00078 is Label Created only — not a completed return.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No corroborated RN line for MD-00078 in regional_IT_notes.docx.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Policy PDF §9 and the matrix transfer cell both flag the same burden of proof on MD-00078.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EX-0086, EX-0087</t>
        </is>
      </c>
      <c r="H187" s="7" t="inlineStr">
        <is>
          <t>Unresolved Assumption</t>
        </is>
      </c>
      <c r="I187" s="7" t="inlineStr">
        <is>
          <t>After file review, MD-00078 is Return Overdue at Remote - Former Employee (Low). EX-0086, EX-0087.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PO-2024-0015</t>
        </is>
      </c>
      <c r="H188" s="7" t="inlineStr">
        <is>
          <t>Confirmed Fact</t>
        </is>
      </c>
      <c r="I188" s="7" t="inlineStr">
        <is>
          <t>MD-00079 capitalized path starts at PO-2024-0015 (Aruba 6300M, $1,040).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TR-00079</t>
        </is>
      </c>
      <c r="H189" s="7" t="inlineStr">
        <is>
          <t>Confirmed Fact</t>
        </is>
      </c>
      <c r="I189" s="7" t="inlineStr">
        <is>
          <t>Custody hop on MD-00079 via TR-00079 (APR APR-00079).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OFF-00079</t>
        </is>
      </c>
      <c r="H190" s="7" t="inlineStr">
        <is>
          <t>Technician Claim</t>
        </is>
      </c>
      <c r="I190" s="7" t="inlineStr">
        <is>
          <t>Service desk OFF-00079: status Past Due; return_required=Yes; due 2026-07-15. Ticket alone does not dock MD-00079.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1ZMD00000079</t>
        </is>
      </c>
      <c r="H192" s="7" t="inlineStr">
        <is>
          <t>Technician Claim</t>
        </is>
      </c>
      <c r="I192" s="7" t="inlineStr">
        <is>
          <t>Prepaid label 1ZMD00000079 for MD-00079 is Label Created only — not a completed return.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No corroborated RN line for MD-00079 in regional_IT_notes.docx.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</t>
        </is>
      </c>
      <c r="H194" s="7" t="inlineStr">
        <is>
          <t>Confirmed Fact</t>
        </is>
      </c>
      <c r="I194" s="7" t="inlineStr">
        <is>
          <t>For MD-00079, matrix assignment criteria only frame the test; PO-2024-0015 is the evidence.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EX-0088, EX-0089</t>
        </is>
      </c>
      <c r="H195" s="7" t="inlineStr">
        <is>
          <t>Unresolved Assumption</t>
        </is>
      </c>
      <c r="I195" s="7" t="inlineStr">
        <is>
          <t>Working end-state for MD-00079: Return Overdue in Remote - Former Employee, confidence Low. Exceptions: EX-0088, EX-0089.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PO-2024-0015</t>
        </is>
      </c>
      <c r="H196" s="7" t="inlineStr">
        <is>
          <t>Confirmed Fact</t>
        </is>
      </c>
      <c r="I196" s="7" t="inlineStr">
        <is>
          <t>MD-00080 capitalized path starts at PO-2024-0015 (Cisco Meraki MS250, $6,335).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TR-00080</t>
        </is>
      </c>
      <c r="H197" s="7" t="inlineStr">
        <is>
          <t>Confirmed Fact</t>
        </is>
      </c>
      <c r="I197" s="7" t="inlineStr">
        <is>
          <t>Custody hop on MD-00080 via TR-00080 (APR APR-00080).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OFF-00080</t>
        </is>
      </c>
      <c r="H198" s="7" t="inlineStr">
        <is>
          <t>Technician Claim</t>
        </is>
      </c>
      <c r="I198" s="7" t="inlineStr">
        <is>
          <t>Service desk OFF-00080: status Shipment Open; return_required=Yes; due 2026-07-15. Ticket alone does not dock MD-00080.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1ZMD00000080</t>
        </is>
      </c>
      <c r="H200" s="7" t="inlineStr">
        <is>
          <t>Technician Claim</t>
        </is>
      </c>
      <c r="I200" s="7" t="inlineStr">
        <is>
          <t>Prepaid label 1ZMD00000080 for MD-00080 is Label Created only — not a completed return.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1ZMD00000080</t>
        </is>
      </c>
      <c r="H201" s="7" t="inlineStr">
        <is>
          <t>Confirmed Fact</t>
        </is>
      </c>
      <c r="I201" s="7" t="inlineStr">
        <is>
          <t>Carrier acceptance recorded on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1ZMD00000080</t>
        </is>
      </c>
      <c r="H202" s="7" t="inlineStr">
        <is>
          <t>Confirmed Fact</t>
        </is>
      </c>
      <c r="I202" s="7" t="inlineStr">
        <is>
          <t>Delivery event on 1ZMD00000080; receiving scan still required for MD-00080.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1ZMD00000080</t>
        </is>
      </c>
      <c r="H203" s="7" t="inlineStr">
        <is>
          <t>Confirmed Fact</t>
        </is>
      </c>
      <c r="I203" s="7" t="inlineStr">
        <is>
          <t>Receiving scan posted for 1ZMD00000080 (MD-00080).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No corroborated RN line for MD-00080 in regional_IT_notes.docx.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IT_asset_management_policy.pdf</t>
        </is>
      </c>
      <c r="H205" s="7" t="inlineStr">
        <is>
          <t>Confirmed Fact</t>
        </is>
      </c>
      <c r="I205" s="7" t="inlineStr">
        <is>
          <t>Appendix A disposal expectations for MD-00080 come from the matrix PNG — not a substitute for PO-2024-0015.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EX-0090</t>
        </is>
      </c>
      <c r="H206" s="7" t="inlineStr">
        <is>
          <t>Confirmed Fact</t>
        </is>
      </c>
      <c r="I206" s="7" t="inlineStr">
        <is>
          <t>MD-00080 → Available; location Atlanta Warehouse; High. EX-0090.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PO-2024-0015</t>
        </is>
      </c>
      <c r="H207" s="7" t="inlineStr">
        <is>
          <t>Confirmed Fact</t>
        </is>
      </c>
      <c r="I207" s="7" t="inlineStr">
        <is>
          <t>Purchasing extract lists PO-2024-0015 covering MD-00081 at $2,030.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TR-00081</t>
        </is>
      </c>
      <c r="H208" s="7" t="inlineStr">
        <is>
          <t>Confirmed Fact</t>
        </is>
      </c>
      <c r="I208" s="7" t="inlineStr">
        <is>
          <t>Custody hop on MD-00081 via TR-00081 (APR APR-00081).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OFF-00081</t>
        </is>
      </c>
      <c r="H209" s="7" t="inlineStr">
        <is>
          <t>Technician Claim</t>
        </is>
      </c>
      <c r="I209" s="7" t="inlineStr">
        <is>
          <t>Service desk OFF-00081: status Shipment Open; return_required=Yes; due 2026-07-15. Ticket alone does not dock MD-00081.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1ZMD00000081</t>
        </is>
      </c>
      <c r="H211" s="7" t="inlineStr">
        <is>
          <t>Technician Claim</t>
        </is>
      </c>
      <c r="I211" s="7" t="inlineStr">
        <is>
          <t>Prepaid label 1ZMD00000081 for MD-00081 is Label Created only — not a completed return.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1ZMD00000081</t>
        </is>
      </c>
      <c r="H212" s="7" t="inlineStr">
        <is>
          <t>Confirmed Fact</t>
        </is>
      </c>
      <c r="I212" s="7" t="inlineStr">
        <is>
          <t>Carrier acceptance recorded on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1ZMD00000081</t>
        </is>
      </c>
      <c r="H213" s="7" t="inlineStr">
        <is>
          <t>Confirmed Fact</t>
        </is>
      </c>
      <c r="I213" s="7" t="inlineStr">
        <is>
          <t>Delivery event on 1ZMD00000081; receiving scan still required for MD-00081.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1ZMD00000081</t>
        </is>
      </c>
      <c r="H214" s="7" t="inlineStr">
        <is>
          <t>Confirmed Fact</t>
        </is>
      </c>
      <c r="I214" s="7" t="inlineStr">
        <is>
          <t>Receiving scan posted for 1ZMD00000081 (MD-00081).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No corroborated RN line for MD-00081 in regional_IT_notes.docx.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</t>
        </is>
      </c>
      <c r="H216" s="7" t="inlineStr">
        <is>
          <t>Confirmed Fact</t>
        </is>
      </c>
      <c r="I216" s="7" t="inlineStr">
        <is>
          <t>Policy PDF §9 and the matrix assignment cell both flag the same burden of proof on MD-00081.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EX-0091</t>
        </is>
      </c>
      <c r="H217" s="7" t="inlineStr">
        <is>
          <t>Confirmed Fact</t>
        </is>
      </c>
      <c r="I217" s="7" t="inlineStr">
        <is>
          <t>Working end-state for MD-00081: Available in Atlanta Warehouse, confidence High. Exceptions: EX-0091.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PO-2024-0015</t>
        </is>
      </c>
      <c r="H218" s="7" t="inlineStr">
        <is>
          <t>Confirmed Fact</t>
        </is>
      </c>
      <c r="I218" s="7" t="inlineStr">
        <is>
          <t>Acquisition packet for MD-00082: vendor delivery against PO-2024-0015, $745.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TR-00082</t>
        </is>
      </c>
      <c r="H219" s="7" t="inlineStr">
        <is>
          <t>Confirmed Fact</t>
        </is>
      </c>
      <c r="I219" s="7" t="inlineStr">
        <is>
          <t>Custody hop on MD-00082 via TR-00082 (APR APR-00082).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OFF-00082</t>
        </is>
      </c>
      <c r="H220" s="7" t="inlineStr">
        <is>
          <t>Technician Claim</t>
        </is>
      </c>
      <c r="I220" s="7" t="inlineStr">
        <is>
          <t>Service desk OFF-00082: status Shipment Open; return_required=Yes; due 2026-07-15. Ticket alone does not dock MD-00082.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1ZMD00000082</t>
        </is>
      </c>
      <c r="H222" s="7" t="inlineStr">
        <is>
          <t>Technician Claim</t>
        </is>
      </c>
      <c r="I222" s="7" t="inlineStr">
        <is>
          <t>Prepaid label 1ZMD00000082 for MD-00082 is Label Created only — not a completed return.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1ZMD00000082</t>
        </is>
      </c>
      <c r="H223" s="7" t="inlineStr">
        <is>
          <t>Confirmed Fact</t>
        </is>
      </c>
      <c r="I223" s="7" t="inlineStr">
        <is>
          <t>Carrier acceptance recorded on 1ZMD00000082.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1ZMD00000082</t>
        </is>
      </c>
      <c r="H224" s="7" t="inlineStr">
        <is>
          <t>Unresolved Assumption</t>
        </is>
      </c>
      <c r="I224" s="7" t="inlineStr">
        <is>
          <t>Carrier exception on 1ZMD00000082: inbound serial ≠ register MD-MO-050082 for MD-00082.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receiving_exception_scan_1ZMD00000082.png</t>
        </is>
      </c>
      <c r="H225" s="7" t="inlineStr">
        <is>
          <t>Technician Claim</t>
        </is>
      </c>
      <c r="I225" s="7" t="inlineStr">
        <is>
          <t>receiving_exception_scan_1ZMD00000082.png shows HOLD / MISMATCH — lead only, not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No corroborated RN line for MD-00082 in regional_IT_notes.docx.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IT_asset_management_policy.pdf §§4–9; ITAM_control_matrix.png</t>
        </is>
      </c>
      <c r="H227" s="7" t="inlineStr">
        <is>
          <t>Confirmed Fact</t>
        </is>
      </c>
      <c r="I227" s="7" t="inlineStr">
        <is>
          <t>Appendix A return expectations for MD-00082 come from the matrix PNG — not a substitute for PO-2024-0015.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EX-0092, EX-0093</t>
        </is>
      </c>
      <c r="H228" s="7" t="inlineStr">
        <is>
          <t>Unresolved Assumption</t>
        </is>
      </c>
      <c r="I228" s="7" t="inlineStr">
        <is>
          <t>Critical certification blocker — MD-00082 held In Transit - Exception for unresolved shipment serial mismatch. EX-0092, EX-0093.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PO-2025-0016</t>
        </is>
      </c>
      <c r="H229" s="7" t="inlineStr">
        <is>
          <t>Confirmed Fact</t>
        </is>
      </c>
      <c r="I229" s="7" t="inlineStr">
        <is>
          <t>Bought MD-00083 (Aruba 6300M) on PO-2025-0016 for $1,220.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TR-00083</t>
        </is>
      </c>
      <c r="H230" s="7" t="inlineStr">
        <is>
          <t>Confirmed Fact</t>
        </is>
      </c>
      <c r="I230" s="7" t="inlineStr">
        <is>
          <t>Custody hop on MD-00083 via TR-00083 (APR APR-00083).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OFF-00083</t>
        </is>
      </c>
      <c r="H231" s="7" t="inlineStr">
        <is>
          <t>Technician Claim</t>
        </is>
      </c>
      <c r="I231" s="7" t="inlineStr">
        <is>
          <t>Service desk OFF-00083: status Shipment Open; return_required=Yes; due 2026-07-15. Ticket alone does not dock MD-00083.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1ZMD00000083</t>
        </is>
      </c>
      <c r="H233" s="7" t="inlineStr">
        <is>
          <t>Technician Claim</t>
        </is>
      </c>
      <c r="I233" s="7" t="inlineStr">
        <is>
          <t>Prepaid label 1ZMD00000083 for MD-00083 is Label Created only — not a completed return.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1ZMD00000083</t>
        </is>
      </c>
      <c r="H234" s="7" t="inlineStr">
        <is>
          <t>Confirmed Fact</t>
        </is>
      </c>
      <c r="I234" s="7" t="inlineStr">
        <is>
          <t>Carrier acceptance recorded on 1ZMD00000083.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1ZMD00000083</t>
        </is>
      </c>
      <c r="H235" s="7" t="inlineStr">
        <is>
          <t>Confirmed Fact</t>
        </is>
      </c>
      <c r="I235" s="7" t="inlineStr">
        <is>
          <t>Delivery event on 1ZMD00000083; receiving scan still required for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1ZMD00000083</t>
        </is>
      </c>
      <c r="H236" s="7" t="inlineStr">
        <is>
          <t>Confirmed Fact</t>
        </is>
      </c>
      <c r="I236" s="7" t="inlineStr">
        <is>
          <t>Receiving scan posted for 1ZMD00000083 (MD-00083).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No corroborated RN line for MD-00083 in regional_IT_notes.docx.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 Appendix A</t>
        </is>
      </c>
      <c r="H238" s="7" t="inlineStr">
        <is>
          <t>Confirmed Fact</t>
        </is>
      </c>
      <c r="I238" s="7" t="inlineStr">
        <is>
          <t>Policy PDF §9 and the matrix financial cell both flag the same burden of proof on MD-00083.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EX-0094</t>
        </is>
      </c>
      <c r="H239" s="7" t="inlineStr">
        <is>
          <t>Confirmed Fact</t>
        </is>
      </c>
      <c r="I239" s="7" t="inlineStr">
        <is>
          <t>MD-00083 closes at Available / Atlanta Warehouse (High). EX-0094.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PO-2025-0016</t>
        </is>
      </c>
      <c r="H240" s="7" t="inlineStr">
        <is>
          <t>Confirmed Fact</t>
        </is>
      </c>
      <c r="I240" s="7" t="inlineStr">
        <is>
          <t>PO-2025-0016 → MD-00084 / Juniper EX3400, basis $6,200.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TR-00084</t>
        </is>
      </c>
      <c r="H241" s="7" t="inlineStr">
        <is>
          <t>Confirmed Fact</t>
        </is>
      </c>
      <c r="I241" s="7" t="inlineStr">
        <is>
          <t>Custody hop on MD-00084 via TR-00084 (APR APR-00084).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OFF-00084</t>
        </is>
      </c>
      <c r="H242" s="7" t="inlineStr">
        <is>
          <t>Technician Claim</t>
        </is>
      </c>
      <c r="I242" s="7" t="inlineStr">
        <is>
          <t>Service desk OFF-00084: status Shipment Open; return_required=Yes; due 2026-07-15. Ticket alone does not dock MD-00084.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1ZMD00000084</t>
        </is>
      </c>
      <c r="H244" s="7" t="inlineStr">
        <is>
          <t>Technician Claim</t>
        </is>
      </c>
      <c r="I244" s="7" t="inlineStr">
        <is>
          <t>Prepaid label 1ZMD00000084 for MD-00084 is Label Created only — not a completed return.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1ZMD00000084</t>
        </is>
      </c>
      <c r="H245" s="7" t="inlineStr">
        <is>
          <t>Confirmed Fact</t>
        </is>
      </c>
      <c r="I245" s="7" t="inlineStr">
        <is>
          <t>Carrier acceptance recorded on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1ZMD00000084</t>
        </is>
      </c>
      <c r="H246" s="7" t="inlineStr">
        <is>
          <t>Unresolved Assumption</t>
        </is>
      </c>
      <c r="I246" s="7" t="inlineStr">
        <is>
          <t>Carrier exception on 1ZMD00000084: inbound serial ≠ register MD-NE-050084 for MD-00084.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Skipped empty RN hit for MD-00084; continued with HR/transfer/ledger files.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</t>
        </is>
      </c>
      <c r="H248" s="7" t="inlineStr">
        <is>
          <t>Confirmed Fact</t>
        </is>
      </c>
      <c r="I248" s="7" t="inlineStr">
        <is>
          <t>Pulled the assignment strip on ITAM_control_matrix.png for MD-00084 before trusting PO-2025-0016.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EX-0095, EX-0096</t>
        </is>
      </c>
      <c r="H249" s="7" t="inlineStr">
        <is>
          <t>Unresolved Assumption</t>
        </is>
      </c>
      <c r="I249" s="7" t="inlineStr">
        <is>
          <t>Critical certification blocker — MD-00084 held In Transit - Exception for unresolved shipment serial mismatch. EX-0095, EX-0096.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PO-2025-0016</t>
        </is>
      </c>
      <c r="H250" s="7" t="inlineStr">
        <is>
          <t>Confirmed Fact</t>
        </is>
      </c>
      <c r="I250" s="7" t="inlineStr">
        <is>
          <t>Acquisition packet for MD-00085: vendor delivery against PO-2025-0016, $1,895.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TR-00085</t>
        </is>
      </c>
      <c r="H251" s="7" t="inlineStr">
        <is>
          <t>Confirmed Fact</t>
        </is>
      </c>
      <c r="I251" s="7" t="inlineStr">
        <is>
          <t>equipment_transfer_log TR-00085: 2026-02-02 out, 2026-02-03 in, APR APR-00085.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OFF-00085</t>
        </is>
      </c>
      <c r="H252" s="7" t="inlineStr">
        <is>
          <t>Technician Claim</t>
        </is>
      </c>
      <c r="I252" s="7" t="inlineStr">
        <is>
          <t>Service desk OFF-00085: status Shipment Open; return_required=Yes; due 2026-07-15. Ticket alone does not dock MD-00085.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1ZMD00000085</t>
        </is>
      </c>
      <c r="H254" s="7" t="inlineStr">
        <is>
          <t>Technician Claim</t>
        </is>
      </c>
      <c r="I254" s="7" t="inlineStr">
        <is>
          <t>Prepaid label 1ZMD00000085 for MD-00085 is Label Created only — not a completed return.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1ZMD00000085</t>
        </is>
      </c>
      <c r="H255" s="7" t="inlineStr">
        <is>
          <t>Confirmed Fact</t>
        </is>
      </c>
      <c r="I255" s="7" t="inlineStr">
        <is>
          <t>Carrier acceptance recorded on 1ZMD00000085.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1ZMD00000085</t>
        </is>
      </c>
      <c r="H256" s="7" t="inlineStr">
        <is>
          <t>Confirmed Fact</t>
        </is>
      </c>
      <c r="I256" s="7" t="inlineStr">
        <is>
          <t>Delivery event on 1ZMD00000085; receiving scan still required for MD-00085.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1ZMD00000085</t>
        </is>
      </c>
      <c r="H257" s="7" t="inlineStr">
        <is>
          <t>Confirmed Fact</t>
        </is>
      </c>
      <c r="I257" s="7" t="inlineStr">
        <is>
          <t>Receiving scan posted for 1ZMD00000085 (MD-00085).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Skipped empty RN hit for MD-00085; continued with HR/transfer/ledger files.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IT_asset_management_policy.pdf §§4–9; ITAM_control_matrix.png</t>
        </is>
      </c>
      <c r="H259" s="7" t="inlineStr">
        <is>
          <t>Confirmed Fact</t>
        </is>
      </c>
      <c r="I259" s="7" t="inlineStr">
        <is>
          <t>Checked ITAM_control_matrix.png return row while reviewing MD-00085; proof stays with PO-2025-0016.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EX-0097, EX-0098</t>
        </is>
      </c>
      <c r="H260" s="7" t="inlineStr">
        <is>
          <t>Confirmed Fact</t>
        </is>
      </c>
      <c r="I260" s="7" t="inlineStr">
        <is>
          <t>Cert packet lists MD-00085 as Available, site Atlanta Warehouse, High. EX-0097, EX-0098.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PO-2022-0017</t>
        </is>
      </c>
      <c r="H261" s="7" t="inlineStr">
        <is>
          <t>Confirmed Fact</t>
        </is>
      </c>
      <c r="I261" s="7" t="inlineStr">
        <is>
          <t>Bought MD-00086 (Fortinet FortiSwitch 148F) on PO-2022-0017 for $610.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TR-00086</t>
        </is>
      </c>
      <c r="H262" s="7" t="inlineStr">
        <is>
          <t>Confirmed Fact</t>
        </is>
      </c>
      <c r="I262" s="7" t="inlineStr">
        <is>
          <t>equipment_transfer_log TR-00086: 2026-03-07 out, 2026-03-08 in, APR APR-00086.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OFF-00086</t>
        </is>
      </c>
      <c r="H263" s="7" t="inlineStr">
        <is>
          <t>Technician Claim</t>
        </is>
      </c>
      <c r="I263" s="7" t="inlineStr">
        <is>
          <t>Service desk OFF-00086: status Shipment Open; return_required=Yes; due 2026-07-15. Ticket alone does not dock MD-00086.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1ZMD00000086</t>
        </is>
      </c>
      <c r="H265" s="7" t="inlineStr">
        <is>
          <t>Technician Claim</t>
        </is>
      </c>
      <c r="I265" s="7" t="inlineStr">
        <is>
          <t>Prepaid label 1ZMD00000086 for MD-00086 is Label Created only — not a completed return.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1ZMD00000086</t>
        </is>
      </c>
      <c r="H266" s="7" t="inlineStr">
        <is>
          <t>Confirmed Fact</t>
        </is>
      </c>
      <c r="I266" s="7" t="inlineStr">
        <is>
          <t>Carrier acceptance recorded on 1ZMD00000086.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1ZMD00000086</t>
        </is>
      </c>
      <c r="H267" s="7" t="inlineStr">
        <is>
          <t>Confirmed Fact</t>
        </is>
      </c>
      <c r="I267" s="7" t="inlineStr">
        <is>
          <t>Delivery event on 1ZMD00000086; receiving scan still required for MD-00086.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1ZMD00000086</t>
        </is>
      </c>
      <c r="H268" s="7" t="inlineStr">
        <is>
          <t>Confirmed Fact</t>
        </is>
      </c>
      <c r="I268" s="7" t="inlineStr">
        <is>
          <t>Receiving scan posted for 1ZMD00000086 (MD-00086).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Skipped empty RN hit for MD-00086; continued with HR/transfer/ledger files.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 Appendix A</t>
        </is>
      </c>
      <c r="H270" s="7" t="inlineStr">
        <is>
          <t>Confirmed Fact</t>
        </is>
      </c>
      <c r="I270" s="7" t="inlineStr">
        <is>
          <t>Pulled the financial strip on ITAM_control_matrix.png for MD-00086 before trusting PO-2022-0017.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EX-0099</t>
        </is>
      </c>
      <c r="H271" s="7" t="inlineStr">
        <is>
          <t>Confirmed Fact</t>
        </is>
      </c>
      <c r="I271" s="7" t="inlineStr">
        <is>
          <t>MD-00086 closes at Available / Atlanta Warehouse (High). EX-0099.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PO-2022-0017</t>
        </is>
      </c>
      <c r="H272" s="7" t="inlineStr">
        <is>
          <t>Confirmed Fact</t>
        </is>
      </c>
      <c r="I272" s="7" t="inlineStr">
        <is>
          <t>PO-2022-0017 → MD-00087 / Cisco C9300, basis $1,085.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TR-00087</t>
        </is>
      </c>
      <c r="H273" s="7" t="inlineStr">
        <is>
          <t>Confirmed Fact</t>
        </is>
      </c>
      <c r="I273" s="7" t="inlineStr">
        <is>
          <t>equipment_transfer_log TR-00087: 2026-04-12 out, 2026-04-12 in, APR APR-00087.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OFF-00087</t>
        </is>
      </c>
      <c r="H274" s="7" t="inlineStr">
        <is>
          <t>Technician Claim</t>
        </is>
      </c>
      <c r="I274" s="7" t="inlineStr">
        <is>
          <t>Service desk OFF-00087: status Shipment Open; return_required=Yes; due 2026-07-15. Ticket alone does not dock MD-00087.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1ZMD00000087</t>
        </is>
      </c>
      <c r="H276" s="7" t="inlineStr">
        <is>
          <t>Technician Claim</t>
        </is>
      </c>
      <c r="I276" s="7" t="inlineStr">
        <is>
          <t>Prepaid label 1ZMD00000087 for MD-00087 is Label Created only — not a completed return.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1ZMD00000087</t>
        </is>
      </c>
      <c r="H277" s="7" t="inlineStr">
        <is>
          <t>Confirmed Fact</t>
        </is>
      </c>
      <c r="I277" s="7" t="inlineStr">
        <is>
          <t>Carrier acceptance recorded on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1ZMD00000087</t>
        </is>
      </c>
      <c r="H278" s="7" t="inlineStr">
        <is>
          <t>Confirmed Fact</t>
        </is>
      </c>
      <c r="I278" s="7" t="inlineStr">
        <is>
          <t>Delivery event on 1ZMD00000087; receiving scan still required for MD-00087.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1ZMD00000087</t>
        </is>
      </c>
      <c r="H279" s="7" t="inlineStr">
        <is>
          <t>Confirmed Fact</t>
        </is>
      </c>
      <c r="I279" s="7" t="inlineStr">
        <is>
          <t>Receiving scan posted for 1ZMD00000087 (MD-00087).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Skipped empty RN hit for MD-00087; continued with HR/transfer/ledger files.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Checked ITAM_control_matrix.png transfer row while reviewing MD-00087; proof stays with PO-2022-0017.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EX-0100</t>
        </is>
      </c>
      <c r="H282" s="7" t="inlineStr">
        <is>
          <t>Confirmed Fact</t>
        </is>
      </c>
      <c r="I282" s="7" t="inlineStr">
        <is>
          <t>After file review, MD-00087 is Available at Atlanta Warehouse (High). EX-0100.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PO-2022-0017</t>
        </is>
      </c>
      <c r="H283" s="7" t="inlineStr">
        <is>
          <t>Confirmed Fact</t>
        </is>
      </c>
      <c r="I283" s="7" t="inlineStr">
        <is>
          <t>MD-00088 capitalized path starts at PO-2022-0017 (Aruba 6300M, $6,380).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TR-00088</t>
        </is>
      </c>
      <c r="H284" s="7" t="inlineStr">
        <is>
          <t>Confirmed Fact</t>
        </is>
      </c>
      <c r="I284" s="7" t="inlineStr">
        <is>
          <t>equipment_transfer_log TR-00088: 2026-05-13 out, 2026-05-14 in, APR APR-00088.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OFF-00088</t>
        </is>
      </c>
      <c r="H285" s="7" t="inlineStr">
        <is>
          <t>Technician Claim</t>
        </is>
      </c>
      <c r="I285" s="7" t="inlineStr">
        <is>
          <t>Service desk OFF-00088: status Shipment Open; return_required=Yes; due 2026-07-15. Ticket alone does not dock MD-00088.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1ZMD00000088</t>
        </is>
      </c>
      <c r="H287" s="7" t="inlineStr">
        <is>
          <t>Technician Claim</t>
        </is>
      </c>
      <c r="I287" s="7" t="inlineStr">
        <is>
          <t>Prepaid label 1ZMD00000088 for MD-00088 is Label Created only — not a completed return.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1ZMD00000088</t>
        </is>
      </c>
      <c r="H288" s="7" t="inlineStr">
        <is>
          <t>Confirmed Fact</t>
        </is>
      </c>
      <c r="I288" s="7" t="inlineStr">
        <is>
          <t>Carrier acceptance recorded on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1ZMD00000088</t>
        </is>
      </c>
      <c r="H289" s="7" t="inlineStr">
        <is>
          <t>Confirmed Fact</t>
        </is>
      </c>
      <c r="I289" s="7" t="inlineStr">
        <is>
          <t>Delivery event on 1ZMD00000088; receiving scan still required for MD-00088.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1ZMD00000088</t>
        </is>
      </c>
      <c r="H290" s="7" t="inlineStr">
        <is>
          <t>Confirmed Fact</t>
        </is>
      </c>
      <c r="I290" s="7" t="inlineStr">
        <is>
          <t>Receiving scan posted for 1ZMD00000088 (MD-00088).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Skipped empty RN hit for MD-00088; continued with HR/transfer/ledger files.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IT_asset_management_policy.pdf</t>
        </is>
      </c>
      <c r="H292" s="7" t="inlineStr">
        <is>
          <t>Confirmed Fact</t>
        </is>
      </c>
      <c r="I292" s="7" t="inlineStr">
        <is>
          <t>Pulled the disposal strip on ITAM_control_matrix.png for MD-00088 before trusting PO-2022-0017.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EX-0101, EX-0102</t>
        </is>
      </c>
      <c r="H293" s="7" t="inlineStr">
        <is>
          <t>Confirmed Fact</t>
        </is>
      </c>
      <c r="I293" s="7" t="inlineStr">
        <is>
          <t>MD-00088 → Available; location Atlanta Warehouse; Medium. EX-0101, EX-0102.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PO-2022-0017</t>
        </is>
      </c>
      <c r="H294" s="7" t="inlineStr">
        <is>
          <t>Confirmed Fact</t>
        </is>
      </c>
      <c r="I294" s="7" t="inlineStr">
        <is>
          <t>Purchasing extract lists PO-2022-0017 covering MD-00089 at $2,075.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TR-00089</t>
        </is>
      </c>
      <c r="H295" s="7" t="inlineStr">
        <is>
          <t>Confirmed Fact</t>
        </is>
      </c>
      <c r="I295" s="7" t="inlineStr">
        <is>
          <t>equipment_transfer_log TR-00089: 2026-06-17 out, 2026-06-17 in, APR APR-00089.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OFF-00089</t>
        </is>
      </c>
      <c r="H296" s="7" t="inlineStr">
        <is>
          <t>Technician Claim</t>
        </is>
      </c>
      <c r="I296" s="7" t="inlineStr">
        <is>
          <t>Service desk OFF-00089: status Unresolved; return_required=Yes; due 2026-07-15. Ticket alone does not dock MD-00089.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regional_IT_notes.docx searched for MD-00089; nothing usable as location proof.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Mapped MD-00089 to matrix transfer; kept PO-2022-0017 as the auditable record.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No dock scan, disposal certificate, or floor count currently places MD-00089.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EX-0103, EX-0104</t>
        </is>
      </c>
      <c r="H301" s="7" t="inlineStr">
        <is>
          <t>Unresolved Assumption</t>
        </is>
      </c>
      <c r="I301" s="7" t="inlineStr">
        <is>
          <t>Cert packet lists MD-00089 as Missing, site Unknown, Low. EX-0103, EX-0104.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PO-2023-0018</t>
        </is>
      </c>
      <c r="H302" s="7" t="inlineStr">
        <is>
          <t>Confirmed Fact</t>
        </is>
      </c>
      <c r="I302" s="7" t="inlineStr">
        <is>
          <t>Purchasing extract lists PO-2023-0018 covering MD-00090 at $790.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TR-00090</t>
        </is>
      </c>
      <c r="H303" s="7" t="inlineStr">
        <is>
          <t>Confirmed Fact</t>
        </is>
      </c>
      <c r="I303" s="7" t="inlineStr">
        <is>
          <t>equipment_transfer_log TR-00090: 2026-01-22 out, 2026-01-28 in, APR APR-00090.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OFF-00090</t>
        </is>
      </c>
      <c r="H304" s="7" t="inlineStr">
        <is>
          <t>Technician Claim</t>
        </is>
      </c>
      <c r="I304" s="7" t="inlineStr">
        <is>
          <t>Service desk OFF-00090: status Unresolved; return_required=Yes; due 2026-07-15. Ticket alone does not dock MD-00090.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regional_IT_notes.docx searched for MD-00090; nothing usable as location proof.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Mapped MD-00090 to matrix transfer; kept PO-2023-0018 as the auditable record.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No dock scan, disposal certificate, or floor count currently places MD-00090.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EX-0105, EX-0106</t>
        </is>
      </c>
      <c r="H309" s="7" t="inlineStr">
        <is>
          <t>Unresolved Assumption</t>
        </is>
      </c>
      <c r="I309" s="7" t="inlineStr">
        <is>
          <t>Cert packet lists MD-00090 as Missing, site Unknown, Low. EX-0105, EX-0106.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PO-2023-0018</t>
        </is>
      </c>
      <c r="H310" s="7" t="inlineStr">
        <is>
          <t>Confirmed Fact</t>
        </is>
      </c>
      <c r="I310" s="7" t="inlineStr">
        <is>
          <t>Bought MD-00091 (Cisco C9300) on PO-2023-0018 for $950.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TR-00091</t>
        </is>
      </c>
      <c r="H311" s="7" t="inlineStr">
        <is>
          <t>Confirmed Fact</t>
        </is>
      </c>
      <c r="I311" s="7" t="inlineStr">
        <is>
          <t>equipment_transfer_log TR-00091: 2026-02-23 out, 2026-02-24 in, APR APR-00091.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OFF-00091</t>
        </is>
      </c>
      <c r="H312" s="7" t="inlineStr">
        <is>
          <t>Technician Claim</t>
        </is>
      </c>
      <c r="I312" s="7" t="inlineStr">
        <is>
          <t>Service desk OFF-00091: status Unresolved; return_required=Yes; due 2026-07-15. Ticket alone does not dock MD-00091.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regional_IT_notes.docx searched for MD-00091; nothing usable as location proof.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</t>
        </is>
      </c>
      <c r="H315" s="7" t="inlineStr">
        <is>
          <t>Confirmed Fact</t>
        </is>
      </c>
      <c r="I315" s="7" t="inlineStr">
        <is>
          <t>MD-00091: used ITAM_control_matrix.png as a lead on assignment controls, then returned to PO-2023-0018.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No dock scan, disposal certificate, or floor count currently places MD-00091.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EX-0107, EX-0108</t>
        </is>
      </c>
      <c r="H317" s="7" t="inlineStr">
        <is>
          <t>Unresolved Assumption</t>
        </is>
      </c>
      <c r="I317" s="7" t="inlineStr">
        <is>
          <t>After file review, MD-00091 is Missing at Unknown (Low). EX-0107, EX-0108.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PO-2023-0018</t>
        </is>
      </c>
      <c r="H318" s="7" t="inlineStr">
        <is>
          <t>Confirmed Fact</t>
        </is>
      </c>
      <c r="I318" s="7" t="inlineStr">
        <is>
          <t>MD-00092 capitalized path starts at PO-2023-0018 (Aruba 6300M, $6,245).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TR-00092</t>
        </is>
      </c>
      <c r="H319" s="7" t="inlineStr">
        <is>
          <t>Confirmed Fact</t>
        </is>
      </c>
      <c r="I319" s="7" t="inlineStr">
        <is>
          <t>equipment_transfer_log TR-00092: 2026-03-28 out, 2026-03-28 in, APR APR-00092.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OFF-00092</t>
        </is>
      </c>
      <c r="H320" s="7" t="inlineStr">
        <is>
          <t>Technician Claim</t>
        </is>
      </c>
      <c r="I320" s="7" t="inlineStr">
        <is>
          <t>Service desk OFF-00092: status Unresolved; return_required=Yes; due 2026-07-15. Ticket alone does not dock MD-00092.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regional_IT_notes.docx searched for MD-00092; nothing usable as location proof.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 Appendix A</t>
        </is>
      </c>
      <c r="H323" s="7" t="inlineStr">
        <is>
          <t>Confirmed Fact</t>
        </is>
      </c>
      <c r="I323" s="7" t="inlineStr">
        <is>
          <t>Cross-read IT_asset_management_policy.pdf §§4–9 against the financial matrix line for MD-00092.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No dock scan, disposal certificate, or floor count currently places MD-00092.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EX-0109, EX-0110, EX-0111</t>
        </is>
      </c>
      <c r="H325" s="7" t="inlineStr">
        <is>
          <t>Unresolved Assumption</t>
        </is>
      </c>
      <c r="I325" s="7" t="inlineStr">
        <is>
          <t>Working end-state for MD-00092: Missing in Unknown, confidence Low. Exceptions: EX-0109, EX-0110, EX-0111.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PO-2023-0018</t>
        </is>
      </c>
      <c r="H326" s="7" t="inlineStr">
        <is>
          <t>Confirmed Fact</t>
        </is>
      </c>
      <c r="I326" s="7" t="inlineStr">
        <is>
          <t>Acquisition packet for MD-00093: vendor delivery against PO-2023-0018, $1,940.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TR-00093</t>
        </is>
      </c>
      <c r="H327" s="7" t="inlineStr">
        <is>
          <t>Confirmed Fact</t>
        </is>
      </c>
      <c r="I327" s="7" t="inlineStr">
        <is>
          <t>equipment_transfer_log TR-00093: 2026-05-02 out, 2026-05-06 in, APR APR-00093.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OFF-00093</t>
        </is>
      </c>
      <c r="H328" s="7" t="inlineStr">
        <is>
          <t>Technician Claim</t>
        </is>
      </c>
      <c r="I328" s="7" t="inlineStr">
        <is>
          <t>Service desk OFF-00093: status Unresolved; return_required=Yes; due 2026-07-15. Ticket alone does not dock MD-00093.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regional_IT_notes.docx searched for MD-00093; nothing usable as location proof.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IT_asset_management_policy.pdf</t>
        </is>
      </c>
      <c r="H331" s="7" t="inlineStr">
        <is>
          <t>Confirmed Fact</t>
        </is>
      </c>
      <c r="I331" s="7" t="inlineStr">
        <is>
          <t>Opened matrix PNG to the disposal band for MD-00093, then filed PO-2023-0018.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No dock scan, disposal certificate, or floor count currently places MD-00093.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EX-0112, EX-0113</t>
        </is>
      </c>
      <c r="H333" s="7" t="inlineStr">
        <is>
          <t>Unresolved Assumption</t>
        </is>
      </c>
      <c r="I333" s="7" t="inlineStr">
        <is>
          <t>MD-00093 closes at Missing / Unknown (Low). EX-0112, EX-0113.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PO-2023-0018</t>
        </is>
      </c>
      <c r="H334" s="7" t="inlineStr">
        <is>
          <t>Confirmed Fact</t>
        </is>
      </c>
      <c r="I334" s="7" t="inlineStr">
        <is>
          <t>PO-2023-0018 → MD-00094 / Cisco Meraki MS250, basis $655.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TR-00094</t>
        </is>
      </c>
      <c r="H335" s="7" t="inlineStr">
        <is>
          <t>Confirmed Fact</t>
        </is>
      </c>
      <c r="I335" s="7" t="inlineStr">
        <is>
          <t>equipment_transfer_log TR-00094: 2026-06-03 out, 2026-06-04 in, APR APR-00094.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OFF-00094</t>
        </is>
      </c>
      <c r="H336" s="7" t="inlineStr">
        <is>
          <t>Technician Claim</t>
        </is>
      </c>
      <c r="I336" s="7" t="inlineStr">
        <is>
          <t>Service desk OFF-00094: status Unresolved; return_required=Yes; due 2026-07-15. Ticket alone does not dock MD-00094.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regional_IT_notes.docx searched for MD-00094; nothing usable as location proof.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IT_asset_management_policy.pdf §§4–9; ITAM_control_matrix.png</t>
        </is>
      </c>
      <c r="H339" s="7" t="inlineStr">
        <is>
          <t>Confirmed Fact</t>
        </is>
      </c>
      <c r="I339" s="7" t="inlineStr">
        <is>
          <t>Mapped MD-00094 to matrix return; kept PO-2023-0018 as the auditable record.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No dock scan, disposal certificate, or floor count currently places MD-00094.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EX-0114, EX-0115</t>
        </is>
      </c>
      <c r="H341" s="7" t="inlineStr">
        <is>
          <t>Unresolved Assumption</t>
        </is>
      </c>
      <c r="I341" s="7" t="inlineStr">
        <is>
          <t>MD-00094 → Missing; location Unknown; Low. EX-0114, EX-0115.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PO-2023-0018</t>
        </is>
      </c>
      <c r="H342" s="7" t="inlineStr">
        <is>
          <t>Confirmed Fact</t>
        </is>
      </c>
      <c r="I342" s="7" t="inlineStr">
        <is>
          <t>Purchasing extract lists PO-2023-0018 covering MD-00095 at $1,130.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TR-00095</t>
        </is>
      </c>
      <c r="H343" s="7" t="inlineStr">
        <is>
          <t>Confirmed Fact</t>
        </is>
      </c>
      <c r="I343" s="7" t="inlineStr">
        <is>
          <t>equipment_transfer_log TR-00095: 2026-07-08 out, 2026-07-08 in, APR APR-00095.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OFF-00095</t>
        </is>
      </c>
      <c r="H344" s="7" t="inlineStr">
        <is>
          <t>Technician Claim</t>
        </is>
      </c>
      <c r="I344" s="7" t="inlineStr">
        <is>
          <t>Service desk OFF-00095: status Unresolved; return_required=Yes; due 2026-07-15. Ticket alone does not dock MD-00095.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regional_IT_notes.docx searched for MD-00095; nothing usable as location proof.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MD-00095: used ITAM_control_matrix.png as a lead on transfer controls, then returned to PO-2023-0018.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No dock scan, disposal certificate, or floor count currently places MD-00095.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EX-0116, EX-0117</t>
        </is>
      </c>
      <c r="H349" s="7" t="inlineStr">
        <is>
          <t>Unresolved Assumption</t>
        </is>
      </c>
      <c r="I349" s="7" t="inlineStr">
        <is>
          <t>Cert packet lists MD-00095 as Missing, site Unknown, Low. EX-0116, EX-0117.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PO-2023-0018</t>
        </is>
      </c>
      <c r="H350" s="7" t="inlineStr">
        <is>
          <t>Confirmed Fact</t>
        </is>
      </c>
      <c r="I350" s="7" t="inlineStr">
        <is>
          <t>Bought MD-00096 (Cisco C9300) on PO-2023-0018 for $6,425.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TR-00096</t>
        </is>
      </c>
      <c r="H351" s="7" t="inlineStr">
        <is>
          <t>Confirmed Fact</t>
        </is>
      </c>
      <c r="I351" s="7" t="inlineStr">
        <is>
          <t>equipment_transfer_log TR-00096: 2026-01-18 out, 2026-01-19 in, APR APR-00096.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OFF-00096</t>
        </is>
      </c>
      <c r="H352" s="7" t="inlineStr">
        <is>
          <t>Technician Claim</t>
        </is>
      </c>
      <c r="I352" s="7" t="inlineStr">
        <is>
          <t>Service desk OFF-00096: status Unresolved; return_required=Yes; due 2026-07-15. Ticket alone does not dock MD-00096.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regional_IT_notes.docx searched for MD-00096; nothing usable as location proof.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</t>
        </is>
      </c>
      <c r="H355" s="7" t="inlineStr">
        <is>
          <t>Confirmed Fact</t>
        </is>
      </c>
      <c r="I355" s="7" t="inlineStr">
        <is>
          <t>Cross-read IT_asset_management_policy.pdf §§4–9 against the assignment matrix line for MD-00096.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No dock scan, disposal certificate, or floor count currently places MD-00096.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EX-0118, EX-0119</t>
        </is>
      </c>
      <c r="H357" s="7" t="inlineStr">
        <is>
          <t>Unresolved Assumption</t>
        </is>
      </c>
      <c r="I357" s="7" t="inlineStr">
        <is>
          <t>After file review, MD-00096 is Missing at Unknown (Low). EX-0118, EX-0119.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PO-2023-0018</t>
        </is>
      </c>
      <c r="H358" s="7" t="inlineStr">
        <is>
          <t>Confirmed Fact</t>
        </is>
      </c>
      <c r="I358" s="7" t="inlineStr">
        <is>
          <t>MD-00097 capitalized path starts at PO-2023-0018 (Aruba 6300M, $2,120).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TR-00097</t>
        </is>
      </c>
      <c r="H359" s="7" t="inlineStr">
        <is>
          <t>Confirmed Fact</t>
        </is>
      </c>
      <c r="I359" s="7" t="inlineStr">
        <is>
          <t>equipment_transfer_log TR-00097: 2026-01-21 out, 2026-01-27 in, APR APR-00097.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OFF-00097</t>
        </is>
      </c>
      <c r="H360" s="7" t="inlineStr">
        <is>
          <t>Technician Claim</t>
        </is>
      </c>
      <c r="I360" s="7" t="inlineStr">
        <is>
          <t>Service desk OFF-00097: status Unresolved; return_required=Yes; due 2026-07-15. Ticket alone does not dock MD-00097.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regional_IT_notes.docx searched for MD-00097; nothing usable as location proof.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 Appendix A</t>
        </is>
      </c>
      <c r="H363" s="7" t="inlineStr">
        <is>
          <t>Confirmed Fact</t>
        </is>
      </c>
      <c r="I363" s="7" t="inlineStr">
        <is>
          <t>Opened matrix PNG to the financial band for MD-00097, then filed PO-2023-0018.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No dock scan, disposal certificate, or floor count currently places MD-00097.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EX-0120, EX-0121</t>
        </is>
      </c>
      <c r="H365" s="7" t="inlineStr">
        <is>
          <t>Unresolved Assumption</t>
        </is>
      </c>
      <c r="I365" s="7" t="inlineStr">
        <is>
          <t>Working end-state for MD-00097: Missing in Unknown, confidence Low. Exceptions: EX-0120, EX-0121.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PO-2024-0019</t>
        </is>
      </c>
      <c r="H366" s="7" t="inlineStr">
        <is>
          <t>Confirmed Fact</t>
        </is>
      </c>
      <c r="I366" s="7" t="inlineStr">
        <is>
          <t>Acquisition packet for MD-00098: vendor delivery against PO-2024-0019, $520.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TR-00098</t>
        </is>
      </c>
      <c r="H367" s="7" t="inlineStr">
        <is>
          <t>Confirmed Fact</t>
        </is>
      </c>
      <c r="I367" s="7" t="inlineStr">
        <is>
          <t>equipment_transfer_log TR-00098: 2026-02-23 out, 2026-02-24 in, APR APR-00098.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OFF-00098</t>
        </is>
      </c>
      <c r="H368" s="7" t="inlineStr">
        <is>
          <t>Technician Claim</t>
        </is>
      </c>
      <c r="I368" s="7" t="inlineStr">
        <is>
          <t>Service desk OFF-00098: status Unresolved; return_required=Yes; due 2026-07-15. Ticket alone does not dock MD-00098.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regional_IT_notes.docx searched for MD-00098; nothing usable as location proof.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IT_asset_management_policy.pdf</t>
        </is>
      </c>
      <c r="H371" s="7" t="inlineStr">
        <is>
          <t>Confirmed Fact</t>
        </is>
      </c>
      <c r="I371" s="7" t="inlineStr">
        <is>
          <t>Mapped MD-00098 to matrix disposal; kept PO-2024-0019 as the auditable record.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No dock scan, disposal certificate, or floor count currently places MD-00098.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EX-0122, EX-0123</t>
        </is>
      </c>
      <c r="H373" s="7" t="inlineStr">
        <is>
          <t>Unresolved Assumption</t>
        </is>
      </c>
      <c r="I373" s="7" t="inlineStr">
        <is>
          <t>MD-00098 closes at Missing / Unknown (Low). EX-0122, EX-0123.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PO-2024-0019</t>
        </is>
      </c>
      <c r="H374" s="7" t="inlineStr">
        <is>
          <t>Confirmed Fact</t>
        </is>
      </c>
      <c r="I374" s="7" t="inlineStr">
        <is>
          <t>PO-2024-0019 → MD-00099 / Cisco Meraki MS250, basis $995.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TR-00099</t>
        </is>
      </c>
      <c r="H375" s="7" t="inlineStr">
        <is>
          <t>Confirmed Fact</t>
        </is>
      </c>
      <c r="I375" s="7" t="inlineStr">
        <is>
          <t>equipment_transfer_log TR-00099: 2026-03-31 out, 2026-04-02 in, APR APR-00099.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OFF-00099</t>
        </is>
      </c>
      <c r="H376" s="7" t="inlineStr">
        <is>
          <t>Technician Claim</t>
        </is>
      </c>
      <c r="I376" s="7" t="inlineStr">
        <is>
          <t>Service desk OFF-00099: status Unresolved; return_required=Yes; due 2026-07-15. Ticket alone does not dock MD-00099.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regional_IT_notes.docx searched for MD-00099; nothing usable as location proof.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IT_asset_management_policy.pdf §§4–9; ITAM_control_matrix.png</t>
        </is>
      </c>
      <c r="H379" s="7" t="inlineStr">
        <is>
          <t>Confirmed Fact</t>
        </is>
      </c>
      <c r="I379" s="7" t="inlineStr">
        <is>
          <t>MD-00099: used ITAM_control_matrix.png as a lead on return controls, then returned to PO-2024-0019.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No dock scan, disposal certificate, or floor count currently places MD-00099.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EX-0124, EX-0125</t>
        </is>
      </c>
      <c r="H381" s="7" t="inlineStr">
        <is>
          <t>Unresolved Assumption</t>
        </is>
      </c>
      <c r="I381" s="7" t="inlineStr">
        <is>
          <t>MD-00099 → Missing; location Unknown; Low. EX-0124, EX-0125.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PO-2024-0019</t>
        </is>
      </c>
      <c r="H382" s="7" t="inlineStr">
        <is>
          <t>Confirmed Fact</t>
        </is>
      </c>
      <c r="I382" s="7" t="inlineStr">
        <is>
          <t>Acquisition packet for MD-00100: vendor delivery against PO-2024-0019, $6,290.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TR-00100</t>
        </is>
      </c>
      <c r="H383" s="7" t="inlineStr">
        <is>
          <t>Confirmed Fact</t>
        </is>
      </c>
      <c r="I383" s="7" t="inlineStr">
        <is>
          <t>equipment_transfer_log TR-00100: 2026-05-01 out, 2026-05-05 in, APR APR-00100.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OFF-00100</t>
        </is>
      </c>
      <c r="H384" s="7" t="inlineStr">
        <is>
          <t>Technician Claim</t>
        </is>
      </c>
      <c r="I384" s="7" t="inlineStr">
        <is>
          <t>Service desk OFF-00100: status Unresolved; return_required=Yes; due 2026-07-15. Ticket alone does not dock MD-00100.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regional_IT_notes.docx searched for MD-00100; nothing usable as location proof.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IT_asset_management_policy.pdf</t>
        </is>
      </c>
      <c r="H387" s="7" t="inlineStr">
        <is>
          <t>Confirmed Fact</t>
        </is>
      </c>
      <c r="I387" s="7" t="inlineStr">
        <is>
          <t>Mapped MD-00100 to matrix disposal; kept PO-2024-0019 as the auditable record.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No dock scan, disposal certificate, or floor count currently places MD-00100.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EX-0126, EX-0127</t>
        </is>
      </c>
      <c r="H389" s="7" t="inlineStr">
        <is>
          <t>Unresolved Assumption</t>
        </is>
      </c>
      <c r="I389" s="7" t="inlineStr">
        <is>
          <t>MD-00100 closes at Missing / Unknown (Low). EX-0126, EX-0127.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PO-2024-0019</t>
        </is>
      </c>
      <c r="H390" s="7" t="inlineStr">
        <is>
          <t>Confirmed Fact</t>
        </is>
      </c>
      <c r="I390" s="7" t="inlineStr">
        <is>
          <t>PO-2024-0019 → MD-00101 / Microsoft Surface Laptop 5, basis $1,985.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TR-00101</t>
        </is>
      </c>
      <c r="H391" s="7" t="inlineStr">
        <is>
          <t>Confirmed Fact</t>
        </is>
      </c>
      <c r="I391" s="7" t="inlineStr">
        <is>
          <t>equipment_transfer_log TR-00101: 2026-06-05 out, 2026-06-07 in, APR APR-00101.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RET-00101</t>
        </is>
      </c>
      <c r="H392" s="7" t="inlineStr">
        <is>
          <t>Technician Claim</t>
        </is>
      </c>
      <c r="I392" s="7" t="inlineStr">
        <is>
          <t>Service desk RET-00101: status Pending Disposal; return_required=No; due n/a. Ticket alone does not dock MD-00101.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regional_IT_notes.docx searched for MD-00101; nothing usable as location proof.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IT_asset_management_policy.pdf §§4–9; ITAM_control_matrix.png</t>
        </is>
      </c>
      <c r="H395" s="7" t="inlineStr">
        <is>
          <t>Confirmed Fact</t>
        </is>
      </c>
      <c r="I395" s="7" t="inlineStr">
        <is>
          <t>MD-00101: used ITAM_control_matrix.png as a lead on return controls, then returned to PO-2024-0019.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EX-0128, EX-0129</t>
        </is>
      </c>
      <c r="H396" s="7" t="inlineStr">
        <is>
          <t>Unresolved Assumption</t>
        </is>
      </c>
      <c r="I396" s="7" t="inlineStr">
        <is>
          <t>Cert packet lists MD-00101 as Retired/Pending Disposal, site Seattle, Medium. EX-0128, EX-0129.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PO-2024-0019</t>
        </is>
      </c>
      <c r="H397" s="7" t="inlineStr">
        <is>
          <t>Confirmed Fact</t>
        </is>
      </c>
      <c r="I397" s="7" t="inlineStr">
        <is>
          <t>Bought MD-00102 (Lenovo ThinkPad X1 Carbon) on PO-2024-0019 for $700.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TR-00102</t>
        </is>
      </c>
      <c r="H398" s="7" t="inlineStr">
        <is>
          <t>Confirmed Fact</t>
        </is>
      </c>
      <c r="I398" s="7" t="inlineStr">
        <is>
          <t>TR-00102 moved MD-00102 on 2026-01-10; inbound 2026-01-11; APR APR-00102.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RET-00102</t>
        </is>
      </c>
      <c r="H399" s="7" t="inlineStr">
        <is>
          <t>Technician Claim</t>
        </is>
      </c>
      <c r="I399" s="7" t="inlineStr">
        <is>
          <t>Service desk RET-00102: status Pending Disposal; return_required=No; due n/a. Ticket alone does not dock MD-00102.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No corroborated RN line for MD-00102 in regional_IT_notes.docx.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</t>
        </is>
      </c>
      <c r="H402" s="7" t="inlineStr">
        <is>
          <t>Confirmed Fact</t>
        </is>
      </c>
      <c r="I402" s="7" t="inlineStr">
        <is>
          <t>Policy PDF §9 and the matrix assignment cell both flag the same burden of proof on MD-00102.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EX-0130, EX-0131, EX-0132</t>
        </is>
      </c>
      <c r="H403" s="7" t="inlineStr">
        <is>
          <t>Unresolved Assumption</t>
        </is>
      </c>
      <c r="I403" s="7" t="inlineStr">
        <is>
          <t>Working end-state for MD-00102: Retired/Pending Disposal in Atlanta, confidence Medium. Exceptions: EX-0130, EX-0131, EX-0132.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PO-2024-0019</t>
        </is>
      </c>
      <c r="H404" s="7" t="inlineStr">
        <is>
          <t>Confirmed Fact</t>
        </is>
      </c>
      <c r="I404" s="7" t="inlineStr">
        <is>
          <t>Acquisition packet for MD-00103: vendor delivery against PO-2024-0019, $1,175.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TR-00103</t>
        </is>
      </c>
      <c r="H405" s="7" t="inlineStr">
        <is>
          <t>Confirmed Fact</t>
        </is>
      </c>
      <c r="I405" s="7" t="inlineStr">
        <is>
          <t>Custody hop on MD-00103 via TR-00103 (APR APR-00103).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RET-00103</t>
        </is>
      </c>
      <c r="H406" s="7" t="inlineStr">
        <is>
          <t>Technician Claim</t>
        </is>
      </c>
      <c r="I406" s="7" t="inlineStr">
        <is>
          <t>Service desk RET-00103: status Pending Disposal; return_required=No; due n/a. Ticket alone does not dock MD-00103.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Skipped empty RN hit for MD-00103; continued with HR/transfer/ledger files.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IT_asset_management_policy.pdf</t>
        </is>
      </c>
      <c r="H409" s="7" t="inlineStr">
        <is>
          <t>Confirmed Fact</t>
        </is>
      </c>
      <c r="I409" s="7" t="inlineStr">
        <is>
          <t>No image substitute: disposal control for MD-00103 still needs PO-2024-0019 in the packet.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EX-0133, EX-0134</t>
        </is>
      </c>
      <c r="H410" s="7" t="inlineStr">
        <is>
          <t>Unresolved Assumption</t>
        </is>
      </c>
      <c r="I410" s="7" t="inlineStr">
        <is>
          <t>MD-00103 → Retired/Pending Disposal; location Chicago; Medium. EX-0133, EX-0134.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PO-2025-0020</t>
        </is>
      </c>
      <c r="H411" s="7" t="inlineStr">
        <is>
          <t>Confirmed Fact</t>
        </is>
      </c>
      <c r="I411" s="7" t="inlineStr">
        <is>
          <t>Purchasing extract lists PO-2025-0020 covering MD-00104 at $6,470.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TR-00104</t>
        </is>
      </c>
      <c r="H412" s="7" t="inlineStr">
        <is>
          <t>Confirmed Fact</t>
        </is>
      </c>
      <c r="I412" s="7" t="inlineStr">
        <is>
          <t>equipment_transfer_log TR-00104: 2026-03-16 out, 2026-03-18 in, APR APR-00104.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RET-00104</t>
        </is>
      </c>
      <c r="H413" s="7" t="inlineStr">
        <is>
          <t>Technician Claim</t>
        </is>
      </c>
      <c r="I413" s="7" t="inlineStr">
        <is>
          <t>Service desk RET-00104: status Pending Disposal; return_required=No; due n/a. Ticket alone does not dock MD-00104.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regional_IT_notes.docx searched for MD-00104; nothing usable as location proof.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Opened matrix PNG to the transfer band for MD-00104, then filed PO-2025-0020.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EX-0135, EX-0136</t>
        </is>
      </c>
      <c r="H417" s="7" t="inlineStr">
        <is>
          <t>Unresolved Assumption</t>
        </is>
      </c>
      <c r="I417" s="7" t="inlineStr">
        <is>
          <t>After file review, MD-00104 is Retired/Pending Disposal at Dallas (Medium). EX-0135, EX-0136.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PO-2025-0020</t>
        </is>
      </c>
      <c r="H418" s="7" t="inlineStr">
        <is>
          <t>Confirmed Fact</t>
        </is>
      </c>
      <c r="I418" s="7" t="inlineStr">
        <is>
          <t>MD-00105 capitalized path starts at PO-2025-0020 (Dell Latitude 7440, $1,850).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TR-00105</t>
        </is>
      </c>
      <c r="H419" s="7" t="inlineStr">
        <is>
          <t>Confirmed Fact</t>
        </is>
      </c>
      <c r="I419" s="7" t="inlineStr">
        <is>
          <t>TR-00105 moved MD-00105 on 2026-04-20; inbound 2026-04-21; APR APR-00105.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RET-00105</t>
        </is>
      </c>
      <c r="H420" s="7" t="inlineStr">
        <is>
          <t>Technician Claim</t>
        </is>
      </c>
      <c r="I420" s="7" t="inlineStr">
        <is>
          <t>Service desk RET-00105: status Pending Disposal; return_required=No; due n/a. Ticket alone does not dock MD-00105.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No corroborated RN line for MD-00105 in regional_IT_notes.docx.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 Appendix A</t>
        </is>
      </c>
      <c r="H423" s="7" t="inlineStr">
        <is>
          <t>Confirmed Fact</t>
        </is>
      </c>
      <c r="I423" s="7" t="inlineStr">
        <is>
          <t>Appendix A financial expectations for MD-00105 come from the matrix PNG — not a substitute for PO-2025-0020.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EX-0137, EX-0138</t>
        </is>
      </c>
      <c r="H424" s="7" t="inlineStr">
        <is>
          <t>Unresolved Assumption</t>
        </is>
      </c>
      <c r="I424" s="7" t="inlineStr">
        <is>
          <t>MD-00105 closes at Retired/Pending Disposal / Denver (Medium). EX-0137, EX-0138.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PO-2025-0020</t>
        </is>
      </c>
      <c r="H425" s="7" t="inlineStr">
        <is>
          <t>Confirmed Fact</t>
        </is>
      </c>
      <c r="I425" s="7" t="inlineStr">
        <is>
          <t>PO-2025-0020 → MD-00106 / HP EliteBook 840 G10, basis $565.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TR-00106</t>
        </is>
      </c>
      <c r="H426" s="7" t="inlineStr">
        <is>
          <t>Confirmed Fact</t>
        </is>
      </c>
      <c r="I426" s="7" t="inlineStr">
        <is>
          <t>Custody hop on MD-00106 via TR-00106 (APR APR-00106).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RET-00106</t>
        </is>
      </c>
      <c r="H427" s="7" t="inlineStr">
        <is>
          <t>Technician Claim</t>
        </is>
      </c>
      <c r="I427" s="7" t="inlineStr">
        <is>
          <t>Service desk RET-00106: status Pending Disposal; return_required=No; due n/a. Ticket alone does not dock MD-00106.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Skipped empty RN hit for MD-00106; continued with HR/transfer/ledger files.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IT_asset_management_policy.pdf §§4–9; ITAM_control_matrix.png</t>
        </is>
      </c>
      <c r="H430" s="7" t="inlineStr">
        <is>
          <t>Confirmed Fact</t>
        </is>
      </c>
      <c r="I430" s="7" t="inlineStr">
        <is>
          <t>Control matrix return column consulted for MD-00106; dock/image leads still subordinate to PO-2025-0020.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EX-0139, EX-0140</t>
        </is>
      </c>
      <c r="H431" s="7" t="inlineStr">
        <is>
          <t>Unresolved Assumption</t>
        </is>
      </c>
      <c r="I431" s="7" t="inlineStr">
        <is>
          <t>Cert packet lists MD-00106 as Retired/Pending Disposal, site New York, Medium. EX-0139, EX-0140.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PO-2022-0021</t>
        </is>
      </c>
      <c r="H432" s="7" t="inlineStr">
        <is>
          <t>Confirmed Fact</t>
        </is>
      </c>
      <c r="I432" s="7" t="inlineStr">
        <is>
          <t>Bought MD-00107 (Microsoft Surface Laptop 5) on PO-2022-0021 for $1,040.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TR-00107</t>
        </is>
      </c>
      <c r="H433" s="7" t="inlineStr">
        <is>
          <t>Confirmed Fact</t>
        </is>
      </c>
      <c r="I433" s="7" t="inlineStr">
        <is>
          <t>equipment_transfer_log TR-00107: 2026-06-26 out, 2026-06-27 in, APR APR-00107.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RET-00107</t>
        </is>
      </c>
      <c r="H434" s="7" t="inlineStr">
        <is>
          <t>Technician Claim</t>
        </is>
      </c>
      <c r="I434" s="7" t="inlineStr">
        <is>
          <t>Service desk RET-00107: status Pending Disposal; return_required=No; due n/a. Ticket alone does not dock MD-00107.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regional_IT_notes.docx searched for MD-00107; nothing usable as location proof.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</t>
        </is>
      </c>
      <c r="H437" s="7" t="inlineStr">
        <is>
          <t>Confirmed Fact</t>
        </is>
      </c>
      <c r="I437" s="7" t="inlineStr">
        <is>
          <t>MD-00107: used ITAM_control_matrix.png as a lead on assignment controls, then returned to PO-2022-0021.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EX-0141, EX-0142</t>
        </is>
      </c>
      <c r="H438" s="7" t="inlineStr">
        <is>
          <t>Unresolved Assumption</t>
        </is>
      </c>
      <c r="I438" s="7" t="inlineStr">
        <is>
          <t>Working end-state for MD-00107: Retired/Pending Disposal in Seattle, confidence Medium. Exceptions: EX-0141, EX-0142.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PO-2022-0021</t>
        </is>
      </c>
      <c r="H439" s="7" t="inlineStr">
        <is>
          <t>Confirmed Fact</t>
        </is>
      </c>
      <c r="I439" s="7" t="inlineStr">
        <is>
          <t>Acquisition packet for MD-00108: vendor delivery against PO-2022-0021, $6,335.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TR-00108</t>
        </is>
      </c>
      <c r="H440" s="7" t="inlineStr">
        <is>
          <t>Confirmed Fact</t>
        </is>
      </c>
      <c r="I440" s="7" t="inlineStr">
        <is>
          <t>TR-00108 moved MD-00108 on 2026-01-30; inbound 2026-01-30; APR APR-00108.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RET-00108</t>
        </is>
      </c>
      <c r="H441" s="7" t="inlineStr">
        <is>
          <t>Technician Claim</t>
        </is>
      </c>
      <c r="I441" s="7" t="inlineStr">
        <is>
          <t>Service desk RET-00108: status Pending Disposal; return_required=No; due n/a. Ticket alone does not dock MD-00108.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No corroborated RN line for MD-00108 in regional_IT_notes.docx.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IT_asset_management_policy.pdf</t>
        </is>
      </c>
      <c r="H444" s="7" t="inlineStr">
        <is>
          <t>Confirmed Fact</t>
        </is>
      </c>
      <c r="I444" s="7" t="inlineStr">
        <is>
          <t>Policy PDF §9 and the matrix disposal cell both flag the same burden of proof on MD-00108.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EX-0143, EX-0144</t>
        </is>
      </c>
      <c r="H445" s="7" t="inlineStr">
        <is>
          <t>Unresolved Assumption</t>
        </is>
      </c>
      <c r="I445" s="7" t="inlineStr">
        <is>
          <t>MD-00108 → Retired/Pending Disposal; location Atlanta; Medium. EX-0143, EX-0144.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PO-2022-0021</t>
        </is>
      </c>
      <c r="H446" s="7" t="inlineStr">
        <is>
          <t>Confirmed Fact</t>
        </is>
      </c>
      <c r="I446" s="7" t="inlineStr">
        <is>
          <t>Purchasing extract lists PO-2022-0021 covering MD-00109 at $2,030.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TR-00109</t>
        </is>
      </c>
      <c r="H447" s="7" t="inlineStr">
        <is>
          <t>Confirmed Fact</t>
        </is>
      </c>
      <c r="I447" s="7" t="inlineStr">
        <is>
          <t>Custody hop on MD-00109 via TR-00109 (APR APR-00109).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RET-00109</t>
        </is>
      </c>
      <c r="H448" s="7" t="inlineStr">
        <is>
          <t>Technician Claim</t>
        </is>
      </c>
      <c r="I448" s="7" t="inlineStr">
        <is>
          <t>Service desk RET-00109: status Pending Disposal; return_required=No; due n/a. Ticket alone does not dock MD-00109.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Skipped empty RN hit for MD-00109; continued with HR/transfer/ledger files.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No image substitute: transfer control for MD-00109 still needs PO-2022-0021 in the packet.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EX-0145, EX-0146</t>
        </is>
      </c>
      <c r="H452" s="7" t="inlineStr">
        <is>
          <t>Unresolved Assumption</t>
        </is>
      </c>
      <c r="I452" s="7" t="inlineStr">
        <is>
          <t>After file review, MD-00109 is Retired/Pending Disposal at Chicago (Medium). EX-0145, EX-0146.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PO-2022-0021</t>
        </is>
      </c>
      <c r="H453" s="7" t="inlineStr">
        <is>
          <t>Confirmed Fact</t>
        </is>
      </c>
      <c r="I453" s="7" t="inlineStr">
        <is>
          <t>Bought MD-00110 (Dell Latitude 7440) on PO-2022-0021 for $745.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TR-00110</t>
        </is>
      </c>
      <c r="H454" s="7" t="inlineStr">
        <is>
          <t>Confirmed Fact</t>
        </is>
      </c>
      <c r="I454" s="7" t="inlineStr">
        <is>
          <t>equipment_transfer_log TR-00110: 2026-03-07 out, 2026-03-08 in, APR APR-00110.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RET-00110</t>
        </is>
      </c>
      <c r="H455" s="7" t="inlineStr">
        <is>
          <t>Technician Claim</t>
        </is>
      </c>
      <c r="I455" s="7" t="inlineStr">
        <is>
          <t>Service desk RET-00110: status Pending Disposal; return_required=No; due n/a. Ticket alone does not dock MD-00110.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regional_IT_notes.docx searched for MD-00110; nothing usable as location proof.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</t>
        </is>
      </c>
      <c r="H458" s="7" t="inlineStr">
        <is>
          <t>Confirmed Fact</t>
        </is>
      </c>
      <c r="I458" s="7" t="inlineStr">
        <is>
          <t>Cross-read IT_asset_management_policy.pdf §§4–9 against the assignment matrix line for MD-00110.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EX-0147, EX-0148</t>
        </is>
      </c>
      <c r="H459" s="7" t="inlineStr">
        <is>
          <t>Unresolved Assumption</t>
        </is>
      </c>
      <c r="I459" s="7" t="inlineStr">
        <is>
          <t>Working end-state for MD-00110: Retired/Pending Disposal in Dallas, confidence Medium. Exceptions: EX-0147, EX-0148.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PO-2024-0024</t>
        </is>
      </c>
      <c r="H460" s="7" t="inlineStr">
        <is>
          <t>Confirmed Fact</t>
        </is>
      </c>
      <c r="I460" s="7" t="inlineStr">
        <is>
          <t>Purchasing extract lists PO-2024-0024 covering MD-00114 at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TR-00114</t>
        </is>
      </c>
      <c r="H461" s="7" t="inlineStr">
        <is>
          <t>Confirmed Fact</t>
        </is>
      </c>
      <c r="I461" s="7" t="inlineStr">
        <is>
          <t>TR-00114 moved MD-00114 on 2026-01-22; inbound 2026-01-22; APR APR-00114.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RET-00114</t>
        </is>
      </c>
      <c r="H462" s="7" t="inlineStr">
        <is>
          <t>Technician Claim</t>
        </is>
      </c>
      <c r="I462" s="7" t="inlineStr">
        <is>
          <t>Service desk RET-00114: status Closed; return_required=No; due n/a. Ticket alone does not dock MD-00114.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TR-00114</t>
        </is>
      </c>
      <c r="H464" s="7" t="inlineStr">
        <is>
          <t>Unresolved Assumption</t>
        </is>
      </c>
      <c r="I464" s="7" t="inlineStr">
        <is>
          <t>Recycler move for MD-00114 lacks matching disposal certificate (TR-00114).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regional_IT_notes.docx searched for MD-00114; nothing usable as location proof.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IT_asset_management_policy.pdf §§4–9; ITAM_control_matrix.png</t>
        </is>
      </c>
      <c r="H466" s="7" t="inlineStr">
        <is>
          <t>Confirmed Fact</t>
        </is>
      </c>
      <c r="I466" s="7" t="inlineStr">
        <is>
          <t>Cross-read IT_asset_management_policy.pdf §§4–9 against the return matrix line for MD-00114.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EX-0149, EX-0150</t>
        </is>
      </c>
      <c r="H467" s="7" t="inlineStr">
        <is>
          <t>Unresolved Assumption</t>
        </is>
      </c>
      <c r="I467" s="7" t="inlineStr">
        <is>
          <t>Critical certification blocker — MD-00114 remains Retired/Pending Disposal at Disposed (certificate missing), confidence Low. EX-0149, EX-0150.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PO-2024-0024</t>
        </is>
      </c>
      <c r="H468" s="7" t="inlineStr">
        <is>
          <t>Confirmed Fact</t>
        </is>
      </c>
      <c r="I468" s="7" t="inlineStr">
        <is>
          <t>Acquisition packet for MD-00118: vendor delivery against PO-2024-0024, $790.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TR-00118</t>
        </is>
      </c>
      <c r="H469" s="7" t="inlineStr">
        <is>
          <t>Confirmed Fact</t>
        </is>
      </c>
      <c r="I469" s="7" t="inlineStr">
        <is>
          <t>TR-00118 moved MD-00118 on 2026-06-03; inbound 2026-06-04; APR APR-00118.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RET-00118</t>
        </is>
      </c>
      <c r="H470" s="7" t="inlineStr">
        <is>
          <t>Technician Claim</t>
        </is>
      </c>
      <c r="I470" s="7" t="inlineStr">
        <is>
          <t>Service desk RET-00118: status Closed; return_required=No; due n/a. Ticket alone does not dock MD-00118.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TR-00118</t>
        </is>
      </c>
      <c r="H472" s="7" t="inlineStr">
        <is>
          <t>Unresolved Assumption</t>
        </is>
      </c>
      <c r="I472" s="7" t="inlineStr">
        <is>
          <t>Recycler move for MD-00118 lacks matching disposal certificate (TR-00118).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regional_IT_notes.docx searched for MD-00118; nothing usable as location proof.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 Appendix A</t>
        </is>
      </c>
      <c r="H474" s="7" t="inlineStr">
        <is>
          <t>Confirmed Fact</t>
        </is>
      </c>
      <c r="I474" s="7" t="inlineStr">
        <is>
          <t>Cross-read IT_asset_management_policy.pdf §§4–9 against the financial matrix line for MD-00118.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EX-0151, EX-0152</t>
        </is>
      </c>
      <c r="H475" s="7" t="inlineStr">
        <is>
          <t>Unresolved Assumption</t>
        </is>
      </c>
      <c r="I475" s="7" t="inlineStr">
        <is>
          <t>Critical certification blocker — MD-00118 remains Retired/Pending Disposal at Disposed (certificate missing), confidence Low. EX-0151, EX-0152.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PO-2024-0024</t>
        </is>
      </c>
      <c r="H476" s="7" t="inlineStr">
        <is>
          <t>Confirmed Fact</t>
        </is>
      </c>
      <c r="I476" s="7" t="inlineStr">
        <is>
          <t>PO-2024-0024 → MD-00119 / Lenovo ThinkPad X1 Carbon, basis $950.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TR-00119</t>
        </is>
      </c>
      <c r="H477" s="7" t="inlineStr">
        <is>
          <t>Confirmed Fact</t>
        </is>
      </c>
      <c r="I477" s="7" t="inlineStr">
        <is>
          <t>TR-00119 moved MD-00119 on 2026-07-08; inbound 2026-07-09; APR APR-00119.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RET-00119</t>
        </is>
      </c>
      <c r="H478" s="7" t="inlineStr">
        <is>
          <t>Technician Claim</t>
        </is>
      </c>
      <c r="I478" s="7" t="inlineStr">
        <is>
          <t>Service desk RET-00119: status Closed; return_required=No; due n/a. Ticket alone does not dock MD-00119.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DC-00119</t>
        </is>
      </c>
      <c r="H480" s="7" t="inlineStr">
        <is>
          <t>Confirmed Fact</t>
        </is>
      </c>
      <c r="I480" s="7" t="inlineStr">
        <is>
          <t>Disposal certificate DC-00119 verified for MD-00119.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regional_IT_notes.docx searched for MD-00119; nothing usable as location proof.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IT_asset_management_policy.pdf</t>
        </is>
      </c>
      <c r="H482" s="7" t="inlineStr">
        <is>
          <t>Confirmed Fact</t>
        </is>
      </c>
      <c r="I482" s="7" t="inlineStr">
        <is>
          <t>Opened matrix PNG to the disposal band for MD-00119, then filed PO-2024-0024.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EX-0153</t>
        </is>
      </c>
      <c r="H483" s="7" t="inlineStr">
        <is>
          <t>Confirmed Fact</t>
        </is>
      </c>
      <c r="I483" s="7" t="inlineStr">
        <is>
          <t>MD-00119 → Disposed; location Disposed; High. EX-0153.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PO-2022-0026</t>
        </is>
      </c>
      <c r="H484" s="7" t="inlineStr">
        <is>
          <t>Confirmed Fact</t>
        </is>
      </c>
      <c r="I484" s="7" t="inlineStr">
        <is>
          <t>MD-00127 capitalized path starts at PO-2022-0026 (Dell Latitude 7440, $995).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</t>
        </is>
      </c>
      <c r="H485" s="7" t="inlineStr">
        <is>
          <t>Confirmed Fact</t>
        </is>
      </c>
      <c r="I485" s="7" t="inlineStr">
        <is>
          <t>Policy PDF §9 and the matrix assignment cell both flag the same burden of proof on MD-00127.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TR-00127</t>
        </is>
      </c>
      <c r="H486" s="7" t="inlineStr">
        <is>
          <t>Unresolved Assumption</t>
        </is>
      </c>
      <c r="I486" s="7" t="inlineStr">
        <is>
          <t>Custody hop on MD-00127 via TR-00127 (approval blank).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EX-0160</t>
        </is>
      </c>
      <c r="H487" s="7" t="inlineStr">
        <is>
          <t>Confirmed Fact</t>
        </is>
      </c>
      <c r="I487" s="7" t="inlineStr">
        <is>
          <t>After file review, MD-00127 is In Use at Denver (Medium). EX-0160.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PO-2023-0023</t>
        </is>
      </c>
      <c r="H488" s="7" t="inlineStr">
        <is>
          <t>Confirmed Fact</t>
        </is>
      </c>
      <c r="I488" s="7" t="inlineStr">
        <is>
          <t>PO-2023-0023 → MD-00130 / Lenovo ThinkPad T14, basis $700.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IT_asset_management_policy.pdf</t>
        </is>
      </c>
      <c r="H489" s="7" t="inlineStr">
        <is>
          <t>Confirmed Fact</t>
        </is>
      </c>
      <c r="I489" s="7" t="inlineStr">
        <is>
          <t>MD-00130: used ITAM_control_matrix.png as a lead on disposal controls, then returned to PO-2023-0023.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TR-00130</t>
        </is>
      </c>
      <c r="H490" s="7" t="inlineStr">
        <is>
          <t>Confirmed Fact</t>
        </is>
      </c>
      <c r="I490" s="7" t="inlineStr">
        <is>
          <t>TR-00130 moved MD-00130 on 2026-05-22; inbound 2026-05-28; APR APR-00130.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EX-0161</t>
        </is>
      </c>
      <c r="H491" s="7" t="inlineStr">
        <is>
          <t>Confirmed Fact</t>
        </is>
      </c>
      <c r="I491" s="7" t="inlineStr">
        <is>
          <t>MD-00130 closes at In Use / Atlanta (High). EX-0161.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PO-2023-0023</t>
        </is>
      </c>
      <c r="H492" s="7" t="inlineStr">
        <is>
          <t>Confirmed Fact</t>
        </is>
      </c>
      <c r="I492" s="7" t="inlineStr">
        <is>
          <t>PO-2023-0023 → MD-00131 / MacBook Pro 14, basis $1,175.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TR-00131</t>
        </is>
      </c>
      <c r="H493" s="7" t="inlineStr">
        <is>
          <t>Confirmed Fact</t>
        </is>
      </c>
      <c r="I493" s="7" t="inlineStr">
        <is>
          <t>equipment_transfer_log TR-00131: 2026-06-26 out, 2026-06-28 in, APR APR-00131.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 Appendix A</t>
        </is>
      </c>
      <c r="H494" s="7" t="inlineStr">
        <is>
          <t>Confirmed Fact</t>
        </is>
      </c>
      <c r="I494" s="7" t="inlineStr">
        <is>
          <t>MD-00131: used ITAM_control_matrix.png as a lead on financial controls, then returned to PO-2023-0023.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EX-0162</t>
        </is>
      </c>
      <c r="H495" s="7" t="inlineStr">
        <is>
          <t>Confirmed Fact</t>
        </is>
      </c>
      <c r="I495" s="7" t="inlineStr">
        <is>
          <t>MD-00131 closes at In Use / Chicago (High). EX-0162.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PO-2023-0022</t>
        </is>
      </c>
      <c r="H496" s="7" t="inlineStr">
        <is>
          <t>Confirmed Fact</t>
        </is>
      </c>
      <c r="I496" s="7" t="inlineStr">
        <is>
          <t>PO-2023-0022 → MD-00132 / Dell Latitude 7440, basis $6,470.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TR-00132</t>
        </is>
      </c>
      <c r="H497" s="7" t="inlineStr">
        <is>
          <t>Confirmed Fact</t>
        </is>
      </c>
      <c r="I497" s="7" t="inlineStr">
        <is>
          <t>TR-00132 moved MD-00132 on 2026-01-30; inbound 2026-01-31; APR APR-00132.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 Appendix A</t>
        </is>
      </c>
      <c r="H498" s="7" t="inlineStr">
        <is>
          <t>Confirmed Fact</t>
        </is>
      </c>
      <c r="I498" s="7" t="inlineStr">
        <is>
          <t>ITAM-001 figure reference (financial) noted for MD-00132; filing continues under PO-2023-0022.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EX-0163</t>
        </is>
      </c>
      <c r="H499" s="7" t="inlineStr">
        <is>
          <t>Confirmed Fact</t>
        </is>
      </c>
      <c r="I499" s="7" t="inlineStr">
        <is>
          <t>MD-00132 closes at In Use / Dallas (High). EX-0163.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regional_IT_notes.docx</t>
        </is>
      </c>
      <c r="H500" t="inlineStr">
        <is>
          <t>Technician Claim</t>
        </is>
      </c>
      <c r="I500" t="inlineStr">
        <is>
          <t>RN-0132 claimed MD-00132 was expensed under threshold; rejected because $6,470 exceeds the capitalization gate and no FA row exists.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PO-2023-0022; fixed_asset_ledger.xlsx</t>
        </is>
      </c>
      <c r="H501" t="inlineStr">
        <is>
          <t>Unresolved Assumption</t>
        </is>
      </c>
      <c r="I501" t="inlineStr">
        <is>
          <t>MD-00132 / PO-2023-0022: capital-qualifying with no FA row; blocks certification until capitalized or formally written off.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- sum of acquisition cost (132 assets)</t>
        </is>
      </c>
      <c r="B5" s="5">
        <f>SUM('Corrected Register'!M5:M200)</f>
        <v>332115</v>
      </c>
    </row>
    <row r="6">
      <c r="A6" s="4" t="inlineStr">
        <is>
          <t>Fixed-asset ledger - sum of acquisition cost (129 assets)</t>
        </is>
      </c>
      <c r="B6" s="5">
        <f>SUM('Source Ledger'!E5:E200)</f>
        <v>324740</v>
      </c>
    </row>
    <row r="7">
      <c r="A7" s="4" t="inlineStr">
        <is>
          <t>Acquisition cost difference (register − ledger)</t>
        </is>
      </c>
      <c r="B7" s="5">
        <f>B5-B6</f>
        <v>7375</v>
      </c>
    </row>
    <row r="8">
      <c r="A8" s="4" t="inlineStr">
        <is>
          <t>Corrected register - remaining book value (ledger NBV where present; blank if missing)</t>
        </is>
      </c>
      <c r="B8" s="5">
        <f>SUM('Corrected Register'!N5:N200)</f>
        <v>61526.6</v>
      </c>
    </row>
    <row r="9">
      <c r="A9" s="4" t="inlineStr">
        <is>
          <t>Ledger - net book value, Active status only</t>
        </is>
      </c>
      <c r="B9" s="5">
        <f>SUMIF('Source Ledger'!H5:H200,"Active",'Source Ledger'!G5:G200)</f>
        <v>61526.6</v>
      </c>
    </row>
    <row r="10">
      <c r="A10" s="4" t="inlineStr">
        <is>
          <t>Ledger - net book value, all statuses including Disposed</t>
        </is>
      </c>
      <c r="B10" s="5">
        <f>SUM('Source Ledger'!G5:G200)</f>
        <v>61526.6</v>
      </c>
    </row>
    <row r="11">
      <c r="A11" s="4" t="inlineStr">
        <is>
          <t>Assets with matching acquisition cost (register vs ledger)</t>
        </is>
      </c>
      <c r="B11" s="5" t="n">
        <v>123</v>
      </c>
    </row>
    <row r="12">
      <c r="A12" s="4" t="inlineStr">
        <is>
          <t>Assets with acquisition cost mismatch</t>
        </is>
      </c>
      <c r="B12" s="5" t="n">
        <v>6</v>
      </c>
    </row>
    <row r="13">
      <c r="A13" s="4" t="inlineStr">
        <is>
          <t>Assets on inventory missing from ledger</t>
        </is>
      </c>
      <c r="B13" s="5" t="n">
        <v>3</v>
      </c>
    </row>
    <row r="16">
      <c r="A16" s="6" t="inlineStr">
        <is>
          <t>Explanation of remaining differences</t>
        </is>
      </c>
    </row>
    <row r="17" ht="48" customHeight="1">
      <c r="A17" s="13" t="inlineStr">
        <is>
          <t>1) Three assets (MD-00130, MD-00131, MD-00132) appear on the operational register and purchase orders but have no fixed-asset ledger row. Combined register acquisition cost = $8,345. MD-00130 ($700) and MD-00131 ($1,175) sit on PO-2023-0023 (capitalization_approved=No) under the $2,500 gate - expected FA absence. MD-00132 ($6,470) is on PO-2023-0022 and is capital-qualifying - Critical gap.</t>
        </is>
      </c>
    </row>
    <row r="18" ht="48" customHeight="1">
      <c r="A18" s="13" t="inlineStr">
        <is>
          <t>2)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section 9 these are High remediation items, not sole Critical blockers. Separately, FA-000017 shows accumulated depreciation $2,160 against acquisition cost $2,070 (over-depreciation $90) with NBV reported as $0.</t>
        </is>
      </c>
    </row>
    <row r="19" ht="48" customHeight="1">
      <c r="A19" s="13" t="inlineStr">
        <is>
          <t>3)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0" ht="48" customHeight="1">
      <c r="A20" s="13" t="inlineStr">
        <is>
          <t>4) FA-000034 (MD-00034) NBV is $479.88 (acquisition $930.00 minus accumulated depreciation $450.12). Aggregate Active ledger NBV control total is $61,526.60.</t>
        </is>
      </c>
    </row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>
        <f>IFERROR(XLOOKUP(A24,'Corrected Register'!$A$5:$A$200,'Corrected Register'!$M$5:$M$200),"")</f>
        <v/>
      </c>
      <c r="D24" s="7">
        <f>IFERROR(XLOOKUP(A24,'Corrected Register'!$A$5:$A$200,'Corrected Register'!$T$5:$T$200),"")</f>
        <v/>
      </c>
      <c r="E24" s="7">
        <f>IF(OR(C24="",D24=""),"",D24-C24)</f>
        <v/>
      </c>
      <c r="F24" s="7">
        <f>IFERROR(XLOOKUP(A24,'Corrected Register'!$A$5:$A$200,'Corrected Register'!$N$5:$N$200),"")</f>
        <v/>
      </c>
      <c r="G24" s="7">
        <f>IFERROR(XLOOKUP(A24,'Source Ledger'!$B$5:$B$200,'Source Ledger'!$G$5:$G$200),"")</f>
        <v/>
      </c>
      <c r="H24" s="7" t="inlineStr">
        <is>
          <t>Ledger FA-000017 cost exceeds register by $85 (validate PO-2025-0004). Accumulated depreciation $2,160 exceeds acquisition cost $2,070 by $90.</t>
        </is>
      </c>
    </row>
    <row r="25">
      <c r="A25" s="7" t="inlineStr">
        <is>
          <t>MD-00034</t>
        </is>
      </c>
      <c r="B25" s="7" t="inlineStr">
        <is>
          <t>Acquisition cost mismatch; FA-000034 NBV $479.88 (acq $930 − accum dep $450.12)</t>
        </is>
      </c>
      <c r="C25" s="7">
        <f>IFERROR(XLOOKUP(A25,'Corrected Register'!$A$5:$A$200,'Corrected Register'!$M$5:$M$200),"")</f>
        <v/>
      </c>
      <c r="D25" s="7">
        <f>IFERROR(XLOOKUP(A25,'Corrected Register'!$A$5:$A$200,'Corrected Register'!$T$5:$T$200),"")</f>
        <v/>
      </c>
      <c r="E25" s="7">
        <f>IF(OR(C25="",D25=""),"",D25-C25)</f>
        <v/>
      </c>
      <c r="F25" s="7">
        <f>IFERROR(XLOOKUP(A25,'Corrected Register'!$A$5:$A$200,'Corrected Register'!$N$5:$N$200),"")</f>
        <v/>
      </c>
      <c r="G25" s="7">
        <f>IFERROR(XLOOKUP(A25,'Source Ledger'!$B$5:$B$200,'Source Ledger'!$G$5:$G$200),"")</f>
        <v/>
      </c>
      <c r="H25" s="7" t="inlineStr">
        <is>
          <t>Ledger FA-000034 cost exceeds register by $140. Validate against PO-2024-0007.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>
        <f>IFERROR(XLOOKUP(A26,'Corrected Register'!$A$5:$A$200,'Corrected Register'!$M$5:$M$200),"")</f>
        <v/>
      </c>
      <c r="D26" s="7">
        <f>IFERROR(XLOOKUP(A26,'Corrected Register'!$A$5:$A$200,'Corrected Register'!$T$5:$T$200),"")</f>
        <v/>
      </c>
      <c r="E26" s="7">
        <f>IF(OR(C26="",D26=""),"",D26-C26)</f>
        <v/>
      </c>
      <c r="F26" s="7">
        <f>IFERROR(XLOOKUP(A26,'Corrected Register'!$A$5:$A$200,'Corrected Register'!$N$5:$N$200),"")</f>
        <v/>
      </c>
      <c r="G26" s="7">
        <f>IFERROR(XLOOKUP(A26,'Source Ledger'!$B$5:$B$200,'Source Ledger'!$G$5:$G$200),"")</f>
        <v/>
      </c>
      <c r="H26" s="7" t="inlineStr">
        <is>
          <t>Ledger FA-000051 cost exceeds register by $210. Validate against PO-2023-0010.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>
        <f>IFERROR(XLOOKUP(A27,'Corrected Register'!$A$5:$A$200,'Corrected Register'!$M$5:$M$200),"")</f>
        <v/>
      </c>
      <c r="D27" s="7">
        <f>IFERROR(XLOOKUP(A27,'Corrected Register'!$A$5:$A$200,'Corrected Register'!$T$5:$T$200),"")</f>
        <v/>
      </c>
      <c r="E27" s="7">
        <f>IF(OR(C27="",D27=""),"",D27-C27)</f>
        <v/>
      </c>
      <c r="F27" s="7">
        <f>IFERROR(XLOOKUP(A27,'Corrected Register'!$A$5:$A$200,'Corrected Register'!$N$5:$N$200),"")</f>
        <v/>
      </c>
      <c r="G27" s="7">
        <f>IFERROR(XLOOKUP(A27,'Source Ledger'!$B$5:$B$200,'Source Ledger'!$G$5:$G$200),"")</f>
        <v/>
      </c>
      <c r="H27" s="7" t="inlineStr">
        <is>
          <t>Ledger FA-000068 cost exceeds register by $55. Validate against PO-2022-0013.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>
        <f>IFERROR(XLOOKUP(A28,'Corrected Register'!$A$5:$A$200,'Corrected Register'!$M$5:$M$200),"")</f>
        <v/>
      </c>
      <c r="D28" s="7">
        <f>IFERROR(XLOOKUP(A28,'Corrected Register'!$A$5:$A$200,'Corrected Register'!$T$5:$T$200),"")</f>
        <v/>
      </c>
      <c r="E28" s="7">
        <f>IF(OR(C28="",D28=""),"",D28-C28)</f>
        <v/>
      </c>
      <c r="F28" s="7">
        <f>IFERROR(XLOOKUP(A28,'Corrected Register'!$A$5:$A$200,'Corrected Register'!$N$5:$N$200),"")</f>
        <v/>
      </c>
      <c r="G28" s="7">
        <f>IFERROR(XLOOKUP(A28,'Source Ledger'!$B$5:$B$200,'Source Ledger'!$G$5:$G$200),"")</f>
        <v/>
      </c>
      <c r="H28" s="7" t="inlineStr">
        <is>
          <t>Ledger FA-000085 cost exceeds register by $195. Validate against PO-2025-0016.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>
        <f>IFERROR(XLOOKUP(A29,'Corrected Register'!$A$5:$A$200,'Corrected Register'!$M$5:$M$200),"")</f>
        <v/>
      </c>
      <c r="D29" s="7">
        <f>IFERROR(XLOOKUP(A29,'Corrected Register'!$A$5:$A$200,'Corrected Register'!$T$5:$T$200),"")</f>
        <v/>
      </c>
      <c r="E29" s="7">
        <f>IF(OR(C29="",D29=""),"",D29-C29)</f>
        <v/>
      </c>
      <c r="F29" s="7">
        <f>IFERROR(XLOOKUP(A29,'Corrected Register'!$A$5:$A$200,'Corrected Register'!$N$5:$N$200),"")</f>
        <v/>
      </c>
      <c r="G29" s="7">
        <f>IFERROR(XLOOKUP(A29,'Source Ledger'!$B$5:$B$200,'Source Ledger'!$G$5:$G$200),"")</f>
        <v/>
      </c>
      <c r="H29" s="7" t="inlineStr">
        <is>
          <t>Ledger FA-000102 cost exceeds register by $120. Validate against PO-2024-0019.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>
        <f>IFERROR(XLOOKUP(A30,'Corrected Register'!$A$5:$A$200,'Corrected Register'!$M$5:$M$200),"")</f>
        <v/>
      </c>
      <c r="D30" s="7">
        <f>IFERROR(XLOOKUP(A30,'Corrected Register'!$A$5:$A$200,'Corrected Register'!$T$5:$T$200),"")</f>
        <v/>
      </c>
      <c r="E30" s="7">
        <f>IF(OR(C30="",D30=""),"",D30-C30)</f>
        <v/>
      </c>
      <c r="F30" s="7">
        <f>IFERROR(XLOOKUP(A30,'Corrected Register'!$A$5:$A$200,'Corrected Register'!$N$5:$N$200),"")</f>
        <v/>
      </c>
      <c r="G30" s="7">
        <f>IFERROR(XLOOKUP(A30,'Source Ledger'!$B$5:$B$200,'Source Ledger'!$G$5:$G$200),"")</f>
        <v/>
      </c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>
        <f>IFERROR(XLOOKUP(A31,'Corrected Register'!$A$5:$A$200,'Corrected Register'!$M$5:$M$200),"")</f>
        <v/>
      </c>
      <c r="D31" s="7">
        <f>IFERROR(XLOOKUP(A31,'Corrected Register'!$A$5:$A$200,'Corrected Register'!$T$5:$T$200),"")</f>
        <v/>
      </c>
      <c r="E31" s="7">
        <f>IF(OR(C31="",D31=""),"",D31-C31)</f>
        <v/>
      </c>
      <c r="F31" s="7">
        <f>IFERROR(XLOOKUP(A31,'Corrected Register'!$A$5:$A$200,'Corrected Register'!$N$5:$N$200),"")</f>
        <v/>
      </c>
      <c r="G31" s="7">
        <f>IFERROR(XLOOKUP(A31,'Source Ledger'!$B$5:$B$200,'Source Ledger'!$G$5:$G$200),"")</f>
        <v/>
      </c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>
        <f>IFERROR(XLOOKUP(A32,'Corrected Register'!$A$5:$A$200,'Corrected Register'!$M$5:$M$200),"")</f>
        <v/>
      </c>
      <c r="D32" s="7">
        <f>IFERROR(XLOOKUP(A32,'Corrected Register'!$A$5:$A$200,'Corrected Register'!$T$5:$T$200),"")</f>
        <v/>
      </c>
      <c r="E32" s="7">
        <f>IF(OR(C32="",D32=""),"",D32-C32)</f>
        <v/>
      </c>
      <c r="F32" s="7">
        <f>IFERROR(XLOOKUP(A32,'Corrected Register'!$A$5:$A$200,'Corrected Register'!$N$5:$N$200),"")</f>
        <v/>
      </c>
      <c r="G32" s="7">
        <f>IFERROR(XLOOKUP(A32,'Source Ledger'!$B$5:$B$200,'Source Ledger'!$G$5:$G$200),"")</f>
        <v/>
      </c>
      <c r="H32" s="7" t="inlineStr">
        <is>
          <t>Ledger FA-000119 cost exceeds register by $165. Validate against PO-2024-0024.</t>
        </is>
      </c>
    </row>
    <row r="33">
      <c r="A33" s="7" t="inlineStr">
        <is>
          <t>MD-00130</t>
        </is>
      </c>
      <c r="B33" s="7" t="inlineStr">
        <is>
          <t>On inventory, missing from ledger (under-threshold)</t>
        </is>
      </c>
      <c r="C33" s="7">
        <f>IFERROR(XLOOKUP(A33,'Corrected Register'!$A$5:$A$200,'Corrected Register'!$M$5:$M$200),"")</f>
        <v/>
      </c>
      <c r="D33" s="7">
        <f>IFERROR(XLOOKUP(A33,'Corrected Register'!$A$5:$A$200,'Corrected Register'!$T$5:$T$200),"")</f>
        <v/>
      </c>
      <c r="E33" s="7">
        <f>IF(OR(C33="",D33=""),"",D33-C33)</f>
        <v/>
      </c>
      <c r="F33" s="7">
        <f>IFERROR(XLOOKUP(A33,'Corrected Register'!$A$5:$A$200,'Corrected Register'!$N$5:$N$200),"")</f>
        <v/>
      </c>
      <c r="G33" s="7">
        <f>IFERROR(XLOOKUP(A33,'Source Ledger'!$B$5:$B$200,'Source Ledger'!$G$5:$G$200),"")</f>
        <v/>
      </c>
      <c r="H33" s="7" t="inlineStr">
        <is>
          <t>Register cost below $2,500. PO-2023-0023 capitalization_approved=No; FAR absence expected under ITAM-001 section 7. Informational only.</t>
        </is>
      </c>
    </row>
    <row r="34">
      <c r="A34" s="7" t="inlineStr">
        <is>
          <t>MD-00131</t>
        </is>
      </c>
      <c r="B34" s="7" t="inlineStr">
        <is>
          <t>On inventory, missing from ledger (under-threshold)</t>
        </is>
      </c>
      <c r="C34" s="7">
        <f>IFERROR(XLOOKUP(A34,'Corrected Register'!$A$5:$A$200,'Corrected Register'!$M$5:$M$200),"")</f>
        <v/>
      </c>
      <c r="D34" s="7">
        <f>IFERROR(XLOOKUP(A34,'Corrected Register'!$A$5:$A$200,'Corrected Register'!$T$5:$T$200),"")</f>
        <v/>
      </c>
      <c r="E34" s="7">
        <f>IF(OR(C34="",D34=""),"",D34-C34)</f>
        <v/>
      </c>
      <c r="F34" s="7">
        <f>IFERROR(XLOOKUP(A34,'Corrected Register'!$A$5:$A$200,'Corrected Register'!$N$5:$N$200),"")</f>
        <v/>
      </c>
      <c r="G34" s="7">
        <f>IFERROR(XLOOKUP(A34,'Source Ledger'!$B$5:$B$200,'Source Ledger'!$G$5:$G$200),"")</f>
        <v/>
      </c>
      <c r="H34" s="7" t="inlineStr">
        <is>
          <t>Register cost below $2,500. PO-2023-0023 capitalization_approved=No; FAR absence expected under ITAM-001 section 7. Informational only.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>
        <f>IFERROR(XLOOKUP(A35,'Corrected Register'!$A$5:$A$200,'Corrected Register'!$M$5:$M$200),"")</f>
        <v/>
      </c>
      <c r="D35" s="7">
        <f>IFERROR(XLOOKUP(A35,'Corrected Register'!$A$5:$A$200,'Corrected Register'!$T$5:$T$200),"")</f>
        <v/>
      </c>
      <c r="E35" s="7">
        <f>IF(OR(C35="",D35=""),"",D35-C35)</f>
        <v/>
      </c>
      <c r="F35" s="7">
        <f>IFERROR(XLOOKUP(A35,'Corrected Register'!$A$5:$A$200,'Corrected Register'!$N$5:$N$200),"")</f>
        <v/>
      </c>
      <c r="G35" s="7">
        <f>IFERROR(XLOOKUP(A35,'Source Ledger'!$B$5:$B$200,'Source Ledger'!$G$5:$G$200),"")</f>
        <v/>
      </c>
      <c r="H35" s="7" t="inlineStr">
        <is>
          <t>Capital-qualifying asset on PO-2023-0022 with no FA row. RN-0132 rejected. Critical certification blocker.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(MD-00089-MD-00100).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MD-00101-MD-00110)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  <row r="30">
      <c r="A30" t="inlineStr">
        <is>
          <t>Critical certification blockers (must clear before sign-off)</t>
        </is>
      </c>
    </row>
    <row r="31">
      <c r="A31" t="inlineStr">
        <is>
          <t>Asset Tag</t>
        </is>
      </c>
      <c r="B31" t="inlineStr">
        <is>
          <t>Blocker basis</t>
        </is>
      </c>
      <c r="C31" t="inlineStr">
        <is>
          <t>Verified status / location</t>
        </is>
      </c>
      <c r="D31" t="inlineStr">
        <is>
          <t>Exception IDs</t>
        </is>
      </c>
    </row>
    <row r="32">
      <c r="A32" t="inlineStr">
        <is>
          <t>MD-00074</t>
        </is>
      </c>
      <c r="B32" t="inlineStr">
        <is>
          <t>Critical certification blocker — Unresolved shipment serial mismatch (1ZMD00000074)</t>
        </is>
      </c>
      <c r="C32" t="inlineStr">
        <is>
          <t>In Transit - Exception / Carrier Network</t>
        </is>
      </c>
      <c r="D32" t="inlineStr">
        <is>
          <t>EX-0076</t>
        </is>
      </c>
    </row>
    <row r="33">
      <c r="A33" t="inlineStr">
        <is>
          <t>MD-00076</t>
        </is>
      </c>
      <c r="B33" t="inlineStr">
        <is>
          <t>Critical certification blocker — Unresolved shipment serial mismatch (1ZMD00000076)</t>
        </is>
      </c>
      <c r="C33" t="inlineStr">
        <is>
          <t>In Transit - Exception / Carrier Network</t>
        </is>
      </c>
      <c r="D33" t="inlineStr">
        <is>
          <t>EX-0081</t>
        </is>
      </c>
    </row>
    <row r="34">
      <c r="A34" t="inlineStr">
        <is>
          <t>MD-00082</t>
        </is>
      </c>
      <c r="B34" t="inlineStr">
        <is>
          <t>Critical certification blocker — Unresolved shipment serial mismatch (1ZMD00000082)</t>
        </is>
      </c>
      <c r="C34" t="inlineStr">
        <is>
          <t>In Transit - Exception / Carrier Network</t>
        </is>
      </c>
      <c r="D34" t="inlineStr">
        <is>
          <t>EX-0092</t>
        </is>
      </c>
    </row>
    <row r="35">
      <c r="A35" t="inlineStr">
        <is>
          <t>MD-00084</t>
        </is>
      </c>
      <c r="B35" t="inlineStr">
        <is>
          <t>Critical certification blocker — Unresolved shipment serial mismatch (1ZMD00000084)</t>
        </is>
      </c>
      <c r="C35" t="inlineStr">
        <is>
          <t>In Transit - Exception / Carrier Network</t>
        </is>
      </c>
      <c r="D35" t="inlineStr">
        <is>
          <t>EX-0095</t>
        </is>
      </c>
    </row>
    <row r="36">
      <c r="A36" t="inlineStr">
        <is>
          <t>MD-00114</t>
        </is>
      </c>
      <c r="B36" t="inlineStr">
        <is>
          <t>Critical certification blocker — Retired/Pending Disposal without verified disposal certificate</t>
        </is>
      </c>
      <c r="C36" t="inlineStr">
        <is>
          <t>Retired/Pending Disposal / Disposed (certificate missing)</t>
        </is>
      </c>
      <c r="D36" t="inlineStr">
        <is>
          <t>EX-0149, EX-0150</t>
        </is>
      </c>
    </row>
    <row r="37">
      <c r="A37" t="inlineStr">
        <is>
          <t>MD-00118</t>
        </is>
      </c>
      <c r="B37" t="inlineStr">
        <is>
          <t>Critical certification blocker — Retired/Pending Disposal without verified disposal certificate</t>
        </is>
      </c>
      <c r="C37" t="inlineStr">
        <is>
          <t>Retired/Pending Disposal / Disposed (certificate missing)</t>
        </is>
      </c>
      <c r="D37" t="inlineStr">
        <is>
          <t>EX-0151, EX-0152</t>
        </is>
      </c>
    </row>
    <row r="38">
      <c r="A38" t="inlineStr">
        <is>
          <t>MD-00132</t>
        </is>
      </c>
      <c r="B38" t="inlineStr">
        <is>
          <t>Critical certification blocker — Capital-qualifying asset missing from fixed-asset ledger</t>
        </is>
      </c>
      <c r="C38" t="inlineStr">
        <is>
          <t>Pending Redeployment / Atlanta Warehouse</t>
        </is>
      </c>
      <c r="D38" t="inlineStr">
        <is>
          <t>EX-0163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- Source Systems of Record</t>
        </is>
      </c>
    </row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v3.2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Yanou IT Asset Specialist</dc:creator>
  <dcterms:created xsi:type="dcterms:W3CDTF">2026-08-09T22:46:44Z</dcterms:created>
  <dcterms:modified xsi:type="dcterms:W3CDTF">2026-08-27T23:18:19Z</dcterms:modified>
</cp:coreProperties>
</file>