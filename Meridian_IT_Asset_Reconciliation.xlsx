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rce Ledg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rrected Register" sheetId="3" state="visible" r:id="rId3"/>
    <sheet xmlns:r="http://schemas.openxmlformats.org/officeDocument/2006/relationships" name="Exception Register" sheetId="4" state="visible" r:id="rId4"/>
    <sheet xmlns:r="http://schemas.openxmlformats.org/officeDocument/2006/relationships" name="Custody Chain" sheetId="5" state="visible" r:id="rId5"/>
    <sheet xmlns:r="http://schemas.openxmlformats.org/officeDocument/2006/relationships" name="Ledger Reconciliation" sheetId="6" state="visible" r:id="rId6"/>
    <sheet xmlns:r="http://schemas.openxmlformats.org/officeDocument/2006/relationships" name="Certification" sheetId="7" state="visible" r:id="rId7"/>
    <sheet xmlns:r="http://schemas.openxmlformats.org/officeDocument/2006/relationships" name="Evidence Index" sheetId="8" state="visible" r:id="rId8"/>
    <sheet xmlns:r="http://schemas.openxmlformats.org/officeDocument/2006/relationships" name="Methodolog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1F4E79"/>
      <sz val="10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990000"/>
      <sz val="11"/>
    </font>
    <font>
      <b val="1"/>
      <color rgb="001F4E79"/>
      <sz val="12"/>
    </font>
    <font>
      <b val="1"/>
      <color rgb="00FFFFFF"/>
    </font>
    <font>
      <b val="1"/>
    </font>
  </fonts>
  <fills count="10">
    <fill>
      <patternFill/>
    </fill>
    <fill>
      <patternFill patternType="gray125"/>
    </fill>
    <fill>
      <patternFill patternType="solid">
        <fgColor rgb="000B2E4F"/>
      </patternFill>
    </fill>
    <fill>
      <patternFill patternType="solid">
        <fgColor rgb="001F4E79"/>
      </patternFill>
    </fill>
    <fill>
      <patternFill patternType="solid">
        <fgColor rgb="00D6E3F0"/>
      </patternFill>
    </fill>
    <fill>
      <patternFill patternType="solid">
        <fgColor rgb="00F4CCCC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FF2CC"/>
      </patternFill>
    </fill>
    <fill>
      <patternFill patternType="solid">
        <fgColor rgb="00EA9999"/>
      </patternFill>
    </fill>
  </fills>
  <borders count="3">
    <border>
      <left/>
      <right/>
      <top/>
      <bottom/>
      <diagonal/>
    </border>
    <border>
      <left style="thin">
        <color rgb="00B0B7C3"/>
      </left>
      <right style="thin">
        <color rgb="00B0B7C3"/>
      </right>
      <top style="thin">
        <color rgb="00B0B7C3"/>
      </top>
      <bottom style="thin">
        <color rgb="00B0B7C3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3" borderId="1" applyAlignment="1" pivotButton="0" quotePrefix="0" xfId="0">
      <alignment vertical="center" wrapText="1"/>
    </xf>
    <xf numFmtId="0" fontId="4" fillId="0" borderId="1" pivotButton="0" quotePrefix="0" xfId="0"/>
    <xf numFmtId="0" fontId="5" fillId="0" borderId="1" pivotButton="0" quotePrefix="0" xfId="0"/>
    <xf numFmtId="0" fontId="4" fillId="4" borderId="0" pivotButton="0" quotePrefix="0" xfId="0"/>
    <xf numFmtId="0" fontId="5" fillId="0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5" fillId="8" borderId="1" applyAlignment="1" pivotButton="0" quotePrefix="0" xfId="0">
      <alignment vertical="top" wrapText="1"/>
    </xf>
    <xf numFmtId="0" fontId="5" fillId="9" borderId="1" applyAlignment="1" pivotButton="0" quotePrefix="0" xfId="0">
      <alignment vertical="top" wrapText="1"/>
    </xf>
    <xf numFmtId="0" fontId="5" fillId="0" borderId="0" applyAlignment="1" pivotButton="0" quotePrefix="0" xfId="0">
      <alignment wrapText="1"/>
    </xf>
    <xf numFmtId="0" fontId="5" fillId="0" borderId="0" pivotButton="0" quotePrefix="0" xfId="0"/>
    <xf numFmtId="0" fontId="0" fillId="0" borderId="1" pivotButton="0" quotePrefix="0" xfId="0"/>
    <xf numFmtId="0" fontId="6" fillId="0" borderId="0" pivotButton="0" quotePrefix="0" xfId="0"/>
    <xf numFmtId="0" fontId="5" fillId="0" borderId="1" applyAlignment="1" pivotButton="0" quotePrefix="0" xfId="0">
      <alignment wrapText="1"/>
    </xf>
    <xf numFmtId="164" fontId="0" fillId="0" borderId="0" pivotButton="0" quotePrefix="0" xfId="0"/>
    <xf numFmtId="0" fontId="7" fillId="0" borderId="0" pivotButton="0" quotePrefix="0" xfId="0"/>
    <xf numFmtId="0" fontId="8" fillId="3" borderId="2" pivotButton="0" quotePrefix="0" xfId="0"/>
    <xf numFmtId="0" fontId="9" fillId="8" borderId="2" pivotButton="0" quotePrefix="0" xfId="0"/>
    <xf numFmtId="0" fontId="0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Yanou &amp; Partners IT Services - Fixed Asset Ledger</t>
        </is>
      </c>
    </row>
    <row r="2">
      <c r="A2" t="inlineStr">
        <is>
          <t>Accounting extract | As of 2026-08-09</t>
        </is>
      </c>
    </row>
    <row r="3"/>
    <row r="4">
      <c r="A4" t="inlineStr">
        <is>
          <t>Ledger Asset ID</t>
        </is>
      </c>
      <c r="B4" t="inlineStr">
        <is>
          <t>Asset Tag</t>
        </is>
      </c>
      <c r="C4" t="inlineStr">
        <is>
          <t>Serial Number</t>
        </is>
      </c>
      <c r="D4" t="inlineStr">
        <is>
          <t>Capitalized</t>
        </is>
      </c>
      <c r="E4" t="inlineStr">
        <is>
          <t>Acquisition Cost</t>
        </is>
      </c>
      <c r="F4" t="inlineStr">
        <is>
          <t>Accumulated Depreciation</t>
        </is>
      </c>
      <c r="G4" t="inlineStr">
        <is>
          <t>Net Book Value</t>
        </is>
      </c>
      <c r="H4" t="inlineStr">
        <is>
          <t>Ledger Status</t>
        </is>
      </c>
      <c r="I4" t="inlineStr">
        <is>
          <t>As-of Date</t>
        </is>
      </c>
    </row>
    <row r="5">
      <c r="A5" t="inlineStr">
        <is>
          <t>FA-000001</t>
        </is>
      </c>
      <c r="B5" t="inlineStr">
        <is>
          <t>MD-00001</t>
        </is>
      </c>
      <c r="C5" t="inlineStr">
        <is>
          <t>MD-LA-050001</t>
        </is>
      </c>
      <c r="D5" t="inlineStr">
        <is>
          <t>No</t>
        </is>
      </c>
      <c r="E5" t="n">
        <v>1895</v>
      </c>
      <c r="F5" t="n">
        <v>1895</v>
      </c>
      <c r="G5" t="n">
        <v>0</v>
      </c>
      <c r="H5" t="inlineStr">
        <is>
          <t>Active</t>
        </is>
      </c>
      <c r="I5" s="18" t="n">
        <v>46243.5</v>
      </c>
    </row>
    <row r="6">
      <c r="A6" t="inlineStr">
        <is>
          <t>FA-000002</t>
        </is>
      </c>
      <c r="B6" t="inlineStr">
        <is>
          <t>MD-00002</t>
        </is>
      </c>
      <c r="C6" t="inlineStr">
        <is>
          <t>MD-MO-050002</t>
        </is>
      </c>
      <c r="D6" t="inlineStr">
        <is>
          <t>No</t>
        </is>
      </c>
      <c r="E6" t="n">
        <v>610</v>
      </c>
      <c r="F6" t="n">
        <v>296.94</v>
      </c>
      <c r="G6" t="n">
        <v>313.06</v>
      </c>
      <c r="H6" t="inlineStr">
        <is>
          <t>Active</t>
        </is>
      </c>
      <c r="I6" s="18" t="n">
        <v>46243.5</v>
      </c>
    </row>
    <row r="7">
      <c r="A7" t="inlineStr">
        <is>
          <t>FA-000003</t>
        </is>
      </c>
      <c r="B7" t="inlineStr">
        <is>
          <t>MD-00003</t>
        </is>
      </c>
      <c r="C7" t="inlineStr">
        <is>
          <t>MD-MO-050003</t>
        </is>
      </c>
      <c r="D7" t="inlineStr">
        <is>
          <t>No</t>
        </is>
      </c>
      <c r="E7" t="n">
        <v>1085</v>
      </c>
      <c r="F7" t="n">
        <v>487.17</v>
      </c>
      <c r="G7" t="n">
        <v>597.83</v>
      </c>
      <c r="H7" t="inlineStr">
        <is>
          <t>Active</t>
        </is>
      </c>
      <c r="I7" s="18" t="n">
        <v>46243.5</v>
      </c>
    </row>
    <row r="8">
      <c r="A8" t="inlineStr">
        <is>
          <t>FA-000004</t>
        </is>
      </c>
      <c r="B8" t="inlineStr">
        <is>
          <t>MD-00004</t>
        </is>
      </c>
      <c r="C8" t="inlineStr">
        <is>
          <t>MD-NE-050004</t>
        </is>
      </c>
      <c r="D8" t="inlineStr">
        <is>
          <t>Yes</t>
        </is>
      </c>
      <c r="E8" t="n">
        <v>6380</v>
      </c>
      <c r="F8" t="n">
        <v>5439.38</v>
      </c>
      <c r="G8" t="n">
        <v>940.62</v>
      </c>
      <c r="H8" t="inlineStr">
        <is>
          <t>Active</t>
        </is>
      </c>
      <c r="I8" s="18" t="n">
        <v>46243.5</v>
      </c>
    </row>
    <row r="9">
      <c r="A9" t="inlineStr">
        <is>
          <t>FA-000005</t>
        </is>
      </c>
      <c r="B9" t="inlineStr">
        <is>
          <t>MD-00005</t>
        </is>
      </c>
      <c r="C9" t="inlineStr">
        <is>
          <t>MD-LA-050005</t>
        </is>
      </c>
      <c r="D9" t="inlineStr">
        <is>
          <t>No</t>
        </is>
      </c>
      <c r="E9" t="n">
        <v>2075</v>
      </c>
      <c r="F9" t="n">
        <v>2075</v>
      </c>
      <c r="G9" t="n">
        <v>0</v>
      </c>
      <c r="H9" t="inlineStr">
        <is>
          <t>Active</t>
        </is>
      </c>
      <c r="I9" s="18" t="n">
        <v>46243.5</v>
      </c>
    </row>
    <row r="10">
      <c r="A10" t="inlineStr">
        <is>
          <t>FA-000006</t>
        </is>
      </c>
      <c r="B10" t="inlineStr">
        <is>
          <t>MD-00006</t>
        </is>
      </c>
      <c r="C10" t="inlineStr">
        <is>
          <t>MD-MO-050006</t>
        </is>
      </c>
      <c r="D10" t="inlineStr">
        <is>
          <t>No</t>
        </is>
      </c>
      <c r="E10" t="n">
        <v>790</v>
      </c>
      <c r="F10" t="n">
        <v>330.06</v>
      </c>
      <c r="G10" t="n">
        <v>459.94</v>
      </c>
      <c r="H10" t="inlineStr">
        <is>
          <t>Active</t>
        </is>
      </c>
      <c r="I10" s="18" t="n">
        <v>46243.5</v>
      </c>
    </row>
    <row r="11">
      <c r="A11" t="inlineStr">
        <is>
          <t>FA-000007</t>
        </is>
      </c>
      <c r="B11" t="inlineStr">
        <is>
          <t>MD-00007</t>
        </is>
      </c>
      <c r="C11" t="inlineStr">
        <is>
          <t>MD-MO-050007</t>
        </is>
      </c>
      <c r="D11" t="inlineStr">
        <is>
          <t>No</t>
        </is>
      </c>
      <c r="E11" t="n">
        <v>950</v>
      </c>
      <c r="F11" t="n">
        <v>317.32</v>
      </c>
      <c r="G11" t="n">
        <v>632.6799999999999</v>
      </c>
      <c r="H11" t="inlineStr">
        <is>
          <t>Active</t>
        </is>
      </c>
      <c r="I11" s="18" t="n">
        <v>46243.5</v>
      </c>
    </row>
    <row r="12">
      <c r="A12" t="inlineStr">
        <is>
          <t>FA-000008</t>
        </is>
      </c>
      <c r="B12" t="inlineStr">
        <is>
          <t>MD-00008</t>
        </is>
      </c>
      <c r="C12" t="inlineStr">
        <is>
          <t>MD-NE-050008</t>
        </is>
      </c>
      <c r="D12" t="inlineStr">
        <is>
          <t>Yes</t>
        </is>
      </c>
      <c r="E12" t="n">
        <v>6245</v>
      </c>
      <c r="F12" t="n">
        <v>4889.99</v>
      </c>
      <c r="G12" t="n">
        <v>1355.01</v>
      </c>
      <c r="H12" t="inlineStr">
        <is>
          <t>Active</t>
        </is>
      </c>
      <c r="I12" s="18" t="n">
        <v>46243.5</v>
      </c>
    </row>
    <row r="13">
      <c r="A13" t="inlineStr">
        <is>
          <t>FA-000009</t>
        </is>
      </c>
      <c r="B13" t="inlineStr">
        <is>
          <t>MD-00009</t>
        </is>
      </c>
      <c r="C13" t="inlineStr">
        <is>
          <t>MD-LA-050009</t>
        </is>
      </c>
      <c r="D13" t="inlineStr">
        <is>
          <t>No</t>
        </is>
      </c>
      <c r="E13" t="n">
        <v>1940</v>
      </c>
      <c r="F13" t="n">
        <v>1830.67</v>
      </c>
      <c r="G13" t="n">
        <v>109.33</v>
      </c>
      <c r="H13" t="inlineStr">
        <is>
          <t>Active</t>
        </is>
      </c>
      <c r="I13" s="18" t="n">
        <v>46243.5</v>
      </c>
    </row>
    <row r="14">
      <c r="A14" t="inlineStr">
        <is>
          <t>FA-000010</t>
        </is>
      </c>
      <c r="B14" t="inlineStr">
        <is>
          <t>MD-00010</t>
        </is>
      </c>
      <c r="C14" t="inlineStr">
        <is>
          <t>MD-MO-050010</t>
        </is>
      </c>
      <c r="D14" t="inlineStr">
        <is>
          <t>No</t>
        </is>
      </c>
      <c r="E14" t="n">
        <v>655</v>
      </c>
      <c r="F14" t="n">
        <v>228.11</v>
      </c>
      <c r="G14" t="n">
        <v>426.89</v>
      </c>
      <c r="H14" t="inlineStr">
        <is>
          <t>Active</t>
        </is>
      </c>
      <c r="I14" s="18" t="n">
        <v>46243.5</v>
      </c>
    </row>
    <row r="15">
      <c r="A15" t="inlineStr">
        <is>
          <t>FA-000011</t>
        </is>
      </c>
      <c r="B15" t="inlineStr">
        <is>
          <t>MD-00011</t>
        </is>
      </c>
      <c r="C15" t="inlineStr">
        <is>
          <t>MD-MO-050011</t>
        </is>
      </c>
      <c r="D15" t="inlineStr">
        <is>
          <t>No</t>
        </is>
      </c>
      <c r="E15" t="n">
        <v>1130</v>
      </c>
      <c r="F15" t="n">
        <v>247.5</v>
      </c>
      <c r="G15" t="n">
        <v>882.5</v>
      </c>
      <c r="H15" t="inlineStr">
        <is>
          <t>Active</t>
        </is>
      </c>
      <c r="I15" s="18" t="n">
        <v>46243.5</v>
      </c>
    </row>
    <row r="16">
      <c r="A16" t="inlineStr">
        <is>
          <t>FA-000012</t>
        </is>
      </c>
      <c r="B16" t="inlineStr">
        <is>
          <t>MD-00012</t>
        </is>
      </c>
      <c r="C16" t="inlineStr">
        <is>
          <t>MD-NE-050012</t>
        </is>
      </c>
      <c r="D16" t="inlineStr">
        <is>
          <t>Yes</t>
        </is>
      </c>
      <c r="E16" t="n">
        <v>6425</v>
      </c>
      <c r="F16" t="n">
        <v>5871.77</v>
      </c>
      <c r="G16" t="n">
        <v>553.23</v>
      </c>
      <c r="H16" t="inlineStr">
        <is>
          <t>Active</t>
        </is>
      </c>
      <c r="I16" s="18" t="n">
        <v>46243.5</v>
      </c>
    </row>
    <row r="17">
      <c r="A17" t="inlineStr">
        <is>
          <t>FA-000013</t>
        </is>
      </c>
      <c r="B17" t="inlineStr">
        <is>
          <t>MD-00013</t>
        </is>
      </c>
      <c r="C17" t="inlineStr">
        <is>
          <t>MD-LA-050013</t>
        </is>
      </c>
      <c r="D17" t="inlineStr">
        <is>
          <t>No</t>
        </is>
      </c>
      <c r="E17" t="n">
        <v>2120</v>
      </c>
      <c r="F17" t="n">
        <v>2120</v>
      </c>
      <c r="G17" t="n">
        <v>0</v>
      </c>
      <c r="H17" t="inlineStr">
        <is>
          <t>Active</t>
        </is>
      </c>
      <c r="I17" s="18" t="n">
        <v>46243.5</v>
      </c>
    </row>
    <row r="18">
      <c r="A18" t="inlineStr">
        <is>
          <t>FA-000014</t>
        </is>
      </c>
      <c r="B18" t="inlineStr">
        <is>
          <t>MD-00014</t>
        </is>
      </c>
      <c r="C18" t="inlineStr">
        <is>
          <t>MD-MO-050014</t>
        </is>
      </c>
      <c r="D18" t="inlineStr">
        <is>
          <t>No</t>
        </is>
      </c>
      <c r="E18" t="n">
        <v>520</v>
      </c>
      <c r="F18" t="n">
        <v>249.71</v>
      </c>
      <c r="G18" t="n">
        <v>270.29</v>
      </c>
      <c r="H18" t="inlineStr">
        <is>
          <t>Active</t>
        </is>
      </c>
      <c r="I18" s="18" t="n">
        <v>46243.5</v>
      </c>
    </row>
    <row r="19">
      <c r="A19" t="inlineStr">
        <is>
          <t>FA-000015</t>
        </is>
      </c>
      <c r="B19" t="inlineStr">
        <is>
          <t>MD-00015</t>
        </is>
      </c>
      <c r="C19" t="inlineStr">
        <is>
          <t>MD-MO-050015</t>
        </is>
      </c>
      <c r="D19" t="inlineStr">
        <is>
          <t>No</t>
        </is>
      </c>
      <c r="E19" t="n">
        <v>995</v>
      </c>
      <c r="F19" t="n">
        <v>435.87</v>
      </c>
      <c r="G19" t="n">
        <v>559.13</v>
      </c>
      <c r="H19" t="inlineStr">
        <is>
          <t>Active</t>
        </is>
      </c>
      <c r="I19" s="18" t="n">
        <v>46243.5</v>
      </c>
    </row>
    <row r="20">
      <c r="A20" t="inlineStr">
        <is>
          <t>FA-000016</t>
        </is>
      </c>
      <c r="B20" t="inlineStr">
        <is>
          <t>MD-00016</t>
        </is>
      </c>
      <c r="C20" t="inlineStr">
        <is>
          <t>MD-NE-050016</t>
        </is>
      </c>
      <c r="D20" t="inlineStr">
        <is>
          <t>Yes</t>
        </is>
      </c>
      <c r="E20" t="n">
        <v>6290</v>
      </c>
      <c r="F20" t="n">
        <v>5321.31</v>
      </c>
      <c r="G20" t="n">
        <v>968.6900000000001</v>
      </c>
      <c r="H20" t="inlineStr">
        <is>
          <t>Active</t>
        </is>
      </c>
      <c r="I20" s="18" t="n">
        <v>46243.5</v>
      </c>
    </row>
    <row r="21">
      <c r="A21" t="inlineStr">
        <is>
          <t>FA-000017</t>
        </is>
      </c>
      <c r="B21" t="inlineStr">
        <is>
          <t>MD-00017</t>
        </is>
      </c>
      <c r="C21" t="inlineStr">
        <is>
          <t>MD-LA-050017</t>
        </is>
      </c>
      <c r="D21" t="inlineStr">
        <is>
          <t>No</t>
        </is>
      </c>
      <c r="E21" t="n">
        <v>2070</v>
      </c>
      <c r="F21" t="n">
        <v>2160</v>
      </c>
      <c r="G21" t="n">
        <v>0</v>
      </c>
      <c r="H21" t="inlineStr">
        <is>
          <t>Active</t>
        </is>
      </c>
      <c r="I21" s="18" t="n">
        <v>46243.5</v>
      </c>
    </row>
    <row r="22">
      <c r="A22" t="inlineStr">
        <is>
          <t>FA-000018</t>
        </is>
      </c>
      <c r="B22" t="inlineStr">
        <is>
          <t>MD-00018</t>
        </is>
      </c>
      <c r="C22" t="inlineStr">
        <is>
          <t>MD-MO-050018</t>
        </is>
      </c>
      <c r="D22" t="inlineStr">
        <is>
          <t>No</t>
        </is>
      </c>
      <c r="E22" t="n">
        <v>700</v>
      </c>
      <c r="F22" t="n">
        <v>287.86</v>
      </c>
      <c r="G22" t="n">
        <v>412.14</v>
      </c>
      <c r="H22" t="inlineStr">
        <is>
          <t>Active</t>
        </is>
      </c>
      <c r="I22" s="18" t="n">
        <v>46243.5</v>
      </c>
    </row>
    <row r="23">
      <c r="A23" t="inlineStr">
        <is>
          <t>FA-000019</t>
        </is>
      </c>
      <c r="B23" t="inlineStr">
        <is>
          <t>MD-00019</t>
        </is>
      </c>
      <c r="C23" t="inlineStr">
        <is>
          <t>MD-MO-050019</t>
        </is>
      </c>
      <c r="D23" t="inlineStr">
        <is>
          <t>No</t>
        </is>
      </c>
      <c r="E23" t="n">
        <v>1175</v>
      </c>
      <c r="F23" t="n">
        <v>379.6</v>
      </c>
      <c r="G23" t="n">
        <v>795.4</v>
      </c>
      <c r="H23" t="inlineStr">
        <is>
          <t>Active</t>
        </is>
      </c>
      <c r="I23" s="18" t="n">
        <v>46243.5</v>
      </c>
    </row>
    <row r="24">
      <c r="A24" t="inlineStr">
        <is>
          <t>FA-000020</t>
        </is>
      </c>
      <c r="B24" t="inlineStr">
        <is>
          <t>MD-00020</t>
        </is>
      </c>
      <c r="C24" t="inlineStr">
        <is>
          <t>MD-NE-050020</t>
        </is>
      </c>
      <c r="D24" t="inlineStr">
        <is>
          <t>Yes</t>
        </is>
      </c>
      <c r="E24" t="n">
        <v>6470</v>
      </c>
      <c r="F24" t="n">
        <v>5023.66</v>
      </c>
      <c r="G24" t="n">
        <v>1446.34</v>
      </c>
      <c r="H24" t="inlineStr">
        <is>
          <t>Active</t>
        </is>
      </c>
      <c r="I24" s="18" t="n">
        <v>46243.5</v>
      </c>
    </row>
    <row r="25">
      <c r="A25" t="inlineStr">
        <is>
          <t>FA-000021</t>
        </is>
      </c>
      <c r="B25" t="inlineStr">
        <is>
          <t>MD-00021</t>
        </is>
      </c>
      <c r="C25" t="inlineStr">
        <is>
          <t>MD-LA-050021</t>
        </is>
      </c>
      <c r="D25" t="inlineStr">
        <is>
          <t>No</t>
        </is>
      </c>
      <c r="E25" t="n">
        <v>1850</v>
      </c>
      <c r="F25" t="n">
        <v>1725.48</v>
      </c>
      <c r="G25" t="n">
        <v>124.52</v>
      </c>
      <c r="H25" t="inlineStr">
        <is>
          <t>Active</t>
        </is>
      </c>
      <c r="I25" s="18" t="n">
        <v>46243.5</v>
      </c>
    </row>
    <row r="26">
      <c r="A26" t="inlineStr">
        <is>
          <t>FA-000022</t>
        </is>
      </c>
      <c r="B26" t="inlineStr">
        <is>
          <t>MD-00022</t>
        </is>
      </c>
      <c r="C26" t="inlineStr">
        <is>
          <t>MD-MO-050022</t>
        </is>
      </c>
      <c r="D26" t="inlineStr">
        <is>
          <t>No</t>
        </is>
      </c>
      <c r="E26" t="n">
        <v>565</v>
      </c>
      <c r="F26" t="n">
        <v>193.05</v>
      </c>
      <c r="G26" t="n">
        <v>371.95</v>
      </c>
      <c r="H26" t="inlineStr">
        <is>
          <t>Active</t>
        </is>
      </c>
      <c r="I26" s="18" t="n">
        <v>46243.5</v>
      </c>
    </row>
    <row r="27">
      <c r="A27" t="inlineStr">
        <is>
          <t>FA-000023</t>
        </is>
      </c>
      <c r="B27" t="inlineStr">
        <is>
          <t>MD-00023</t>
        </is>
      </c>
      <c r="C27" t="inlineStr">
        <is>
          <t>MD-MO-050023</t>
        </is>
      </c>
      <c r="D27" t="inlineStr">
        <is>
          <t>No</t>
        </is>
      </c>
      <c r="E27" t="n">
        <v>1040</v>
      </c>
      <c r="F27" t="n">
        <v>216.4</v>
      </c>
      <c r="G27" t="n">
        <v>823.6</v>
      </c>
      <c r="H27" t="inlineStr">
        <is>
          <t>Active</t>
        </is>
      </c>
      <c r="I27" s="18" t="n">
        <v>46243.5</v>
      </c>
    </row>
    <row r="28">
      <c r="A28" t="inlineStr">
        <is>
          <t>FA-000024</t>
        </is>
      </c>
      <c r="B28" t="inlineStr">
        <is>
          <t>MD-00024</t>
        </is>
      </c>
      <c r="C28" t="inlineStr">
        <is>
          <t>MD-NE-050024</t>
        </is>
      </c>
      <c r="D28" t="inlineStr">
        <is>
          <t>Yes</t>
        </is>
      </c>
      <c r="E28" t="n">
        <v>6335</v>
      </c>
      <c r="F28" t="n">
        <v>5831.15</v>
      </c>
      <c r="G28" t="n">
        <v>503.85</v>
      </c>
      <c r="H28" t="inlineStr">
        <is>
          <t>Active</t>
        </is>
      </c>
      <c r="I28" s="18" t="n">
        <v>46243.5</v>
      </c>
    </row>
    <row r="29">
      <c r="A29" t="inlineStr">
        <is>
          <t>FA-000025</t>
        </is>
      </c>
      <c r="B29" t="inlineStr">
        <is>
          <t>MD-00025</t>
        </is>
      </c>
      <c r="C29" t="inlineStr">
        <is>
          <t>MD-LA-050021</t>
        </is>
      </c>
      <c r="D29" t="inlineStr">
        <is>
          <t>No</t>
        </is>
      </c>
      <c r="E29" t="n">
        <v>2030</v>
      </c>
      <c r="F29" t="n">
        <v>2030</v>
      </c>
      <c r="G29" t="n">
        <v>0</v>
      </c>
      <c r="H29" t="inlineStr">
        <is>
          <t>Active</t>
        </is>
      </c>
      <c r="I29" s="18" t="n">
        <v>46243.5</v>
      </c>
    </row>
    <row r="30">
      <c r="A30" t="inlineStr">
        <is>
          <t>FA-000026</t>
        </is>
      </c>
      <c r="B30" t="inlineStr">
        <is>
          <t>MD-00026</t>
        </is>
      </c>
      <c r="C30" t="inlineStr">
        <is>
          <t>MD-MO-050026</t>
        </is>
      </c>
      <c r="D30" t="inlineStr">
        <is>
          <t>No</t>
        </is>
      </c>
      <c r="E30" t="n">
        <v>745</v>
      </c>
      <c r="F30" t="n">
        <v>362.66</v>
      </c>
      <c r="G30" t="n">
        <v>382.34</v>
      </c>
      <c r="H30" t="inlineStr">
        <is>
          <t>Active</t>
        </is>
      </c>
      <c r="I30" s="18" t="n">
        <v>46243.5</v>
      </c>
    </row>
    <row r="31">
      <c r="A31" t="inlineStr">
        <is>
          <t>FA-000027</t>
        </is>
      </c>
      <c r="B31" t="inlineStr">
        <is>
          <t>MD-00027</t>
        </is>
      </c>
      <c r="C31" t="inlineStr">
        <is>
          <t>MD-MO-050027</t>
        </is>
      </c>
      <c r="D31" t="inlineStr">
        <is>
          <t>No</t>
        </is>
      </c>
      <c r="E31" t="n">
        <v>1220</v>
      </c>
      <c r="F31" t="n">
        <v>547.79</v>
      </c>
      <c r="G31" t="n">
        <v>672.21</v>
      </c>
      <c r="H31" t="inlineStr">
        <is>
          <t>Active</t>
        </is>
      </c>
      <c r="I31" s="18" t="n">
        <v>46243.5</v>
      </c>
    </row>
    <row r="32">
      <c r="A32" t="inlineStr">
        <is>
          <t>FA-000028</t>
        </is>
      </c>
      <c r="B32" t="inlineStr">
        <is>
          <t>MD-00028</t>
        </is>
      </c>
      <c r="C32" t="inlineStr">
        <is>
          <t>MD-NE-050028</t>
        </is>
      </c>
      <c r="D32" t="inlineStr">
        <is>
          <t>Yes</t>
        </is>
      </c>
      <c r="E32" t="n">
        <v>6200</v>
      </c>
      <c r="F32" t="n">
        <v>5285.91</v>
      </c>
      <c r="G32" t="n">
        <v>914.09</v>
      </c>
      <c r="H32" t="inlineStr">
        <is>
          <t>Active</t>
        </is>
      </c>
      <c r="I32" s="18" t="n">
        <v>46243.5</v>
      </c>
    </row>
    <row r="33">
      <c r="A33" t="inlineStr">
        <is>
          <t>FA-000029</t>
        </is>
      </c>
      <c r="B33" t="inlineStr">
        <is>
          <t>MD-00029</t>
        </is>
      </c>
      <c r="C33" t="inlineStr">
        <is>
          <t>MD-LA-050029</t>
        </is>
      </c>
      <c r="D33" t="inlineStr">
        <is>
          <t>No</t>
        </is>
      </c>
      <c r="E33" t="n">
        <v>1895</v>
      </c>
      <c r="F33" t="n">
        <v>1895</v>
      </c>
      <c r="G33" t="n">
        <v>0</v>
      </c>
      <c r="H33" t="inlineStr">
        <is>
          <t>Active</t>
        </is>
      </c>
      <c r="I33" s="18" t="n">
        <v>46243.5</v>
      </c>
    </row>
    <row r="34">
      <c r="A34" t="inlineStr">
        <is>
          <t>FA-000030</t>
        </is>
      </c>
      <c r="B34" t="inlineStr">
        <is>
          <t>MD-00030</t>
        </is>
      </c>
      <c r="C34" t="inlineStr">
        <is>
          <t>MD-MO-050030</t>
        </is>
      </c>
      <c r="D34" t="inlineStr">
        <is>
          <t>No</t>
        </is>
      </c>
      <c r="E34" t="n">
        <v>610</v>
      </c>
      <c r="F34" t="n">
        <v>254.86</v>
      </c>
      <c r="G34" t="n">
        <v>355.14</v>
      </c>
      <c r="H34" t="inlineStr">
        <is>
          <t>Active</t>
        </is>
      </c>
      <c r="I34" s="18" t="n">
        <v>46243.5</v>
      </c>
    </row>
    <row r="35">
      <c r="A35" t="inlineStr">
        <is>
          <t>FA-000031</t>
        </is>
      </c>
      <c r="B35" t="inlineStr">
        <is>
          <t>MD-00031</t>
        </is>
      </c>
      <c r="C35" t="inlineStr">
        <is>
          <t>MD-MO-050031</t>
        </is>
      </c>
      <c r="D35" t="inlineStr">
        <is>
          <t>No</t>
        </is>
      </c>
      <c r="E35" t="n">
        <v>1085</v>
      </c>
      <c r="F35" t="n">
        <v>362.41</v>
      </c>
      <c r="G35" t="n">
        <v>722.59</v>
      </c>
      <c r="H35" t="inlineStr">
        <is>
          <t>Active</t>
        </is>
      </c>
      <c r="I35" s="18" t="n">
        <v>46243.5</v>
      </c>
    </row>
    <row r="36">
      <c r="A36" t="inlineStr">
        <is>
          <t>FA-000032</t>
        </is>
      </c>
      <c r="B36" t="inlineStr">
        <is>
          <t>MD-00032</t>
        </is>
      </c>
      <c r="C36" t="inlineStr">
        <is>
          <t>MD-NE-050032</t>
        </is>
      </c>
      <c r="D36" t="inlineStr">
        <is>
          <t>Yes</t>
        </is>
      </c>
      <c r="E36" t="n">
        <v>6380</v>
      </c>
      <c r="F36" t="n">
        <v>4995.7</v>
      </c>
      <c r="G36" t="n">
        <v>1384.3</v>
      </c>
      <c r="H36" t="inlineStr">
        <is>
          <t>Active</t>
        </is>
      </c>
      <c r="I36" s="18" t="n">
        <v>46243.5</v>
      </c>
    </row>
    <row r="37">
      <c r="A37" t="inlineStr">
        <is>
          <t>FA-000033</t>
        </is>
      </c>
      <c r="B37" t="inlineStr">
        <is>
          <t>MD-00033</t>
        </is>
      </c>
      <c r="C37" t="inlineStr">
        <is>
          <t>MD-LA-050033</t>
        </is>
      </c>
      <c r="D37" t="inlineStr">
        <is>
          <t>No</t>
        </is>
      </c>
      <c r="E37" t="n">
        <v>2075</v>
      </c>
      <c r="F37" t="n">
        <v>1958.07</v>
      </c>
      <c r="G37" t="n">
        <v>116.93</v>
      </c>
      <c r="H37" t="inlineStr">
        <is>
          <t>Active</t>
        </is>
      </c>
      <c r="I37" s="18" t="n">
        <v>46243.5</v>
      </c>
    </row>
    <row r="38">
      <c r="A38" t="inlineStr">
        <is>
          <t>FA-000034</t>
        </is>
      </c>
      <c r="B38" t="inlineStr">
        <is>
          <t>MD-00034</t>
        </is>
      </c>
      <c r="C38" t="inlineStr">
        <is>
          <t>MD-MO-050034</t>
        </is>
      </c>
      <c r="D38" t="inlineStr">
        <is>
          <t>No</t>
        </is>
      </c>
      <c r="E38" t="n">
        <v>930</v>
      </c>
      <c r="F38" t="n">
        <v>450.12</v>
      </c>
      <c r="G38" t="n">
        <v>514.88</v>
      </c>
      <c r="H38" t="inlineStr">
        <is>
          <t>Active</t>
        </is>
      </c>
      <c r="I38" s="18" t="n">
        <v>46243.5</v>
      </c>
    </row>
    <row r="39">
      <c r="A39" t="inlineStr">
        <is>
          <t>FA-000035</t>
        </is>
      </c>
      <c r="B39" t="inlineStr">
        <is>
          <t>MD-00035</t>
        </is>
      </c>
      <c r="C39" t="inlineStr">
        <is>
          <t>MD-MO-050035</t>
        </is>
      </c>
      <c r="D39" t="inlineStr">
        <is>
          <t>No</t>
        </is>
      </c>
      <c r="E39" t="n">
        <v>950</v>
      </c>
      <c r="F39" t="n">
        <v>208.08</v>
      </c>
      <c r="G39" t="n">
        <v>741.92</v>
      </c>
      <c r="H39" t="inlineStr">
        <is>
          <t>Active</t>
        </is>
      </c>
      <c r="I39" s="18" t="n">
        <v>46243.5</v>
      </c>
    </row>
    <row r="40">
      <c r="A40" t="inlineStr">
        <is>
          <t>FA-000036</t>
        </is>
      </c>
      <c r="B40" t="inlineStr">
        <is>
          <t>MD-00036</t>
        </is>
      </c>
      <c r="C40" t="inlineStr">
        <is>
          <t>MD-NE-050036</t>
        </is>
      </c>
      <c r="D40" t="inlineStr">
        <is>
          <t>Yes</t>
        </is>
      </c>
      <c r="E40" t="n">
        <v>6245</v>
      </c>
      <c r="F40" t="n">
        <v>5707.27</v>
      </c>
      <c r="G40" t="n">
        <v>537.73</v>
      </c>
      <c r="H40" t="inlineStr">
        <is>
          <t>Active</t>
        </is>
      </c>
      <c r="I40" s="18" t="n">
        <v>46243.5</v>
      </c>
    </row>
    <row r="41">
      <c r="A41" t="inlineStr">
        <is>
          <t>FA-000037</t>
        </is>
      </c>
      <c r="B41" t="inlineStr">
        <is>
          <t>MD-00037</t>
        </is>
      </c>
      <c r="C41" t="inlineStr">
        <is>
          <t>MD-LA-050037</t>
        </is>
      </c>
      <c r="D41" t="inlineStr">
        <is>
          <t>No</t>
        </is>
      </c>
      <c r="E41" t="n">
        <v>1940</v>
      </c>
      <c r="F41" t="n">
        <v>1940</v>
      </c>
      <c r="G41" t="n">
        <v>0</v>
      </c>
      <c r="H41" t="inlineStr">
        <is>
          <t>Active</t>
        </is>
      </c>
      <c r="I41" s="18" t="n">
        <v>46243.5</v>
      </c>
    </row>
    <row r="42">
      <c r="A42" t="inlineStr">
        <is>
          <t>FA-000038</t>
        </is>
      </c>
      <c r="B42" t="inlineStr">
        <is>
          <t>MD-00038</t>
        </is>
      </c>
      <c r="C42" t="inlineStr">
        <is>
          <t>MD-MO-050038</t>
        </is>
      </c>
      <c r="D42" t="inlineStr">
        <is>
          <t>No</t>
        </is>
      </c>
      <c r="E42" t="n">
        <v>655</v>
      </c>
      <c r="F42" t="n">
        <v>314.54</v>
      </c>
      <c r="G42" t="n">
        <v>340.46</v>
      </c>
      <c r="H42" t="inlineStr">
        <is>
          <t>Active</t>
        </is>
      </c>
      <c r="I42" s="18" t="n">
        <v>46243.5</v>
      </c>
    </row>
    <row r="43">
      <c r="A43" t="inlineStr">
        <is>
          <t>FA-000039</t>
        </is>
      </c>
      <c r="B43" t="inlineStr">
        <is>
          <t>MD-00039</t>
        </is>
      </c>
      <c r="C43" t="inlineStr">
        <is>
          <t>MD-MO-050039</t>
        </is>
      </c>
      <c r="D43" t="inlineStr">
        <is>
          <t>No</t>
        </is>
      </c>
      <c r="E43" t="n">
        <v>1130</v>
      </c>
      <c r="F43" t="n">
        <v>495</v>
      </c>
      <c r="G43" t="n">
        <v>635</v>
      </c>
      <c r="H43" t="inlineStr">
        <is>
          <t>Active</t>
        </is>
      </c>
      <c r="I43" s="18" t="n">
        <v>46243.5</v>
      </c>
    </row>
    <row r="44">
      <c r="A44" t="inlineStr">
        <is>
          <t>FA-000040</t>
        </is>
      </c>
      <c r="B44" t="inlineStr">
        <is>
          <t>MD-00040</t>
        </is>
      </c>
      <c r="C44" t="inlineStr">
        <is>
          <t>MD-NE-050040</t>
        </is>
      </c>
      <c r="D44" t="inlineStr">
        <is>
          <t>Yes</t>
        </is>
      </c>
      <c r="E44" t="n">
        <v>6425</v>
      </c>
      <c r="F44" t="n">
        <v>5435.52</v>
      </c>
      <c r="G44" t="n">
        <v>989.48</v>
      </c>
      <c r="H44" t="inlineStr">
        <is>
          <t>Active</t>
        </is>
      </c>
      <c r="I44" s="18" t="n">
        <v>46243.5</v>
      </c>
    </row>
    <row r="45">
      <c r="A45" t="inlineStr">
        <is>
          <t>FA-000041</t>
        </is>
      </c>
      <c r="B45" t="inlineStr">
        <is>
          <t>MD-00041</t>
        </is>
      </c>
      <c r="C45" t="inlineStr">
        <is>
          <t>MD-LA-050041</t>
        </is>
      </c>
      <c r="D45" t="inlineStr">
        <is>
          <t>No</t>
        </is>
      </c>
      <c r="E45" t="n">
        <v>2120</v>
      </c>
      <c r="F45" t="n">
        <v>2120</v>
      </c>
      <c r="G45" t="n">
        <v>0</v>
      </c>
      <c r="H45" t="inlineStr">
        <is>
          <t>Active</t>
        </is>
      </c>
      <c r="I45" s="18" t="n">
        <v>46243.5</v>
      </c>
    </row>
    <row r="46">
      <c r="A46" t="inlineStr">
        <is>
          <t>FA-000042</t>
        </is>
      </c>
      <c r="B46" t="inlineStr">
        <is>
          <t>MD-00042</t>
        </is>
      </c>
      <c r="C46" t="inlineStr">
        <is>
          <t>MD-MO-050042</t>
        </is>
      </c>
      <c r="D46" t="inlineStr">
        <is>
          <t>No</t>
        </is>
      </c>
      <c r="E46" t="n">
        <v>520</v>
      </c>
      <c r="F46" t="n">
        <v>213.84</v>
      </c>
      <c r="G46" t="n">
        <v>306.16</v>
      </c>
      <c r="H46" t="inlineStr">
        <is>
          <t>Active</t>
        </is>
      </c>
      <c r="I46" s="18" t="n">
        <v>46243.5</v>
      </c>
    </row>
    <row r="47">
      <c r="A47" t="inlineStr">
        <is>
          <t>FA-000043</t>
        </is>
      </c>
      <c r="B47" t="inlineStr">
        <is>
          <t>MD-00043</t>
        </is>
      </c>
      <c r="C47" t="inlineStr">
        <is>
          <t>MD-MO-050043</t>
        </is>
      </c>
      <c r="D47" t="inlineStr">
        <is>
          <t>No</t>
        </is>
      </c>
      <c r="E47" t="n">
        <v>995</v>
      </c>
      <c r="F47" t="n">
        <v>321.45</v>
      </c>
      <c r="G47" t="n">
        <v>673.55</v>
      </c>
      <c r="H47" t="inlineStr">
        <is>
          <t>Active</t>
        </is>
      </c>
      <c r="I47" s="18" t="n">
        <v>46243.5</v>
      </c>
    </row>
    <row r="48">
      <c r="A48" t="inlineStr">
        <is>
          <t>FA-000044</t>
        </is>
      </c>
      <c r="B48" t="inlineStr">
        <is>
          <t>MD-00044</t>
        </is>
      </c>
      <c r="C48" t="inlineStr">
        <is>
          <t>MD-NE-050044</t>
        </is>
      </c>
      <c r="D48" t="inlineStr">
        <is>
          <t>Yes</t>
        </is>
      </c>
      <c r="E48" t="n">
        <v>6290</v>
      </c>
      <c r="F48" t="n">
        <v>4883.9</v>
      </c>
      <c r="G48" t="n">
        <v>1406.1</v>
      </c>
      <c r="H48" t="inlineStr">
        <is>
          <t>Active</t>
        </is>
      </c>
      <c r="I48" s="18" t="n">
        <v>46243.5</v>
      </c>
    </row>
    <row r="49">
      <c r="A49" t="inlineStr">
        <is>
          <t>FA-000045</t>
        </is>
      </c>
      <c r="B49" t="inlineStr">
        <is>
          <t>MD-00045</t>
        </is>
      </c>
      <c r="C49" t="inlineStr">
        <is>
          <t>MD-LA-050045</t>
        </is>
      </c>
      <c r="D49" t="inlineStr">
        <is>
          <t>No</t>
        </is>
      </c>
      <c r="E49" t="n">
        <v>1985</v>
      </c>
      <c r="F49" t="n">
        <v>1851.4</v>
      </c>
      <c r="G49" t="n">
        <v>133.6</v>
      </c>
      <c r="H49" t="inlineStr">
        <is>
          <t>Active</t>
        </is>
      </c>
      <c r="I49" s="18" t="n">
        <v>46243.5</v>
      </c>
    </row>
    <row r="50">
      <c r="A50" t="inlineStr">
        <is>
          <t>FA-000046</t>
        </is>
      </c>
      <c r="B50" t="inlineStr">
        <is>
          <t>MD-00046</t>
        </is>
      </c>
      <c r="C50" t="inlineStr">
        <is>
          <t>MD-MO-050046</t>
        </is>
      </c>
      <c r="D50" t="inlineStr">
        <is>
          <t>No</t>
        </is>
      </c>
      <c r="E50" t="n">
        <v>700</v>
      </c>
      <c r="F50" t="n">
        <v>239.18</v>
      </c>
      <c r="G50" t="n">
        <v>460.82</v>
      </c>
      <c r="H50" t="inlineStr">
        <is>
          <t>Active</t>
        </is>
      </c>
      <c r="I50" s="18" t="n">
        <v>46243.5</v>
      </c>
    </row>
    <row r="51">
      <c r="A51" t="inlineStr">
        <is>
          <t>FA-000047</t>
        </is>
      </c>
      <c r="B51" t="inlineStr">
        <is>
          <t>MD-00047</t>
        </is>
      </c>
      <c r="C51" t="inlineStr">
        <is>
          <t>MD-MO-050047</t>
        </is>
      </c>
      <c r="D51" t="inlineStr">
        <is>
          <t>No</t>
        </is>
      </c>
      <c r="E51" t="n">
        <v>1175</v>
      </c>
      <c r="F51" t="n">
        <v>244.49</v>
      </c>
      <c r="G51" t="n">
        <v>930.51</v>
      </c>
      <c r="H51" t="inlineStr">
        <is>
          <t>Active</t>
        </is>
      </c>
      <c r="I51" s="18" t="n">
        <v>46243.5</v>
      </c>
    </row>
    <row r="52">
      <c r="A52" t="inlineStr">
        <is>
          <t>FA-000048</t>
        </is>
      </c>
      <c r="B52" t="inlineStr">
        <is>
          <t>MD-00048</t>
        </is>
      </c>
      <c r="C52" t="inlineStr">
        <is>
          <t>MD-NE-050048</t>
        </is>
      </c>
      <c r="D52" t="inlineStr">
        <is>
          <t>Yes</t>
        </is>
      </c>
      <c r="E52" t="n">
        <v>6470</v>
      </c>
      <c r="F52" t="n">
        <v>5955.41</v>
      </c>
      <c r="G52" t="n">
        <v>514.59</v>
      </c>
      <c r="H52" t="inlineStr">
        <is>
          <t>Active</t>
        </is>
      </c>
      <c r="I52" s="18" t="n">
        <v>46243.5</v>
      </c>
    </row>
    <row r="53">
      <c r="A53" t="inlineStr">
        <is>
          <t>FA-000049</t>
        </is>
      </c>
      <c r="B53" t="inlineStr">
        <is>
          <t>MD-00049</t>
        </is>
      </c>
      <c r="C53" t="inlineStr">
        <is>
          <t>MD-LA-050049</t>
        </is>
      </c>
      <c r="D53" t="inlineStr">
        <is>
          <t>No</t>
        </is>
      </c>
      <c r="E53" t="n">
        <v>1850</v>
      </c>
      <c r="F53" t="n">
        <v>1850</v>
      </c>
      <c r="G53" t="n">
        <v>0</v>
      </c>
      <c r="H53" t="inlineStr">
        <is>
          <t>Active</t>
        </is>
      </c>
      <c r="I53" s="18" t="n">
        <v>46243.5</v>
      </c>
    </row>
    <row r="54">
      <c r="A54" t="inlineStr">
        <is>
          <t>FA-000050</t>
        </is>
      </c>
      <c r="B54" t="inlineStr">
        <is>
          <t>MD-00050</t>
        </is>
      </c>
      <c r="C54" t="inlineStr">
        <is>
          <t>MD-MO-050050</t>
        </is>
      </c>
      <c r="D54" t="inlineStr">
        <is>
          <t>No</t>
        </is>
      </c>
      <c r="E54" t="n">
        <v>565</v>
      </c>
      <c r="F54" t="n">
        <v>275.04</v>
      </c>
      <c r="G54" t="n">
        <v>289.96</v>
      </c>
      <c r="H54" t="inlineStr">
        <is>
          <t>Active</t>
        </is>
      </c>
      <c r="I54" s="18" t="n">
        <v>46243.5</v>
      </c>
    </row>
    <row r="55">
      <c r="A55" t="inlineStr">
        <is>
          <t>FA-000051</t>
        </is>
      </c>
      <c r="B55" t="inlineStr">
        <is>
          <t>MD-00051</t>
        </is>
      </c>
      <c r="C55" t="inlineStr">
        <is>
          <t>MD-MO-050051</t>
        </is>
      </c>
      <c r="D55" t="inlineStr">
        <is>
          <t>No</t>
        </is>
      </c>
      <c r="E55" t="n">
        <v>1250</v>
      </c>
      <c r="F55" t="n">
        <v>641.97</v>
      </c>
      <c r="G55" t="n">
        <v>573.03</v>
      </c>
      <c r="H55" t="inlineStr">
        <is>
          <t>Active</t>
        </is>
      </c>
      <c r="I55" s="18" t="n">
        <v>46243.5</v>
      </c>
    </row>
    <row r="56">
      <c r="A56" t="inlineStr">
        <is>
          <t>FA-000052</t>
        </is>
      </c>
      <c r="B56" t="inlineStr">
        <is>
          <t>MD-00052</t>
        </is>
      </c>
      <c r="C56" t="inlineStr">
        <is>
          <t>MD-NE-050052</t>
        </is>
      </c>
      <c r="D56" t="inlineStr">
        <is>
          <t>Yes</t>
        </is>
      </c>
      <c r="E56" t="n">
        <v>6335</v>
      </c>
      <c r="F56" t="n">
        <v>5401.01</v>
      </c>
      <c r="G56" t="n">
        <v>933.99</v>
      </c>
      <c r="H56" t="inlineStr">
        <is>
          <t>Active</t>
        </is>
      </c>
      <c r="I56" s="18" t="n">
        <v>46243.5</v>
      </c>
    </row>
    <row r="57">
      <c r="A57" t="inlineStr">
        <is>
          <t>FA-000053</t>
        </is>
      </c>
      <c r="B57" t="inlineStr">
        <is>
          <t>MD-00053</t>
        </is>
      </c>
      <c r="C57" t="inlineStr">
        <is>
          <t>MD-LA-050053</t>
        </is>
      </c>
      <c r="D57" t="inlineStr">
        <is>
          <t>No</t>
        </is>
      </c>
      <c r="E57" t="n">
        <v>2030</v>
      </c>
      <c r="F57" t="n">
        <v>2030</v>
      </c>
      <c r="G57" t="n">
        <v>0</v>
      </c>
      <c r="H57" t="inlineStr">
        <is>
          <t>Active</t>
        </is>
      </c>
      <c r="I57" s="18" t="n">
        <v>46243.5</v>
      </c>
    </row>
    <row r="58">
      <c r="A58" t="inlineStr">
        <is>
          <t>FA-000054</t>
        </is>
      </c>
      <c r="B58" t="inlineStr">
        <is>
          <t>MD-00054</t>
        </is>
      </c>
      <c r="C58" t="inlineStr">
        <is>
          <t>MD-MO-050054</t>
        </is>
      </c>
      <c r="D58" t="inlineStr">
        <is>
          <t>No</t>
        </is>
      </c>
      <c r="E58" t="n">
        <v>745</v>
      </c>
      <c r="F58" t="n">
        <v>311.26</v>
      </c>
      <c r="G58" t="n">
        <v>433.74</v>
      </c>
      <c r="H58" t="inlineStr">
        <is>
          <t>Active</t>
        </is>
      </c>
      <c r="I58" s="18" t="n">
        <v>46243.5</v>
      </c>
    </row>
    <row r="59">
      <c r="A59" t="inlineStr">
        <is>
          <t>FA-000055</t>
        </is>
      </c>
      <c r="B59" t="inlineStr">
        <is>
          <t>MD-00055</t>
        </is>
      </c>
      <c r="C59" t="inlineStr">
        <is>
          <t>MD-MO-050055</t>
        </is>
      </c>
      <c r="D59" t="inlineStr">
        <is>
          <t>No</t>
        </is>
      </c>
      <c r="E59" t="n">
        <v>1220</v>
      </c>
      <c r="F59" t="n">
        <v>407.5</v>
      </c>
      <c r="G59" t="n">
        <v>812.5</v>
      </c>
      <c r="H59" t="inlineStr">
        <is>
          <t>Active</t>
        </is>
      </c>
      <c r="I59" s="18" t="n">
        <v>46243.5</v>
      </c>
    </row>
    <row r="60">
      <c r="A60" t="inlineStr">
        <is>
          <t>FA-000056</t>
        </is>
      </c>
      <c r="B60" t="inlineStr">
        <is>
          <t>MD-00056</t>
        </is>
      </c>
      <c r="C60" t="inlineStr">
        <is>
          <t>MD-NE-050056</t>
        </is>
      </c>
      <c r="D60" t="inlineStr">
        <is>
          <t>Yes</t>
        </is>
      </c>
      <c r="E60" t="n">
        <v>6200</v>
      </c>
      <c r="F60" t="n">
        <v>4854.76</v>
      </c>
      <c r="G60" t="n">
        <v>1345.24</v>
      </c>
      <c r="H60" t="inlineStr">
        <is>
          <t>Active</t>
        </is>
      </c>
      <c r="I60" s="18" t="n">
        <v>46243.5</v>
      </c>
    </row>
    <row r="61">
      <c r="A61" t="inlineStr">
        <is>
          <t>FA-000057</t>
        </is>
      </c>
      <c r="B61" t="inlineStr">
        <is>
          <t>MD-00057</t>
        </is>
      </c>
      <c r="C61" t="inlineStr">
        <is>
          <t>MD-LA-050057</t>
        </is>
      </c>
      <c r="D61" t="inlineStr">
        <is>
          <t>No</t>
        </is>
      </c>
      <c r="E61" t="n">
        <v>1895</v>
      </c>
      <c r="F61" t="n">
        <v>1788.21</v>
      </c>
      <c r="G61" t="n">
        <v>106.79</v>
      </c>
      <c r="H61" t="inlineStr">
        <is>
          <t>Active</t>
        </is>
      </c>
      <c r="I61" s="18" t="n">
        <v>46243.5</v>
      </c>
    </row>
    <row r="62">
      <c r="A62" t="inlineStr">
        <is>
          <t>FA-000058</t>
        </is>
      </c>
      <c r="B62" t="inlineStr">
        <is>
          <t>MD-00058</t>
        </is>
      </c>
      <c r="C62" t="inlineStr">
        <is>
          <t>MD-MO-050058</t>
        </is>
      </c>
      <c r="D62" t="inlineStr">
        <is>
          <t>No</t>
        </is>
      </c>
      <c r="E62" t="n">
        <v>610</v>
      </c>
      <c r="F62" t="n">
        <v>212.44</v>
      </c>
      <c r="G62" t="n">
        <v>397.56</v>
      </c>
      <c r="H62" t="inlineStr">
        <is>
          <t>Active</t>
        </is>
      </c>
      <c r="I62" s="18" t="n">
        <v>46243.5</v>
      </c>
    </row>
    <row r="63">
      <c r="A63" t="inlineStr">
        <is>
          <t>FA-000059</t>
        </is>
      </c>
      <c r="B63" t="inlineStr">
        <is>
          <t>MD-00059</t>
        </is>
      </c>
      <c r="C63" t="inlineStr">
        <is>
          <t>MD-MO-050059</t>
        </is>
      </c>
      <c r="D63" t="inlineStr">
        <is>
          <t>No</t>
        </is>
      </c>
      <c r="E63" t="n">
        <v>1085</v>
      </c>
      <c r="F63" t="n">
        <v>237.65</v>
      </c>
      <c r="G63" t="n">
        <v>847.35</v>
      </c>
      <c r="H63" t="inlineStr">
        <is>
          <t>Active</t>
        </is>
      </c>
      <c r="I63" s="18" t="n">
        <v>46243.5</v>
      </c>
    </row>
    <row r="64">
      <c r="A64" t="inlineStr">
        <is>
          <t>FA-000060</t>
        </is>
      </c>
      <c r="B64" t="inlineStr">
        <is>
          <t>MD-00060</t>
        </is>
      </c>
      <c r="C64" t="inlineStr">
        <is>
          <t>MD-NE-050060</t>
        </is>
      </c>
      <c r="D64" t="inlineStr">
        <is>
          <t>Yes</t>
        </is>
      </c>
      <c r="E64" t="n">
        <v>6380</v>
      </c>
      <c r="F64" t="n">
        <v>5830.65</v>
      </c>
      <c r="G64" t="n">
        <v>549.35</v>
      </c>
      <c r="H64" t="inlineStr">
        <is>
          <t>Active</t>
        </is>
      </c>
      <c r="I64" s="18" t="n">
        <v>46243.5</v>
      </c>
    </row>
    <row r="65">
      <c r="A65" t="inlineStr">
        <is>
          <t>FA-000061</t>
        </is>
      </c>
      <c r="B65" t="inlineStr">
        <is>
          <t>MD-00061</t>
        </is>
      </c>
      <c r="C65" t="inlineStr">
        <is>
          <t>MD-LA-050061</t>
        </is>
      </c>
      <c r="D65" t="inlineStr">
        <is>
          <t>No</t>
        </is>
      </c>
      <c r="E65" t="n">
        <v>2075</v>
      </c>
      <c r="F65" t="n">
        <v>2075</v>
      </c>
      <c r="G65" t="n">
        <v>0</v>
      </c>
      <c r="H65" t="inlineStr">
        <is>
          <t>Active</t>
        </is>
      </c>
      <c r="I65" s="18" t="n">
        <v>46243.5</v>
      </c>
    </row>
    <row r="66">
      <c r="A66" t="inlineStr">
        <is>
          <t>FA-000062</t>
        </is>
      </c>
      <c r="B66" t="inlineStr">
        <is>
          <t>MD-00062</t>
        </is>
      </c>
      <c r="C66" t="inlineStr">
        <is>
          <t>MD-MO-050062</t>
        </is>
      </c>
      <c r="D66" t="inlineStr">
        <is>
          <t>No</t>
        </is>
      </c>
      <c r="E66" t="n">
        <v>790</v>
      </c>
      <c r="F66" t="n">
        <v>379.37</v>
      </c>
      <c r="G66" t="n">
        <v>410.63</v>
      </c>
      <c r="H66" t="inlineStr">
        <is>
          <t>Active</t>
        </is>
      </c>
      <c r="I66" s="18" t="n">
        <v>46243.5</v>
      </c>
    </row>
    <row r="67">
      <c r="A67" t="inlineStr">
        <is>
          <t>FA-000063</t>
        </is>
      </c>
      <c r="B67" t="inlineStr">
        <is>
          <t>MD-00063</t>
        </is>
      </c>
      <c r="C67" t="inlineStr">
        <is>
          <t>MD-MO-050063</t>
        </is>
      </c>
      <c r="D67" t="inlineStr">
        <is>
          <t>No</t>
        </is>
      </c>
      <c r="E67" t="n">
        <v>950</v>
      </c>
      <c r="F67" t="n">
        <v>416.15</v>
      </c>
      <c r="G67" t="n">
        <v>533.85</v>
      </c>
      <c r="H67" t="inlineStr">
        <is>
          <t>Active</t>
        </is>
      </c>
      <c r="I67" s="18" t="n">
        <v>46243.5</v>
      </c>
    </row>
    <row r="68">
      <c r="A68" t="inlineStr">
        <is>
          <t>FA-000064</t>
        </is>
      </c>
      <c r="B68" t="inlineStr">
        <is>
          <t>MD-00064</t>
        </is>
      </c>
      <c r="C68" t="inlineStr">
        <is>
          <t>MD-NE-050064</t>
        </is>
      </c>
      <c r="D68" t="inlineStr">
        <is>
          <t>Yes</t>
        </is>
      </c>
      <c r="E68" t="n">
        <v>6245</v>
      </c>
      <c r="F68" t="n">
        <v>5283.24</v>
      </c>
      <c r="G68" t="n">
        <v>961.76</v>
      </c>
      <c r="H68" t="inlineStr">
        <is>
          <t>Active</t>
        </is>
      </c>
      <c r="I68" s="18" t="n">
        <v>46243.5</v>
      </c>
    </row>
    <row r="69">
      <c r="A69" t="inlineStr">
        <is>
          <t>FA-000065</t>
        </is>
      </c>
      <c r="B69" t="inlineStr">
        <is>
          <t>MD-00065</t>
        </is>
      </c>
      <c r="C69" t="inlineStr">
        <is>
          <t>MD-LA-050065</t>
        </is>
      </c>
      <c r="D69" t="inlineStr">
        <is>
          <t>No</t>
        </is>
      </c>
      <c r="E69" t="n">
        <v>1940</v>
      </c>
      <c r="F69" t="n">
        <v>1940</v>
      </c>
      <c r="G69" t="n">
        <v>0</v>
      </c>
      <c r="H69" t="inlineStr">
        <is>
          <t>Active</t>
        </is>
      </c>
      <c r="I69" s="18" t="n">
        <v>46243.5</v>
      </c>
    </row>
    <row r="70">
      <c r="A70" t="inlineStr">
        <is>
          <t>FA-000066</t>
        </is>
      </c>
      <c r="B70" t="inlineStr">
        <is>
          <t>MD-00066</t>
        </is>
      </c>
      <c r="C70" t="inlineStr">
        <is>
          <t>MD-MO-050066</t>
        </is>
      </c>
      <c r="D70" t="inlineStr">
        <is>
          <t>No</t>
        </is>
      </c>
      <c r="E70" t="n">
        <v>655</v>
      </c>
      <c r="F70" t="n">
        <v>269.35</v>
      </c>
      <c r="G70" t="n">
        <v>385.65</v>
      </c>
      <c r="H70" t="inlineStr">
        <is>
          <t>Active</t>
        </is>
      </c>
      <c r="I70" s="18" t="n">
        <v>46243.5</v>
      </c>
    </row>
    <row r="71">
      <c r="A71" t="inlineStr">
        <is>
          <t>FA-000067</t>
        </is>
      </c>
      <c r="B71" t="inlineStr">
        <is>
          <t>MD-00067</t>
        </is>
      </c>
      <c r="C71" t="inlineStr">
        <is>
          <t>MD-MO-050067</t>
        </is>
      </c>
      <c r="D71" t="inlineStr">
        <is>
          <t>No</t>
        </is>
      </c>
      <c r="E71" t="n">
        <v>1130</v>
      </c>
      <c r="F71" t="n">
        <v>365.07</v>
      </c>
      <c r="G71" t="n">
        <v>764.9299999999999</v>
      </c>
      <c r="H71" t="inlineStr">
        <is>
          <t>Active</t>
        </is>
      </c>
      <c r="I71" s="18" t="n">
        <v>46243.5</v>
      </c>
    </row>
    <row r="72">
      <c r="A72" t="inlineStr">
        <is>
          <t>FA-000068</t>
        </is>
      </c>
      <c r="B72" t="inlineStr">
        <is>
          <t>MD-00068</t>
        </is>
      </c>
      <c r="C72" t="inlineStr">
        <is>
          <t>MD-NE-050068</t>
        </is>
      </c>
      <c r="D72" t="inlineStr">
        <is>
          <t>Yes</t>
        </is>
      </c>
      <c r="E72" t="n">
        <v>6480</v>
      </c>
      <c r="F72" t="n">
        <v>5163.72</v>
      </c>
      <c r="G72" t="n">
        <v>1436.28</v>
      </c>
      <c r="H72" t="inlineStr">
        <is>
          <t>Active</t>
        </is>
      </c>
      <c r="I72" s="18" t="n">
        <v>46243.5</v>
      </c>
    </row>
    <row r="73">
      <c r="A73" t="inlineStr">
        <is>
          <t>FA-000069</t>
        </is>
      </c>
      <c r="B73" t="inlineStr">
        <is>
          <t>MD-00069</t>
        </is>
      </c>
      <c r="C73" t="inlineStr">
        <is>
          <t>MD-LA-050069</t>
        </is>
      </c>
      <c r="D73" t="inlineStr">
        <is>
          <t>No</t>
        </is>
      </c>
      <c r="E73" t="n">
        <v>2120</v>
      </c>
      <c r="F73" t="n">
        <v>1977.31</v>
      </c>
      <c r="G73" t="n">
        <v>142.69</v>
      </c>
      <c r="H73" t="inlineStr">
        <is>
          <t>Active</t>
        </is>
      </c>
      <c r="I73" s="18" t="n">
        <v>46243.5</v>
      </c>
    </row>
    <row r="74">
      <c r="A74" t="inlineStr">
        <is>
          <t>FA-000070</t>
        </is>
      </c>
      <c r="B74" t="inlineStr">
        <is>
          <t>MD-00070</t>
        </is>
      </c>
      <c r="C74" t="inlineStr">
        <is>
          <t>MD-MO-050070</t>
        </is>
      </c>
      <c r="D74" t="inlineStr">
        <is>
          <t>No</t>
        </is>
      </c>
      <c r="E74" t="n">
        <v>520</v>
      </c>
      <c r="F74" t="n">
        <v>177.68</v>
      </c>
      <c r="G74" t="n">
        <v>342.32</v>
      </c>
      <c r="H74" t="inlineStr">
        <is>
          <t>Active</t>
        </is>
      </c>
      <c r="I74" s="18" t="n">
        <v>46243.5</v>
      </c>
    </row>
    <row r="75">
      <c r="A75" t="inlineStr">
        <is>
          <t>FA-000071</t>
        </is>
      </c>
      <c r="B75" t="inlineStr">
        <is>
          <t>MD-00071</t>
        </is>
      </c>
      <c r="C75" t="inlineStr">
        <is>
          <t>MD-MO-050071</t>
        </is>
      </c>
      <c r="D75" t="inlineStr">
        <is>
          <t>No</t>
        </is>
      </c>
      <c r="E75" t="n">
        <v>995</v>
      </c>
      <c r="F75" t="n">
        <v>207.04</v>
      </c>
      <c r="G75" t="n">
        <v>787.96</v>
      </c>
      <c r="H75" t="inlineStr">
        <is>
          <t>Active</t>
        </is>
      </c>
      <c r="I75" s="18" t="n">
        <v>46243.5</v>
      </c>
    </row>
    <row r="76">
      <c r="A76" t="inlineStr">
        <is>
          <t>FA-000072</t>
        </is>
      </c>
      <c r="B76" t="inlineStr">
        <is>
          <t>MD-00072</t>
        </is>
      </c>
      <c r="C76" t="inlineStr">
        <is>
          <t>MD-NE-050072</t>
        </is>
      </c>
      <c r="D76" t="inlineStr">
        <is>
          <t>Yes</t>
        </is>
      </c>
      <c r="E76" t="n">
        <v>6290</v>
      </c>
      <c r="F76" t="n">
        <v>5789.73</v>
      </c>
      <c r="G76" t="n">
        <v>500.27</v>
      </c>
      <c r="H76" t="inlineStr">
        <is>
          <t>Active</t>
        </is>
      </c>
      <c r="I76" s="18" t="n">
        <v>46243.5</v>
      </c>
    </row>
    <row r="77">
      <c r="A77" t="inlineStr">
        <is>
          <t>FA-000073</t>
        </is>
      </c>
      <c r="B77" t="inlineStr">
        <is>
          <t>MD-00073</t>
        </is>
      </c>
      <c r="C77" t="inlineStr">
        <is>
          <t>MD-LA-050073</t>
        </is>
      </c>
      <c r="D77" t="inlineStr">
        <is>
          <t>No</t>
        </is>
      </c>
      <c r="E77" t="n">
        <v>1985</v>
      </c>
      <c r="F77" t="n">
        <v>1985</v>
      </c>
      <c r="G77" t="n">
        <v>0</v>
      </c>
      <c r="H77" t="inlineStr">
        <is>
          <t>Active</t>
        </is>
      </c>
      <c r="I77" s="18" t="n">
        <v>46243.5</v>
      </c>
    </row>
    <row r="78">
      <c r="A78" t="inlineStr">
        <is>
          <t>FA-000074</t>
        </is>
      </c>
      <c r="B78" t="inlineStr">
        <is>
          <t>MD-00074</t>
        </is>
      </c>
      <c r="C78" t="inlineStr">
        <is>
          <t>MD-MO-050074</t>
        </is>
      </c>
      <c r="D78" t="inlineStr">
        <is>
          <t>No</t>
        </is>
      </c>
      <c r="E78" t="n">
        <v>700</v>
      </c>
      <c r="F78" t="n">
        <v>340.75</v>
      </c>
      <c r="G78" t="n">
        <v>359.25</v>
      </c>
      <c r="H78" t="inlineStr">
        <is>
          <t>Active</t>
        </is>
      </c>
      <c r="I78" s="18" t="n">
        <v>46243.5</v>
      </c>
    </row>
    <row r="79">
      <c r="A79" t="inlineStr">
        <is>
          <t>FA-000075</t>
        </is>
      </c>
      <c r="B79" t="inlineStr">
        <is>
          <t>MD-00075</t>
        </is>
      </c>
      <c r="C79" t="inlineStr">
        <is>
          <t>MD-MO-050075</t>
        </is>
      </c>
      <c r="D79" t="inlineStr">
        <is>
          <t>No</t>
        </is>
      </c>
      <c r="E79" t="n">
        <v>1175</v>
      </c>
      <c r="F79" t="n">
        <v>527.58</v>
      </c>
      <c r="G79" t="n">
        <v>647.42</v>
      </c>
      <c r="H79" t="inlineStr">
        <is>
          <t>Active</t>
        </is>
      </c>
      <c r="I79" s="18" t="n">
        <v>46243.5</v>
      </c>
    </row>
    <row r="80">
      <c r="A80" t="inlineStr">
        <is>
          <t>FA-000076</t>
        </is>
      </c>
      <c r="B80" t="inlineStr">
        <is>
          <t>MD-00076</t>
        </is>
      </c>
      <c r="C80" t="inlineStr">
        <is>
          <t>MD-NE-050076</t>
        </is>
      </c>
      <c r="D80" t="inlineStr">
        <is>
          <t>Yes</t>
        </is>
      </c>
      <c r="E80" t="n">
        <v>6470</v>
      </c>
      <c r="F80" t="n">
        <v>5516.11</v>
      </c>
      <c r="G80" t="n">
        <v>953.89</v>
      </c>
      <c r="H80" t="inlineStr">
        <is>
          <t>Active</t>
        </is>
      </c>
      <c r="I80" s="18" t="n">
        <v>46243.5</v>
      </c>
    </row>
    <row r="81">
      <c r="A81" t="inlineStr">
        <is>
          <t>FA-000077</t>
        </is>
      </c>
      <c r="B81" t="inlineStr">
        <is>
          <t>MD-00077</t>
        </is>
      </c>
      <c r="C81" t="inlineStr">
        <is>
          <t>MD-LA-050077</t>
        </is>
      </c>
      <c r="D81" t="inlineStr">
        <is>
          <t>No</t>
        </is>
      </c>
      <c r="E81" t="n">
        <v>1850</v>
      </c>
      <c r="F81" t="n">
        <v>1850</v>
      </c>
      <c r="G81" t="n">
        <v>0</v>
      </c>
      <c r="H81" t="inlineStr">
        <is>
          <t>Active</t>
        </is>
      </c>
      <c r="I81" s="18" t="n">
        <v>46243.5</v>
      </c>
    </row>
    <row r="82">
      <c r="A82" t="inlineStr">
        <is>
          <t>FA-000078</t>
        </is>
      </c>
      <c r="B82" t="inlineStr">
        <is>
          <t>MD-00078</t>
        </is>
      </c>
      <c r="C82" t="inlineStr">
        <is>
          <t>MD-MO-050078</t>
        </is>
      </c>
      <c r="D82" t="inlineStr">
        <is>
          <t>No</t>
        </is>
      </c>
      <c r="E82" t="n">
        <v>565</v>
      </c>
      <c r="F82" t="n">
        <v>236.05</v>
      </c>
      <c r="G82" t="n">
        <v>328.95</v>
      </c>
      <c r="H82" t="inlineStr">
        <is>
          <t>Active</t>
        </is>
      </c>
      <c r="I82" s="18" t="n">
        <v>46243.5</v>
      </c>
    </row>
    <row r="83">
      <c r="A83" t="inlineStr">
        <is>
          <t>FA-000079</t>
        </is>
      </c>
      <c r="B83" t="inlineStr">
        <is>
          <t>MD-00079</t>
        </is>
      </c>
      <c r="C83" t="inlineStr">
        <is>
          <t>MD-MO-050079</t>
        </is>
      </c>
      <c r="D83" t="inlineStr">
        <is>
          <t>No</t>
        </is>
      </c>
      <c r="E83" t="n">
        <v>1040</v>
      </c>
      <c r="F83" t="n">
        <v>347.38</v>
      </c>
      <c r="G83" t="n">
        <v>692.62</v>
      </c>
      <c r="H83" t="inlineStr">
        <is>
          <t>Active</t>
        </is>
      </c>
      <c r="I83" s="18" t="n">
        <v>46243.5</v>
      </c>
    </row>
    <row r="84">
      <c r="A84" t="inlineStr">
        <is>
          <t>FA-000080</t>
        </is>
      </c>
      <c r="B84" t="inlineStr">
        <is>
          <t>MD-00080</t>
        </is>
      </c>
      <c r="C84" t="inlineStr">
        <is>
          <t>MD-NE-050080</t>
        </is>
      </c>
      <c r="D84" t="inlineStr">
        <is>
          <t>Yes</t>
        </is>
      </c>
      <c r="E84" t="n">
        <v>6335</v>
      </c>
      <c r="F84" t="n">
        <v>4960.47</v>
      </c>
      <c r="G84" t="n">
        <v>1374.53</v>
      </c>
      <c r="H84" t="inlineStr">
        <is>
          <t>Active</t>
        </is>
      </c>
      <c r="I84" s="18" t="n">
        <v>46243.5</v>
      </c>
    </row>
    <row r="85">
      <c r="A85" t="inlineStr">
        <is>
          <t>FA-000081</t>
        </is>
      </c>
      <c r="B85" t="inlineStr">
        <is>
          <t>MD-00081</t>
        </is>
      </c>
      <c r="C85" t="inlineStr">
        <is>
          <t>MD-LA-050081</t>
        </is>
      </c>
      <c r="D85" t="inlineStr">
        <is>
          <t>No</t>
        </is>
      </c>
      <c r="E85" t="n">
        <v>2030</v>
      </c>
      <c r="F85" t="n">
        <v>1915.6</v>
      </c>
      <c r="G85" t="n">
        <v>114.4</v>
      </c>
      <c r="H85" t="inlineStr">
        <is>
          <t>Active</t>
        </is>
      </c>
      <c r="I85" s="18" t="n">
        <v>46243.5</v>
      </c>
    </row>
    <row r="86">
      <c r="A86" t="inlineStr">
        <is>
          <t>FA-000082</t>
        </is>
      </c>
      <c r="B86" t="inlineStr">
        <is>
          <t>MD-00082</t>
        </is>
      </c>
      <c r="C86" t="inlineStr">
        <is>
          <t>MD-MO-050082</t>
        </is>
      </c>
      <c r="D86" t="inlineStr">
        <is>
          <t>No</t>
        </is>
      </c>
      <c r="E86" t="n">
        <v>745</v>
      </c>
      <c r="F86" t="n">
        <v>259.45</v>
      </c>
      <c r="G86" t="n">
        <v>485.55</v>
      </c>
      <c r="H86" t="inlineStr">
        <is>
          <t>Active</t>
        </is>
      </c>
      <c r="I86" s="18" t="n">
        <v>46243.5</v>
      </c>
    </row>
    <row r="87">
      <c r="A87" t="inlineStr">
        <is>
          <t>FA-000083</t>
        </is>
      </c>
      <c r="B87" t="inlineStr">
        <is>
          <t>MD-00083</t>
        </is>
      </c>
      <c r="C87" t="inlineStr">
        <is>
          <t>MD-MO-050083</t>
        </is>
      </c>
      <c r="D87" t="inlineStr">
        <is>
          <t>No</t>
        </is>
      </c>
      <c r="E87" t="n">
        <v>1220</v>
      </c>
      <c r="F87" t="n">
        <v>267.21</v>
      </c>
      <c r="G87" t="n">
        <v>952.79</v>
      </c>
      <c r="H87" t="inlineStr">
        <is>
          <t>Active</t>
        </is>
      </c>
      <c r="I87" s="18" t="n">
        <v>46243.5</v>
      </c>
    </row>
    <row r="88">
      <c r="A88" t="inlineStr">
        <is>
          <t>FA-000084</t>
        </is>
      </c>
      <c r="B88" t="inlineStr">
        <is>
          <t>MD-00084</t>
        </is>
      </c>
      <c r="C88" t="inlineStr">
        <is>
          <t>MD-NE-050084</t>
        </is>
      </c>
      <c r="D88" t="inlineStr">
        <is>
          <t>Yes</t>
        </is>
      </c>
      <c r="E88" t="n">
        <v>6200</v>
      </c>
      <c r="F88" t="n">
        <v>5666.15</v>
      </c>
      <c r="G88" t="n">
        <v>533.85</v>
      </c>
      <c r="H88" t="inlineStr">
        <is>
          <t>Active</t>
        </is>
      </c>
      <c r="I88" s="18" t="n">
        <v>46243.5</v>
      </c>
    </row>
    <row r="89">
      <c r="A89" t="inlineStr">
        <is>
          <t>FA-000085</t>
        </is>
      </c>
      <c r="B89" t="inlineStr">
        <is>
          <t>MD-00085</t>
        </is>
      </c>
      <c r="C89" t="inlineStr">
        <is>
          <t>MD-LA-050085</t>
        </is>
      </c>
      <c r="D89" t="inlineStr">
        <is>
          <t>No</t>
        </is>
      </c>
      <c r="E89" t="n">
        <v>2090</v>
      </c>
      <c r="F89" t="n">
        <v>2070</v>
      </c>
      <c r="G89" t="n">
        <v>0</v>
      </c>
      <c r="H89" t="inlineStr">
        <is>
          <t>Active</t>
        </is>
      </c>
      <c r="I89" s="18" t="n">
        <v>46243.5</v>
      </c>
    </row>
    <row r="90">
      <c r="A90" t="inlineStr">
        <is>
          <t>FA-000086</t>
        </is>
      </c>
      <c r="B90" t="inlineStr">
        <is>
          <t>MD-00086</t>
        </is>
      </c>
      <c r="C90" t="inlineStr">
        <is>
          <t>MD-MO-050086</t>
        </is>
      </c>
      <c r="D90" t="inlineStr">
        <is>
          <t>No</t>
        </is>
      </c>
      <c r="E90" t="n">
        <v>610</v>
      </c>
      <c r="F90" t="n">
        <v>292.93</v>
      </c>
      <c r="G90" t="n">
        <v>317.07</v>
      </c>
      <c r="H90" t="inlineStr">
        <is>
          <t>Active</t>
        </is>
      </c>
      <c r="I90" s="18" t="n">
        <v>46243.5</v>
      </c>
    </row>
    <row r="91">
      <c r="A91" t="inlineStr">
        <is>
          <t>FA-000087</t>
        </is>
      </c>
      <c r="B91" t="inlineStr">
        <is>
          <t>MD-00087</t>
        </is>
      </c>
      <c r="C91" t="inlineStr">
        <is>
          <t>MD-MO-050087</t>
        </is>
      </c>
      <c r="D91" t="inlineStr">
        <is>
          <t>No</t>
        </is>
      </c>
      <c r="E91" t="n">
        <v>1085</v>
      </c>
      <c r="F91" t="n">
        <v>475.29</v>
      </c>
      <c r="G91" t="n">
        <v>609.71</v>
      </c>
      <c r="H91" t="inlineStr">
        <is>
          <t>Active</t>
        </is>
      </c>
      <c r="I91" s="18" t="n">
        <v>46243.5</v>
      </c>
    </row>
    <row r="92">
      <c r="A92" t="inlineStr">
        <is>
          <t>FA-000088</t>
        </is>
      </c>
      <c r="B92" t="inlineStr">
        <is>
          <t>MD-00088</t>
        </is>
      </c>
      <c r="C92" t="inlineStr">
        <is>
          <t>MD-NE-050088</t>
        </is>
      </c>
      <c r="D92" t="inlineStr">
        <is>
          <t>Yes</t>
        </is>
      </c>
      <c r="E92" t="n">
        <v>6380</v>
      </c>
      <c r="F92" t="n">
        <v>5397.45</v>
      </c>
      <c r="G92" t="n">
        <v>982.55</v>
      </c>
      <c r="H92" t="inlineStr">
        <is>
          <t>Active</t>
        </is>
      </c>
      <c r="I92" s="18" t="n">
        <v>46243.5</v>
      </c>
    </row>
    <row r="93">
      <c r="A93" t="inlineStr">
        <is>
          <t>FA-000089</t>
        </is>
      </c>
      <c r="B93" t="inlineStr">
        <is>
          <t>MD-00089</t>
        </is>
      </c>
      <c r="C93" t="inlineStr">
        <is>
          <t>MD-LA-050089</t>
        </is>
      </c>
      <c r="D93" t="inlineStr">
        <is>
          <t>No</t>
        </is>
      </c>
      <c r="E93" t="n">
        <v>2075</v>
      </c>
      <c r="F93" t="n">
        <v>2075</v>
      </c>
      <c r="G93" t="n">
        <v>0</v>
      </c>
      <c r="H93" t="inlineStr">
        <is>
          <t>Active</t>
        </is>
      </c>
      <c r="I93" s="18" t="n">
        <v>46243.5</v>
      </c>
    </row>
    <row r="94">
      <c r="A94" t="inlineStr">
        <is>
          <t>FA-000090</t>
        </is>
      </c>
      <c r="B94" t="inlineStr">
        <is>
          <t>MD-00090</t>
        </is>
      </c>
      <c r="C94" t="inlineStr">
        <is>
          <t>MD-MO-050090</t>
        </is>
      </c>
      <c r="D94" t="inlineStr">
        <is>
          <t>No</t>
        </is>
      </c>
      <c r="E94" t="n">
        <v>790</v>
      </c>
      <c r="F94" t="n">
        <v>324.87</v>
      </c>
      <c r="G94" t="n">
        <v>465.13</v>
      </c>
      <c r="H94" t="inlineStr">
        <is>
          <t>Active</t>
        </is>
      </c>
      <c r="I94" s="18" t="n">
        <v>46243.5</v>
      </c>
    </row>
    <row r="95">
      <c r="A95" t="inlineStr">
        <is>
          <t>FA-000091</t>
        </is>
      </c>
      <c r="B95" t="inlineStr">
        <is>
          <t>MD-00091</t>
        </is>
      </c>
      <c r="C95" t="inlineStr">
        <is>
          <t>MD-MO-050091</t>
        </is>
      </c>
      <c r="D95" t="inlineStr">
        <is>
          <t>No</t>
        </is>
      </c>
      <c r="E95" t="n">
        <v>950</v>
      </c>
      <c r="F95" t="n">
        <v>306.91</v>
      </c>
      <c r="G95" t="n">
        <v>643.09</v>
      </c>
      <c r="H95" t="inlineStr">
        <is>
          <t>Active</t>
        </is>
      </c>
      <c r="I95" s="18" t="n">
        <v>46243.5</v>
      </c>
    </row>
    <row r="96">
      <c r="A96" t="inlineStr">
        <is>
          <t>FA-000092</t>
        </is>
      </c>
      <c r="B96" t="inlineStr">
        <is>
          <t>MD-00092</t>
        </is>
      </c>
      <c r="C96" t="inlineStr">
        <is>
          <t>MD-NE-050088</t>
        </is>
      </c>
      <c r="D96" t="inlineStr">
        <is>
          <t>Yes</t>
        </is>
      </c>
      <c r="E96" t="n">
        <v>6245</v>
      </c>
      <c r="F96" t="n">
        <v>4848.96</v>
      </c>
      <c r="G96" t="n">
        <v>1396.04</v>
      </c>
      <c r="H96" t="inlineStr">
        <is>
          <t>Active</t>
        </is>
      </c>
      <c r="I96" s="18" t="n">
        <v>46243.5</v>
      </c>
    </row>
    <row r="97">
      <c r="A97" t="inlineStr">
        <is>
          <t>FA-000093</t>
        </is>
      </c>
      <c r="B97" t="inlineStr">
        <is>
          <t>MD-00093</t>
        </is>
      </c>
      <c r="C97" t="inlineStr">
        <is>
          <t>MD-LA-050093</t>
        </is>
      </c>
      <c r="D97" t="inlineStr">
        <is>
          <t>No</t>
        </is>
      </c>
      <c r="E97" t="n">
        <v>1940</v>
      </c>
      <c r="F97" t="n">
        <v>1809.43</v>
      </c>
      <c r="G97" t="n">
        <v>130.57</v>
      </c>
      <c r="H97" t="inlineStr">
        <is>
          <t>Active</t>
        </is>
      </c>
      <c r="I97" s="18" t="n">
        <v>46243.5</v>
      </c>
    </row>
    <row r="98">
      <c r="A98" t="inlineStr">
        <is>
          <t>FA-000094</t>
        </is>
      </c>
      <c r="B98" t="inlineStr">
        <is>
          <t>MD-00094</t>
        </is>
      </c>
      <c r="C98" t="inlineStr">
        <is>
          <t>MD-MO-050094</t>
        </is>
      </c>
      <c r="D98" t="inlineStr">
        <is>
          <t>No</t>
        </is>
      </c>
      <c r="E98" t="n">
        <v>655</v>
      </c>
      <c r="F98" t="n">
        <v>223.8</v>
      </c>
      <c r="G98" t="n">
        <v>431.2</v>
      </c>
      <c r="H98" t="inlineStr">
        <is>
          <t>Active</t>
        </is>
      </c>
      <c r="I98" s="18" t="n">
        <v>46243.5</v>
      </c>
    </row>
    <row r="99">
      <c r="A99" t="inlineStr">
        <is>
          <t>FA-000095</t>
        </is>
      </c>
      <c r="B99" t="inlineStr">
        <is>
          <t>MD-00095</t>
        </is>
      </c>
      <c r="C99" t="inlineStr">
        <is>
          <t>MD-MO-050095</t>
        </is>
      </c>
      <c r="D99" t="inlineStr">
        <is>
          <t>No</t>
        </is>
      </c>
      <c r="E99" t="n">
        <v>1130</v>
      </c>
      <c r="F99" t="n">
        <v>235.13</v>
      </c>
      <c r="G99" t="n">
        <v>894.87</v>
      </c>
      <c r="H99" t="inlineStr">
        <is>
          <t>Active</t>
        </is>
      </c>
      <c r="I99" s="18" t="n">
        <v>46243.5</v>
      </c>
    </row>
    <row r="100">
      <c r="A100" t="inlineStr">
        <is>
          <t>FA-000096</t>
        </is>
      </c>
      <c r="B100" t="inlineStr">
        <is>
          <t>MD-00096</t>
        </is>
      </c>
      <c r="C100" t="inlineStr">
        <is>
          <t>MD-NE-050096</t>
        </is>
      </c>
      <c r="D100" t="inlineStr">
        <is>
          <t>Yes</t>
        </is>
      </c>
      <c r="E100" t="n">
        <v>6425</v>
      </c>
      <c r="F100" t="n">
        <v>5913.99</v>
      </c>
      <c r="G100" t="n">
        <v>511.01</v>
      </c>
      <c r="H100" t="inlineStr">
        <is>
          <t>Active</t>
        </is>
      </c>
      <c r="I100" s="18" t="n">
        <v>46243.5</v>
      </c>
    </row>
    <row r="101">
      <c r="A101" t="inlineStr">
        <is>
          <t>FA-000097</t>
        </is>
      </c>
      <c r="B101" t="inlineStr">
        <is>
          <t>MD-00097</t>
        </is>
      </c>
      <c r="C101" t="inlineStr">
        <is>
          <t>MD-LA-050097</t>
        </is>
      </c>
      <c r="D101" t="inlineStr">
        <is>
          <t>No</t>
        </is>
      </c>
      <c r="E101" t="n">
        <v>2120</v>
      </c>
      <c r="F101" t="n">
        <v>2120</v>
      </c>
      <c r="G101" t="n">
        <v>0</v>
      </c>
      <c r="H101" t="inlineStr">
        <is>
          <t>Active</t>
        </is>
      </c>
      <c r="I101" s="18" t="n">
        <v>46243.5</v>
      </c>
    </row>
    <row r="102">
      <c r="A102" t="inlineStr">
        <is>
          <t>FA-000098</t>
        </is>
      </c>
      <c r="B102" t="inlineStr">
        <is>
          <t>MD-00098</t>
        </is>
      </c>
      <c r="C102" t="inlineStr">
        <is>
          <t>MD-MO-050098</t>
        </is>
      </c>
      <c r="D102" t="inlineStr">
        <is>
          <t>No</t>
        </is>
      </c>
      <c r="E102" t="n">
        <v>520</v>
      </c>
      <c r="F102" t="n">
        <v>253.13</v>
      </c>
      <c r="G102" t="n">
        <v>266.87</v>
      </c>
      <c r="H102" t="inlineStr">
        <is>
          <t>Active</t>
        </is>
      </c>
      <c r="I102" s="18" t="n">
        <v>46243.5</v>
      </c>
    </row>
    <row r="103">
      <c r="A103" t="inlineStr">
        <is>
          <t>FA-000099</t>
        </is>
      </c>
      <c r="B103" t="inlineStr">
        <is>
          <t>MD-00099</t>
        </is>
      </c>
      <c r="C103" t="inlineStr">
        <is>
          <t>MD-MO-050099</t>
        </is>
      </c>
      <c r="D103" t="inlineStr">
        <is>
          <t>No</t>
        </is>
      </c>
      <c r="E103" t="n">
        <v>995</v>
      </c>
      <c r="F103" t="n">
        <v>446.76</v>
      </c>
      <c r="G103" t="n">
        <v>548.24</v>
      </c>
      <c r="H103" t="inlineStr">
        <is>
          <t>Active</t>
        </is>
      </c>
      <c r="I103" s="18" t="n">
        <v>46243.5</v>
      </c>
    </row>
    <row r="104">
      <c r="A104" t="inlineStr">
        <is>
          <t>FA-000100</t>
        </is>
      </c>
      <c r="B104" t="inlineStr">
        <is>
          <t>MD-00100</t>
        </is>
      </c>
      <c r="C104" t="inlineStr">
        <is>
          <t>MD-NE-050100</t>
        </is>
      </c>
      <c r="D104" t="inlineStr">
        <is>
          <t>Yes</t>
        </is>
      </c>
      <c r="E104" t="n">
        <v>6290</v>
      </c>
      <c r="F104" t="n">
        <v>5362.64</v>
      </c>
      <c r="G104" t="n">
        <v>927.36</v>
      </c>
      <c r="H104" t="inlineStr">
        <is>
          <t>Active</t>
        </is>
      </c>
      <c r="I104" s="18" t="n">
        <v>46243.5</v>
      </c>
    </row>
    <row r="105">
      <c r="A105" t="inlineStr">
        <is>
          <t>FA-000101</t>
        </is>
      </c>
      <c r="B105" t="inlineStr">
        <is>
          <t>MD-00101</t>
        </is>
      </c>
      <c r="C105" t="inlineStr">
        <is>
          <t>MD-LA-050101</t>
        </is>
      </c>
      <c r="D105" t="inlineStr">
        <is>
          <t>No</t>
        </is>
      </c>
      <c r="E105" t="n">
        <v>1985</v>
      </c>
      <c r="F105" t="n">
        <v>1985</v>
      </c>
      <c r="G105" t="n">
        <v>0</v>
      </c>
      <c r="H105" t="inlineStr">
        <is>
          <t>Active</t>
        </is>
      </c>
      <c r="I105" s="18" t="n">
        <v>46243.5</v>
      </c>
    </row>
    <row r="106">
      <c r="A106" t="inlineStr">
        <is>
          <t>FA-000102</t>
        </is>
      </c>
      <c r="B106" t="inlineStr">
        <is>
          <t>MD-00102</t>
        </is>
      </c>
      <c r="C106" t="inlineStr">
        <is>
          <t>MD-MO-050102</t>
        </is>
      </c>
      <c r="D106" t="inlineStr">
        <is>
          <t>No</t>
        </is>
      </c>
      <c r="E106" t="n">
        <v>820</v>
      </c>
      <c r="F106" t="n">
        <v>467.46</v>
      </c>
      <c r="G106" t="n">
        <v>407.54</v>
      </c>
      <c r="H106" t="inlineStr">
        <is>
          <t>Active</t>
        </is>
      </c>
      <c r="I106" s="18" t="n">
        <v>46243.5</v>
      </c>
    </row>
    <row r="107">
      <c r="A107" t="inlineStr">
        <is>
          <t>FA-000103</t>
        </is>
      </c>
      <c r="B107" t="inlineStr">
        <is>
          <t>MD-00103</t>
        </is>
      </c>
      <c r="C107" t="inlineStr">
        <is>
          <t>MD-MO-050103</t>
        </is>
      </c>
      <c r="D107" t="inlineStr">
        <is>
          <t>No</t>
        </is>
      </c>
      <c r="E107" t="n">
        <v>1175</v>
      </c>
      <c r="F107" t="n">
        <v>392.47</v>
      </c>
      <c r="G107" t="n">
        <v>782.53</v>
      </c>
      <c r="H107" t="inlineStr">
        <is>
          <t>Active</t>
        </is>
      </c>
      <c r="I107" s="18" t="n">
        <v>46243.5</v>
      </c>
    </row>
    <row r="108">
      <c r="A108" t="inlineStr">
        <is>
          <t>FA-000104</t>
        </is>
      </c>
      <c r="B108" t="inlineStr">
        <is>
          <t>MD-00104</t>
        </is>
      </c>
      <c r="C108" t="inlineStr">
        <is>
          <t>MD-NE-050104</t>
        </is>
      </c>
      <c r="D108" t="inlineStr">
        <is>
          <t>Yes</t>
        </is>
      </c>
      <c r="E108" t="n">
        <v>6470</v>
      </c>
      <c r="F108" t="n">
        <v>5066.17</v>
      </c>
      <c r="G108" t="n">
        <v>1403.83</v>
      </c>
      <c r="H108" t="inlineStr">
        <is>
          <t>Active</t>
        </is>
      </c>
      <c r="I108" s="18" t="n">
        <v>46243.5</v>
      </c>
    </row>
    <row r="109">
      <c r="A109" t="inlineStr">
        <is>
          <t>FA-000105</t>
        </is>
      </c>
      <c r="B109" t="inlineStr">
        <is>
          <t>MD-00105</t>
        </is>
      </c>
      <c r="C109" t="inlineStr">
        <is>
          <t>MD-LA-050105</t>
        </is>
      </c>
      <c r="D109" t="inlineStr">
        <is>
          <t>No</t>
        </is>
      </c>
      <c r="E109" t="n">
        <v>1850</v>
      </c>
      <c r="F109" t="n">
        <v>1745.74</v>
      </c>
      <c r="G109" t="n">
        <v>104.26</v>
      </c>
      <c r="H109" t="inlineStr">
        <is>
          <t>Active</t>
        </is>
      </c>
      <c r="I109" s="18" t="n">
        <v>46243.5</v>
      </c>
    </row>
    <row r="110">
      <c r="A110" t="inlineStr">
        <is>
          <t>FA-000106</t>
        </is>
      </c>
      <c r="B110" t="inlineStr">
        <is>
          <t>MD-00106</t>
        </is>
      </c>
      <c r="C110" t="inlineStr">
        <is>
          <t>MD-MO-050106</t>
        </is>
      </c>
      <c r="D110" t="inlineStr">
        <is>
          <t>No</t>
        </is>
      </c>
      <c r="E110" t="n">
        <v>565</v>
      </c>
      <c r="F110" t="n">
        <v>196.76</v>
      </c>
      <c r="G110" t="n">
        <v>368.24</v>
      </c>
      <c r="H110" t="inlineStr">
        <is>
          <t>Active</t>
        </is>
      </c>
      <c r="I110" s="18" t="n">
        <v>46243.5</v>
      </c>
    </row>
    <row r="111">
      <c r="A111" t="inlineStr">
        <is>
          <t>FA-000107</t>
        </is>
      </c>
      <c r="B111" t="inlineStr">
        <is>
          <t>MD-00107</t>
        </is>
      </c>
      <c r="C111" t="inlineStr">
        <is>
          <t>MD-MO-050107</t>
        </is>
      </c>
      <c r="D111" t="inlineStr">
        <is>
          <t>No</t>
        </is>
      </c>
      <c r="E111" t="n">
        <v>1040</v>
      </c>
      <c r="F111" t="n">
        <v>227.79</v>
      </c>
      <c r="G111" t="n">
        <v>812.21</v>
      </c>
      <c r="H111" t="inlineStr">
        <is>
          <t>Active</t>
        </is>
      </c>
      <c r="I111" s="18" t="n">
        <v>46243.5</v>
      </c>
    </row>
    <row r="112">
      <c r="A112" t="inlineStr">
        <is>
          <t>FA-000108</t>
        </is>
      </c>
      <c r="B112" t="inlineStr">
        <is>
          <t>MD-00108</t>
        </is>
      </c>
      <c r="C112" t="inlineStr">
        <is>
          <t>MD-NE-050108</t>
        </is>
      </c>
      <c r="D112" t="inlineStr">
        <is>
          <t>Yes</t>
        </is>
      </c>
      <c r="E112" t="n">
        <v>6335</v>
      </c>
      <c r="F112" t="n">
        <v>5789.52</v>
      </c>
      <c r="G112" t="n">
        <v>545.48</v>
      </c>
      <c r="H112" t="inlineStr">
        <is>
          <t>Active</t>
        </is>
      </c>
      <c r="I112" s="18" t="n">
        <v>46243.5</v>
      </c>
    </row>
    <row r="113">
      <c r="A113" t="inlineStr">
        <is>
          <t>FA-000109</t>
        </is>
      </c>
      <c r="B113" t="inlineStr">
        <is>
          <t>MD-00109</t>
        </is>
      </c>
      <c r="C113" t="inlineStr">
        <is>
          <t>MD-LA-050109</t>
        </is>
      </c>
      <c r="D113" t="inlineStr">
        <is>
          <t>No</t>
        </is>
      </c>
      <c r="E113" t="n">
        <v>2030</v>
      </c>
      <c r="F113" t="n">
        <v>2030</v>
      </c>
      <c r="G113" t="n">
        <v>0</v>
      </c>
      <c r="H113" t="inlineStr">
        <is>
          <t>Active</t>
        </is>
      </c>
      <c r="I113" s="18" t="n">
        <v>46243.5</v>
      </c>
    </row>
    <row r="114">
      <c r="A114" t="inlineStr">
        <is>
          <t>FA-000110</t>
        </is>
      </c>
      <c r="B114" t="inlineStr">
        <is>
          <t>MD-00110</t>
        </is>
      </c>
      <c r="C114" t="inlineStr">
        <is>
          <t>MD-MO-050110</t>
        </is>
      </c>
      <c r="D114" t="inlineStr">
        <is>
          <t>No</t>
        </is>
      </c>
      <c r="E114" t="n">
        <v>745</v>
      </c>
      <c r="F114" t="n">
        <v>357.76</v>
      </c>
      <c r="G114" t="n">
        <v>387.24</v>
      </c>
      <c r="H114" t="inlineStr">
        <is>
          <t>Active</t>
        </is>
      </c>
      <c r="I114" s="18" t="n">
        <v>46243.5</v>
      </c>
    </row>
    <row r="115">
      <c r="A115" t="inlineStr">
        <is>
          <t>FA-000111</t>
        </is>
      </c>
      <c r="B115" t="inlineStr">
        <is>
          <t>MD-00111</t>
        </is>
      </c>
      <c r="C115" t="inlineStr">
        <is>
          <t>MD-MO-050111</t>
        </is>
      </c>
      <c r="D115" t="inlineStr">
        <is>
          <t>No</t>
        </is>
      </c>
      <c r="E115" t="n">
        <v>1220</v>
      </c>
      <c r="F115" t="n">
        <v>1220</v>
      </c>
      <c r="G115" t="n">
        <v>0</v>
      </c>
      <c r="H115" t="inlineStr">
        <is>
          <t>Disposed</t>
        </is>
      </c>
      <c r="I115" s="18" t="n">
        <v>46243.5</v>
      </c>
    </row>
    <row r="116">
      <c r="A116" t="inlineStr">
        <is>
          <t>FA-000112</t>
        </is>
      </c>
      <c r="B116" t="inlineStr">
        <is>
          <t>MD-00112</t>
        </is>
      </c>
      <c r="C116" t="inlineStr">
        <is>
          <t>MD-NE-050112</t>
        </is>
      </c>
      <c r="D116" t="inlineStr">
        <is>
          <t>Yes</t>
        </is>
      </c>
      <c r="E116" t="n">
        <v>6200</v>
      </c>
      <c r="F116" t="n">
        <v>6200</v>
      </c>
      <c r="G116" t="n">
        <v>0</v>
      </c>
      <c r="H116" t="inlineStr">
        <is>
          <t>Disposed</t>
        </is>
      </c>
      <c r="I116" s="18" t="n">
        <v>46243.5</v>
      </c>
    </row>
    <row r="117">
      <c r="A117" t="inlineStr">
        <is>
          <t>FA-000113</t>
        </is>
      </c>
      <c r="B117" t="inlineStr">
        <is>
          <t>MD-00113</t>
        </is>
      </c>
      <c r="C117" t="inlineStr">
        <is>
          <t>MD-LA-050113</t>
        </is>
      </c>
      <c r="D117" t="inlineStr">
        <is>
          <t>No</t>
        </is>
      </c>
      <c r="E117" t="n">
        <v>1895</v>
      </c>
      <c r="F117" t="n">
        <v>1895</v>
      </c>
      <c r="G117" t="n">
        <v>0</v>
      </c>
      <c r="H117" t="inlineStr">
        <is>
          <t>Disposed</t>
        </is>
      </c>
      <c r="I117" s="18" t="n">
        <v>46243.5</v>
      </c>
    </row>
    <row r="118">
      <c r="A118" t="inlineStr">
        <is>
          <t>FA-000114</t>
        </is>
      </c>
      <c r="B118" t="inlineStr">
        <is>
          <t>MD-00114</t>
        </is>
      </c>
      <c r="C118" t="inlineStr">
        <is>
          <t>MD-MO-050114</t>
        </is>
      </c>
      <c r="D118" t="inlineStr">
        <is>
          <t>No</t>
        </is>
      </c>
      <c r="E118" t="n">
        <v>610</v>
      </c>
      <c r="F118" t="n">
        <v>610</v>
      </c>
      <c r="G118" t="n">
        <v>0</v>
      </c>
      <c r="H118" t="inlineStr">
        <is>
          <t>Disposed</t>
        </is>
      </c>
      <c r="I118" s="18" t="n">
        <v>46243.5</v>
      </c>
    </row>
    <row r="119">
      <c r="A119" t="inlineStr">
        <is>
          <t>FA-000115</t>
        </is>
      </c>
      <c r="B119" t="inlineStr">
        <is>
          <t>MD-00115</t>
        </is>
      </c>
      <c r="C119" t="inlineStr">
        <is>
          <t>MD-MO-050115</t>
        </is>
      </c>
      <c r="D119" t="inlineStr">
        <is>
          <t>No</t>
        </is>
      </c>
      <c r="E119" t="n">
        <v>1085</v>
      </c>
      <c r="F119" t="n">
        <v>1085</v>
      </c>
      <c r="G119" t="n">
        <v>0</v>
      </c>
      <c r="H119" t="inlineStr">
        <is>
          <t>Disposed</t>
        </is>
      </c>
      <c r="I119" s="18" t="n">
        <v>46243.5</v>
      </c>
    </row>
    <row r="120">
      <c r="A120" t="inlineStr">
        <is>
          <t>FA-000116</t>
        </is>
      </c>
      <c r="B120" t="inlineStr">
        <is>
          <t>MD-00116</t>
        </is>
      </c>
      <c r="C120" t="inlineStr">
        <is>
          <t>MD-NE-050116</t>
        </is>
      </c>
      <c r="D120" t="inlineStr">
        <is>
          <t>Yes</t>
        </is>
      </c>
      <c r="E120" t="n">
        <v>6380</v>
      </c>
      <c r="F120" t="n">
        <v>6380</v>
      </c>
      <c r="G120" t="n">
        <v>0</v>
      </c>
      <c r="H120" t="inlineStr">
        <is>
          <t>Disposed</t>
        </is>
      </c>
      <c r="I120" s="18" t="n">
        <v>46243.5</v>
      </c>
    </row>
    <row r="121">
      <c r="A121" t="inlineStr">
        <is>
          <t>FA-000117</t>
        </is>
      </c>
      <c r="B121" t="inlineStr">
        <is>
          <t>MD-00117</t>
        </is>
      </c>
      <c r="C121" t="inlineStr">
        <is>
          <t>MD-LA-050117</t>
        </is>
      </c>
      <c r="D121" t="inlineStr">
        <is>
          <t>No</t>
        </is>
      </c>
      <c r="E121" t="n">
        <v>2075</v>
      </c>
      <c r="F121" t="n">
        <v>2075</v>
      </c>
      <c r="G121" t="n">
        <v>0</v>
      </c>
      <c r="H121" t="inlineStr">
        <is>
          <t>Disposed</t>
        </is>
      </c>
      <c r="I121" s="18" t="n">
        <v>46243.5</v>
      </c>
    </row>
    <row r="122">
      <c r="A122" t="inlineStr">
        <is>
          <t>FA-000118</t>
        </is>
      </c>
      <c r="B122" t="inlineStr">
        <is>
          <t>MD-00118</t>
        </is>
      </c>
      <c r="C122" t="inlineStr">
        <is>
          <t>MD-MO-050118</t>
        </is>
      </c>
      <c r="D122" t="inlineStr">
        <is>
          <t>No</t>
        </is>
      </c>
      <c r="E122" t="n">
        <v>790</v>
      </c>
      <c r="F122" t="n">
        <v>790</v>
      </c>
      <c r="G122" t="n">
        <v>0</v>
      </c>
      <c r="H122" t="inlineStr">
        <is>
          <t>Disposed</t>
        </is>
      </c>
      <c r="I122" s="18" t="n">
        <v>46243.5</v>
      </c>
    </row>
    <row r="123">
      <c r="A123" t="inlineStr">
        <is>
          <t>FA-000119</t>
        </is>
      </c>
      <c r="B123" t="inlineStr">
        <is>
          <t>MD-00119</t>
        </is>
      </c>
      <c r="C123" t="inlineStr">
        <is>
          <t>MD-MO-050119</t>
        </is>
      </c>
      <c r="D123" t="inlineStr">
        <is>
          <t>No</t>
        </is>
      </c>
      <c r="E123" t="n">
        <v>1115</v>
      </c>
      <c r="F123" t="n">
        <v>1125</v>
      </c>
      <c r="G123" t="n">
        <v>0</v>
      </c>
      <c r="H123" t="inlineStr">
        <is>
          <t>Disposed</t>
        </is>
      </c>
      <c r="I123" s="18" t="n">
        <v>46243.5</v>
      </c>
    </row>
    <row r="124">
      <c r="A124" t="inlineStr">
        <is>
          <t>FA-000120</t>
        </is>
      </c>
      <c r="B124" t="inlineStr">
        <is>
          <t>MD-00120</t>
        </is>
      </c>
      <c r="C124" t="inlineStr">
        <is>
          <t>MD-NE-050120</t>
        </is>
      </c>
      <c r="D124" t="inlineStr">
        <is>
          <t>Yes</t>
        </is>
      </c>
      <c r="E124" t="n">
        <v>6245</v>
      </c>
      <c r="F124" t="n">
        <v>6245</v>
      </c>
      <c r="G124" t="n">
        <v>0</v>
      </c>
      <c r="H124" t="inlineStr">
        <is>
          <t>Disposed</t>
        </is>
      </c>
      <c r="I124" s="18" t="n">
        <v>46243.5</v>
      </c>
    </row>
    <row r="125">
      <c r="A125" t="inlineStr">
        <is>
          <t>FA-000121</t>
        </is>
      </c>
      <c r="B125" t="inlineStr">
        <is>
          <t>MD-00121</t>
        </is>
      </c>
      <c r="C125" t="inlineStr">
        <is>
          <t>MD-LA-050121</t>
        </is>
      </c>
      <c r="D125" t="inlineStr">
        <is>
          <t>No</t>
        </is>
      </c>
      <c r="E125" t="n">
        <v>1940</v>
      </c>
      <c r="F125" t="n">
        <v>1940</v>
      </c>
      <c r="G125" t="n">
        <v>0</v>
      </c>
      <c r="H125" t="inlineStr">
        <is>
          <t>Active</t>
        </is>
      </c>
      <c r="I125" s="18" t="n">
        <v>46243.5</v>
      </c>
    </row>
    <row r="126">
      <c r="A126" t="inlineStr">
        <is>
          <t>FA-000122</t>
        </is>
      </c>
      <c r="B126" t="inlineStr">
        <is>
          <t>MD-00122</t>
        </is>
      </c>
      <c r="C126" t="inlineStr">
        <is>
          <t>MD-MO-050122</t>
        </is>
      </c>
      <c r="D126" t="inlineStr">
        <is>
          <t>No</t>
        </is>
      </c>
      <c r="E126" t="n">
        <v>655</v>
      </c>
      <c r="F126" t="n">
        <v>318.85</v>
      </c>
      <c r="G126" t="n">
        <v>336.15</v>
      </c>
      <c r="H126" t="inlineStr">
        <is>
          <t>Active</t>
        </is>
      </c>
      <c r="I126" s="18" t="n">
        <v>46243.5</v>
      </c>
    </row>
    <row r="127">
      <c r="A127" t="inlineStr">
        <is>
          <t>FA-000123</t>
        </is>
      </c>
      <c r="B127" t="inlineStr">
        <is>
          <t>MD-00123</t>
        </is>
      </c>
      <c r="C127" t="inlineStr">
        <is>
          <t>MD-MO-050123</t>
        </is>
      </c>
      <c r="D127" t="inlineStr">
        <is>
          <t>No</t>
        </is>
      </c>
      <c r="E127" t="n">
        <v>1130</v>
      </c>
      <c r="F127" t="n">
        <v>507.38</v>
      </c>
      <c r="G127" t="n">
        <v>622.62</v>
      </c>
      <c r="H127" t="inlineStr">
        <is>
          <t>Active</t>
        </is>
      </c>
      <c r="I127" s="18" t="n">
        <v>46243.5</v>
      </c>
    </row>
    <row r="128">
      <c r="A128" t="inlineStr">
        <is>
          <t>FA-000124</t>
        </is>
      </c>
      <c r="B128" t="inlineStr">
        <is>
          <t>MD-00124</t>
        </is>
      </c>
      <c r="C128" t="inlineStr">
        <is>
          <t>MD-NE-050124</t>
        </is>
      </c>
      <c r="D128" t="inlineStr">
        <is>
          <t>Yes</t>
        </is>
      </c>
      <c r="E128" t="n">
        <v>6425</v>
      </c>
      <c r="F128" t="n">
        <v>5477.74</v>
      </c>
      <c r="G128" t="n">
        <v>947.26</v>
      </c>
      <c r="H128" t="inlineStr">
        <is>
          <t>Active</t>
        </is>
      </c>
      <c r="I128" s="18" t="n">
        <v>46243.5</v>
      </c>
    </row>
    <row r="129">
      <c r="A129" t="inlineStr">
        <is>
          <t>FA-000125</t>
        </is>
      </c>
      <c r="B129" t="inlineStr">
        <is>
          <t>MD-00125</t>
        </is>
      </c>
      <c r="C129" t="inlineStr">
        <is>
          <t>MD-LA-050125</t>
        </is>
      </c>
      <c r="D129" t="inlineStr">
        <is>
          <t>No</t>
        </is>
      </c>
      <c r="E129" t="n">
        <v>2120</v>
      </c>
      <c r="F129" t="n">
        <v>2120</v>
      </c>
      <c r="G129" t="n">
        <v>0</v>
      </c>
      <c r="H129" t="inlineStr">
        <is>
          <t>Active</t>
        </is>
      </c>
      <c r="I129" s="18" t="n">
        <v>46243.5</v>
      </c>
    </row>
    <row r="130">
      <c r="A130" t="inlineStr">
        <is>
          <t>FA-000126</t>
        </is>
      </c>
      <c r="B130" t="inlineStr">
        <is>
          <t>MD-00126</t>
        </is>
      </c>
      <c r="C130" t="inlineStr">
        <is>
          <t>MD-MO-050126</t>
        </is>
      </c>
      <c r="D130" t="inlineStr">
        <is>
          <t>No</t>
        </is>
      </c>
      <c r="E130" t="n">
        <v>520</v>
      </c>
      <c r="F130" t="n">
        <v>217.25</v>
      </c>
      <c r="G130" t="n">
        <v>302.75</v>
      </c>
      <c r="H130" t="inlineStr">
        <is>
          <t>Active</t>
        </is>
      </c>
      <c r="I130" s="18" t="n">
        <v>46243.5</v>
      </c>
    </row>
    <row r="131">
      <c r="A131" t="inlineStr">
        <is>
          <t>FA-000127</t>
        </is>
      </c>
      <c r="B131" t="inlineStr">
        <is>
          <t>MD-00127</t>
        </is>
      </c>
      <c r="C131" t="inlineStr">
        <is>
          <t>MD-MO-050127</t>
        </is>
      </c>
      <c r="D131" t="inlineStr">
        <is>
          <t>No</t>
        </is>
      </c>
      <c r="E131" t="n">
        <v>995</v>
      </c>
      <c r="F131" t="n">
        <v>332.35</v>
      </c>
      <c r="G131" t="n">
        <v>662.65</v>
      </c>
      <c r="H131" t="inlineStr">
        <is>
          <t>Active</t>
        </is>
      </c>
      <c r="I131" s="18" t="n">
        <v>46243.5</v>
      </c>
    </row>
    <row r="132">
      <c r="A132" t="inlineStr">
        <is>
          <t>FA-000128</t>
        </is>
      </c>
      <c r="B132" t="inlineStr">
        <is>
          <t>MD-00128</t>
        </is>
      </c>
      <c r="C132" t="inlineStr">
        <is>
          <t>MD-NE-050128</t>
        </is>
      </c>
      <c r="D132" t="inlineStr">
        <is>
          <t>Yes</t>
        </is>
      </c>
      <c r="E132" t="n">
        <v>6290</v>
      </c>
      <c r="F132" t="n">
        <v>4925.23</v>
      </c>
      <c r="G132" t="n">
        <v>1364.77</v>
      </c>
      <c r="H132" t="inlineStr">
        <is>
          <t>Active</t>
        </is>
      </c>
      <c r="I132" s="18" t="n">
        <v>46243.5</v>
      </c>
    </row>
    <row r="133">
      <c r="A133" t="inlineStr">
        <is>
          <t>FA-000129</t>
        </is>
      </c>
      <c r="B133" t="inlineStr">
        <is>
          <t>MD-00129</t>
        </is>
      </c>
      <c r="C133" t="inlineStr">
        <is>
          <t>MD-LA-050129</t>
        </is>
      </c>
      <c r="D133" t="inlineStr">
        <is>
          <t>No</t>
        </is>
      </c>
      <c r="E133" t="n">
        <v>1985</v>
      </c>
      <c r="F133" t="n">
        <v>1873.14</v>
      </c>
      <c r="G133" t="n">
        <v>111.86</v>
      </c>
      <c r="H133" t="inlineStr">
        <is>
          <t>Active</t>
        </is>
      </c>
      <c r="I133" s="18" t="n">
        <v>46243.5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  <col width="12" customWidth="1" min="3" max="3"/>
    <col width="10" customWidth="1" min="4" max="4"/>
    <col width="32" customWidth="1" min="5" max="5"/>
    <col width="13" customWidth="1" min="6" max="6"/>
    <col width="20" customWidth="1" min="7" max="7"/>
  </cols>
  <sheetData>
    <row r="1">
      <c r="A1" s="1" t="inlineStr">
        <is>
          <t>Yanou &amp; Partners IT Services — IT Asset Reconciliation Dashboard</t>
        </is>
      </c>
    </row>
    <row r="2">
      <c r="A2" s="2" t="inlineStr">
        <is>
          <t>Prepared for IT Operations Manager, Finance Controller, HR Operations Lead, and Internal Audit | As of 2026-08-09 | Policy figure and dock image used as leads only</t>
        </is>
      </c>
    </row>
    <row r="4">
      <c r="A4" s="3" t="inlineStr">
        <is>
          <t>KPI</t>
        </is>
      </c>
      <c r="B4" s="3" t="inlineStr">
        <is>
          <t>Value</t>
        </is>
      </c>
    </row>
    <row r="5">
      <c r="A5" s="4" t="inlineStr">
        <is>
          <t>Assets reviewed</t>
        </is>
      </c>
      <c r="B5" s="5">
        <f>COUNTA('Corrected Register'!$A$5:$A$136)</f>
        <v>132</v>
      </c>
    </row>
    <row r="6">
      <c r="A6" s="4" t="inlineStr">
        <is>
          <t>Corrected register acquisition cost</t>
        </is>
      </c>
      <c r="B6" s="5">
        <f>SUM('Corrected Register'!$M$5:$M$136)</f>
        <v>332115</v>
      </c>
    </row>
    <row r="7">
      <c r="A7" s="4" t="inlineStr">
        <is>
          <t>Remaining book value (ledger NBV where present)</t>
        </is>
      </c>
      <c r="B7" s="5">
        <f>SUM('Corrected Register'!$N$5:$N$136)</f>
        <v>61561.6</v>
      </c>
    </row>
    <row r="8">
      <c r="A8" s="4" t="inlineStr">
        <is>
          <t>Open exceptions</t>
        </is>
      </c>
      <c r="B8" s="5">
        <f>COUNTIF('Exception Register'!$K$5:$K$167,"Open")</f>
        <v>163</v>
      </c>
    </row>
    <row r="9">
      <c r="A9" s="4" t="inlineStr">
        <is>
          <t>Certification blockers (Critical impact)</t>
        </is>
      </c>
      <c r="B9" s="5">
        <f>COUNTIF('Exception Register'!$C$5:$C$167,"Critical")</f>
        <v>43</v>
      </c>
    </row>
    <row r="10">
      <c r="A10" s="4" t="inlineStr">
        <is>
          <t>Assets Missing / Cannot Locate</t>
        </is>
      </c>
      <c r="B10" s="5">
        <f>COUNTIF('Corrected Register'!$J$5:$J$136,"Missing")</f>
        <v>12</v>
      </c>
    </row>
    <row r="11">
      <c r="A11" s="4" t="inlineStr">
        <is>
          <t>Overdue returns (label ≠ proof)</t>
        </is>
      </c>
      <c r="B11" s="5">
        <f>COUNTIF('Corrected Register'!$J$5:$J$136,"Return Overdue")</f>
        <v>12</v>
      </c>
    </row>
    <row r="12">
      <c r="A12" s="4" t="inlineStr">
        <is>
          <t>Verified disposed with certificate</t>
        </is>
      </c>
      <c r="B12" s="5">
        <f>COUNTIF('Corrected Register'!$J$5:$J$136,"Disposed")</f>
        <v>8</v>
      </c>
    </row>
    <row r="13">
      <c r="A13" s="4" t="inlineStr">
        <is>
          <t>Custody chains documented</t>
        </is>
      </c>
      <c r="B13" s="5">
        <f>COUNTA(UNIQUE(FILTER('Custody Chain'!A5:A501,'Custody Chain'!A5:A501&lt;&gt;"")))</f>
        <v>65</v>
      </c>
    </row>
    <row r="14">
      <c r="A14" s="4" t="inlineStr">
        <is>
          <t>Multimodal image leads cited</t>
        </is>
      </c>
      <c r="B14" s="5" t="inlineStr">
        <is>
          <t>ITAM_control_matrix.png; receiving_exception_scan_1ZMD00000082.png</t>
        </is>
      </c>
    </row>
    <row r="17">
      <c r="A17" s="6" t="inlineStr">
        <is>
          <t>Asset Counts and Book Value by Verified Status</t>
        </is>
      </c>
      <c r="E17" s="6" t="inlineStr">
        <is>
          <t>By Device Category</t>
        </is>
      </c>
    </row>
    <row r="18">
      <c r="A18" s="3" t="inlineStr">
        <is>
          <t>Verified Status</t>
        </is>
      </c>
      <c r="B18" s="3" t="inlineStr">
        <is>
          <t>Asset Count</t>
        </is>
      </c>
      <c r="C18" s="3" t="inlineStr">
        <is>
          <t>Book Value</t>
        </is>
      </c>
      <c r="E18" s="3" t="inlineStr">
        <is>
          <t>Category</t>
        </is>
      </c>
      <c r="F18" s="3" t="inlineStr">
        <is>
          <t>Asset Count</t>
        </is>
      </c>
      <c r="G18" s="3" t="inlineStr">
        <is>
          <t>Book Value</t>
        </is>
      </c>
    </row>
    <row r="19">
      <c r="A19" s="7" t="inlineStr">
        <is>
          <t>Available</t>
        </is>
      </c>
      <c r="B19" s="7">
        <f>COUNTIF('Corrected Register'!$J$5:$J$136,A19)</f>
        <v>25</v>
      </c>
      <c r="C19" s="7">
        <f>SUMIF('Corrected Register'!$J$5:$J$136,A19,'Corrected Register'!$N$5:$N$136)</f>
        <v>12961</v>
      </c>
      <c r="E19" s="7" t="inlineStr">
        <is>
          <t>Laptop</t>
        </is>
      </c>
      <c r="F19" s="7">
        <f>COUNTIF('Corrected Register'!$C$5:$C$136,E19)</f>
        <v>32</v>
      </c>
      <c r="G19" s="7">
        <f>SUMIF('Corrected Register'!$C$5:$C$136,E19,'Corrected Register'!$N$5:$N$136)</f>
        <v>1194.95</v>
      </c>
    </row>
    <row r="20">
      <c r="A20" s="7" t="inlineStr">
        <is>
          <t>Disposed</t>
        </is>
      </c>
      <c r="B20" s="7">
        <f>COUNTIF('Corrected Register'!$J$5:$J$136,A20)</f>
        <v>8</v>
      </c>
      <c r="C20" s="7">
        <f>SUMIF('Corrected Register'!$J$5:$J$136,A20,'Corrected Register'!$N$5:$N$136)</f>
        <v>0</v>
      </c>
      <c r="E20" s="7" t="inlineStr">
        <is>
          <t>Mobile Device</t>
        </is>
      </c>
      <c r="F20" s="7">
        <f>COUNTIF('Corrected Register'!$C$5:$C$136,E20)</f>
        <v>33</v>
      </c>
      <c r="G20" s="7">
        <f>SUMIF('Corrected Register'!$C$5:$C$136,E20,'Corrected Register'!$N$5:$N$136)</f>
        <v>20855.29</v>
      </c>
    </row>
    <row r="21">
      <c r="A21" s="8" t="inlineStr">
        <is>
          <t>In Transit - Exception</t>
        </is>
      </c>
      <c r="B21" s="7">
        <f>COUNTIF('Corrected Register'!$J$5:$J$136,A21)</f>
        <v>2</v>
      </c>
      <c r="C21" s="7">
        <f>SUMIF('Corrected Register'!$J$5:$J$136,A21,'Corrected Register'!$N$5:$N$136)</f>
        <v>1019.4</v>
      </c>
      <c r="E21" s="7" t="inlineStr">
        <is>
          <t>Monitor</t>
        </is>
      </c>
      <c r="F21" s="7">
        <f>COUNTIF('Corrected Register'!$C$5:$C$136,E21)</f>
        <v>34</v>
      </c>
      <c r="G21" s="7">
        <f>SUMIF('Corrected Register'!$C$5:$C$136,E21,'Corrected Register'!$N$5:$N$136)</f>
        <v>11329.87</v>
      </c>
    </row>
    <row r="22">
      <c r="A22" s="7" t="inlineStr">
        <is>
          <t>In Use</t>
        </is>
      </c>
      <c r="B22" s="7">
        <f>COUNTIF('Corrected Register'!$J$5:$J$136,A22)</f>
        <v>51</v>
      </c>
      <c r="C22" s="7">
        <f>SUMIF('Corrected Register'!$J$5:$J$136,A22,'Corrected Register'!$N$5:$N$136)</f>
        <v>25512.76</v>
      </c>
      <c r="E22" s="7" t="inlineStr">
        <is>
          <t>Network Asset</t>
        </is>
      </c>
      <c r="F22" s="7">
        <f>COUNTIF('Corrected Register'!$C$5:$C$136,E22)</f>
        <v>33</v>
      </c>
      <c r="G22" s="7">
        <f>SUMIF('Corrected Register'!$C$5:$C$136,E22,'Corrected Register'!$N$5:$N$136)</f>
        <v>28181.49</v>
      </c>
    </row>
    <row r="23">
      <c r="A23" s="8" t="inlineStr">
        <is>
          <t>Missing</t>
        </is>
      </c>
      <c r="B23" s="7">
        <f>COUNTIF('Corrected Register'!$J$5:$J$136,A23)</f>
        <v>12</v>
      </c>
      <c r="C23" s="7">
        <f>SUMIF('Corrected Register'!$J$5:$J$136,A23,'Corrected Register'!$N$5:$N$136)</f>
        <v>6214.38</v>
      </c>
    </row>
    <row r="24">
      <c r="A24" s="7" t="inlineStr">
        <is>
          <t>Pending Redeployment</t>
        </is>
      </c>
      <c r="B24" s="7">
        <f>COUNTIF('Corrected Register'!$J$5:$J$136,A24)</f>
        <v>10</v>
      </c>
      <c r="C24" s="7">
        <f>SUMIF('Corrected Register'!$J$5:$J$136,A24,'Corrected Register'!$N$5:$N$136)</f>
        <v>4851.08</v>
      </c>
    </row>
    <row r="25">
      <c r="A25" s="7" t="inlineStr">
        <is>
          <t>Retired/Pending Disposal</t>
        </is>
      </c>
      <c r="B25" s="7">
        <f>COUNTIF('Corrected Register'!$J$5:$J$136,A25)</f>
        <v>12</v>
      </c>
      <c r="C25" s="7">
        <f>SUMIF('Corrected Register'!$J$5:$J$136,A25,'Corrected Register'!$N$5:$N$136)</f>
        <v>4811.33</v>
      </c>
    </row>
    <row r="26">
      <c r="A26" s="8" t="inlineStr">
        <is>
          <t>Return Overdue</t>
        </is>
      </c>
      <c r="B26" s="7">
        <f>COUNTIF('Corrected Register'!$J$5:$J$136,A26)</f>
        <v>12</v>
      </c>
      <c r="C26" s="7">
        <f>SUMIF('Corrected Register'!$J$5:$J$136,A26,'Corrected Register'!$N$5:$N$136)</f>
        <v>6191.65</v>
      </c>
    </row>
    <row r="30">
      <c r="A30" s="6" t="inlineStr">
        <is>
          <t>By Verified Location</t>
        </is>
      </c>
      <c r="E30" s="6" t="inlineStr">
        <is>
          <t>Open Exceptions by Type</t>
        </is>
      </c>
    </row>
    <row r="31">
      <c r="A31" s="3" t="inlineStr">
        <is>
          <t>Verified Location</t>
        </is>
      </c>
      <c r="B31" s="3" t="inlineStr">
        <is>
          <t>Asset Count</t>
        </is>
      </c>
      <c r="C31" s="3" t="inlineStr">
        <is>
          <t>Book Value</t>
        </is>
      </c>
      <c r="E31" s="3" t="inlineStr">
        <is>
          <t>Type</t>
        </is>
      </c>
      <c r="F31" s="3" t="inlineStr">
        <is>
          <t>Count</t>
        </is>
      </c>
      <c r="G31" s="3" t="inlineStr">
        <is>
          <t>Financial Exposure</t>
        </is>
      </c>
    </row>
    <row r="32">
      <c r="A32" s="7" t="inlineStr">
        <is>
          <t>Chicago</t>
        </is>
      </c>
      <c r="B32" s="7">
        <f>COUNTIF('Corrected Register'!$I$5:$I$136,A32)</f>
        <v>16</v>
      </c>
      <c r="C32" s="7">
        <f>SUMIF('Corrected Register'!$I$5:$I$136,A32,'Corrected Register'!$N$5:$N$136)</f>
        <v>5184.18</v>
      </c>
      <c r="E32" s="7" t="inlineStr">
        <is>
          <t>Cannot Locate</t>
        </is>
      </c>
      <c r="F32" s="7">
        <f>COUNTIF('Exception Register'!$B$5:$B$167,E32)</f>
        <v>12</v>
      </c>
      <c r="G32" s="7">
        <f>SUMIF('Exception Register'!$B$5:$B$167,E32,'Exception Register'!$G$5:$G$167)</f>
        <v>6214.38</v>
      </c>
    </row>
    <row r="33">
      <c r="A33" s="7" t="inlineStr">
        <is>
          <t>Atlanta</t>
        </is>
      </c>
      <c r="B33" s="7">
        <f>COUNTIF('Corrected Register'!$I$5:$I$136,A33)</f>
        <v>15</v>
      </c>
      <c r="C33" s="7">
        <f>SUMIF('Corrected Register'!$I$5:$I$136,A33,'Corrected Register'!$N$5:$N$136)</f>
        <v>6267.29</v>
      </c>
      <c r="E33" s="7" t="inlineStr">
        <is>
          <t>Closed Location Assignment</t>
        </is>
      </c>
      <c r="F33" s="7">
        <f>COUNTIF('Exception Register'!$B$5:$B$167,E33)</f>
        <v>61</v>
      </c>
      <c r="G33" s="7">
        <f>SUMIF('Exception Register'!$B$5:$B$167,E33,'Exception Register'!$G$5:$G$167)</f>
        <v>29098.84</v>
      </c>
    </row>
    <row r="34">
      <c r="A34" s="7" t="inlineStr">
        <is>
          <t>Dallas</t>
        </is>
      </c>
      <c r="B34" s="7">
        <f>COUNTIF('Corrected Register'!$I$5:$I$136,A34)</f>
        <v>15</v>
      </c>
      <c r="C34" s="7">
        <f>SUMIF('Corrected Register'!$I$5:$I$136,A34,'Corrected Register'!$N$5:$N$136)</f>
        <v>11070.95</v>
      </c>
      <c r="E34" s="7" t="inlineStr">
        <is>
          <t>Duplicate Serial Number</t>
        </is>
      </c>
      <c r="F34" s="7">
        <f>COUNTIF('Exception Register'!$B$5:$B$167,E34)</f>
        <v>4</v>
      </c>
      <c r="G34" s="7">
        <f>SUMIF('Exception Register'!$B$5:$B$167,E34,'Exception Register'!$G$5:$G$167)</f>
        <v>2503.11</v>
      </c>
    </row>
    <row r="35">
      <c r="A35" s="7" t="inlineStr">
        <is>
          <t>Seattle</t>
        </is>
      </c>
      <c r="B35" s="7">
        <f>COUNTIF('Corrected Register'!$I$5:$I$136,A35)</f>
        <v>15</v>
      </c>
      <c r="C35" s="7">
        <f>SUMIF('Corrected Register'!$I$5:$I$136,A35,'Corrected Register'!$N$5:$N$136)</f>
        <v>5149.95</v>
      </c>
      <c r="E35" s="7" t="inlineStr">
        <is>
          <t>Former Employee Assignment</t>
        </is>
      </c>
      <c r="F35" s="7">
        <f>COUNTIF('Exception Register'!$B$5:$B$167,E35)</f>
        <v>43</v>
      </c>
      <c r="G35" s="7">
        <f>SUMIF('Exception Register'!$B$5:$B$167,E35,'Exception Register'!$G$5:$G$167)</f>
        <v>22627.56</v>
      </c>
    </row>
    <row r="36">
      <c r="A36" s="7" t="inlineStr">
        <is>
          <t>Denver</t>
        </is>
      </c>
      <c r="B36" s="7">
        <f>COUNTIF('Corrected Register'!$I$5:$I$136,A36)</f>
        <v>14</v>
      </c>
      <c r="C36" s="7">
        <f>SUMIF('Corrected Register'!$I$5:$I$136,A36,'Corrected Register'!$N$5:$N$136)</f>
        <v>5551.75</v>
      </c>
      <c r="E36" s="7" t="inlineStr">
        <is>
          <t>Inventory-to-Ledger Difference</t>
        </is>
      </c>
      <c r="F36" s="7">
        <f>COUNTIF('Exception Register'!$B$5:$B$167,E36)</f>
        <v>8</v>
      </c>
      <c r="G36" s="7">
        <f>SUMIF('Exception Register'!$B$5:$B$167,E36,'Exception Register'!$G$5:$G$167)</f>
        <v>7440</v>
      </c>
    </row>
    <row r="37">
      <c r="A37" s="7" t="inlineStr">
        <is>
          <t>New York</t>
        </is>
      </c>
      <c r="B37" s="7">
        <f>COUNTIF('Corrected Register'!$I$5:$I$136,A37)</f>
        <v>14</v>
      </c>
      <c r="C37" s="7">
        <f>SUMIF('Corrected Register'!$I$5:$I$136,A37,'Corrected Register'!$N$5:$N$136)</f>
        <v>10561</v>
      </c>
      <c r="E37" s="7" t="inlineStr">
        <is>
          <t>Missing Disposal Evidence</t>
        </is>
      </c>
      <c r="F37" s="7">
        <f>COUNTIF('Exception Register'!$B$5:$B$167,E37)</f>
        <v>12</v>
      </c>
      <c r="G37" s="7">
        <f>SUMIF('Exception Register'!$B$5:$B$167,E37,'Exception Register'!$G$5:$G$167)</f>
        <v>4811.33</v>
      </c>
    </row>
    <row r="38">
      <c r="A38" s="7" t="inlineStr">
        <is>
          <t>Unknown</t>
        </is>
      </c>
      <c r="B38" s="7">
        <f>COUNTIF('Corrected Register'!$I$5:$I$136,A38)</f>
        <v>12</v>
      </c>
      <c r="C38" s="7">
        <f>SUMIF('Corrected Register'!$I$5:$I$136,A38,'Corrected Register'!$N$5:$N$136)</f>
        <v>6214.38</v>
      </c>
      <c r="E38" s="7" t="inlineStr">
        <is>
          <t>Overdue Return</t>
        </is>
      </c>
      <c r="F38" s="7">
        <f>COUNTIF('Exception Register'!$B$5:$B$167,E38)</f>
        <v>12</v>
      </c>
      <c r="G38" s="7">
        <f>SUMIF('Exception Register'!$B$5:$B$167,E38,'Exception Register'!$G$5:$G$167)</f>
        <v>6191.65</v>
      </c>
    </row>
    <row r="39">
      <c r="A39" s="7" t="inlineStr">
        <is>
          <t>Remote - Former Employee</t>
        </is>
      </c>
      <c r="B39" s="7">
        <f>COUNTIF('Corrected Register'!$I$5:$I$136,A39)</f>
        <v>10</v>
      </c>
      <c r="C39" s="7">
        <f>SUMIF('Corrected Register'!$I$5:$I$136,A39,'Corrected Register'!$N$5:$N$136)</f>
        <v>4878.51</v>
      </c>
      <c r="E39" s="7" t="inlineStr">
        <is>
          <t>Shipment Mismatch</t>
        </is>
      </c>
      <c r="F39" s="7">
        <f>COUNTIF('Exception Register'!$B$5:$B$167,E39)</f>
        <v>4</v>
      </c>
      <c r="G39" s="7">
        <f>SUMIF('Exception Register'!$B$5:$B$167,E39,'Exception Register'!$G$5:$G$167)</f>
        <v>2332.54</v>
      </c>
    </row>
    <row r="40">
      <c r="A40" s="7" t="inlineStr">
        <is>
          <t>Disposed</t>
        </is>
      </c>
      <c r="B40" s="7">
        <f>COUNTIF('Corrected Register'!$I$5:$I$136,A40)</f>
        <v>8</v>
      </c>
      <c r="C40" s="7">
        <f>SUMIF('Corrected Register'!$I$5:$I$136,A40,'Corrected Register'!$N$5:$N$136)</f>
        <v>0</v>
      </c>
      <c r="E40" s="7" t="inlineStr">
        <is>
          <t>Unapproved Transfer</t>
        </is>
      </c>
      <c r="F40" s="7">
        <f>COUNTIF('Exception Register'!$B$5:$B$167,E40)</f>
        <v>5</v>
      </c>
      <c r="G40" s="7">
        <f>SUMIF('Exception Register'!$B$5:$B$167,E40,'Exception Register'!$G$5:$G$167)</f>
        <v>2869.32</v>
      </c>
    </row>
    <row r="41">
      <c r="A41" s="7" t="inlineStr">
        <is>
          <t>Atlanta Warehouse</t>
        </is>
      </c>
      <c r="B41" s="7">
        <f>COUNTIF('Corrected Register'!$I$5:$I$136,A41)</f>
        <v>7</v>
      </c>
      <c r="C41" s="7">
        <f>SUMIF('Corrected Register'!$I$5:$I$136,A41,'Corrected Register'!$N$5:$N$136)</f>
        <v>4351.05</v>
      </c>
    </row>
    <row r="42">
      <c r="A42" s="7" t="inlineStr">
        <is>
          <t>Carrier Network / Unverified</t>
        </is>
      </c>
      <c r="B42" s="7">
        <f>COUNTIF('Corrected Register'!$I$5:$I$136,A42)</f>
        <v>4</v>
      </c>
      <c r="C42" s="7">
        <f>SUMIF('Corrected Register'!$I$5:$I$136,A42,'Corrected Register'!$N$5:$N$136)</f>
        <v>2332.54</v>
      </c>
    </row>
    <row r="43">
      <c r="A43" s="7" t="inlineStr">
        <is>
          <t>Disposed (certificate missing)</t>
        </is>
      </c>
      <c r="B43" s="7">
        <f>COUNTIF('Corrected Register'!$I$5:$I$136,A43)</f>
        <v>2</v>
      </c>
      <c r="C43" s="7">
        <f>SUMIF('Corrected Register'!$I$5:$I$136,A43,'Corrected Register'!$N$5:$N$136)</f>
        <v>0</v>
      </c>
    </row>
    <row r="45">
      <c r="A45" s="19" t="inlineStr">
        <is>
          <t>Key finding — Duplicate serial identities (both pairs)</t>
        </is>
      </c>
    </row>
    <row r="46">
      <c r="A46" s="20" t="inlineStr">
        <is>
          <t>Duplicate Serial</t>
        </is>
      </c>
      <c r="B46" s="20" t="inlineStr">
        <is>
          <t>Asset Tags Sharing This Serial</t>
        </is>
      </c>
      <c r="C46" s="20" t="inlineStr">
        <is>
          <t>Exception IDs</t>
        </is>
      </c>
    </row>
    <row r="47">
      <c r="A47" s="21" t="inlineStr">
        <is>
          <t>MD-LA-050021</t>
        </is>
      </c>
      <c r="B47" s="21" t="inlineStr">
        <is>
          <t>MD-00021 and MD-00025</t>
        </is>
      </c>
      <c r="C47" s="21" t="inlineStr">
        <is>
          <t>EX-0002; EX-0004</t>
        </is>
      </c>
    </row>
    <row r="48">
      <c r="A48" s="21" t="inlineStr">
        <is>
          <t>MD-NE-050088</t>
        </is>
      </c>
      <c r="B48" s="21" t="inlineStr">
        <is>
          <t>MD-00088 and MD-00092</t>
        </is>
      </c>
      <c r="C48" s="21" t="inlineStr">
        <is>
          <t>EX-0102; EX-0111</t>
        </is>
      </c>
    </row>
    <row r="49">
      <c r="A49" s="22" t="inlineStr">
        <is>
          <t>Flags duplicate serial MD-LA-050021 across MD-00021 and MD-00025, and duplicate serial MD-NE-050088 across MD-00088 and MD-00092.</t>
        </is>
      </c>
    </row>
  </sheetData>
  <mergeCells count="4">
    <mergeCell ref="A45:C45"/>
    <mergeCell ref="A2:G2"/>
    <mergeCell ref="A49:G49"/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15" customWidth="1" min="2" max="2"/>
    <col width="15" customWidth="1" min="3" max="3"/>
    <col width="21" customWidth="1" min="4" max="4"/>
    <col width="20" customWidth="1" min="5" max="5"/>
    <col width="19" customWidth="1" min="6" max="6"/>
    <col width="17" customWidth="1" min="7" max="7"/>
    <col width="20" customWidth="1" min="8" max="8"/>
    <col width="30" customWidth="1" min="9" max="9"/>
    <col width="24" customWidth="1" min="10" max="10"/>
    <col width="36" customWidth="1" min="11" max="11"/>
    <col width="20" customWidth="1" min="12" max="12"/>
    <col width="18" customWidth="1" min="13" max="13"/>
    <col width="22" customWidth="1" min="14" max="14"/>
    <col width="17" customWidth="1" min="15" max="15"/>
    <col width="13" customWidth="1" min="16" max="16"/>
    <col width="12" customWidth="1" min="17" max="17"/>
    <col width="27" customWidth="1" min="18" max="18"/>
    <col width="21" customWidth="1" min="19" max="19"/>
  </cols>
  <sheetData>
    <row r="1">
      <c r="A1" s="1" t="inlineStr">
        <is>
          <t>Corrected Asset Register</t>
        </is>
      </c>
    </row>
    <row r="2">
      <c r="A2" s="2" t="inlineStr">
        <is>
          <t>Every reviewed asset with verified custodian, location, status, evidence (including multimodal leads where applicable), cost, book value, and confidence. As of 2026-08-09.</t>
        </is>
      </c>
    </row>
    <row r="4">
      <c r="A4" s="3" t="inlineStr">
        <is>
          <t>Asset Tag</t>
        </is>
      </c>
      <c r="B4" s="3" t="inlineStr">
        <is>
          <t>Serial Number</t>
        </is>
      </c>
      <c r="C4" s="3" t="inlineStr">
        <is>
          <t>Category</t>
        </is>
      </c>
      <c r="D4" s="3" t="inlineStr">
        <is>
          <t>Model</t>
        </is>
      </c>
      <c r="E4" s="3" t="inlineStr">
        <is>
          <t>Register Custodian</t>
        </is>
      </c>
      <c r="F4" s="3" t="inlineStr">
        <is>
          <t>Register Location</t>
        </is>
      </c>
      <c r="G4" s="3" t="inlineStr">
        <is>
          <t>Register Status</t>
        </is>
      </c>
      <c r="H4" s="3" t="inlineStr">
        <is>
          <t>Verified Custodian</t>
        </is>
      </c>
      <c r="I4" s="3" t="inlineStr">
        <is>
          <t>Verified Location</t>
        </is>
      </c>
      <c r="J4" s="3" t="inlineStr">
        <is>
          <t>Verified Status</t>
        </is>
      </c>
      <c r="K4" s="3" t="inlineStr">
        <is>
          <t>Evidence Source</t>
        </is>
      </c>
      <c r="L4" s="3" t="inlineStr">
        <is>
          <t>Last Verified Date</t>
        </is>
      </c>
      <c r="M4" s="3" t="inlineStr">
        <is>
          <t>Acquisition Cost</t>
        </is>
      </c>
      <c r="N4" s="3" t="inlineStr">
        <is>
          <t>Remaining Book Value</t>
        </is>
      </c>
      <c r="O4" s="3" t="inlineStr">
        <is>
          <t>Ledger Asset ID</t>
        </is>
      </c>
      <c r="P4" s="3" t="inlineStr">
        <is>
          <t>Capitalized</t>
        </is>
      </c>
      <c r="Q4" s="3" t="inlineStr">
        <is>
          <t>Confidence</t>
        </is>
      </c>
      <c r="R4" s="3" t="inlineStr">
        <is>
          <t>Exception IDs</t>
        </is>
      </c>
      <c r="S4" s="3" t="inlineStr">
        <is>
          <t>Escalation Required</t>
        </is>
      </c>
      <c r="T4" t="inlineStr">
        <is>
          <t>Ledger Acquisition Cost</t>
        </is>
      </c>
      <c r="U4" t="inlineStr">
        <is>
          <t>Ledger Status</t>
        </is>
      </c>
      <c r="V4" t="inlineStr">
        <is>
          <t>FA Net Book Value</t>
        </is>
      </c>
      <c r="W4" t="inlineStr">
        <is>
          <t>Ledger vs Register Cost Diff</t>
        </is>
      </c>
      <c r="X4" t="inlineStr">
        <is>
          <t>Book Value Present</t>
        </is>
      </c>
    </row>
    <row r="5">
      <c r="A5" s="7" t="inlineStr">
        <is>
          <t>MD-00001</t>
        </is>
      </c>
      <c r="B5" s="7" t="inlineStr">
        <is>
          <t>MD-LA-050001</t>
        </is>
      </c>
      <c r="C5" s="7" t="inlineStr">
        <is>
          <t>Monitor</t>
        </is>
      </c>
      <c r="D5" s="7" t="inlineStr">
        <is>
          <t>Lenovo ThinkPad T14</t>
        </is>
      </c>
      <c r="E5" s="7" t="inlineStr">
        <is>
          <t>E0001</t>
        </is>
      </c>
      <c r="F5" s="7" t="inlineStr">
        <is>
          <t>Chicago</t>
        </is>
      </c>
      <c r="G5" s="7" t="inlineStr">
        <is>
          <t>In Use</t>
        </is>
      </c>
      <c r="H5" s="7" t="inlineStr">
        <is>
          <t>E0001</t>
        </is>
      </c>
      <c r="I5" s="7" t="inlineStr">
        <is>
          <t>Chicago</t>
        </is>
      </c>
      <c r="J5" s="7" t="inlineStr">
        <is>
          <t>In Use</t>
        </is>
      </c>
      <c r="K5" s="7" t="inlineStr">
        <is>
          <t>bought on PO-2022-0001; FAR FA-000001. People/move side: hr_employee_status still has E0001 as Active; assignment sits on TR-00001 (APR-00001).</t>
        </is>
      </c>
      <c r="L5" s="7" t="inlineStr">
        <is>
          <t>2026-08-05</t>
        </is>
      </c>
      <c r="M5" s="7" t="n">
        <v>1895</v>
      </c>
      <c r="N5" s="7">
        <f>IFERROR(XLOOKUP(A5,'Source Ledger'!$B$5:$B$133,'Source Ledger'!$G$5:$G$133),"")</f>
        <v>0</v>
      </c>
      <c r="O5" s="7">
        <f>IFERROR(XLOOKUP(A5,'Source Ledger'!$B$5:$B$133,'Source Ledger'!$A$5:$A$133),"")</f>
        <v/>
      </c>
      <c r="P5" s="7" t="inlineStr">
        <is>
          <t>No</t>
        </is>
      </c>
      <c r="Q5" s="9" t="inlineStr">
        <is>
          <t>High</t>
        </is>
      </c>
      <c r="R5" s="7" t="inlineStr"/>
      <c r="S5" s="7" t="inlineStr">
        <is>
          <t>No</t>
        </is>
      </c>
      <c r="T5" t="n">
        <v>1895</v>
      </c>
      <c r="U5" t="inlineStr">
        <is>
          <t>Active</t>
        </is>
      </c>
      <c r="V5" t="n">
        <v>0</v>
      </c>
      <c r="W5" t="n">
        <v>0</v>
      </c>
      <c r="X5" t="inlineStr">
        <is>
          <t>Yes</t>
        </is>
      </c>
    </row>
    <row r="6">
      <c r="A6" s="7" t="inlineStr">
        <is>
          <t>MD-00002</t>
        </is>
      </c>
      <c r="B6" s="7" t="inlineStr">
        <is>
          <t>MD-MO-050002</t>
        </is>
      </c>
      <c r="C6" s="7" t="inlineStr">
        <is>
          <t>Monitor</t>
        </is>
      </c>
      <c r="D6" s="7" t="inlineStr">
        <is>
          <t>Dell U2723QE</t>
        </is>
      </c>
      <c r="E6" s="7" t="inlineStr">
        <is>
          <t>E0002</t>
        </is>
      </c>
      <c r="F6" s="7" t="inlineStr">
        <is>
          <t>Dallas</t>
        </is>
      </c>
      <c r="G6" s="7" t="inlineStr">
        <is>
          <t>In Use</t>
        </is>
      </c>
      <c r="H6" s="7" t="inlineStr">
        <is>
          <t>E0002</t>
        </is>
      </c>
      <c r="I6" s="7" t="inlineStr">
        <is>
          <t>Dallas</t>
        </is>
      </c>
      <c r="J6" s="7" t="inlineStr">
        <is>
          <t>In Use</t>
        </is>
      </c>
      <c r="K6" s="7" t="inlineStr">
        <is>
          <t>Cross-check on MD-00002 landed on In Use / Dallas. Marcus Ellison (E0002) is Active in HR. TR-00002 (APR-00002) on the movement log. bought on PO-2022-0001; FAR FA-000002.</t>
        </is>
      </c>
      <c r="L6" s="7" t="inlineStr">
        <is>
          <t>2026-08-05</t>
        </is>
      </c>
      <c r="M6" s="7" t="n">
        <v>610</v>
      </c>
      <c r="N6" s="7">
        <f>IFERROR(XLOOKUP(A6,'Source Ledger'!$B$5:$B$133,'Source Ledger'!$G$5:$G$133),"")</f>
        <v>313.06</v>
      </c>
      <c r="O6" s="7">
        <f>IFERROR(XLOOKUP(A6,'Source Ledger'!$B$5:$B$133,'Source Ledger'!$A$5:$A$133),"")</f>
        <v/>
      </c>
      <c r="P6" s="7" t="inlineStr">
        <is>
          <t>No</t>
        </is>
      </c>
      <c r="Q6" s="9" t="inlineStr">
        <is>
          <t>High</t>
        </is>
      </c>
      <c r="R6" s="7" t="inlineStr"/>
      <c r="S6" s="7" t="inlineStr">
        <is>
          <t>No</t>
        </is>
      </c>
      <c r="T6" t="n">
        <v>610</v>
      </c>
      <c r="U6" t="inlineStr">
        <is>
          <t>Active</t>
        </is>
      </c>
      <c r="V6" t="n">
        <v>313.06</v>
      </c>
      <c r="W6" t="n">
        <v>0</v>
      </c>
      <c r="X6" t="inlineStr">
        <is>
          <t>Yes</t>
        </is>
      </c>
    </row>
    <row r="7">
      <c r="A7" s="7" t="inlineStr">
        <is>
          <t>MD-00003</t>
        </is>
      </c>
      <c r="B7" s="7" t="inlineStr">
        <is>
          <t>MD-MO-050003</t>
        </is>
      </c>
      <c r="C7" s="7" t="inlineStr">
        <is>
          <t>Mobile Device</t>
        </is>
      </c>
      <c r="D7" s="7" t="inlineStr">
        <is>
          <t>Samsung Galaxy S24</t>
        </is>
      </c>
      <c r="E7" s="7" t="inlineStr">
        <is>
          <t>E0003</t>
        </is>
      </c>
      <c r="F7" s="7" t="inlineStr">
        <is>
          <t>Denver</t>
        </is>
      </c>
      <c r="G7" s="7" t="inlineStr">
        <is>
          <t>In Use</t>
        </is>
      </c>
      <c r="H7" s="7" t="inlineStr">
        <is>
          <t>E0003</t>
        </is>
      </c>
      <c r="I7" s="7" t="inlineStr">
        <is>
          <t>Denver</t>
        </is>
      </c>
      <c r="J7" s="7" t="inlineStr">
        <is>
          <t>In Use</t>
        </is>
      </c>
      <c r="K7" s="7" t="inlineStr">
        <is>
          <t>assignment sits on TR-00003 (APR-00003). HR agrees (HR file: E0003 Active — Elena Kovacs). bought on PO-2022-0001; FAR FA-000003.</t>
        </is>
      </c>
      <c r="L7" s="7" t="inlineStr">
        <is>
          <t>2026-08-05</t>
        </is>
      </c>
      <c r="M7" s="7" t="n">
        <v>1085</v>
      </c>
      <c r="N7" s="7">
        <f>IFERROR(XLOOKUP(A7,'Source Ledger'!$B$5:$B$133,'Source Ledger'!$G$5:$G$133),"")</f>
        <v>597.83</v>
      </c>
      <c r="O7" s="7">
        <f>IFERROR(XLOOKUP(A7,'Source Ledger'!$B$5:$B$133,'Source Ledger'!$A$5:$A$133),"")</f>
        <v/>
      </c>
      <c r="P7" s="7" t="inlineStr">
        <is>
          <t>No</t>
        </is>
      </c>
      <c r="Q7" s="9" t="inlineStr">
        <is>
          <t>High</t>
        </is>
      </c>
      <c r="R7" s="7" t="inlineStr"/>
      <c r="S7" s="7" t="inlineStr">
        <is>
          <t>No</t>
        </is>
      </c>
      <c r="T7" t="n">
        <v>1085</v>
      </c>
      <c r="U7" t="inlineStr">
        <is>
          <t>Active</t>
        </is>
      </c>
      <c r="V7" t="n">
        <v>597.83</v>
      </c>
      <c r="W7" t="n">
        <v>0</v>
      </c>
      <c r="X7" t="inlineStr">
        <is>
          <t>Yes</t>
        </is>
      </c>
    </row>
    <row r="8">
      <c r="A8" s="7" t="inlineStr">
        <is>
          <t>MD-00004</t>
        </is>
      </c>
      <c r="B8" s="7" t="inlineStr">
        <is>
          <t>MD-NE-050004</t>
        </is>
      </c>
      <c r="C8" s="7" t="inlineStr">
        <is>
          <t>Network Asset</t>
        </is>
      </c>
      <c r="D8" s="7" t="inlineStr">
        <is>
          <t>Cisco C9300</t>
        </is>
      </c>
      <c r="E8" s="7" t="inlineStr">
        <is>
          <t>E0004</t>
        </is>
      </c>
      <c r="F8" s="7" t="inlineStr">
        <is>
          <t>New York</t>
        </is>
      </c>
      <c r="G8" s="7" t="inlineStr">
        <is>
          <t>In Use</t>
        </is>
      </c>
      <c r="H8" s="7" t="inlineStr">
        <is>
          <t>E0004</t>
        </is>
      </c>
      <c r="I8" s="7" t="inlineStr">
        <is>
          <t>New York</t>
        </is>
      </c>
      <c r="J8" s="7" t="inlineStr">
        <is>
          <t>In Use</t>
        </is>
      </c>
      <c r="K8" s="7" t="inlineStr">
        <is>
          <t>Keeping MD-00004 with James Whitaker (E0004) in New York. TR-00004 (APR-00004) on the movement log. bought on PO-2022-0001; FAR FA-000004.</t>
        </is>
      </c>
      <c r="L8" s="7" t="inlineStr">
        <is>
          <t>2026-08-05</t>
        </is>
      </c>
      <c r="M8" s="7" t="n">
        <v>6380</v>
      </c>
      <c r="N8" s="7">
        <f>IFERROR(XLOOKUP(A8,'Source Ledger'!$B$5:$B$133,'Source Ledger'!$G$5:$G$133),"")</f>
        <v>940.62</v>
      </c>
      <c r="O8" s="7">
        <f>IFERROR(XLOOKUP(A8,'Source Ledger'!$B$5:$B$133,'Source Ledger'!$A$5:$A$133),"")</f>
        <v/>
      </c>
      <c r="P8" s="7" t="inlineStr">
        <is>
          <t>Yes</t>
        </is>
      </c>
      <c r="Q8" s="9" t="inlineStr">
        <is>
          <t>High</t>
        </is>
      </c>
      <c r="R8" s="7" t="inlineStr"/>
      <c r="S8" s="7" t="inlineStr">
        <is>
          <t>No</t>
        </is>
      </c>
      <c r="T8" t="n">
        <v>6380</v>
      </c>
      <c r="U8" t="inlineStr">
        <is>
          <t>Active</t>
        </is>
      </c>
      <c r="V8" t="n">
        <v>940.62</v>
      </c>
      <c r="W8" t="n">
        <v>0</v>
      </c>
      <c r="X8" t="inlineStr">
        <is>
          <t>Yes</t>
        </is>
      </c>
    </row>
    <row r="9">
      <c r="A9" s="7" t="inlineStr">
        <is>
          <t>MD-00005</t>
        </is>
      </c>
      <c r="B9" s="7" t="inlineStr">
        <is>
          <t>MD-LA-050005</t>
        </is>
      </c>
      <c r="C9" s="7" t="inlineStr">
        <is>
          <t>Laptop</t>
        </is>
      </c>
      <c r="D9" s="7" t="inlineStr">
        <is>
          <t>MacBook Pro 14</t>
        </is>
      </c>
      <c r="E9" s="7" t="inlineStr">
        <is>
          <t>E0005</t>
        </is>
      </c>
      <c r="F9" s="7" t="inlineStr">
        <is>
          <t>Seattle</t>
        </is>
      </c>
      <c r="G9" s="7" t="inlineStr">
        <is>
          <t>In Use</t>
        </is>
      </c>
      <c r="H9" s="7" t="inlineStr">
        <is>
          <t>E0005</t>
        </is>
      </c>
      <c r="I9" s="7" t="inlineStr">
        <is>
          <t>Seattle</t>
        </is>
      </c>
      <c r="J9" s="7" t="inlineStr">
        <is>
          <t>In Use</t>
        </is>
      </c>
      <c r="K9" s="7" t="inlineStr">
        <is>
          <t>Aisha Rahman hasn't changed status (Active) so I didn't bounce the assignment. assignment sits on TR-00005 (APR-00005). bought on PO-2022-0001; FAR FA-000005. E0005.</t>
        </is>
      </c>
      <c r="L9" s="7" t="inlineStr">
        <is>
          <t>2026-08-05</t>
        </is>
      </c>
      <c r="M9" s="7" t="n">
        <v>2075</v>
      </c>
      <c r="N9" s="7">
        <f>IFERROR(XLOOKUP(A9,'Source Ledger'!$B$5:$B$133,'Source Ledger'!$G$5:$G$133),"")</f>
        <v>0</v>
      </c>
      <c r="O9" s="7">
        <f>IFERROR(XLOOKUP(A9,'Source Ledger'!$B$5:$B$133,'Source Ledger'!$A$5:$A$133),"")</f>
        <v/>
      </c>
      <c r="P9" s="7" t="inlineStr">
        <is>
          <t>No</t>
        </is>
      </c>
      <c r="Q9" s="9" t="inlineStr">
        <is>
          <t>High</t>
        </is>
      </c>
      <c r="R9" s="7" t="inlineStr"/>
      <c r="S9" s="7" t="inlineStr">
        <is>
          <t>No</t>
        </is>
      </c>
      <c r="T9" t="n">
        <v>2075</v>
      </c>
      <c r="U9" t="inlineStr">
        <is>
          <t>Active</t>
        </is>
      </c>
      <c r="V9" t="n">
        <v>0</v>
      </c>
      <c r="W9" t="n">
        <v>0</v>
      </c>
      <c r="X9" t="inlineStr">
        <is>
          <t>Yes</t>
        </is>
      </c>
    </row>
    <row r="10">
      <c r="A10" s="7" t="inlineStr">
        <is>
          <t>MD-00006</t>
        </is>
      </c>
      <c r="B10" s="7" t="inlineStr">
        <is>
          <t>MD-MO-050006</t>
        </is>
      </c>
      <c r="C10" s="7" t="inlineStr">
        <is>
          <t>Monitor</t>
        </is>
      </c>
      <c r="D10" s="7" t="inlineStr">
        <is>
          <t>Dell U2723QE</t>
        </is>
      </c>
      <c r="E10" s="7" t="inlineStr">
        <is>
          <t>E0006</t>
        </is>
      </c>
      <c r="F10" s="7" t="inlineStr">
        <is>
          <t>Atlanta</t>
        </is>
      </c>
      <c r="G10" s="7" t="inlineStr">
        <is>
          <t>In Use</t>
        </is>
      </c>
      <c r="H10" s="7" t="inlineStr">
        <is>
          <t>E0006</t>
        </is>
      </c>
      <c r="I10" s="7" t="inlineStr">
        <is>
          <t>Atlanta</t>
        </is>
      </c>
      <c r="J10" s="7" t="inlineStr">
        <is>
          <t>In Use</t>
        </is>
      </c>
      <c r="K10" s="7" t="inlineStr">
        <is>
          <t>Live kit. MD-00006 Dell U2723QE. Custodian check: E0006 / Active. TR-00006 (APR-00006) on the movement log. bought on PO-2022-0001; FAR FA-000006.</t>
        </is>
      </c>
      <c r="L10" s="7" t="inlineStr">
        <is>
          <t>2026-08-05</t>
        </is>
      </c>
      <c r="M10" s="7" t="n">
        <v>790</v>
      </c>
      <c r="N10" s="7">
        <f>IFERROR(XLOOKUP(A10,'Source Ledger'!$B$5:$B$133,'Source Ledger'!$G$5:$G$133),"")</f>
        <v>459.94</v>
      </c>
      <c r="O10" s="7">
        <f>IFERROR(XLOOKUP(A10,'Source Ledger'!$B$5:$B$133,'Source Ledger'!$A$5:$A$133),"")</f>
        <v/>
      </c>
      <c r="P10" s="7" t="inlineStr">
        <is>
          <t>No</t>
        </is>
      </c>
      <c r="Q10" s="9" t="inlineStr">
        <is>
          <t>High</t>
        </is>
      </c>
      <c r="R10" s="7" t="inlineStr"/>
      <c r="S10" s="7" t="inlineStr">
        <is>
          <t>No</t>
        </is>
      </c>
      <c r="T10" t="n">
        <v>790</v>
      </c>
      <c r="U10" t="inlineStr">
        <is>
          <t>Active</t>
        </is>
      </c>
      <c r="V10" t="n">
        <v>459.94</v>
      </c>
      <c r="W10" t="n">
        <v>0</v>
      </c>
      <c r="X10" t="inlineStr">
        <is>
          <t>Yes</t>
        </is>
      </c>
    </row>
    <row r="11">
      <c r="A11" s="7" t="inlineStr">
        <is>
          <t>MD-00007</t>
        </is>
      </c>
      <c r="B11" s="7" t="inlineStr">
        <is>
          <t>MD-MO-050007</t>
        </is>
      </c>
      <c r="C11" s="7" t="inlineStr">
        <is>
          <t>Mobile Device</t>
        </is>
      </c>
      <c r="D11" s="7" t="inlineStr">
        <is>
          <t>Samsung Galaxy S24</t>
        </is>
      </c>
      <c r="E11" s="7" t="inlineStr">
        <is>
          <t>E0007</t>
        </is>
      </c>
      <c r="F11" s="7" t="inlineStr">
        <is>
          <t>Chicago</t>
        </is>
      </c>
      <c r="G11" s="7" t="inlineStr">
        <is>
          <t>In Use</t>
        </is>
      </c>
      <c r="H11" s="7" t="inlineStr">
        <is>
          <t>E0007</t>
        </is>
      </c>
      <c r="I11" s="7" t="inlineStr">
        <is>
          <t>Chicago</t>
        </is>
      </c>
      <c r="J11" s="7" t="inlineStr">
        <is>
          <t>In Use</t>
        </is>
      </c>
      <c r="K11" s="7" t="inlineStr">
        <is>
          <t>Sofia Alvarez (E0007), Chicago. Movement assignment sits on TR-00007 (APR-00007). bought on PO-2023-0002; FAR FA-000007.</t>
        </is>
      </c>
      <c r="L11" s="7" t="inlineStr">
        <is>
          <t>2026-08-05</t>
        </is>
      </c>
      <c r="M11" s="7" t="n">
        <v>950</v>
      </c>
      <c r="N11" s="7">
        <f>IFERROR(XLOOKUP(A11,'Source Ledger'!$B$5:$B$133,'Source Ledger'!$G$5:$G$133),"")</f>
        <v>632.68</v>
      </c>
      <c r="O11" s="7">
        <f>IFERROR(XLOOKUP(A11,'Source Ledger'!$B$5:$B$133,'Source Ledger'!$A$5:$A$133),"")</f>
        <v/>
      </c>
      <c r="P11" s="7" t="inlineStr">
        <is>
          <t>No</t>
        </is>
      </c>
      <c r="Q11" s="9" t="inlineStr">
        <is>
          <t>High</t>
        </is>
      </c>
      <c r="R11" s="7" t="inlineStr"/>
      <c r="S11" s="7" t="inlineStr">
        <is>
          <t>No</t>
        </is>
      </c>
      <c r="T11" t="n">
        <v>950</v>
      </c>
      <c r="U11" t="inlineStr">
        <is>
          <t>Active</t>
        </is>
      </c>
      <c r="V11" t="n">
        <v>632.68</v>
      </c>
      <c r="W11" t="n">
        <v>0</v>
      </c>
      <c r="X11" t="inlineStr">
        <is>
          <t>Yes</t>
        </is>
      </c>
    </row>
    <row r="12">
      <c r="A12" s="7" t="inlineStr">
        <is>
          <t>MD-00008</t>
        </is>
      </c>
      <c r="B12" s="7" t="inlineStr">
        <is>
          <t>MD-NE-050008</t>
        </is>
      </c>
      <c r="C12" s="7" t="inlineStr">
        <is>
          <t>Network Asset</t>
        </is>
      </c>
      <c r="D12" s="7" t="inlineStr">
        <is>
          <t>Cisco C9300</t>
        </is>
      </c>
      <c r="E12" s="7" t="inlineStr">
        <is>
          <t>E0008</t>
        </is>
      </c>
      <c r="F12" s="7" t="inlineStr">
        <is>
          <t>Dallas</t>
        </is>
      </c>
      <c r="G12" s="7" t="inlineStr">
        <is>
          <t>In Use</t>
        </is>
      </c>
      <c r="H12" s="7" t="inlineStr">
        <is>
          <t>E0008</t>
        </is>
      </c>
      <c r="I12" s="7" t="inlineStr">
        <is>
          <t>Dallas</t>
        </is>
      </c>
      <c r="J12" s="7" t="inlineStr">
        <is>
          <t>In Use</t>
        </is>
      </c>
      <c r="K12" s="7" t="inlineStr">
        <is>
          <t>Derek Nguyen (E0008) is Active in HR. TR-00008 (APR-00008) on the movement log. bought on PO-2023-0002; FAR FA-000008. Left MD-00008 as In Use in Dallas.</t>
        </is>
      </c>
      <c r="L12" s="7" t="inlineStr">
        <is>
          <t>2026-08-05</t>
        </is>
      </c>
      <c r="M12" s="7" t="n">
        <v>6245</v>
      </c>
      <c r="N12" s="7">
        <f>IFERROR(XLOOKUP(A12,'Source Ledger'!$B$5:$B$133,'Source Ledger'!$G$5:$G$133),"")</f>
        <v>1355.01</v>
      </c>
      <c r="O12" s="7">
        <f>IFERROR(XLOOKUP(A12,'Source Ledger'!$B$5:$B$133,'Source Ledger'!$A$5:$A$133),"")</f>
        <v/>
      </c>
      <c r="P12" s="7" t="inlineStr">
        <is>
          <t>Yes</t>
        </is>
      </c>
      <c r="Q12" s="9" t="inlineStr">
        <is>
          <t>High</t>
        </is>
      </c>
      <c r="R12" s="7" t="inlineStr"/>
      <c r="S12" s="7" t="inlineStr">
        <is>
          <t>No</t>
        </is>
      </c>
      <c r="T12" t="n">
        <v>6245</v>
      </c>
      <c r="U12" t="inlineStr">
        <is>
          <t>Active</t>
        </is>
      </c>
      <c r="V12" t="n">
        <v>1355.01</v>
      </c>
      <c r="W12" t="n">
        <v>0</v>
      </c>
      <c r="X12" t="inlineStr">
        <is>
          <t>Yes</t>
        </is>
      </c>
    </row>
    <row r="13">
      <c r="A13" s="7" t="inlineStr">
        <is>
          <t>MD-00009</t>
        </is>
      </c>
      <c r="B13" s="7" t="inlineStr">
        <is>
          <t>MD-LA-050009</t>
        </is>
      </c>
      <c r="C13" s="7" t="inlineStr">
        <is>
          <t>Laptop</t>
        </is>
      </c>
      <c r="D13" s="7" t="inlineStr">
        <is>
          <t>Dell Latitude 7440</t>
        </is>
      </c>
      <c r="E13" s="7" t="inlineStr">
        <is>
          <t>E0009</t>
        </is>
      </c>
      <c r="F13" s="7" t="inlineStr">
        <is>
          <t>Denver</t>
        </is>
      </c>
      <c r="G13" s="7" t="inlineStr">
        <is>
          <t>In Use</t>
        </is>
      </c>
      <c r="H13" s="7" t="inlineStr">
        <is>
          <t>E0009</t>
        </is>
      </c>
      <c r="I13" s="7" t="inlineStr">
        <is>
          <t>Denver</t>
        </is>
      </c>
      <c r="J13" s="7" t="inlineStr">
        <is>
          <t>In Use</t>
        </is>
      </c>
      <c r="K13" s="7" t="inlineStr">
        <is>
          <t>Dell Latitude 7440 MD-00009 — assignment sits on TR-00009 (APR-00009); HR file: E0009 Active — Hannah Cole. bought on PO-2023-0002; FAR FA-000009.</t>
        </is>
      </c>
      <c r="L13" s="7" t="inlineStr">
        <is>
          <t>2026-08-05</t>
        </is>
      </c>
      <c r="M13" s="7" t="n">
        <v>1940</v>
      </c>
      <c r="N13" s="7">
        <f>IFERROR(XLOOKUP(A13,'Source Ledger'!$B$5:$B$133,'Source Ledger'!$G$5:$G$133),"")</f>
        <v>109.33</v>
      </c>
      <c r="O13" s="7">
        <f>IFERROR(XLOOKUP(A13,'Source Ledger'!$B$5:$B$133,'Source Ledger'!$A$5:$A$133),"")</f>
        <v/>
      </c>
      <c r="P13" s="7" t="inlineStr">
        <is>
          <t>No</t>
        </is>
      </c>
      <c r="Q13" s="9" t="inlineStr">
        <is>
          <t>High</t>
        </is>
      </c>
      <c r="R13" s="7" t="inlineStr"/>
      <c r="S13" s="7" t="inlineStr">
        <is>
          <t>No</t>
        </is>
      </c>
      <c r="T13" t="n">
        <v>1940</v>
      </c>
      <c r="U13" t="inlineStr">
        <is>
          <t>Active</t>
        </is>
      </c>
      <c r="V13" t="n">
        <v>109.33</v>
      </c>
      <c r="W13" t="n">
        <v>0</v>
      </c>
      <c r="X13" t="inlineStr">
        <is>
          <t>Yes</t>
        </is>
      </c>
    </row>
    <row r="14">
      <c r="A14" s="7" t="inlineStr">
        <is>
          <t>MD-00010</t>
        </is>
      </c>
      <c r="B14" s="7" t="inlineStr">
        <is>
          <t>MD-MO-050010</t>
        </is>
      </c>
      <c r="C14" s="7" t="inlineStr">
        <is>
          <t>Monitor</t>
        </is>
      </c>
      <c r="D14" s="7" t="inlineStr">
        <is>
          <t>Dell U2723QE</t>
        </is>
      </c>
      <c r="E14" s="7" t="inlineStr">
        <is>
          <t>E0010</t>
        </is>
      </c>
      <c r="F14" s="7" t="inlineStr">
        <is>
          <t>New York</t>
        </is>
      </c>
      <c r="G14" s="7" t="inlineStr">
        <is>
          <t>In Use</t>
        </is>
      </c>
      <c r="H14" s="7" t="inlineStr">
        <is>
          <t>E0010</t>
        </is>
      </c>
      <c r="I14" s="7" t="inlineStr">
        <is>
          <t>New York</t>
        </is>
      </c>
      <c r="J14" s="7" t="inlineStr">
        <is>
          <t>In Use</t>
        </is>
      </c>
      <c r="K14" s="7" t="inlineStr">
        <is>
          <t>Didn't rewrite MD-00010. Looked up E0010; still Active, and TR-00010 (APR-00010) on the movement log. bought on PO-2023-0002; FAR FA-000010.</t>
        </is>
      </c>
      <c r="L14" s="7" t="inlineStr">
        <is>
          <t>2026-08-05</t>
        </is>
      </c>
      <c r="M14" s="7" t="n">
        <v>655</v>
      </c>
      <c r="N14" s="7">
        <f>IFERROR(XLOOKUP(A14,'Source Ledger'!$B$5:$B$133,'Source Ledger'!$G$5:$G$133),"")</f>
        <v>426.89</v>
      </c>
      <c r="O14" s="7">
        <f>IFERROR(XLOOKUP(A14,'Source Ledger'!$B$5:$B$133,'Source Ledger'!$A$5:$A$133),"")</f>
        <v/>
      </c>
      <c r="P14" s="7" t="inlineStr">
        <is>
          <t>No</t>
        </is>
      </c>
      <c r="Q14" s="9" t="inlineStr">
        <is>
          <t>High</t>
        </is>
      </c>
      <c r="R14" s="7" t="inlineStr"/>
      <c r="S14" s="7" t="inlineStr">
        <is>
          <t>No</t>
        </is>
      </c>
      <c r="T14" t="n">
        <v>655</v>
      </c>
      <c r="U14" t="inlineStr">
        <is>
          <t>Active</t>
        </is>
      </c>
      <c r="V14" t="n">
        <v>426.89</v>
      </c>
      <c r="W14" t="n">
        <v>0</v>
      </c>
      <c r="X14" t="inlineStr">
        <is>
          <t>Yes</t>
        </is>
      </c>
    </row>
    <row r="15">
      <c r="A15" s="7" t="inlineStr">
        <is>
          <t>MD-00011</t>
        </is>
      </c>
      <c r="B15" s="7" t="inlineStr">
        <is>
          <t>MD-MO-050011</t>
        </is>
      </c>
      <c r="C15" s="7" t="inlineStr">
        <is>
          <t>Mobile Device</t>
        </is>
      </c>
      <c r="D15" s="7" t="inlineStr">
        <is>
          <t>Samsung Galaxy S24</t>
        </is>
      </c>
      <c r="E15" s="7" t="inlineStr">
        <is>
          <t>E0011</t>
        </is>
      </c>
      <c r="F15" s="7" t="inlineStr">
        <is>
          <t>Seattle</t>
        </is>
      </c>
      <c r="G15" s="7" t="inlineStr">
        <is>
          <t>In Use</t>
        </is>
      </c>
      <c r="H15" s="7" t="inlineStr">
        <is>
          <t>E0011</t>
        </is>
      </c>
      <c r="I15" s="7" t="inlineStr">
        <is>
          <t>Seattle</t>
        </is>
      </c>
      <c r="J15" s="7" t="inlineStr">
        <is>
          <t>In Use</t>
        </is>
      </c>
      <c r="K15" s="7" t="inlineStr">
        <is>
          <t>Seattle: Maya Fontaine (E0011). assignment sits on TR-00011 (APR-00011). bought on PO-2023-0002; FAR FA-000011.</t>
        </is>
      </c>
      <c r="L15" s="7" t="inlineStr">
        <is>
          <t>2026-08-05</t>
        </is>
      </c>
      <c r="M15" s="7" t="n">
        <v>1130</v>
      </c>
      <c r="N15" s="7">
        <f>IFERROR(XLOOKUP(A15,'Source Ledger'!$B$5:$B$133,'Source Ledger'!$G$5:$G$133),"")</f>
        <v>882.5</v>
      </c>
      <c r="O15" s="7">
        <f>IFERROR(XLOOKUP(A15,'Source Ledger'!$B$5:$B$133,'Source Ledger'!$A$5:$A$133),"")</f>
        <v/>
      </c>
      <c r="P15" s="7" t="inlineStr">
        <is>
          <t>No</t>
        </is>
      </c>
      <c r="Q15" s="9" t="inlineStr">
        <is>
          <t>High</t>
        </is>
      </c>
      <c r="R15" s="7" t="inlineStr"/>
      <c r="S15" s="7" t="inlineStr">
        <is>
          <t>No</t>
        </is>
      </c>
      <c r="T15" t="n">
        <v>1130</v>
      </c>
      <c r="U15" t="inlineStr">
        <is>
          <t>Active</t>
        </is>
      </c>
      <c r="V15" t="n">
        <v>882.5</v>
      </c>
      <c r="W15" t="n">
        <v>0</v>
      </c>
      <c r="X15" t="inlineStr">
        <is>
          <t>Yes</t>
        </is>
      </c>
    </row>
    <row r="16">
      <c r="A16" s="7" t="inlineStr">
        <is>
          <t>MD-00012</t>
        </is>
      </c>
      <c r="B16" s="7" t="inlineStr">
        <is>
          <t>MD-NE-050012</t>
        </is>
      </c>
      <c r="C16" s="7" t="inlineStr">
        <is>
          <t>Network Asset</t>
        </is>
      </c>
      <c r="D16" s="7" t="inlineStr">
        <is>
          <t>Cisco C9300</t>
        </is>
      </c>
      <c r="E16" s="7" t="inlineStr">
        <is>
          <t>E0012</t>
        </is>
      </c>
      <c r="F16" s="7" t="inlineStr">
        <is>
          <t>Atlanta</t>
        </is>
      </c>
      <c r="G16" s="7" t="inlineStr">
        <is>
          <t>In Use</t>
        </is>
      </c>
      <c r="H16" s="7" t="inlineStr">
        <is>
          <t>E0012</t>
        </is>
      </c>
      <c r="I16" s="7" t="inlineStr">
        <is>
          <t>Atlanta</t>
        </is>
      </c>
      <c r="J16" s="7" t="inlineStr">
        <is>
          <t>In Use</t>
        </is>
      </c>
      <c r="K16" s="7" t="inlineStr">
        <is>
          <t>Register owner was E0012; verified Ryan Okonkwo (E0012). TR-00012 (APR-00012) on the movement log. bought on PO-2023-0002; FAR FA-000012.</t>
        </is>
      </c>
      <c r="L16" s="7" t="inlineStr">
        <is>
          <t>2026-08-05</t>
        </is>
      </c>
      <c r="M16" s="7" t="n">
        <v>6425</v>
      </c>
      <c r="N16" s="7">
        <f>IFERROR(XLOOKUP(A16,'Source Ledger'!$B$5:$B$133,'Source Ledger'!$G$5:$G$133),"")</f>
        <v>553.23</v>
      </c>
      <c r="O16" s="7">
        <f>IFERROR(XLOOKUP(A16,'Source Ledger'!$B$5:$B$133,'Source Ledger'!$A$5:$A$133),"")</f>
        <v/>
      </c>
      <c r="P16" s="7" t="inlineStr">
        <is>
          <t>Yes</t>
        </is>
      </c>
      <c r="Q16" s="9" t="inlineStr">
        <is>
          <t>High</t>
        </is>
      </c>
      <c r="R16" s="7" t="inlineStr"/>
      <c r="S16" s="7" t="inlineStr">
        <is>
          <t>No</t>
        </is>
      </c>
      <c r="T16" t="n">
        <v>6425</v>
      </c>
      <c r="U16" t="inlineStr">
        <is>
          <t>Active</t>
        </is>
      </c>
      <c r="V16" t="n">
        <v>553.23</v>
      </c>
      <c r="W16" t="n">
        <v>0</v>
      </c>
      <c r="X16" t="inlineStr">
        <is>
          <t>Yes</t>
        </is>
      </c>
    </row>
    <row r="17">
      <c r="A17" s="7" t="inlineStr">
        <is>
          <t>MD-00013</t>
        </is>
      </c>
      <c r="B17" s="7" t="inlineStr">
        <is>
          <t>MD-LA-050013</t>
        </is>
      </c>
      <c r="C17" s="7" t="inlineStr">
        <is>
          <t>Laptop</t>
        </is>
      </c>
      <c r="D17" s="7" t="inlineStr">
        <is>
          <t>Lenovo ThinkPad T14</t>
        </is>
      </c>
      <c r="E17" s="7" t="inlineStr">
        <is>
          <t>E0013</t>
        </is>
      </c>
      <c r="F17" s="7" t="inlineStr">
        <is>
          <t>Chicago</t>
        </is>
      </c>
      <c r="G17" s="7" t="inlineStr">
        <is>
          <t>In Use</t>
        </is>
      </c>
      <c r="H17" s="7" t="inlineStr">
        <is>
          <t>E0013</t>
        </is>
      </c>
      <c r="I17" s="7" t="inlineStr">
        <is>
          <t>Chicago</t>
        </is>
      </c>
      <c r="J17" s="7" t="inlineStr">
        <is>
          <t>In Use</t>
        </is>
      </c>
      <c r="K17" s="7" t="inlineStr">
        <is>
          <t>bought on PO-2024-0003; FAR FA-000013. People/move side: hr_employee_status still has E0013 as Active; assignment sits on TR-00013 (APR-00013).</t>
        </is>
      </c>
      <c r="L17" s="7" t="inlineStr">
        <is>
          <t>2026-08-05</t>
        </is>
      </c>
      <c r="M17" s="7" t="n">
        <v>2120</v>
      </c>
      <c r="N17" s="7">
        <f>IFERROR(XLOOKUP(A17,'Source Ledger'!$B$5:$B$133,'Source Ledger'!$G$5:$G$133),"")</f>
        <v>0</v>
      </c>
      <c r="O17" s="7">
        <f>IFERROR(XLOOKUP(A17,'Source Ledger'!$B$5:$B$133,'Source Ledger'!$A$5:$A$133),"")</f>
        <v/>
      </c>
      <c r="P17" s="7" t="inlineStr">
        <is>
          <t>No</t>
        </is>
      </c>
      <c r="Q17" s="9" t="inlineStr">
        <is>
          <t>High</t>
        </is>
      </c>
      <c r="R17" s="7" t="inlineStr"/>
      <c r="S17" s="7" t="inlineStr">
        <is>
          <t>No</t>
        </is>
      </c>
      <c r="T17" t="n">
        <v>2120</v>
      </c>
      <c r="U17" t="inlineStr">
        <is>
          <t>Active</t>
        </is>
      </c>
      <c r="V17" t="n">
        <v>0</v>
      </c>
      <c r="W17" t="n">
        <v>0</v>
      </c>
      <c r="X17" t="inlineStr">
        <is>
          <t>Yes</t>
        </is>
      </c>
    </row>
    <row r="18">
      <c r="A18" s="7" t="inlineStr">
        <is>
          <t>MD-00014</t>
        </is>
      </c>
      <c r="B18" s="7" t="inlineStr">
        <is>
          <t>MD-MO-050014</t>
        </is>
      </c>
      <c r="C18" s="7" t="inlineStr">
        <is>
          <t>Monitor</t>
        </is>
      </c>
      <c r="D18" s="7" t="inlineStr">
        <is>
          <t>Dell U2723QE</t>
        </is>
      </c>
      <c r="E18" s="7" t="inlineStr">
        <is>
          <t>E0014</t>
        </is>
      </c>
      <c r="F18" s="7" t="inlineStr">
        <is>
          <t>Dallas</t>
        </is>
      </c>
      <c r="G18" s="7" t="inlineStr">
        <is>
          <t>In Use</t>
        </is>
      </c>
      <c r="H18" s="7" t="inlineStr">
        <is>
          <t>E0014</t>
        </is>
      </c>
      <c r="I18" s="7" t="inlineStr">
        <is>
          <t>Dallas</t>
        </is>
      </c>
      <c r="J18" s="7" t="inlineStr">
        <is>
          <t>In Use</t>
        </is>
      </c>
      <c r="K18" s="7" t="inlineStr">
        <is>
          <t>Cross-check on MD-00014 landed on In Use / Dallas. Nathan Kim (E0014) is Active in HR. TR-00014 (APR-00014) on the movement log. bought on PO-2024-0003; FAR FA-000014.</t>
        </is>
      </c>
      <c r="L18" s="7" t="inlineStr">
        <is>
          <t>2026-08-05</t>
        </is>
      </c>
      <c r="M18" s="7" t="n">
        <v>520</v>
      </c>
      <c r="N18" s="7">
        <f>IFERROR(XLOOKUP(A18,'Source Ledger'!$B$5:$B$133,'Source Ledger'!$G$5:$G$133),"")</f>
        <v>270.29</v>
      </c>
      <c r="O18" s="7">
        <f>IFERROR(XLOOKUP(A18,'Source Ledger'!$B$5:$B$133,'Source Ledger'!$A$5:$A$133),"")</f>
        <v/>
      </c>
      <c r="P18" s="7" t="inlineStr">
        <is>
          <t>No</t>
        </is>
      </c>
      <c r="Q18" s="9" t="inlineStr">
        <is>
          <t>High</t>
        </is>
      </c>
      <c r="R18" s="7" t="inlineStr"/>
      <c r="S18" s="7" t="inlineStr">
        <is>
          <t>No</t>
        </is>
      </c>
      <c r="T18" t="n">
        <v>520</v>
      </c>
      <c r="U18" t="inlineStr">
        <is>
          <t>Active</t>
        </is>
      </c>
      <c r="V18" t="n">
        <v>270.29</v>
      </c>
      <c r="W18" t="n">
        <v>0</v>
      </c>
      <c r="X18" t="inlineStr">
        <is>
          <t>Yes</t>
        </is>
      </c>
    </row>
    <row r="19">
      <c r="A19" s="7" t="inlineStr">
        <is>
          <t>MD-00015</t>
        </is>
      </c>
      <c r="B19" s="7" t="inlineStr">
        <is>
          <t>MD-MO-050015</t>
        </is>
      </c>
      <c r="C19" s="7" t="inlineStr">
        <is>
          <t>Mobile Device</t>
        </is>
      </c>
      <c r="D19" s="7" t="inlineStr">
        <is>
          <t>Samsung Galaxy S24</t>
        </is>
      </c>
      <c r="E19" s="7" t="inlineStr">
        <is>
          <t>E0015</t>
        </is>
      </c>
      <c r="F19" s="7" t="inlineStr">
        <is>
          <t>Denver</t>
        </is>
      </c>
      <c r="G19" s="7" t="inlineStr">
        <is>
          <t>In Use</t>
        </is>
      </c>
      <c r="H19" s="7" t="inlineStr">
        <is>
          <t>E0015</t>
        </is>
      </c>
      <c r="I19" s="7" t="inlineStr">
        <is>
          <t>Denver</t>
        </is>
      </c>
      <c r="J19" s="7" t="inlineStr">
        <is>
          <t>In Use</t>
        </is>
      </c>
      <c r="K19" s="7" t="inlineStr">
        <is>
          <t>assignment sits on TR-00015 (APR-00015). HR agrees (HR file: E0015 Active — Camila Ortiz). bought on PO-2024-0003; FAR FA-000015.</t>
        </is>
      </c>
      <c r="L19" s="7" t="inlineStr">
        <is>
          <t>2026-08-05</t>
        </is>
      </c>
      <c r="M19" s="7" t="n">
        <v>995</v>
      </c>
      <c r="N19" s="7">
        <f>IFERROR(XLOOKUP(A19,'Source Ledger'!$B$5:$B$133,'Source Ledger'!$G$5:$G$133),"")</f>
        <v>559.13</v>
      </c>
      <c r="O19" s="7">
        <f>IFERROR(XLOOKUP(A19,'Source Ledger'!$B$5:$B$133,'Source Ledger'!$A$5:$A$133),"")</f>
        <v/>
      </c>
      <c r="P19" s="7" t="inlineStr">
        <is>
          <t>No</t>
        </is>
      </c>
      <c r="Q19" s="9" t="inlineStr">
        <is>
          <t>High</t>
        </is>
      </c>
      <c r="R19" s="7" t="inlineStr"/>
      <c r="S19" s="7" t="inlineStr">
        <is>
          <t>No</t>
        </is>
      </c>
      <c r="T19" t="n">
        <v>995</v>
      </c>
      <c r="U19" t="inlineStr">
        <is>
          <t>Active</t>
        </is>
      </c>
      <c r="V19" t="n">
        <v>559.13</v>
      </c>
      <c r="W19" t="n">
        <v>0</v>
      </c>
      <c r="X19" t="inlineStr">
        <is>
          <t>Yes</t>
        </is>
      </c>
    </row>
    <row r="20">
      <c r="A20" s="7" t="inlineStr">
        <is>
          <t>MD-00016</t>
        </is>
      </c>
      <c r="B20" s="7" t="inlineStr">
        <is>
          <t>MD-NE-050016</t>
        </is>
      </c>
      <c r="C20" s="7" t="inlineStr">
        <is>
          <t>Network Asset</t>
        </is>
      </c>
      <c r="D20" s="7" t="inlineStr">
        <is>
          <t>Cisco C9300</t>
        </is>
      </c>
      <c r="E20" s="7" t="inlineStr">
        <is>
          <t>E0016</t>
        </is>
      </c>
      <c r="F20" s="7" t="inlineStr">
        <is>
          <t>New York</t>
        </is>
      </c>
      <c r="G20" s="7" t="inlineStr">
        <is>
          <t>In Use</t>
        </is>
      </c>
      <c r="H20" s="7" t="inlineStr">
        <is>
          <t>E0016</t>
        </is>
      </c>
      <c r="I20" s="7" t="inlineStr">
        <is>
          <t>New York</t>
        </is>
      </c>
      <c r="J20" s="7" t="inlineStr">
        <is>
          <t>In Use</t>
        </is>
      </c>
      <c r="K20" s="7" t="inlineStr">
        <is>
          <t>Keeping MD-00016 with Patrick Gallagher (E0016) in New York. TR-00016 (APR-00016) on the movement log. bought on PO-2024-0003; FAR FA-000016.</t>
        </is>
      </c>
      <c r="L20" s="7" t="inlineStr">
        <is>
          <t>2026-08-05</t>
        </is>
      </c>
      <c r="M20" s="7" t="n">
        <v>6290</v>
      </c>
      <c r="N20" s="7">
        <f>IFERROR(XLOOKUP(A20,'Source Ledger'!$B$5:$B$133,'Source Ledger'!$G$5:$G$133),"")</f>
        <v>968.69</v>
      </c>
      <c r="O20" s="7">
        <f>IFERROR(XLOOKUP(A20,'Source Ledger'!$B$5:$B$133,'Source Ledger'!$A$5:$A$133),"")</f>
        <v/>
      </c>
      <c r="P20" s="7" t="inlineStr">
        <is>
          <t>Yes</t>
        </is>
      </c>
      <c r="Q20" s="9" t="inlineStr">
        <is>
          <t>High</t>
        </is>
      </c>
      <c r="R20" s="7" t="inlineStr"/>
      <c r="S20" s="7" t="inlineStr">
        <is>
          <t>No</t>
        </is>
      </c>
      <c r="T20" t="n">
        <v>6290</v>
      </c>
      <c r="U20" t="inlineStr">
        <is>
          <t>Active</t>
        </is>
      </c>
      <c r="V20" t="n">
        <v>968.69</v>
      </c>
      <c r="W20" t="n">
        <v>0</v>
      </c>
      <c r="X20" t="inlineStr">
        <is>
          <t>Yes</t>
        </is>
      </c>
    </row>
    <row r="21">
      <c r="A21" s="7" t="inlineStr">
        <is>
          <t>MD-00017</t>
        </is>
      </c>
      <c r="B21" s="7" t="inlineStr">
        <is>
          <t>MD-LA-050017</t>
        </is>
      </c>
      <c r="C21" s="7" t="inlineStr">
        <is>
          <t>Laptop</t>
        </is>
      </c>
      <c r="D21" s="7" t="inlineStr">
        <is>
          <t>MacBook Pro 14</t>
        </is>
      </c>
      <c r="E21" s="7" t="inlineStr">
        <is>
          <t>E0017</t>
        </is>
      </c>
      <c r="F21" s="7" t="inlineStr">
        <is>
          <t>Seattle</t>
        </is>
      </c>
      <c r="G21" s="7" t="inlineStr">
        <is>
          <t>In Use</t>
        </is>
      </c>
      <c r="H21" s="7" t="inlineStr">
        <is>
          <t>E0017</t>
        </is>
      </c>
      <c r="I21" s="7" t="inlineStr">
        <is>
          <t>Seattle</t>
        </is>
      </c>
      <c r="J21" s="7" t="inlineStr">
        <is>
          <t>In Use</t>
        </is>
      </c>
      <c r="K21" s="7" t="inlineStr">
        <is>
          <t>Irene Cho hasn't changed status (Active) so I didn't bounce the assignment. assignment sits on TR-00017 (APR-00017). bought on PO-2024-0003; FAR FA-000017. E0017.</t>
        </is>
      </c>
      <c r="L21" s="7" t="inlineStr">
        <is>
          <t>2026-08-05</t>
        </is>
      </c>
      <c r="M21" s="7" t="n">
        <v>1985</v>
      </c>
      <c r="N21" s="7">
        <f>IFERROR(XLOOKUP(A21,'Source Ledger'!$B$5:$B$133,'Source Ledger'!$G$5:$G$133),"")</f>
        <v>0</v>
      </c>
      <c r="O21" s="7">
        <f>IFERROR(XLOOKUP(A21,'Source Ledger'!$B$5:$B$133,'Source Ledger'!$A$5:$A$133),"")</f>
        <v/>
      </c>
      <c r="P21" s="7" t="inlineStr">
        <is>
          <t>No</t>
        </is>
      </c>
      <c r="Q21" s="9" t="inlineStr">
        <is>
          <t>High</t>
        </is>
      </c>
      <c r="R21" s="7" t="inlineStr">
        <is>
          <t>EX-0001</t>
        </is>
      </c>
      <c r="S21" s="7" t="inlineStr">
        <is>
          <t>No</t>
        </is>
      </c>
      <c r="T21" t="n">
        <v>2070</v>
      </c>
      <c r="U21" t="inlineStr">
        <is>
          <t>Active</t>
        </is>
      </c>
      <c r="V21" t="n">
        <v>0</v>
      </c>
      <c r="W21" t="n">
        <v>85</v>
      </c>
      <c r="X21" t="inlineStr">
        <is>
          <t>Yes</t>
        </is>
      </c>
    </row>
    <row r="22">
      <c r="A22" s="7" t="inlineStr">
        <is>
          <t>MD-00018</t>
        </is>
      </c>
      <c r="B22" s="7" t="inlineStr">
        <is>
          <t>MD-MO-050018</t>
        </is>
      </c>
      <c r="C22" s="7" t="inlineStr">
        <is>
          <t>Monitor</t>
        </is>
      </c>
      <c r="D22" s="7" t="inlineStr">
        <is>
          <t>Dell U2723QE</t>
        </is>
      </c>
      <c r="E22" s="7" t="inlineStr">
        <is>
          <t>E0018</t>
        </is>
      </c>
      <c r="F22" s="7" t="inlineStr">
        <is>
          <t>Atlanta</t>
        </is>
      </c>
      <c r="G22" s="7" t="inlineStr">
        <is>
          <t>In Use</t>
        </is>
      </c>
      <c r="H22" s="7" t="inlineStr">
        <is>
          <t>E0018</t>
        </is>
      </c>
      <c r="I22" s="7" t="inlineStr">
        <is>
          <t>Atlanta</t>
        </is>
      </c>
      <c r="J22" s="7" t="inlineStr">
        <is>
          <t>In Use</t>
        </is>
      </c>
      <c r="K22" s="7" t="inlineStr">
        <is>
          <t>Live kit. MD-00018 Dell U2723QE. Custodian check: E0018 / Active. TR-00018 (APR-00018) on the movement log. bought on PO-2024-0003; FAR FA-000018.</t>
        </is>
      </c>
      <c r="L22" s="7" t="inlineStr">
        <is>
          <t>2026-08-05</t>
        </is>
      </c>
      <c r="M22" s="7" t="n">
        <v>700</v>
      </c>
      <c r="N22" s="7">
        <f>IFERROR(XLOOKUP(A22,'Source Ledger'!$B$5:$B$133,'Source Ledger'!$G$5:$G$133),"")</f>
        <v>412.14</v>
      </c>
      <c r="O22" s="7">
        <f>IFERROR(XLOOKUP(A22,'Source Ledger'!$B$5:$B$133,'Source Ledger'!$A$5:$A$133),"")</f>
        <v/>
      </c>
      <c r="P22" s="7" t="inlineStr">
        <is>
          <t>No</t>
        </is>
      </c>
      <c r="Q22" s="9" t="inlineStr">
        <is>
          <t>High</t>
        </is>
      </c>
      <c r="R22" s="7" t="inlineStr"/>
      <c r="S22" s="7" t="inlineStr">
        <is>
          <t>No</t>
        </is>
      </c>
      <c r="T22" t="n">
        <v>700</v>
      </c>
      <c r="U22" t="inlineStr">
        <is>
          <t>Active</t>
        </is>
      </c>
      <c r="V22" t="n">
        <v>412.14</v>
      </c>
      <c r="W22" t="n">
        <v>0</v>
      </c>
      <c r="X22" t="inlineStr">
        <is>
          <t>Yes</t>
        </is>
      </c>
    </row>
    <row r="23">
      <c r="A23" s="7" t="inlineStr">
        <is>
          <t>MD-00019</t>
        </is>
      </c>
      <c r="B23" s="7" t="inlineStr">
        <is>
          <t>MD-MO-050019</t>
        </is>
      </c>
      <c r="C23" s="7" t="inlineStr">
        <is>
          <t>Mobile Device</t>
        </is>
      </c>
      <c r="D23" s="7" t="inlineStr">
        <is>
          <t>Samsung Galaxy S24</t>
        </is>
      </c>
      <c r="E23" s="7" t="inlineStr">
        <is>
          <t>E0019</t>
        </is>
      </c>
      <c r="F23" s="7" t="inlineStr">
        <is>
          <t>Chicago</t>
        </is>
      </c>
      <c r="G23" s="7" t="inlineStr">
        <is>
          <t>In Use</t>
        </is>
      </c>
      <c r="H23" s="7" t="inlineStr">
        <is>
          <t>E0019</t>
        </is>
      </c>
      <c r="I23" s="7" t="inlineStr">
        <is>
          <t>Chicago</t>
        </is>
      </c>
      <c r="J23" s="7" t="inlineStr">
        <is>
          <t>In Use</t>
        </is>
      </c>
      <c r="K23" s="7" t="inlineStr">
        <is>
          <t>Jasmine Reed (E0019), Chicago. Movement assignment sits on TR-00019 (APR-00019). bought on PO-2025-0004; FAR FA-000019.</t>
        </is>
      </c>
      <c r="L23" s="7" t="inlineStr">
        <is>
          <t>2026-08-05</t>
        </is>
      </c>
      <c r="M23" s="7" t="n">
        <v>1175</v>
      </c>
      <c r="N23" s="7">
        <f>IFERROR(XLOOKUP(A23,'Source Ledger'!$B$5:$B$133,'Source Ledger'!$G$5:$G$133),"")</f>
        <v>795.4</v>
      </c>
      <c r="O23" s="7">
        <f>IFERROR(XLOOKUP(A23,'Source Ledger'!$B$5:$B$133,'Source Ledger'!$A$5:$A$133),"")</f>
        <v/>
      </c>
      <c r="P23" s="7" t="inlineStr">
        <is>
          <t>No</t>
        </is>
      </c>
      <c r="Q23" s="9" t="inlineStr">
        <is>
          <t>High</t>
        </is>
      </c>
      <c r="R23" s="7" t="inlineStr"/>
      <c r="S23" s="7" t="inlineStr">
        <is>
          <t>No</t>
        </is>
      </c>
      <c r="T23" t="n">
        <v>1175</v>
      </c>
      <c r="U23" t="inlineStr">
        <is>
          <t>Active</t>
        </is>
      </c>
      <c r="V23" t="n">
        <v>795.4</v>
      </c>
      <c r="W23" t="n">
        <v>0</v>
      </c>
      <c r="X23" t="inlineStr">
        <is>
          <t>Yes</t>
        </is>
      </c>
    </row>
    <row r="24">
      <c r="A24" s="7" t="inlineStr">
        <is>
          <t>MD-00020</t>
        </is>
      </c>
      <c r="B24" s="7" t="inlineStr">
        <is>
          <t>MD-NE-050020</t>
        </is>
      </c>
      <c r="C24" s="7" t="inlineStr">
        <is>
          <t>Network Asset</t>
        </is>
      </c>
      <c r="D24" s="7" t="inlineStr">
        <is>
          <t>Cisco C9300</t>
        </is>
      </c>
      <c r="E24" s="7" t="inlineStr">
        <is>
          <t>E0020</t>
        </is>
      </c>
      <c r="F24" s="7" t="inlineStr">
        <is>
          <t>Dallas</t>
        </is>
      </c>
      <c r="G24" s="7" t="inlineStr">
        <is>
          <t>In Use</t>
        </is>
      </c>
      <c r="H24" s="7" t="inlineStr">
        <is>
          <t>E0020</t>
        </is>
      </c>
      <c r="I24" s="7" t="inlineStr">
        <is>
          <t>Dallas</t>
        </is>
      </c>
      <c r="J24" s="7" t="inlineStr">
        <is>
          <t>In Use</t>
        </is>
      </c>
      <c r="K24" s="7" t="inlineStr">
        <is>
          <t>Luis Navarro (E0020) is Active in HR. TR-00020 (APR-00020) on the movement log. bought on PO-2025-0004; FAR FA-000020. Left MD-00020 as In Use in Dallas.</t>
        </is>
      </c>
      <c r="L24" s="7" t="inlineStr">
        <is>
          <t>2026-08-05</t>
        </is>
      </c>
      <c r="M24" s="7" t="n">
        <v>6470</v>
      </c>
      <c r="N24" s="7">
        <f>IFERROR(XLOOKUP(A24,'Source Ledger'!$B$5:$B$133,'Source Ledger'!$G$5:$G$133),"")</f>
        <v>1446.34</v>
      </c>
      <c r="O24" s="7">
        <f>IFERROR(XLOOKUP(A24,'Source Ledger'!$B$5:$B$133,'Source Ledger'!$A$5:$A$133),"")</f>
        <v/>
      </c>
      <c r="P24" s="7" t="inlineStr">
        <is>
          <t>Yes</t>
        </is>
      </c>
      <c r="Q24" s="9" t="inlineStr">
        <is>
          <t>High</t>
        </is>
      </c>
      <c r="R24" s="7" t="inlineStr"/>
      <c r="S24" s="7" t="inlineStr">
        <is>
          <t>No</t>
        </is>
      </c>
      <c r="T24" t="n">
        <v>6470</v>
      </c>
      <c r="U24" t="inlineStr">
        <is>
          <t>Active</t>
        </is>
      </c>
      <c r="V24" t="n">
        <v>1446.34</v>
      </c>
      <c r="W24" t="n">
        <v>0</v>
      </c>
      <c r="X24" t="inlineStr">
        <is>
          <t>Yes</t>
        </is>
      </c>
    </row>
    <row r="25">
      <c r="A25" s="7" t="inlineStr">
        <is>
          <t>MD-00021</t>
        </is>
      </c>
      <c r="B25" s="7" t="inlineStr">
        <is>
          <t>MD-LA-050021</t>
        </is>
      </c>
      <c r="C25" s="7" t="inlineStr">
        <is>
          <t>Laptop</t>
        </is>
      </c>
      <c r="D25" s="7" t="inlineStr">
        <is>
          <t>Dell Latitude 7440</t>
        </is>
      </c>
      <c r="E25" s="7" t="inlineStr">
        <is>
          <t>E0021</t>
        </is>
      </c>
      <c r="F25" s="7" t="inlineStr">
        <is>
          <t>Denver</t>
        </is>
      </c>
      <c r="G25" s="7" t="inlineStr">
        <is>
          <t>In Use</t>
        </is>
      </c>
      <c r="H25" s="7" t="inlineStr">
        <is>
          <t>E0021</t>
        </is>
      </c>
      <c r="I25" s="7" t="inlineStr">
        <is>
          <t>Denver</t>
        </is>
      </c>
      <c r="J25" s="7" t="inlineStr">
        <is>
          <t>In Use</t>
        </is>
      </c>
      <c r="K25" s="7" t="inlineStr">
        <is>
          <t>Dell Latitude 7440 MD-00021 — assignment sits on TR-00021 (APR-00021); HR file: E0021 Active — Grace Lindholm. bought on PO-2025-0004; FAR FA-000021. duplicate serial MD-LA-050021</t>
        </is>
      </c>
      <c r="L25" s="7" t="inlineStr">
        <is>
          <t>2026-08-05</t>
        </is>
      </c>
      <c r="M25" s="7" t="n">
        <v>1850</v>
      </c>
      <c r="N25" s="7">
        <f>IFERROR(XLOOKUP(A25,'Source Ledger'!$B$5:$B$133,'Source Ledger'!$G$5:$G$133),"")</f>
        <v>124.52</v>
      </c>
      <c r="O25" s="7">
        <f>IFERROR(XLOOKUP(A25,'Source Ledger'!$B$5:$B$133,'Source Ledger'!$A$5:$A$133),"")</f>
        <v/>
      </c>
      <c r="P25" s="7" t="inlineStr">
        <is>
          <t>No</t>
        </is>
      </c>
      <c r="Q25" s="7" t="inlineStr">
        <is>
          <t>Medium</t>
        </is>
      </c>
      <c r="R25" s="7" t="inlineStr">
        <is>
          <t>EX-0002</t>
        </is>
      </c>
      <c r="S25" s="7" t="inlineStr">
        <is>
          <t>No</t>
        </is>
      </c>
      <c r="T25" t="n">
        <v>1850</v>
      </c>
      <c r="U25" t="inlineStr">
        <is>
          <t>Active</t>
        </is>
      </c>
      <c r="V25" t="n">
        <v>124.52</v>
      </c>
      <c r="W25" t="n">
        <v>0</v>
      </c>
      <c r="X25" t="inlineStr">
        <is>
          <t>Yes</t>
        </is>
      </c>
    </row>
    <row r="26">
      <c r="A26" s="7" t="inlineStr">
        <is>
          <t>MD-00022</t>
        </is>
      </c>
      <c r="B26" s="7" t="inlineStr">
        <is>
          <t>MD-MO-050022</t>
        </is>
      </c>
      <c r="C26" s="7" t="inlineStr">
        <is>
          <t>Monitor</t>
        </is>
      </c>
      <c r="D26" s="7" t="inlineStr">
        <is>
          <t>Dell U2723QE</t>
        </is>
      </c>
      <c r="E26" s="7" t="inlineStr">
        <is>
          <t>E0022</t>
        </is>
      </c>
      <c r="F26" s="7" t="inlineStr">
        <is>
          <t>New York</t>
        </is>
      </c>
      <c r="G26" s="7" t="inlineStr">
        <is>
          <t>In Use</t>
        </is>
      </c>
      <c r="H26" s="7" t="inlineStr">
        <is>
          <t>E0022</t>
        </is>
      </c>
      <c r="I26" s="7" t="inlineStr">
        <is>
          <t>New York</t>
        </is>
      </c>
      <c r="J26" s="7" t="inlineStr">
        <is>
          <t>In Use</t>
        </is>
      </c>
      <c r="K26" s="7" t="inlineStr">
        <is>
          <t>Didn't rewrite MD-00022. Looked up E0022; still Active, and TR-00022 (APR-00022) on the movement log. bought on PO-2025-0004; FAR FA-000022.</t>
        </is>
      </c>
      <c r="L26" s="7" t="inlineStr">
        <is>
          <t>2026-08-05</t>
        </is>
      </c>
      <c r="M26" s="7" t="n">
        <v>565</v>
      </c>
      <c r="N26" s="7">
        <f>IFERROR(XLOOKUP(A26,'Source Ledger'!$B$5:$B$133,'Source Ledger'!$G$5:$G$133),"")</f>
        <v>371.95</v>
      </c>
      <c r="O26" s="7">
        <f>IFERROR(XLOOKUP(A26,'Source Ledger'!$B$5:$B$133,'Source Ledger'!$A$5:$A$133),"")</f>
        <v/>
      </c>
      <c r="P26" s="7" t="inlineStr">
        <is>
          <t>No</t>
        </is>
      </c>
      <c r="Q26" s="9" t="inlineStr">
        <is>
          <t>High</t>
        </is>
      </c>
      <c r="R26" s="7" t="inlineStr"/>
      <c r="S26" s="7" t="inlineStr">
        <is>
          <t>No</t>
        </is>
      </c>
      <c r="T26" t="n">
        <v>565</v>
      </c>
      <c r="U26" t="inlineStr">
        <is>
          <t>Active</t>
        </is>
      </c>
      <c r="V26" t="n">
        <v>371.95</v>
      </c>
      <c r="W26" t="n">
        <v>0</v>
      </c>
      <c r="X26" t="inlineStr">
        <is>
          <t>Yes</t>
        </is>
      </c>
    </row>
    <row r="27">
      <c r="A27" s="7" t="inlineStr">
        <is>
          <t>MD-00023</t>
        </is>
      </c>
      <c r="B27" s="7" t="inlineStr">
        <is>
          <t>MD-MO-050023</t>
        </is>
      </c>
      <c r="C27" s="7" t="inlineStr">
        <is>
          <t>Mobile Device</t>
        </is>
      </c>
      <c r="D27" s="7" t="inlineStr">
        <is>
          <t>Samsung Galaxy S24</t>
        </is>
      </c>
      <c r="E27" s="7" t="inlineStr">
        <is>
          <t>E0023</t>
        </is>
      </c>
      <c r="F27" s="7" t="inlineStr">
        <is>
          <t>Seattle</t>
        </is>
      </c>
      <c r="G27" s="7" t="inlineStr">
        <is>
          <t>In Use</t>
        </is>
      </c>
      <c r="H27" s="7" t="inlineStr">
        <is>
          <t>E0023</t>
        </is>
      </c>
      <c r="I27" s="7" t="inlineStr">
        <is>
          <t>Seattle</t>
        </is>
      </c>
      <c r="J27" s="7" t="inlineStr">
        <is>
          <t>In Use</t>
        </is>
      </c>
      <c r="K27" s="7" t="inlineStr">
        <is>
          <t>Seattle: Nina Kowalski (E0023). assignment sits on TR-00023 (APR-00023). bought on PO-2025-0004; FAR FA-000023.</t>
        </is>
      </c>
      <c r="L27" s="7" t="inlineStr">
        <is>
          <t>2026-08-05</t>
        </is>
      </c>
      <c r="M27" s="7" t="n">
        <v>1040</v>
      </c>
      <c r="N27" s="7">
        <f>IFERROR(XLOOKUP(A27,'Source Ledger'!$B$5:$B$133,'Source Ledger'!$G$5:$G$133),"")</f>
        <v>823.6</v>
      </c>
      <c r="O27" s="7">
        <f>IFERROR(XLOOKUP(A27,'Source Ledger'!$B$5:$B$133,'Source Ledger'!$A$5:$A$133),"")</f>
        <v/>
      </c>
      <c r="P27" s="7" t="inlineStr">
        <is>
          <t>No</t>
        </is>
      </c>
      <c r="Q27" s="9" t="inlineStr">
        <is>
          <t>High</t>
        </is>
      </c>
      <c r="R27" s="7" t="inlineStr"/>
      <c r="S27" s="7" t="inlineStr">
        <is>
          <t>No</t>
        </is>
      </c>
      <c r="T27" t="n">
        <v>1040</v>
      </c>
      <c r="U27" t="inlineStr">
        <is>
          <t>Active</t>
        </is>
      </c>
      <c r="V27" t="n">
        <v>823.6</v>
      </c>
      <c r="W27" t="n">
        <v>0</v>
      </c>
      <c r="X27" t="inlineStr">
        <is>
          <t>Yes</t>
        </is>
      </c>
    </row>
    <row r="28">
      <c r="A28" s="7" t="inlineStr">
        <is>
          <t>MD-00024</t>
        </is>
      </c>
      <c r="B28" s="7" t="inlineStr">
        <is>
          <t>MD-NE-050024</t>
        </is>
      </c>
      <c r="C28" s="7" t="inlineStr">
        <is>
          <t>Network Asset</t>
        </is>
      </c>
      <c r="D28" s="7" t="inlineStr">
        <is>
          <t>Cisco C9300</t>
        </is>
      </c>
      <c r="E28" s="7" t="inlineStr">
        <is>
          <t>E0024</t>
        </is>
      </c>
      <c r="F28" s="7" t="inlineStr">
        <is>
          <t>Atlanta</t>
        </is>
      </c>
      <c r="G28" s="7" t="inlineStr">
        <is>
          <t>In Use</t>
        </is>
      </c>
      <c r="H28" s="7" t="inlineStr">
        <is>
          <t>E0024</t>
        </is>
      </c>
      <c r="I28" s="7" t="inlineStr">
        <is>
          <t>Atlanta</t>
        </is>
      </c>
      <c r="J28" s="7" t="inlineStr">
        <is>
          <t>In Use</t>
        </is>
      </c>
      <c r="K28" s="7" t="inlineStr">
        <is>
          <t>Register owner was E0024; verified Chris Daley (E0024). TR-00024 (APR-00024) on the movement log. bought on PO-2025-0004; FAR FA-000024.</t>
        </is>
      </c>
      <c r="L28" s="7" t="inlineStr">
        <is>
          <t>2026-08-05</t>
        </is>
      </c>
      <c r="M28" s="7" t="n">
        <v>6335</v>
      </c>
      <c r="N28" s="7">
        <f>IFERROR(XLOOKUP(A28,'Source Ledger'!$B$5:$B$133,'Source Ledger'!$G$5:$G$133),"")</f>
        <v>503.85</v>
      </c>
      <c r="O28" s="7">
        <f>IFERROR(XLOOKUP(A28,'Source Ledger'!$B$5:$B$133,'Source Ledger'!$A$5:$A$133),"")</f>
        <v/>
      </c>
      <c r="P28" s="7" t="inlineStr">
        <is>
          <t>Yes</t>
        </is>
      </c>
      <c r="Q28" s="9" t="inlineStr">
        <is>
          <t>High</t>
        </is>
      </c>
      <c r="R28" s="7" t="inlineStr"/>
      <c r="S28" s="7" t="inlineStr">
        <is>
          <t>No</t>
        </is>
      </c>
      <c r="T28" t="n">
        <v>6335</v>
      </c>
      <c r="U28" t="inlineStr">
        <is>
          <t>Active</t>
        </is>
      </c>
      <c r="V28" t="n">
        <v>503.85</v>
      </c>
      <c r="W28" t="n">
        <v>0</v>
      </c>
      <c r="X28" t="inlineStr">
        <is>
          <t>Yes</t>
        </is>
      </c>
    </row>
    <row r="29">
      <c r="A29" s="7" t="inlineStr">
        <is>
          <t>MD-00025</t>
        </is>
      </c>
      <c r="B29" s="7" t="inlineStr">
        <is>
          <t>MD-LA-050021</t>
        </is>
      </c>
      <c r="C29" s="7" t="inlineStr">
        <is>
          <t>Laptop</t>
        </is>
      </c>
      <c r="D29" s="7" t="inlineStr">
        <is>
          <t>Lenovo ThinkPad T14</t>
        </is>
      </c>
      <c r="E29" s="7" t="inlineStr">
        <is>
          <t>E0025</t>
        </is>
      </c>
      <c r="F29" s="7" t="inlineStr">
        <is>
          <t>Denver - Closed</t>
        </is>
      </c>
      <c r="G29" s="7" t="inlineStr">
        <is>
          <t>In Use</t>
        </is>
      </c>
      <c r="H29" s="7" t="inlineStr">
        <is>
          <t>E0025</t>
        </is>
      </c>
      <c r="I29" s="7" t="inlineStr">
        <is>
          <t>Chicago</t>
        </is>
      </c>
      <c r="J29" s="7" t="inlineStr">
        <is>
          <t>In Use</t>
        </is>
      </c>
      <c r="K29" s="7" t="inlineStr">
        <is>
          <t>bought on PO-2022-0005; FAR FA-000025. People/move side: hr_employee_status still has E0025 as Active; assignment sits on TR-00025 (APR-00025). Note: duplicate serial MD-LA-050021</t>
        </is>
      </c>
      <c r="L29" s="7" t="inlineStr">
        <is>
          <t>2026-08-05</t>
        </is>
      </c>
      <c r="M29" s="7" t="n">
        <v>2030</v>
      </c>
      <c r="N29" s="7">
        <f>IFERROR(XLOOKUP(A29,'Source Ledger'!$B$5:$B$133,'Source Ledger'!$G$5:$G$133),"")</f>
        <v>0</v>
      </c>
      <c r="O29" s="7">
        <f>IFERROR(XLOOKUP(A29,'Source Ledger'!$B$5:$B$133,'Source Ledger'!$A$5:$A$133),"")</f>
        <v/>
      </c>
      <c r="P29" s="7" t="inlineStr">
        <is>
          <t>No</t>
        </is>
      </c>
      <c r="Q29" s="7" t="inlineStr">
        <is>
          <t>Medium</t>
        </is>
      </c>
      <c r="R29" s="7" t="inlineStr">
        <is>
          <t>EX-0003, EX-0004</t>
        </is>
      </c>
      <c r="S29" s="7" t="inlineStr">
        <is>
          <t>No</t>
        </is>
      </c>
      <c r="T29" t="n">
        <v>2030</v>
      </c>
      <c r="U29" t="inlineStr">
        <is>
          <t>Active</t>
        </is>
      </c>
      <c r="V29" t="n">
        <v>0</v>
      </c>
      <c r="W29" t="n">
        <v>0</v>
      </c>
      <c r="X29" t="inlineStr">
        <is>
          <t>Yes</t>
        </is>
      </c>
    </row>
    <row r="30">
      <c r="A30" s="7" t="inlineStr">
        <is>
          <t>MD-00026</t>
        </is>
      </c>
      <c r="B30" s="7" t="inlineStr">
        <is>
          <t>MD-MO-050026</t>
        </is>
      </c>
      <c r="C30" s="7" t="inlineStr">
        <is>
          <t>Monitor</t>
        </is>
      </c>
      <c r="D30" s="7" t="inlineStr">
        <is>
          <t>Dell U2723QE</t>
        </is>
      </c>
      <c r="E30" s="7" t="inlineStr">
        <is>
          <t>E0026</t>
        </is>
      </c>
      <c r="F30" s="7" t="inlineStr">
        <is>
          <t>Chicago - Closed</t>
        </is>
      </c>
      <c r="G30" s="7" t="inlineStr">
        <is>
          <t>In Use</t>
        </is>
      </c>
      <c r="H30" s="7" t="inlineStr">
        <is>
          <t>E0026</t>
        </is>
      </c>
      <c r="I30" s="7" t="inlineStr">
        <is>
          <t>Dallas</t>
        </is>
      </c>
      <c r="J30" s="7" t="inlineStr">
        <is>
          <t>In Use</t>
        </is>
      </c>
      <c r="K30" s="7" t="inlineStr">
        <is>
          <t>Cross-check on MD-00026 landed on In Use / Dallas. Brendan Walsh (E0026) is Active in HR. TR-00026 (APR-00026) on the movement log. bought on PO-2022-0005; FAR FA-000026.</t>
        </is>
      </c>
      <c r="L30" s="7" t="inlineStr">
        <is>
          <t>2026-08-05</t>
        </is>
      </c>
      <c r="M30" s="7" t="n">
        <v>745</v>
      </c>
      <c r="N30" s="7">
        <f>IFERROR(XLOOKUP(A30,'Source Ledger'!$B$5:$B$133,'Source Ledger'!$G$5:$G$133),"")</f>
        <v>382.34</v>
      </c>
      <c r="O30" s="7">
        <f>IFERROR(XLOOKUP(A30,'Source Ledger'!$B$5:$B$133,'Source Ledger'!$A$5:$A$133),"")</f>
        <v/>
      </c>
      <c r="P30" s="7" t="inlineStr">
        <is>
          <t>No</t>
        </is>
      </c>
      <c r="Q30" s="9" t="inlineStr">
        <is>
          <t>High</t>
        </is>
      </c>
      <c r="R30" s="7" t="inlineStr">
        <is>
          <t>EX-0005</t>
        </is>
      </c>
      <c r="S30" s="7" t="inlineStr">
        <is>
          <t>No</t>
        </is>
      </c>
      <c r="T30" t="n">
        <v>745</v>
      </c>
      <c r="U30" t="inlineStr">
        <is>
          <t>Active</t>
        </is>
      </c>
      <c r="V30" t="n">
        <v>382.34</v>
      </c>
      <c r="W30" t="n">
        <v>0</v>
      </c>
      <c r="X30" t="inlineStr">
        <is>
          <t>Yes</t>
        </is>
      </c>
    </row>
    <row r="31">
      <c r="A31" s="7" t="inlineStr">
        <is>
          <t>MD-00027</t>
        </is>
      </c>
      <c r="B31" s="7" t="inlineStr">
        <is>
          <t>MD-MO-050027</t>
        </is>
      </c>
      <c r="C31" s="7" t="inlineStr">
        <is>
          <t>Mobile Device</t>
        </is>
      </c>
      <c r="D31" s="7" t="inlineStr">
        <is>
          <t>Samsung Galaxy S24</t>
        </is>
      </c>
      <c r="E31" s="7" t="inlineStr">
        <is>
          <t>E0027</t>
        </is>
      </c>
      <c r="F31" s="7" t="inlineStr">
        <is>
          <t>Denver - Closed</t>
        </is>
      </c>
      <c r="G31" s="7" t="inlineStr">
        <is>
          <t>In Use</t>
        </is>
      </c>
      <c r="H31" s="7" t="inlineStr">
        <is>
          <t>E0027</t>
        </is>
      </c>
      <c r="I31" s="7" t="inlineStr">
        <is>
          <t>Denver</t>
        </is>
      </c>
      <c r="J31" s="7" t="inlineStr">
        <is>
          <t>In Use</t>
        </is>
      </c>
      <c r="K31" s="7" t="inlineStr">
        <is>
          <t>assignment sits on TR-00027 (APR-00027). HR agrees (HR file: E0027 Active — Yuki Tanaka). bought on PO-2022-0005; FAR FA-000027.</t>
        </is>
      </c>
      <c r="L31" s="7" t="inlineStr">
        <is>
          <t>2026-08-05</t>
        </is>
      </c>
      <c r="M31" s="7" t="n">
        <v>1220</v>
      </c>
      <c r="N31" s="7">
        <f>IFERROR(XLOOKUP(A31,'Source Ledger'!$B$5:$B$133,'Source Ledger'!$G$5:$G$133),"")</f>
        <v>672.21</v>
      </c>
      <c r="O31" s="7">
        <f>IFERROR(XLOOKUP(A31,'Source Ledger'!$B$5:$B$133,'Source Ledger'!$A$5:$A$133),"")</f>
        <v/>
      </c>
      <c r="P31" s="7" t="inlineStr">
        <is>
          <t>No</t>
        </is>
      </c>
      <c r="Q31" s="9" t="inlineStr">
        <is>
          <t>High</t>
        </is>
      </c>
      <c r="R31" s="7" t="inlineStr">
        <is>
          <t>EX-0006</t>
        </is>
      </c>
      <c r="S31" s="7" t="inlineStr">
        <is>
          <t>No</t>
        </is>
      </c>
      <c r="T31" t="n">
        <v>1220</v>
      </c>
      <c r="U31" t="inlineStr">
        <is>
          <t>Active</t>
        </is>
      </c>
      <c r="V31" t="n">
        <v>672.21</v>
      </c>
      <c r="W31" t="n">
        <v>0</v>
      </c>
      <c r="X31" t="inlineStr">
        <is>
          <t>Yes</t>
        </is>
      </c>
    </row>
    <row r="32">
      <c r="A32" s="7" t="inlineStr">
        <is>
          <t>MD-00028</t>
        </is>
      </c>
      <c r="B32" s="7" t="inlineStr">
        <is>
          <t>MD-NE-050028</t>
        </is>
      </c>
      <c r="C32" s="7" t="inlineStr">
        <is>
          <t>Network Asset</t>
        </is>
      </c>
      <c r="D32" s="7" t="inlineStr">
        <is>
          <t>Cisco C9300</t>
        </is>
      </c>
      <c r="E32" s="7" t="inlineStr">
        <is>
          <t>E0028</t>
        </is>
      </c>
      <c r="F32" s="7" t="inlineStr">
        <is>
          <t>Chicago - Closed</t>
        </is>
      </c>
      <c r="G32" s="7" t="inlineStr">
        <is>
          <t>In Use</t>
        </is>
      </c>
      <c r="H32" s="7" t="inlineStr">
        <is>
          <t>E0028</t>
        </is>
      </c>
      <c r="I32" s="7" t="inlineStr">
        <is>
          <t>New York</t>
        </is>
      </c>
      <c r="J32" s="7" t="inlineStr">
        <is>
          <t>In Use</t>
        </is>
      </c>
      <c r="K32" s="7" t="inlineStr">
        <is>
          <t>Keeping MD-00028 with Megan Copeland (E0028) in New York. TR-00028 (APR-00028) on the movement log. bought on PO-2022-0005; FAR FA-000028.</t>
        </is>
      </c>
      <c r="L32" s="7" t="inlineStr">
        <is>
          <t>2026-08-05</t>
        </is>
      </c>
      <c r="M32" s="7" t="n">
        <v>6200</v>
      </c>
      <c r="N32" s="7">
        <f>IFERROR(XLOOKUP(A32,'Source Ledger'!$B$5:$B$133,'Source Ledger'!$G$5:$G$133),"")</f>
        <v>914.09</v>
      </c>
      <c r="O32" s="7">
        <f>IFERROR(XLOOKUP(A32,'Source Ledger'!$B$5:$B$133,'Source Ledger'!$A$5:$A$133),"")</f>
        <v/>
      </c>
      <c r="P32" s="7" t="inlineStr">
        <is>
          <t>Yes</t>
        </is>
      </c>
      <c r="Q32" s="9" t="inlineStr">
        <is>
          <t>High</t>
        </is>
      </c>
      <c r="R32" s="7" t="inlineStr">
        <is>
          <t>EX-0007</t>
        </is>
      </c>
      <c r="S32" s="7" t="inlineStr">
        <is>
          <t>No</t>
        </is>
      </c>
      <c r="T32" t="n">
        <v>6200</v>
      </c>
      <c r="U32" t="inlineStr">
        <is>
          <t>Active</t>
        </is>
      </c>
      <c r="V32" t="n">
        <v>914.09</v>
      </c>
      <c r="W32" t="n">
        <v>0</v>
      </c>
      <c r="X32" t="inlineStr">
        <is>
          <t>Yes</t>
        </is>
      </c>
    </row>
    <row r="33">
      <c r="A33" s="7" t="inlineStr">
        <is>
          <t>MD-00029</t>
        </is>
      </c>
      <c r="B33" s="7" t="inlineStr">
        <is>
          <t>MD-LA-050029</t>
        </is>
      </c>
      <c r="C33" s="7" t="inlineStr">
        <is>
          <t>Laptop</t>
        </is>
      </c>
      <c r="D33" s="7" t="inlineStr">
        <is>
          <t>MacBook Pro 14</t>
        </is>
      </c>
      <c r="E33" s="7" t="inlineStr">
        <is>
          <t>E0029</t>
        </is>
      </c>
      <c r="F33" s="7" t="inlineStr">
        <is>
          <t>Denver - Closed</t>
        </is>
      </c>
      <c r="G33" s="7" t="inlineStr">
        <is>
          <t>In Use</t>
        </is>
      </c>
      <c r="H33" s="7" t="inlineStr">
        <is>
          <t>E0029</t>
        </is>
      </c>
      <c r="I33" s="7" t="inlineStr">
        <is>
          <t>Seattle</t>
        </is>
      </c>
      <c r="J33" s="7" t="inlineStr">
        <is>
          <t>In Use</t>
        </is>
      </c>
      <c r="K33" s="7" t="inlineStr">
        <is>
          <t>Omar Haddad hasn't changed status (Active) so I didn't bounce the assignment. assignment sits on TR-00029 (APR-00029). bought on PO-2022-0005; FAR FA-000029. E0029.</t>
        </is>
      </c>
      <c r="L33" s="7" t="inlineStr">
        <is>
          <t>2026-08-05</t>
        </is>
      </c>
      <c r="M33" s="7" t="n">
        <v>1895</v>
      </c>
      <c r="N33" s="7">
        <f>IFERROR(XLOOKUP(A33,'Source Ledger'!$B$5:$B$133,'Source Ledger'!$G$5:$G$133),"")</f>
        <v>0</v>
      </c>
      <c r="O33" s="7">
        <f>IFERROR(XLOOKUP(A33,'Source Ledger'!$B$5:$B$133,'Source Ledger'!$A$5:$A$133),"")</f>
        <v/>
      </c>
      <c r="P33" s="7" t="inlineStr">
        <is>
          <t>No</t>
        </is>
      </c>
      <c r="Q33" s="9" t="inlineStr">
        <is>
          <t>High</t>
        </is>
      </c>
      <c r="R33" s="7" t="inlineStr">
        <is>
          <t>EX-0008</t>
        </is>
      </c>
      <c r="S33" s="7" t="inlineStr">
        <is>
          <t>No</t>
        </is>
      </c>
      <c r="T33" t="n">
        <v>1895</v>
      </c>
      <c r="U33" t="inlineStr">
        <is>
          <t>Active</t>
        </is>
      </c>
      <c r="V33" t="n">
        <v>0</v>
      </c>
      <c r="W33" t="n">
        <v>0</v>
      </c>
      <c r="X33" t="inlineStr">
        <is>
          <t>Yes</t>
        </is>
      </c>
    </row>
    <row r="34">
      <c r="A34" s="7" t="inlineStr">
        <is>
          <t>MD-00030</t>
        </is>
      </c>
      <c r="B34" s="7" t="inlineStr">
        <is>
          <t>MD-MO-050030</t>
        </is>
      </c>
      <c r="C34" s="7" t="inlineStr">
        <is>
          <t>Monitor</t>
        </is>
      </c>
      <c r="D34" s="7" t="inlineStr">
        <is>
          <t>Dell U2723QE</t>
        </is>
      </c>
      <c r="E34" s="7" t="inlineStr">
        <is>
          <t>E0030</t>
        </is>
      </c>
      <c r="F34" s="7" t="inlineStr">
        <is>
          <t>Chicago - Closed</t>
        </is>
      </c>
      <c r="G34" s="7" t="inlineStr">
        <is>
          <t>In Use</t>
        </is>
      </c>
      <c r="H34" s="7" t="inlineStr">
        <is>
          <t>E0030</t>
        </is>
      </c>
      <c r="I34" s="7" t="inlineStr">
        <is>
          <t>Atlanta</t>
        </is>
      </c>
      <c r="J34" s="7" t="inlineStr">
        <is>
          <t>In Use</t>
        </is>
      </c>
      <c r="K34" s="7" t="inlineStr">
        <is>
          <t>Live kit. MD-00030 Dell U2723QE. Custodian check: E0030 / Active. TR-00030 (APR-00030) on the movement log. bought on PO-2022-0005; FAR FA-000030.</t>
        </is>
      </c>
      <c r="L34" s="7" t="inlineStr">
        <is>
          <t>2026-08-05</t>
        </is>
      </c>
      <c r="M34" s="7" t="n">
        <v>610</v>
      </c>
      <c r="N34" s="7">
        <f>IFERROR(XLOOKUP(A34,'Source Ledger'!$B$5:$B$133,'Source Ledger'!$G$5:$G$133),"")</f>
        <v>355.14</v>
      </c>
      <c r="O34" s="7">
        <f>IFERROR(XLOOKUP(A34,'Source Ledger'!$B$5:$B$133,'Source Ledger'!$A$5:$A$133),"")</f>
        <v/>
      </c>
      <c r="P34" s="7" t="inlineStr">
        <is>
          <t>No</t>
        </is>
      </c>
      <c r="Q34" s="9" t="inlineStr">
        <is>
          <t>High</t>
        </is>
      </c>
      <c r="R34" s="7" t="inlineStr">
        <is>
          <t>EX-0009</t>
        </is>
      </c>
      <c r="S34" s="7" t="inlineStr">
        <is>
          <t>No</t>
        </is>
      </c>
      <c r="T34" t="n">
        <v>610</v>
      </c>
      <c r="U34" t="inlineStr">
        <is>
          <t>Active</t>
        </is>
      </c>
      <c r="V34" t="n">
        <v>355.14</v>
      </c>
      <c r="W34" t="n">
        <v>0</v>
      </c>
      <c r="X34" t="inlineStr">
        <is>
          <t>Yes</t>
        </is>
      </c>
    </row>
    <row r="35">
      <c r="A35" s="7" t="inlineStr">
        <is>
          <t>MD-00031</t>
        </is>
      </c>
      <c r="B35" s="7" t="inlineStr">
        <is>
          <t>MD-MO-050031</t>
        </is>
      </c>
      <c r="C35" s="7" t="inlineStr">
        <is>
          <t>Mobile Device</t>
        </is>
      </c>
      <c r="D35" s="7" t="inlineStr">
        <is>
          <t>Samsung Galaxy S24</t>
        </is>
      </c>
      <c r="E35" s="7" t="inlineStr">
        <is>
          <t>E0031</t>
        </is>
      </c>
      <c r="F35" s="7" t="inlineStr">
        <is>
          <t>Denver - Closed</t>
        </is>
      </c>
      <c r="G35" s="7" t="inlineStr">
        <is>
          <t>In Use</t>
        </is>
      </c>
      <c r="H35" s="7" t="inlineStr">
        <is>
          <t>E0031</t>
        </is>
      </c>
      <c r="I35" s="7" t="inlineStr">
        <is>
          <t>Chicago</t>
        </is>
      </c>
      <c r="J35" s="7" t="inlineStr">
        <is>
          <t>In Use</t>
        </is>
      </c>
      <c r="K35" s="7" t="inlineStr">
        <is>
          <t>Keith Moreau (E0031), Chicago. Movement assignment sits on TR-00031 (APR-00031). bought on PO-2023-0006; FAR FA-000031.</t>
        </is>
      </c>
      <c r="L35" s="7" t="inlineStr">
        <is>
          <t>2026-08-05</t>
        </is>
      </c>
      <c r="M35" s="7" t="n">
        <v>1085</v>
      </c>
      <c r="N35" s="7">
        <f>IFERROR(XLOOKUP(A35,'Source Ledger'!$B$5:$B$133,'Source Ledger'!$G$5:$G$133),"")</f>
        <v>722.59</v>
      </c>
      <c r="O35" s="7">
        <f>IFERROR(XLOOKUP(A35,'Source Ledger'!$B$5:$B$133,'Source Ledger'!$A$5:$A$133),"")</f>
        <v/>
      </c>
      <c r="P35" s="7" t="inlineStr">
        <is>
          <t>No</t>
        </is>
      </c>
      <c r="Q35" s="9" t="inlineStr">
        <is>
          <t>High</t>
        </is>
      </c>
      <c r="R35" s="7" t="inlineStr">
        <is>
          <t>EX-0010</t>
        </is>
      </c>
      <c r="S35" s="7" t="inlineStr">
        <is>
          <t>No</t>
        </is>
      </c>
      <c r="T35" t="n">
        <v>1085</v>
      </c>
      <c r="U35" t="inlineStr">
        <is>
          <t>Active</t>
        </is>
      </c>
      <c r="V35" t="n">
        <v>722.59</v>
      </c>
      <c r="W35" t="n">
        <v>0</v>
      </c>
      <c r="X35" t="inlineStr">
        <is>
          <t>Yes</t>
        </is>
      </c>
    </row>
    <row r="36">
      <c r="A36" s="7" t="inlineStr">
        <is>
          <t>MD-00032</t>
        </is>
      </c>
      <c r="B36" s="7" t="inlineStr">
        <is>
          <t>MD-NE-050032</t>
        </is>
      </c>
      <c r="C36" s="7" t="inlineStr">
        <is>
          <t>Network Asset</t>
        </is>
      </c>
      <c r="D36" s="7" t="inlineStr">
        <is>
          <t>Cisco C9300</t>
        </is>
      </c>
      <c r="E36" s="7" t="inlineStr">
        <is>
          <t>E0032</t>
        </is>
      </c>
      <c r="F36" s="7" t="inlineStr">
        <is>
          <t>Chicago - Closed</t>
        </is>
      </c>
      <c r="G36" s="7" t="inlineStr">
        <is>
          <t>In Use</t>
        </is>
      </c>
      <c r="H36" s="7" t="inlineStr">
        <is>
          <t>E0032</t>
        </is>
      </c>
      <c r="I36" s="7" t="inlineStr">
        <is>
          <t>Dallas</t>
        </is>
      </c>
      <c r="J36" s="7" t="inlineStr">
        <is>
          <t>In Use</t>
        </is>
      </c>
      <c r="K36" s="7" t="inlineStr">
        <is>
          <t>Diana Voss (E0032) is Active in HR. TR-00032 (APR-00032) on the movement log. bought on PO-2023-0006; FAR FA-000032. Left MD-00032 as In Use in Dallas.</t>
        </is>
      </c>
      <c r="L36" s="7" t="inlineStr">
        <is>
          <t>2026-08-05</t>
        </is>
      </c>
      <c r="M36" s="7" t="n">
        <v>6380</v>
      </c>
      <c r="N36" s="7">
        <f>IFERROR(XLOOKUP(A36,'Source Ledger'!$B$5:$B$133,'Source Ledger'!$G$5:$G$133),"")</f>
        <v>1384.3</v>
      </c>
      <c r="O36" s="7">
        <f>IFERROR(XLOOKUP(A36,'Source Ledger'!$B$5:$B$133,'Source Ledger'!$A$5:$A$133),"")</f>
        <v/>
      </c>
      <c r="P36" s="7" t="inlineStr">
        <is>
          <t>Yes</t>
        </is>
      </c>
      <c r="Q36" s="9" t="inlineStr">
        <is>
          <t>High</t>
        </is>
      </c>
      <c r="R36" s="7" t="inlineStr">
        <is>
          <t>EX-0011</t>
        </is>
      </c>
      <c r="S36" s="7" t="inlineStr">
        <is>
          <t>No</t>
        </is>
      </c>
      <c r="T36" t="n">
        <v>6380</v>
      </c>
      <c r="U36" t="inlineStr">
        <is>
          <t>Active</t>
        </is>
      </c>
      <c r="V36" t="n">
        <v>1384.3</v>
      </c>
      <c r="W36" t="n">
        <v>0</v>
      </c>
      <c r="X36" t="inlineStr">
        <is>
          <t>Yes</t>
        </is>
      </c>
    </row>
    <row r="37">
      <c r="A37" s="7" t="inlineStr">
        <is>
          <t>MD-00033</t>
        </is>
      </c>
      <c r="B37" s="7" t="inlineStr">
        <is>
          <t>MD-LA-050033</t>
        </is>
      </c>
      <c r="C37" s="7" t="inlineStr">
        <is>
          <t>Laptop</t>
        </is>
      </c>
      <c r="D37" s="7" t="inlineStr">
        <is>
          <t>Dell Latitude 7440</t>
        </is>
      </c>
      <c r="E37" s="7" t="inlineStr">
        <is>
          <t>E0033</t>
        </is>
      </c>
      <c r="F37" s="7" t="inlineStr">
        <is>
          <t>Denver - Closed</t>
        </is>
      </c>
      <c r="G37" s="7" t="inlineStr">
        <is>
          <t>In Use</t>
        </is>
      </c>
      <c r="H37" s="7" t="inlineStr">
        <is>
          <t>E0033</t>
        </is>
      </c>
      <c r="I37" s="7" t="inlineStr">
        <is>
          <t>Denver</t>
        </is>
      </c>
      <c r="J37" s="7" t="inlineStr">
        <is>
          <t>In Use</t>
        </is>
      </c>
      <c r="K37" s="7" t="inlineStr">
        <is>
          <t>Dell Latitude 7440 MD-00033 — assignment sits on TR-00033 (APR-00033); HR file: E0033 Active — Jordan Blake. bought on PO-2023-0006; FAR FA-000033.</t>
        </is>
      </c>
      <c r="L37" s="7" t="inlineStr">
        <is>
          <t>2026-08-05</t>
        </is>
      </c>
      <c r="M37" s="7" t="n">
        <v>2075</v>
      </c>
      <c r="N37" s="7">
        <f>IFERROR(XLOOKUP(A37,'Source Ledger'!$B$5:$B$133,'Source Ledger'!$G$5:$G$133),"")</f>
        <v>116.93</v>
      </c>
      <c r="O37" s="7">
        <f>IFERROR(XLOOKUP(A37,'Source Ledger'!$B$5:$B$133,'Source Ledger'!$A$5:$A$133),"")</f>
        <v/>
      </c>
      <c r="P37" s="7" t="inlineStr">
        <is>
          <t>No</t>
        </is>
      </c>
      <c r="Q37" s="9" t="inlineStr">
        <is>
          <t>High</t>
        </is>
      </c>
      <c r="R37" s="7" t="inlineStr">
        <is>
          <t>EX-0012</t>
        </is>
      </c>
      <c r="S37" s="7" t="inlineStr">
        <is>
          <t>No</t>
        </is>
      </c>
      <c r="T37" t="n">
        <v>2075</v>
      </c>
      <c r="U37" t="inlineStr">
        <is>
          <t>Active</t>
        </is>
      </c>
      <c r="V37" t="n">
        <v>116.93</v>
      </c>
      <c r="W37" t="n">
        <v>0</v>
      </c>
      <c r="X37" t="inlineStr">
        <is>
          <t>Yes</t>
        </is>
      </c>
    </row>
    <row r="38">
      <c r="A38" s="7" t="inlineStr">
        <is>
          <t>MD-00034</t>
        </is>
      </c>
      <c r="B38" s="7" t="inlineStr">
        <is>
          <t>MD-MO-050034</t>
        </is>
      </c>
      <c r="C38" s="7" t="inlineStr">
        <is>
          <t>Monitor</t>
        </is>
      </c>
      <c r="D38" s="7" t="inlineStr">
        <is>
          <t>Dell U2723QE</t>
        </is>
      </c>
      <c r="E38" s="7" t="inlineStr">
        <is>
          <t>E0034</t>
        </is>
      </c>
      <c r="F38" s="7" t="inlineStr">
        <is>
          <t>Chicago - Closed</t>
        </is>
      </c>
      <c r="G38" s="7" t="inlineStr">
        <is>
          <t>In Use</t>
        </is>
      </c>
      <c r="H38" s="7" t="inlineStr">
        <is>
          <t>E0034</t>
        </is>
      </c>
      <c r="I38" s="7" t="inlineStr">
        <is>
          <t>New York</t>
        </is>
      </c>
      <c r="J38" s="7" t="inlineStr">
        <is>
          <t>In Use</t>
        </is>
      </c>
      <c r="K38" s="7" t="inlineStr">
        <is>
          <t>Didn't rewrite MD-00034. Looked up E0034; still Active, and TR-00034 (APR-00034) on the movement log. bought on PO-2023-0006; FAR FA-000034.</t>
        </is>
      </c>
      <c r="L38" s="7" t="inlineStr">
        <is>
          <t>2026-08-05</t>
        </is>
      </c>
      <c r="M38" s="7" t="n">
        <v>790</v>
      </c>
      <c r="N38" s="7">
        <f>IFERROR(XLOOKUP(A38,'Source Ledger'!$B$5:$B$133,'Source Ledger'!$G$5:$G$133),"")</f>
        <v>514.88</v>
      </c>
      <c r="O38" s="7">
        <f>IFERROR(XLOOKUP(A38,'Source Ledger'!$B$5:$B$133,'Source Ledger'!$A$5:$A$133),"")</f>
        <v/>
      </c>
      <c r="P38" s="7" t="inlineStr">
        <is>
          <t>No</t>
        </is>
      </c>
      <c r="Q38" s="9" t="inlineStr">
        <is>
          <t>High</t>
        </is>
      </c>
      <c r="R38" s="7" t="inlineStr">
        <is>
          <t>EX-0013, EX-0014</t>
        </is>
      </c>
      <c r="S38" s="7" t="inlineStr">
        <is>
          <t>No</t>
        </is>
      </c>
      <c r="T38" t="n">
        <v>930</v>
      </c>
      <c r="U38" t="inlineStr">
        <is>
          <t>Active</t>
        </is>
      </c>
      <c r="V38" t="n">
        <v>514.88</v>
      </c>
      <c r="W38" t="n">
        <v>140</v>
      </c>
      <c r="X38" t="inlineStr">
        <is>
          <t>Yes</t>
        </is>
      </c>
    </row>
    <row r="39">
      <c r="A39" s="7" t="inlineStr">
        <is>
          <t>MD-00035</t>
        </is>
      </c>
      <c r="B39" s="7" t="inlineStr">
        <is>
          <t>MD-MO-050035</t>
        </is>
      </c>
      <c r="C39" s="7" t="inlineStr">
        <is>
          <t>Mobile Device</t>
        </is>
      </c>
      <c r="D39" s="7" t="inlineStr">
        <is>
          <t>Samsung Galaxy S24</t>
        </is>
      </c>
      <c r="E39" s="7" t="inlineStr">
        <is>
          <t>E0035</t>
        </is>
      </c>
      <c r="F39" s="7" t="inlineStr">
        <is>
          <t>Denver - Closed</t>
        </is>
      </c>
      <c r="G39" s="7" t="inlineStr">
        <is>
          <t>In Use</t>
        </is>
      </c>
      <c r="H39" s="7" t="inlineStr">
        <is>
          <t>E0035</t>
        </is>
      </c>
      <c r="I39" s="7" t="inlineStr">
        <is>
          <t>Seattle</t>
        </is>
      </c>
      <c r="J39" s="7" t="inlineStr">
        <is>
          <t>In Use</t>
        </is>
      </c>
      <c r="K39" s="7" t="inlineStr">
        <is>
          <t>Seattle: Rafael Mendes (E0035). assignment sits on TR-00035 (APR-00035). bought on PO-2023-0006; FAR FA-000035.</t>
        </is>
      </c>
      <c r="L39" s="7" t="inlineStr">
        <is>
          <t>2026-08-05</t>
        </is>
      </c>
      <c r="M39" s="7" t="n">
        <v>950</v>
      </c>
      <c r="N39" s="7">
        <f>IFERROR(XLOOKUP(A39,'Source Ledger'!$B$5:$B$133,'Source Ledger'!$G$5:$G$133),"")</f>
        <v>741.92</v>
      </c>
      <c r="O39" s="7">
        <f>IFERROR(XLOOKUP(A39,'Source Ledger'!$B$5:$B$133,'Source Ledger'!$A$5:$A$133),"")</f>
        <v/>
      </c>
      <c r="P39" s="7" t="inlineStr">
        <is>
          <t>No</t>
        </is>
      </c>
      <c r="Q39" s="9" t="inlineStr">
        <is>
          <t>High</t>
        </is>
      </c>
      <c r="R39" s="7" t="inlineStr">
        <is>
          <t>EX-0015</t>
        </is>
      </c>
      <c r="S39" s="7" t="inlineStr">
        <is>
          <t>No</t>
        </is>
      </c>
      <c r="T39" t="n">
        <v>950</v>
      </c>
      <c r="U39" t="inlineStr">
        <is>
          <t>Active</t>
        </is>
      </c>
      <c r="V39" t="n">
        <v>741.92</v>
      </c>
      <c r="W39" t="n">
        <v>0</v>
      </c>
      <c r="X39" t="inlineStr">
        <is>
          <t>Yes</t>
        </is>
      </c>
    </row>
    <row r="40">
      <c r="A40" s="7" t="inlineStr">
        <is>
          <t>MD-00036</t>
        </is>
      </c>
      <c r="B40" s="7" t="inlineStr">
        <is>
          <t>MD-NE-050036</t>
        </is>
      </c>
      <c r="C40" s="7" t="inlineStr">
        <is>
          <t>Network Asset</t>
        </is>
      </c>
      <c r="D40" s="7" t="inlineStr">
        <is>
          <t>Cisco C9300</t>
        </is>
      </c>
      <c r="E40" s="7" t="inlineStr">
        <is>
          <t>E0036</t>
        </is>
      </c>
      <c r="F40" s="7" t="inlineStr">
        <is>
          <t>Chicago - Closed</t>
        </is>
      </c>
      <c r="G40" s="7" t="inlineStr">
        <is>
          <t>In Use</t>
        </is>
      </c>
      <c r="H40" s="7" t="inlineStr">
        <is>
          <t>E0036</t>
        </is>
      </c>
      <c r="I40" s="7" t="inlineStr">
        <is>
          <t>Atlanta</t>
        </is>
      </c>
      <c r="J40" s="7" t="inlineStr">
        <is>
          <t>In Use</t>
        </is>
      </c>
      <c r="K40" s="7" t="inlineStr">
        <is>
          <t>Register owner was E0036; verified Kate Sorenson (E0036). TR-00036 (APR-00036) on the movement log. bought on PO-2023-0006; FAR FA-000036.</t>
        </is>
      </c>
      <c r="L40" s="7" t="inlineStr">
        <is>
          <t>2026-08-05</t>
        </is>
      </c>
      <c r="M40" s="7" t="n">
        <v>6245</v>
      </c>
      <c r="N40" s="7">
        <f>IFERROR(XLOOKUP(A40,'Source Ledger'!$B$5:$B$133,'Source Ledger'!$G$5:$G$133),"")</f>
        <v>537.73</v>
      </c>
      <c r="O40" s="7">
        <f>IFERROR(XLOOKUP(A40,'Source Ledger'!$B$5:$B$133,'Source Ledger'!$A$5:$A$133),"")</f>
        <v/>
      </c>
      <c r="P40" s="7" t="inlineStr">
        <is>
          <t>Yes</t>
        </is>
      </c>
      <c r="Q40" s="9" t="inlineStr">
        <is>
          <t>High</t>
        </is>
      </c>
      <c r="R40" s="7" t="inlineStr">
        <is>
          <t>EX-0016</t>
        </is>
      </c>
      <c r="S40" s="7" t="inlineStr">
        <is>
          <t>No</t>
        </is>
      </c>
      <c r="T40" t="n">
        <v>6245</v>
      </c>
      <c r="U40" t="inlineStr">
        <is>
          <t>Active</t>
        </is>
      </c>
      <c r="V40" t="n">
        <v>537.73</v>
      </c>
      <c r="W40" t="n">
        <v>0</v>
      </c>
      <c r="X40" t="inlineStr">
        <is>
          <t>Yes</t>
        </is>
      </c>
    </row>
    <row r="41">
      <c r="A41" s="7" t="inlineStr">
        <is>
          <t>MD-00037</t>
        </is>
      </c>
      <c r="B41" s="7" t="inlineStr">
        <is>
          <t>MD-LA-050037</t>
        </is>
      </c>
      <c r="C41" s="7" t="inlineStr">
        <is>
          <t>Laptop</t>
        </is>
      </c>
      <c r="D41" s="7" t="inlineStr">
        <is>
          <t>Lenovo ThinkPad T14</t>
        </is>
      </c>
      <c r="E41" s="7" t="inlineStr">
        <is>
          <t>E0037</t>
        </is>
      </c>
      <c r="F41" s="7" t="inlineStr">
        <is>
          <t>Denver - Closed</t>
        </is>
      </c>
      <c r="G41" s="7" t="inlineStr">
        <is>
          <t>In Use</t>
        </is>
      </c>
      <c r="H41" s="7" t="inlineStr">
        <is>
          <t>E0037</t>
        </is>
      </c>
      <c r="I41" s="7" t="inlineStr">
        <is>
          <t>Chicago</t>
        </is>
      </c>
      <c r="J41" s="7" t="inlineStr">
        <is>
          <t>In Use</t>
        </is>
      </c>
      <c r="K41" s="7" t="inlineStr">
        <is>
          <t>bought on PO-2024-0007; FAR FA-000037. People/move side: hr_employee_status still has E0037 as Active; assignment sits on TR-00037 (APR-00037).</t>
        </is>
      </c>
      <c r="L41" s="7" t="inlineStr">
        <is>
          <t>2026-08-05</t>
        </is>
      </c>
      <c r="M41" s="7" t="n">
        <v>1940</v>
      </c>
      <c r="N41" s="7">
        <f>IFERROR(XLOOKUP(A41,'Source Ledger'!$B$5:$B$133,'Source Ledger'!$G$5:$G$133),"")</f>
        <v>0</v>
      </c>
      <c r="O41" s="7">
        <f>IFERROR(XLOOKUP(A41,'Source Ledger'!$B$5:$B$133,'Source Ledger'!$A$5:$A$133),"")</f>
        <v/>
      </c>
      <c r="P41" s="7" t="inlineStr">
        <is>
          <t>No</t>
        </is>
      </c>
      <c r="Q41" s="9" t="inlineStr">
        <is>
          <t>High</t>
        </is>
      </c>
      <c r="R41" s="7" t="inlineStr">
        <is>
          <t>EX-0017</t>
        </is>
      </c>
      <c r="S41" s="7" t="inlineStr">
        <is>
          <t>No</t>
        </is>
      </c>
      <c r="T41" t="n">
        <v>1940</v>
      </c>
      <c r="U41" t="inlineStr">
        <is>
          <t>Active</t>
        </is>
      </c>
      <c r="V41" t="n">
        <v>0</v>
      </c>
      <c r="W41" t="n">
        <v>0</v>
      </c>
      <c r="X41" t="inlineStr">
        <is>
          <t>Yes</t>
        </is>
      </c>
    </row>
    <row r="42">
      <c r="A42" s="7" t="inlineStr">
        <is>
          <t>MD-00038</t>
        </is>
      </c>
      <c r="B42" s="7" t="inlineStr">
        <is>
          <t>MD-MO-050038</t>
        </is>
      </c>
      <c r="C42" s="7" t="inlineStr">
        <is>
          <t>Monitor</t>
        </is>
      </c>
      <c r="D42" s="7" t="inlineStr">
        <is>
          <t>Dell U2723QE</t>
        </is>
      </c>
      <c r="E42" s="7" t="inlineStr">
        <is>
          <t>E0038</t>
        </is>
      </c>
      <c r="F42" s="7" t="inlineStr">
        <is>
          <t>Chicago - Closed</t>
        </is>
      </c>
      <c r="G42" s="7" t="inlineStr">
        <is>
          <t>In Use</t>
        </is>
      </c>
      <c r="H42" s="7" t="inlineStr">
        <is>
          <t>E0038</t>
        </is>
      </c>
      <c r="I42" s="7" t="inlineStr">
        <is>
          <t>Dallas</t>
        </is>
      </c>
      <c r="J42" s="7" t="inlineStr">
        <is>
          <t>In Use</t>
        </is>
      </c>
      <c r="K42" s="7" t="inlineStr">
        <is>
          <t>Cross-check on MD-00038 landed on In Use / Dallas. Noelle Harper (E0038) is Active in HR. TR-00038 (APR-00038) on the movement log. bought on PO-2024-0007; FAR FA-000038.</t>
        </is>
      </c>
      <c r="L42" s="7" t="inlineStr">
        <is>
          <t>2026-08-05</t>
        </is>
      </c>
      <c r="M42" s="7" t="n">
        <v>655</v>
      </c>
      <c r="N42" s="7">
        <f>IFERROR(XLOOKUP(A42,'Source Ledger'!$B$5:$B$133,'Source Ledger'!$G$5:$G$133),"")</f>
        <v>340.46</v>
      </c>
      <c r="O42" s="7">
        <f>IFERROR(XLOOKUP(A42,'Source Ledger'!$B$5:$B$133,'Source Ledger'!$A$5:$A$133),"")</f>
        <v/>
      </c>
      <c r="P42" s="7" t="inlineStr">
        <is>
          <t>No</t>
        </is>
      </c>
      <c r="Q42" s="9" t="inlineStr">
        <is>
          <t>High</t>
        </is>
      </c>
      <c r="R42" s="7" t="inlineStr">
        <is>
          <t>EX-0018</t>
        </is>
      </c>
      <c r="S42" s="7" t="inlineStr">
        <is>
          <t>No</t>
        </is>
      </c>
      <c r="T42" t="n">
        <v>655</v>
      </c>
      <c r="U42" t="inlineStr">
        <is>
          <t>Active</t>
        </is>
      </c>
      <c r="V42" t="n">
        <v>340.46</v>
      </c>
      <c r="W42" t="n">
        <v>0</v>
      </c>
      <c r="X42" t="inlineStr">
        <is>
          <t>Yes</t>
        </is>
      </c>
    </row>
    <row r="43">
      <c r="A43" s="7" t="inlineStr">
        <is>
          <t>MD-00039</t>
        </is>
      </c>
      <c r="B43" s="7" t="inlineStr">
        <is>
          <t>MD-MO-050039</t>
        </is>
      </c>
      <c r="C43" s="7" t="inlineStr">
        <is>
          <t>Mobile Device</t>
        </is>
      </c>
      <c r="D43" s="7" t="inlineStr">
        <is>
          <t>Samsung Galaxy S24</t>
        </is>
      </c>
      <c r="E43" s="7" t="inlineStr">
        <is>
          <t>E0039</t>
        </is>
      </c>
      <c r="F43" s="7" t="inlineStr">
        <is>
          <t>Denver - Closed</t>
        </is>
      </c>
      <c r="G43" s="7" t="inlineStr">
        <is>
          <t>In Use</t>
        </is>
      </c>
      <c r="H43" s="7" t="inlineStr">
        <is>
          <t>E0039</t>
        </is>
      </c>
      <c r="I43" s="7" t="inlineStr">
        <is>
          <t>Denver</t>
        </is>
      </c>
      <c r="J43" s="7" t="inlineStr">
        <is>
          <t>In Use</t>
        </is>
      </c>
      <c r="K43" s="7" t="inlineStr">
        <is>
          <t>assignment sits on TR-00039 (APR-00039). HR agrees (HR file: E0039 Active — Samir Kapoor). bought on PO-2024-0007; FAR FA-000039.</t>
        </is>
      </c>
      <c r="L43" s="7" t="inlineStr">
        <is>
          <t>2026-08-05</t>
        </is>
      </c>
      <c r="M43" s="7" t="n">
        <v>1130</v>
      </c>
      <c r="N43" s="7">
        <f>IFERROR(XLOOKUP(A43,'Source Ledger'!$B$5:$B$133,'Source Ledger'!$G$5:$G$133),"")</f>
        <v>635</v>
      </c>
      <c r="O43" s="7">
        <f>IFERROR(XLOOKUP(A43,'Source Ledger'!$B$5:$B$133,'Source Ledger'!$A$5:$A$133),"")</f>
        <v/>
      </c>
      <c r="P43" s="7" t="inlineStr">
        <is>
          <t>No</t>
        </is>
      </c>
      <c r="Q43" s="9" t="inlineStr">
        <is>
          <t>High</t>
        </is>
      </c>
      <c r="R43" s="7" t="inlineStr">
        <is>
          <t>EX-0019</t>
        </is>
      </c>
      <c r="S43" s="7" t="inlineStr">
        <is>
          <t>No</t>
        </is>
      </c>
      <c r="T43" t="n">
        <v>1130</v>
      </c>
      <c r="U43" t="inlineStr">
        <is>
          <t>Active</t>
        </is>
      </c>
      <c r="V43" t="n">
        <v>635</v>
      </c>
      <c r="W43" t="n">
        <v>0</v>
      </c>
      <c r="X43" t="inlineStr">
        <is>
          <t>Yes</t>
        </is>
      </c>
    </row>
    <row r="44">
      <c r="A44" s="7" t="inlineStr">
        <is>
          <t>MD-00040</t>
        </is>
      </c>
      <c r="B44" s="7" t="inlineStr">
        <is>
          <t>MD-NE-050040</t>
        </is>
      </c>
      <c r="C44" s="7" t="inlineStr">
        <is>
          <t>Network Asset</t>
        </is>
      </c>
      <c r="D44" s="7" t="inlineStr">
        <is>
          <t>Cisco C9300</t>
        </is>
      </c>
      <c r="E44" s="7" t="inlineStr">
        <is>
          <t>E0040</t>
        </is>
      </c>
      <c r="F44" s="7" t="inlineStr">
        <is>
          <t>Chicago - Closed</t>
        </is>
      </c>
      <c r="G44" s="7" t="inlineStr">
        <is>
          <t>In Use</t>
        </is>
      </c>
      <c r="H44" s="7" t="inlineStr">
        <is>
          <t>E0040</t>
        </is>
      </c>
      <c r="I44" s="7" t="inlineStr">
        <is>
          <t>New York</t>
        </is>
      </c>
      <c r="J44" s="7" t="inlineStr">
        <is>
          <t>In Use</t>
        </is>
      </c>
      <c r="K44" s="7" t="inlineStr">
        <is>
          <t>Keeping MD-00040 with Holly Jensen (E0040) in New York. TR-00040 (APR-00040) on the movement log. bought on PO-2024-0007; FAR FA-000040.</t>
        </is>
      </c>
      <c r="L44" s="7" t="inlineStr">
        <is>
          <t>2026-08-05</t>
        </is>
      </c>
      <c r="M44" s="7" t="n">
        <v>6425</v>
      </c>
      <c r="N44" s="7">
        <f>IFERROR(XLOOKUP(A44,'Source Ledger'!$B$5:$B$133,'Source Ledger'!$G$5:$G$133),"")</f>
        <v>989.48</v>
      </c>
      <c r="O44" s="7">
        <f>IFERROR(XLOOKUP(A44,'Source Ledger'!$B$5:$B$133,'Source Ledger'!$A$5:$A$133),"")</f>
        <v/>
      </c>
      <c r="P44" s="7" t="inlineStr">
        <is>
          <t>Yes</t>
        </is>
      </c>
      <c r="Q44" s="9" t="inlineStr">
        <is>
          <t>High</t>
        </is>
      </c>
      <c r="R44" s="7" t="inlineStr">
        <is>
          <t>EX-0020</t>
        </is>
      </c>
      <c r="S44" s="7" t="inlineStr">
        <is>
          <t>No</t>
        </is>
      </c>
      <c r="T44" t="n">
        <v>6425</v>
      </c>
      <c r="U44" t="inlineStr">
        <is>
          <t>Active</t>
        </is>
      </c>
      <c r="V44" t="n">
        <v>989.48</v>
      </c>
      <c r="W44" t="n">
        <v>0</v>
      </c>
      <c r="X44" t="inlineStr">
        <is>
          <t>Yes</t>
        </is>
      </c>
    </row>
    <row r="45">
      <c r="A45" s="7" t="inlineStr">
        <is>
          <t>MD-00041</t>
        </is>
      </c>
      <c r="B45" s="7" t="inlineStr">
        <is>
          <t>MD-LA-050041</t>
        </is>
      </c>
      <c r="C45" s="7" t="inlineStr">
        <is>
          <t>Laptop</t>
        </is>
      </c>
      <c r="D45" s="7" t="inlineStr">
        <is>
          <t>MacBook Pro 14</t>
        </is>
      </c>
      <c r="E45" s="7" t="inlineStr">
        <is>
          <t>E0041</t>
        </is>
      </c>
      <c r="F45" s="7" t="inlineStr">
        <is>
          <t>Denver - Closed</t>
        </is>
      </c>
      <c r="G45" s="7" t="inlineStr">
        <is>
          <t>In Use</t>
        </is>
      </c>
      <c r="H45" s="7" t="inlineStr">
        <is>
          <t>E0041</t>
        </is>
      </c>
      <c r="I45" s="7" t="inlineStr">
        <is>
          <t>Seattle</t>
        </is>
      </c>
      <c r="J45" s="7" t="inlineStr">
        <is>
          <t>In Use</t>
        </is>
      </c>
      <c r="K45" s="7" t="inlineStr">
        <is>
          <t>Eric Vann hasn't changed status (Active) so I didn't bounce the assignment. assignment sits on TR-00041 (APR-00041). bought on PO-2024-0007; FAR FA-000041. E0041.</t>
        </is>
      </c>
      <c r="L45" s="7" t="inlineStr">
        <is>
          <t>2026-08-05</t>
        </is>
      </c>
      <c r="M45" s="7" t="n">
        <v>2120</v>
      </c>
      <c r="N45" s="7">
        <f>IFERROR(XLOOKUP(A45,'Source Ledger'!$B$5:$B$133,'Source Ledger'!$G$5:$G$133),"")</f>
        <v>0</v>
      </c>
      <c r="O45" s="7">
        <f>IFERROR(XLOOKUP(A45,'Source Ledger'!$B$5:$B$133,'Source Ledger'!$A$5:$A$133),"")</f>
        <v/>
      </c>
      <c r="P45" s="7" t="inlineStr">
        <is>
          <t>No</t>
        </is>
      </c>
      <c r="Q45" s="9" t="inlineStr">
        <is>
          <t>High</t>
        </is>
      </c>
      <c r="R45" s="7" t="inlineStr">
        <is>
          <t>EX-0021</t>
        </is>
      </c>
      <c r="S45" s="7" t="inlineStr">
        <is>
          <t>No</t>
        </is>
      </c>
      <c r="T45" t="n">
        <v>2120</v>
      </c>
      <c r="U45" t="inlineStr">
        <is>
          <t>Active</t>
        </is>
      </c>
      <c r="V45" t="n">
        <v>0</v>
      </c>
      <c r="W45" t="n">
        <v>0</v>
      </c>
      <c r="X45" t="inlineStr">
        <is>
          <t>Yes</t>
        </is>
      </c>
    </row>
    <row r="46">
      <c r="A46" s="7" t="inlineStr">
        <is>
          <t>MD-00042</t>
        </is>
      </c>
      <c r="B46" s="7" t="inlineStr">
        <is>
          <t>MD-MO-050042</t>
        </is>
      </c>
      <c r="C46" s="7" t="inlineStr">
        <is>
          <t>Monitor</t>
        </is>
      </c>
      <c r="D46" s="7" t="inlineStr">
        <is>
          <t>Dell U2723QE</t>
        </is>
      </c>
      <c r="E46" s="7" t="inlineStr">
        <is>
          <t>E0042</t>
        </is>
      </c>
      <c r="F46" s="7" t="inlineStr">
        <is>
          <t>Chicago - Closed</t>
        </is>
      </c>
      <c r="G46" s="7" t="inlineStr">
        <is>
          <t>In Use</t>
        </is>
      </c>
      <c r="H46" s="7" t="inlineStr">
        <is>
          <t>E0042</t>
        </is>
      </c>
      <c r="I46" s="7" t="inlineStr">
        <is>
          <t>Atlanta</t>
        </is>
      </c>
      <c r="J46" s="7" t="inlineStr">
        <is>
          <t>In Use</t>
        </is>
      </c>
      <c r="K46" s="7" t="inlineStr">
        <is>
          <t>Live kit. MD-00042 Dell U2723QE. Custodian check: E0042 / Active. TR-00042 (APR-00042) on the movement log. bought on PO-2024-0007; FAR FA-000042.</t>
        </is>
      </c>
      <c r="L46" s="7" t="inlineStr">
        <is>
          <t>2026-08-05</t>
        </is>
      </c>
      <c r="M46" s="7" t="n">
        <v>520</v>
      </c>
      <c r="N46" s="7">
        <f>IFERROR(XLOOKUP(A46,'Source Ledger'!$B$5:$B$133,'Source Ledger'!$G$5:$G$133),"")</f>
        <v>306.16</v>
      </c>
      <c r="O46" s="7">
        <f>IFERROR(XLOOKUP(A46,'Source Ledger'!$B$5:$B$133,'Source Ledger'!$A$5:$A$133),"")</f>
        <v/>
      </c>
      <c r="P46" s="7" t="inlineStr">
        <is>
          <t>No</t>
        </is>
      </c>
      <c r="Q46" s="9" t="inlineStr">
        <is>
          <t>High</t>
        </is>
      </c>
      <c r="R46" s="7" t="inlineStr">
        <is>
          <t>EX-0022</t>
        </is>
      </c>
      <c r="S46" s="7" t="inlineStr">
        <is>
          <t>No</t>
        </is>
      </c>
      <c r="T46" t="n">
        <v>520</v>
      </c>
      <c r="U46" t="inlineStr">
        <is>
          <t>Active</t>
        </is>
      </c>
      <c r="V46" t="n">
        <v>306.16</v>
      </c>
      <c r="W46" t="n">
        <v>0</v>
      </c>
      <c r="X46" t="inlineStr">
        <is>
          <t>Yes</t>
        </is>
      </c>
    </row>
    <row r="47">
      <c r="A47" s="7" t="inlineStr">
        <is>
          <t>MD-00043</t>
        </is>
      </c>
      <c r="B47" s="7" t="inlineStr">
        <is>
          <t>MD-MO-050043</t>
        </is>
      </c>
      <c r="C47" s="7" t="inlineStr">
        <is>
          <t>Mobile Device</t>
        </is>
      </c>
      <c r="D47" s="7" t="inlineStr">
        <is>
          <t>Samsung Galaxy S24</t>
        </is>
      </c>
      <c r="E47" s="7" t="inlineStr">
        <is>
          <t>E0043</t>
        </is>
      </c>
      <c r="F47" s="7" t="inlineStr">
        <is>
          <t>Denver - Closed</t>
        </is>
      </c>
      <c r="G47" s="7" t="inlineStr">
        <is>
          <t>In Use</t>
        </is>
      </c>
      <c r="H47" s="7" t="inlineStr">
        <is>
          <t>E0043</t>
        </is>
      </c>
      <c r="I47" s="7" t="inlineStr">
        <is>
          <t>Chicago</t>
        </is>
      </c>
      <c r="J47" s="7" t="inlineStr">
        <is>
          <t>In Use</t>
        </is>
      </c>
      <c r="K47" s="7" t="inlineStr">
        <is>
          <t>Tyler Brooks (E0043), Chicago. Movement assignment sits on TR-00043 (APR-00043). bought on PO-2025-0008; FAR FA-000043.</t>
        </is>
      </c>
      <c r="L47" s="7" t="inlineStr">
        <is>
          <t>2026-08-05</t>
        </is>
      </c>
      <c r="M47" s="7" t="n">
        <v>995</v>
      </c>
      <c r="N47" s="7">
        <f>IFERROR(XLOOKUP(A47,'Source Ledger'!$B$5:$B$133,'Source Ledger'!$G$5:$G$133),"")</f>
        <v>673.55</v>
      </c>
      <c r="O47" s="7">
        <f>IFERROR(XLOOKUP(A47,'Source Ledger'!$B$5:$B$133,'Source Ledger'!$A$5:$A$133),"")</f>
        <v/>
      </c>
      <c r="P47" s="7" t="inlineStr">
        <is>
          <t>No</t>
        </is>
      </c>
      <c r="Q47" s="9" t="inlineStr">
        <is>
          <t>High</t>
        </is>
      </c>
      <c r="R47" s="7" t="inlineStr">
        <is>
          <t>EX-0023</t>
        </is>
      </c>
      <c r="S47" s="7" t="inlineStr">
        <is>
          <t>No</t>
        </is>
      </c>
      <c r="T47" t="n">
        <v>995</v>
      </c>
      <c r="U47" t="inlineStr">
        <is>
          <t>Active</t>
        </is>
      </c>
      <c r="V47" t="n">
        <v>673.55</v>
      </c>
      <c r="W47" t="n">
        <v>0</v>
      </c>
      <c r="X47" t="inlineStr">
        <is>
          <t>Yes</t>
        </is>
      </c>
    </row>
    <row r="48">
      <c r="A48" s="7" t="inlineStr">
        <is>
          <t>MD-00044</t>
        </is>
      </c>
      <c r="B48" s="7" t="inlineStr">
        <is>
          <t>MD-NE-050044</t>
        </is>
      </c>
      <c r="C48" s="7" t="inlineStr">
        <is>
          <t>Network Asset</t>
        </is>
      </c>
      <c r="D48" s="7" t="inlineStr">
        <is>
          <t>Cisco C9300</t>
        </is>
      </c>
      <c r="E48" s="7" t="inlineStr">
        <is>
          <t>E0044</t>
        </is>
      </c>
      <c r="F48" s="7" t="inlineStr">
        <is>
          <t>Chicago - Closed</t>
        </is>
      </c>
      <c r="G48" s="7" t="inlineStr">
        <is>
          <t>In Use</t>
        </is>
      </c>
      <c r="H48" s="7" t="inlineStr">
        <is>
          <t>E0044</t>
        </is>
      </c>
      <c r="I48" s="7" t="inlineStr">
        <is>
          <t>Dallas</t>
        </is>
      </c>
      <c r="J48" s="7" t="inlineStr">
        <is>
          <t>In Use</t>
        </is>
      </c>
      <c r="K48" s="7" t="inlineStr">
        <is>
          <t>Leah Okada (E0044) is Active in HR. TR-00044 (APR-00044) on the movement log. bought on PO-2025-0008; FAR FA-000044. Left MD-00044 as In Use in Dallas.</t>
        </is>
      </c>
      <c r="L48" s="7" t="inlineStr">
        <is>
          <t>2026-08-05</t>
        </is>
      </c>
      <c r="M48" s="7" t="n">
        <v>6290</v>
      </c>
      <c r="N48" s="7">
        <f>IFERROR(XLOOKUP(A48,'Source Ledger'!$B$5:$B$133,'Source Ledger'!$G$5:$G$133),"")</f>
        <v>1406.1</v>
      </c>
      <c r="O48" s="7">
        <f>IFERROR(XLOOKUP(A48,'Source Ledger'!$B$5:$B$133,'Source Ledger'!$A$5:$A$133),"")</f>
        <v/>
      </c>
      <c r="P48" s="7" t="inlineStr">
        <is>
          <t>Yes</t>
        </is>
      </c>
      <c r="Q48" s="9" t="inlineStr">
        <is>
          <t>High</t>
        </is>
      </c>
      <c r="R48" s="7" t="inlineStr">
        <is>
          <t>EX-0024</t>
        </is>
      </c>
      <c r="S48" s="7" t="inlineStr">
        <is>
          <t>No</t>
        </is>
      </c>
      <c r="T48" t="n">
        <v>6290</v>
      </c>
      <c r="U48" t="inlineStr">
        <is>
          <t>Active</t>
        </is>
      </c>
      <c r="V48" t="n">
        <v>1406.1</v>
      </c>
      <c r="W48" t="n">
        <v>0</v>
      </c>
      <c r="X48" t="inlineStr">
        <is>
          <t>Yes</t>
        </is>
      </c>
    </row>
    <row r="49">
      <c r="A49" s="7" t="inlineStr">
        <is>
          <t>MD-00045</t>
        </is>
      </c>
      <c r="B49" s="7" t="inlineStr">
        <is>
          <t>MD-LA-050045</t>
        </is>
      </c>
      <c r="C49" s="7" t="inlineStr">
        <is>
          <t>Laptop</t>
        </is>
      </c>
      <c r="D49" s="7" t="inlineStr">
        <is>
          <t>Dell Latitude 7440</t>
        </is>
      </c>
      <c r="E49" s="7" t="inlineStr">
        <is>
          <t>E0045</t>
        </is>
      </c>
      <c r="F49" s="7" t="inlineStr">
        <is>
          <t>Denver - Closed</t>
        </is>
      </c>
      <c r="G49" s="7" t="inlineStr">
        <is>
          <t>In Use</t>
        </is>
      </c>
      <c r="H49" s="7" t="inlineStr">
        <is>
          <t>E0045</t>
        </is>
      </c>
      <c r="I49" s="7" t="inlineStr">
        <is>
          <t>Denver</t>
        </is>
      </c>
      <c r="J49" s="7" t="inlineStr">
        <is>
          <t>In Use</t>
        </is>
      </c>
      <c r="K49" s="7" t="inlineStr">
        <is>
          <t>Dell Latitude 7440 MD-00045 — assignment sits on TR-00045 (APR-00045); HR file: E0045 Active — Darnell Price. bought on PO-2025-0008; FAR FA-000045.</t>
        </is>
      </c>
      <c r="L49" s="7" t="inlineStr">
        <is>
          <t>2026-08-05</t>
        </is>
      </c>
      <c r="M49" s="7" t="n">
        <v>1985</v>
      </c>
      <c r="N49" s="7">
        <f>IFERROR(XLOOKUP(A49,'Source Ledger'!$B$5:$B$133,'Source Ledger'!$G$5:$G$133),"")</f>
        <v>133.6</v>
      </c>
      <c r="O49" s="7">
        <f>IFERROR(XLOOKUP(A49,'Source Ledger'!$B$5:$B$133,'Source Ledger'!$A$5:$A$133),"")</f>
        <v/>
      </c>
      <c r="P49" s="7" t="inlineStr">
        <is>
          <t>No</t>
        </is>
      </c>
      <c r="Q49" s="9" t="inlineStr">
        <is>
          <t>High</t>
        </is>
      </c>
      <c r="R49" s="7" t="inlineStr">
        <is>
          <t>EX-0025</t>
        </is>
      </c>
      <c r="S49" s="7" t="inlineStr">
        <is>
          <t>No</t>
        </is>
      </c>
      <c r="T49" t="n">
        <v>1985</v>
      </c>
      <c r="U49" t="inlineStr">
        <is>
          <t>Active</t>
        </is>
      </c>
      <c r="V49" t="n">
        <v>133.6</v>
      </c>
      <c r="W49" t="n">
        <v>0</v>
      </c>
      <c r="X49" t="inlineStr">
        <is>
          <t>Yes</t>
        </is>
      </c>
    </row>
    <row r="50">
      <c r="A50" s="7" t="inlineStr">
        <is>
          <t>MD-00046</t>
        </is>
      </c>
      <c r="B50" s="7" t="inlineStr">
        <is>
          <t>MD-MO-050046</t>
        </is>
      </c>
      <c r="C50" s="7" t="inlineStr">
        <is>
          <t>Monitor</t>
        </is>
      </c>
      <c r="D50" s="7" t="inlineStr">
        <is>
          <t>Dell U2723QE</t>
        </is>
      </c>
      <c r="E50" s="7" t="inlineStr"/>
      <c r="F50" s="7" t="inlineStr">
        <is>
          <t>Chicago - Closed</t>
        </is>
      </c>
      <c r="G50" s="7" t="inlineStr">
        <is>
          <t>Available</t>
        </is>
      </c>
      <c r="H50" s="7" t="inlineStr">
        <is>
          <t>IT Stock</t>
        </is>
      </c>
      <c r="I50" s="7" t="inlineStr">
        <is>
          <t>New York</t>
        </is>
      </c>
      <c r="J50" s="7" t="inlineStr">
        <is>
          <t>Available</t>
        </is>
      </c>
      <c r="K50" s="7" t="inlineStr">
        <is>
          <t>Parked as Available — Dell U2723QE. TR-00046 (APR-00046) on the movement log. bought on PO-2025-0008; FAR FA-000046.</t>
        </is>
      </c>
      <c r="L50" s="7" t="inlineStr">
        <is>
          <t>2026-05-24</t>
        </is>
      </c>
      <c r="M50" s="7" t="n">
        <v>700</v>
      </c>
      <c r="N50" s="7">
        <f>IFERROR(XLOOKUP(A50,'Source Ledger'!$B$5:$B$133,'Source Ledger'!$G$5:$G$133),"")</f>
        <v>460.82</v>
      </c>
      <c r="O50" s="7">
        <f>IFERROR(XLOOKUP(A50,'Source Ledger'!$B$5:$B$133,'Source Ledger'!$A$5:$A$133),"")</f>
        <v/>
      </c>
      <c r="P50" s="7" t="inlineStr">
        <is>
          <t>No</t>
        </is>
      </c>
      <c r="Q50" s="9" t="inlineStr">
        <is>
          <t>High</t>
        </is>
      </c>
      <c r="R50" s="7" t="inlineStr">
        <is>
          <t>EX-0026</t>
        </is>
      </c>
      <c r="S50" s="7" t="inlineStr">
        <is>
          <t>No</t>
        </is>
      </c>
      <c r="T50" t="n">
        <v>700</v>
      </c>
      <c r="U50" t="inlineStr">
        <is>
          <t>Active</t>
        </is>
      </c>
      <c r="V50" t="n">
        <v>460.82</v>
      </c>
      <c r="W50" t="n">
        <v>0</v>
      </c>
      <c r="X50" t="inlineStr">
        <is>
          <t>Yes</t>
        </is>
      </c>
    </row>
    <row r="51">
      <c r="A51" s="7" t="inlineStr">
        <is>
          <t>MD-00047</t>
        </is>
      </c>
      <c r="B51" s="7" t="inlineStr">
        <is>
          <t>MD-MO-050047</t>
        </is>
      </c>
      <c r="C51" s="7" t="inlineStr">
        <is>
          <t>Mobile Device</t>
        </is>
      </c>
      <c r="D51" s="7" t="inlineStr">
        <is>
          <t>Samsung Galaxy S24</t>
        </is>
      </c>
      <c r="E51" s="7" t="inlineStr"/>
      <c r="F51" s="7" t="inlineStr">
        <is>
          <t>Denver - Closed</t>
        </is>
      </c>
      <c r="G51" s="7" t="inlineStr">
        <is>
          <t>Available</t>
        </is>
      </c>
      <c r="H51" s="7" t="inlineStr">
        <is>
          <t>IT Stock</t>
        </is>
      </c>
      <c r="I51" s="7" t="inlineStr">
        <is>
          <t>Seattle</t>
        </is>
      </c>
      <c r="J51" s="7" t="inlineStr">
        <is>
          <t>Available</t>
        </is>
      </c>
      <c r="K51" s="7" t="inlineStr">
        <is>
          <t>Not assigned to a person. MD-00047 / Seattle. assignment sits on TR-00047 (APR-00047). bought on PO-2025-0008; FAR FA-000047.</t>
        </is>
      </c>
      <c r="L51" s="7" t="inlineStr">
        <is>
          <t>2026-06-25</t>
        </is>
      </c>
      <c r="M51" s="7" t="n">
        <v>1175</v>
      </c>
      <c r="N51" s="7">
        <f>IFERROR(XLOOKUP(A51,'Source Ledger'!$B$5:$B$133,'Source Ledger'!$G$5:$G$133),"")</f>
        <v>930.51</v>
      </c>
      <c r="O51" s="7">
        <f>IFERROR(XLOOKUP(A51,'Source Ledger'!$B$5:$B$133,'Source Ledger'!$A$5:$A$133),"")</f>
        <v/>
      </c>
      <c r="P51" s="7" t="inlineStr">
        <is>
          <t>No</t>
        </is>
      </c>
      <c r="Q51" s="9" t="inlineStr">
        <is>
          <t>High</t>
        </is>
      </c>
      <c r="R51" s="7" t="inlineStr">
        <is>
          <t>EX-0027</t>
        </is>
      </c>
      <c r="S51" s="7" t="inlineStr">
        <is>
          <t>No</t>
        </is>
      </c>
      <c r="T51" t="n">
        <v>1175</v>
      </c>
      <c r="U51" t="inlineStr">
        <is>
          <t>Active</t>
        </is>
      </c>
      <c r="V51" t="n">
        <v>930.51</v>
      </c>
      <c r="W51" t="n">
        <v>0</v>
      </c>
      <c r="X51" t="inlineStr">
        <is>
          <t>Yes</t>
        </is>
      </c>
    </row>
    <row r="52">
      <c r="A52" s="7" t="inlineStr">
        <is>
          <t>MD-00048</t>
        </is>
      </c>
      <c r="B52" s="7" t="inlineStr">
        <is>
          <t>MD-NE-050048</t>
        </is>
      </c>
      <c r="C52" s="7" t="inlineStr">
        <is>
          <t>Network Asset</t>
        </is>
      </c>
      <c r="D52" s="7" t="inlineStr">
        <is>
          <t>Cisco C9300</t>
        </is>
      </c>
      <c r="E52" s="7" t="inlineStr"/>
      <c r="F52" s="7" t="inlineStr">
        <is>
          <t>Chicago - Closed</t>
        </is>
      </c>
      <c r="G52" s="7" t="inlineStr">
        <is>
          <t>Available</t>
        </is>
      </c>
      <c r="H52" s="7" t="inlineStr">
        <is>
          <t>IT Stock</t>
        </is>
      </c>
      <c r="I52" s="7" t="inlineStr">
        <is>
          <t>Atlanta</t>
        </is>
      </c>
      <c r="J52" s="7" t="inlineStr">
        <is>
          <t>Available</t>
        </is>
      </c>
      <c r="K52" s="7" t="inlineStr">
        <is>
          <t>Stock row. TR-00048 (APR-00048) on the movement log. bought on PO-2025-0008; FAR FA-000048.</t>
        </is>
      </c>
      <c r="L52" s="7" t="inlineStr">
        <is>
          <t>2026-01-02</t>
        </is>
      </c>
      <c r="M52" s="7" t="n">
        <v>6470</v>
      </c>
      <c r="N52" s="7">
        <f>IFERROR(XLOOKUP(A52,'Source Ledger'!$B$5:$B$133,'Source Ledger'!$G$5:$G$133),"")</f>
        <v>514.59</v>
      </c>
      <c r="O52" s="7">
        <f>IFERROR(XLOOKUP(A52,'Source Ledger'!$B$5:$B$133,'Source Ledger'!$A$5:$A$133),"")</f>
        <v/>
      </c>
      <c r="P52" s="7" t="inlineStr">
        <is>
          <t>Yes</t>
        </is>
      </c>
      <c r="Q52" s="9" t="inlineStr">
        <is>
          <t>High</t>
        </is>
      </c>
      <c r="R52" s="7" t="inlineStr">
        <is>
          <t>EX-0028</t>
        </is>
      </c>
      <c r="S52" s="7" t="inlineStr">
        <is>
          <t>No</t>
        </is>
      </c>
      <c r="T52" t="n">
        <v>6470</v>
      </c>
      <c r="U52" t="inlineStr">
        <is>
          <t>Active</t>
        </is>
      </c>
      <c r="V52" t="n">
        <v>514.59</v>
      </c>
      <c r="W52" t="n">
        <v>0</v>
      </c>
      <c r="X52" t="inlineStr">
        <is>
          <t>Yes</t>
        </is>
      </c>
    </row>
    <row r="53">
      <c r="A53" s="7" t="inlineStr">
        <is>
          <t>MD-00049</t>
        </is>
      </c>
      <c r="B53" s="7" t="inlineStr">
        <is>
          <t>MD-LA-050049</t>
        </is>
      </c>
      <c r="C53" s="7" t="inlineStr">
        <is>
          <t>Laptop</t>
        </is>
      </c>
      <c r="D53" s="7" t="inlineStr">
        <is>
          <t>Lenovo ThinkPad T14</t>
        </is>
      </c>
      <c r="E53" s="7" t="inlineStr"/>
      <c r="F53" s="7" t="inlineStr">
        <is>
          <t>Denver - Closed</t>
        </is>
      </c>
      <c r="G53" s="7" t="inlineStr">
        <is>
          <t>Available</t>
        </is>
      </c>
      <c r="H53" s="7" t="inlineStr">
        <is>
          <t>IT Stock</t>
        </is>
      </c>
      <c r="I53" s="7" t="inlineStr">
        <is>
          <t>Chicago</t>
        </is>
      </c>
      <c r="J53" s="7" t="inlineStr">
        <is>
          <t>Available</t>
        </is>
      </c>
      <c r="K53" s="7" t="inlineStr">
        <is>
          <t>bought on PO-2022-0009; FAR FA-000049. Status Available at Chicago after assignment sits on TR-00049 (APR-00049).</t>
        </is>
      </c>
      <c r="L53" s="7" t="inlineStr">
        <is>
          <t>2026-02-03</t>
        </is>
      </c>
      <c r="M53" s="7" t="n">
        <v>1850</v>
      </c>
      <c r="N53" s="7">
        <f>IFERROR(XLOOKUP(A53,'Source Ledger'!$B$5:$B$133,'Source Ledger'!$G$5:$G$133),"")</f>
        <v>0</v>
      </c>
      <c r="O53" s="7">
        <f>IFERROR(XLOOKUP(A53,'Source Ledger'!$B$5:$B$133,'Source Ledger'!$A$5:$A$133),"")</f>
        <v/>
      </c>
      <c r="P53" s="7" t="inlineStr">
        <is>
          <t>No</t>
        </is>
      </c>
      <c r="Q53" s="9" t="inlineStr">
        <is>
          <t>High</t>
        </is>
      </c>
      <c r="R53" s="7" t="inlineStr">
        <is>
          <t>EX-0029</t>
        </is>
      </c>
      <c r="S53" s="7" t="inlineStr">
        <is>
          <t>No</t>
        </is>
      </c>
      <c r="T53" t="n">
        <v>1850</v>
      </c>
      <c r="U53" t="inlineStr">
        <is>
          <t>Active</t>
        </is>
      </c>
      <c r="V53" t="n">
        <v>0</v>
      </c>
      <c r="W53" t="n">
        <v>0</v>
      </c>
      <c r="X53" t="inlineStr">
        <is>
          <t>Yes</t>
        </is>
      </c>
    </row>
    <row r="54">
      <c r="A54" s="7" t="inlineStr">
        <is>
          <t>MD-00050</t>
        </is>
      </c>
      <c r="B54" s="7" t="inlineStr">
        <is>
          <t>MD-MO-050050</t>
        </is>
      </c>
      <c r="C54" s="7" t="inlineStr">
        <is>
          <t>Monitor</t>
        </is>
      </c>
      <c r="D54" s="7" t="inlineStr">
        <is>
          <t>Dell U2723QE</t>
        </is>
      </c>
      <c r="E54" s="7" t="inlineStr"/>
      <c r="F54" s="7" t="inlineStr">
        <is>
          <t>Chicago - Closed</t>
        </is>
      </c>
      <c r="G54" s="7" t="inlineStr">
        <is>
          <t>Available</t>
        </is>
      </c>
      <c r="H54" s="7" t="inlineStr">
        <is>
          <t>IT Stock</t>
        </is>
      </c>
      <c r="I54" s="7" t="inlineStr">
        <is>
          <t>Dallas</t>
        </is>
      </c>
      <c r="J54" s="7" t="inlineStr">
        <is>
          <t>Available</t>
        </is>
      </c>
      <c r="K54" s="7" t="inlineStr">
        <is>
          <t>Shelf/stock: MD-00050. TR-00050 (APR-00050) on the movement log. bought on PO-2022-0009; FAR FA-000050.</t>
        </is>
      </c>
      <c r="L54" s="7" t="inlineStr">
        <is>
          <t>2026-03-04</t>
        </is>
      </c>
      <c r="M54" s="7" t="n">
        <v>565</v>
      </c>
      <c r="N54" s="7">
        <f>IFERROR(XLOOKUP(A54,'Source Ledger'!$B$5:$B$133,'Source Ledger'!$G$5:$G$133),"")</f>
        <v>289.96</v>
      </c>
      <c r="O54" s="7">
        <f>IFERROR(XLOOKUP(A54,'Source Ledger'!$B$5:$B$133,'Source Ledger'!$A$5:$A$133),"")</f>
        <v/>
      </c>
      <c r="P54" s="7" t="inlineStr">
        <is>
          <t>No</t>
        </is>
      </c>
      <c r="Q54" s="9" t="inlineStr">
        <is>
          <t>High</t>
        </is>
      </c>
      <c r="R54" s="7" t="inlineStr">
        <is>
          <t>EX-0030</t>
        </is>
      </c>
      <c r="S54" s="7" t="inlineStr">
        <is>
          <t>No</t>
        </is>
      </c>
      <c r="T54" t="n">
        <v>565</v>
      </c>
      <c r="U54" t="inlineStr">
        <is>
          <t>Active</t>
        </is>
      </c>
      <c r="V54" t="n">
        <v>289.96</v>
      </c>
      <c r="W54" t="n">
        <v>0</v>
      </c>
      <c r="X54" t="inlineStr">
        <is>
          <t>Yes</t>
        </is>
      </c>
    </row>
    <row r="55">
      <c r="A55" s="7" t="inlineStr">
        <is>
          <t>MD-00051</t>
        </is>
      </c>
      <c r="B55" s="7" t="inlineStr">
        <is>
          <t>MD-MO-050051</t>
        </is>
      </c>
      <c r="C55" s="7" t="inlineStr">
        <is>
          <t>Mobile Device</t>
        </is>
      </c>
      <c r="D55" s="7" t="inlineStr">
        <is>
          <t>Samsung Galaxy S24</t>
        </is>
      </c>
      <c r="E55" s="7" t="inlineStr"/>
      <c r="F55" s="7" t="inlineStr">
        <is>
          <t>Denver - Closed</t>
        </is>
      </c>
      <c r="G55" s="7" t="inlineStr">
        <is>
          <t>Available</t>
        </is>
      </c>
      <c r="H55" s="7" t="inlineStr">
        <is>
          <t>IT Stock</t>
        </is>
      </c>
      <c r="I55" s="7" t="inlineStr">
        <is>
          <t>Denver</t>
        </is>
      </c>
      <c r="J55" s="7" t="inlineStr">
        <is>
          <t>Available</t>
        </is>
      </c>
      <c r="K55" s="7" t="inlineStr">
        <is>
          <t>IT Stock holds MD-00051 (Denver). assignment sits on TR-00051 (APR-00051). bought on PO-2022-0009; FAR FA-000051.</t>
        </is>
      </c>
      <c r="L55" s="7" t="inlineStr">
        <is>
          <t>2026-04-05</t>
        </is>
      </c>
      <c r="M55" s="7" t="n">
        <v>1040</v>
      </c>
      <c r="N55" s="7">
        <f>IFERROR(XLOOKUP(A55,'Source Ledger'!$B$5:$B$133,'Source Ledger'!$G$5:$G$133),"")</f>
        <v>573.03</v>
      </c>
      <c r="O55" s="7">
        <f>IFERROR(XLOOKUP(A55,'Source Ledger'!$B$5:$B$133,'Source Ledger'!$A$5:$A$133),"")</f>
        <v/>
      </c>
      <c r="P55" s="7" t="inlineStr">
        <is>
          <t>No</t>
        </is>
      </c>
      <c r="Q55" s="9" t="inlineStr">
        <is>
          <t>High</t>
        </is>
      </c>
      <c r="R55" s="7" t="inlineStr">
        <is>
          <t>EX-0031, EX-0032</t>
        </is>
      </c>
      <c r="S55" s="7" t="inlineStr">
        <is>
          <t>No</t>
        </is>
      </c>
      <c r="T55" t="n">
        <v>1250</v>
      </c>
      <c r="U55" t="inlineStr">
        <is>
          <t>Active</t>
        </is>
      </c>
      <c r="V55" t="n">
        <v>573.03</v>
      </c>
      <c r="W55" t="n">
        <v>210</v>
      </c>
      <c r="X55" t="inlineStr">
        <is>
          <t>Yes</t>
        </is>
      </c>
    </row>
    <row r="56">
      <c r="A56" s="7" t="inlineStr">
        <is>
          <t>MD-00052</t>
        </is>
      </c>
      <c r="B56" s="7" t="inlineStr">
        <is>
          <t>MD-NE-050052</t>
        </is>
      </c>
      <c r="C56" s="7" t="inlineStr">
        <is>
          <t>Network Asset</t>
        </is>
      </c>
      <c r="D56" s="7" t="inlineStr">
        <is>
          <t>Cisco C9300</t>
        </is>
      </c>
      <c r="E56" s="7" t="inlineStr"/>
      <c r="F56" s="7" t="inlineStr">
        <is>
          <t>Chicago - Closed</t>
        </is>
      </c>
      <c r="G56" s="7" t="inlineStr">
        <is>
          <t>Available</t>
        </is>
      </c>
      <c r="H56" s="7" t="inlineStr">
        <is>
          <t>IT Stock</t>
        </is>
      </c>
      <c r="I56" s="7" t="inlineStr">
        <is>
          <t>New York</t>
        </is>
      </c>
      <c r="J56" s="7" t="inlineStr">
        <is>
          <t>Available</t>
        </is>
      </c>
      <c r="K56" s="7" t="inlineStr">
        <is>
          <t>MD-00052 is on IT Stock in New York. TR-00052 (APR-00052) on the movement log. bought on PO-2022-0009; FAR FA-000052.</t>
        </is>
      </c>
      <c r="L56" s="7" t="inlineStr">
        <is>
          <t>2026-05-06</t>
        </is>
      </c>
      <c r="M56" s="7" t="n">
        <v>6335</v>
      </c>
      <c r="N56" s="7">
        <f>IFERROR(XLOOKUP(A56,'Source Ledger'!$B$5:$B$133,'Source Ledger'!$G$5:$G$133),"")</f>
        <v>933.99</v>
      </c>
      <c r="O56" s="7">
        <f>IFERROR(XLOOKUP(A56,'Source Ledger'!$B$5:$B$133,'Source Ledger'!$A$5:$A$133),"")</f>
        <v/>
      </c>
      <c r="P56" s="7" t="inlineStr">
        <is>
          <t>Yes</t>
        </is>
      </c>
      <c r="Q56" s="9" t="inlineStr">
        <is>
          <t>High</t>
        </is>
      </c>
      <c r="R56" s="7" t="inlineStr">
        <is>
          <t>EX-0033</t>
        </is>
      </c>
      <c r="S56" s="7" t="inlineStr">
        <is>
          <t>No</t>
        </is>
      </c>
      <c r="T56" t="n">
        <v>6335</v>
      </c>
      <c r="U56" t="inlineStr">
        <is>
          <t>Active</t>
        </is>
      </c>
      <c r="V56" t="n">
        <v>933.99</v>
      </c>
      <c r="W56" t="n">
        <v>0</v>
      </c>
      <c r="X56" t="inlineStr">
        <is>
          <t>Yes</t>
        </is>
      </c>
    </row>
    <row r="57">
      <c r="A57" s="7" t="inlineStr">
        <is>
          <t>MD-00053</t>
        </is>
      </c>
      <c r="B57" s="7" t="inlineStr">
        <is>
          <t>MD-LA-050053</t>
        </is>
      </c>
      <c r="C57" s="7" t="inlineStr">
        <is>
          <t>Laptop</t>
        </is>
      </c>
      <c r="D57" s="7" t="inlineStr">
        <is>
          <t>MacBook Pro 14</t>
        </is>
      </c>
      <c r="E57" s="7" t="inlineStr"/>
      <c r="F57" s="7" t="inlineStr">
        <is>
          <t>Denver - Closed</t>
        </is>
      </c>
      <c r="G57" s="7" t="inlineStr">
        <is>
          <t>Available</t>
        </is>
      </c>
      <c r="H57" s="7" t="inlineStr">
        <is>
          <t>IT Stock</t>
        </is>
      </c>
      <c r="I57" s="7" t="inlineStr">
        <is>
          <t>Seattle</t>
        </is>
      </c>
      <c r="J57" s="7" t="inlineStr">
        <is>
          <t>Available</t>
        </is>
      </c>
      <c r="K57" s="7" t="inlineStr">
        <is>
          <t>Parked as Available — MacBook Pro 14. assignment sits on TR-00053 (APR-00053). bought on PO-2022-0009; FAR FA-000053.</t>
        </is>
      </c>
      <c r="L57" s="7" t="inlineStr">
        <is>
          <t>2026-06-07</t>
        </is>
      </c>
      <c r="M57" s="7" t="n">
        <v>2030</v>
      </c>
      <c r="N57" s="7">
        <f>IFERROR(XLOOKUP(A57,'Source Ledger'!$B$5:$B$133,'Source Ledger'!$G$5:$G$133),"")</f>
        <v>0</v>
      </c>
      <c r="O57" s="7">
        <f>IFERROR(XLOOKUP(A57,'Source Ledger'!$B$5:$B$133,'Source Ledger'!$A$5:$A$133),"")</f>
        <v/>
      </c>
      <c r="P57" s="7" t="inlineStr">
        <is>
          <t>No</t>
        </is>
      </c>
      <c r="Q57" s="9" t="inlineStr">
        <is>
          <t>High</t>
        </is>
      </c>
      <c r="R57" s="7" t="inlineStr">
        <is>
          <t>EX-0034</t>
        </is>
      </c>
      <c r="S57" s="7" t="inlineStr">
        <is>
          <t>No</t>
        </is>
      </c>
      <c r="T57" t="n">
        <v>2030</v>
      </c>
      <c r="U57" t="inlineStr">
        <is>
          <t>Active</t>
        </is>
      </c>
      <c r="V57" t="n">
        <v>0</v>
      </c>
      <c r="W57" t="n">
        <v>0</v>
      </c>
      <c r="X57" t="inlineStr">
        <is>
          <t>Yes</t>
        </is>
      </c>
    </row>
    <row r="58">
      <c r="A58" s="7" t="inlineStr">
        <is>
          <t>MD-00054</t>
        </is>
      </c>
      <c r="B58" s="7" t="inlineStr">
        <is>
          <t>MD-MO-050054</t>
        </is>
      </c>
      <c r="C58" s="7" t="inlineStr">
        <is>
          <t>Monitor</t>
        </is>
      </c>
      <c r="D58" s="7" t="inlineStr">
        <is>
          <t>Dell U2723QE</t>
        </is>
      </c>
      <c r="E58" s="7" t="inlineStr"/>
      <c r="F58" s="7" t="inlineStr">
        <is>
          <t>Chicago - Closed</t>
        </is>
      </c>
      <c r="G58" s="7" t="inlineStr">
        <is>
          <t>Available</t>
        </is>
      </c>
      <c r="H58" s="7" t="inlineStr">
        <is>
          <t>IT Stock</t>
        </is>
      </c>
      <c r="I58" s="7" t="inlineStr">
        <is>
          <t>Atlanta</t>
        </is>
      </c>
      <c r="J58" s="7" t="inlineStr">
        <is>
          <t>Available</t>
        </is>
      </c>
      <c r="K58" s="7" t="inlineStr">
        <is>
          <t>Not assigned to a person. MD-00054 / Atlanta. TR-00054 (APR-00054) on the movement log. bought on PO-2022-0009; FAR FA-000054.</t>
        </is>
      </c>
      <c r="L58" s="7" t="inlineStr">
        <is>
          <t>2026-01-08</t>
        </is>
      </c>
      <c r="M58" s="7" t="n">
        <v>745</v>
      </c>
      <c r="N58" s="7">
        <f>IFERROR(XLOOKUP(A58,'Source Ledger'!$B$5:$B$133,'Source Ledger'!$G$5:$G$133),"")</f>
        <v>433.74</v>
      </c>
      <c r="O58" s="7">
        <f>IFERROR(XLOOKUP(A58,'Source Ledger'!$B$5:$B$133,'Source Ledger'!$A$5:$A$133),"")</f>
        <v/>
      </c>
      <c r="P58" s="7" t="inlineStr">
        <is>
          <t>No</t>
        </is>
      </c>
      <c r="Q58" s="9" t="inlineStr">
        <is>
          <t>High</t>
        </is>
      </c>
      <c r="R58" s="7" t="inlineStr">
        <is>
          <t>EX-0035</t>
        </is>
      </c>
      <c r="S58" s="7" t="inlineStr">
        <is>
          <t>No</t>
        </is>
      </c>
      <c r="T58" t="n">
        <v>745</v>
      </c>
      <c r="U58" t="inlineStr">
        <is>
          <t>Active</t>
        </is>
      </c>
      <c r="V58" t="n">
        <v>433.74</v>
      </c>
      <c r="W58" t="n">
        <v>0</v>
      </c>
      <c r="X58" t="inlineStr">
        <is>
          <t>Yes</t>
        </is>
      </c>
    </row>
    <row r="59">
      <c r="A59" s="7" t="inlineStr">
        <is>
          <t>MD-00055</t>
        </is>
      </c>
      <c r="B59" s="7" t="inlineStr">
        <is>
          <t>MD-MO-050055</t>
        </is>
      </c>
      <c r="C59" s="7" t="inlineStr">
        <is>
          <t>Mobile Device</t>
        </is>
      </c>
      <c r="D59" s="7" t="inlineStr">
        <is>
          <t>Samsung Galaxy S24</t>
        </is>
      </c>
      <c r="E59" s="7" t="inlineStr"/>
      <c r="F59" s="7" t="inlineStr">
        <is>
          <t>Denver - Closed</t>
        </is>
      </c>
      <c r="G59" s="7" t="inlineStr">
        <is>
          <t>Available</t>
        </is>
      </c>
      <c r="H59" s="7" t="inlineStr">
        <is>
          <t>IT Stock</t>
        </is>
      </c>
      <c r="I59" s="7" t="inlineStr">
        <is>
          <t>Chicago</t>
        </is>
      </c>
      <c r="J59" s="7" t="inlineStr">
        <is>
          <t>Available</t>
        </is>
      </c>
      <c r="K59" s="7" t="inlineStr">
        <is>
          <t>Stock row. assignment sits on TR-00055 (APR-00055). bought on PO-2023-0010; FAR FA-000055.</t>
        </is>
      </c>
      <c r="L59" s="7" t="inlineStr">
        <is>
          <t>2026-02-09</t>
        </is>
      </c>
      <c r="M59" s="7" t="n">
        <v>1220</v>
      </c>
      <c r="N59" s="7">
        <f>IFERROR(XLOOKUP(A59,'Source Ledger'!$B$5:$B$133,'Source Ledger'!$G$5:$G$133),"")</f>
        <v>812.5</v>
      </c>
      <c r="O59" s="7">
        <f>IFERROR(XLOOKUP(A59,'Source Ledger'!$B$5:$B$133,'Source Ledger'!$A$5:$A$133),"")</f>
        <v/>
      </c>
      <c r="P59" s="7" t="inlineStr">
        <is>
          <t>No</t>
        </is>
      </c>
      <c r="Q59" s="9" t="inlineStr">
        <is>
          <t>High</t>
        </is>
      </c>
      <c r="R59" s="7" t="inlineStr">
        <is>
          <t>EX-0036</t>
        </is>
      </c>
      <c r="S59" s="7" t="inlineStr">
        <is>
          <t>No</t>
        </is>
      </c>
      <c r="T59" t="n">
        <v>1220</v>
      </c>
      <c r="U59" t="inlineStr">
        <is>
          <t>Active</t>
        </is>
      </c>
      <c r="V59" t="n">
        <v>812.5</v>
      </c>
      <c r="W59" t="n">
        <v>0</v>
      </c>
      <c r="X59" t="inlineStr">
        <is>
          <t>Yes</t>
        </is>
      </c>
    </row>
    <row r="60">
      <c r="A60" s="7" t="inlineStr">
        <is>
          <t>MD-00056</t>
        </is>
      </c>
      <c r="B60" s="7" t="inlineStr">
        <is>
          <t>MD-NE-050056</t>
        </is>
      </c>
      <c r="C60" s="7" t="inlineStr">
        <is>
          <t>Network Asset</t>
        </is>
      </c>
      <c r="D60" s="7" t="inlineStr">
        <is>
          <t>Cisco C9300</t>
        </is>
      </c>
      <c r="E60" s="7" t="inlineStr"/>
      <c r="F60" s="7" t="inlineStr">
        <is>
          <t>Chicago - Closed</t>
        </is>
      </c>
      <c r="G60" s="7" t="inlineStr">
        <is>
          <t>Available</t>
        </is>
      </c>
      <c r="H60" s="7" t="inlineStr">
        <is>
          <t>IT Stock</t>
        </is>
      </c>
      <c r="I60" s="7" t="inlineStr">
        <is>
          <t>Dallas</t>
        </is>
      </c>
      <c r="J60" s="7" t="inlineStr">
        <is>
          <t>Available</t>
        </is>
      </c>
      <c r="K60" s="7" t="inlineStr">
        <is>
          <t>bought on PO-2023-0010; FAR FA-000056. Status Available at Dallas after TR-00056 (APR-00056) on the movement log.</t>
        </is>
      </c>
      <c r="L60" s="7" t="inlineStr">
        <is>
          <t>2026-03-10</t>
        </is>
      </c>
      <c r="M60" s="7" t="n">
        <v>6200</v>
      </c>
      <c r="N60" s="7">
        <f>IFERROR(XLOOKUP(A60,'Source Ledger'!$B$5:$B$133,'Source Ledger'!$G$5:$G$133),"")</f>
        <v>1345.24</v>
      </c>
      <c r="O60" s="7">
        <f>IFERROR(XLOOKUP(A60,'Source Ledger'!$B$5:$B$133,'Source Ledger'!$A$5:$A$133),"")</f>
        <v/>
      </c>
      <c r="P60" s="7" t="inlineStr">
        <is>
          <t>Yes</t>
        </is>
      </c>
      <c r="Q60" s="9" t="inlineStr">
        <is>
          <t>High</t>
        </is>
      </c>
      <c r="R60" s="7" t="inlineStr">
        <is>
          <t>EX-0037</t>
        </is>
      </c>
      <c r="S60" s="7" t="inlineStr">
        <is>
          <t>No</t>
        </is>
      </c>
      <c r="T60" t="n">
        <v>6200</v>
      </c>
      <c r="U60" t="inlineStr">
        <is>
          <t>Active</t>
        </is>
      </c>
      <c r="V60" t="n">
        <v>1345.24</v>
      </c>
      <c r="W60" t="n">
        <v>0</v>
      </c>
      <c r="X60" t="inlineStr">
        <is>
          <t>Yes</t>
        </is>
      </c>
    </row>
    <row r="61">
      <c r="A61" s="7" t="inlineStr">
        <is>
          <t>MD-00057</t>
        </is>
      </c>
      <c r="B61" s="7" t="inlineStr">
        <is>
          <t>MD-LA-050057</t>
        </is>
      </c>
      <c r="C61" s="7" t="inlineStr">
        <is>
          <t>Laptop</t>
        </is>
      </c>
      <c r="D61" s="7" t="inlineStr">
        <is>
          <t>Dell Latitude 7440</t>
        </is>
      </c>
      <c r="E61" s="7" t="inlineStr"/>
      <c r="F61" s="7" t="inlineStr">
        <is>
          <t>Denver - Closed</t>
        </is>
      </c>
      <c r="G61" s="7" t="inlineStr">
        <is>
          <t>Available</t>
        </is>
      </c>
      <c r="H61" s="7" t="inlineStr">
        <is>
          <t>IT Stock</t>
        </is>
      </c>
      <c r="I61" s="7" t="inlineStr">
        <is>
          <t>Denver</t>
        </is>
      </c>
      <c r="J61" s="7" t="inlineStr">
        <is>
          <t>Available</t>
        </is>
      </c>
      <c r="K61" s="7" t="inlineStr">
        <is>
          <t>Shelf/stock: MD-00057. assignment sits on TR-00057 (APR-00057). bought on PO-2023-0010; FAR FA-000057.</t>
        </is>
      </c>
      <c r="L61" s="7" t="inlineStr">
        <is>
          <t>2026-04-11</t>
        </is>
      </c>
      <c r="M61" s="7" t="n">
        <v>1895</v>
      </c>
      <c r="N61" s="7">
        <f>IFERROR(XLOOKUP(A61,'Source Ledger'!$B$5:$B$133,'Source Ledger'!$G$5:$G$133),"")</f>
        <v>106.79</v>
      </c>
      <c r="O61" s="7">
        <f>IFERROR(XLOOKUP(A61,'Source Ledger'!$B$5:$B$133,'Source Ledger'!$A$5:$A$133),"")</f>
        <v/>
      </c>
      <c r="P61" s="7" t="inlineStr">
        <is>
          <t>No</t>
        </is>
      </c>
      <c r="Q61" s="9" t="inlineStr">
        <is>
          <t>High</t>
        </is>
      </c>
      <c r="R61" s="7" t="inlineStr">
        <is>
          <t>EX-0038</t>
        </is>
      </c>
      <c r="S61" s="7" t="inlineStr">
        <is>
          <t>No</t>
        </is>
      </c>
      <c r="T61" t="n">
        <v>1895</v>
      </c>
      <c r="U61" t="inlineStr">
        <is>
          <t>Active</t>
        </is>
      </c>
      <c r="V61" t="n">
        <v>106.79</v>
      </c>
      <c r="W61" t="n">
        <v>0</v>
      </c>
      <c r="X61" t="inlineStr">
        <is>
          <t>Yes</t>
        </is>
      </c>
    </row>
    <row r="62">
      <c r="A62" s="7" t="inlineStr">
        <is>
          <t>MD-00058</t>
        </is>
      </c>
      <c r="B62" s="7" t="inlineStr">
        <is>
          <t>MD-MO-050058</t>
        </is>
      </c>
      <c r="C62" s="7" t="inlineStr">
        <is>
          <t>Monitor</t>
        </is>
      </c>
      <c r="D62" s="7" t="inlineStr">
        <is>
          <t>Dell U2723QE</t>
        </is>
      </c>
      <c r="E62" s="7" t="inlineStr">
        <is>
          <t>E0071</t>
        </is>
      </c>
      <c r="F62" s="7" t="inlineStr">
        <is>
          <t>Chicago - Closed</t>
        </is>
      </c>
      <c r="G62" s="7" t="inlineStr">
        <is>
          <t>Assigned</t>
        </is>
      </c>
      <c r="H62" s="7" t="inlineStr">
        <is>
          <t>Regional IT</t>
        </is>
      </c>
      <c r="I62" s="7" t="inlineStr">
        <is>
          <t>New York</t>
        </is>
      </c>
      <c r="J62" s="7" t="inlineStr">
        <is>
          <t>Pending Redeployment</t>
        </is>
      </c>
      <c r="K62" s="7" t="inlineStr">
        <is>
          <t>Regional IT holding MD-00058 after term. TR-00058 (approval blank) on the movement log. bought on PO-2023-0010; FAR FA-000058; ticket OFF-00058</t>
        </is>
      </c>
      <c r="L62" s="7" t="inlineStr">
        <is>
          <t>2026-08-05</t>
        </is>
      </c>
      <c r="M62" s="7" t="n">
        <v>610</v>
      </c>
      <c r="N62" s="7">
        <f>IFERROR(XLOOKUP(A62,'Source Ledger'!$B$5:$B$133,'Source Ledger'!$G$5:$G$133),"")</f>
        <v>397.56</v>
      </c>
      <c r="O62" s="7">
        <f>IFERROR(XLOOKUP(A62,'Source Ledger'!$B$5:$B$133,'Source Ledger'!$A$5:$A$133),"")</f>
        <v/>
      </c>
      <c r="P62" s="7" t="inlineStr">
        <is>
          <t>No</t>
        </is>
      </c>
      <c r="Q62" s="7" t="inlineStr">
        <is>
          <t>Medium</t>
        </is>
      </c>
      <c r="R62" s="7" t="inlineStr">
        <is>
          <t>EX-0039, EX-0040, EX-0041</t>
        </is>
      </c>
      <c r="S62" s="7" t="inlineStr">
        <is>
          <t>No</t>
        </is>
      </c>
      <c r="T62" t="n">
        <v>610</v>
      </c>
      <c r="U62" t="inlineStr">
        <is>
          <t>Active</t>
        </is>
      </c>
      <c r="V62" t="n">
        <v>397.56</v>
      </c>
      <c r="W62" t="n">
        <v>0</v>
      </c>
      <c r="X62" t="inlineStr">
        <is>
          <t>Yes</t>
        </is>
      </c>
    </row>
    <row r="63">
      <c r="A63" s="7" t="inlineStr">
        <is>
          <t>MD-00059</t>
        </is>
      </c>
      <c r="B63" s="7" t="inlineStr">
        <is>
          <t>MD-MO-050059</t>
        </is>
      </c>
      <c r="C63" s="7" t="inlineStr">
        <is>
          <t>Mobile Device</t>
        </is>
      </c>
      <c r="D63" s="7" t="inlineStr">
        <is>
          <t>Samsung Galaxy S24</t>
        </is>
      </c>
      <c r="E63" s="7" t="inlineStr">
        <is>
          <t>E0072</t>
        </is>
      </c>
      <c r="F63" s="7" t="inlineStr">
        <is>
          <t>Denver - Closed</t>
        </is>
      </c>
      <c r="G63" s="7" t="inlineStr">
        <is>
          <t>Assigned</t>
        </is>
      </c>
      <c r="H63" s="7" t="inlineStr">
        <is>
          <t>Regional IT</t>
        </is>
      </c>
      <c r="I63" s="7" t="inlineStr">
        <is>
          <t>Seattle</t>
        </is>
      </c>
      <c r="J63" s="7" t="inlineStr">
        <is>
          <t>Pending Redeployment</t>
        </is>
      </c>
      <c r="K63" s="7" t="inlineStr">
        <is>
          <t>Don't send this back to a person yet. MD-00059. assignment sits on TR-00059 (approval blank). OFF-00059. bought on PO-2023-0010; FAR FA-000059. Also ticket OFF-00059</t>
        </is>
      </c>
      <c r="L63" s="7" t="inlineStr">
        <is>
          <t>2026-08-05</t>
        </is>
      </c>
      <c r="M63" s="7" t="n">
        <v>1085</v>
      </c>
      <c r="N63" s="7">
        <f>IFERROR(XLOOKUP(A63,'Source Ledger'!$B$5:$B$133,'Source Ledger'!$G$5:$G$133),"")</f>
        <v>847.35</v>
      </c>
      <c r="O63" s="7">
        <f>IFERROR(XLOOKUP(A63,'Source Ledger'!$B$5:$B$133,'Source Ledger'!$A$5:$A$133),"")</f>
        <v/>
      </c>
      <c r="P63" s="7" t="inlineStr">
        <is>
          <t>No</t>
        </is>
      </c>
      <c r="Q63" s="7" t="inlineStr">
        <is>
          <t>Medium</t>
        </is>
      </c>
      <c r="R63" s="7" t="inlineStr">
        <is>
          <t>EX-0042, EX-0043, EX-0044</t>
        </is>
      </c>
      <c r="S63" s="7" t="inlineStr">
        <is>
          <t>No</t>
        </is>
      </c>
      <c r="T63" t="n">
        <v>1085</v>
      </c>
      <c r="U63" t="inlineStr">
        <is>
          <t>Active</t>
        </is>
      </c>
      <c r="V63" t="n">
        <v>847.35</v>
      </c>
      <c r="W63" t="n">
        <v>0</v>
      </c>
      <c r="X63" t="inlineStr">
        <is>
          <t>Yes</t>
        </is>
      </c>
    </row>
    <row r="64">
      <c r="A64" s="7" t="inlineStr">
        <is>
          <t>MD-00060</t>
        </is>
      </c>
      <c r="B64" s="7" t="inlineStr">
        <is>
          <t>MD-NE-050060</t>
        </is>
      </c>
      <c r="C64" s="7" t="inlineStr">
        <is>
          <t>Network Asset</t>
        </is>
      </c>
      <c r="D64" s="7" t="inlineStr">
        <is>
          <t>Cisco C9300</t>
        </is>
      </c>
      <c r="E64" s="7" t="inlineStr">
        <is>
          <t>E0073</t>
        </is>
      </c>
      <c r="F64" s="7" t="inlineStr">
        <is>
          <t>Chicago - Closed</t>
        </is>
      </c>
      <c r="G64" s="7" t="inlineStr">
        <is>
          <t>Assigned</t>
        </is>
      </c>
      <c r="H64" s="7" t="inlineStr">
        <is>
          <t>Regional IT</t>
        </is>
      </c>
      <c r="I64" s="7" t="inlineStr">
        <is>
          <t>Atlanta</t>
        </is>
      </c>
      <c r="J64" s="7" t="inlineStr">
        <is>
          <t>Pending Redeployment</t>
        </is>
      </c>
      <c r="K64" s="7" t="inlineStr">
        <is>
          <t>MD-00060 came off a leaver (Regional IT). Sitting with Regional IT in Atlanta. TR-00060 (APR-00060) on the movement log. OFF-00060. bought on PO-2023-0010; FAR FA-000060. Note: ticket OFF-00060</t>
        </is>
      </c>
      <c r="L64" s="7" t="inlineStr">
        <is>
          <t>2026-08-05</t>
        </is>
      </c>
      <c r="M64" s="7" t="n">
        <v>6380</v>
      </c>
      <c r="N64" s="7">
        <f>IFERROR(XLOOKUP(A64,'Source Ledger'!$B$5:$B$133,'Source Ledger'!$G$5:$G$133),"")</f>
        <v>549.35</v>
      </c>
      <c r="O64" s="7">
        <f>IFERROR(XLOOKUP(A64,'Source Ledger'!$B$5:$B$133,'Source Ledger'!$A$5:$A$133),"")</f>
        <v/>
      </c>
      <c r="P64" s="7" t="inlineStr">
        <is>
          <t>Yes</t>
        </is>
      </c>
      <c r="Q64" s="9" t="inlineStr">
        <is>
          <t>High</t>
        </is>
      </c>
      <c r="R64" s="7" t="inlineStr">
        <is>
          <t>EX-0045, EX-0046</t>
        </is>
      </c>
      <c r="S64" s="7" t="inlineStr">
        <is>
          <t>No</t>
        </is>
      </c>
      <c r="T64" t="n">
        <v>6380</v>
      </c>
      <c r="U64" t="inlineStr">
        <is>
          <t>Active</t>
        </is>
      </c>
      <c r="V64" t="n">
        <v>549.35</v>
      </c>
      <c r="W64" t="n">
        <v>0</v>
      </c>
      <c r="X64" t="inlineStr">
        <is>
          <t>Yes</t>
        </is>
      </c>
    </row>
    <row r="65">
      <c r="A65" s="7" t="inlineStr">
        <is>
          <t>MD-00061</t>
        </is>
      </c>
      <c r="B65" s="7" t="inlineStr">
        <is>
          <t>MD-LA-050061</t>
        </is>
      </c>
      <c r="C65" s="7" t="inlineStr">
        <is>
          <t>Laptop</t>
        </is>
      </c>
      <c r="D65" s="7" t="inlineStr">
        <is>
          <t>Lenovo ThinkPad T14</t>
        </is>
      </c>
      <c r="E65" s="7" t="inlineStr">
        <is>
          <t>E0074</t>
        </is>
      </c>
      <c r="F65" s="7" t="inlineStr">
        <is>
          <t>Denver - Closed</t>
        </is>
      </c>
      <c r="G65" s="7" t="inlineStr">
        <is>
          <t>Assigned</t>
        </is>
      </c>
      <c r="H65" s="7" t="inlineStr">
        <is>
          <t>Regional IT</t>
        </is>
      </c>
      <c r="I65" s="7" t="inlineStr">
        <is>
          <t>Chicago</t>
        </is>
      </c>
      <c r="J65" s="7" t="inlineStr">
        <is>
          <t>Pending Redeployment</t>
        </is>
      </c>
      <c r="K65" s="7" t="inlineStr">
        <is>
          <t>Pending redeploy, not In Use. assignment sits on TR-00061 (APR-00061). bought on PO-2024-0011; FAR FA-000061. OFF-00061. ticket OFF-00061</t>
        </is>
      </c>
      <c r="L65" s="7" t="inlineStr">
        <is>
          <t>2026-08-05</t>
        </is>
      </c>
      <c r="M65" s="7" t="n">
        <v>2075</v>
      </c>
      <c r="N65" s="7">
        <f>IFERROR(XLOOKUP(A65,'Source Ledger'!$B$5:$B$133,'Source Ledger'!$G$5:$G$133),"")</f>
        <v>0</v>
      </c>
      <c r="O65" s="7">
        <f>IFERROR(XLOOKUP(A65,'Source Ledger'!$B$5:$B$133,'Source Ledger'!$A$5:$A$133),"")</f>
        <v/>
      </c>
      <c r="P65" s="7" t="inlineStr">
        <is>
          <t>No</t>
        </is>
      </c>
      <c r="Q65" s="9" t="inlineStr">
        <is>
          <t>High</t>
        </is>
      </c>
      <c r="R65" s="7" t="inlineStr">
        <is>
          <t>EX-0047, EX-0048</t>
        </is>
      </c>
      <c r="S65" s="7" t="inlineStr">
        <is>
          <t>No</t>
        </is>
      </c>
      <c r="T65" t="n">
        <v>2075</v>
      </c>
      <c r="U65" t="inlineStr">
        <is>
          <t>Active</t>
        </is>
      </c>
      <c r="V65" t="n">
        <v>0</v>
      </c>
      <c r="W65" t="n">
        <v>0</v>
      </c>
      <c r="X65" t="inlineStr">
        <is>
          <t>Yes</t>
        </is>
      </c>
    </row>
    <row r="66">
      <c r="A66" s="7" t="inlineStr">
        <is>
          <t>MD-00062</t>
        </is>
      </c>
      <c r="B66" s="7" t="inlineStr">
        <is>
          <t>MD-MO-050062</t>
        </is>
      </c>
      <c r="C66" s="7" t="inlineStr">
        <is>
          <t>Monitor</t>
        </is>
      </c>
      <c r="D66" s="7" t="inlineStr">
        <is>
          <t>Dell U2723QE</t>
        </is>
      </c>
      <c r="E66" s="7" t="inlineStr">
        <is>
          <t>E0075</t>
        </is>
      </c>
      <c r="F66" s="7" t="inlineStr">
        <is>
          <t>Chicago - Closed</t>
        </is>
      </c>
      <c r="G66" s="7" t="inlineStr">
        <is>
          <t>Assigned</t>
        </is>
      </c>
      <c r="H66" s="7" t="inlineStr">
        <is>
          <t>Regional IT</t>
        </is>
      </c>
      <c r="I66" s="7" t="inlineStr">
        <is>
          <t>Dallas</t>
        </is>
      </c>
      <c r="J66" s="7" t="inlineStr">
        <is>
          <t>Pending Redeployment</t>
        </is>
      </c>
      <c r="K66" s="7" t="inlineStr">
        <is>
          <t>Regional IT holding MD-00062 after term. TR-00062 (APR-00062) on the movement log. bought on PO-2024-0011; FAR FA-000062 — ticket OFF-00062</t>
        </is>
      </c>
      <c r="L66" s="7" t="inlineStr">
        <is>
          <t>2026-08-05</t>
        </is>
      </c>
      <c r="M66" s="7" t="n">
        <v>790</v>
      </c>
      <c r="N66" s="7">
        <f>IFERROR(XLOOKUP(A66,'Source Ledger'!$B$5:$B$133,'Source Ledger'!$G$5:$G$133),"")</f>
        <v>410.63</v>
      </c>
      <c r="O66" s="7">
        <f>IFERROR(XLOOKUP(A66,'Source Ledger'!$B$5:$B$133,'Source Ledger'!$A$5:$A$133),"")</f>
        <v/>
      </c>
      <c r="P66" s="7" t="inlineStr">
        <is>
          <t>No</t>
        </is>
      </c>
      <c r="Q66" s="9" t="inlineStr">
        <is>
          <t>High</t>
        </is>
      </c>
      <c r="R66" s="7" t="inlineStr">
        <is>
          <t>EX-0049, EX-0050</t>
        </is>
      </c>
      <c r="S66" s="7" t="inlineStr">
        <is>
          <t>No</t>
        </is>
      </c>
      <c r="T66" t="n">
        <v>790</v>
      </c>
      <c r="U66" t="inlineStr">
        <is>
          <t>Active</t>
        </is>
      </c>
      <c r="V66" t="n">
        <v>410.63</v>
      </c>
      <c r="W66" t="n">
        <v>0</v>
      </c>
      <c r="X66" t="inlineStr">
        <is>
          <t>Yes</t>
        </is>
      </c>
    </row>
    <row r="67">
      <c r="A67" s="7" t="inlineStr">
        <is>
          <t>MD-00063</t>
        </is>
      </c>
      <c r="B67" s="7" t="inlineStr">
        <is>
          <t>MD-MO-050063</t>
        </is>
      </c>
      <c r="C67" s="7" t="inlineStr">
        <is>
          <t>Mobile Device</t>
        </is>
      </c>
      <c r="D67" s="7" t="inlineStr">
        <is>
          <t>Samsung Galaxy S24</t>
        </is>
      </c>
      <c r="E67" s="7" t="inlineStr">
        <is>
          <t>E0076</t>
        </is>
      </c>
      <c r="F67" s="7" t="inlineStr">
        <is>
          <t>Denver - Closed</t>
        </is>
      </c>
      <c r="G67" s="7" t="inlineStr">
        <is>
          <t>Assigned</t>
        </is>
      </c>
      <c r="H67" s="7" t="inlineStr">
        <is>
          <t>Regional IT</t>
        </is>
      </c>
      <c r="I67" s="7" t="inlineStr">
        <is>
          <t>Denver</t>
        </is>
      </c>
      <c r="J67" s="7" t="inlineStr">
        <is>
          <t>Pending Redeployment</t>
        </is>
      </c>
      <c r="K67" s="7" t="inlineStr">
        <is>
          <t>Don't send this back to a person yet. MD-00063. assignment sits on TR-00063 (APR-00063). OFF-00063. bought on PO-2024-0011; FAR FA-000063; ticket OFF-00063</t>
        </is>
      </c>
      <c r="L67" s="7" t="inlineStr">
        <is>
          <t>2026-08-05</t>
        </is>
      </c>
      <c r="M67" s="7" t="n">
        <v>950</v>
      </c>
      <c r="N67" s="7">
        <f>IFERROR(XLOOKUP(A67,'Source Ledger'!$B$5:$B$133,'Source Ledger'!$G$5:$G$133),"")</f>
        <v>533.85</v>
      </c>
      <c r="O67" s="7">
        <f>IFERROR(XLOOKUP(A67,'Source Ledger'!$B$5:$B$133,'Source Ledger'!$A$5:$A$133),"")</f>
        <v/>
      </c>
      <c r="P67" s="7" t="inlineStr">
        <is>
          <t>No</t>
        </is>
      </c>
      <c r="Q67" s="9" t="inlineStr">
        <is>
          <t>High</t>
        </is>
      </c>
      <c r="R67" s="7" t="inlineStr">
        <is>
          <t>EX-0051, EX-0052</t>
        </is>
      </c>
      <c r="S67" s="7" t="inlineStr">
        <is>
          <t>No</t>
        </is>
      </c>
      <c r="T67" t="n">
        <v>950</v>
      </c>
      <c r="U67" t="inlineStr">
        <is>
          <t>Active</t>
        </is>
      </c>
      <c r="V67" t="n">
        <v>533.85</v>
      </c>
      <c r="W67" t="n">
        <v>0</v>
      </c>
      <c r="X67" t="inlineStr">
        <is>
          <t>Yes</t>
        </is>
      </c>
    </row>
    <row r="68">
      <c r="A68" s="7" t="inlineStr">
        <is>
          <t>MD-00064</t>
        </is>
      </c>
      <c r="B68" s="7" t="inlineStr">
        <is>
          <t>MD-NE-050064</t>
        </is>
      </c>
      <c r="C68" s="7" t="inlineStr">
        <is>
          <t>Network Asset</t>
        </is>
      </c>
      <c r="D68" s="7" t="inlineStr">
        <is>
          <t>Cisco C9300</t>
        </is>
      </c>
      <c r="E68" s="7" t="inlineStr">
        <is>
          <t>E0077</t>
        </is>
      </c>
      <c r="F68" s="7" t="inlineStr">
        <is>
          <t>Chicago - Closed</t>
        </is>
      </c>
      <c r="G68" s="7" t="inlineStr">
        <is>
          <t>Assigned</t>
        </is>
      </c>
      <c r="H68" s="7" t="inlineStr">
        <is>
          <t>Regional IT</t>
        </is>
      </c>
      <c r="I68" s="7" t="inlineStr">
        <is>
          <t>New York</t>
        </is>
      </c>
      <c r="J68" s="7" t="inlineStr">
        <is>
          <t>Pending Redeployment</t>
        </is>
      </c>
      <c r="K68" s="7" t="inlineStr">
        <is>
          <t>MD-00064 came off a leaver (Regional IT). Sitting with Regional IT in New York. TR-00064 (approval blank) on the movement log. OFF-00064. bought on PO-2024-0011; FAR FA-000064. Also ticket OFF-00064</t>
        </is>
      </c>
      <c r="L68" s="7" t="inlineStr">
        <is>
          <t>2026-08-05</t>
        </is>
      </c>
      <c r="M68" s="7" t="n">
        <v>6245</v>
      </c>
      <c r="N68" s="7">
        <f>IFERROR(XLOOKUP(A68,'Source Ledger'!$B$5:$B$133,'Source Ledger'!$G$5:$G$133),"")</f>
        <v>961.76</v>
      </c>
      <c r="O68" s="7">
        <f>IFERROR(XLOOKUP(A68,'Source Ledger'!$B$5:$B$133,'Source Ledger'!$A$5:$A$133),"")</f>
        <v/>
      </c>
      <c r="P68" s="7" t="inlineStr">
        <is>
          <t>Yes</t>
        </is>
      </c>
      <c r="Q68" s="7" t="inlineStr">
        <is>
          <t>Medium</t>
        </is>
      </c>
      <c r="R68" s="7" t="inlineStr">
        <is>
          <t>EX-0053, EX-0054, EX-0055</t>
        </is>
      </c>
      <c r="S68" s="7" t="inlineStr">
        <is>
          <t>No</t>
        </is>
      </c>
      <c r="T68" t="n">
        <v>6245</v>
      </c>
      <c r="U68" t="inlineStr">
        <is>
          <t>Active</t>
        </is>
      </c>
      <c r="V68" t="n">
        <v>961.76</v>
      </c>
      <c r="W68" t="n">
        <v>0</v>
      </c>
      <c r="X68" t="inlineStr">
        <is>
          <t>Yes</t>
        </is>
      </c>
    </row>
    <row r="69">
      <c r="A69" s="7" t="inlineStr">
        <is>
          <t>MD-00065</t>
        </is>
      </c>
      <c r="B69" s="7" t="inlineStr">
        <is>
          <t>MD-LA-050065</t>
        </is>
      </c>
      <c r="C69" s="7" t="inlineStr">
        <is>
          <t>Laptop</t>
        </is>
      </c>
      <c r="D69" s="7" t="inlineStr">
        <is>
          <t>MacBook Pro 14</t>
        </is>
      </c>
      <c r="E69" s="7" t="inlineStr">
        <is>
          <t>E0078</t>
        </is>
      </c>
      <c r="F69" s="7" t="inlineStr">
        <is>
          <t>Denver - Closed</t>
        </is>
      </c>
      <c r="G69" s="7" t="inlineStr">
        <is>
          <t>Assigned</t>
        </is>
      </c>
      <c r="H69" s="7" t="inlineStr">
        <is>
          <t>Regional IT</t>
        </is>
      </c>
      <c r="I69" s="7" t="inlineStr">
        <is>
          <t>Seattle</t>
        </is>
      </c>
      <c r="J69" s="7" t="inlineStr">
        <is>
          <t>Pending Redeployment</t>
        </is>
      </c>
      <c r="K69" s="7" t="inlineStr">
        <is>
          <t>Pending redeploy, not In Use. assignment sits on TR-00065 (approval blank). bought on PO-2024-0011; FAR FA-000065. OFF-00065. Note: ticket OFF-00065</t>
        </is>
      </c>
      <c r="L69" s="7" t="inlineStr">
        <is>
          <t>2026-08-05</t>
        </is>
      </c>
      <c r="M69" s="7" t="n">
        <v>1940</v>
      </c>
      <c r="N69" s="7">
        <f>IFERROR(XLOOKUP(A69,'Source Ledger'!$B$5:$B$133,'Source Ledger'!$G$5:$G$133),"")</f>
        <v>0</v>
      </c>
      <c r="O69" s="7">
        <f>IFERROR(XLOOKUP(A69,'Source Ledger'!$B$5:$B$133,'Source Ledger'!$A$5:$A$133),"")</f>
        <v/>
      </c>
      <c r="P69" s="7" t="inlineStr">
        <is>
          <t>No</t>
        </is>
      </c>
      <c r="Q69" s="7" t="inlineStr">
        <is>
          <t>Medium</t>
        </is>
      </c>
      <c r="R69" s="7" t="inlineStr">
        <is>
          <t>EX-0056, EX-0057, EX-0058</t>
        </is>
      </c>
      <c r="S69" s="7" t="inlineStr">
        <is>
          <t>No</t>
        </is>
      </c>
      <c r="T69" t="n">
        <v>1940</v>
      </c>
      <c r="U69" t="inlineStr">
        <is>
          <t>Active</t>
        </is>
      </c>
      <c r="V69" t="n">
        <v>0</v>
      </c>
      <c r="W69" t="n">
        <v>0</v>
      </c>
      <c r="X69" t="inlineStr">
        <is>
          <t>Yes</t>
        </is>
      </c>
    </row>
    <row r="70">
      <c r="A70" s="7" t="inlineStr">
        <is>
          <t>MD-00066</t>
        </is>
      </c>
      <c r="B70" s="7" t="inlineStr">
        <is>
          <t>MD-MO-050066</t>
        </is>
      </c>
      <c r="C70" s="7" t="inlineStr">
        <is>
          <t>Monitor</t>
        </is>
      </c>
      <c r="D70" s="7" t="inlineStr">
        <is>
          <t>Dell U2723QE</t>
        </is>
      </c>
      <c r="E70" s="7" t="inlineStr">
        <is>
          <t>E0079</t>
        </is>
      </c>
      <c r="F70" s="7" t="inlineStr">
        <is>
          <t>Chicago - Closed</t>
        </is>
      </c>
      <c r="G70" s="7" t="inlineStr">
        <is>
          <t>Assigned</t>
        </is>
      </c>
      <c r="H70" s="7" t="inlineStr">
        <is>
          <t>Regional IT</t>
        </is>
      </c>
      <c r="I70" s="7" t="inlineStr">
        <is>
          <t>Atlanta</t>
        </is>
      </c>
      <c r="J70" s="7" t="inlineStr">
        <is>
          <t>Pending Redeployment</t>
        </is>
      </c>
      <c r="K70" s="7" t="inlineStr">
        <is>
          <t>Regional IT holding MD-00066 after term. TR-00066 (APR-00066) on the movement log. bought on PO-2024-0011; FAR FA-000066. ticket OFF-00066</t>
        </is>
      </c>
      <c r="L70" s="7" t="inlineStr">
        <is>
          <t>2026-08-05</t>
        </is>
      </c>
      <c r="M70" s="7" t="n">
        <v>655</v>
      </c>
      <c r="N70" s="7">
        <f>IFERROR(XLOOKUP(A70,'Source Ledger'!$B$5:$B$133,'Source Ledger'!$G$5:$G$133),"")</f>
        <v>385.65</v>
      </c>
      <c r="O70" s="7">
        <f>IFERROR(XLOOKUP(A70,'Source Ledger'!$B$5:$B$133,'Source Ledger'!$A$5:$A$133),"")</f>
        <v/>
      </c>
      <c r="P70" s="7" t="inlineStr">
        <is>
          <t>No</t>
        </is>
      </c>
      <c r="Q70" s="9" t="inlineStr">
        <is>
          <t>High</t>
        </is>
      </c>
      <c r="R70" s="7" t="inlineStr">
        <is>
          <t>EX-0059, EX-0060</t>
        </is>
      </c>
      <c r="S70" s="7" t="inlineStr">
        <is>
          <t>No</t>
        </is>
      </c>
      <c r="T70" t="n">
        <v>655</v>
      </c>
      <c r="U70" t="inlineStr">
        <is>
          <t>Active</t>
        </is>
      </c>
      <c r="V70" t="n">
        <v>385.65</v>
      </c>
      <c r="W70" t="n">
        <v>0</v>
      </c>
      <c r="X70" t="inlineStr">
        <is>
          <t>Yes</t>
        </is>
      </c>
    </row>
    <row r="71">
      <c r="A71" s="7" t="inlineStr">
        <is>
          <t>MD-00067</t>
        </is>
      </c>
      <c r="B71" s="7" t="inlineStr">
        <is>
          <t>MD-MO-050067</t>
        </is>
      </c>
      <c r="C71" s="7" t="inlineStr">
        <is>
          <t>Mobile Device</t>
        </is>
      </c>
      <c r="D71" s="7" t="inlineStr">
        <is>
          <t>Samsung Galaxy S24</t>
        </is>
      </c>
      <c r="E71" s="7" t="inlineStr">
        <is>
          <t>E0080</t>
        </is>
      </c>
      <c r="F71" s="7" t="inlineStr">
        <is>
          <t>Denver - Closed</t>
        </is>
      </c>
      <c r="G71" s="7" t="inlineStr">
        <is>
          <t>Assigned</t>
        </is>
      </c>
      <c r="H71" s="7" t="inlineStr">
        <is>
          <t>Regional IT</t>
        </is>
      </c>
      <c r="I71" s="7" t="inlineStr">
        <is>
          <t>Chicago</t>
        </is>
      </c>
      <c r="J71" s="7" t="inlineStr">
        <is>
          <t>Pending Redeployment</t>
        </is>
      </c>
      <c r="K71" s="7" t="inlineStr">
        <is>
          <t>Don't send this back to a person yet. MD-00067. assignment sits on TR-00067 (APR-00067). OFF-00067. bought on PO-2025-0012; FAR FA-000067 — ticket OFF-00067</t>
        </is>
      </c>
      <c r="L71" s="7" t="inlineStr">
        <is>
          <t>2026-08-05</t>
        </is>
      </c>
      <c r="M71" s="7" t="n">
        <v>1130</v>
      </c>
      <c r="N71" s="7">
        <f>IFERROR(XLOOKUP(A71,'Source Ledger'!$B$5:$B$133,'Source Ledger'!$G$5:$G$133),"")</f>
        <v>764.93</v>
      </c>
      <c r="O71" s="7">
        <f>IFERROR(XLOOKUP(A71,'Source Ledger'!$B$5:$B$133,'Source Ledger'!$A$5:$A$133),"")</f>
        <v/>
      </c>
      <c r="P71" s="7" t="inlineStr">
        <is>
          <t>No</t>
        </is>
      </c>
      <c r="Q71" s="9" t="inlineStr">
        <is>
          <t>High</t>
        </is>
      </c>
      <c r="R71" s="7" t="inlineStr">
        <is>
          <t>EX-0061, EX-0062</t>
        </is>
      </c>
      <c r="S71" s="7" t="inlineStr">
        <is>
          <t>No</t>
        </is>
      </c>
      <c r="T71" t="n">
        <v>1130</v>
      </c>
      <c r="U71" t="inlineStr">
        <is>
          <t>Active</t>
        </is>
      </c>
      <c r="V71" t="n">
        <v>764.93</v>
      </c>
      <c r="W71" t="n">
        <v>0</v>
      </c>
      <c r="X71" t="inlineStr">
        <is>
          <t>Yes</t>
        </is>
      </c>
    </row>
    <row r="72">
      <c r="A72" s="7" t="inlineStr">
        <is>
          <t>MD-00068</t>
        </is>
      </c>
      <c r="B72" s="7" t="inlineStr">
        <is>
          <t>MD-NE-050068</t>
        </is>
      </c>
      <c r="C72" s="7" t="inlineStr">
        <is>
          <t>Network Asset</t>
        </is>
      </c>
      <c r="D72" s="7" t="inlineStr">
        <is>
          <t>Cisco C9300</t>
        </is>
      </c>
      <c r="E72" s="7" t="inlineStr">
        <is>
          <t>E0081</t>
        </is>
      </c>
      <c r="F72" s="7" t="inlineStr">
        <is>
          <t>Chicago - Closed</t>
        </is>
      </c>
      <c r="G72" s="7" t="inlineStr">
        <is>
          <t>Assigned</t>
        </is>
      </c>
      <c r="H72" s="7" t="inlineStr">
        <is>
          <t>E0081</t>
        </is>
      </c>
      <c r="I72" s="7" t="inlineStr">
        <is>
          <t>Remote - Former Employee</t>
        </is>
      </c>
      <c r="J72" s="8" t="inlineStr">
        <is>
          <t>Return Overdue</t>
        </is>
      </c>
      <c r="K72" s="7" t="inlineStr">
        <is>
          <t>OFF-00068 past due. 1ZMD00000068 never accepted. Elliott Park (E0081) is Separated in HR. bought on PO-2025-0012; FAR FA-000068; tracking 1ZMD00000068. Also ticket OFF-00068. Note: return is still label-only. TR-00068 APR-00068.</t>
        </is>
      </c>
      <c r="L72" s="7" t="inlineStr">
        <is>
          <t>2026-06-25</t>
        </is>
      </c>
      <c r="M72" s="7" t="n">
        <v>6425</v>
      </c>
      <c r="N72" s="7">
        <f>IFERROR(XLOOKUP(A72,'Source Ledger'!$B$5:$B$133,'Source Ledger'!$G$5:$G$133),"")</f>
        <v>1436.28</v>
      </c>
      <c r="O72" s="7">
        <f>IFERROR(XLOOKUP(A72,'Source Ledger'!$B$5:$B$133,'Source Ledger'!$A$5:$A$133),"")</f>
        <v/>
      </c>
      <c r="P72" s="7" t="inlineStr">
        <is>
          <t>Yes</t>
        </is>
      </c>
      <c r="Q72" s="7" t="inlineStr">
        <is>
          <t>Low</t>
        </is>
      </c>
      <c r="R72" s="7" t="inlineStr">
        <is>
          <t>EX-0063, EX-0064, EX-0065</t>
        </is>
      </c>
      <c r="S72" s="7" t="inlineStr">
        <is>
          <t>Yes</t>
        </is>
      </c>
      <c r="T72" t="n">
        <v>6480</v>
      </c>
      <c r="U72" t="inlineStr">
        <is>
          <t>Active</t>
        </is>
      </c>
      <c r="V72" t="n">
        <v>1436.28</v>
      </c>
      <c r="W72" t="n">
        <v>55</v>
      </c>
      <c r="X72" t="inlineStr">
        <is>
          <t>Yes</t>
        </is>
      </c>
    </row>
    <row r="73">
      <c r="A73" s="7" t="inlineStr">
        <is>
          <t>MD-00069</t>
        </is>
      </c>
      <c r="B73" s="7" t="inlineStr">
        <is>
          <t>MD-LA-050069</t>
        </is>
      </c>
      <c r="C73" s="7" t="inlineStr">
        <is>
          <t>Laptop</t>
        </is>
      </c>
      <c r="D73" s="7" t="inlineStr">
        <is>
          <t>Dell Latitude 7440</t>
        </is>
      </c>
      <c r="E73" s="7" t="inlineStr">
        <is>
          <t>E0082</t>
        </is>
      </c>
      <c r="F73" s="7" t="inlineStr">
        <is>
          <t>Denver - Closed</t>
        </is>
      </c>
      <c r="G73" s="7" t="inlineStr">
        <is>
          <t>Assigned</t>
        </is>
      </c>
      <c r="H73" s="7" t="inlineStr">
        <is>
          <t>E0082</t>
        </is>
      </c>
      <c r="I73" s="7" t="inlineStr">
        <is>
          <t>Remote - Former Employee</t>
        </is>
      </c>
      <c r="J73" s="8" t="inlineStr">
        <is>
          <t>Return Overdue</t>
        </is>
      </c>
      <c r="K73" s="7" t="inlineStr">
        <is>
          <t>I left MD-00069 Return Overdue. Label isn't SCAN-86. HR file: E0082 Separated — Carmen Diaz. assignment sits on TR-00069 (APR-00069). bought on PO-2025-0012; FAR FA-000069. Also tracking 1ZMD00000069. Note: ticket OFF-00069. return is still label-only</t>
        </is>
      </c>
      <c r="L73" s="7" t="inlineStr">
        <is>
          <t>2026-06-25</t>
        </is>
      </c>
      <c r="M73" s="7" t="n">
        <v>2120</v>
      </c>
      <c r="N73" s="7">
        <f>IFERROR(XLOOKUP(A73,'Source Ledger'!$B$5:$B$133,'Source Ledger'!$G$5:$G$133),"")</f>
        <v>142.69</v>
      </c>
      <c r="O73" s="7">
        <f>IFERROR(XLOOKUP(A73,'Source Ledger'!$B$5:$B$133,'Source Ledger'!$A$5:$A$133),"")</f>
        <v/>
      </c>
      <c r="P73" s="7" t="inlineStr">
        <is>
          <t>No</t>
        </is>
      </c>
      <c r="Q73" s="7" t="inlineStr">
        <is>
          <t>Low</t>
        </is>
      </c>
      <c r="R73" s="7" t="inlineStr">
        <is>
          <t>EX-0066, EX-0067</t>
        </is>
      </c>
      <c r="S73" s="7" t="inlineStr">
        <is>
          <t>Yes</t>
        </is>
      </c>
      <c r="T73" t="n">
        <v>2120</v>
      </c>
      <c r="U73" t="inlineStr">
        <is>
          <t>Active</t>
        </is>
      </c>
      <c r="V73" t="n">
        <v>142.69</v>
      </c>
      <c r="W73" t="n">
        <v>0</v>
      </c>
      <c r="X73" t="inlineStr">
        <is>
          <t>Yes</t>
        </is>
      </c>
    </row>
    <row r="74">
      <c r="A74" s="7" t="inlineStr">
        <is>
          <t>MD-00070</t>
        </is>
      </c>
      <c r="B74" s="7" t="inlineStr">
        <is>
          <t>MD-MO-050070</t>
        </is>
      </c>
      <c r="C74" s="7" t="inlineStr">
        <is>
          <t>Monitor</t>
        </is>
      </c>
      <c r="D74" s="7" t="inlineStr">
        <is>
          <t>Dell U2723QE</t>
        </is>
      </c>
      <c r="E74" s="7" t="inlineStr">
        <is>
          <t>E0083</t>
        </is>
      </c>
      <c r="F74" s="7" t="inlineStr">
        <is>
          <t>Chicago - Closed</t>
        </is>
      </c>
      <c r="G74" s="7" t="inlineStr">
        <is>
          <t>Assigned</t>
        </is>
      </c>
      <c r="H74" s="7" t="inlineStr">
        <is>
          <t>E0083</t>
        </is>
      </c>
      <c r="I74" s="7" t="inlineStr">
        <is>
          <t>Remote - Former Employee</t>
        </is>
      </c>
      <c r="J74" s="8" t="inlineStr">
        <is>
          <t>Return Overdue</t>
        </is>
      </c>
      <c r="K74" s="7" t="inlineStr">
        <is>
          <t>Hugh Talbot (E0083) is Separated. Hardware isn't back. 1ZMD00000070. bought on PO-2025-0012; FAR FA-000070. Note: tracking 1ZMD00000070. ticket OFF-00070 — return is still label-only. TR-00070 APR-00070.</t>
        </is>
      </c>
      <c r="L74" s="7" t="inlineStr">
        <is>
          <t>2026-06-25</t>
        </is>
      </c>
      <c r="M74" s="7" t="n">
        <v>520</v>
      </c>
      <c r="N74" s="7">
        <f>IFERROR(XLOOKUP(A74,'Source Ledger'!$B$5:$B$133,'Source Ledger'!$G$5:$G$133),"")</f>
        <v>342.32</v>
      </c>
      <c r="O74" s="7">
        <f>IFERROR(XLOOKUP(A74,'Source Ledger'!$B$5:$B$133,'Source Ledger'!$A$5:$A$133),"")</f>
        <v/>
      </c>
      <c r="P74" s="7" t="inlineStr">
        <is>
          <t>No</t>
        </is>
      </c>
      <c r="Q74" s="7" t="inlineStr">
        <is>
          <t>Low</t>
        </is>
      </c>
      <c r="R74" s="7" t="inlineStr">
        <is>
          <t>EX-0068, EX-0069</t>
        </is>
      </c>
      <c r="S74" s="7" t="inlineStr">
        <is>
          <t>Yes</t>
        </is>
      </c>
      <c r="T74" t="n">
        <v>520</v>
      </c>
      <c r="U74" t="inlineStr">
        <is>
          <t>Active</t>
        </is>
      </c>
      <c r="V74" t="n">
        <v>342.32</v>
      </c>
      <c r="W74" t="n">
        <v>0</v>
      </c>
      <c r="X74" t="inlineStr">
        <is>
          <t>Yes</t>
        </is>
      </c>
    </row>
    <row r="75">
      <c r="A75" s="7" t="inlineStr">
        <is>
          <t>MD-00071</t>
        </is>
      </c>
      <c r="B75" s="7" t="inlineStr">
        <is>
          <t>MD-MO-050071</t>
        </is>
      </c>
      <c r="C75" s="7" t="inlineStr">
        <is>
          <t>Mobile Device</t>
        </is>
      </c>
      <c r="D75" s="7" t="inlineStr">
        <is>
          <t>Samsung Galaxy S24</t>
        </is>
      </c>
      <c r="E75" s="7" t="inlineStr">
        <is>
          <t>E0084</t>
        </is>
      </c>
      <c r="F75" s="7" t="inlineStr">
        <is>
          <t>Denver - Closed</t>
        </is>
      </c>
      <c r="G75" s="7" t="inlineStr">
        <is>
          <t>Assigned</t>
        </is>
      </c>
      <c r="H75" s="7" t="inlineStr">
        <is>
          <t>E0084</t>
        </is>
      </c>
      <c r="I75" s="7" t="inlineStr">
        <is>
          <t>Remote - Former Employee</t>
        </is>
      </c>
      <c r="J75" s="8" t="inlineStr">
        <is>
          <t>Return Overdue</t>
        </is>
      </c>
      <c r="K75" s="7" t="inlineStr">
        <is>
          <t>Mira Adelman is Separated (E0084). assignment sits on TR-00071 (APR-00071). 1ZMD00000071 still Label Created — not a return. OFF-00071. bought on PO-2025-0012; FAR FA-000071. tracking 1ZMD00000071 — ticket OFF-00071; return is still label-only</t>
        </is>
      </c>
      <c r="L75" s="7" t="inlineStr">
        <is>
          <t>2026-06-25</t>
        </is>
      </c>
      <c r="M75" s="7" t="n">
        <v>995</v>
      </c>
      <c r="N75" s="7">
        <f>IFERROR(XLOOKUP(A75,'Source Ledger'!$B$5:$B$133,'Source Ledger'!$G$5:$G$133),"")</f>
        <v>787.96</v>
      </c>
      <c r="O75" s="7">
        <f>IFERROR(XLOOKUP(A75,'Source Ledger'!$B$5:$B$133,'Source Ledger'!$A$5:$A$133),"")</f>
        <v/>
      </c>
      <c r="P75" s="7" t="inlineStr">
        <is>
          <t>No</t>
        </is>
      </c>
      <c r="Q75" s="7" t="inlineStr">
        <is>
          <t>Low</t>
        </is>
      </c>
      <c r="R75" s="7" t="inlineStr">
        <is>
          <t>EX-0070, EX-0071</t>
        </is>
      </c>
      <c r="S75" s="7" t="inlineStr">
        <is>
          <t>Yes</t>
        </is>
      </c>
      <c r="T75" t="n">
        <v>995</v>
      </c>
      <c r="U75" t="inlineStr">
        <is>
          <t>Active</t>
        </is>
      </c>
      <c r="V75" t="n">
        <v>787.96</v>
      </c>
      <c r="W75" t="n">
        <v>0</v>
      </c>
      <c r="X75" t="inlineStr">
        <is>
          <t>Yes</t>
        </is>
      </c>
    </row>
    <row r="76">
      <c r="A76" s="7" t="inlineStr">
        <is>
          <t>MD-00072</t>
        </is>
      </c>
      <c r="B76" s="7" t="inlineStr">
        <is>
          <t>MD-NE-050072</t>
        </is>
      </c>
      <c r="C76" s="7" t="inlineStr">
        <is>
          <t>Network Asset</t>
        </is>
      </c>
      <c r="D76" s="7" t="inlineStr">
        <is>
          <t>Cisco C9300</t>
        </is>
      </c>
      <c r="E76" s="7" t="inlineStr">
        <is>
          <t>E0085</t>
        </is>
      </c>
      <c r="F76" s="7" t="inlineStr">
        <is>
          <t>Chicago - Closed</t>
        </is>
      </c>
      <c r="G76" s="7" t="inlineStr">
        <is>
          <t>Assigned</t>
        </is>
      </c>
      <c r="H76" s="7" t="inlineStr">
        <is>
          <t>E0085</t>
        </is>
      </c>
      <c r="I76" s="7" t="inlineStr">
        <is>
          <t>Remote - Former Employee</t>
        </is>
      </c>
      <c r="J76" s="8" t="inlineStr">
        <is>
          <t>Return Overdue</t>
        </is>
      </c>
      <c r="K76" s="7" t="inlineStr">
        <is>
          <t>Overdue kit MD-00072. ticket OFF-00072. Custodian check: E0085 / Separated. TR-00072 (APR-00072) on the movement log. bought on PO-2025-0012; FAR FA-000072 — tracking 1ZMD00000072. Also return is still label-only</t>
        </is>
      </c>
      <c r="L76" s="7" t="inlineStr">
        <is>
          <t>2026-06-25</t>
        </is>
      </c>
      <c r="M76" s="7" t="n">
        <v>6290</v>
      </c>
      <c r="N76" s="7">
        <f>IFERROR(XLOOKUP(A76,'Source Ledger'!$B$5:$B$133,'Source Ledger'!$G$5:$G$133),"")</f>
        <v>500.27</v>
      </c>
      <c r="O76" s="7">
        <f>IFERROR(XLOOKUP(A76,'Source Ledger'!$B$5:$B$133,'Source Ledger'!$A$5:$A$133),"")</f>
        <v/>
      </c>
      <c r="P76" s="7" t="inlineStr">
        <is>
          <t>Yes</t>
        </is>
      </c>
      <c r="Q76" s="7" t="inlineStr">
        <is>
          <t>Low</t>
        </is>
      </c>
      <c r="R76" s="7" t="inlineStr">
        <is>
          <t>EX-0072, EX-0073</t>
        </is>
      </c>
      <c r="S76" s="7" t="inlineStr">
        <is>
          <t>Yes</t>
        </is>
      </c>
      <c r="T76" t="n">
        <v>6290</v>
      </c>
      <c r="U76" t="inlineStr">
        <is>
          <t>Active</t>
        </is>
      </c>
      <c r="V76" t="n">
        <v>500.27</v>
      </c>
      <c r="W76" t="n">
        <v>0</v>
      </c>
      <c r="X76" t="inlineStr">
        <is>
          <t>Yes</t>
        </is>
      </c>
    </row>
    <row r="77">
      <c r="A77" s="7" t="inlineStr">
        <is>
          <t>MD-00073</t>
        </is>
      </c>
      <c r="B77" s="7" t="inlineStr">
        <is>
          <t>MD-LA-050073</t>
        </is>
      </c>
      <c r="C77" s="7" t="inlineStr">
        <is>
          <t>Laptop</t>
        </is>
      </c>
      <c r="D77" s="7" t="inlineStr">
        <is>
          <t>Lenovo ThinkPad T14</t>
        </is>
      </c>
      <c r="E77" s="7" t="inlineStr">
        <is>
          <t>E0086</t>
        </is>
      </c>
      <c r="F77" s="7" t="inlineStr">
        <is>
          <t>Denver - Closed</t>
        </is>
      </c>
      <c r="G77" s="7" t="inlineStr">
        <is>
          <t>Assigned</t>
        </is>
      </c>
      <c r="H77" s="7" t="inlineStr">
        <is>
          <t>E0086</t>
        </is>
      </c>
      <c r="I77" s="7" t="inlineStr">
        <is>
          <t>Remote - Former Employee</t>
        </is>
      </c>
      <c r="J77" s="8" t="inlineStr">
        <is>
          <t>Return Overdue</t>
        </is>
      </c>
      <c r="K77" s="7" t="inlineStr">
        <is>
          <t>OFF-00073 past due. 1ZMD00000073 never accepted. hr_employee_status still has E0086 as Separated. bought on PO-2022-0013; FAR FA-000073; tracking 1ZMD00000073. Also ticket OFF-00073. Note: return is still label-only. TR-00073 APR-00073.</t>
        </is>
      </c>
      <c r="L77" s="7" t="inlineStr">
        <is>
          <t>2026-06-25</t>
        </is>
      </c>
      <c r="M77" s="7" t="n">
        <v>1985</v>
      </c>
      <c r="N77" s="7">
        <f>IFERROR(XLOOKUP(A77,'Source Ledger'!$B$5:$B$133,'Source Ledger'!$G$5:$G$133),"")</f>
        <v>0</v>
      </c>
      <c r="O77" s="7">
        <f>IFERROR(XLOOKUP(A77,'Source Ledger'!$B$5:$B$133,'Source Ledger'!$A$5:$A$133),"")</f>
        <v/>
      </c>
      <c r="P77" s="7" t="inlineStr">
        <is>
          <t>No</t>
        </is>
      </c>
      <c r="Q77" s="7" t="inlineStr">
        <is>
          <t>Low</t>
        </is>
      </c>
      <c r="R77" s="7" t="inlineStr">
        <is>
          <t>EX-0074, EX-0075</t>
        </is>
      </c>
      <c r="S77" s="7" t="inlineStr">
        <is>
          <t>Yes</t>
        </is>
      </c>
      <c r="T77" t="n">
        <v>1985</v>
      </c>
      <c r="U77" t="inlineStr">
        <is>
          <t>Active</t>
        </is>
      </c>
      <c r="V77" t="n">
        <v>0</v>
      </c>
      <c r="W77" t="n">
        <v>0</v>
      </c>
      <c r="X77" t="inlineStr">
        <is>
          <t>Yes</t>
        </is>
      </c>
    </row>
    <row r="78">
      <c r="A78" s="7" t="inlineStr">
        <is>
          <t>MD-00074</t>
        </is>
      </c>
      <c r="B78" s="7" t="inlineStr">
        <is>
          <t>MD-MO-050074</t>
        </is>
      </c>
      <c r="C78" s="7" t="inlineStr">
        <is>
          <t>Monitor</t>
        </is>
      </c>
      <c r="D78" s="7" t="inlineStr">
        <is>
          <t>Dell U2723QE</t>
        </is>
      </c>
      <c r="E78" s="7" t="inlineStr">
        <is>
          <t>E0087</t>
        </is>
      </c>
      <c r="F78" s="7" t="inlineStr">
        <is>
          <t>Chicago - Closed</t>
        </is>
      </c>
      <c r="G78" s="7" t="inlineStr">
        <is>
          <t>Assigned</t>
        </is>
      </c>
      <c r="H78" s="7" t="inlineStr">
        <is>
          <t>E0087</t>
        </is>
      </c>
      <c r="I78" s="7" t="inlineStr">
        <is>
          <t>Carrier Network / Unverified</t>
        </is>
      </c>
      <c r="J78" s="8" t="inlineStr">
        <is>
          <t>Return Overdue</t>
        </is>
      </c>
      <c r="K78" s="7" t="inlineStr">
        <is>
          <t>MD-00074 inbound exception. tracking 1ZMD00000074. TR-00074 (APR-00074) on the movement log. bought on PO-2022-0013; FAR FA-000074. Note: ticket OFF-00074. shipment serial MISMATCH-0074 vs MD-MO-050074</t>
        </is>
      </c>
      <c r="L78" s="7" t="inlineStr">
        <is>
          <t>2026-06-25</t>
        </is>
      </c>
      <c r="M78" s="7" t="n">
        <v>700</v>
      </c>
      <c r="N78" s="7">
        <f>IFERROR(XLOOKUP(A78,'Source Ledger'!$B$5:$B$133,'Source Ledger'!$G$5:$G$133),"")</f>
        <v>359.25</v>
      </c>
      <c r="O78" s="7">
        <f>IFERROR(XLOOKUP(A78,'Source Ledger'!$B$5:$B$133,'Source Ledger'!$A$5:$A$133),"")</f>
        <v/>
      </c>
      <c r="P78" s="7" t="inlineStr">
        <is>
          <t>No</t>
        </is>
      </c>
      <c r="Q78" s="7" t="inlineStr">
        <is>
          <t>Low</t>
        </is>
      </c>
      <c r="R78" s="7" t="inlineStr">
        <is>
          <t>EX-0076, EX-0077, EX-0078</t>
        </is>
      </c>
      <c r="S78" s="7" t="inlineStr">
        <is>
          <t>Yes</t>
        </is>
      </c>
      <c r="T78" t="n">
        <v>700</v>
      </c>
      <c r="U78" t="inlineStr">
        <is>
          <t>Active</t>
        </is>
      </c>
      <c r="V78" t="n">
        <v>359.25</v>
      </c>
      <c r="W78" t="n">
        <v>0</v>
      </c>
      <c r="X78" t="inlineStr">
        <is>
          <t>Yes</t>
        </is>
      </c>
    </row>
    <row r="79">
      <c r="A79" s="7" t="inlineStr">
        <is>
          <t>MD-00075</t>
        </is>
      </c>
      <c r="B79" s="7" t="inlineStr">
        <is>
          <t>MD-MO-050075</t>
        </is>
      </c>
      <c r="C79" s="7" t="inlineStr">
        <is>
          <t>Mobile Device</t>
        </is>
      </c>
      <c r="D79" s="7" t="inlineStr">
        <is>
          <t>Samsung Galaxy S24</t>
        </is>
      </c>
      <c r="E79" s="7" t="inlineStr">
        <is>
          <t>E0088</t>
        </is>
      </c>
      <c r="F79" s="7" t="inlineStr">
        <is>
          <t>Denver - Closed</t>
        </is>
      </c>
      <c r="G79" s="7" t="inlineStr">
        <is>
          <t>Assigned</t>
        </is>
      </c>
      <c r="H79" s="7" t="inlineStr">
        <is>
          <t>E0088</t>
        </is>
      </c>
      <c r="I79" s="7" t="inlineStr">
        <is>
          <t>Remote - Former Employee</t>
        </is>
      </c>
      <c r="J79" s="8" t="inlineStr">
        <is>
          <t>Return Overdue</t>
        </is>
      </c>
      <c r="K79" s="7" t="inlineStr">
        <is>
          <t>Ivy Chenoweth (E0088) is Separated. Hardware isn't back. 1ZMD00000075. bought on PO-2022-0013; FAR FA-000075. Note: tracking 1ZMD00000075. ticket OFF-00075 — return is still label-only. TR-00075 APR-00075.</t>
        </is>
      </c>
      <c r="L79" s="7" t="inlineStr">
        <is>
          <t>2026-06-25</t>
        </is>
      </c>
      <c r="M79" s="7" t="n">
        <v>1175</v>
      </c>
      <c r="N79" s="7">
        <f>IFERROR(XLOOKUP(A79,'Source Ledger'!$B$5:$B$133,'Source Ledger'!$G$5:$G$133),"")</f>
        <v>647.42</v>
      </c>
      <c r="O79" s="7">
        <f>IFERROR(XLOOKUP(A79,'Source Ledger'!$B$5:$B$133,'Source Ledger'!$A$5:$A$133),"")</f>
        <v/>
      </c>
      <c r="P79" s="7" t="inlineStr">
        <is>
          <t>No</t>
        </is>
      </c>
      <c r="Q79" s="7" t="inlineStr">
        <is>
          <t>Low</t>
        </is>
      </c>
      <c r="R79" s="7" t="inlineStr">
        <is>
          <t>EX-0079, EX-0080</t>
        </is>
      </c>
      <c r="S79" s="7" t="inlineStr">
        <is>
          <t>Yes</t>
        </is>
      </c>
      <c r="T79" t="n">
        <v>1175</v>
      </c>
      <c r="U79" t="inlineStr">
        <is>
          <t>Active</t>
        </is>
      </c>
      <c r="V79" t="n">
        <v>647.42</v>
      </c>
      <c r="W79" t="n">
        <v>0</v>
      </c>
      <c r="X79" t="inlineStr">
        <is>
          <t>Yes</t>
        </is>
      </c>
    </row>
    <row r="80">
      <c r="A80" s="7" t="inlineStr">
        <is>
          <t>MD-00076</t>
        </is>
      </c>
      <c r="B80" s="7" t="inlineStr">
        <is>
          <t>MD-NE-050076</t>
        </is>
      </c>
      <c r="C80" s="7" t="inlineStr">
        <is>
          <t>Network Asset</t>
        </is>
      </c>
      <c r="D80" s="7" t="inlineStr">
        <is>
          <t>Cisco C9300</t>
        </is>
      </c>
      <c r="E80" s="7" t="inlineStr">
        <is>
          <t>E0089</t>
        </is>
      </c>
      <c r="F80" s="7" t="inlineStr">
        <is>
          <t>Chicago - Closed</t>
        </is>
      </c>
      <c r="G80" s="7" t="inlineStr">
        <is>
          <t>Assigned</t>
        </is>
      </c>
      <c r="H80" s="7" t="inlineStr">
        <is>
          <t>E0089</t>
        </is>
      </c>
      <c r="I80" s="7" t="inlineStr">
        <is>
          <t>Carrier Network / Unverified</t>
        </is>
      </c>
      <c r="J80" s="8" t="inlineStr">
        <is>
          <t>Return Overdue</t>
        </is>
      </c>
      <c r="K80" s="7" t="inlineStr">
        <is>
          <t>Held MD-00076 as In Transit - Exception. shipment serial MISMATCH-0076 vs MD-NE-050076. TR-00076 (APR-00076) on the movement log. bought on PO-2022-0013; FAR FA-000076. OFF-00076. tracking 1ZMD00000076 — ticket OFF-00076</t>
        </is>
      </c>
      <c r="L80" s="7" t="inlineStr">
        <is>
          <t>2026-06-25</t>
        </is>
      </c>
      <c r="M80" s="7" t="n">
        <v>6470</v>
      </c>
      <c r="N80" s="7">
        <f>IFERROR(XLOOKUP(A80,'Source Ledger'!$B$5:$B$133,'Source Ledger'!$G$5:$G$133),"")</f>
        <v>953.89</v>
      </c>
      <c r="O80" s="7">
        <f>IFERROR(XLOOKUP(A80,'Source Ledger'!$B$5:$B$133,'Source Ledger'!$A$5:$A$133),"")</f>
        <v/>
      </c>
      <c r="P80" s="7" t="inlineStr">
        <is>
          <t>Yes</t>
        </is>
      </c>
      <c r="Q80" s="7" t="inlineStr">
        <is>
          <t>Low</t>
        </is>
      </c>
      <c r="R80" s="7" t="inlineStr">
        <is>
          <t>EX-0081, EX-0082, EX-0083</t>
        </is>
      </c>
      <c r="S80" s="7" t="inlineStr">
        <is>
          <t>Yes</t>
        </is>
      </c>
      <c r="T80" t="n">
        <v>6470</v>
      </c>
      <c r="U80" t="inlineStr">
        <is>
          <t>Active</t>
        </is>
      </c>
      <c r="V80" t="n">
        <v>953.89</v>
      </c>
      <c r="W80" t="n">
        <v>0</v>
      </c>
      <c r="X80" t="inlineStr">
        <is>
          <t>Yes</t>
        </is>
      </c>
    </row>
    <row r="81">
      <c r="A81" s="7" t="inlineStr">
        <is>
          <t>MD-00077</t>
        </is>
      </c>
      <c r="B81" s="7" t="inlineStr">
        <is>
          <t>MD-LA-050077</t>
        </is>
      </c>
      <c r="C81" s="7" t="inlineStr">
        <is>
          <t>Laptop</t>
        </is>
      </c>
      <c r="D81" s="7" t="inlineStr">
        <is>
          <t>MacBook Pro 14</t>
        </is>
      </c>
      <c r="E81" s="7" t="inlineStr">
        <is>
          <t>E0090</t>
        </is>
      </c>
      <c r="F81" s="7" t="inlineStr">
        <is>
          <t>Denver - Closed</t>
        </is>
      </c>
      <c r="G81" s="7" t="inlineStr">
        <is>
          <t>Assigned</t>
        </is>
      </c>
      <c r="H81" s="7" t="inlineStr">
        <is>
          <t>E0090</t>
        </is>
      </c>
      <c r="I81" s="7" t="inlineStr">
        <is>
          <t>Remote - Former Employee</t>
        </is>
      </c>
      <c r="J81" s="8" t="inlineStr">
        <is>
          <t>Return Overdue</t>
        </is>
      </c>
      <c r="K81" s="7" t="inlineStr">
        <is>
          <t>Overdue kit MD-00077. tracking 1ZMD00000077. Dana Ghosh is Separated (E0090). assignment sits on TR-00077 (APR-00077). bought on PO-2022-0013; FAR FA-000077; ticket OFF-00077. Also return is still label-only</t>
        </is>
      </c>
      <c r="L81" s="7" t="inlineStr">
        <is>
          <t>2026-06-25</t>
        </is>
      </c>
      <c r="M81" s="7" t="n">
        <v>1850</v>
      </c>
      <c r="N81" s="7">
        <f>IFERROR(XLOOKUP(A81,'Source Ledger'!$B$5:$B$133,'Source Ledger'!$G$5:$G$133),"")</f>
        <v>0</v>
      </c>
      <c r="O81" s="7">
        <f>IFERROR(XLOOKUP(A81,'Source Ledger'!$B$5:$B$133,'Source Ledger'!$A$5:$A$133),"")</f>
        <v/>
      </c>
      <c r="P81" s="7" t="inlineStr">
        <is>
          <t>No</t>
        </is>
      </c>
      <c r="Q81" s="7" t="inlineStr">
        <is>
          <t>Low</t>
        </is>
      </c>
      <c r="R81" s="7" t="inlineStr">
        <is>
          <t>EX-0084, EX-0085</t>
        </is>
      </c>
      <c r="S81" s="7" t="inlineStr">
        <is>
          <t>Yes</t>
        </is>
      </c>
      <c r="T81" t="n">
        <v>1850</v>
      </c>
      <c r="U81" t="inlineStr">
        <is>
          <t>Active</t>
        </is>
      </c>
      <c r="V81" t="n">
        <v>0</v>
      </c>
      <c r="W81" t="n">
        <v>0</v>
      </c>
      <c r="X81" t="inlineStr">
        <is>
          <t>Yes</t>
        </is>
      </c>
    </row>
    <row r="82">
      <c r="A82" s="7" t="inlineStr">
        <is>
          <t>MD-00078</t>
        </is>
      </c>
      <c r="B82" s="7" t="inlineStr">
        <is>
          <t>MD-MO-050078</t>
        </is>
      </c>
      <c r="C82" s="7" t="inlineStr">
        <is>
          <t>Monitor</t>
        </is>
      </c>
      <c r="D82" s="7" t="inlineStr">
        <is>
          <t>Dell U2723QE</t>
        </is>
      </c>
      <c r="E82" s="7" t="inlineStr">
        <is>
          <t>E0091</t>
        </is>
      </c>
      <c r="F82" s="7" t="inlineStr">
        <is>
          <t>Chicago - Closed</t>
        </is>
      </c>
      <c r="G82" s="7" t="inlineStr">
        <is>
          <t>Assigned</t>
        </is>
      </c>
      <c r="H82" s="7" t="inlineStr">
        <is>
          <t>E0091</t>
        </is>
      </c>
      <c r="I82" s="7" t="inlineStr">
        <is>
          <t>Remote - Former Employee</t>
        </is>
      </c>
      <c r="J82" s="8" t="inlineStr">
        <is>
          <t>Return Overdue</t>
        </is>
      </c>
      <c r="K82" s="7" t="inlineStr">
        <is>
          <t>OFF-00078 past due. 1ZMD00000078 never accepted. Custodian check: E0091 / Separated. bought on PO-2022-0013; FAR FA-000078; tracking 1ZMD00000078. Also ticket OFF-00078. Note: return is still label-only. TR-00078 APR-00078.</t>
        </is>
      </c>
      <c r="L82" s="7" t="inlineStr">
        <is>
          <t>2026-06-25</t>
        </is>
      </c>
      <c r="M82" s="7" t="n">
        <v>565</v>
      </c>
      <c r="N82" s="7">
        <f>IFERROR(XLOOKUP(A82,'Source Ledger'!$B$5:$B$133,'Source Ledger'!$G$5:$G$133),"")</f>
        <v>328.95</v>
      </c>
      <c r="O82" s="7">
        <f>IFERROR(XLOOKUP(A82,'Source Ledger'!$B$5:$B$133,'Source Ledger'!$A$5:$A$133),"")</f>
        <v/>
      </c>
      <c r="P82" s="7" t="inlineStr">
        <is>
          <t>No</t>
        </is>
      </c>
      <c r="Q82" s="7" t="inlineStr">
        <is>
          <t>Low</t>
        </is>
      </c>
      <c r="R82" s="7" t="inlineStr">
        <is>
          <t>EX-0086, EX-0087</t>
        </is>
      </c>
      <c r="S82" s="7" t="inlineStr">
        <is>
          <t>Yes</t>
        </is>
      </c>
      <c r="T82" t="n">
        <v>565</v>
      </c>
      <c r="U82" t="inlineStr">
        <is>
          <t>Active</t>
        </is>
      </c>
      <c r="V82" t="n">
        <v>328.95</v>
      </c>
      <c r="W82" t="n">
        <v>0</v>
      </c>
      <c r="X82" t="inlineStr">
        <is>
          <t>Yes</t>
        </is>
      </c>
    </row>
    <row r="83">
      <c r="A83" s="7" t="inlineStr">
        <is>
          <t>MD-00079</t>
        </is>
      </c>
      <c r="B83" s="7" t="inlineStr">
        <is>
          <t>MD-MO-050079</t>
        </is>
      </c>
      <c r="C83" s="7" t="inlineStr">
        <is>
          <t>Mobile Device</t>
        </is>
      </c>
      <c r="D83" s="7" t="inlineStr">
        <is>
          <t>Samsung Galaxy S24</t>
        </is>
      </c>
      <c r="E83" s="7" t="inlineStr">
        <is>
          <t>E0092</t>
        </is>
      </c>
      <c r="F83" s="7" t="inlineStr">
        <is>
          <t>Denver - Closed</t>
        </is>
      </c>
      <c r="G83" s="7" t="inlineStr">
        <is>
          <t>Assigned</t>
        </is>
      </c>
      <c r="H83" s="7" t="inlineStr">
        <is>
          <t>E0092</t>
        </is>
      </c>
      <c r="I83" s="7" t="inlineStr">
        <is>
          <t>Remote - Former Employee</t>
        </is>
      </c>
      <c r="J83" s="8" t="inlineStr">
        <is>
          <t>Return Overdue</t>
        </is>
      </c>
      <c r="K83" s="7" t="inlineStr">
        <is>
          <t>I left MD-00079 Return Overdue. Label isn't SCAN-86. hr_employee_status still has E0092 as Separated. assignment sits on TR-00079 (APR-00079). bought on PO-2023-0014; FAR FA-000079. Also tracking 1ZMD00000079. Note: ticket OFF-00079. return is still label-only</t>
        </is>
      </c>
      <c r="L83" s="7" t="inlineStr">
        <is>
          <t>2026-06-25</t>
        </is>
      </c>
      <c r="M83" s="7" t="n">
        <v>1040</v>
      </c>
      <c r="N83" s="7">
        <f>IFERROR(XLOOKUP(A83,'Source Ledger'!$B$5:$B$133,'Source Ledger'!$G$5:$G$133),"")</f>
        <v>692.62</v>
      </c>
      <c r="O83" s="7">
        <f>IFERROR(XLOOKUP(A83,'Source Ledger'!$B$5:$B$133,'Source Ledger'!$A$5:$A$133),"")</f>
        <v/>
      </c>
      <c r="P83" s="7" t="inlineStr">
        <is>
          <t>No</t>
        </is>
      </c>
      <c r="Q83" s="7" t="inlineStr">
        <is>
          <t>Low</t>
        </is>
      </c>
      <c r="R83" s="7" t="inlineStr">
        <is>
          <t>EX-0088, EX-0089</t>
        </is>
      </c>
      <c r="S83" s="7" t="inlineStr">
        <is>
          <t>Yes</t>
        </is>
      </c>
      <c r="T83" t="n">
        <v>1040</v>
      </c>
      <c r="U83" t="inlineStr">
        <is>
          <t>Active</t>
        </is>
      </c>
      <c r="V83" t="n">
        <v>692.62</v>
      </c>
      <c r="W83" t="n">
        <v>0</v>
      </c>
      <c r="X83" t="inlineStr">
        <is>
          <t>Yes</t>
        </is>
      </c>
    </row>
    <row r="84">
      <c r="A84" s="7" t="inlineStr">
        <is>
          <t>MD-00080</t>
        </is>
      </c>
      <c r="B84" s="7" t="inlineStr">
        <is>
          <t>MD-NE-050080</t>
        </is>
      </c>
      <c r="C84" s="7" t="inlineStr">
        <is>
          <t>Network Asset</t>
        </is>
      </c>
      <c r="D84" s="7" t="inlineStr">
        <is>
          <t>Cisco C9300</t>
        </is>
      </c>
      <c r="E84" s="7" t="inlineStr">
        <is>
          <t>E0093</t>
        </is>
      </c>
      <c r="F84" s="7" t="inlineStr">
        <is>
          <t>Chicago - Closed</t>
        </is>
      </c>
      <c r="G84" s="7" t="inlineStr">
        <is>
          <t>Assigned</t>
        </is>
      </c>
      <c r="H84" s="7" t="inlineStr">
        <is>
          <t>IT Stock</t>
        </is>
      </c>
      <c r="I84" s="7" t="inlineStr">
        <is>
          <t>Atlanta Warehouse</t>
        </is>
      </c>
      <c r="J84" s="7" t="inlineStr">
        <is>
          <t>Available</t>
        </is>
      </c>
      <c r="K84" s="7" t="inlineStr">
        <is>
          <t>MD-00080 is on IT Stock in Atlanta Warehouse. TR-00080 (APR-00080) on the movement log. bought on PO-2023-0014; FAR FA-000080. Note: tracking 1ZMD00000080. ticket OFF-00080</t>
        </is>
      </c>
      <c r="L84" s="7" t="inlineStr">
        <is>
          <t>2026-07-07</t>
        </is>
      </c>
      <c r="M84" s="7" t="n">
        <v>6335</v>
      </c>
      <c r="N84" s="7">
        <f>IFERROR(XLOOKUP(A84,'Source Ledger'!$B$5:$B$133,'Source Ledger'!$G$5:$G$133),"")</f>
        <v>1374.53</v>
      </c>
      <c r="O84" s="7">
        <f>IFERROR(XLOOKUP(A84,'Source Ledger'!$B$5:$B$133,'Source Ledger'!$A$5:$A$133),"")</f>
        <v/>
      </c>
      <c r="P84" s="7" t="inlineStr">
        <is>
          <t>Yes</t>
        </is>
      </c>
      <c r="Q84" s="9" t="inlineStr">
        <is>
          <t>High</t>
        </is>
      </c>
      <c r="R84" s="7" t="inlineStr">
        <is>
          <t>EX-0090</t>
        </is>
      </c>
      <c r="S84" s="7" t="inlineStr">
        <is>
          <t>No</t>
        </is>
      </c>
      <c r="T84" t="n">
        <v>6335</v>
      </c>
      <c r="U84" t="inlineStr">
        <is>
          <t>Active</t>
        </is>
      </c>
      <c r="V84" t="n">
        <v>1374.53</v>
      </c>
      <c r="W84" t="n">
        <v>0</v>
      </c>
      <c r="X84" t="inlineStr">
        <is>
          <t>Yes</t>
        </is>
      </c>
    </row>
    <row r="85">
      <c r="A85" s="7" t="inlineStr">
        <is>
          <t>MD-00081</t>
        </is>
      </c>
      <c r="B85" s="7" t="inlineStr">
        <is>
          <t>MD-LA-050081</t>
        </is>
      </c>
      <c r="C85" s="7" t="inlineStr">
        <is>
          <t>Laptop</t>
        </is>
      </c>
      <c r="D85" s="7" t="inlineStr">
        <is>
          <t>Dell Latitude 7440</t>
        </is>
      </c>
      <c r="E85" s="7" t="inlineStr">
        <is>
          <t>E0094</t>
        </is>
      </c>
      <c r="F85" s="7" t="inlineStr">
        <is>
          <t>Denver - Closed</t>
        </is>
      </c>
      <c r="G85" s="7" t="inlineStr">
        <is>
          <t>Assigned</t>
        </is>
      </c>
      <c r="H85" s="7" t="inlineStr">
        <is>
          <t>IT Stock</t>
        </is>
      </c>
      <c r="I85" s="7" t="inlineStr">
        <is>
          <t>Atlanta Warehouse</t>
        </is>
      </c>
      <c r="J85" s="7" t="inlineStr">
        <is>
          <t>Available</t>
        </is>
      </c>
      <c r="K85" s="7" t="inlineStr">
        <is>
          <t>Parked as Available — Dell Latitude 7440. assignment sits on TR-00081 (APR-00081). bought on PO-2023-0014; FAR FA-000081. tracking 1ZMD00000081 — ticket OFF-00081</t>
        </is>
      </c>
      <c r="L85" s="7" t="inlineStr">
        <is>
          <t>2026-07-07</t>
        </is>
      </c>
      <c r="M85" s="7" t="n">
        <v>2030</v>
      </c>
      <c r="N85" s="7">
        <f>IFERROR(XLOOKUP(A85,'Source Ledger'!$B$5:$B$133,'Source Ledger'!$G$5:$G$133),"")</f>
        <v>114.4</v>
      </c>
      <c r="O85" s="7">
        <f>IFERROR(XLOOKUP(A85,'Source Ledger'!$B$5:$B$133,'Source Ledger'!$A$5:$A$133),"")</f>
        <v/>
      </c>
      <c r="P85" s="7" t="inlineStr">
        <is>
          <t>No</t>
        </is>
      </c>
      <c r="Q85" s="9" t="inlineStr">
        <is>
          <t>High</t>
        </is>
      </c>
      <c r="R85" s="7" t="inlineStr">
        <is>
          <t>EX-0091</t>
        </is>
      </c>
      <c r="S85" s="7" t="inlineStr">
        <is>
          <t>No</t>
        </is>
      </c>
      <c r="T85" t="n">
        <v>2030</v>
      </c>
      <c r="U85" t="inlineStr">
        <is>
          <t>Active</t>
        </is>
      </c>
      <c r="V85" t="n">
        <v>114.4</v>
      </c>
      <c r="W85" t="n">
        <v>0</v>
      </c>
      <c r="X85" t="inlineStr">
        <is>
          <t>Yes</t>
        </is>
      </c>
    </row>
    <row r="86">
      <c r="A86" s="7" t="inlineStr">
        <is>
          <t>MD-00082</t>
        </is>
      </c>
      <c r="B86" s="7" t="inlineStr">
        <is>
          <t>MD-MO-050082</t>
        </is>
      </c>
      <c r="C86" s="7" t="inlineStr">
        <is>
          <t>Monitor</t>
        </is>
      </c>
      <c r="D86" s="7" t="inlineStr">
        <is>
          <t>Dell U2723QE</t>
        </is>
      </c>
      <c r="E86" s="7" t="inlineStr">
        <is>
          <t>E0095</t>
        </is>
      </c>
      <c r="F86" s="7" t="inlineStr">
        <is>
          <t>Chicago - Closed</t>
        </is>
      </c>
      <c r="G86" s="7" t="inlineStr">
        <is>
          <t>Assigned</t>
        </is>
      </c>
      <c r="H86" s="7" t="inlineStr">
        <is>
          <t>E0095</t>
        </is>
      </c>
      <c r="I86" s="7" t="inlineStr">
        <is>
          <t>Carrier Network / Unverified</t>
        </is>
      </c>
      <c r="J86" s="8" t="inlineStr">
        <is>
          <t>In Transit - Exception</t>
        </is>
      </c>
      <c r="K86" s="7" t="inlineStr">
        <is>
          <t>MD-00082 inbound exception. shipment serial MISMATCH-0082 vs MD-MO-050082. TR-00082 (APR-00082) on the movement log. bought on PO-2023-0014; FAR FA-000082 — tracking 1ZMD00000082; ticket OFF-00082. Note: receiving_exception_scan_1ZMD00000082.png is a HOLD lead. Dock photo is a lead, not receiving clearance.</t>
        </is>
      </c>
      <c r="L86" s="7" t="inlineStr">
        <is>
          <t>2026-07-02</t>
        </is>
      </c>
      <c r="M86" s="7" t="n">
        <v>745</v>
      </c>
      <c r="N86" s="7">
        <f>IFERROR(XLOOKUP(A86,'Source Ledger'!$B$5:$B$133,'Source Ledger'!$G$5:$G$133),"")</f>
        <v>485.55</v>
      </c>
      <c r="O86" s="7">
        <f>IFERROR(XLOOKUP(A86,'Source Ledger'!$B$5:$B$133,'Source Ledger'!$A$5:$A$133),"")</f>
        <v/>
      </c>
      <c r="P86" s="7" t="inlineStr">
        <is>
          <t>No</t>
        </is>
      </c>
      <c r="Q86" s="7" t="inlineStr">
        <is>
          <t>Low</t>
        </is>
      </c>
      <c r="R86" s="7" t="inlineStr">
        <is>
          <t>EX-0092, EX-0093</t>
        </is>
      </c>
      <c r="S86" s="7" t="inlineStr">
        <is>
          <t>Yes</t>
        </is>
      </c>
      <c r="T86" t="n">
        <v>745</v>
      </c>
      <c r="U86" t="inlineStr">
        <is>
          <t>Active</t>
        </is>
      </c>
      <c r="V86" t="n">
        <v>485.55</v>
      </c>
      <c r="W86" t="n">
        <v>0</v>
      </c>
      <c r="X86" t="inlineStr">
        <is>
          <t>Yes</t>
        </is>
      </c>
    </row>
    <row r="87">
      <c r="A87" s="7" t="inlineStr">
        <is>
          <t>MD-00083</t>
        </is>
      </c>
      <c r="B87" s="7" t="inlineStr">
        <is>
          <t>MD-MO-050083</t>
        </is>
      </c>
      <c r="C87" s="7" t="inlineStr">
        <is>
          <t>Mobile Device</t>
        </is>
      </c>
      <c r="D87" s="7" t="inlineStr">
        <is>
          <t>Samsung Galaxy S24</t>
        </is>
      </c>
      <c r="E87" s="7" t="inlineStr">
        <is>
          <t>E0071</t>
        </is>
      </c>
      <c r="F87" s="7" t="inlineStr">
        <is>
          <t>Denver - Closed</t>
        </is>
      </c>
      <c r="G87" s="7" t="inlineStr">
        <is>
          <t>Assigned</t>
        </is>
      </c>
      <c r="H87" s="7" t="inlineStr">
        <is>
          <t>IT Stock</t>
        </is>
      </c>
      <c r="I87" s="7" t="inlineStr">
        <is>
          <t>Atlanta Warehouse</t>
        </is>
      </c>
      <c r="J87" s="7" t="inlineStr">
        <is>
          <t>Available</t>
        </is>
      </c>
      <c r="K87" s="7" t="inlineStr">
        <is>
          <t>Stock row. assignment sits on TR-00083 (APR-00083). bought on PO-2023-0014; FAR FA-000083; tracking 1ZMD00000083. Also ticket OFF-00083</t>
        </is>
      </c>
      <c r="L87" s="7" t="inlineStr">
        <is>
          <t>2026-07-07</t>
        </is>
      </c>
      <c r="M87" s="7" t="n">
        <v>1220</v>
      </c>
      <c r="N87" s="7">
        <f>IFERROR(XLOOKUP(A87,'Source Ledger'!$B$5:$B$133,'Source Ledger'!$G$5:$G$133),"")</f>
        <v>952.79</v>
      </c>
      <c r="O87" s="7">
        <f>IFERROR(XLOOKUP(A87,'Source Ledger'!$B$5:$B$133,'Source Ledger'!$A$5:$A$133),"")</f>
        <v/>
      </c>
      <c r="P87" s="7" t="inlineStr">
        <is>
          <t>No</t>
        </is>
      </c>
      <c r="Q87" s="9" t="inlineStr">
        <is>
          <t>High</t>
        </is>
      </c>
      <c r="R87" s="7" t="inlineStr">
        <is>
          <t>EX-0094</t>
        </is>
      </c>
      <c r="S87" s="7" t="inlineStr">
        <is>
          <t>No</t>
        </is>
      </c>
      <c r="T87" t="n">
        <v>1220</v>
      </c>
      <c r="U87" t="inlineStr">
        <is>
          <t>Active</t>
        </is>
      </c>
      <c r="V87" t="n">
        <v>952.79</v>
      </c>
      <c r="W87" t="n">
        <v>0</v>
      </c>
      <c r="X87" t="inlineStr">
        <is>
          <t>Yes</t>
        </is>
      </c>
    </row>
    <row r="88">
      <c r="A88" s="7" t="inlineStr">
        <is>
          <t>MD-00084</t>
        </is>
      </c>
      <c r="B88" s="7" t="inlineStr">
        <is>
          <t>MD-NE-050084</t>
        </is>
      </c>
      <c r="C88" s="7" t="inlineStr">
        <is>
          <t>Network Asset</t>
        </is>
      </c>
      <c r="D88" s="7" t="inlineStr">
        <is>
          <t>Cisco C9300</t>
        </is>
      </c>
      <c r="E88" s="7" t="inlineStr">
        <is>
          <t>E0072</t>
        </is>
      </c>
      <c r="F88" s="7" t="inlineStr">
        <is>
          <t>Chicago - Closed</t>
        </is>
      </c>
      <c r="G88" s="7" t="inlineStr">
        <is>
          <t>Assigned</t>
        </is>
      </c>
      <c r="H88" s="7" t="inlineStr">
        <is>
          <t>E0072</t>
        </is>
      </c>
      <c r="I88" s="7" t="inlineStr">
        <is>
          <t>Carrier Network / Unverified</t>
        </is>
      </c>
      <c r="J88" s="8" t="inlineStr">
        <is>
          <t>In Transit - Exception</t>
        </is>
      </c>
      <c r="K88" s="7" t="inlineStr">
        <is>
          <t>Held MD-00084 as In Transit - Exception. ticket OFF-00084. TR-00084 (APR-00084) on the movement log. bought on PO-2023-0014; FAR FA-000084. OFF-00084. Also tracking 1ZMD00000084. shipment serial MISMATCH-0084 vs MD-NE-050084</t>
        </is>
      </c>
      <c r="L88" s="7" t="inlineStr">
        <is>
          <t>2026-07-02</t>
        </is>
      </c>
      <c r="M88" s="7" t="n">
        <v>6200</v>
      </c>
      <c r="N88" s="7">
        <f>IFERROR(XLOOKUP(A88,'Source Ledger'!$B$5:$B$133,'Source Ledger'!$G$5:$G$133),"")</f>
        <v>533.85</v>
      </c>
      <c r="O88" s="7">
        <f>IFERROR(XLOOKUP(A88,'Source Ledger'!$B$5:$B$133,'Source Ledger'!$A$5:$A$133),"")</f>
        <v/>
      </c>
      <c r="P88" s="7" t="inlineStr">
        <is>
          <t>Yes</t>
        </is>
      </c>
      <c r="Q88" s="7" t="inlineStr">
        <is>
          <t>Low</t>
        </is>
      </c>
      <c r="R88" s="7" t="inlineStr">
        <is>
          <t>EX-0095, EX-0096</t>
        </is>
      </c>
      <c r="S88" s="7" t="inlineStr">
        <is>
          <t>Yes</t>
        </is>
      </c>
      <c r="T88" t="n">
        <v>6200</v>
      </c>
      <c r="U88" t="inlineStr">
        <is>
          <t>Active</t>
        </is>
      </c>
      <c r="V88" t="n">
        <v>533.85</v>
      </c>
      <c r="W88" t="n">
        <v>0</v>
      </c>
      <c r="X88" t="inlineStr">
        <is>
          <t>Yes</t>
        </is>
      </c>
    </row>
    <row r="89">
      <c r="A89" s="7" t="inlineStr">
        <is>
          <t>MD-00085</t>
        </is>
      </c>
      <c r="B89" s="7" t="inlineStr">
        <is>
          <t>MD-LA-050085</t>
        </is>
      </c>
      <c r="C89" s="7" t="inlineStr">
        <is>
          <t>Laptop</t>
        </is>
      </c>
      <c r="D89" s="7" t="inlineStr">
        <is>
          <t>Lenovo ThinkPad T14</t>
        </is>
      </c>
      <c r="E89" s="7" t="inlineStr">
        <is>
          <t>E0073</t>
        </is>
      </c>
      <c r="F89" s="7" t="inlineStr">
        <is>
          <t>Denver - Closed</t>
        </is>
      </c>
      <c r="G89" s="7" t="inlineStr">
        <is>
          <t>Assigned</t>
        </is>
      </c>
      <c r="H89" s="7" t="inlineStr">
        <is>
          <t>IT Stock</t>
        </is>
      </c>
      <c r="I89" s="7" t="inlineStr">
        <is>
          <t>Atlanta Warehouse</t>
        </is>
      </c>
      <c r="J89" s="7" t="inlineStr">
        <is>
          <t>Available</t>
        </is>
      </c>
      <c r="K89" s="7" t="inlineStr">
        <is>
          <t>Shelf/stock: MD-00085. assignment sits on TR-00085 (APR-00085). bought on PO-2024-0015; FAR FA-000085. Note: tracking 1ZMD00000085. ticket OFF-00085</t>
        </is>
      </c>
      <c r="L89" s="7" t="inlineStr">
        <is>
          <t>2026-07-07</t>
        </is>
      </c>
      <c r="M89" s="7" t="n">
        <v>1895</v>
      </c>
      <c r="N89" s="7">
        <f>IFERROR(XLOOKUP(A89,'Source Ledger'!$B$5:$B$133,'Source Ledger'!$G$5:$G$133),"")</f>
        <v>0</v>
      </c>
      <c r="O89" s="7">
        <f>IFERROR(XLOOKUP(A89,'Source Ledger'!$B$5:$B$133,'Source Ledger'!$A$5:$A$133),"")</f>
        <v/>
      </c>
      <c r="P89" s="7" t="inlineStr">
        <is>
          <t>No</t>
        </is>
      </c>
      <c r="Q89" s="9" t="inlineStr">
        <is>
          <t>High</t>
        </is>
      </c>
      <c r="R89" s="7" t="inlineStr">
        <is>
          <t>EX-0097, EX-0098</t>
        </is>
      </c>
      <c r="S89" s="7" t="inlineStr">
        <is>
          <t>No</t>
        </is>
      </c>
      <c r="T89" t="n">
        <v>2090</v>
      </c>
      <c r="U89" t="inlineStr">
        <is>
          <t>Active</t>
        </is>
      </c>
      <c r="V89" t="n">
        <v>0</v>
      </c>
      <c r="W89" t="n">
        <v>195</v>
      </c>
      <c r="X89" t="inlineStr">
        <is>
          <t>Yes</t>
        </is>
      </c>
    </row>
    <row r="90">
      <c r="A90" s="7" t="inlineStr">
        <is>
          <t>MD-00086</t>
        </is>
      </c>
      <c r="B90" s="7" t="inlineStr">
        <is>
          <t>MD-MO-050086</t>
        </is>
      </c>
      <c r="C90" s="7" t="inlineStr">
        <is>
          <t>Monitor</t>
        </is>
      </c>
      <c r="D90" s="7" t="inlineStr">
        <is>
          <t>Dell U2723QE</t>
        </is>
      </c>
      <c r="E90" s="7" t="inlineStr">
        <is>
          <t>E0074</t>
        </is>
      </c>
      <c r="F90" s="7" t="inlineStr">
        <is>
          <t>Chicago - Closed</t>
        </is>
      </c>
      <c r="G90" s="7" t="inlineStr">
        <is>
          <t>Assigned</t>
        </is>
      </c>
      <c r="H90" s="7" t="inlineStr">
        <is>
          <t>IT Stock</t>
        </is>
      </c>
      <c r="I90" s="7" t="inlineStr">
        <is>
          <t>Atlanta Warehouse</t>
        </is>
      </c>
      <c r="J90" s="7" t="inlineStr">
        <is>
          <t>Available</t>
        </is>
      </c>
      <c r="K90" s="7" t="inlineStr">
        <is>
          <t>IT Stock holds MD-00086 (Atlanta Warehouse). TR-00086 (APR-00086) on the movement log. bought on PO-2024-0015; FAR FA-000086. tracking 1ZMD00000086 — ticket OFF-00086</t>
        </is>
      </c>
      <c r="L90" s="7" t="inlineStr">
        <is>
          <t>2026-07-07</t>
        </is>
      </c>
      <c r="M90" s="7" t="n">
        <v>610</v>
      </c>
      <c r="N90" s="7">
        <f>IFERROR(XLOOKUP(A90,'Source Ledger'!$B$5:$B$133,'Source Ledger'!$G$5:$G$133),"")</f>
        <v>317.07</v>
      </c>
      <c r="O90" s="7">
        <f>IFERROR(XLOOKUP(A90,'Source Ledger'!$B$5:$B$133,'Source Ledger'!$A$5:$A$133),"")</f>
        <v/>
      </c>
      <c r="P90" s="7" t="inlineStr">
        <is>
          <t>No</t>
        </is>
      </c>
      <c r="Q90" s="9" t="inlineStr">
        <is>
          <t>High</t>
        </is>
      </c>
      <c r="R90" s="7" t="inlineStr">
        <is>
          <t>EX-0099</t>
        </is>
      </c>
      <c r="S90" s="7" t="inlineStr">
        <is>
          <t>No</t>
        </is>
      </c>
      <c r="T90" t="n">
        <v>610</v>
      </c>
      <c r="U90" t="inlineStr">
        <is>
          <t>Active</t>
        </is>
      </c>
      <c r="V90" t="n">
        <v>317.07</v>
      </c>
      <c r="W90" t="n">
        <v>0</v>
      </c>
      <c r="X90" t="inlineStr">
        <is>
          <t>Yes</t>
        </is>
      </c>
    </row>
    <row r="91">
      <c r="A91" s="7" t="inlineStr">
        <is>
          <t>MD-00087</t>
        </is>
      </c>
      <c r="B91" s="7" t="inlineStr">
        <is>
          <t>MD-MO-050087</t>
        </is>
      </c>
      <c r="C91" s="7" t="inlineStr">
        <is>
          <t>Mobile Device</t>
        </is>
      </c>
      <c r="D91" s="7" t="inlineStr">
        <is>
          <t>Samsung Galaxy S24</t>
        </is>
      </c>
      <c r="E91" s="7" t="inlineStr">
        <is>
          <t>E0075</t>
        </is>
      </c>
      <c r="F91" s="7" t="inlineStr">
        <is>
          <t>Denver - Closed</t>
        </is>
      </c>
      <c r="G91" s="7" t="inlineStr">
        <is>
          <t>Assigned</t>
        </is>
      </c>
      <c r="H91" s="7" t="inlineStr">
        <is>
          <t>IT Stock</t>
        </is>
      </c>
      <c r="I91" s="7" t="inlineStr">
        <is>
          <t>Atlanta Warehouse</t>
        </is>
      </c>
      <c r="J91" s="7" t="inlineStr">
        <is>
          <t>Available</t>
        </is>
      </c>
      <c r="K91" s="7" t="inlineStr">
        <is>
          <t>MD-00087 is on IT Stock in Atlanta Warehouse. assignment sits on TR-00087 (APR-00087). bought on PO-2024-0015; FAR FA-000087 — tracking 1ZMD00000087; ticket OFF-00087</t>
        </is>
      </c>
      <c r="L91" s="7" t="inlineStr">
        <is>
          <t>2026-07-07</t>
        </is>
      </c>
      <c r="M91" s="7" t="n">
        <v>1085</v>
      </c>
      <c r="N91" s="7">
        <f>IFERROR(XLOOKUP(A91,'Source Ledger'!$B$5:$B$133,'Source Ledger'!$G$5:$G$133),"")</f>
        <v>609.71</v>
      </c>
      <c r="O91" s="7">
        <f>IFERROR(XLOOKUP(A91,'Source Ledger'!$B$5:$B$133,'Source Ledger'!$A$5:$A$133),"")</f>
        <v/>
      </c>
      <c r="P91" s="7" t="inlineStr">
        <is>
          <t>No</t>
        </is>
      </c>
      <c r="Q91" s="9" t="inlineStr">
        <is>
          <t>High</t>
        </is>
      </c>
      <c r="R91" s="7" t="inlineStr">
        <is>
          <t>EX-0100</t>
        </is>
      </c>
      <c r="S91" s="7" t="inlineStr">
        <is>
          <t>No</t>
        </is>
      </c>
      <c r="T91" t="n">
        <v>1085</v>
      </c>
      <c r="U91" t="inlineStr">
        <is>
          <t>Active</t>
        </is>
      </c>
      <c r="V91" t="n">
        <v>609.71</v>
      </c>
      <c r="W91" t="n">
        <v>0</v>
      </c>
      <c r="X91" t="inlineStr">
        <is>
          <t>Yes</t>
        </is>
      </c>
    </row>
    <row r="92">
      <c r="A92" s="7" t="inlineStr">
        <is>
          <t>MD-00088</t>
        </is>
      </c>
      <c r="B92" s="7" t="inlineStr">
        <is>
          <t>MD-NE-050088</t>
        </is>
      </c>
      <c r="C92" s="7" t="inlineStr">
        <is>
          <t>Network Asset</t>
        </is>
      </c>
      <c r="D92" s="7" t="inlineStr">
        <is>
          <t>Cisco C9300</t>
        </is>
      </c>
      <c r="E92" s="7" t="inlineStr">
        <is>
          <t>E0076</t>
        </is>
      </c>
      <c r="F92" s="7" t="inlineStr">
        <is>
          <t>Chicago - Closed</t>
        </is>
      </c>
      <c r="G92" s="7" t="inlineStr">
        <is>
          <t>Assigned</t>
        </is>
      </c>
      <c r="H92" s="7" t="inlineStr">
        <is>
          <t>IT Stock</t>
        </is>
      </c>
      <c r="I92" s="7" t="inlineStr">
        <is>
          <t>Atlanta Warehouse</t>
        </is>
      </c>
      <c r="J92" s="7" t="inlineStr">
        <is>
          <t>Available</t>
        </is>
      </c>
      <c r="K92" s="7" t="inlineStr">
        <is>
          <t>Parked as Available — Cisco C9300. TR-00088 (APR-00088) on the movement log. bought on PO-2024-0015; FAR FA-000088; tracking 1ZMD00000088. Also ticket OFF-00088. Note: duplicate serial MD-NE-050088</t>
        </is>
      </c>
      <c r="L92" s="7" t="inlineStr">
        <is>
          <t>2026-07-07</t>
        </is>
      </c>
      <c r="M92" s="7" t="n">
        <v>6380</v>
      </c>
      <c r="N92" s="7">
        <f>IFERROR(XLOOKUP(A92,'Source Ledger'!$B$5:$B$133,'Source Ledger'!$G$5:$G$133),"")</f>
        <v>982.55</v>
      </c>
      <c r="O92" s="7">
        <f>IFERROR(XLOOKUP(A92,'Source Ledger'!$B$5:$B$133,'Source Ledger'!$A$5:$A$133),"")</f>
        <v/>
      </c>
      <c r="P92" s="7" t="inlineStr">
        <is>
          <t>Yes</t>
        </is>
      </c>
      <c r="Q92" s="7" t="inlineStr">
        <is>
          <t>Medium</t>
        </is>
      </c>
      <c r="R92" s="7" t="inlineStr">
        <is>
          <t>EX-0101, EX-0102</t>
        </is>
      </c>
      <c r="S92" s="7" t="inlineStr">
        <is>
          <t>No</t>
        </is>
      </c>
      <c r="T92" t="n">
        <v>6380</v>
      </c>
      <c r="U92" t="inlineStr">
        <is>
          <t>Active</t>
        </is>
      </c>
      <c r="V92" t="n">
        <v>982.55</v>
      </c>
      <c r="W92" t="n">
        <v>0</v>
      </c>
      <c r="X92" t="inlineStr">
        <is>
          <t>Yes</t>
        </is>
      </c>
    </row>
    <row r="93">
      <c r="A93" s="7" t="inlineStr">
        <is>
          <t>MD-00089</t>
        </is>
      </c>
      <c r="B93" s="7" t="inlineStr">
        <is>
          <t>MD-LA-050089</t>
        </is>
      </c>
      <c r="C93" s="7" t="inlineStr">
        <is>
          <t>Laptop</t>
        </is>
      </c>
      <c r="D93" s="7" t="inlineStr">
        <is>
          <t>MacBook Pro 14</t>
        </is>
      </c>
      <c r="E93" s="7" t="inlineStr">
        <is>
          <t>E0077</t>
        </is>
      </c>
      <c r="F93" s="7" t="inlineStr">
        <is>
          <t>Denver - Closed</t>
        </is>
      </c>
      <c r="G93" s="7" t="inlineStr">
        <is>
          <t>Assigned</t>
        </is>
      </c>
      <c r="H93" s="7" t="inlineStr">
        <is>
          <t>E0077</t>
        </is>
      </c>
      <c r="I93" s="7" t="inlineStr">
        <is>
          <t>Unknown</t>
        </is>
      </c>
      <c r="J93" s="8" t="inlineStr">
        <is>
          <t>Missing</t>
        </is>
      </c>
      <c r="K93" s="7" t="inlineStr">
        <is>
          <t>Denver - Closed was the last listed floor — it's closed and the device isn't in receiving. bought on PO-2024-0015; FAR FA-000089. Also ticket OFF-00089. Note: register last showed Denver - Closed. TR-00089 APR-00089.</t>
        </is>
      </c>
      <c r="L93" s="7" t="inlineStr">
        <is>
          <t>2026-06-18</t>
        </is>
      </c>
      <c r="M93" s="7" t="n">
        <v>2075</v>
      </c>
      <c r="N93" s="7">
        <f>IFERROR(XLOOKUP(A93,'Source Ledger'!$B$5:$B$133,'Source Ledger'!$G$5:$G$133),"")</f>
        <v>0</v>
      </c>
      <c r="O93" s="7">
        <f>IFERROR(XLOOKUP(A93,'Source Ledger'!$B$5:$B$133,'Source Ledger'!$A$5:$A$133),"")</f>
        <v/>
      </c>
      <c r="P93" s="7" t="inlineStr">
        <is>
          <t>No</t>
        </is>
      </c>
      <c r="Q93" s="7" t="inlineStr">
        <is>
          <t>Low</t>
        </is>
      </c>
      <c r="R93" s="7" t="inlineStr">
        <is>
          <t>EX-0103, EX-0104</t>
        </is>
      </c>
      <c r="S93" s="7" t="inlineStr">
        <is>
          <t>Yes</t>
        </is>
      </c>
      <c r="T93" t="n">
        <v>2075</v>
      </c>
      <c r="U93" t="inlineStr">
        <is>
          <t>Active</t>
        </is>
      </c>
      <c r="V93" t="n">
        <v>0</v>
      </c>
      <c r="W93" t="n">
        <v>0</v>
      </c>
      <c r="X93" t="inlineStr">
        <is>
          <t>Yes</t>
        </is>
      </c>
    </row>
    <row r="94">
      <c r="A94" s="7" t="inlineStr">
        <is>
          <t>MD-00090</t>
        </is>
      </c>
      <c r="B94" s="7" t="inlineStr">
        <is>
          <t>MD-MO-050090</t>
        </is>
      </c>
      <c r="C94" s="7" t="inlineStr">
        <is>
          <t>Monitor</t>
        </is>
      </c>
      <c r="D94" s="7" t="inlineStr">
        <is>
          <t>Dell U2723QE</t>
        </is>
      </c>
      <c r="E94" s="7" t="inlineStr">
        <is>
          <t>E0078</t>
        </is>
      </c>
      <c r="F94" s="7" t="inlineStr">
        <is>
          <t>Chicago - Closed</t>
        </is>
      </c>
      <c r="G94" s="7" t="inlineStr">
        <is>
          <t>Assigned</t>
        </is>
      </c>
      <c r="H94" s="7" t="inlineStr">
        <is>
          <t>E0078</t>
        </is>
      </c>
      <c r="I94" s="7" t="inlineStr">
        <is>
          <t>Unknown</t>
        </is>
      </c>
      <c r="J94" s="8" t="inlineStr">
        <is>
          <t>Missing</t>
        </is>
      </c>
      <c r="K94" s="7" t="inlineStr">
        <is>
          <t>Loss path. MD-00090. OFF-00090. TR-00090 (APR-00090) on the movement log. bought on PO-2024-0015; FAR FA-000090. Note: ticket OFF-00090. register last showed Chicago - Closed</t>
        </is>
      </c>
      <c r="L94" s="7" t="inlineStr">
        <is>
          <t>2026-06-07</t>
        </is>
      </c>
      <c r="M94" s="7" t="n">
        <v>790</v>
      </c>
      <c r="N94" s="7">
        <f>IFERROR(XLOOKUP(A94,'Source Ledger'!$B$5:$B$133,'Source Ledger'!$G$5:$G$133),"")</f>
        <v>465.13</v>
      </c>
      <c r="O94" s="7">
        <f>IFERROR(XLOOKUP(A94,'Source Ledger'!$B$5:$B$133,'Source Ledger'!$A$5:$A$133),"")</f>
        <v/>
      </c>
      <c r="P94" s="7" t="inlineStr">
        <is>
          <t>No</t>
        </is>
      </c>
      <c r="Q94" s="7" t="inlineStr">
        <is>
          <t>Low</t>
        </is>
      </c>
      <c r="R94" s="7" t="inlineStr">
        <is>
          <t>EX-0105, EX-0106</t>
        </is>
      </c>
      <c r="S94" s="7" t="inlineStr">
        <is>
          <t>Yes</t>
        </is>
      </c>
      <c r="T94" t="n">
        <v>790</v>
      </c>
      <c r="U94" t="inlineStr">
        <is>
          <t>Active</t>
        </is>
      </c>
      <c r="V94" t="n">
        <v>465.13</v>
      </c>
      <c r="W94" t="n">
        <v>0</v>
      </c>
      <c r="X94" t="inlineStr">
        <is>
          <t>Yes</t>
        </is>
      </c>
    </row>
    <row r="95">
      <c r="A95" s="7" t="inlineStr">
        <is>
          <t>MD-00091</t>
        </is>
      </c>
      <c r="B95" s="7" t="inlineStr">
        <is>
          <t>MD-MO-050091</t>
        </is>
      </c>
      <c r="C95" s="7" t="inlineStr">
        <is>
          <t>Mobile Device</t>
        </is>
      </c>
      <c r="D95" s="7" t="inlineStr">
        <is>
          <t>Samsung Galaxy S24</t>
        </is>
      </c>
      <c r="E95" s="7" t="inlineStr">
        <is>
          <t>E0079</t>
        </is>
      </c>
      <c r="F95" s="7" t="inlineStr">
        <is>
          <t>Denver - Closed</t>
        </is>
      </c>
      <c r="G95" s="7" t="inlineStr">
        <is>
          <t>Assigned</t>
        </is>
      </c>
      <c r="H95" s="7" t="inlineStr">
        <is>
          <t>E0079</t>
        </is>
      </c>
      <c r="I95" s="7" t="inlineStr">
        <is>
          <t>Unknown</t>
        </is>
      </c>
      <c r="J95" s="8" t="inlineStr">
        <is>
          <t>Missing</t>
        </is>
      </c>
      <c r="K95" s="7" t="inlineStr">
        <is>
          <t>MD-00091 is Missing. Last register site Denver - Closed. OFF-00091. assignment sits on TR-00091 (APR-00091). bought on PO-2025-0016; FAR FA-000091. ticket OFF-00091 — register last showed Denver - Closed</t>
        </is>
      </c>
      <c r="L95" s="7" t="inlineStr">
        <is>
          <t>2026-05-08</t>
        </is>
      </c>
      <c r="M95" s="7" t="n">
        <v>950</v>
      </c>
      <c r="N95" s="7">
        <f>IFERROR(XLOOKUP(A95,'Source Ledger'!$B$5:$B$133,'Source Ledger'!$G$5:$G$133),"")</f>
        <v>643.09</v>
      </c>
      <c r="O95" s="7">
        <f>IFERROR(XLOOKUP(A95,'Source Ledger'!$B$5:$B$133,'Source Ledger'!$A$5:$A$133),"")</f>
        <v/>
      </c>
      <c r="P95" s="7" t="inlineStr">
        <is>
          <t>No</t>
        </is>
      </c>
      <c r="Q95" s="7" t="inlineStr">
        <is>
          <t>Low</t>
        </is>
      </c>
      <c r="R95" s="7" t="inlineStr">
        <is>
          <t>EX-0107, EX-0108</t>
        </is>
      </c>
      <c r="S95" s="7" t="inlineStr">
        <is>
          <t>Yes</t>
        </is>
      </c>
      <c r="T95" t="n">
        <v>950</v>
      </c>
      <c r="U95" t="inlineStr">
        <is>
          <t>Active</t>
        </is>
      </c>
      <c r="V95" t="n">
        <v>643.09</v>
      </c>
      <c r="W95" t="n">
        <v>0</v>
      </c>
      <c r="X95" t="inlineStr">
        <is>
          <t>Yes</t>
        </is>
      </c>
    </row>
    <row r="96">
      <c r="A96" s="7" t="inlineStr">
        <is>
          <t>MD-00092</t>
        </is>
      </c>
      <c r="B96" s="7" t="inlineStr">
        <is>
          <t>MD-NE-050088</t>
        </is>
      </c>
      <c r="C96" s="7" t="inlineStr">
        <is>
          <t>Network Asset</t>
        </is>
      </c>
      <c r="D96" s="7" t="inlineStr">
        <is>
          <t>Cisco C9300</t>
        </is>
      </c>
      <c r="E96" s="7" t="inlineStr">
        <is>
          <t>E0080</t>
        </is>
      </c>
      <c r="F96" s="7" t="inlineStr">
        <is>
          <t>Chicago - Closed</t>
        </is>
      </c>
      <c r="G96" s="7" t="inlineStr">
        <is>
          <t>Assigned</t>
        </is>
      </c>
      <c r="H96" s="7" t="inlineStr">
        <is>
          <t>E0080</t>
        </is>
      </c>
      <c r="I96" s="7" t="inlineStr">
        <is>
          <t>Unknown</t>
        </is>
      </c>
      <c r="J96" s="8" t="inlineStr">
        <is>
          <t>Missing</t>
        </is>
      </c>
      <c r="K96" s="7" t="inlineStr">
        <is>
          <t>No scan/cert/count. MD-00092 stays Missing. Tara Singh (E0080) is Separated in HR. bought on PO-2025-0016; FAR FA-000092 — ticket OFF-00092; register last showed Chicago - Closed. Also duplicate serial MD-NE-050088. TR-00092 APR-00092.</t>
        </is>
      </c>
      <c r="L96" s="7" t="inlineStr">
        <is>
          <t>2026-06-09</t>
        </is>
      </c>
      <c r="M96" s="7" t="n">
        <v>6245</v>
      </c>
      <c r="N96" s="7">
        <f>IFERROR(XLOOKUP(A96,'Source Ledger'!$B$5:$B$133,'Source Ledger'!$G$5:$G$133),"")</f>
        <v>1396.04</v>
      </c>
      <c r="O96" s="7">
        <f>IFERROR(XLOOKUP(A96,'Source Ledger'!$B$5:$B$133,'Source Ledger'!$A$5:$A$133),"")</f>
        <v/>
      </c>
      <c r="P96" s="7" t="inlineStr">
        <is>
          <t>Yes</t>
        </is>
      </c>
      <c r="Q96" s="7" t="inlineStr">
        <is>
          <t>Low</t>
        </is>
      </c>
      <c r="R96" s="7" t="inlineStr">
        <is>
          <t>EX-0109, EX-0110, EX-0111</t>
        </is>
      </c>
      <c r="S96" s="7" t="inlineStr">
        <is>
          <t>Yes</t>
        </is>
      </c>
      <c r="T96" t="n">
        <v>6245</v>
      </c>
      <c r="U96" t="inlineStr">
        <is>
          <t>Active</t>
        </is>
      </c>
      <c r="V96" t="n">
        <v>1396.04</v>
      </c>
      <c r="W96" t="n">
        <v>0</v>
      </c>
      <c r="X96" t="inlineStr">
        <is>
          <t>Yes</t>
        </is>
      </c>
    </row>
    <row r="97">
      <c r="A97" s="7" t="inlineStr">
        <is>
          <t>MD-00093</t>
        </is>
      </c>
      <c r="B97" s="7" t="inlineStr">
        <is>
          <t>MD-LA-050093</t>
        </is>
      </c>
      <c r="C97" s="7" t="inlineStr">
        <is>
          <t>Laptop</t>
        </is>
      </c>
      <c r="D97" s="7" t="inlineStr">
        <is>
          <t>Dell Latitude 7440</t>
        </is>
      </c>
      <c r="E97" s="7" t="inlineStr">
        <is>
          <t>E0081</t>
        </is>
      </c>
      <c r="F97" s="7" t="inlineStr">
        <is>
          <t>Denver - Closed</t>
        </is>
      </c>
      <c r="G97" s="7" t="inlineStr">
        <is>
          <t>Assigned</t>
        </is>
      </c>
      <c r="H97" s="7" t="inlineStr">
        <is>
          <t>E0081</t>
        </is>
      </c>
      <c r="I97" s="7" t="inlineStr">
        <is>
          <t>Unknown</t>
        </is>
      </c>
      <c r="J97" s="8" t="inlineStr">
        <is>
          <t>Missing</t>
        </is>
      </c>
      <c r="K97" s="7" t="inlineStr">
        <is>
          <t>Can't locate MD-00093 (Dell Latitude 7440). OFF-00093. assignment sits on TR-00093 (APR-00093). bought on PO-2025-0016; FAR FA-000093; ticket OFF-00093. Also register last showed Denver - Closed</t>
        </is>
      </c>
      <c r="L97" s="7" t="inlineStr">
        <is>
          <t>2026-05-10</t>
        </is>
      </c>
      <c r="M97" s="7" t="n">
        <v>1940</v>
      </c>
      <c r="N97" s="7">
        <f>IFERROR(XLOOKUP(A97,'Source Ledger'!$B$5:$B$133,'Source Ledger'!$G$5:$G$133),"")</f>
        <v>130.57</v>
      </c>
      <c r="O97" s="7">
        <f>IFERROR(XLOOKUP(A97,'Source Ledger'!$B$5:$B$133,'Source Ledger'!$A$5:$A$133),"")</f>
        <v/>
      </c>
      <c r="P97" s="7" t="inlineStr">
        <is>
          <t>No</t>
        </is>
      </c>
      <c r="Q97" s="7" t="inlineStr">
        <is>
          <t>Low</t>
        </is>
      </c>
      <c r="R97" s="7" t="inlineStr">
        <is>
          <t>EX-0112, EX-0113</t>
        </is>
      </c>
      <c r="S97" s="7" t="inlineStr">
        <is>
          <t>Yes</t>
        </is>
      </c>
      <c r="T97" t="n">
        <v>1940</v>
      </c>
      <c r="U97" t="inlineStr">
        <is>
          <t>Active</t>
        </is>
      </c>
      <c r="V97" t="n">
        <v>130.57</v>
      </c>
      <c r="W97" t="n">
        <v>0</v>
      </c>
      <c r="X97" t="inlineStr">
        <is>
          <t>Yes</t>
        </is>
      </c>
    </row>
    <row r="98">
      <c r="A98" s="7" t="inlineStr">
        <is>
          <t>MD-00094</t>
        </is>
      </c>
      <c r="B98" s="7" t="inlineStr">
        <is>
          <t>MD-MO-050094</t>
        </is>
      </c>
      <c r="C98" s="7" t="inlineStr">
        <is>
          <t>Monitor</t>
        </is>
      </c>
      <c r="D98" s="7" t="inlineStr">
        <is>
          <t>Dell U2723QE</t>
        </is>
      </c>
      <c r="E98" s="7" t="inlineStr">
        <is>
          <t>E0082</t>
        </is>
      </c>
      <c r="F98" s="7" t="inlineStr">
        <is>
          <t>Chicago - Closed</t>
        </is>
      </c>
      <c r="G98" s="7" t="inlineStr">
        <is>
          <t>Assigned</t>
        </is>
      </c>
      <c r="H98" s="7" t="inlineStr">
        <is>
          <t>E0082</t>
        </is>
      </c>
      <c r="I98" s="7" t="inlineStr">
        <is>
          <t>Unknown</t>
        </is>
      </c>
      <c r="J98" s="8" t="inlineStr">
        <is>
          <t>Missing</t>
        </is>
      </c>
      <c r="K98" s="7" t="inlineStr">
        <is>
          <t>Chicago - Closed was the last listed floor — it's closed and the device isn't in receiving. bought on PO-2025-0016; FAR FA-000094. Also ticket OFF-00094. Note: register last showed Chicago - Closed. TR-00094 APR-00094.</t>
        </is>
      </c>
      <c r="L98" s="7" t="inlineStr">
        <is>
          <t>2026-06-11</t>
        </is>
      </c>
      <c r="M98" s="7" t="n">
        <v>655</v>
      </c>
      <c r="N98" s="7">
        <f>IFERROR(XLOOKUP(A98,'Source Ledger'!$B$5:$B$133,'Source Ledger'!$G$5:$G$133),"")</f>
        <v>431.2</v>
      </c>
      <c r="O98" s="7">
        <f>IFERROR(XLOOKUP(A98,'Source Ledger'!$B$5:$B$133,'Source Ledger'!$A$5:$A$133),"")</f>
        <v/>
      </c>
      <c r="P98" s="7" t="inlineStr">
        <is>
          <t>No</t>
        </is>
      </c>
      <c r="Q98" s="7" t="inlineStr">
        <is>
          <t>Low</t>
        </is>
      </c>
      <c r="R98" s="7" t="inlineStr">
        <is>
          <t>EX-0114, EX-0115</t>
        </is>
      </c>
      <c r="S98" s="7" t="inlineStr">
        <is>
          <t>Yes</t>
        </is>
      </c>
      <c r="T98" t="n">
        <v>655</v>
      </c>
      <c r="U98" t="inlineStr">
        <is>
          <t>Active</t>
        </is>
      </c>
      <c r="V98" t="n">
        <v>431.2</v>
      </c>
      <c r="W98" t="n">
        <v>0</v>
      </c>
      <c r="X98" t="inlineStr">
        <is>
          <t>Yes</t>
        </is>
      </c>
    </row>
    <row r="99">
      <c r="A99" s="7" t="inlineStr">
        <is>
          <t>MD-00095</t>
        </is>
      </c>
      <c r="B99" s="7" t="inlineStr">
        <is>
          <t>MD-MO-050095</t>
        </is>
      </c>
      <c r="C99" s="7" t="inlineStr">
        <is>
          <t>Mobile Device</t>
        </is>
      </c>
      <c r="D99" s="7" t="inlineStr">
        <is>
          <t>Samsung Galaxy S24</t>
        </is>
      </c>
      <c r="E99" s="7" t="inlineStr">
        <is>
          <t>E0083</t>
        </is>
      </c>
      <c r="F99" s="7" t="inlineStr">
        <is>
          <t>Denver - Closed</t>
        </is>
      </c>
      <c r="G99" s="7" t="inlineStr">
        <is>
          <t>Assigned</t>
        </is>
      </c>
      <c r="H99" s="7" t="inlineStr">
        <is>
          <t>E0083</t>
        </is>
      </c>
      <c r="I99" s="7" t="inlineStr">
        <is>
          <t>Unknown</t>
        </is>
      </c>
      <c r="J99" s="8" t="inlineStr">
        <is>
          <t>Missing</t>
        </is>
      </c>
      <c r="K99" s="7" t="inlineStr">
        <is>
          <t>Loss path. MD-00095. OFF-00095. assignment sits on TR-00095 (APR-00095). bought on PO-2025-0016; FAR FA-000095. Note: ticket OFF-00095. register last showed Denver - Closed</t>
        </is>
      </c>
      <c r="L99" s="7" t="inlineStr">
        <is>
          <t>2026-06-24</t>
        </is>
      </c>
      <c r="M99" s="7" t="n">
        <v>1130</v>
      </c>
      <c r="N99" s="7">
        <f>IFERROR(XLOOKUP(A99,'Source Ledger'!$B$5:$B$133,'Source Ledger'!$G$5:$G$133),"")</f>
        <v>894.87</v>
      </c>
      <c r="O99" s="7">
        <f>IFERROR(XLOOKUP(A99,'Source Ledger'!$B$5:$B$133,'Source Ledger'!$A$5:$A$133),"")</f>
        <v/>
      </c>
      <c r="P99" s="7" t="inlineStr">
        <is>
          <t>No</t>
        </is>
      </c>
      <c r="Q99" s="7" t="inlineStr">
        <is>
          <t>Low</t>
        </is>
      </c>
      <c r="R99" s="7" t="inlineStr">
        <is>
          <t>EX-0116, EX-0117</t>
        </is>
      </c>
      <c r="S99" s="7" t="inlineStr">
        <is>
          <t>Yes</t>
        </is>
      </c>
      <c r="T99" t="n">
        <v>1130</v>
      </c>
      <c r="U99" t="inlineStr">
        <is>
          <t>Active</t>
        </is>
      </c>
      <c r="V99" t="n">
        <v>894.87</v>
      </c>
      <c r="W99" t="n">
        <v>0</v>
      </c>
      <c r="X99" t="inlineStr">
        <is>
          <t>Yes</t>
        </is>
      </c>
    </row>
    <row r="100">
      <c r="A100" s="7" t="inlineStr">
        <is>
          <t>MD-00096</t>
        </is>
      </c>
      <c r="B100" s="7" t="inlineStr">
        <is>
          <t>MD-NE-050096</t>
        </is>
      </c>
      <c r="C100" s="7" t="inlineStr">
        <is>
          <t>Network Asset</t>
        </is>
      </c>
      <c r="D100" s="7" t="inlineStr">
        <is>
          <t>Cisco C9300</t>
        </is>
      </c>
      <c r="E100" s="7" t="inlineStr">
        <is>
          <t>E0084</t>
        </is>
      </c>
      <c r="F100" s="7" t="inlineStr">
        <is>
          <t>Chicago - Closed</t>
        </is>
      </c>
      <c r="G100" s="7" t="inlineStr">
        <is>
          <t>Assigned</t>
        </is>
      </c>
      <c r="H100" s="7" t="inlineStr">
        <is>
          <t>E0084</t>
        </is>
      </c>
      <c r="I100" s="7" t="inlineStr">
        <is>
          <t>Unknown</t>
        </is>
      </c>
      <c r="J100" s="8" t="inlineStr">
        <is>
          <t>Missing</t>
        </is>
      </c>
      <c r="K100" s="7" t="inlineStr">
        <is>
          <t>MD-00096 is Missing. Last register site Chicago - Closed. OFF-00096. TR-00096 (APR-00096) on the movement log. bought on PO-2025-0016; FAR FA-000096. ticket OFF-00096 — register last showed Chicago - Closed</t>
        </is>
      </c>
      <c r="L100" s="7" t="inlineStr">
        <is>
          <t>2026-06-13</t>
        </is>
      </c>
      <c r="M100" s="7" t="n">
        <v>6425</v>
      </c>
      <c r="N100" s="7">
        <f>IFERROR(XLOOKUP(A100,'Source Ledger'!$B$5:$B$133,'Source Ledger'!$G$5:$G$133),"")</f>
        <v>511.01</v>
      </c>
      <c r="O100" s="7">
        <f>IFERROR(XLOOKUP(A100,'Source Ledger'!$B$5:$B$133,'Source Ledger'!$A$5:$A$133),"")</f>
        <v/>
      </c>
      <c r="P100" s="7" t="inlineStr">
        <is>
          <t>Yes</t>
        </is>
      </c>
      <c r="Q100" s="7" t="inlineStr">
        <is>
          <t>Low</t>
        </is>
      </c>
      <c r="R100" s="7" t="inlineStr">
        <is>
          <t>EX-0118, EX-0119</t>
        </is>
      </c>
      <c r="S100" s="7" t="inlineStr">
        <is>
          <t>Yes</t>
        </is>
      </c>
      <c r="T100" t="n">
        <v>6425</v>
      </c>
      <c r="U100" t="inlineStr">
        <is>
          <t>Active</t>
        </is>
      </c>
      <c r="V100" t="n">
        <v>511.01</v>
      </c>
      <c r="W100" t="n">
        <v>0</v>
      </c>
      <c r="X100" t="inlineStr">
        <is>
          <t>Yes</t>
        </is>
      </c>
    </row>
    <row r="101">
      <c r="A101" s="7" t="inlineStr">
        <is>
          <t>MD-00097</t>
        </is>
      </c>
      <c r="B101" s="7" t="inlineStr">
        <is>
          <t>MD-LA-050097</t>
        </is>
      </c>
      <c r="C101" s="7" t="inlineStr">
        <is>
          <t>Laptop</t>
        </is>
      </c>
      <c r="D101" s="7" t="inlineStr">
        <is>
          <t>Lenovo ThinkPad T14</t>
        </is>
      </c>
      <c r="E101" s="7" t="inlineStr">
        <is>
          <t>E0085</t>
        </is>
      </c>
      <c r="F101" s="7" t="inlineStr">
        <is>
          <t>Denver - Closed</t>
        </is>
      </c>
      <c r="G101" s="7" t="inlineStr">
        <is>
          <t>Assigned</t>
        </is>
      </c>
      <c r="H101" s="7" t="inlineStr">
        <is>
          <t>E0085</t>
        </is>
      </c>
      <c r="I101" s="7" t="inlineStr">
        <is>
          <t>Unknown</t>
        </is>
      </c>
      <c r="J101" s="8" t="inlineStr">
        <is>
          <t>Missing</t>
        </is>
      </c>
      <c r="K101" s="7" t="inlineStr">
        <is>
          <t>No scan/cert/count. MD-00097 stays Missing. hr_employee_status still has E0085 as Separated. bought on PO-2022-0017; FAR FA-000097 — ticket OFF-00097; register last showed Denver - Closed. TR-00097 APR-00097.</t>
        </is>
      </c>
      <c r="L101" s="7" t="inlineStr">
        <is>
          <t>2026-05-14</t>
        </is>
      </c>
      <c r="M101" s="7" t="n">
        <v>2120</v>
      </c>
      <c r="N101" s="7">
        <f>IFERROR(XLOOKUP(A101,'Source Ledger'!$B$5:$B$133,'Source Ledger'!$G$5:$G$133),"")</f>
        <v>0</v>
      </c>
      <c r="O101" s="7">
        <f>IFERROR(XLOOKUP(A101,'Source Ledger'!$B$5:$B$133,'Source Ledger'!$A$5:$A$133),"")</f>
        <v/>
      </c>
      <c r="P101" s="7" t="inlineStr">
        <is>
          <t>No</t>
        </is>
      </c>
      <c r="Q101" s="7" t="inlineStr">
        <is>
          <t>Low</t>
        </is>
      </c>
      <c r="R101" s="7" t="inlineStr">
        <is>
          <t>EX-0120, EX-0121</t>
        </is>
      </c>
      <c r="S101" s="7" t="inlineStr">
        <is>
          <t>Yes</t>
        </is>
      </c>
      <c r="T101" t="n">
        <v>2120</v>
      </c>
      <c r="U101" t="inlineStr">
        <is>
          <t>Active</t>
        </is>
      </c>
      <c r="V101" t="n">
        <v>0</v>
      </c>
      <c r="W101" t="n">
        <v>0</v>
      </c>
      <c r="X101" t="inlineStr">
        <is>
          <t>Yes</t>
        </is>
      </c>
    </row>
    <row r="102">
      <c r="A102" s="7" t="inlineStr">
        <is>
          <t>MD-00098</t>
        </is>
      </c>
      <c r="B102" s="7" t="inlineStr">
        <is>
          <t>MD-MO-050098</t>
        </is>
      </c>
      <c r="C102" s="7" t="inlineStr">
        <is>
          <t>Monitor</t>
        </is>
      </c>
      <c r="D102" s="7" t="inlineStr">
        <is>
          <t>Dell U2723QE</t>
        </is>
      </c>
      <c r="E102" s="7" t="inlineStr">
        <is>
          <t>E0086</t>
        </is>
      </c>
      <c r="F102" s="7" t="inlineStr">
        <is>
          <t>Chicago - Closed</t>
        </is>
      </c>
      <c r="G102" s="7" t="inlineStr">
        <is>
          <t>Assigned</t>
        </is>
      </c>
      <c r="H102" s="7" t="inlineStr">
        <is>
          <t>E0086</t>
        </is>
      </c>
      <c r="I102" s="7" t="inlineStr">
        <is>
          <t>Unknown</t>
        </is>
      </c>
      <c r="J102" s="8" t="inlineStr">
        <is>
          <t>Missing</t>
        </is>
      </c>
      <c r="K102" s="7" t="inlineStr">
        <is>
          <t>Can't locate MD-00098 (Dell U2723QE). OFF-00098. TR-00098 (APR-00098) on the movement log. bought on PO-2022-0017; FAR FA-000098; ticket OFF-00098. Also register last showed Chicago - Closed</t>
        </is>
      </c>
      <c r="L102" s="7" t="inlineStr">
        <is>
          <t>2026-06-15</t>
        </is>
      </c>
      <c r="M102" s="7" t="n">
        <v>520</v>
      </c>
      <c r="N102" s="7">
        <f>IFERROR(XLOOKUP(A102,'Source Ledger'!$B$5:$B$133,'Source Ledger'!$G$5:$G$133),"")</f>
        <v>266.87</v>
      </c>
      <c r="O102" s="7">
        <f>IFERROR(XLOOKUP(A102,'Source Ledger'!$B$5:$B$133,'Source Ledger'!$A$5:$A$133),"")</f>
        <v/>
      </c>
      <c r="P102" s="7" t="inlineStr">
        <is>
          <t>No</t>
        </is>
      </c>
      <c r="Q102" s="7" t="inlineStr">
        <is>
          <t>Low</t>
        </is>
      </c>
      <c r="R102" s="7" t="inlineStr">
        <is>
          <t>EX-0122, EX-0123</t>
        </is>
      </c>
      <c r="S102" s="7" t="inlineStr">
        <is>
          <t>Yes</t>
        </is>
      </c>
      <c r="T102" t="n">
        <v>520</v>
      </c>
      <c r="U102" t="inlineStr">
        <is>
          <t>Active</t>
        </is>
      </c>
      <c r="V102" t="n">
        <v>266.87</v>
      </c>
      <c r="W102" t="n">
        <v>0</v>
      </c>
      <c r="X102" t="inlineStr">
        <is>
          <t>Yes</t>
        </is>
      </c>
    </row>
    <row r="103">
      <c r="A103" s="7" t="inlineStr">
        <is>
          <t>MD-00099</t>
        </is>
      </c>
      <c r="B103" s="7" t="inlineStr">
        <is>
          <t>MD-MO-050099</t>
        </is>
      </c>
      <c r="C103" s="7" t="inlineStr">
        <is>
          <t>Mobile Device</t>
        </is>
      </c>
      <c r="D103" s="7" t="inlineStr">
        <is>
          <t>Samsung Galaxy S24</t>
        </is>
      </c>
      <c r="E103" s="7" t="inlineStr">
        <is>
          <t>E0087</t>
        </is>
      </c>
      <c r="F103" s="7" t="inlineStr">
        <is>
          <t>Denver - Closed</t>
        </is>
      </c>
      <c r="G103" s="7" t="inlineStr">
        <is>
          <t>Assigned</t>
        </is>
      </c>
      <c r="H103" s="7" t="inlineStr">
        <is>
          <t>E0087</t>
        </is>
      </c>
      <c r="I103" s="7" t="inlineStr">
        <is>
          <t>Unknown</t>
        </is>
      </c>
      <c r="J103" s="8" t="inlineStr">
        <is>
          <t>Missing</t>
        </is>
      </c>
      <c r="K103" s="7" t="inlineStr">
        <is>
          <t>Denver - Closed was the last listed floor — it's closed and the device isn't in receiving. bought on PO-2022-0017; FAR FA-000099. Also ticket OFF-00099. Note: register last showed Denver - Closed. TR-00099 APR-00099.</t>
        </is>
      </c>
      <c r="L103" s="7" t="inlineStr">
        <is>
          <t>2026-05-16</t>
        </is>
      </c>
      <c r="M103" s="7" t="n">
        <v>995</v>
      </c>
      <c r="N103" s="7">
        <f>IFERROR(XLOOKUP(A103,'Source Ledger'!$B$5:$B$133,'Source Ledger'!$G$5:$G$133),"")</f>
        <v>548.24</v>
      </c>
      <c r="O103" s="7">
        <f>IFERROR(XLOOKUP(A103,'Source Ledger'!$B$5:$B$133,'Source Ledger'!$A$5:$A$133),"")</f>
        <v/>
      </c>
      <c r="P103" s="7" t="inlineStr">
        <is>
          <t>No</t>
        </is>
      </c>
      <c r="Q103" s="7" t="inlineStr">
        <is>
          <t>Low</t>
        </is>
      </c>
      <c r="R103" s="7" t="inlineStr">
        <is>
          <t>EX-0124, EX-0125</t>
        </is>
      </c>
      <c r="S103" s="7" t="inlineStr">
        <is>
          <t>Yes</t>
        </is>
      </c>
      <c r="T103" t="n">
        <v>995</v>
      </c>
      <c r="U103" t="inlineStr">
        <is>
          <t>Active</t>
        </is>
      </c>
      <c r="V103" t="n">
        <v>548.24</v>
      </c>
      <c r="W103" t="n">
        <v>0</v>
      </c>
      <c r="X103" t="inlineStr">
        <is>
          <t>Yes</t>
        </is>
      </c>
    </row>
    <row r="104">
      <c r="A104" s="7" t="inlineStr">
        <is>
          <t>MD-00100</t>
        </is>
      </c>
      <c r="B104" s="7" t="inlineStr">
        <is>
          <t>MD-NE-050100</t>
        </is>
      </c>
      <c r="C104" s="7" t="inlineStr">
        <is>
          <t>Network Asset</t>
        </is>
      </c>
      <c r="D104" s="7" t="inlineStr">
        <is>
          <t>Cisco C9300</t>
        </is>
      </c>
      <c r="E104" s="7" t="inlineStr">
        <is>
          <t>E0088</t>
        </is>
      </c>
      <c r="F104" s="7" t="inlineStr">
        <is>
          <t>Chicago - Closed</t>
        </is>
      </c>
      <c r="G104" s="7" t="inlineStr">
        <is>
          <t>Assigned</t>
        </is>
      </c>
      <c r="H104" s="7" t="inlineStr">
        <is>
          <t>E0088</t>
        </is>
      </c>
      <c r="I104" s="7" t="inlineStr">
        <is>
          <t>Unknown</t>
        </is>
      </c>
      <c r="J104" s="8" t="inlineStr">
        <is>
          <t>Missing</t>
        </is>
      </c>
      <c r="K104" s="7" t="inlineStr">
        <is>
          <t>Loss path. MD-00100. OFF-00100. TR-00100 (APR-00100) on the movement log. bought on PO-2022-0017; FAR FA-000100. Note: ticket OFF-00100. register last showed Chicago - Closed</t>
        </is>
      </c>
      <c r="L104" s="7" t="inlineStr">
        <is>
          <t>2026-06-17</t>
        </is>
      </c>
      <c r="M104" s="7" t="n">
        <v>6290</v>
      </c>
      <c r="N104" s="7">
        <f>IFERROR(XLOOKUP(A104,'Source Ledger'!$B$5:$B$133,'Source Ledger'!$G$5:$G$133),"")</f>
        <v>927.36</v>
      </c>
      <c r="O104" s="7">
        <f>IFERROR(XLOOKUP(A104,'Source Ledger'!$B$5:$B$133,'Source Ledger'!$A$5:$A$133),"")</f>
        <v/>
      </c>
      <c r="P104" s="7" t="inlineStr">
        <is>
          <t>Yes</t>
        </is>
      </c>
      <c r="Q104" s="7" t="inlineStr">
        <is>
          <t>Low</t>
        </is>
      </c>
      <c r="R104" s="7" t="inlineStr">
        <is>
          <t>EX-0126, EX-0127</t>
        </is>
      </c>
      <c r="S104" s="7" t="inlineStr">
        <is>
          <t>Yes</t>
        </is>
      </c>
      <c r="T104" t="n">
        <v>6290</v>
      </c>
      <c r="U104" t="inlineStr">
        <is>
          <t>Active</t>
        </is>
      </c>
      <c r="V104" t="n">
        <v>927.36</v>
      </c>
      <c r="W104" t="n">
        <v>0</v>
      </c>
      <c r="X104" t="inlineStr">
        <is>
          <t>Yes</t>
        </is>
      </c>
    </row>
    <row r="105">
      <c r="A105" s="7" t="inlineStr">
        <is>
          <t>MD-00101</t>
        </is>
      </c>
      <c r="B105" s="7" t="inlineStr">
        <is>
          <t>MD-LA-050101</t>
        </is>
      </c>
      <c r="C105" s="7" t="inlineStr">
        <is>
          <t>Laptop</t>
        </is>
      </c>
      <c r="D105" s="7" t="inlineStr">
        <is>
          <t>MacBook Pro 14</t>
        </is>
      </c>
      <c r="E105" s="7" t="inlineStr">
        <is>
          <t>E0089</t>
        </is>
      </c>
      <c r="F105" s="7" t="inlineStr">
        <is>
          <t>Denver - Closed</t>
        </is>
      </c>
      <c r="G105" s="7" t="inlineStr">
        <is>
          <t>Assigned</t>
        </is>
      </c>
      <c r="H105" s="7" t="inlineStr">
        <is>
          <t>Regional IT</t>
        </is>
      </c>
      <c r="I105" s="7" t="inlineStr">
        <is>
          <t>Seattle</t>
        </is>
      </c>
      <c r="J105" s="7" t="inlineStr">
        <is>
          <t>Retired/Pending Disposal</t>
        </is>
      </c>
      <c r="K105" s="7" t="inlineStr">
        <is>
          <t>MD-00101 retirement/disposal trail: RET-00101. assignment sits on TR-00101 (APR-00101). bought on PO-2022-0017; FAR FA-000101. ticket RET-00101</t>
        </is>
      </c>
      <c r="L105" s="7" t="inlineStr">
        <is>
          <t>2026-06-07</t>
        </is>
      </c>
      <c r="M105" s="7" t="n">
        <v>1985</v>
      </c>
      <c r="N105" s="7">
        <f>IFERROR(XLOOKUP(A105,'Source Ledger'!$B$5:$B$133,'Source Ledger'!$G$5:$G$133),"")</f>
        <v>0</v>
      </c>
      <c r="O105" s="7">
        <f>IFERROR(XLOOKUP(A105,'Source Ledger'!$B$5:$B$133,'Source Ledger'!$A$5:$A$133),"")</f>
        <v/>
      </c>
      <c r="P105" s="7" t="inlineStr">
        <is>
          <t>No</t>
        </is>
      </c>
      <c r="Q105" s="7" t="inlineStr">
        <is>
          <t>Medium</t>
        </is>
      </c>
      <c r="R105" s="7" t="inlineStr">
        <is>
          <t>EX-0128, EX-0129</t>
        </is>
      </c>
      <c r="S105" s="7" t="inlineStr">
        <is>
          <t>Yes</t>
        </is>
      </c>
      <c r="T105" t="n">
        <v>1985</v>
      </c>
      <c r="U105" t="inlineStr">
        <is>
          <t>Active</t>
        </is>
      </c>
      <c r="V105" t="n">
        <v>0</v>
      </c>
      <c r="W105" t="n">
        <v>0</v>
      </c>
      <c r="X105" t="inlineStr">
        <is>
          <t>Yes</t>
        </is>
      </c>
    </row>
    <row r="106">
      <c r="A106" s="7" t="inlineStr">
        <is>
          <t>MD-00102</t>
        </is>
      </c>
      <c r="B106" s="7" t="inlineStr">
        <is>
          <t>MD-MO-050102</t>
        </is>
      </c>
      <c r="C106" s="7" t="inlineStr">
        <is>
          <t>Monitor</t>
        </is>
      </c>
      <c r="D106" s="7" t="inlineStr">
        <is>
          <t>Dell U2723QE</t>
        </is>
      </c>
      <c r="E106" s="7" t="inlineStr">
        <is>
          <t>E0090</t>
        </is>
      </c>
      <c r="F106" s="7" t="inlineStr">
        <is>
          <t>Chicago - Closed</t>
        </is>
      </c>
      <c r="G106" s="7" t="inlineStr">
        <is>
          <t>Assigned</t>
        </is>
      </c>
      <c r="H106" s="7" t="inlineStr">
        <is>
          <t>Regional IT</t>
        </is>
      </c>
      <c r="I106" s="7" t="inlineStr">
        <is>
          <t>Atlanta</t>
        </is>
      </c>
      <c r="J106" s="7" t="inlineStr">
        <is>
          <t>Retired/Pending Disposal</t>
        </is>
      </c>
      <c r="K106" s="7" t="inlineStr">
        <is>
          <t>Dell U2723QE MD-00102 — Retired/Pending Disposal. TR-00102 (APR-00102) on the movement log. bought on PO-2022-0017; FAR FA-000102. ticket RET-00102</t>
        </is>
      </c>
      <c r="L106" s="7" t="inlineStr">
        <is>
          <t>2026-05-31</t>
        </is>
      </c>
      <c r="M106" s="7" t="n">
        <v>700</v>
      </c>
      <c r="N106" s="7">
        <f>IFERROR(XLOOKUP(A106,'Source Ledger'!$B$5:$B$133,'Source Ledger'!$G$5:$G$133),"")</f>
        <v>407.54</v>
      </c>
      <c r="O106" s="7">
        <f>IFERROR(XLOOKUP(A106,'Source Ledger'!$B$5:$B$133,'Source Ledger'!$A$5:$A$133),"")</f>
        <v/>
      </c>
      <c r="P106" s="7" t="inlineStr">
        <is>
          <t>No</t>
        </is>
      </c>
      <c r="Q106" s="7" t="inlineStr">
        <is>
          <t>Medium</t>
        </is>
      </c>
      <c r="R106" s="7" t="inlineStr">
        <is>
          <t>EX-0130, EX-0131, EX-0132</t>
        </is>
      </c>
      <c r="S106" s="7" t="inlineStr">
        <is>
          <t>Yes</t>
        </is>
      </c>
      <c r="T106" t="n">
        <v>820</v>
      </c>
      <c r="U106" t="inlineStr">
        <is>
          <t>Active</t>
        </is>
      </c>
      <c r="V106" t="n">
        <v>407.54</v>
      </c>
      <c r="W106" t="n">
        <v>120</v>
      </c>
      <c r="X106" t="inlineStr">
        <is>
          <t>Yes</t>
        </is>
      </c>
    </row>
    <row r="107">
      <c r="A107" s="7" t="inlineStr">
        <is>
          <t>MD-00103</t>
        </is>
      </c>
      <c r="B107" s="7" t="inlineStr">
        <is>
          <t>MD-MO-050103</t>
        </is>
      </c>
      <c r="C107" s="7" t="inlineStr">
        <is>
          <t>Mobile Device</t>
        </is>
      </c>
      <c r="D107" s="7" t="inlineStr">
        <is>
          <t>Samsung Galaxy S24</t>
        </is>
      </c>
      <c r="E107" s="7" t="inlineStr">
        <is>
          <t>E0091</t>
        </is>
      </c>
      <c r="F107" s="7" t="inlineStr">
        <is>
          <t>Denver - Closed</t>
        </is>
      </c>
      <c r="G107" s="7" t="inlineStr">
        <is>
          <t>Assigned</t>
        </is>
      </c>
      <c r="H107" s="7" t="inlineStr">
        <is>
          <t>Regional IT</t>
        </is>
      </c>
      <c r="I107" s="7" t="inlineStr">
        <is>
          <t>Chicago</t>
        </is>
      </c>
      <c r="J107" s="7" t="inlineStr">
        <is>
          <t>Retired/Pending Disposal</t>
        </is>
      </c>
      <c r="K107" s="7" t="inlineStr">
        <is>
          <t>Not Available. MD-00103 is Retired/Pending Disposal. assignment sits on TR-00103 (APR-00103). bought on PO-2023-0018; FAR FA-000103; ticket RET-00103</t>
        </is>
      </c>
      <c r="L107" s="7" t="inlineStr">
        <is>
          <t>2026-05-31</t>
        </is>
      </c>
      <c r="M107" s="7" t="n">
        <v>1175</v>
      </c>
      <c r="N107" s="7">
        <f>IFERROR(XLOOKUP(A107,'Source Ledger'!$B$5:$B$133,'Source Ledger'!$G$5:$G$133),"")</f>
        <v>782.53</v>
      </c>
      <c r="O107" s="7">
        <f>IFERROR(XLOOKUP(A107,'Source Ledger'!$B$5:$B$133,'Source Ledger'!$A$5:$A$133),"")</f>
        <v/>
      </c>
      <c r="P107" s="7" t="inlineStr">
        <is>
          <t>No</t>
        </is>
      </c>
      <c r="Q107" s="7" t="inlineStr">
        <is>
          <t>Medium</t>
        </is>
      </c>
      <c r="R107" s="7" t="inlineStr">
        <is>
          <t>EX-0133, EX-0134</t>
        </is>
      </c>
      <c r="S107" s="7" t="inlineStr">
        <is>
          <t>Yes</t>
        </is>
      </c>
      <c r="T107" t="n">
        <v>1175</v>
      </c>
      <c r="U107" t="inlineStr">
        <is>
          <t>Active</t>
        </is>
      </c>
      <c r="V107" t="n">
        <v>782.53</v>
      </c>
      <c r="W107" t="n">
        <v>0</v>
      </c>
      <c r="X107" t="inlineStr">
        <is>
          <t>Yes</t>
        </is>
      </c>
    </row>
    <row r="108">
      <c r="A108" s="7" t="inlineStr">
        <is>
          <t>MD-00104</t>
        </is>
      </c>
      <c r="B108" s="7" t="inlineStr">
        <is>
          <t>MD-NE-050104</t>
        </is>
      </c>
      <c r="C108" s="7" t="inlineStr">
        <is>
          <t>Network Asset</t>
        </is>
      </c>
      <c r="D108" s="7" t="inlineStr">
        <is>
          <t>Cisco C9300</t>
        </is>
      </c>
      <c r="E108" s="7" t="inlineStr">
        <is>
          <t>E0092</t>
        </is>
      </c>
      <c r="F108" s="7" t="inlineStr">
        <is>
          <t>Chicago - Closed</t>
        </is>
      </c>
      <c r="G108" s="7" t="inlineStr">
        <is>
          <t>Assigned</t>
        </is>
      </c>
      <c r="H108" s="7" t="inlineStr">
        <is>
          <t>Regional IT</t>
        </is>
      </c>
      <c r="I108" s="7" t="inlineStr">
        <is>
          <t>Dallas</t>
        </is>
      </c>
      <c r="J108" s="7" t="inlineStr">
        <is>
          <t>Retired/Pending Disposal</t>
        </is>
      </c>
      <c r="K108" s="7" t="inlineStr">
        <is>
          <t>Retired/Pending Disposal on MD-00104. RET-00104. TR-00104 (APR-00104) on the movement log. bought on PO-2023-0018; FAR FA-000104. ticket RET-00104</t>
        </is>
      </c>
      <c r="L108" s="7" t="inlineStr">
        <is>
          <t>2026-05-31</t>
        </is>
      </c>
      <c r="M108" s="7" t="n">
        <v>6470</v>
      </c>
      <c r="N108" s="7">
        <f>IFERROR(XLOOKUP(A108,'Source Ledger'!$B$5:$B$133,'Source Ledger'!$G$5:$G$133),"")</f>
        <v>1403.83</v>
      </c>
      <c r="O108" s="7">
        <f>IFERROR(XLOOKUP(A108,'Source Ledger'!$B$5:$B$133,'Source Ledger'!$A$5:$A$133),"")</f>
        <v/>
      </c>
      <c r="P108" s="7" t="inlineStr">
        <is>
          <t>Yes</t>
        </is>
      </c>
      <c r="Q108" s="7" t="inlineStr">
        <is>
          <t>Medium</t>
        </is>
      </c>
      <c r="R108" s="7" t="inlineStr">
        <is>
          <t>EX-0135, EX-0136</t>
        </is>
      </c>
      <c r="S108" s="7" t="inlineStr">
        <is>
          <t>Yes</t>
        </is>
      </c>
      <c r="T108" t="n">
        <v>6470</v>
      </c>
      <c r="U108" t="inlineStr">
        <is>
          <t>Active</t>
        </is>
      </c>
      <c r="V108" t="n">
        <v>1403.83</v>
      </c>
      <c r="W108" t="n">
        <v>0</v>
      </c>
      <c r="X108" t="inlineStr">
        <is>
          <t>Yes</t>
        </is>
      </c>
    </row>
    <row r="109">
      <c r="A109" s="7" t="inlineStr">
        <is>
          <t>MD-00105</t>
        </is>
      </c>
      <c r="B109" s="7" t="inlineStr">
        <is>
          <t>MD-LA-050105</t>
        </is>
      </c>
      <c r="C109" s="7" t="inlineStr">
        <is>
          <t>Laptop</t>
        </is>
      </c>
      <c r="D109" s="7" t="inlineStr">
        <is>
          <t>Dell Latitude 7440</t>
        </is>
      </c>
      <c r="E109" s="7" t="inlineStr">
        <is>
          <t>E0093</t>
        </is>
      </c>
      <c r="F109" s="7" t="inlineStr">
        <is>
          <t>Denver - Closed</t>
        </is>
      </c>
      <c r="G109" s="7" t="inlineStr">
        <is>
          <t>Assigned</t>
        </is>
      </c>
      <c r="H109" s="7" t="inlineStr">
        <is>
          <t>Regional IT</t>
        </is>
      </c>
      <c r="I109" s="7" t="inlineStr">
        <is>
          <t>Denver</t>
        </is>
      </c>
      <c r="J109" s="7" t="inlineStr">
        <is>
          <t>Retired/Pending Disposal</t>
        </is>
      </c>
      <c r="K109" s="7" t="inlineStr">
        <is>
          <t>MD-00105 retirement/disposal trail: RET-00105. assignment sits on TR-00105 (APR-00105). bought on PO-2023-0018; FAR FA-000105. Note: ticket RET-00105</t>
        </is>
      </c>
      <c r="L109" s="7" t="inlineStr">
        <is>
          <t>2026-05-31</t>
        </is>
      </c>
      <c r="M109" s="7" t="n">
        <v>1850</v>
      </c>
      <c r="N109" s="7">
        <f>IFERROR(XLOOKUP(A109,'Source Ledger'!$B$5:$B$133,'Source Ledger'!$G$5:$G$133),"")</f>
        <v>104.26</v>
      </c>
      <c r="O109" s="7">
        <f>IFERROR(XLOOKUP(A109,'Source Ledger'!$B$5:$B$133,'Source Ledger'!$A$5:$A$133),"")</f>
        <v/>
      </c>
      <c r="P109" s="7" t="inlineStr">
        <is>
          <t>No</t>
        </is>
      </c>
      <c r="Q109" s="7" t="inlineStr">
        <is>
          <t>Medium</t>
        </is>
      </c>
      <c r="R109" s="7" t="inlineStr">
        <is>
          <t>EX-0137, EX-0138</t>
        </is>
      </c>
      <c r="S109" s="7" t="inlineStr">
        <is>
          <t>Yes</t>
        </is>
      </c>
      <c r="T109" t="n">
        <v>1850</v>
      </c>
      <c r="U109" t="inlineStr">
        <is>
          <t>Active</t>
        </is>
      </c>
      <c r="V109" t="n">
        <v>104.26</v>
      </c>
      <c r="W109" t="n">
        <v>0</v>
      </c>
      <c r="X109" t="inlineStr">
        <is>
          <t>Yes</t>
        </is>
      </c>
    </row>
    <row r="110">
      <c r="A110" s="7" t="inlineStr">
        <is>
          <t>MD-00106</t>
        </is>
      </c>
      <c r="B110" s="7" t="inlineStr">
        <is>
          <t>MD-MO-050106</t>
        </is>
      </c>
      <c r="C110" s="7" t="inlineStr">
        <is>
          <t>Monitor</t>
        </is>
      </c>
      <c r="D110" s="7" t="inlineStr">
        <is>
          <t>Dell U2723QE</t>
        </is>
      </c>
      <c r="E110" s="7" t="inlineStr">
        <is>
          <t>E0094</t>
        </is>
      </c>
      <c r="F110" s="7" t="inlineStr">
        <is>
          <t>Chicago - Closed</t>
        </is>
      </c>
      <c r="G110" s="7" t="inlineStr">
        <is>
          <t>Assigned</t>
        </is>
      </c>
      <c r="H110" s="7" t="inlineStr">
        <is>
          <t>Regional IT</t>
        </is>
      </c>
      <c r="I110" s="7" t="inlineStr">
        <is>
          <t>New York</t>
        </is>
      </c>
      <c r="J110" s="7" t="inlineStr">
        <is>
          <t>Retired/Pending Disposal</t>
        </is>
      </c>
      <c r="K110" s="7" t="inlineStr">
        <is>
          <t>Dell U2723QE MD-00106 — Retired/Pending Disposal. TR-00106 (APR-00106) on the movement log. bought on PO-2023-0018; FAR FA-000106. ticket RET-00106</t>
        </is>
      </c>
      <c r="L110" s="7" t="inlineStr">
        <is>
          <t>2026-05-31</t>
        </is>
      </c>
      <c r="M110" s="7" t="n">
        <v>565</v>
      </c>
      <c r="N110" s="7">
        <f>IFERROR(XLOOKUP(A110,'Source Ledger'!$B$5:$B$133,'Source Ledger'!$G$5:$G$133),"")</f>
        <v>368.24</v>
      </c>
      <c r="O110" s="7">
        <f>IFERROR(XLOOKUP(A110,'Source Ledger'!$B$5:$B$133,'Source Ledger'!$A$5:$A$133),"")</f>
        <v/>
      </c>
      <c r="P110" s="7" t="inlineStr">
        <is>
          <t>No</t>
        </is>
      </c>
      <c r="Q110" s="7" t="inlineStr">
        <is>
          <t>Medium</t>
        </is>
      </c>
      <c r="R110" s="7" t="inlineStr">
        <is>
          <t>EX-0139, EX-0140</t>
        </is>
      </c>
      <c r="S110" s="7" t="inlineStr">
        <is>
          <t>Yes</t>
        </is>
      </c>
      <c r="T110" t="n">
        <v>565</v>
      </c>
      <c r="U110" t="inlineStr">
        <is>
          <t>Active</t>
        </is>
      </c>
      <c r="V110" t="n">
        <v>368.24</v>
      </c>
      <c r="W110" t="n">
        <v>0</v>
      </c>
      <c r="X110" t="inlineStr">
        <is>
          <t>Yes</t>
        </is>
      </c>
    </row>
    <row r="111">
      <c r="A111" s="7" t="inlineStr">
        <is>
          <t>MD-00107</t>
        </is>
      </c>
      <c r="B111" s="7" t="inlineStr">
        <is>
          <t>MD-MO-050107</t>
        </is>
      </c>
      <c r="C111" s="7" t="inlineStr">
        <is>
          <t>Mobile Device</t>
        </is>
      </c>
      <c r="D111" s="7" t="inlineStr">
        <is>
          <t>Samsung Galaxy S24</t>
        </is>
      </c>
      <c r="E111" s="7" t="inlineStr">
        <is>
          <t>E0095</t>
        </is>
      </c>
      <c r="F111" s="7" t="inlineStr">
        <is>
          <t>Denver - Closed</t>
        </is>
      </c>
      <c r="G111" s="7" t="inlineStr">
        <is>
          <t>Assigned</t>
        </is>
      </c>
      <c r="H111" s="7" t="inlineStr">
        <is>
          <t>Regional IT</t>
        </is>
      </c>
      <c r="I111" s="7" t="inlineStr">
        <is>
          <t>Seattle</t>
        </is>
      </c>
      <c r="J111" s="7" t="inlineStr">
        <is>
          <t>Retired/Pending Disposal</t>
        </is>
      </c>
      <c r="K111" s="7" t="inlineStr">
        <is>
          <t>Not Available. MD-00107 is Retired/Pending Disposal. assignment sits on TR-00107 (APR-00107). bought on PO-2023-0018; FAR FA-000107 — ticket RET-00107</t>
        </is>
      </c>
      <c r="L111" s="7" t="inlineStr">
        <is>
          <t>2026-06-13</t>
        </is>
      </c>
      <c r="M111" s="7" t="n">
        <v>1040</v>
      </c>
      <c r="N111" s="7">
        <f>IFERROR(XLOOKUP(A111,'Source Ledger'!$B$5:$B$133,'Source Ledger'!$G$5:$G$133),"")</f>
        <v>812.21</v>
      </c>
      <c r="O111" s="7">
        <f>IFERROR(XLOOKUP(A111,'Source Ledger'!$B$5:$B$133,'Source Ledger'!$A$5:$A$133),"")</f>
        <v/>
      </c>
      <c r="P111" s="7" t="inlineStr">
        <is>
          <t>No</t>
        </is>
      </c>
      <c r="Q111" s="7" t="inlineStr">
        <is>
          <t>Medium</t>
        </is>
      </c>
      <c r="R111" s="7" t="inlineStr">
        <is>
          <t>EX-0141, EX-0142</t>
        </is>
      </c>
      <c r="S111" s="7" t="inlineStr">
        <is>
          <t>Yes</t>
        </is>
      </c>
      <c r="T111" t="n">
        <v>1040</v>
      </c>
      <c r="U111" t="inlineStr">
        <is>
          <t>Active</t>
        </is>
      </c>
      <c r="V111" t="n">
        <v>812.21</v>
      </c>
      <c r="W111" t="n">
        <v>0</v>
      </c>
      <c r="X111" t="inlineStr">
        <is>
          <t>Yes</t>
        </is>
      </c>
    </row>
    <row r="112">
      <c r="A112" s="7" t="inlineStr">
        <is>
          <t>MD-00108</t>
        </is>
      </c>
      <c r="B112" s="7" t="inlineStr">
        <is>
          <t>MD-NE-050108</t>
        </is>
      </c>
      <c r="C112" s="7" t="inlineStr">
        <is>
          <t>Network Asset</t>
        </is>
      </c>
      <c r="D112" s="7" t="inlineStr">
        <is>
          <t>Cisco C9300</t>
        </is>
      </c>
      <c r="E112" s="7" t="inlineStr">
        <is>
          <t>E0071</t>
        </is>
      </c>
      <c r="F112" s="7" t="inlineStr">
        <is>
          <t>Chicago - Closed</t>
        </is>
      </c>
      <c r="G112" s="7" t="inlineStr">
        <is>
          <t>Assigned</t>
        </is>
      </c>
      <c r="H112" s="7" t="inlineStr">
        <is>
          <t>Regional IT</t>
        </is>
      </c>
      <c r="I112" s="7" t="inlineStr">
        <is>
          <t>Atlanta</t>
        </is>
      </c>
      <c r="J112" s="7" t="inlineStr">
        <is>
          <t>Retired/Pending Disposal</t>
        </is>
      </c>
      <c r="K112" s="7" t="inlineStr">
        <is>
          <t>Retired/Pending Disposal on MD-00108. RET-00108. TR-00108 (APR-00108) on the movement log. bought on PO-2023-0018; FAR FA-000108. ticket RET-00108</t>
        </is>
      </c>
      <c r="L112" s="7" t="inlineStr">
        <is>
          <t>2026-05-31</t>
        </is>
      </c>
      <c r="M112" s="7" t="n">
        <v>6335</v>
      </c>
      <c r="N112" s="7">
        <f>IFERROR(XLOOKUP(A112,'Source Ledger'!$B$5:$B$133,'Source Ledger'!$G$5:$G$133),"")</f>
        <v>545.48</v>
      </c>
      <c r="O112" s="7">
        <f>IFERROR(XLOOKUP(A112,'Source Ledger'!$B$5:$B$133,'Source Ledger'!$A$5:$A$133),"")</f>
        <v/>
      </c>
      <c r="P112" s="7" t="inlineStr">
        <is>
          <t>Yes</t>
        </is>
      </c>
      <c r="Q112" s="7" t="inlineStr">
        <is>
          <t>Medium</t>
        </is>
      </c>
      <c r="R112" s="7" t="inlineStr">
        <is>
          <t>EX-0143, EX-0144</t>
        </is>
      </c>
      <c r="S112" s="7" t="inlineStr">
        <is>
          <t>Yes</t>
        </is>
      </c>
      <c r="T112" t="n">
        <v>6335</v>
      </c>
      <c r="U112" t="inlineStr">
        <is>
          <t>Active</t>
        </is>
      </c>
      <c r="V112" t="n">
        <v>545.48</v>
      </c>
      <c r="W112" t="n">
        <v>0</v>
      </c>
      <c r="X112" t="inlineStr">
        <is>
          <t>Yes</t>
        </is>
      </c>
    </row>
    <row r="113">
      <c r="A113" s="7" t="inlineStr">
        <is>
          <t>MD-00109</t>
        </is>
      </c>
      <c r="B113" s="7" t="inlineStr">
        <is>
          <t>MD-LA-050109</t>
        </is>
      </c>
      <c r="C113" s="7" t="inlineStr">
        <is>
          <t>Laptop</t>
        </is>
      </c>
      <c r="D113" s="7" t="inlineStr">
        <is>
          <t>Lenovo ThinkPad T14</t>
        </is>
      </c>
      <c r="E113" s="7" t="inlineStr">
        <is>
          <t>E0072</t>
        </is>
      </c>
      <c r="F113" s="7" t="inlineStr">
        <is>
          <t>Denver - Closed</t>
        </is>
      </c>
      <c r="G113" s="7" t="inlineStr">
        <is>
          <t>Assigned</t>
        </is>
      </c>
      <c r="H113" s="7" t="inlineStr">
        <is>
          <t>Regional IT</t>
        </is>
      </c>
      <c r="I113" s="7" t="inlineStr">
        <is>
          <t>Chicago</t>
        </is>
      </c>
      <c r="J113" s="7" t="inlineStr">
        <is>
          <t>Retired/Pending Disposal</t>
        </is>
      </c>
      <c r="K113" s="7" t="inlineStr">
        <is>
          <t>MD-00109 retirement/disposal trail: RET-00109. assignment sits on TR-00109 (APR-00109). bought on PO-2024-0019; FAR FA-000109. Also ticket RET-00109</t>
        </is>
      </c>
      <c r="L113" s="7" t="inlineStr">
        <is>
          <t>2026-05-31</t>
        </is>
      </c>
      <c r="M113" s="7" t="n">
        <v>2030</v>
      </c>
      <c r="N113" s="7">
        <f>IFERROR(XLOOKUP(A113,'Source Ledger'!$B$5:$B$133,'Source Ledger'!$G$5:$G$133),"")</f>
        <v>0</v>
      </c>
      <c r="O113" s="7">
        <f>IFERROR(XLOOKUP(A113,'Source Ledger'!$B$5:$B$133,'Source Ledger'!$A$5:$A$133),"")</f>
        <v/>
      </c>
      <c r="P113" s="7" t="inlineStr">
        <is>
          <t>No</t>
        </is>
      </c>
      <c r="Q113" s="7" t="inlineStr">
        <is>
          <t>Medium</t>
        </is>
      </c>
      <c r="R113" s="7" t="inlineStr">
        <is>
          <t>EX-0145, EX-0146</t>
        </is>
      </c>
      <c r="S113" s="7" t="inlineStr">
        <is>
          <t>Yes</t>
        </is>
      </c>
      <c r="T113" t="n">
        <v>2030</v>
      </c>
      <c r="U113" t="inlineStr">
        <is>
          <t>Active</t>
        </is>
      </c>
      <c r="V113" t="n">
        <v>0</v>
      </c>
      <c r="W113" t="n">
        <v>0</v>
      </c>
      <c r="X113" t="inlineStr">
        <is>
          <t>Yes</t>
        </is>
      </c>
    </row>
    <row r="114">
      <c r="A114" s="7" t="inlineStr">
        <is>
          <t>MD-00110</t>
        </is>
      </c>
      <c r="B114" s="7" t="inlineStr">
        <is>
          <t>MD-MO-050110</t>
        </is>
      </c>
      <c r="C114" s="7" t="inlineStr">
        <is>
          <t>Monitor</t>
        </is>
      </c>
      <c r="D114" s="7" t="inlineStr">
        <is>
          <t>Dell U2723QE</t>
        </is>
      </c>
      <c r="E114" s="7" t="inlineStr">
        <is>
          <t>E0073</t>
        </is>
      </c>
      <c r="F114" s="7" t="inlineStr">
        <is>
          <t>Chicago - Closed</t>
        </is>
      </c>
      <c r="G114" s="7" t="inlineStr">
        <is>
          <t>Assigned</t>
        </is>
      </c>
      <c r="H114" s="7" t="inlineStr">
        <is>
          <t>Regional IT</t>
        </is>
      </c>
      <c r="I114" s="7" t="inlineStr">
        <is>
          <t>Dallas</t>
        </is>
      </c>
      <c r="J114" s="7" t="inlineStr">
        <is>
          <t>Retired/Pending Disposal</t>
        </is>
      </c>
      <c r="K114" s="7" t="inlineStr">
        <is>
          <t>Dell U2723QE MD-00110 — Retired/Pending Disposal. TR-00110 (APR-00110) on the movement log. bought on PO-2024-0019; FAR FA-000110. ticket RET-00110</t>
        </is>
      </c>
      <c r="L114" s="7" t="inlineStr">
        <is>
          <t>2026-05-31</t>
        </is>
      </c>
      <c r="M114" s="7" t="n">
        <v>745</v>
      </c>
      <c r="N114" s="7">
        <f>IFERROR(XLOOKUP(A114,'Source Ledger'!$B$5:$B$133,'Source Ledger'!$G$5:$G$133),"")</f>
        <v>387.24</v>
      </c>
      <c r="O114" s="7">
        <f>IFERROR(XLOOKUP(A114,'Source Ledger'!$B$5:$B$133,'Source Ledger'!$A$5:$A$133),"")</f>
        <v/>
      </c>
      <c r="P114" s="7" t="inlineStr">
        <is>
          <t>No</t>
        </is>
      </c>
      <c r="Q114" s="7" t="inlineStr">
        <is>
          <t>Medium</t>
        </is>
      </c>
      <c r="R114" s="7" t="inlineStr">
        <is>
          <t>EX-0147, EX-0148</t>
        </is>
      </c>
      <c r="S114" s="7" t="inlineStr">
        <is>
          <t>Yes</t>
        </is>
      </c>
      <c r="T114" t="n">
        <v>745</v>
      </c>
      <c r="U114" t="inlineStr">
        <is>
          <t>Active</t>
        </is>
      </c>
      <c r="V114" t="n">
        <v>387.24</v>
      </c>
      <c r="W114" t="n">
        <v>0</v>
      </c>
      <c r="X114" t="inlineStr">
        <is>
          <t>Yes</t>
        </is>
      </c>
    </row>
    <row r="115">
      <c r="A115" s="7" t="inlineStr">
        <is>
          <t>MD-00111</t>
        </is>
      </c>
      <c r="B115" s="7" t="inlineStr">
        <is>
          <t>MD-MO-050111</t>
        </is>
      </c>
      <c r="C115" s="7" t="inlineStr">
        <is>
          <t>Mobile Device</t>
        </is>
      </c>
      <c r="D115" s="7" t="inlineStr">
        <is>
          <t>Samsung Galaxy S24</t>
        </is>
      </c>
      <c r="E115" s="7" t="inlineStr">
        <is>
          <t>E0074</t>
        </is>
      </c>
      <c r="F115" s="7" t="inlineStr">
        <is>
          <t>Denver - Closed</t>
        </is>
      </c>
      <c r="G115" s="7" t="inlineStr">
        <is>
          <t>Assigned</t>
        </is>
      </c>
      <c r="H115" s="7" t="inlineStr">
        <is>
          <t>Certified Recycler</t>
        </is>
      </c>
      <c r="I115" s="7" t="inlineStr">
        <is>
          <t>Disposed</t>
        </is>
      </c>
      <c r="J115" s="7" t="inlineStr">
        <is>
          <t>Disposed</t>
        </is>
      </c>
      <c r="K115" s="7" t="inlineStr">
        <is>
          <t>Not Available. MD-00111 is Disposed. assignment sits on TR-00111 (APR-00111). bought on PO-2024-0019; FAR FA-000111. ticket RET-00111</t>
        </is>
      </c>
      <c r="L115" s="7" t="inlineStr">
        <is>
          <t>2026-07-20</t>
        </is>
      </c>
      <c r="M115" s="7" t="n">
        <v>1220</v>
      </c>
      <c r="N115" s="7">
        <f>IFERROR(XLOOKUP(A115,'Source Ledger'!$B$5:$B$133,'Source Ledger'!$G$5:$G$133),"")</f>
        <v>0</v>
      </c>
      <c r="O115" s="7">
        <f>IFERROR(XLOOKUP(A115,'Source Ledger'!$B$5:$B$133,'Source Ledger'!$A$5:$A$133),"")</f>
        <v/>
      </c>
      <c r="P115" s="7" t="inlineStr">
        <is>
          <t>No</t>
        </is>
      </c>
      <c r="Q115" s="9" t="inlineStr">
        <is>
          <t>High</t>
        </is>
      </c>
      <c r="R115" s="7" t="inlineStr"/>
      <c r="S115" s="7" t="inlineStr">
        <is>
          <t>No</t>
        </is>
      </c>
      <c r="T115" t="n">
        <v>1220</v>
      </c>
      <c r="U115" t="inlineStr">
        <is>
          <t>Disposed</t>
        </is>
      </c>
      <c r="V115" t="n">
        <v>0</v>
      </c>
      <c r="W115" t="n">
        <v>0</v>
      </c>
      <c r="X115" t="inlineStr">
        <is>
          <t>Yes</t>
        </is>
      </c>
    </row>
    <row r="116">
      <c r="A116" s="7" t="inlineStr">
        <is>
          <t>MD-00112</t>
        </is>
      </c>
      <c r="B116" s="7" t="inlineStr">
        <is>
          <t>MD-NE-050112</t>
        </is>
      </c>
      <c r="C116" s="7" t="inlineStr">
        <is>
          <t>Network Asset</t>
        </is>
      </c>
      <c r="D116" s="7" t="inlineStr">
        <is>
          <t>Cisco C9300</t>
        </is>
      </c>
      <c r="E116" s="7" t="inlineStr">
        <is>
          <t>E0075</t>
        </is>
      </c>
      <c r="F116" s="7" t="inlineStr">
        <is>
          <t>Chicago - Closed</t>
        </is>
      </c>
      <c r="G116" s="7" t="inlineStr">
        <is>
          <t>Assigned</t>
        </is>
      </c>
      <c r="H116" s="7" t="inlineStr">
        <is>
          <t>Certified Recycler</t>
        </is>
      </c>
      <c r="I116" s="7" t="inlineStr">
        <is>
          <t>Disposed</t>
        </is>
      </c>
      <c r="J116" s="7" t="inlineStr">
        <is>
          <t>Disposed</t>
        </is>
      </c>
      <c r="K116" s="7" t="inlineStr">
        <is>
          <t>Disposed on MD-00112. RET-00112. TR-00112 (APR-00112) on the movement log. bought on PO-2024-0019; FAR FA-000112. ticket RET-00112</t>
        </is>
      </c>
      <c r="L116" s="7" t="inlineStr">
        <is>
          <t>2026-07-20</t>
        </is>
      </c>
      <c r="M116" s="7" t="n">
        <v>6200</v>
      </c>
      <c r="N116" s="7">
        <f>IFERROR(XLOOKUP(A116,'Source Ledger'!$B$5:$B$133,'Source Ledger'!$G$5:$G$133),"")</f>
        <v>0</v>
      </c>
      <c r="O116" s="7">
        <f>IFERROR(XLOOKUP(A116,'Source Ledger'!$B$5:$B$133,'Source Ledger'!$A$5:$A$133),"")</f>
        <v/>
      </c>
      <c r="P116" s="7" t="inlineStr">
        <is>
          <t>Yes</t>
        </is>
      </c>
      <c r="Q116" s="9" t="inlineStr">
        <is>
          <t>High</t>
        </is>
      </c>
      <c r="R116" s="7" t="inlineStr"/>
      <c r="S116" s="7" t="inlineStr">
        <is>
          <t>No</t>
        </is>
      </c>
      <c r="T116" t="n">
        <v>6200</v>
      </c>
      <c r="U116" t="inlineStr">
        <is>
          <t>Disposed</t>
        </is>
      </c>
      <c r="V116" t="n">
        <v>0</v>
      </c>
      <c r="W116" t="n">
        <v>0</v>
      </c>
      <c r="X116" t="inlineStr">
        <is>
          <t>Yes</t>
        </is>
      </c>
    </row>
    <row r="117">
      <c r="A117" s="7" t="inlineStr">
        <is>
          <t>MD-00113</t>
        </is>
      </c>
      <c r="B117" s="7" t="inlineStr">
        <is>
          <t>MD-LA-050113</t>
        </is>
      </c>
      <c r="C117" s="7" t="inlineStr">
        <is>
          <t>Laptop</t>
        </is>
      </c>
      <c r="D117" s="7" t="inlineStr">
        <is>
          <t>MacBook Pro 14</t>
        </is>
      </c>
      <c r="E117" s="7" t="inlineStr">
        <is>
          <t>E0076</t>
        </is>
      </c>
      <c r="F117" s="7" t="inlineStr">
        <is>
          <t>Denver - Closed</t>
        </is>
      </c>
      <c r="G117" s="7" t="inlineStr">
        <is>
          <t>Assigned</t>
        </is>
      </c>
      <c r="H117" s="7" t="inlineStr">
        <is>
          <t>Certified Recycler</t>
        </is>
      </c>
      <c r="I117" s="7" t="inlineStr">
        <is>
          <t>Disposed</t>
        </is>
      </c>
      <c r="J117" s="7" t="inlineStr">
        <is>
          <t>Disposed</t>
        </is>
      </c>
      <c r="K117" s="7" t="inlineStr">
        <is>
          <t>MD-00113 retirement/disposal trail: RET-00113. assignment sits on TR-00113 (APR-00113). bought on PO-2024-0019; FAR FA-000113; ticket RET-00113</t>
        </is>
      </c>
      <c r="L117" s="7" t="inlineStr">
        <is>
          <t>2026-07-20</t>
        </is>
      </c>
      <c r="M117" s="7" t="n">
        <v>1895</v>
      </c>
      <c r="N117" s="7">
        <f>IFERROR(XLOOKUP(A117,'Source Ledger'!$B$5:$B$133,'Source Ledger'!$G$5:$G$133),"")</f>
        <v>0</v>
      </c>
      <c r="O117" s="7">
        <f>IFERROR(XLOOKUP(A117,'Source Ledger'!$B$5:$B$133,'Source Ledger'!$A$5:$A$133),"")</f>
        <v/>
      </c>
      <c r="P117" s="7" t="inlineStr">
        <is>
          <t>No</t>
        </is>
      </c>
      <c r="Q117" s="9" t="inlineStr">
        <is>
          <t>High</t>
        </is>
      </c>
      <c r="R117" s="7" t="inlineStr"/>
      <c r="S117" s="7" t="inlineStr">
        <is>
          <t>No</t>
        </is>
      </c>
      <c r="T117" t="n">
        <v>1895</v>
      </c>
      <c r="U117" t="inlineStr">
        <is>
          <t>Disposed</t>
        </is>
      </c>
      <c r="V117" t="n">
        <v>0</v>
      </c>
      <c r="W117" t="n">
        <v>0</v>
      </c>
      <c r="X117" t="inlineStr">
        <is>
          <t>Yes</t>
        </is>
      </c>
    </row>
    <row r="118">
      <c r="A118" s="7" t="inlineStr">
        <is>
          <t>MD-00114</t>
        </is>
      </c>
      <c r="B118" s="7" t="inlineStr">
        <is>
          <t>MD-MO-050114</t>
        </is>
      </c>
      <c r="C118" s="7" t="inlineStr">
        <is>
          <t>Monitor</t>
        </is>
      </c>
      <c r="D118" s="7" t="inlineStr">
        <is>
          <t>Dell U2723QE</t>
        </is>
      </c>
      <c r="E118" s="7" t="inlineStr">
        <is>
          <t>E0077</t>
        </is>
      </c>
      <c r="F118" s="7" t="inlineStr">
        <is>
          <t>Chicago - Closed</t>
        </is>
      </c>
      <c r="G118" s="7" t="inlineStr">
        <is>
          <t>Assigned</t>
        </is>
      </c>
      <c r="H118" s="7" t="inlineStr">
        <is>
          <t>Certified Recycler</t>
        </is>
      </c>
      <c r="I118" s="7" t="inlineStr">
        <is>
          <t>Disposed (certificate missing)</t>
        </is>
      </c>
      <c r="J118" s="7" t="inlineStr">
        <is>
          <t>Retired/Pending Disposal</t>
        </is>
      </c>
      <c r="K118" s="7" t="inlineStr">
        <is>
          <t>Dell U2723QE MD-00114 — Retired/Pending Disposal. TR-00114 (APR-00114) on the movement log. bought on PO-2024-0019; FAR FA-000114. ticket RET-00114. Note: disposal certificate not in the file</t>
        </is>
      </c>
      <c r="L118" s="7" t="inlineStr">
        <is>
          <t>2026-01-20</t>
        </is>
      </c>
      <c r="M118" s="7" t="n">
        <v>610</v>
      </c>
      <c r="N118" s="7">
        <f>IFERROR(XLOOKUP(A118,'Source Ledger'!$B$5:$B$133,'Source Ledger'!$G$5:$G$133),"")</f>
        <v>0</v>
      </c>
      <c r="O118" s="7">
        <f>IFERROR(XLOOKUP(A118,'Source Ledger'!$B$5:$B$133,'Source Ledger'!$A$5:$A$133),"")</f>
        <v/>
      </c>
      <c r="P118" s="7" t="inlineStr">
        <is>
          <t>No</t>
        </is>
      </c>
      <c r="Q118" s="7" t="inlineStr">
        <is>
          <t>Low</t>
        </is>
      </c>
      <c r="R118" s="7" t="inlineStr">
        <is>
          <t>EX-0149, EX-0150</t>
        </is>
      </c>
      <c r="S118" s="7" t="inlineStr">
        <is>
          <t>Yes</t>
        </is>
      </c>
      <c r="T118" t="n">
        <v>610</v>
      </c>
      <c r="U118" t="inlineStr">
        <is>
          <t>Disposed</t>
        </is>
      </c>
      <c r="V118" t="n">
        <v>0</v>
      </c>
      <c r="W118" t="n">
        <v>0</v>
      </c>
      <c r="X118" t="inlineStr">
        <is>
          <t>Yes</t>
        </is>
      </c>
    </row>
    <row r="119">
      <c r="A119" s="7" t="inlineStr">
        <is>
          <t>MD-00115</t>
        </is>
      </c>
      <c r="B119" s="7" t="inlineStr">
        <is>
          <t>MD-MO-050115</t>
        </is>
      </c>
      <c r="C119" s="7" t="inlineStr">
        <is>
          <t>Mobile Device</t>
        </is>
      </c>
      <c r="D119" s="7" t="inlineStr">
        <is>
          <t>Samsung Galaxy S24</t>
        </is>
      </c>
      <c r="E119" s="7" t="inlineStr">
        <is>
          <t>E0078</t>
        </is>
      </c>
      <c r="F119" s="7" t="inlineStr">
        <is>
          <t>Denver - Closed</t>
        </is>
      </c>
      <c r="G119" s="7" t="inlineStr">
        <is>
          <t>Assigned</t>
        </is>
      </c>
      <c r="H119" s="7" t="inlineStr">
        <is>
          <t>Certified Recycler</t>
        </is>
      </c>
      <c r="I119" s="7" t="inlineStr">
        <is>
          <t>Disposed</t>
        </is>
      </c>
      <c r="J119" s="7" t="inlineStr">
        <is>
          <t>Disposed</t>
        </is>
      </c>
      <c r="K119" s="7" t="inlineStr">
        <is>
          <t>Not Available. MD-00115 is Disposed. assignment sits on TR-00115 (APR-00115). bought on PO-2025-0020; FAR FA-000115. Note: ticket RET-00115</t>
        </is>
      </c>
      <c r="L119" s="7" t="inlineStr">
        <is>
          <t>2026-07-20</t>
        </is>
      </c>
      <c r="M119" s="7" t="n">
        <v>1085</v>
      </c>
      <c r="N119" s="7">
        <f>IFERROR(XLOOKUP(A119,'Source Ledger'!$B$5:$B$133,'Source Ledger'!$G$5:$G$133),"")</f>
        <v>0</v>
      </c>
      <c r="O119" s="7">
        <f>IFERROR(XLOOKUP(A119,'Source Ledger'!$B$5:$B$133,'Source Ledger'!$A$5:$A$133),"")</f>
        <v/>
      </c>
      <c r="P119" s="7" t="inlineStr">
        <is>
          <t>No</t>
        </is>
      </c>
      <c r="Q119" s="9" t="inlineStr">
        <is>
          <t>High</t>
        </is>
      </c>
      <c r="R119" s="7" t="inlineStr"/>
      <c r="S119" s="7" t="inlineStr">
        <is>
          <t>No</t>
        </is>
      </c>
      <c r="T119" t="n">
        <v>1085</v>
      </c>
      <c r="U119" t="inlineStr">
        <is>
          <t>Disposed</t>
        </is>
      </c>
      <c r="V119" t="n">
        <v>0</v>
      </c>
      <c r="W119" t="n">
        <v>0</v>
      </c>
      <c r="X119" t="inlineStr">
        <is>
          <t>Yes</t>
        </is>
      </c>
    </row>
    <row r="120">
      <c r="A120" s="7" t="inlineStr">
        <is>
          <t>MD-00116</t>
        </is>
      </c>
      <c r="B120" s="7" t="inlineStr">
        <is>
          <t>MD-NE-050116</t>
        </is>
      </c>
      <c r="C120" s="7" t="inlineStr">
        <is>
          <t>Network Asset</t>
        </is>
      </c>
      <c r="D120" s="7" t="inlineStr">
        <is>
          <t>Cisco C9300</t>
        </is>
      </c>
      <c r="E120" s="7" t="inlineStr">
        <is>
          <t>E0079</t>
        </is>
      </c>
      <c r="F120" s="7" t="inlineStr">
        <is>
          <t>Chicago - Closed</t>
        </is>
      </c>
      <c r="G120" s="7" t="inlineStr">
        <is>
          <t>Assigned</t>
        </is>
      </c>
      <c r="H120" s="7" t="inlineStr">
        <is>
          <t>Certified Recycler</t>
        </is>
      </c>
      <c r="I120" s="7" t="inlineStr">
        <is>
          <t>Disposed</t>
        </is>
      </c>
      <c r="J120" s="7" t="inlineStr">
        <is>
          <t>Disposed</t>
        </is>
      </c>
      <c r="K120" s="7" t="inlineStr">
        <is>
          <t>Disposed on MD-00116. RET-00116. TR-00116 (APR-00116) on the movement log. bought on PO-2025-0020; FAR FA-000116. ticket RET-00116</t>
        </is>
      </c>
      <c r="L120" s="7" t="inlineStr">
        <is>
          <t>2026-07-20</t>
        </is>
      </c>
      <c r="M120" s="7" t="n">
        <v>6380</v>
      </c>
      <c r="N120" s="7">
        <f>IFERROR(XLOOKUP(A120,'Source Ledger'!$B$5:$B$133,'Source Ledger'!$G$5:$G$133),"")</f>
        <v>0</v>
      </c>
      <c r="O120" s="7">
        <f>IFERROR(XLOOKUP(A120,'Source Ledger'!$B$5:$B$133,'Source Ledger'!$A$5:$A$133),"")</f>
        <v/>
      </c>
      <c r="P120" s="7" t="inlineStr">
        <is>
          <t>Yes</t>
        </is>
      </c>
      <c r="Q120" s="9" t="inlineStr">
        <is>
          <t>High</t>
        </is>
      </c>
      <c r="R120" s="7" t="inlineStr"/>
      <c r="S120" s="7" t="inlineStr">
        <is>
          <t>No</t>
        </is>
      </c>
      <c r="T120" t="n">
        <v>6380</v>
      </c>
      <c r="U120" t="inlineStr">
        <is>
          <t>Disposed</t>
        </is>
      </c>
      <c r="V120" t="n">
        <v>0</v>
      </c>
      <c r="W120" t="n">
        <v>0</v>
      </c>
      <c r="X120" t="inlineStr">
        <is>
          <t>Yes</t>
        </is>
      </c>
    </row>
    <row r="121">
      <c r="A121" s="7" t="inlineStr">
        <is>
          <t>MD-00117</t>
        </is>
      </c>
      <c r="B121" s="7" t="inlineStr">
        <is>
          <t>MD-LA-050117</t>
        </is>
      </c>
      <c r="C121" s="7" t="inlineStr">
        <is>
          <t>Laptop</t>
        </is>
      </c>
      <c r="D121" s="7" t="inlineStr">
        <is>
          <t>Dell Latitude 7440</t>
        </is>
      </c>
      <c r="E121" s="7" t="inlineStr">
        <is>
          <t>E0080</t>
        </is>
      </c>
      <c r="F121" s="7" t="inlineStr">
        <is>
          <t>Denver - Closed</t>
        </is>
      </c>
      <c r="G121" s="7" t="inlineStr">
        <is>
          <t>Assigned</t>
        </is>
      </c>
      <c r="H121" s="7" t="inlineStr">
        <is>
          <t>Certified Recycler</t>
        </is>
      </c>
      <c r="I121" s="7" t="inlineStr">
        <is>
          <t>Disposed</t>
        </is>
      </c>
      <c r="J121" s="7" t="inlineStr">
        <is>
          <t>Disposed</t>
        </is>
      </c>
      <c r="K121" s="7" t="inlineStr">
        <is>
          <t>MD-00117 retirement/disposal trail: RET-00117. assignment sits on TR-00117 (APR-00117). bought on PO-2025-0020; FAR FA-000117 — ticket RET-00117</t>
        </is>
      </c>
      <c r="L121" s="7" t="inlineStr">
        <is>
          <t>2026-07-20</t>
        </is>
      </c>
      <c r="M121" s="7" t="n">
        <v>2075</v>
      </c>
      <c r="N121" s="7">
        <f>IFERROR(XLOOKUP(A121,'Source Ledger'!$B$5:$B$133,'Source Ledger'!$G$5:$G$133),"")</f>
        <v>0</v>
      </c>
      <c r="O121" s="7">
        <f>IFERROR(XLOOKUP(A121,'Source Ledger'!$B$5:$B$133,'Source Ledger'!$A$5:$A$133),"")</f>
        <v/>
      </c>
      <c r="P121" s="7" t="inlineStr">
        <is>
          <t>No</t>
        </is>
      </c>
      <c r="Q121" s="9" t="inlineStr">
        <is>
          <t>High</t>
        </is>
      </c>
      <c r="R121" s="7" t="inlineStr"/>
      <c r="S121" s="7" t="inlineStr">
        <is>
          <t>No</t>
        </is>
      </c>
      <c r="T121" t="n">
        <v>2075</v>
      </c>
      <c r="U121" t="inlineStr">
        <is>
          <t>Disposed</t>
        </is>
      </c>
      <c r="V121" t="n">
        <v>0</v>
      </c>
      <c r="W121" t="n">
        <v>0</v>
      </c>
      <c r="X121" t="inlineStr">
        <is>
          <t>Yes</t>
        </is>
      </c>
    </row>
    <row r="122">
      <c r="A122" s="7" t="inlineStr">
        <is>
          <t>MD-00118</t>
        </is>
      </c>
      <c r="B122" s="7" t="inlineStr">
        <is>
          <t>MD-MO-050118</t>
        </is>
      </c>
      <c r="C122" s="7" t="inlineStr">
        <is>
          <t>Monitor</t>
        </is>
      </c>
      <c r="D122" s="7" t="inlineStr">
        <is>
          <t>Dell U2723QE</t>
        </is>
      </c>
      <c r="E122" s="7" t="inlineStr">
        <is>
          <t>E0081</t>
        </is>
      </c>
      <c r="F122" s="7" t="inlineStr">
        <is>
          <t>Chicago - Closed</t>
        </is>
      </c>
      <c r="G122" s="7" t="inlineStr">
        <is>
          <t>Assigned</t>
        </is>
      </c>
      <c r="H122" s="7" t="inlineStr">
        <is>
          <t>Certified Recycler</t>
        </is>
      </c>
      <c r="I122" s="7" t="inlineStr">
        <is>
          <t>Disposed (certificate missing)</t>
        </is>
      </c>
      <c r="J122" s="7" t="inlineStr">
        <is>
          <t>Retired/Pending Disposal</t>
        </is>
      </c>
      <c r="K122" s="7" t="inlineStr">
        <is>
          <t>Dell U2723QE MD-00118 — Retired/Pending Disposal. TR-00118 (APR-00118) on the movement log. bought on PO-2025-0020; FAR FA-000118. ticket RET-00118. Also disposal certificate not in the file</t>
        </is>
      </c>
      <c r="L122" s="7" t="inlineStr">
        <is>
          <t>2026-05-24</t>
        </is>
      </c>
      <c r="M122" s="7" t="n">
        <v>790</v>
      </c>
      <c r="N122" s="7">
        <f>IFERROR(XLOOKUP(A122,'Source Ledger'!$B$5:$B$133,'Source Ledger'!$G$5:$G$133),"")</f>
        <v>0</v>
      </c>
      <c r="O122" s="7">
        <f>IFERROR(XLOOKUP(A122,'Source Ledger'!$B$5:$B$133,'Source Ledger'!$A$5:$A$133),"")</f>
        <v/>
      </c>
      <c r="P122" s="7" t="inlineStr">
        <is>
          <t>No</t>
        </is>
      </c>
      <c r="Q122" s="7" t="inlineStr">
        <is>
          <t>Low</t>
        </is>
      </c>
      <c r="R122" s="7" t="inlineStr">
        <is>
          <t>EX-0151, EX-0152</t>
        </is>
      </c>
      <c r="S122" s="7" t="inlineStr">
        <is>
          <t>Yes</t>
        </is>
      </c>
      <c r="T122" t="n">
        <v>790</v>
      </c>
      <c r="U122" t="inlineStr">
        <is>
          <t>Disposed</t>
        </is>
      </c>
      <c r="V122" t="n">
        <v>0</v>
      </c>
      <c r="W122" t="n">
        <v>0</v>
      </c>
      <c r="X122" t="inlineStr">
        <is>
          <t>Yes</t>
        </is>
      </c>
    </row>
    <row r="123">
      <c r="A123" s="7" t="inlineStr">
        <is>
          <t>MD-00119</t>
        </is>
      </c>
      <c r="B123" s="7" t="inlineStr">
        <is>
          <t>MD-MO-050119</t>
        </is>
      </c>
      <c r="C123" s="7" t="inlineStr">
        <is>
          <t>Mobile Device</t>
        </is>
      </c>
      <c r="D123" s="7" t="inlineStr">
        <is>
          <t>Samsung Galaxy S24</t>
        </is>
      </c>
      <c r="E123" s="7" t="inlineStr">
        <is>
          <t>E0082</t>
        </is>
      </c>
      <c r="F123" s="7" t="inlineStr">
        <is>
          <t>Denver - Closed</t>
        </is>
      </c>
      <c r="G123" s="7" t="inlineStr">
        <is>
          <t>Assigned</t>
        </is>
      </c>
      <c r="H123" s="7" t="inlineStr">
        <is>
          <t>Certified Recycler</t>
        </is>
      </c>
      <c r="I123" s="7" t="inlineStr">
        <is>
          <t>Disposed</t>
        </is>
      </c>
      <c r="J123" s="7" t="inlineStr">
        <is>
          <t>Disposed</t>
        </is>
      </c>
      <c r="K123" s="7" t="inlineStr">
        <is>
          <t>Not Available. MD-00119 is Disposed. assignment sits on TR-00119 (APR-00119). bought on PO-2025-0020; FAR FA-000119. Also ticket RET-00119</t>
        </is>
      </c>
      <c r="L123" s="7" t="inlineStr">
        <is>
          <t>2026-07-20</t>
        </is>
      </c>
      <c r="M123" s="7" t="n">
        <v>950</v>
      </c>
      <c r="N123" s="7">
        <f>IFERROR(XLOOKUP(A123,'Source Ledger'!$B$5:$B$133,'Source Ledger'!$G$5:$G$133),"")</f>
        <v>0</v>
      </c>
      <c r="O123" s="7">
        <f>IFERROR(XLOOKUP(A123,'Source Ledger'!$B$5:$B$133,'Source Ledger'!$A$5:$A$133),"")</f>
        <v/>
      </c>
      <c r="P123" s="7" t="inlineStr">
        <is>
          <t>No</t>
        </is>
      </c>
      <c r="Q123" s="9" t="inlineStr">
        <is>
          <t>High</t>
        </is>
      </c>
      <c r="R123" s="7" t="inlineStr">
        <is>
          <t>EX-0153</t>
        </is>
      </c>
      <c r="S123" s="7" t="inlineStr">
        <is>
          <t>No</t>
        </is>
      </c>
      <c r="T123" t="n">
        <v>1115</v>
      </c>
      <c r="U123" t="inlineStr">
        <is>
          <t>Disposed</t>
        </is>
      </c>
      <c r="V123" t="n">
        <v>0</v>
      </c>
      <c r="W123" t="n">
        <v>165</v>
      </c>
      <c r="X123" t="inlineStr">
        <is>
          <t>Yes</t>
        </is>
      </c>
    </row>
    <row r="124">
      <c r="A124" s="7" t="inlineStr">
        <is>
          <t>MD-00120</t>
        </is>
      </c>
      <c r="B124" s="7" t="inlineStr">
        <is>
          <t>MD-NE-050120</t>
        </is>
      </c>
      <c r="C124" s="7" t="inlineStr">
        <is>
          <t>Network Asset</t>
        </is>
      </c>
      <c r="D124" s="7" t="inlineStr">
        <is>
          <t>Cisco C9300</t>
        </is>
      </c>
      <c r="E124" s="7" t="inlineStr">
        <is>
          <t>E0083</t>
        </is>
      </c>
      <c r="F124" s="7" t="inlineStr">
        <is>
          <t>Chicago - Closed</t>
        </is>
      </c>
      <c r="G124" s="7" t="inlineStr">
        <is>
          <t>Assigned</t>
        </is>
      </c>
      <c r="H124" s="7" t="inlineStr">
        <is>
          <t>Certified Recycler</t>
        </is>
      </c>
      <c r="I124" s="7" t="inlineStr">
        <is>
          <t>Disposed</t>
        </is>
      </c>
      <c r="J124" s="7" t="inlineStr">
        <is>
          <t>Disposed</t>
        </is>
      </c>
      <c r="K124" s="7" t="inlineStr">
        <is>
          <t>Disposed on MD-00120. RET-00120. TR-00120 (APR-00120) on the movement log. bought on PO-2025-0020; FAR FA-000120. ticket RET-00120</t>
        </is>
      </c>
      <c r="L124" s="7" t="inlineStr">
        <is>
          <t>2026-07-20</t>
        </is>
      </c>
      <c r="M124" s="7" t="n">
        <v>6245</v>
      </c>
      <c r="N124" s="7">
        <f>IFERROR(XLOOKUP(A124,'Source Ledger'!$B$5:$B$133,'Source Ledger'!$G$5:$G$133),"")</f>
        <v>0</v>
      </c>
      <c r="O124" s="7">
        <f>IFERROR(XLOOKUP(A124,'Source Ledger'!$B$5:$B$133,'Source Ledger'!$A$5:$A$133),"")</f>
        <v/>
      </c>
      <c r="P124" s="7" t="inlineStr">
        <is>
          <t>Yes</t>
        </is>
      </c>
      <c r="Q124" s="9" t="inlineStr">
        <is>
          <t>High</t>
        </is>
      </c>
      <c r="R124" s="7" t="inlineStr"/>
      <c r="S124" s="7" t="inlineStr">
        <is>
          <t>No</t>
        </is>
      </c>
      <c r="T124" t="n">
        <v>6245</v>
      </c>
      <c r="U124" t="inlineStr">
        <is>
          <t>Disposed</t>
        </is>
      </c>
      <c r="V124" t="n">
        <v>0</v>
      </c>
      <c r="W124" t="n">
        <v>0</v>
      </c>
      <c r="X124" t="inlineStr">
        <is>
          <t>Yes</t>
        </is>
      </c>
    </row>
    <row r="125">
      <c r="A125" s="7" t="inlineStr">
        <is>
          <t>MD-00121</t>
        </is>
      </c>
      <c r="B125" s="7" t="inlineStr">
        <is>
          <t>MD-LA-050121</t>
        </is>
      </c>
      <c r="C125" s="7" t="inlineStr">
        <is>
          <t>Laptop</t>
        </is>
      </c>
      <c r="D125" s="7" t="inlineStr">
        <is>
          <t>Lenovo ThinkPad T14</t>
        </is>
      </c>
      <c r="E125" s="7" t="inlineStr"/>
      <c r="F125" s="7" t="inlineStr">
        <is>
          <t>Denver - Closed</t>
        </is>
      </c>
      <c r="G125" s="7" t="inlineStr">
        <is>
          <t>Assigned</t>
        </is>
      </c>
      <c r="H125" s="7" t="inlineStr">
        <is>
          <t>IT Stock</t>
        </is>
      </c>
      <c r="I125" s="7" t="inlineStr">
        <is>
          <t>Chicago</t>
        </is>
      </c>
      <c r="J125" s="7" t="inlineStr">
        <is>
          <t>Available</t>
        </is>
      </c>
      <c r="K125" s="7" t="inlineStr">
        <is>
          <t>IT Stock holds MD-00121 (Chicago). assignment sits on TR-00121 (APR-00121). bought on PO-2022-0021; FAR FA-000121.</t>
        </is>
      </c>
      <c r="L125" s="7" t="inlineStr">
        <is>
          <t>2026-02-03</t>
        </is>
      </c>
      <c r="M125" s="7" t="n">
        <v>1940</v>
      </c>
      <c r="N125" s="7">
        <f>IFERROR(XLOOKUP(A125,'Source Ledger'!$B$5:$B$133,'Source Ledger'!$G$5:$G$133),"")</f>
        <v>0</v>
      </c>
      <c r="O125" s="7">
        <f>IFERROR(XLOOKUP(A125,'Source Ledger'!$B$5:$B$133,'Source Ledger'!$A$5:$A$133),"")</f>
        <v/>
      </c>
      <c r="P125" s="7" t="inlineStr">
        <is>
          <t>No</t>
        </is>
      </c>
      <c r="Q125" s="9" t="inlineStr">
        <is>
          <t>High</t>
        </is>
      </c>
      <c r="R125" s="7" t="inlineStr">
        <is>
          <t>EX-0154</t>
        </is>
      </c>
      <c r="S125" s="7" t="inlineStr">
        <is>
          <t>No</t>
        </is>
      </c>
      <c r="T125" t="n">
        <v>1940</v>
      </c>
      <c r="U125" t="inlineStr">
        <is>
          <t>Active</t>
        </is>
      </c>
      <c r="V125" t="n">
        <v>0</v>
      </c>
      <c r="W125" t="n">
        <v>0</v>
      </c>
      <c r="X125" t="inlineStr">
        <is>
          <t>Yes</t>
        </is>
      </c>
    </row>
    <row r="126">
      <c r="A126" s="7" t="inlineStr">
        <is>
          <t>MD-00122</t>
        </is>
      </c>
      <c r="B126" s="7" t="inlineStr">
        <is>
          <t>MD-MO-050122</t>
        </is>
      </c>
      <c r="C126" s="7" t="inlineStr">
        <is>
          <t>Monitor</t>
        </is>
      </c>
      <c r="D126" s="7" t="inlineStr">
        <is>
          <t>Dell U2723QE</t>
        </is>
      </c>
      <c r="E126" s="7" t="inlineStr"/>
      <c r="F126" s="7" t="inlineStr">
        <is>
          <t>Chicago - Closed</t>
        </is>
      </c>
      <c r="G126" s="7" t="inlineStr">
        <is>
          <t>Assigned</t>
        </is>
      </c>
      <c r="H126" s="7" t="inlineStr">
        <is>
          <t>IT Stock</t>
        </is>
      </c>
      <c r="I126" s="7" t="inlineStr">
        <is>
          <t>Dallas</t>
        </is>
      </c>
      <c r="J126" s="7" t="inlineStr">
        <is>
          <t>Available</t>
        </is>
      </c>
      <c r="K126" s="7" t="inlineStr">
        <is>
          <t>MD-00122 is on IT Stock in Dallas. TR-00122 (APR-00122) on the movement log. bought on PO-2022-0021; FAR FA-000122.</t>
        </is>
      </c>
      <c r="L126" s="7" t="inlineStr">
        <is>
          <t>2026-03-04</t>
        </is>
      </c>
      <c r="M126" s="7" t="n">
        <v>655</v>
      </c>
      <c r="N126" s="7">
        <f>IFERROR(XLOOKUP(A126,'Source Ledger'!$B$5:$B$133,'Source Ledger'!$G$5:$G$133),"")</f>
        <v>336.15</v>
      </c>
      <c r="O126" s="7">
        <f>IFERROR(XLOOKUP(A126,'Source Ledger'!$B$5:$B$133,'Source Ledger'!$A$5:$A$133),"")</f>
        <v/>
      </c>
      <c r="P126" s="7" t="inlineStr">
        <is>
          <t>No</t>
        </is>
      </c>
      <c r="Q126" s="9" t="inlineStr">
        <is>
          <t>High</t>
        </is>
      </c>
      <c r="R126" s="7" t="inlineStr">
        <is>
          <t>EX-0155</t>
        </is>
      </c>
      <c r="S126" s="7" t="inlineStr">
        <is>
          <t>No</t>
        </is>
      </c>
      <c r="T126" t="n">
        <v>655</v>
      </c>
      <c r="U126" t="inlineStr">
        <is>
          <t>Active</t>
        </is>
      </c>
      <c r="V126" t="n">
        <v>336.15</v>
      </c>
      <c r="W126" t="n">
        <v>0</v>
      </c>
      <c r="X126" t="inlineStr">
        <is>
          <t>Yes</t>
        </is>
      </c>
    </row>
    <row r="127">
      <c r="A127" s="7" t="inlineStr">
        <is>
          <t>MD-00123</t>
        </is>
      </c>
      <c r="B127" s="7" t="inlineStr">
        <is>
          <t>MD-MO-050123</t>
        </is>
      </c>
      <c r="C127" s="7" t="inlineStr">
        <is>
          <t>Mobile Device</t>
        </is>
      </c>
      <c r="D127" s="7" t="inlineStr">
        <is>
          <t>Samsung Galaxy S24</t>
        </is>
      </c>
      <c r="E127" s="7" t="inlineStr"/>
      <c r="F127" s="7" t="inlineStr">
        <is>
          <t>Denver - Closed</t>
        </is>
      </c>
      <c r="G127" s="7" t="inlineStr">
        <is>
          <t>Assigned</t>
        </is>
      </c>
      <c r="H127" s="7" t="inlineStr">
        <is>
          <t>IT Stock</t>
        </is>
      </c>
      <c r="I127" s="7" t="inlineStr">
        <is>
          <t>Denver</t>
        </is>
      </c>
      <c r="J127" s="7" t="inlineStr">
        <is>
          <t>Available</t>
        </is>
      </c>
      <c r="K127" s="7" t="inlineStr">
        <is>
          <t>Parked as Available — Samsung Galaxy S24. assignment sits on TR-00123 (APR-00123). bought on PO-2022-0021; FAR FA-000123.</t>
        </is>
      </c>
      <c r="L127" s="7" t="inlineStr">
        <is>
          <t>2026-04-05</t>
        </is>
      </c>
      <c r="M127" s="7" t="n">
        <v>1130</v>
      </c>
      <c r="N127" s="7">
        <f>IFERROR(XLOOKUP(A127,'Source Ledger'!$B$5:$B$133,'Source Ledger'!$G$5:$G$133),"")</f>
        <v>622.62</v>
      </c>
      <c r="O127" s="7">
        <f>IFERROR(XLOOKUP(A127,'Source Ledger'!$B$5:$B$133,'Source Ledger'!$A$5:$A$133),"")</f>
        <v/>
      </c>
      <c r="P127" s="7" t="inlineStr">
        <is>
          <t>No</t>
        </is>
      </c>
      <c r="Q127" s="9" t="inlineStr">
        <is>
          <t>High</t>
        </is>
      </c>
      <c r="R127" s="7" t="inlineStr">
        <is>
          <t>EX-0156</t>
        </is>
      </c>
      <c r="S127" s="7" t="inlineStr">
        <is>
          <t>No</t>
        </is>
      </c>
      <c r="T127" t="n">
        <v>1130</v>
      </c>
      <c r="U127" t="inlineStr">
        <is>
          <t>Active</t>
        </is>
      </c>
      <c r="V127" t="n">
        <v>622.62</v>
      </c>
      <c r="W127" t="n">
        <v>0</v>
      </c>
      <c r="X127" t="inlineStr">
        <is>
          <t>Yes</t>
        </is>
      </c>
    </row>
    <row r="128">
      <c r="A128" s="7" t="inlineStr">
        <is>
          <t>MD-00124</t>
        </is>
      </c>
      <c r="B128" s="7" t="inlineStr">
        <is>
          <t>MD-NE-050124</t>
        </is>
      </c>
      <c r="C128" s="7" t="inlineStr">
        <is>
          <t>Network Asset</t>
        </is>
      </c>
      <c r="D128" s="7" t="inlineStr">
        <is>
          <t>Cisco C9300</t>
        </is>
      </c>
      <c r="E128" s="7" t="inlineStr"/>
      <c r="F128" s="7" t="inlineStr">
        <is>
          <t>Chicago - Closed</t>
        </is>
      </c>
      <c r="G128" s="7" t="inlineStr">
        <is>
          <t>Assigned</t>
        </is>
      </c>
      <c r="H128" s="7" t="inlineStr">
        <is>
          <t>IT Stock</t>
        </is>
      </c>
      <c r="I128" s="7" t="inlineStr">
        <is>
          <t>New York</t>
        </is>
      </c>
      <c r="J128" s="7" t="inlineStr">
        <is>
          <t>Available</t>
        </is>
      </c>
      <c r="K128" s="7" t="inlineStr">
        <is>
          <t>Not assigned to a person. MD-00124 / New York. TR-00124 (APR-00124) on the movement log. bought on PO-2022-0021; FAR FA-000124.</t>
        </is>
      </c>
      <c r="L128" s="7" t="inlineStr">
        <is>
          <t>2026-05-06</t>
        </is>
      </c>
      <c r="M128" s="7" t="n">
        <v>6425</v>
      </c>
      <c r="N128" s="7">
        <f>IFERROR(XLOOKUP(A128,'Source Ledger'!$B$5:$B$133,'Source Ledger'!$G$5:$G$133),"")</f>
        <v>947.26</v>
      </c>
      <c r="O128" s="7">
        <f>IFERROR(XLOOKUP(A128,'Source Ledger'!$B$5:$B$133,'Source Ledger'!$A$5:$A$133),"")</f>
        <v/>
      </c>
      <c r="P128" s="7" t="inlineStr">
        <is>
          <t>Yes</t>
        </is>
      </c>
      <c r="Q128" s="9" t="inlineStr">
        <is>
          <t>High</t>
        </is>
      </c>
      <c r="R128" s="7" t="inlineStr">
        <is>
          <t>EX-0157</t>
        </is>
      </c>
      <c r="S128" s="7" t="inlineStr">
        <is>
          <t>No</t>
        </is>
      </c>
      <c r="T128" t="n">
        <v>6425</v>
      </c>
      <c r="U128" t="inlineStr">
        <is>
          <t>Active</t>
        </is>
      </c>
      <c r="V128" t="n">
        <v>947.26</v>
      </c>
      <c r="W128" t="n">
        <v>0</v>
      </c>
      <c r="X128" t="inlineStr">
        <is>
          <t>Yes</t>
        </is>
      </c>
    </row>
    <row r="129">
      <c r="A129" s="7" t="inlineStr">
        <is>
          <t>MD-00125</t>
        </is>
      </c>
      <c r="B129" s="7" t="inlineStr">
        <is>
          <t>MD-LA-050125</t>
        </is>
      </c>
      <c r="C129" s="7" t="inlineStr">
        <is>
          <t>Laptop</t>
        </is>
      </c>
      <c r="D129" s="7" t="inlineStr">
        <is>
          <t>MacBook Pro 14</t>
        </is>
      </c>
      <c r="E129" s="7" t="inlineStr"/>
      <c r="F129" s="7" t="inlineStr">
        <is>
          <t>Denver - Closed</t>
        </is>
      </c>
      <c r="G129" s="7" t="inlineStr">
        <is>
          <t>Assigned</t>
        </is>
      </c>
      <c r="H129" s="7" t="inlineStr">
        <is>
          <t>IT Stock</t>
        </is>
      </c>
      <c r="I129" s="7" t="inlineStr">
        <is>
          <t>Seattle</t>
        </is>
      </c>
      <c r="J129" s="7" t="inlineStr">
        <is>
          <t>Available</t>
        </is>
      </c>
      <c r="K129" s="7" t="inlineStr">
        <is>
          <t>Stock row. assignment sits on TR-00125 (APR-00125). bought on PO-2022-0021; FAR FA-000125.</t>
        </is>
      </c>
      <c r="L129" s="7" t="inlineStr">
        <is>
          <t>2026-06-07</t>
        </is>
      </c>
      <c r="M129" s="7" t="n">
        <v>2120</v>
      </c>
      <c r="N129" s="7">
        <f>IFERROR(XLOOKUP(A129,'Source Ledger'!$B$5:$B$133,'Source Ledger'!$G$5:$G$133),"")</f>
        <v>0</v>
      </c>
      <c r="O129" s="7">
        <f>IFERROR(XLOOKUP(A129,'Source Ledger'!$B$5:$B$133,'Source Ledger'!$A$5:$A$133),"")</f>
        <v/>
      </c>
      <c r="P129" s="7" t="inlineStr">
        <is>
          <t>No</t>
        </is>
      </c>
      <c r="Q129" s="9" t="inlineStr">
        <is>
          <t>High</t>
        </is>
      </c>
      <c r="R129" s="7" t="inlineStr">
        <is>
          <t>EX-0158</t>
        </is>
      </c>
      <c r="S129" s="7" t="inlineStr">
        <is>
          <t>No</t>
        </is>
      </c>
      <c r="T129" t="n">
        <v>2120</v>
      </c>
      <c r="U129" t="inlineStr">
        <is>
          <t>Active</t>
        </is>
      </c>
      <c r="V129" t="n">
        <v>0</v>
      </c>
      <c r="W129" t="n">
        <v>0</v>
      </c>
      <c r="X129" t="inlineStr">
        <is>
          <t>Yes</t>
        </is>
      </c>
    </row>
    <row r="130">
      <c r="A130" s="7" t="inlineStr">
        <is>
          <t>MD-00126</t>
        </is>
      </c>
      <c r="B130" s="7" t="inlineStr">
        <is>
          <t>MD-MO-050126</t>
        </is>
      </c>
      <c r="C130" s="7" t="inlineStr">
        <is>
          <t>Monitor</t>
        </is>
      </c>
      <c r="D130" s="7" t="inlineStr">
        <is>
          <t>Dell U2723QE</t>
        </is>
      </c>
      <c r="E130" s="7" t="inlineStr"/>
      <c r="F130" s="7" t="inlineStr">
        <is>
          <t>Chicago - Closed</t>
        </is>
      </c>
      <c r="G130" s="7" t="inlineStr">
        <is>
          <t>Assigned</t>
        </is>
      </c>
      <c r="H130" s="7" t="inlineStr">
        <is>
          <t>IT Stock</t>
        </is>
      </c>
      <c r="I130" s="7" t="inlineStr">
        <is>
          <t>Atlanta</t>
        </is>
      </c>
      <c r="J130" s="7" t="inlineStr">
        <is>
          <t>Available</t>
        </is>
      </c>
      <c r="K130" s="7" t="inlineStr">
        <is>
          <t>bought on PO-2022-0021; FAR FA-000126. Status Available at Atlanta after TR-00126 (APR-00126) on the movement log.</t>
        </is>
      </c>
      <c r="L130" s="7" t="inlineStr">
        <is>
          <t>2026-01-08</t>
        </is>
      </c>
      <c r="M130" s="7" t="n">
        <v>520</v>
      </c>
      <c r="N130" s="7">
        <f>IFERROR(XLOOKUP(A130,'Source Ledger'!$B$5:$B$133,'Source Ledger'!$G$5:$G$133),"")</f>
        <v>302.75</v>
      </c>
      <c r="O130" s="7">
        <f>IFERROR(XLOOKUP(A130,'Source Ledger'!$B$5:$B$133,'Source Ledger'!$A$5:$A$133),"")</f>
        <v/>
      </c>
      <c r="P130" s="7" t="inlineStr">
        <is>
          <t>No</t>
        </is>
      </c>
      <c r="Q130" s="9" t="inlineStr">
        <is>
          <t>High</t>
        </is>
      </c>
      <c r="R130" s="7" t="inlineStr">
        <is>
          <t>EX-0159</t>
        </is>
      </c>
      <c r="S130" s="7" t="inlineStr">
        <is>
          <t>No</t>
        </is>
      </c>
      <c r="T130" t="n">
        <v>520</v>
      </c>
      <c r="U130" t="inlineStr">
        <is>
          <t>Active</t>
        </is>
      </c>
      <c r="V130" t="n">
        <v>302.75</v>
      </c>
      <c r="W130" t="n">
        <v>0</v>
      </c>
      <c r="X130" t="inlineStr">
        <is>
          <t>Yes</t>
        </is>
      </c>
    </row>
    <row r="131">
      <c r="A131" s="7" t="inlineStr">
        <is>
          <t>MD-00127</t>
        </is>
      </c>
      <c r="B131" s="7" t="inlineStr">
        <is>
          <t>MD-MO-050127</t>
        </is>
      </c>
      <c r="C131" s="7" t="inlineStr">
        <is>
          <t>Mobile Device</t>
        </is>
      </c>
      <c r="D131" s="7" t="inlineStr">
        <is>
          <t>Samsung Galaxy S24</t>
        </is>
      </c>
      <c r="E131" s="7" t="inlineStr">
        <is>
          <t>E0061</t>
        </is>
      </c>
      <c r="F131" s="7" t="inlineStr">
        <is>
          <t>Denver</t>
        </is>
      </c>
      <c r="G131" s="7" t="inlineStr">
        <is>
          <t>In Use</t>
        </is>
      </c>
      <c r="H131" s="7" t="inlineStr">
        <is>
          <t>E0061</t>
        </is>
      </c>
      <c r="I131" s="7" t="inlineStr">
        <is>
          <t>Denver</t>
        </is>
      </c>
      <c r="J131" s="7" t="inlineStr">
        <is>
          <t>In Use</t>
        </is>
      </c>
      <c r="K131" s="7" t="inlineStr">
        <is>
          <t>Didn't invent a FAR line. MD-00127 In Use at Denver. assignment sits on TR-00127 (approval blank). bought on PO-2023-0022; FAR FA-000127. E0061.</t>
        </is>
      </c>
      <c r="L131" s="7" t="inlineStr">
        <is>
          <t>2026-08-05</t>
        </is>
      </c>
      <c r="M131" s="7" t="n">
        <v>995</v>
      </c>
      <c r="N131" s="7">
        <f>IFERROR(XLOOKUP(A131,'Source Ledger'!$B$5:$B$133,'Source Ledger'!$G$5:$G$133),"")</f>
        <v>662.65</v>
      </c>
      <c r="O131" s="7">
        <f>IFERROR(XLOOKUP(A131,'Source Ledger'!$B$5:$B$133,'Source Ledger'!$A$5:$A$133),"")</f>
        <v/>
      </c>
      <c r="P131" s="7" t="inlineStr">
        <is>
          <t>No</t>
        </is>
      </c>
      <c r="Q131" s="7" t="inlineStr">
        <is>
          <t>Medium</t>
        </is>
      </c>
      <c r="R131" s="7" t="inlineStr">
        <is>
          <t>EX-0160</t>
        </is>
      </c>
      <c r="S131" s="7" t="inlineStr">
        <is>
          <t>No</t>
        </is>
      </c>
      <c r="T131" t="n">
        <v>995</v>
      </c>
      <c r="U131" t="inlineStr">
        <is>
          <t>Active</t>
        </is>
      </c>
      <c r="V131" t="n">
        <v>662.65</v>
      </c>
      <c r="W131" t="n">
        <v>0</v>
      </c>
      <c r="X131" t="inlineStr">
        <is>
          <t>Yes</t>
        </is>
      </c>
    </row>
    <row r="132">
      <c r="A132" s="7" t="inlineStr">
        <is>
          <t>MD-00128</t>
        </is>
      </c>
      <c r="B132" s="7" t="inlineStr">
        <is>
          <t>MD-NE-050128</t>
        </is>
      </c>
      <c r="C132" s="7" t="inlineStr">
        <is>
          <t>Network Asset</t>
        </is>
      </c>
      <c r="D132" s="7" t="inlineStr">
        <is>
          <t>Cisco C9300</t>
        </is>
      </c>
      <c r="E132" s="7" t="inlineStr">
        <is>
          <t>E0062</t>
        </is>
      </c>
      <c r="F132" s="7" t="inlineStr">
        <is>
          <t>New York</t>
        </is>
      </c>
      <c r="G132" s="7" t="inlineStr">
        <is>
          <t>In Use</t>
        </is>
      </c>
      <c r="H132" s="7" t="inlineStr">
        <is>
          <t>E0062</t>
        </is>
      </c>
      <c r="I132" s="7" t="inlineStr">
        <is>
          <t>New York</t>
        </is>
      </c>
      <c r="J132" s="7" t="inlineStr">
        <is>
          <t>In Use</t>
        </is>
      </c>
      <c r="K132" s="7" t="inlineStr">
        <is>
          <t>MD-00128 verified In Use / New York. Bianca Silva (E0062) is Transferred in HR. TR-00128 (APR-00128) on the movement log. bought on PO-2023-0022; FAR FA-000128.</t>
        </is>
      </c>
      <c r="L132" s="7" t="inlineStr">
        <is>
          <t>2026-08-05</t>
        </is>
      </c>
      <c r="M132" s="7" t="n">
        <v>6290</v>
      </c>
      <c r="N132" s="7">
        <f>IFERROR(XLOOKUP(A132,'Source Ledger'!$B$5:$B$133,'Source Ledger'!$G$5:$G$133),"")</f>
        <v>1364.77</v>
      </c>
      <c r="O132" s="7">
        <f>IFERROR(XLOOKUP(A132,'Source Ledger'!$B$5:$B$133,'Source Ledger'!$A$5:$A$133),"")</f>
        <v/>
      </c>
      <c r="P132" s="7" t="inlineStr">
        <is>
          <t>Yes</t>
        </is>
      </c>
      <c r="Q132" s="9" t="inlineStr">
        <is>
          <t>High</t>
        </is>
      </c>
      <c r="R132" s="7" t="inlineStr"/>
      <c r="S132" s="7" t="inlineStr">
        <is>
          <t>No</t>
        </is>
      </c>
      <c r="T132" t="n">
        <v>6290</v>
      </c>
      <c r="U132" t="inlineStr">
        <is>
          <t>Active</t>
        </is>
      </c>
      <c r="V132" t="n">
        <v>1364.77</v>
      </c>
      <c r="W132" t="n">
        <v>0</v>
      </c>
      <c r="X132" t="inlineStr">
        <is>
          <t>Yes</t>
        </is>
      </c>
    </row>
    <row r="133">
      <c r="A133" s="7" t="inlineStr">
        <is>
          <t>MD-00129</t>
        </is>
      </c>
      <c r="B133" s="7" t="inlineStr">
        <is>
          <t>MD-LA-050129</t>
        </is>
      </c>
      <c r="C133" s="7" t="inlineStr">
        <is>
          <t>Laptop</t>
        </is>
      </c>
      <c r="D133" s="7" t="inlineStr">
        <is>
          <t>Dell Latitude 7440</t>
        </is>
      </c>
      <c r="E133" s="7" t="inlineStr">
        <is>
          <t>E0063</t>
        </is>
      </c>
      <c r="F133" s="7" t="inlineStr">
        <is>
          <t>Seattle</t>
        </is>
      </c>
      <c r="G133" s="7" t="inlineStr">
        <is>
          <t>In Use</t>
        </is>
      </c>
      <c r="H133" s="7" t="inlineStr">
        <is>
          <t>E0063</t>
        </is>
      </c>
      <c r="I133" s="7" t="inlineStr">
        <is>
          <t>Seattle</t>
        </is>
      </c>
      <c r="J133" s="7" t="inlineStr">
        <is>
          <t>In Use</t>
        </is>
      </c>
      <c r="K133" s="7" t="inlineStr">
        <is>
          <t>Greg Hollis (E0063) is Transferred. MD-00129 stays In Use in Seattle. assignment sits on TR-00129 (APR-00129). bought on PO-2023-0022; FAR FA-000129.</t>
        </is>
      </c>
      <c r="L133" s="7" t="inlineStr">
        <is>
          <t>2026-08-05</t>
        </is>
      </c>
      <c r="M133" s="7" t="n">
        <v>1985</v>
      </c>
      <c r="N133" s="7">
        <f>IFERROR(XLOOKUP(A133,'Source Ledger'!$B$5:$B$133,'Source Ledger'!$G$5:$G$133),"")</f>
        <v>111.86</v>
      </c>
      <c r="O133" s="7">
        <f>IFERROR(XLOOKUP(A133,'Source Ledger'!$B$5:$B$133,'Source Ledger'!$A$5:$A$133),"")</f>
        <v/>
      </c>
      <c r="P133" s="7" t="inlineStr">
        <is>
          <t>No</t>
        </is>
      </c>
      <c r="Q133" s="9" t="inlineStr">
        <is>
          <t>High</t>
        </is>
      </c>
      <c r="R133" s="7" t="inlineStr"/>
      <c r="S133" s="7" t="inlineStr">
        <is>
          <t>No</t>
        </is>
      </c>
      <c r="T133" t="n">
        <v>1985</v>
      </c>
      <c r="U133" t="inlineStr">
        <is>
          <t>Active</t>
        </is>
      </c>
      <c r="V133" t="n">
        <v>111.86</v>
      </c>
      <c r="W133" t="n">
        <v>0</v>
      </c>
      <c r="X133" t="inlineStr">
        <is>
          <t>Yes</t>
        </is>
      </c>
    </row>
    <row r="134">
      <c r="A134" s="7" t="inlineStr">
        <is>
          <t>MD-00130</t>
        </is>
      </c>
      <c r="B134" s="7" t="inlineStr">
        <is>
          <t>MD-MO-050130</t>
        </is>
      </c>
      <c r="C134" s="7" t="inlineStr">
        <is>
          <t>Monitor</t>
        </is>
      </c>
      <c r="D134" s="7" t="inlineStr">
        <is>
          <t>Dell U2723QE</t>
        </is>
      </c>
      <c r="E134" s="7" t="inlineStr">
        <is>
          <t>E0064</t>
        </is>
      </c>
      <c r="F134" s="7" t="inlineStr">
        <is>
          <t>Atlanta</t>
        </is>
      </c>
      <c r="G134" s="7" t="inlineStr">
        <is>
          <t>In Use</t>
        </is>
      </c>
      <c r="H134" s="7" t="inlineStr">
        <is>
          <t>E0064</t>
        </is>
      </c>
      <c r="I134" s="7" t="inlineStr">
        <is>
          <t>Atlanta</t>
        </is>
      </c>
      <c r="J134" s="7" t="inlineStr">
        <is>
          <t>In Use</t>
        </is>
      </c>
      <c r="K134" s="7" t="inlineStr">
        <is>
          <t>Dell U2723QE (MD-00130): In Use. Looked up E0064; still Transferred. TR-00130 (APR-00130) on the movement log. purchasing PO-2023-0022, nothing in the FAR extract. Note: $700 is under $2,500 so missing FA is expected</t>
        </is>
      </c>
      <c r="L134" s="7" t="inlineStr">
        <is>
          <t>2026-08-05</t>
        </is>
      </c>
      <c r="M134" s="7" t="n">
        <v>700</v>
      </c>
      <c r="N134" s="7">
        <f>IFERROR(XLOOKUP(A134,'Source Ledger'!$B$5:$B$133,'Source Ledger'!$G$5:$G$133),"")</f>
        <v/>
      </c>
      <c r="O134" s="7">
        <f>IFERROR(XLOOKUP(A134,'Source Ledger'!$B$5:$B$133,'Source Ledger'!$A$5:$A$133),"")</f>
        <v/>
      </c>
      <c r="P134" s="7" t="inlineStr"/>
      <c r="Q134" s="9" t="inlineStr">
        <is>
          <t>High</t>
        </is>
      </c>
      <c r="R134" s="7" t="inlineStr">
        <is>
          <t>EX-0161</t>
        </is>
      </c>
      <c r="S134" s="7" t="inlineStr">
        <is>
          <t>No</t>
        </is>
      </c>
      <c r="X134" t="inlineStr">
        <is>
          <t>No</t>
        </is>
      </c>
    </row>
    <row r="135">
      <c r="A135" s="7" t="inlineStr">
        <is>
          <t>MD-00131</t>
        </is>
      </c>
      <c r="B135" s="7" t="inlineStr">
        <is>
          <t>MD-MO-050131</t>
        </is>
      </c>
      <c r="C135" s="7" t="inlineStr">
        <is>
          <t>Mobile Device</t>
        </is>
      </c>
      <c r="D135" s="7" t="inlineStr">
        <is>
          <t>Samsung Galaxy S24</t>
        </is>
      </c>
      <c r="E135" s="7" t="inlineStr">
        <is>
          <t>E0065</t>
        </is>
      </c>
      <c r="F135" s="7" t="inlineStr">
        <is>
          <t>Chicago</t>
        </is>
      </c>
      <c r="G135" s="7" t="inlineStr">
        <is>
          <t>In Use</t>
        </is>
      </c>
      <c r="H135" s="7" t="inlineStr">
        <is>
          <t>E0065</t>
        </is>
      </c>
      <c r="I135" s="7" t="inlineStr">
        <is>
          <t>Chicago</t>
        </is>
      </c>
      <c r="J135" s="7" t="inlineStr">
        <is>
          <t>In Use</t>
        </is>
      </c>
      <c r="K135" s="7" t="inlineStr">
        <is>
          <t>Didn't invent a FAR line. MD-00131 In Use at Chicago. assignment sits on TR-00131 (APR-00131). PO-2023-0022 on file; no FA row. $1175 is under $2,500 so missing FA is expected. E0065.</t>
        </is>
      </c>
      <c r="L135" s="7" t="inlineStr">
        <is>
          <t>2026-08-05</t>
        </is>
      </c>
      <c r="M135" s="7" t="n">
        <v>1175</v>
      </c>
      <c r="N135" s="7">
        <f>IFERROR(XLOOKUP(A135,'Source Ledger'!$B$5:$B$133,'Source Ledger'!$G$5:$G$133),"")</f>
        <v/>
      </c>
      <c r="O135" s="7">
        <f>IFERROR(XLOOKUP(A135,'Source Ledger'!$B$5:$B$133,'Source Ledger'!$A$5:$A$133),"")</f>
        <v/>
      </c>
      <c r="P135" s="7" t="inlineStr"/>
      <c r="Q135" s="9" t="inlineStr">
        <is>
          <t>High</t>
        </is>
      </c>
      <c r="R135" s="7" t="inlineStr">
        <is>
          <t>EX-0162</t>
        </is>
      </c>
      <c r="S135" s="7" t="inlineStr">
        <is>
          <t>No</t>
        </is>
      </c>
      <c r="X135" t="inlineStr">
        <is>
          <t>No</t>
        </is>
      </c>
    </row>
    <row r="136">
      <c r="A136" s="7" t="inlineStr">
        <is>
          <t>MD-00132</t>
        </is>
      </c>
      <c r="B136" s="7" t="inlineStr">
        <is>
          <t>MD-NE-050132</t>
        </is>
      </c>
      <c r="C136" s="7" t="inlineStr">
        <is>
          <t>Network Asset</t>
        </is>
      </c>
      <c r="D136" s="7" t="inlineStr">
        <is>
          <t>Cisco C9300</t>
        </is>
      </c>
      <c r="E136" s="7" t="inlineStr">
        <is>
          <t>E0066</t>
        </is>
      </c>
      <c r="F136" s="7" t="inlineStr">
        <is>
          <t>Dallas</t>
        </is>
      </c>
      <c r="G136" s="7" t="inlineStr">
        <is>
          <t>In Use</t>
        </is>
      </c>
      <c r="H136" s="7" t="inlineStr">
        <is>
          <t>E0066</t>
        </is>
      </c>
      <c r="I136" s="7" t="inlineStr">
        <is>
          <t>Dallas</t>
        </is>
      </c>
      <c r="J136" s="7" t="inlineStr">
        <is>
          <t>In Use</t>
        </is>
      </c>
      <c r="K136" s="7" t="inlineStr">
        <is>
          <t>MD-00132 verified In Use / Dallas. Custodian check: E0066 / Transferred. TR-00132 (APR-00132) on the movement log. PO-2023-0022 only — no ledger tag — RN-0132 claimed under-threshold expense; rejected — $6,470 is over the $2,500 gate and there is still no FA row</t>
        </is>
      </c>
      <c r="L136" s="7" t="inlineStr">
        <is>
          <t>2026-08-05</t>
        </is>
      </c>
      <c r="M136" s="7" t="n">
        <v>6470</v>
      </c>
      <c r="N136" s="7">
        <f>IFERROR(XLOOKUP(A136,'Source Ledger'!$B$5:$B$133,'Source Ledger'!$G$5:$G$133),"")</f>
        <v/>
      </c>
      <c r="O136" s="7">
        <f>IFERROR(XLOOKUP(A136,'Source Ledger'!$B$5:$B$133,'Source Ledger'!$A$5:$A$133),"")</f>
        <v/>
      </c>
      <c r="P136" s="7" t="inlineStr"/>
      <c r="Q136" s="9" t="inlineStr">
        <is>
          <t>High</t>
        </is>
      </c>
      <c r="R136" s="7" t="inlineStr">
        <is>
          <t>EX-0163</t>
        </is>
      </c>
      <c r="S136" s="7" t="inlineStr">
        <is>
          <t>No</t>
        </is>
      </c>
      <c r="X136" t="inlineStr">
        <is>
          <t>No</t>
        </is>
      </c>
    </row>
  </sheetData>
  <mergeCells count="2">
    <mergeCell ref="A2:S2"/>
    <mergeCell ref="A1:S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6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32" customWidth="1" min="2" max="2"/>
    <col width="10" customWidth="1" min="3" max="3"/>
    <col width="11" customWidth="1" min="4" max="4"/>
    <col width="15" customWidth="1" min="5" max="5"/>
    <col width="40" customWidth="1" min="6" max="6"/>
    <col width="20" customWidth="1" min="7" max="7"/>
    <col width="40" customWidth="1" min="8" max="8"/>
    <col width="23" customWidth="1" min="9" max="9"/>
    <col width="21" customWidth="1" min="10" max="10"/>
    <col width="10" customWidth="1" min="11" max="11"/>
    <col width="40" customWidth="1" min="12" max="12"/>
    <col width="22" customWidth="1" min="13" max="13"/>
  </cols>
  <sheetData>
    <row r="1">
      <c r="A1" s="1" t="inlineStr">
        <is>
          <t>Exception Register</t>
        </is>
      </c>
    </row>
    <row r="2" ht="36" customHeight="1">
      <c r="A2" s="23" t="inlineStr">
        <is>
          <t>Each exception cites exact related records. Image leads are labeled as leads, not clearance. Flags duplicate serial MD-LA-050021 across MD-00021 and MD-00025, and duplicate serial MD-NE-050088 across MD-00088 and MD-00092.</t>
        </is>
      </c>
    </row>
    <row r="4">
      <c r="A4" s="3" t="inlineStr">
        <is>
          <t>Exception ID</t>
        </is>
      </c>
      <c r="B4" s="3" t="inlineStr">
        <is>
          <t>Type</t>
        </is>
      </c>
      <c r="C4" s="3" t="inlineStr">
        <is>
          <t>Severity</t>
        </is>
      </c>
      <c r="D4" s="3" t="inlineStr">
        <is>
          <t>Asset Tag</t>
        </is>
      </c>
      <c r="E4" s="3" t="inlineStr">
        <is>
          <t>Serial Number</t>
        </is>
      </c>
      <c r="F4" s="3" t="inlineStr">
        <is>
          <t>Related Record(s)</t>
        </is>
      </c>
      <c r="G4" s="3" t="inlineStr">
        <is>
          <t>Financial Exposure</t>
        </is>
      </c>
      <c r="H4" s="3" t="inlineStr">
        <is>
          <t>Required Action</t>
        </is>
      </c>
      <c r="I4" s="3" t="inlineStr">
        <is>
          <t>Owner by Role</t>
        </is>
      </c>
      <c r="J4" s="3" t="inlineStr">
        <is>
          <t>Resolution Deadline</t>
        </is>
      </c>
      <c r="K4" s="3" t="inlineStr">
        <is>
          <t>Status</t>
        </is>
      </c>
      <c r="L4" s="3" t="inlineStr">
        <is>
          <t>Evidence Assessment</t>
        </is>
      </c>
      <c r="M4" s="3" t="inlineStr">
        <is>
          <t>Certification Impact</t>
        </is>
      </c>
    </row>
    <row r="5">
      <c r="A5" s="7" t="inlineStr">
        <is>
          <t>EX-0001</t>
        </is>
      </c>
      <c r="B5" s="7" t="inlineStr">
        <is>
          <t>Inventory-to-Ledger Difference</t>
        </is>
      </c>
      <c r="C5" s="10" t="inlineStr">
        <is>
          <t>High</t>
        </is>
      </c>
      <c r="D5" s="7" t="inlineStr">
        <is>
          <t>MD-00017</t>
        </is>
      </c>
      <c r="E5" s="7" t="inlineStr">
        <is>
          <t>MD-LA-050017</t>
        </is>
      </c>
      <c r="F5" s="7" t="inlineStr">
        <is>
          <t>Ledger:FA-000017; PO:PO-2024-0003; RegisterCost:1985.0; LedgerCost:2070.0</t>
        </is>
      </c>
      <c r="G5" s="7">
        <f>IF(B5="Inventory-to-Ledger Difference",IF(IFERROR(XLOOKUP(D5,'Source Ledger'!$B$5:$B$133,'Source Ledger'!$E$5:$E$133),"")="",IFERROR(XLOOKUP(D5,'Corrected Register'!$A$5:$A$136,'Corrected Register'!$M$5:$M$136),0),ABS(IFERROR(XLOOKUP(D5,'Source Ledger'!$B$5:$B$133,'Source Ledger'!$E$5:$E$133),0)-IFERROR(XLOOKUP(D5,'Corrected Register'!$A$5:$A$136,'Corrected Register'!$M$5:$M$136),0))),IFERROR(XLOOKUP(D5,'Corrected Register'!$A$5:$A$136,'Corrected Register'!$N$5:$N$136),0))</f>
        <v>85</v>
      </c>
      <c r="H5" s="7" t="inlineStr">
        <is>
          <t>Reconcile PO-2024-0003 / FA-000017 / register cost for MD-00017.</t>
        </is>
      </c>
      <c r="I5" s="7" t="inlineStr">
        <is>
          <t>Finance Controller</t>
        </is>
      </c>
      <c r="J5" s="7" t="inlineStr">
        <is>
          <t>2026-08-21</t>
        </is>
      </c>
      <c r="K5" s="7" t="inlineStr">
        <is>
          <t>Open</t>
        </is>
      </c>
      <c r="L5" s="7" t="inlineStr">
        <is>
          <t>FA-000017 cost 2070.0 vs register 1985.0. PO-2024-0003.</t>
        </is>
      </c>
      <c r="M5" s="7" t="inlineStr">
        <is>
          <t>Requires remediation</t>
        </is>
      </c>
    </row>
    <row r="6">
      <c r="A6" s="7" t="inlineStr">
        <is>
          <t>EX-0002</t>
        </is>
      </c>
      <c r="B6" s="7" t="inlineStr">
        <is>
          <t>Duplicate Serial Number</t>
        </is>
      </c>
      <c r="C6" s="10" t="inlineStr">
        <is>
          <t>High</t>
        </is>
      </c>
      <c r="D6" s="7" t="inlineStr">
        <is>
          <t>MD-00021</t>
        </is>
      </c>
      <c r="E6" s="7" t="inlineStr">
        <is>
          <t>MD-LA-050021</t>
        </is>
      </c>
      <c r="F6" s="7" t="inlineStr">
        <is>
          <t>Duplicate serial MD-LA-050021 across MD-00021 and MD-00025; Serial:MD-LA-050021; AlsoTagged:MD-00021,MD-00025</t>
        </is>
      </c>
      <c r="G6" s="7">
        <f>IF(B6="Inventory-to-Ledger Difference",IF(IFERROR(XLOOKUP(D6,'Source Ledger'!$B$5:$B$133,'Source Ledger'!$E$5:$E$133),"")="",IFERROR(XLOOKUP(D6,'Corrected Register'!$A$5:$A$136,'Corrected Register'!$M$5:$M$136),0),ABS(IFERROR(XLOOKUP(D6,'Source Ledger'!$B$5:$B$133,'Source Ledger'!$E$5:$E$133),0)-IFERROR(XLOOKUP(D6,'Corrected Register'!$A$5:$A$136,'Corrected Register'!$M$5:$M$136),0))),IFERROR(XLOOKUP(D6,'Corrected Register'!$A$5:$A$136,'Corrected Register'!$N$5:$N$136),0))</f>
        <v>124.52</v>
      </c>
      <c r="H6" s="7" t="inlineStr">
        <is>
          <t>Break the duplicate. MD-LA-050021 cannot stay on both MD-00021,MD-00025.</t>
        </is>
      </c>
      <c r="I6" s="7" t="inlineStr">
        <is>
          <t>IT Asset Specialist</t>
        </is>
      </c>
      <c r="J6" s="7" t="inlineStr">
        <is>
          <t>2026-08-18</t>
        </is>
      </c>
      <c r="K6" s="7" t="inlineStr">
        <is>
          <t>Open</t>
        </is>
      </c>
      <c r="L6" s="7" t="inlineStr">
        <is>
          <t>Duplicate MD-LA-050021 is in the extract. Physical next.</t>
        </is>
      </c>
      <c r="M6" s="7" t="inlineStr">
        <is>
          <t>Requires remediation</t>
        </is>
      </c>
    </row>
    <row r="7">
      <c r="A7" s="7" t="inlineStr">
        <is>
          <t>EX-0003</t>
        </is>
      </c>
      <c r="B7" s="7" t="inlineStr">
        <is>
          <t>Closed Location Assignment</t>
        </is>
      </c>
      <c r="C7" s="11" t="inlineStr">
        <is>
          <t>Medium</t>
        </is>
      </c>
      <c r="D7" s="7" t="inlineStr">
        <is>
          <t>MD-00025</t>
        </is>
      </c>
      <c r="E7" s="7" t="inlineStr">
        <is>
          <t>MD-LA-050021</t>
        </is>
      </c>
      <c r="F7" s="7" t="inlineStr">
        <is>
          <t>RegisterLocation:Denver - Closed; Transfer:TR-00025; HRLocation:Chicago</t>
        </is>
      </c>
      <c r="G7" s="7">
        <f>IF(B7="Inventory-to-Ledger Difference",IF(IFERROR(XLOOKUP(D7,'Source Ledger'!$B$5:$B$133,'Source Ledger'!$E$5:$E$133),"")="",IFERROR(XLOOKUP(D7,'Corrected Register'!$A$5:$A$136,'Corrected Register'!$M$5:$M$136),0),ABS(IFERROR(XLOOKUP(D7,'Source Ledger'!$B$5:$B$133,'Source Ledger'!$E$5:$E$133),0)-IFERROR(XLOOKUP(D7,'Corrected Register'!$A$5:$A$136,'Corrected Register'!$M$5:$M$136),0))),IFERROR(XLOOKUP(D7,'Corrected Register'!$A$5:$A$136,'Corrected Register'!$N$5:$N$136),0))</f>
        <v>0</v>
      </c>
      <c r="H7" s="7" t="inlineStr">
        <is>
          <t>Get MD-00025 off Denver - Closed. Operating location is Chicago.</t>
        </is>
      </c>
      <c r="I7" s="7" t="inlineStr">
        <is>
          <t>IT Asset Specialist</t>
        </is>
      </c>
      <c r="J7" s="7" t="inlineStr">
        <is>
          <t>2026-08-19</t>
        </is>
      </c>
      <c r="K7" s="7" t="inlineStr">
        <is>
          <t>Open</t>
        </is>
      </c>
      <c r="L7" s="7" t="inlineStr">
        <is>
          <t>Register location Denver - Closed is a closed site. TR-00025 points elsewhere. Live office Chicago.</t>
        </is>
      </c>
      <c r="M7" s="7" t="inlineStr">
        <is>
          <t>Requires remediation</t>
        </is>
      </c>
    </row>
    <row r="8">
      <c r="A8" s="7" t="inlineStr">
        <is>
          <t>EX-0004</t>
        </is>
      </c>
      <c r="B8" s="7" t="inlineStr">
        <is>
          <t>Duplicate Serial Number</t>
        </is>
      </c>
      <c r="C8" s="10" t="inlineStr">
        <is>
          <t>High</t>
        </is>
      </c>
      <c r="D8" s="7" t="inlineStr">
        <is>
          <t>MD-00025</t>
        </is>
      </c>
      <c r="E8" s="7" t="inlineStr">
        <is>
          <t>MD-LA-050021</t>
        </is>
      </c>
      <c r="F8" s="7" t="inlineStr">
        <is>
          <t>Duplicate serial MD-LA-050021 across MD-00021 and MD-00025; Serial:MD-LA-050021; AlsoTagged:MD-00021,MD-00025</t>
        </is>
      </c>
      <c r="G8" s="7">
        <f>IF(B8="Inventory-to-Ledger Difference",IF(IFERROR(XLOOKUP(D8,'Source Ledger'!$B$5:$B$133,'Source Ledger'!$E$5:$E$133),"")="",IFERROR(XLOOKUP(D8,'Corrected Register'!$A$5:$A$136,'Corrected Register'!$M$5:$M$136),0),ABS(IFERROR(XLOOKUP(D8,'Source Ledger'!$B$5:$B$133,'Source Ledger'!$E$5:$E$133),0)-IFERROR(XLOOKUP(D8,'Corrected Register'!$A$5:$A$136,'Corrected Register'!$M$5:$M$136),0))),IFERROR(XLOOKUP(D8,'Corrected Register'!$A$5:$A$136,'Corrected Register'!$N$5:$N$136),0))</f>
        <v>0</v>
      </c>
      <c r="H8" s="7" t="inlineStr">
        <is>
          <t>Two assets share MD-LA-050021 (MD-00021,MD-00025). Validate on the bench and issue a new serial.</t>
        </is>
      </c>
      <c r="I8" s="7" t="inlineStr">
        <is>
          <t>IT Asset Specialist</t>
        </is>
      </c>
      <c r="J8" s="7" t="inlineStr">
        <is>
          <t>2026-08-18</t>
        </is>
      </c>
      <c r="K8" s="7" t="inlineStr">
        <is>
          <t>Open</t>
        </is>
      </c>
      <c r="L8" s="7" t="inlineStr">
        <is>
          <t>Two tags, one serial (MD-LA-050021). Flagged both.</t>
        </is>
      </c>
      <c r="M8" s="7" t="inlineStr">
        <is>
          <t>Requires remediation</t>
        </is>
      </c>
    </row>
    <row r="9">
      <c r="A9" s="7" t="inlineStr">
        <is>
          <t>EX-0005</t>
        </is>
      </c>
      <c r="B9" s="7" t="inlineStr">
        <is>
          <t>Closed Location Assignment</t>
        </is>
      </c>
      <c r="C9" s="11" t="inlineStr">
        <is>
          <t>Medium</t>
        </is>
      </c>
      <c r="D9" s="7" t="inlineStr">
        <is>
          <t>MD-00026</t>
        </is>
      </c>
      <c r="E9" s="7" t="inlineStr">
        <is>
          <t>MD-MO-050026</t>
        </is>
      </c>
      <c r="F9" s="7" t="inlineStr">
        <is>
          <t>RegisterLocation:Chicago - Closed; Transfer:TR-00026; HRLocation:Dallas</t>
        </is>
      </c>
      <c r="G9" s="7">
        <f>IF(B9="Inventory-to-Ledger Difference",IF(IFERROR(XLOOKUP(D9,'Source Ledger'!$B$5:$B$133,'Source Ledger'!$E$5:$E$133),"")="",IFERROR(XLOOKUP(D9,'Corrected Register'!$A$5:$A$136,'Corrected Register'!$M$5:$M$136),0),ABS(IFERROR(XLOOKUP(D9,'Source Ledger'!$B$5:$B$133,'Source Ledger'!$E$5:$E$133),0)-IFERROR(XLOOKUP(D9,'Corrected Register'!$A$5:$A$136,'Corrected Register'!$M$5:$M$136),0))),IFERROR(XLOOKUP(D9,'Corrected Register'!$A$5:$A$136,'Corrected Register'!$N$5:$N$136),0))</f>
        <v>382.34</v>
      </c>
      <c r="H9" s="7" t="inlineStr">
        <is>
          <t>Location cleanup for MD-00026: Chicago - Closed → Dallas.</t>
        </is>
      </c>
      <c r="I9" s="7" t="inlineStr">
        <is>
          <t>IT Asset Specialist</t>
        </is>
      </c>
      <c r="J9" s="7" t="inlineStr">
        <is>
          <t>2026-08-19</t>
        </is>
      </c>
      <c r="K9" s="7" t="inlineStr">
        <is>
          <t>Open</t>
        </is>
      </c>
      <c r="L9" s="7" t="inlineStr">
        <is>
          <t>Site code is stale. Chicago - Closed vs Dallas.</t>
        </is>
      </c>
      <c r="M9" s="7" t="inlineStr">
        <is>
          <t>Requires remediation</t>
        </is>
      </c>
    </row>
    <row r="10">
      <c r="A10" s="7" t="inlineStr">
        <is>
          <t>EX-0006</t>
        </is>
      </c>
      <c r="B10" s="7" t="inlineStr">
        <is>
          <t>Closed Location Assignment</t>
        </is>
      </c>
      <c r="C10" s="11" t="inlineStr">
        <is>
          <t>Medium</t>
        </is>
      </c>
      <c r="D10" s="7" t="inlineStr">
        <is>
          <t>MD-00027</t>
        </is>
      </c>
      <c r="E10" s="7" t="inlineStr">
        <is>
          <t>MD-MO-050027</t>
        </is>
      </c>
      <c r="F10" s="7" t="inlineStr">
        <is>
          <t>RegisterLocation:Denver - Closed; Transfer:TR-00027; HRLocation:Denver</t>
        </is>
      </c>
      <c r="G10" s="7">
        <f>IF(B10="Inventory-to-Ledger Difference",IF(IFERROR(XLOOKUP(D10,'Source Ledger'!$B$5:$B$133,'Source Ledger'!$E$5:$E$133),"")="",IFERROR(XLOOKUP(D10,'Corrected Register'!$A$5:$A$136,'Corrected Register'!$M$5:$M$136),0),ABS(IFERROR(XLOOKUP(D10,'Source Ledger'!$B$5:$B$133,'Source Ledger'!$E$5:$E$133),0)-IFERROR(XLOOKUP(D10,'Corrected Register'!$A$5:$A$136,'Corrected Register'!$M$5:$M$136),0))),IFERROR(XLOOKUP(D10,'Corrected Register'!$A$5:$A$136,'Corrected Register'!$N$5:$N$136),0))</f>
        <v>672.21</v>
      </c>
      <c r="H10" s="7" t="inlineStr">
        <is>
          <t>Closed-office leftover. Update MD-00027 to Denver.</t>
        </is>
      </c>
      <c r="I10" s="7" t="inlineStr">
        <is>
          <t>IT Asset Specialist</t>
        </is>
      </c>
      <c r="J10" s="7" t="inlineStr">
        <is>
          <t>2026-08-19</t>
        </is>
      </c>
      <c r="K10" s="7" t="inlineStr">
        <is>
          <t>Open</t>
        </is>
      </c>
      <c r="L10" s="7" t="inlineStr">
        <is>
          <t>TR-00027 destination isn't the shuttered office on the register.</t>
        </is>
      </c>
      <c r="M10" s="7" t="inlineStr">
        <is>
          <t>Requires remediation</t>
        </is>
      </c>
    </row>
    <row r="11">
      <c r="A11" s="7" t="inlineStr">
        <is>
          <t>EX-0007</t>
        </is>
      </c>
      <c r="B11" s="7" t="inlineStr">
        <is>
          <t>Closed Location Assignment</t>
        </is>
      </c>
      <c r="C11" s="11" t="inlineStr">
        <is>
          <t>Medium</t>
        </is>
      </c>
      <c r="D11" s="7" t="inlineStr">
        <is>
          <t>MD-00028</t>
        </is>
      </c>
      <c r="E11" s="7" t="inlineStr">
        <is>
          <t>MD-NE-050028</t>
        </is>
      </c>
      <c r="F11" s="7" t="inlineStr">
        <is>
          <t>RegisterLocation:Chicago - Closed; Transfer:TR-00028; HRLocation:New York</t>
        </is>
      </c>
      <c r="G11" s="7">
        <f>IF(B11="Inventory-to-Ledger Difference",IF(IFERROR(XLOOKUP(D11,'Source Ledger'!$B$5:$B$133,'Source Ledger'!$E$5:$E$133),"")="",IFERROR(XLOOKUP(D11,'Corrected Register'!$A$5:$A$136,'Corrected Register'!$M$5:$M$136),0),ABS(IFERROR(XLOOKUP(D11,'Source Ledger'!$B$5:$B$133,'Source Ledger'!$E$5:$E$133),0)-IFERROR(XLOOKUP(D11,'Corrected Register'!$A$5:$A$136,'Corrected Register'!$M$5:$M$136),0))),IFERROR(XLOOKUP(D11,'Corrected Register'!$A$5:$A$136,'Corrected Register'!$N$5:$N$136),0))</f>
        <v>914.09</v>
      </c>
      <c r="H11" s="7" t="inlineStr">
        <is>
          <t>Don't leave MD-00028 coded to Chicago - Closed.</t>
        </is>
      </c>
      <c r="I11" s="7" t="inlineStr">
        <is>
          <t>IT Asset Specialist</t>
        </is>
      </c>
      <c r="J11" s="7" t="inlineStr">
        <is>
          <t>2026-08-19</t>
        </is>
      </c>
      <c r="K11" s="7" t="inlineStr">
        <is>
          <t>Open</t>
        </is>
      </c>
      <c r="L11" s="7" t="inlineStr">
        <is>
          <t>Chicago - Closed is locked. I'm not leaving MD-00028 there on paper. New York is the operating site.</t>
        </is>
      </c>
      <c r="M11" s="7" t="inlineStr">
        <is>
          <t>Requires remediation</t>
        </is>
      </c>
    </row>
    <row r="12">
      <c r="A12" s="7" t="inlineStr">
        <is>
          <t>EX-0008</t>
        </is>
      </c>
      <c r="B12" s="7" t="inlineStr">
        <is>
          <t>Closed Location Assignment</t>
        </is>
      </c>
      <c r="C12" s="11" t="inlineStr">
        <is>
          <t>Medium</t>
        </is>
      </c>
      <c r="D12" s="7" t="inlineStr">
        <is>
          <t>MD-00029</t>
        </is>
      </c>
      <c r="E12" s="7" t="inlineStr">
        <is>
          <t>MD-LA-050029</t>
        </is>
      </c>
      <c r="F12" s="7" t="inlineStr">
        <is>
          <t>RegisterLocation:Denver - Closed; Transfer:TR-00029; HRLocation:Seattle</t>
        </is>
      </c>
      <c r="G12" s="7">
        <f>IF(B12="Inventory-to-Ledger Difference",IF(IFERROR(XLOOKUP(D12,'Source Ledger'!$B$5:$B$133,'Source Ledger'!$E$5:$E$133),"")="",IFERROR(XLOOKUP(D12,'Corrected Register'!$A$5:$A$136,'Corrected Register'!$M$5:$M$136),0),ABS(IFERROR(XLOOKUP(D12,'Source Ledger'!$B$5:$B$133,'Source Ledger'!$E$5:$E$133),0)-IFERROR(XLOOKUP(D12,'Corrected Register'!$A$5:$A$136,'Corrected Register'!$M$5:$M$136),0))),IFERROR(XLOOKUP(D12,'Corrected Register'!$A$5:$A$136,'Corrected Register'!$N$5:$N$136),0))</f>
        <v>0</v>
      </c>
      <c r="H12" s="7" t="inlineStr">
        <is>
          <t>Pull MD-00029 out of Denver - Closed and park it at Seattle.</t>
        </is>
      </c>
      <c r="I12" s="7" t="inlineStr">
        <is>
          <t>IT Asset Specialist</t>
        </is>
      </c>
      <c r="J12" s="7" t="inlineStr">
        <is>
          <t>2026-08-19</t>
        </is>
      </c>
      <c r="K12" s="7" t="inlineStr">
        <is>
          <t>Open</t>
        </is>
      </c>
      <c r="L12" s="7" t="inlineStr">
        <is>
          <t>Consolidation leftover: MD-00029 @ Denver - Closed.</t>
        </is>
      </c>
      <c r="M12" s="7" t="inlineStr">
        <is>
          <t>Requires remediation</t>
        </is>
      </c>
    </row>
    <row r="13">
      <c r="A13" s="7" t="inlineStr">
        <is>
          <t>EX-0009</t>
        </is>
      </c>
      <c r="B13" s="7" t="inlineStr">
        <is>
          <t>Closed Location Assignment</t>
        </is>
      </c>
      <c r="C13" s="11" t="inlineStr">
        <is>
          <t>Medium</t>
        </is>
      </c>
      <c r="D13" s="7" t="inlineStr">
        <is>
          <t>MD-00030</t>
        </is>
      </c>
      <c r="E13" s="7" t="inlineStr">
        <is>
          <t>MD-MO-050030</t>
        </is>
      </c>
      <c r="F13" s="7" t="inlineStr">
        <is>
          <t>RegisterLocation:Chicago - Closed; Transfer:TR-00030; HRLocation:Atlanta</t>
        </is>
      </c>
      <c r="G13" s="7">
        <f>IF(B13="Inventory-to-Ledger Difference",IF(IFERROR(XLOOKUP(D13,'Source Ledger'!$B$5:$B$133,'Source Ledger'!$E$5:$E$133),"")="",IFERROR(XLOOKUP(D13,'Corrected Register'!$A$5:$A$136,'Corrected Register'!$M$5:$M$136),0),ABS(IFERROR(XLOOKUP(D13,'Source Ledger'!$B$5:$B$133,'Source Ledger'!$E$5:$E$133),0)-IFERROR(XLOOKUP(D13,'Corrected Register'!$A$5:$A$136,'Corrected Register'!$M$5:$M$136),0))),IFERROR(XLOOKUP(D13,'Corrected Register'!$A$5:$A$136,'Corrected Register'!$N$5:$N$136),0))</f>
        <v>355.14</v>
      </c>
      <c r="H13" s="7" t="inlineStr">
        <is>
          <t>Register still has the shuttered floor (Chicago - Closed). Put Atlanta on the row.</t>
        </is>
      </c>
      <c r="I13" s="7" t="inlineStr">
        <is>
          <t>IT Asset Specialist</t>
        </is>
      </c>
      <c r="J13" s="7" t="inlineStr">
        <is>
          <t>2026-08-19</t>
        </is>
      </c>
      <c r="K13" s="7" t="inlineStr">
        <is>
          <t>Open</t>
        </is>
      </c>
      <c r="L13" s="7" t="inlineStr">
        <is>
          <t>MD-00030 still coded to a floor we don't occupy (Chicago - Closed).</t>
        </is>
      </c>
      <c r="M13" s="7" t="inlineStr">
        <is>
          <t>Requires remediation</t>
        </is>
      </c>
    </row>
    <row r="14">
      <c r="A14" s="7" t="inlineStr">
        <is>
          <t>EX-0010</t>
        </is>
      </c>
      <c r="B14" s="7" t="inlineStr">
        <is>
          <t>Closed Location Assignment</t>
        </is>
      </c>
      <c r="C14" s="11" t="inlineStr">
        <is>
          <t>Medium</t>
        </is>
      </c>
      <c r="D14" s="7" t="inlineStr">
        <is>
          <t>MD-00031</t>
        </is>
      </c>
      <c r="E14" s="7" t="inlineStr">
        <is>
          <t>MD-MO-050031</t>
        </is>
      </c>
      <c r="F14" s="7" t="inlineStr">
        <is>
          <t>RegisterLocation:Denver - Closed; Transfer:TR-00031; HRLocation:Chicago</t>
        </is>
      </c>
      <c r="G14" s="7">
        <f>IF(B14="Inventory-to-Ledger Difference",IF(IFERROR(XLOOKUP(D14,'Source Ledger'!$B$5:$B$133,'Source Ledger'!$E$5:$E$133),"")="",IFERROR(XLOOKUP(D14,'Corrected Register'!$A$5:$A$136,'Corrected Register'!$M$5:$M$136),0),ABS(IFERROR(XLOOKUP(D14,'Source Ledger'!$B$5:$B$133,'Source Ledger'!$E$5:$E$133),0)-IFERROR(XLOOKUP(D14,'Corrected Register'!$A$5:$A$136,'Corrected Register'!$M$5:$M$136),0))),IFERROR(XLOOKUP(D14,'Corrected Register'!$A$5:$A$136,'Corrected Register'!$N$5:$N$136),0))</f>
        <v>722.59</v>
      </c>
      <c r="H14" s="7" t="inlineStr">
        <is>
          <t>Location cleanup for MD-00031: Denver - Closed → Chicago.</t>
        </is>
      </c>
      <c r="I14" s="7" t="inlineStr">
        <is>
          <t>IT Asset Specialist</t>
        </is>
      </c>
      <c r="J14" s="7" t="inlineStr">
        <is>
          <t>2026-08-19</t>
        </is>
      </c>
      <c r="K14" s="7" t="inlineStr">
        <is>
          <t>Open</t>
        </is>
      </c>
      <c r="L14" s="7" t="inlineStr">
        <is>
          <t>Site code is stale. Denver - Closed vs Chicago.</t>
        </is>
      </c>
      <c r="M14" s="7" t="inlineStr">
        <is>
          <t>Requires remediation</t>
        </is>
      </c>
    </row>
    <row r="15">
      <c r="A15" s="7" t="inlineStr">
        <is>
          <t>EX-0011</t>
        </is>
      </c>
      <c r="B15" s="7" t="inlineStr">
        <is>
          <t>Closed Location Assignment</t>
        </is>
      </c>
      <c r="C15" s="11" t="inlineStr">
        <is>
          <t>Medium</t>
        </is>
      </c>
      <c r="D15" s="7" t="inlineStr">
        <is>
          <t>MD-00032</t>
        </is>
      </c>
      <c r="E15" s="7" t="inlineStr">
        <is>
          <t>MD-NE-050032</t>
        </is>
      </c>
      <c r="F15" s="7" t="inlineStr">
        <is>
          <t>RegisterLocation:Chicago - Closed; Transfer:TR-00032; HRLocation:Dallas</t>
        </is>
      </c>
      <c r="G15" s="7">
        <f>IF(B15="Inventory-to-Ledger Difference",IF(IFERROR(XLOOKUP(D15,'Source Ledger'!$B$5:$B$133,'Source Ledger'!$E$5:$E$133),"")="",IFERROR(XLOOKUP(D15,'Corrected Register'!$A$5:$A$136,'Corrected Register'!$M$5:$M$136),0),ABS(IFERROR(XLOOKUP(D15,'Source Ledger'!$B$5:$B$133,'Source Ledger'!$E$5:$E$133),0)-IFERROR(XLOOKUP(D15,'Corrected Register'!$A$5:$A$136,'Corrected Register'!$M$5:$M$136),0))),IFERROR(XLOOKUP(D15,'Corrected Register'!$A$5:$A$136,'Corrected Register'!$N$5:$N$136),0))</f>
        <v>1384.3</v>
      </c>
      <c r="H15" s="7" t="inlineStr">
        <is>
          <t>Closed-office leftover. Update MD-00032 to Dallas.</t>
        </is>
      </c>
      <c r="I15" s="7" t="inlineStr">
        <is>
          <t>IT Asset Specialist</t>
        </is>
      </c>
      <c r="J15" s="7" t="inlineStr">
        <is>
          <t>2026-08-19</t>
        </is>
      </c>
      <c r="K15" s="7" t="inlineStr">
        <is>
          <t>Open</t>
        </is>
      </c>
      <c r="L15" s="7" t="inlineStr">
        <is>
          <t>TR-00032 destination isn't the shuttered office on the register.</t>
        </is>
      </c>
      <c r="M15" s="7" t="inlineStr">
        <is>
          <t>Requires remediation</t>
        </is>
      </c>
    </row>
    <row r="16">
      <c r="A16" s="7" t="inlineStr">
        <is>
          <t>EX-0012</t>
        </is>
      </c>
      <c r="B16" s="7" t="inlineStr">
        <is>
          <t>Closed Location Assignment</t>
        </is>
      </c>
      <c r="C16" s="11" t="inlineStr">
        <is>
          <t>Medium</t>
        </is>
      </c>
      <c r="D16" s="7" t="inlineStr">
        <is>
          <t>MD-00033</t>
        </is>
      </c>
      <c r="E16" s="7" t="inlineStr">
        <is>
          <t>MD-LA-050033</t>
        </is>
      </c>
      <c r="F16" s="7" t="inlineStr">
        <is>
          <t>RegisterLocation:Denver - Closed; Transfer:TR-00033; HRLocation:Denver</t>
        </is>
      </c>
      <c r="G16" s="7">
        <f>IF(B16="Inventory-to-Ledger Difference",IF(IFERROR(XLOOKUP(D16,'Source Ledger'!$B$5:$B$133,'Source Ledger'!$E$5:$E$133),"")="",IFERROR(XLOOKUP(D16,'Corrected Register'!$A$5:$A$136,'Corrected Register'!$M$5:$M$136),0),ABS(IFERROR(XLOOKUP(D16,'Source Ledger'!$B$5:$B$133,'Source Ledger'!$E$5:$E$133),0)-IFERROR(XLOOKUP(D16,'Corrected Register'!$A$5:$A$136,'Corrected Register'!$M$5:$M$136),0))),IFERROR(XLOOKUP(D16,'Corrected Register'!$A$5:$A$136,'Corrected Register'!$N$5:$N$136),0))</f>
        <v>116.93</v>
      </c>
      <c r="H16" s="7" t="inlineStr">
        <is>
          <t>Don't leave MD-00033 coded to Denver - Closed.</t>
        </is>
      </c>
      <c r="I16" s="7" t="inlineStr">
        <is>
          <t>IT Asset Specialist</t>
        </is>
      </c>
      <c r="J16" s="7" t="inlineStr">
        <is>
          <t>2026-08-19</t>
        </is>
      </c>
      <c r="K16" s="7" t="inlineStr">
        <is>
          <t>Open</t>
        </is>
      </c>
      <c r="L16" s="7" t="inlineStr">
        <is>
          <t>Denver - Closed is locked. I'm not leaving MD-00033 there on paper. Denver is the operating site.</t>
        </is>
      </c>
      <c r="M16" s="7" t="inlineStr">
        <is>
          <t>Requires remediation</t>
        </is>
      </c>
    </row>
    <row r="17">
      <c r="A17" s="7" t="inlineStr">
        <is>
          <t>EX-0013</t>
        </is>
      </c>
      <c r="B17" s="7" t="inlineStr">
        <is>
          <t>Closed Location Assignment</t>
        </is>
      </c>
      <c r="C17" s="11" t="inlineStr">
        <is>
          <t>Medium</t>
        </is>
      </c>
      <c r="D17" s="7" t="inlineStr">
        <is>
          <t>MD-00034</t>
        </is>
      </c>
      <c r="E17" s="7" t="inlineStr">
        <is>
          <t>MD-MO-050034</t>
        </is>
      </c>
      <c r="F17" s="7" t="inlineStr">
        <is>
          <t>RegisterLocation:Chicago - Closed; Transfer:TR-00034; HRLocation:New York</t>
        </is>
      </c>
      <c r="G17" s="7">
        <f>IF(B17="Inventory-to-Ledger Difference",IF(IFERROR(XLOOKUP(D17,'Source Ledger'!$B$5:$B$133,'Source Ledger'!$E$5:$E$133),"")="",IFERROR(XLOOKUP(D17,'Corrected Register'!$A$5:$A$136,'Corrected Register'!$M$5:$M$136),0),ABS(IFERROR(XLOOKUP(D17,'Source Ledger'!$B$5:$B$133,'Source Ledger'!$E$5:$E$133),0)-IFERROR(XLOOKUP(D17,'Corrected Register'!$A$5:$A$136,'Corrected Register'!$M$5:$M$136),0))),IFERROR(XLOOKUP(D17,'Corrected Register'!$A$5:$A$136,'Corrected Register'!$N$5:$N$136),0))</f>
        <v>514.88</v>
      </c>
      <c r="H17" s="7" t="inlineStr">
        <is>
          <t>Pull MD-00034 out of Chicago - Closed and park it at New York.</t>
        </is>
      </c>
      <c r="I17" s="7" t="inlineStr">
        <is>
          <t>IT Asset Specialist</t>
        </is>
      </c>
      <c r="J17" s="7" t="inlineStr">
        <is>
          <t>2026-08-19</t>
        </is>
      </c>
      <c r="K17" s="7" t="inlineStr">
        <is>
          <t>Open</t>
        </is>
      </c>
      <c r="L17" s="7" t="inlineStr">
        <is>
          <t>Consolidation leftover: MD-00034 @ Chicago - Closed.</t>
        </is>
      </c>
      <c r="M17" s="7" t="inlineStr">
        <is>
          <t>Requires remediation</t>
        </is>
      </c>
    </row>
    <row r="18">
      <c r="A18" s="7" t="inlineStr">
        <is>
          <t>EX-0014</t>
        </is>
      </c>
      <c r="B18" s="7" t="inlineStr">
        <is>
          <t>Inventory-to-Ledger Difference</t>
        </is>
      </c>
      <c r="C18" s="10" t="inlineStr">
        <is>
          <t>High</t>
        </is>
      </c>
      <c r="D18" s="7" t="inlineStr">
        <is>
          <t>MD-00034</t>
        </is>
      </c>
      <c r="E18" s="7" t="inlineStr">
        <is>
          <t>MD-MO-050034</t>
        </is>
      </c>
      <c r="F18" s="7" t="inlineStr">
        <is>
          <t>Ledger:FA-000034; PO:PO-2023-0006; RegisterCost:790.0; LedgerCost:930.0</t>
        </is>
      </c>
      <c r="G18" s="7">
        <f>IF(B18="Inventory-to-Ledger Difference",IF(IFERROR(XLOOKUP(D18,'Source Ledger'!$B$5:$B$133,'Source Ledger'!$E$5:$E$133),"")="",IFERROR(XLOOKUP(D18,'Corrected Register'!$A$5:$A$136,'Corrected Register'!$M$5:$M$136),0),ABS(IFERROR(XLOOKUP(D18,'Source Ledger'!$B$5:$B$133,'Source Ledger'!$E$5:$E$133),0)-IFERROR(XLOOKUP(D18,'Corrected Register'!$A$5:$A$136,'Corrected Register'!$M$5:$M$136),0))),IFERROR(XLOOKUP(D18,'Corrected Register'!$A$5:$A$136,'Corrected Register'!$N$5:$N$136),0))</f>
        <v>140</v>
      </c>
      <c r="H18" s="7" t="inlineStr">
        <is>
          <t>Finance to align cost on MD-00034: register 790.0 vs ledger 930.0 (FA-000034).</t>
        </is>
      </c>
      <c r="I18" s="7" t="inlineStr">
        <is>
          <t>Finance Controller</t>
        </is>
      </c>
      <c r="J18" s="7" t="inlineStr">
        <is>
          <t>2026-08-21</t>
        </is>
      </c>
      <c r="K18" s="7" t="inlineStr">
        <is>
          <t>Open</t>
        </is>
      </c>
      <c r="L18" s="7" t="inlineStr">
        <is>
          <t>FA-000034 cost 930.0 vs register 790.0. PO-2023-0006.</t>
        </is>
      </c>
      <c r="M18" s="7" t="inlineStr">
        <is>
          <t>Requires remediation</t>
        </is>
      </c>
    </row>
    <row r="19">
      <c r="A19" s="7" t="inlineStr">
        <is>
          <t>EX-0015</t>
        </is>
      </c>
      <c r="B19" s="7" t="inlineStr">
        <is>
          <t>Closed Location Assignment</t>
        </is>
      </c>
      <c r="C19" s="11" t="inlineStr">
        <is>
          <t>Medium</t>
        </is>
      </c>
      <c r="D19" s="7" t="inlineStr">
        <is>
          <t>MD-00035</t>
        </is>
      </c>
      <c r="E19" s="7" t="inlineStr">
        <is>
          <t>MD-MO-050035</t>
        </is>
      </c>
      <c r="F19" s="7" t="inlineStr">
        <is>
          <t>RegisterLocation:Denver - Closed; Transfer:TR-00035; HRLocation:Seattle</t>
        </is>
      </c>
      <c r="G19" s="7">
        <f>IF(B19="Inventory-to-Ledger Difference",IF(IFERROR(XLOOKUP(D19,'Source Ledger'!$B$5:$B$133,'Source Ledger'!$E$5:$E$133),"")="",IFERROR(XLOOKUP(D19,'Corrected Register'!$A$5:$A$136,'Corrected Register'!$M$5:$M$136),0),ABS(IFERROR(XLOOKUP(D19,'Source Ledger'!$B$5:$B$133,'Source Ledger'!$E$5:$E$133),0)-IFERROR(XLOOKUP(D19,'Corrected Register'!$A$5:$A$136,'Corrected Register'!$M$5:$M$136),0))),IFERROR(XLOOKUP(D19,'Corrected Register'!$A$5:$A$136,'Corrected Register'!$N$5:$N$136),0))</f>
        <v>741.92</v>
      </c>
      <c r="H19" s="7" t="inlineStr">
        <is>
          <t>Denver - Closed is shut. Rewrite the register location (MD-00035).</t>
        </is>
      </c>
      <c r="I19" s="7" t="inlineStr">
        <is>
          <t>IT Asset Specialist</t>
        </is>
      </c>
      <c r="J19" s="7" t="inlineStr">
        <is>
          <t>2026-08-19</t>
        </is>
      </c>
      <c r="K19" s="7" t="inlineStr">
        <is>
          <t>Open</t>
        </is>
      </c>
      <c r="L19" s="7" t="inlineStr">
        <is>
          <t>Closed-office leftover on the extract. Denver - Closed. TR-00035.</t>
        </is>
      </c>
      <c r="M19" s="7" t="inlineStr">
        <is>
          <t>Requires remediation</t>
        </is>
      </c>
    </row>
    <row r="20">
      <c r="A20" s="7" t="inlineStr">
        <is>
          <t>EX-0016</t>
        </is>
      </c>
      <c r="B20" s="7" t="inlineStr">
        <is>
          <t>Closed Location Assignment</t>
        </is>
      </c>
      <c r="C20" s="11" t="inlineStr">
        <is>
          <t>Medium</t>
        </is>
      </c>
      <c r="D20" s="7" t="inlineStr">
        <is>
          <t>MD-00036</t>
        </is>
      </c>
      <c r="E20" s="7" t="inlineStr">
        <is>
          <t>MD-NE-050036</t>
        </is>
      </c>
      <c r="F20" s="7" t="inlineStr">
        <is>
          <t>RegisterLocation:Chicago - Closed; Transfer:TR-00036; HRLocation:Atlanta</t>
        </is>
      </c>
      <c r="G20" s="7">
        <f>IF(B20="Inventory-to-Ledger Difference",IF(IFERROR(XLOOKUP(D20,'Source Ledger'!$B$5:$B$133,'Source Ledger'!$E$5:$E$133),"")="",IFERROR(XLOOKUP(D20,'Corrected Register'!$A$5:$A$136,'Corrected Register'!$M$5:$M$136),0),ABS(IFERROR(XLOOKUP(D20,'Source Ledger'!$B$5:$B$133,'Source Ledger'!$E$5:$E$133),0)-IFERROR(XLOOKUP(D20,'Corrected Register'!$A$5:$A$136,'Corrected Register'!$M$5:$M$136),0))),IFERROR(XLOOKUP(D20,'Corrected Register'!$A$5:$A$136,'Corrected Register'!$N$5:$N$136),0))</f>
        <v>537.73</v>
      </c>
      <c r="H20" s="7" t="inlineStr">
        <is>
          <t>Update MD-00036 location. Atlanta is what transfer/HR support.</t>
        </is>
      </c>
      <c r="I20" s="7" t="inlineStr">
        <is>
          <t>IT Asset Specialist</t>
        </is>
      </c>
      <c r="J20" s="7" t="inlineStr">
        <is>
          <t>2026-08-19</t>
        </is>
      </c>
      <c r="K20" s="7" t="inlineStr">
        <is>
          <t>Open</t>
        </is>
      </c>
      <c r="L20" s="7" t="inlineStr">
        <is>
          <t>Didn't treat the closed building as a live location for MD-00036.</t>
        </is>
      </c>
      <c r="M20" s="7" t="inlineStr">
        <is>
          <t>Requires remediation</t>
        </is>
      </c>
    </row>
    <row r="21">
      <c r="A21" s="7" t="inlineStr">
        <is>
          <t>EX-0017</t>
        </is>
      </c>
      <c r="B21" s="7" t="inlineStr">
        <is>
          <t>Closed Location Assignment</t>
        </is>
      </c>
      <c r="C21" s="11" t="inlineStr">
        <is>
          <t>Medium</t>
        </is>
      </c>
      <c r="D21" s="7" t="inlineStr">
        <is>
          <t>MD-00037</t>
        </is>
      </c>
      <c r="E21" s="7" t="inlineStr">
        <is>
          <t>MD-LA-050037</t>
        </is>
      </c>
      <c r="F21" s="7" t="inlineStr">
        <is>
          <t>RegisterLocation:Denver - Closed; Transfer:TR-00037; HRLocation:Chicago</t>
        </is>
      </c>
      <c r="G21" s="7">
        <f>IF(B21="Inventory-to-Ledger Difference",IF(IFERROR(XLOOKUP(D21,'Source Ledger'!$B$5:$B$133,'Source Ledger'!$E$5:$E$133),"")="",IFERROR(XLOOKUP(D21,'Corrected Register'!$A$5:$A$136,'Corrected Register'!$M$5:$M$136),0),ABS(IFERROR(XLOOKUP(D21,'Source Ledger'!$B$5:$B$133,'Source Ledger'!$E$5:$E$133),0)-IFERROR(XLOOKUP(D21,'Corrected Register'!$A$5:$A$136,'Corrected Register'!$M$5:$M$136),0))),IFERROR(XLOOKUP(D21,'Corrected Register'!$A$5:$A$136,'Corrected Register'!$N$5:$N$136),0))</f>
        <v>0</v>
      </c>
      <c r="H21" s="7" t="inlineStr">
        <is>
          <t>Register still has the shuttered floor (Denver - Closed). Put Chicago on the row.</t>
        </is>
      </c>
      <c r="I21" s="7" t="inlineStr">
        <is>
          <t>IT Asset Specialist</t>
        </is>
      </c>
      <c r="J21" s="7" t="inlineStr">
        <is>
          <t>2026-08-19</t>
        </is>
      </c>
      <c r="K21" s="7" t="inlineStr">
        <is>
          <t>Open</t>
        </is>
      </c>
      <c r="L21" s="7" t="inlineStr">
        <is>
          <t>Location on MD-00037 didn't survive the consolidation (Denver - Closed).</t>
        </is>
      </c>
      <c r="M21" s="7" t="inlineStr">
        <is>
          <t>Requires remediation</t>
        </is>
      </c>
    </row>
    <row r="22">
      <c r="A22" s="7" t="inlineStr">
        <is>
          <t>EX-0018</t>
        </is>
      </c>
      <c r="B22" s="7" t="inlineStr">
        <is>
          <t>Closed Location Assignment</t>
        </is>
      </c>
      <c r="C22" s="11" t="inlineStr">
        <is>
          <t>Medium</t>
        </is>
      </c>
      <c r="D22" s="7" t="inlineStr">
        <is>
          <t>MD-00038</t>
        </is>
      </c>
      <c r="E22" s="7" t="inlineStr">
        <is>
          <t>MD-MO-050038</t>
        </is>
      </c>
      <c r="F22" s="7" t="inlineStr">
        <is>
          <t>RegisterLocation:Chicago - Closed; Transfer:TR-00038; HRLocation:Dallas</t>
        </is>
      </c>
      <c r="G22" s="7">
        <f>IF(B22="Inventory-to-Ledger Difference",IF(IFERROR(XLOOKUP(D22,'Source Ledger'!$B$5:$B$133,'Source Ledger'!$E$5:$E$133),"")="",IFERROR(XLOOKUP(D22,'Corrected Register'!$A$5:$A$136,'Corrected Register'!$M$5:$M$136),0),ABS(IFERROR(XLOOKUP(D22,'Source Ledger'!$B$5:$B$133,'Source Ledger'!$E$5:$E$133),0)-IFERROR(XLOOKUP(D22,'Corrected Register'!$A$5:$A$136,'Corrected Register'!$M$5:$M$136),0))),IFERROR(XLOOKUP(D22,'Corrected Register'!$A$5:$A$136,'Corrected Register'!$N$5:$N$136),0))</f>
        <v>340.46</v>
      </c>
      <c r="H22" s="7" t="inlineStr">
        <is>
          <t>Location cleanup for MD-00038: Chicago - Closed → Dallas.</t>
        </is>
      </c>
      <c r="I22" s="7" t="inlineStr">
        <is>
          <t>IT Asset Specialist</t>
        </is>
      </c>
      <c r="J22" s="7" t="inlineStr">
        <is>
          <t>2026-08-19</t>
        </is>
      </c>
      <c r="K22" s="7" t="inlineStr">
        <is>
          <t>Open</t>
        </is>
      </c>
      <c r="L22" s="7" t="inlineStr">
        <is>
          <t>Walked the register vs HR/transfer. MD-00038 still says Chicago - Closed.</t>
        </is>
      </c>
      <c r="M22" s="7" t="inlineStr">
        <is>
          <t>Requires remediation</t>
        </is>
      </c>
    </row>
    <row r="23">
      <c r="A23" s="7" t="inlineStr">
        <is>
          <t>EX-0019</t>
        </is>
      </c>
      <c r="B23" s="7" t="inlineStr">
        <is>
          <t>Closed Location Assignment</t>
        </is>
      </c>
      <c r="C23" s="11" t="inlineStr">
        <is>
          <t>Medium</t>
        </is>
      </c>
      <c r="D23" s="7" t="inlineStr">
        <is>
          <t>MD-00039</t>
        </is>
      </c>
      <c r="E23" s="7" t="inlineStr">
        <is>
          <t>MD-MO-050039</t>
        </is>
      </c>
      <c r="F23" s="7" t="inlineStr">
        <is>
          <t>RegisterLocation:Denver - Closed; Transfer:TR-00039; HRLocation:Denver</t>
        </is>
      </c>
      <c r="G23" s="7">
        <f>IF(B23="Inventory-to-Ledger Difference",IF(IFERROR(XLOOKUP(D23,'Source Ledger'!$B$5:$B$133,'Source Ledger'!$E$5:$E$133),"")="",IFERROR(XLOOKUP(D23,'Corrected Register'!$A$5:$A$136,'Corrected Register'!$M$5:$M$136),0),ABS(IFERROR(XLOOKUP(D23,'Source Ledger'!$B$5:$B$133,'Source Ledger'!$E$5:$E$133),0)-IFERROR(XLOOKUP(D23,'Corrected Register'!$A$5:$A$136,'Corrected Register'!$M$5:$M$136),0))),IFERROR(XLOOKUP(D23,'Corrected Register'!$A$5:$A$136,'Corrected Register'!$N$5:$N$136),0))</f>
        <v>635</v>
      </c>
      <c r="H23" s="7" t="inlineStr">
        <is>
          <t>Closed-office leftover. Update MD-00039 to Denver.</t>
        </is>
      </c>
      <c r="I23" s="7" t="inlineStr">
        <is>
          <t>IT Asset Specialist</t>
        </is>
      </c>
      <c r="J23" s="7" t="inlineStr">
        <is>
          <t>2026-08-19</t>
        </is>
      </c>
      <c r="K23" s="7" t="inlineStr">
        <is>
          <t>Open</t>
        </is>
      </c>
      <c r="L23" s="7" t="inlineStr">
        <is>
          <t>Register location Denver - Closed is a closed site. TR-00039 points elsewhere. Live office Denver.</t>
        </is>
      </c>
      <c r="M23" s="7" t="inlineStr">
        <is>
          <t>Requires remediation</t>
        </is>
      </c>
    </row>
    <row r="24">
      <c r="A24" s="7" t="inlineStr">
        <is>
          <t>EX-0020</t>
        </is>
      </c>
      <c r="B24" s="7" t="inlineStr">
        <is>
          <t>Closed Location Assignment</t>
        </is>
      </c>
      <c r="C24" s="11" t="inlineStr">
        <is>
          <t>Medium</t>
        </is>
      </c>
      <c r="D24" s="7" t="inlineStr">
        <is>
          <t>MD-00040</t>
        </is>
      </c>
      <c r="E24" s="7" t="inlineStr">
        <is>
          <t>MD-NE-050040</t>
        </is>
      </c>
      <c r="F24" s="7" t="inlineStr">
        <is>
          <t>RegisterLocation:Chicago - Closed; Transfer:TR-00040; HRLocation:New York</t>
        </is>
      </c>
      <c r="G24" s="7">
        <f>IF(B24="Inventory-to-Ledger Difference",IF(IFERROR(XLOOKUP(D24,'Source Ledger'!$B$5:$B$133,'Source Ledger'!$E$5:$E$133),"")="",IFERROR(XLOOKUP(D24,'Corrected Register'!$A$5:$A$136,'Corrected Register'!$M$5:$M$136),0),ABS(IFERROR(XLOOKUP(D24,'Source Ledger'!$B$5:$B$133,'Source Ledger'!$E$5:$E$133),0)-IFERROR(XLOOKUP(D24,'Corrected Register'!$A$5:$A$136,'Corrected Register'!$M$5:$M$136),0))),IFERROR(XLOOKUP(D24,'Corrected Register'!$A$5:$A$136,'Corrected Register'!$N$5:$N$136),0))</f>
        <v>989.48</v>
      </c>
      <c r="H24" s="7" t="inlineStr">
        <is>
          <t>Chicago - Closed is shut. Rewrite the register location (MD-00040).</t>
        </is>
      </c>
      <c r="I24" s="7" t="inlineStr">
        <is>
          <t>IT Asset Specialist</t>
        </is>
      </c>
      <c r="J24" s="7" t="inlineStr">
        <is>
          <t>2026-08-19</t>
        </is>
      </c>
      <c r="K24" s="7" t="inlineStr">
        <is>
          <t>Open</t>
        </is>
      </c>
      <c r="L24" s="7" t="inlineStr">
        <is>
          <t>Closed-office leftover on the extract. Chicago - Closed. TR-00040.</t>
        </is>
      </c>
      <c r="M24" s="7" t="inlineStr">
        <is>
          <t>Requires remediation</t>
        </is>
      </c>
    </row>
    <row r="25">
      <c r="A25" s="7" t="inlineStr">
        <is>
          <t>EX-0021</t>
        </is>
      </c>
      <c r="B25" s="7" t="inlineStr">
        <is>
          <t>Closed Location Assignment</t>
        </is>
      </c>
      <c r="C25" s="11" t="inlineStr">
        <is>
          <t>Medium</t>
        </is>
      </c>
      <c r="D25" s="7" t="inlineStr">
        <is>
          <t>MD-00041</t>
        </is>
      </c>
      <c r="E25" s="7" t="inlineStr">
        <is>
          <t>MD-LA-050041</t>
        </is>
      </c>
      <c r="F25" s="7" t="inlineStr">
        <is>
          <t>RegisterLocation:Denver - Closed; Transfer:TR-00041; HRLocation:Seattle</t>
        </is>
      </c>
      <c r="G25" s="7">
        <f>IF(B25="Inventory-to-Ledger Difference",IF(IFERROR(XLOOKUP(D25,'Source Ledger'!$B$5:$B$133,'Source Ledger'!$E$5:$E$133),"")="",IFERROR(XLOOKUP(D25,'Corrected Register'!$A$5:$A$136,'Corrected Register'!$M$5:$M$136),0),ABS(IFERROR(XLOOKUP(D25,'Source Ledger'!$B$5:$B$133,'Source Ledger'!$E$5:$E$133),0)-IFERROR(XLOOKUP(D25,'Corrected Register'!$A$5:$A$136,'Corrected Register'!$M$5:$M$136),0))),IFERROR(XLOOKUP(D25,'Corrected Register'!$A$5:$A$136,'Corrected Register'!$N$5:$N$136),0))</f>
        <v>0</v>
      </c>
      <c r="H25" s="7" t="inlineStr">
        <is>
          <t>Update MD-00041 location. Seattle is what transfer/HR support.</t>
        </is>
      </c>
      <c r="I25" s="7" t="inlineStr">
        <is>
          <t>IT Asset Specialist</t>
        </is>
      </c>
      <c r="J25" s="7" t="inlineStr">
        <is>
          <t>2026-08-19</t>
        </is>
      </c>
      <c r="K25" s="7" t="inlineStr">
        <is>
          <t>Open</t>
        </is>
      </c>
      <c r="L25" s="7" t="inlineStr">
        <is>
          <t>Didn't treat the closed building as a live location for MD-00041.</t>
        </is>
      </c>
      <c r="M25" s="7" t="inlineStr">
        <is>
          <t>Requires remediation</t>
        </is>
      </c>
    </row>
    <row r="26">
      <c r="A26" s="7" t="inlineStr">
        <is>
          <t>EX-0022</t>
        </is>
      </c>
      <c r="B26" s="7" t="inlineStr">
        <is>
          <t>Closed Location Assignment</t>
        </is>
      </c>
      <c r="C26" s="11" t="inlineStr">
        <is>
          <t>Medium</t>
        </is>
      </c>
      <c r="D26" s="7" t="inlineStr">
        <is>
          <t>MD-00042</t>
        </is>
      </c>
      <c r="E26" s="7" t="inlineStr">
        <is>
          <t>MD-MO-050042</t>
        </is>
      </c>
      <c r="F26" s="7" t="inlineStr">
        <is>
          <t>RegisterLocation:Chicago - Closed; Transfer:TR-00042; HRLocation:Atlanta</t>
        </is>
      </c>
      <c r="G26" s="7">
        <f>IF(B26="Inventory-to-Ledger Difference",IF(IFERROR(XLOOKUP(D26,'Source Ledger'!$B$5:$B$133,'Source Ledger'!$E$5:$E$133),"")="",IFERROR(XLOOKUP(D26,'Corrected Register'!$A$5:$A$136,'Corrected Register'!$M$5:$M$136),0),ABS(IFERROR(XLOOKUP(D26,'Source Ledger'!$B$5:$B$133,'Source Ledger'!$E$5:$E$133),0)-IFERROR(XLOOKUP(D26,'Corrected Register'!$A$5:$A$136,'Corrected Register'!$M$5:$M$136),0))),IFERROR(XLOOKUP(D26,'Corrected Register'!$A$5:$A$136,'Corrected Register'!$N$5:$N$136),0))</f>
        <v>306.16</v>
      </c>
      <c r="H26" s="7" t="inlineStr">
        <is>
          <t>Register still has the shuttered floor (Chicago - Closed). Put Atlanta on the row. (EX-0022)</t>
        </is>
      </c>
      <c r="I26" s="7" t="inlineStr">
        <is>
          <t>IT Asset Specialist</t>
        </is>
      </c>
      <c r="J26" s="7" t="inlineStr">
        <is>
          <t>2026-08-19</t>
        </is>
      </c>
      <c r="K26" s="7" t="inlineStr">
        <is>
          <t>Open</t>
        </is>
      </c>
      <c r="L26" s="7" t="inlineStr">
        <is>
          <t>Location on MD-00042 didn't survive the consolidation (Chicago - Closed).</t>
        </is>
      </c>
      <c r="M26" s="7" t="inlineStr">
        <is>
          <t>Requires remediation</t>
        </is>
      </c>
    </row>
    <row r="27">
      <c r="A27" s="7" t="inlineStr">
        <is>
          <t>EX-0023</t>
        </is>
      </c>
      <c r="B27" s="7" t="inlineStr">
        <is>
          <t>Closed Location Assignment</t>
        </is>
      </c>
      <c r="C27" s="11" t="inlineStr">
        <is>
          <t>Medium</t>
        </is>
      </c>
      <c r="D27" s="7" t="inlineStr">
        <is>
          <t>MD-00043</t>
        </is>
      </c>
      <c r="E27" s="7" t="inlineStr">
        <is>
          <t>MD-MO-050043</t>
        </is>
      </c>
      <c r="F27" s="7" t="inlineStr">
        <is>
          <t>RegisterLocation:Denver - Closed; Transfer:TR-00043; HRLocation:Chicago</t>
        </is>
      </c>
      <c r="G27" s="7">
        <f>IF(B27="Inventory-to-Ledger Difference",IF(IFERROR(XLOOKUP(D27,'Source Ledger'!$B$5:$B$133,'Source Ledger'!$E$5:$E$133),"")="",IFERROR(XLOOKUP(D27,'Corrected Register'!$A$5:$A$136,'Corrected Register'!$M$5:$M$136),0),ABS(IFERROR(XLOOKUP(D27,'Source Ledger'!$B$5:$B$133,'Source Ledger'!$E$5:$E$133),0)-IFERROR(XLOOKUP(D27,'Corrected Register'!$A$5:$A$136,'Corrected Register'!$M$5:$M$136),0))),IFERROR(XLOOKUP(D27,'Corrected Register'!$A$5:$A$136,'Corrected Register'!$N$5:$N$136),0))</f>
        <v>673.55</v>
      </c>
      <c r="H27" s="7" t="inlineStr">
        <is>
          <t>Location cleanup for MD-00043: Denver - Closed → Chicago.</t>
        </is>
      </c>
      <c r="I27" s="7" t="inlineStr">
        <is>
          <t>IT Asset Specialist</t>
        </is>
      </c>
      <c r="J27" s="7" t="inlineStr">
        <is>
          <t>2026-08-19</t>
        </is>
      </c>
      <c r="K27" s="7" t="inlineStr">
        <is>
          <t>Open</t>
        </is>
      </c>
      <c r="L27" s="7" t="inlineStr">
        <is>
          <t>Walked the register vs HR/transfer. MD-00043 still says Denver - Closed.</t>
        </is>
      </c>
      <c r="M27" s="7" t="inlineStr">
        <is>
          <t>Requires remediation</t>
        </is>
      </c>
    </row>
    <row r="28">
      <c r="A28" s="7" t="inlineStr">
        <is>
          <t>EX-0024</t>
        </is>
      </c>
      <c r="B28" s="7" t="inlineStr">
        <is>
          <t>Closed Location Assignment</t>
        </is>
      </c>
      <c r="C28" s="11" t="inlineStr">
        <is>
          <t>Medium</t>
        </is>
      </c>
      <c r="D28" s="7" t="inlineStr">
        <is>
          <t>MD-00044</t>
        </is>
      </c>
      <c r="E28" s="7" t="inlineStr">
        <is>
          <t>MD-NE-050044</t>
        </is>
      </c>
      <c r="F28" s="7" t="inlineStr">
        <is>
          <t>RegisterLocation:Chicago - Closed; Transfer:TR-00044; HRLocation:Dallas</t>
        </is>
      </c>
      <c r="G28" s="7">
        <f>IF(B28="Inventory-to-Ledger Difference",IF(IFERROR(XLOOKUP(D28,'Source Ledger'!$B$5:$B$133,'Source Ledger'!$E$5:$E$133),"")="",IFERROR(XLOOKUP(D28,'Corrected Register'!$A$5:$A$136,'Corrected Register'!$M$5:$M$136),0),ABS(IFERROR(XLOOKUP(D28,'Source Ledger'!$B$5:$B$133,'Source Ledger'!$E$5:$E$133),0)-IFERROR(XLOOKUP(D28,'Corrected Register'!$A$5:$A$136,'Corrected Register'!$M$5:$M$136),0))),IFERROR(XLOOKUP(D28,'Corrected Register'!$A$5:$A$136,'Corrected Register'!$N$5:$N$136),0))</f>
        <v>1406.1</v>
      </c>
      <c r="H28" s="7" t="inlineStr">
        <is>
          <t>Closed-office leftover. Update MD-00044 to Dallas.</t>
        </is>
      </c>
      <c r="I28" s="7" t="inlineStr">
        <is>
          <t>IT Asset Specialist</t>
        </is>
      </c>
      <c r="J28" s="7" t="inlineStr">
        <is>
          <t>2026-08-19</t>
        </is>
      </c>
      <c r="K28" s="7" t="inlineStr">
        <is>
          <t>Open</t>
        </is>
      </c>
      <c r="L28" s="7" t="inlineStr">
        <is>
          <t>Register location Chicago - Closed is a closed site. TR-00044 points elsewhere. Live office Dallas.</t>
        </is>
      </c>
      <c r="M28" s="7" t="inlineStr">
        <is>
          <t>Requires remediation</t>
        </is>
      </c>
    </row>
    <row r="29">
      <c r="A29" s="7" t="inlineStr">
        <is>
          <t>EX-0025</t>
        </is>
      </c>
      <c r="B29" s="7" t="inlineStr">
        <is>
          <t>Closed Location Assignment</t>
        </is>
      </c>
      <c r="C29" s="11" t="inlineStr">
        <is>
          <t>Medium</t>
        </is>
      </c>
      <c r="D29" s="7" t="inlineStr">
        <is>
          <t>MD-00045</t>
        </is>
      </c>
      <c r="E29" s="7" t="inlineStr">
        <is>
          <t>MD-LA-050045</t>
        </is>
      </c>
      <c r="F29" s="7" t="inlineStr">
        <is>
          <t>RegisterLocation:Denver - Closed; Transfer:TR-00045; HRLocation:Denver</t>
        </is>
      </c>
      <c r="G29" s="7">
        <f>IF(B29="Inventory-to-Ledger Difference",IF(IFERROR(XLOOKUP(D29,'Source Ledger'!$B$5:$B$133,'Source Ledger'!$E$5:$E$133),"")="",IFERROR(XLOOKUP(D29,'Corrected Register'!$A$5:$A$136,'Corrected Register'!$M$5:$M$136),0),ABS(IFERROR(XLOOKUP(D29,'Source Ledger'!$B$5:$B$133,'Source Ledger'!$E$5:$E$133),0)-IFERROR(XLOOKUP(D29,'Corrected Register'!$A$5:$A$136,'Corrected Register'!$M$5:$M$136),0))),IFERROR(XLOOKUP(D29,'Corrected Register'!$A$5:$A$136,'Corrected Register'!$N$5:$N$136),0))</f>
        <v>133.6</v>
      </c>
      <c r="H29" s="7" t="inlineStr">
        <is>
          <t>Don't leave MD-00045 coded to Denver - Closed.</t>
        </is>
      </c>
      <c r="I29" s="7" t="inlineStr">
        <is>
          <t>IT Asset Specialist</t>
        </is>
      </c>
      <c r="J29" s="7" t="inlineStr">
        <is>
          <t>2026-08-19</t>
        </is>
      </c>
      <c r="K29" s="7" t="inlineStr">
        <is>
          <t>Open</t>
        </is>
      </c>
      <c r="L29" s="7" t="inlineStr">
        <is>
          <t>Closed-office leftover on the extract. Denver - Closed. TR-00045.</t>
        </is>
      </c>
      <c r="M29" s="7" t="inlineStr">
        <is>
          <t>Requires remediation</t>
        </is>
      </c>
    </row>
    <row r="30">
      <c r="A30" s="7" t="inlineStr">
        <is>
          <t>EX-0026</t>
        </is>
      </c>
      <c r="B30" s="7" t="inlineStr">
        <is>
          <t>Closed Location Assignment</t>
        </is>
      </c>
      <c r="C30" s="11" t="inlineStr">
        <is>
          <t>Medium</t>
        </is>
      </c>
      <c r="D30" s="7" t="inlineStr">
        <is>
          <t>MD-00046</t>
        </is>
      </c>
      <c r="E30" s="7" t="inlineStr">
        <is>
          <t>MD-MO-050046</t>
        </is>
      </c>
      <c r="F30" s="7" t="inlineStr">
        <is>
          <t>RegisterLocation:Chicago - Closed; Transfer:TR-00046; VerifiedLocation:New York</t>
        </is>
      </c>
      <c r="G30" s="7">
        <f>IF(B30="Inventory-to-Ledger Difference",IF(IFERROR(XLOOKUP(D30,'Source Ledger'!$B$5:$B$133,'Source Ledger'!$E$5:$E$133),"")="",IFERROR(XLOOKUP(D30,'Corrected Register'!$A$5:$A$136,'Corrected Register'!$M$5:$M$136),0),ABS(IFERROR(XLOOKUP(D30,'Source Ledger'!$B$5:$B$133,'Source Ledger'!$E$5:$E$133),0)-IFERROR(XLOOKUP(D30,'Corrected Register'!$A$5:$A$136,'Corrected Register'!$M$5:$M$136),0))),IFERROR(XLOOKUP(D30,'Corrected Register'!$A$5:$A$136,'Corrected Register'!$N$5:$N$136),0))</f>
        <v>460.82</v>
      </c>
      <c r="H30" s="7" t="inlineStr">
        <is>
          <t>Pull MD-00046 out of Chicago - Closed and park it at New York.</t>
        </is>
      </c>
      <c r="I30" s="7" t="inlineStr">
        <is>
          <t>IT Asset Specialist</t>
        </is>
      </c>
      <c r="J30" s="7" t="inlineStr">
        <is>
          <t>2026-08-19</t>
        </is>
      </c>
      <c r="K30" s="7" t="inlineStr">
        <is>
          <t>Open</t>
        </is>
      </c>
      <c r="L30" s="7" t="inlineStr">
        <is>
          <t>Didn't treat the closed building as a live location for MD-00046.</t>
        </is>
      </c>
      <c r="M30" s="7" t="inlineStr">
        <is>
          <t>Requires remediation</t>
        </is>
      </c>
    </row>
    <row r="31">
      <c r="A31" s="7" t="inlineStr">
        <is>
          <t>EX-0027</t>
        </is>
      </c>
      <c r="B31" s="7" t="inlineStr">
        <is>
          <t>Closed Location Assignment</t>
        </is>
      </c>
      <c r="C31" s="11" t="inlineStr">
        <is>
          <t>Medium</t>
        </is>
      </c>
      <c r="D31" s="7" t="inlineStr">
        <is>
          <t>MD-00047</t>
        </is>
      </c>
      <c r="E31" s="7" t="inlineStr">
        <is>
          <t>MD-MO-050047</t>
        </is>
      </c>
      <c r="F31" s="7" t="inlineStr">
        <is>
          <t>RegisterLocation:Denver - Closed; Transfer:TR-00047; VerifiedLocation:Seattle</t>
        </is>
      </c>
      <c r="G31" s="7">
        <f>IF(B31="Inventory-to-Ledger Difference",IF(IFERROR(XLOOKUP(D31,'Source Ledger'!$B$5:$B$133,'Source Ledger'!$E$5:$E$133),"")="",IFERROR(XLOOKUP(D31,'Corrected Register'!$A$5:$A$136,'Corrected Register'!$M$5:$M$136),0),ABS(IFERROR(XLOOKUP(D31,'Source Ledger'!$B$5:$B$133,'Source Ledger'!$E$5:$E$133),0)-IFERROR(XLOOKUP(D31,'Corrected Register'!$A$5:$A$136,'Corrected Register'!$M$5:$M$136),0))),IFERROR(XLOOKUP(D31,'Corrected Register'!$A$5:$A$136,'Corrected Register'!$N$5:$N$136),0))</f>
        <v>930.51</v>
      </c>
      <c r="H31" s="7" t="inlineStr">
        <is>
          <t>Clear the closed-site assignment. MD-00047 belongs at Seattle.</t>
        </is>
      </c>
      <c r="I31" s="7" t="inlineStr">
        <is>
          <t>IT Asset Specialist</t>
        </is>
      </c>
      <c r="J31" s="7" t="inlineStr">
        <is>
          <t>2026-08-19</t>
        </is>
      </c>
      <c r="K31" s="7" t="inlineStr">
        <is>
          <t>Open</t>
        </is>
      </c>
      <c r="L31" s="7" t="inlineStr">
        <is>
          <t>Location on MD-00047 didn't survive the consolidation (Denver - Closed).</t>
        </is>
      </c>
      <c r="M31" s="7" t="inlineStr">
        <is>
          <t>Requires remediation</t>
        </is>
      </c>
    </row>
    <row r="32">
      <c r="A32" s="7" t="inlineStr">
        <is>
          <t>EX-0028</t>
        </is>
      </c>
      <c r="B32" s="7" t="inlineStr">
        <is>
          <t>Closed Location Assignment</t>
        </is>
      </c>
      <c r="C32" s="11" t="inlineStr">
        <is>
          <t>Medium</t>
        </is>
      </c>
      <c r="D32" s="7" t="inlineStr">
        <is>
          <t>MD-00048</t>
        </is>
      </c>
      <c r="E32" s="7" t="inlineStr">
        <is>
          <t>MD-NE-050048</t>
        </is>
      </c>
      <c r="F32" s="7" t="inlineStr">
        <is>
          <t>RegisterLocation:Chicago - Closed; Transfer:TR-00048; VerifiedLocation:Atlanta</t>
        </is>
      </c>
      <c r="G32" s="7">
        <f>IF(B32="Inventory-to-Ledger Difference",IF(IFERROR(XLOOKUP(D32,'Source Ledger'!$B$5:$B$133,'Source Ledger'!$E$5:$E$133),"")="",IFERROR(XLOOKUP(D32,'Corrected Register'!$A$5:$A$136,'Corrected Register'!$M$5:$M$136),0),ABS(IFERROR(XLOOKUP(D32,'Source Ledger'!$B$5:$B$133,'Source Ledger'!$E$5:$E$133),0)-IFERROR(XLOOKUP(D32,'Corrected Register'!$A$5:$A$136,'Corrected Register'!$M$5:$M$136),0))),IFERROR(XLOOKUP(D32,'Corrected Register'!$A$5:$A$136,'Corrected Register'!$N$5:$N$136),0))</f>
        <v>514.59</v>
      </c>
      <c r="H32" s="7" t="inlineStr">
        <is>
          <t>Same finding as the walkthrough: MD-00048 still tagged Chicago - Closed. Change it.</t>
        </is>
      </c>
      <c r="I32" s="7" t="inlineStr">
        <is>
          <t>IT Asset Specialist</t>
        </is>
      </c>
      <c r="J32" s="7" t="inlineStr">
        <is>
          <t>2026-08-19</t>
        </is>
      </c>
      <c r="K32" s="7" t="inlineStr">
        <is>
          <t>Open</t>
        </is>
      </c>
      <c r="L32" s="7" t="inlineStr">
        <is>
          <t>Walked the register vs HR/transfer. MD-00048 still says Chicago - Closed.</t>
        </is>
      </c>
      <c r="M32" s="7" t="inlineStr">
        <is>
          <t>Requires remediation</t>
        </is>
      </c>
    </row>
    <row r="33">
      <c r="A33" s="7" t="inlineStr">
        <is>
          <t>EX-0029</t>
        </is>
      </c>
      <c r="B33" s="7" t="inlineStr">
        <is>
          <t>Closed Location Assignment</t>
        </is>
      </c>
      <c r="C33" s="11" t="inlineStr">
        <is>
          <t>Medium</t>
        </is>
      </c>
      <c r="D33" s="7" t="inlineStr">
        <is>
          <t>MD-00049</t>
        </is>
      </c>
      <c r="E33" s="7" t="inlineStr">
        <is>
          <t>MD-LA-050049</t>
        </is>
      </c>
      <c r="F33" s="7" t="inlineStr">
        <is>
          <t>RegisterLocation:Denver - Closed; Transfer:TR-00049; VerifiedLocation:Chicago</t>
        </is>
      </c>
      <c r="G33" s="7">
        <f>IF(B33="Inventory-to-Ledger Difference",IF(IFERROR(XLOOKUP(D33,'Source Ledger'!$B$5:$B$133,'Source Ledger'!$E$5:$E$133),"")="",IFERROR(XLOOKUP(D33,'Corrected Register'!$A$5:$A$136,'Corrected Register'!$M$5:$M$136),0),ABS(IFERROR(XLOOKUP(D33,'Source Ledger'!$B$5:$B$133,'Source Ledger'!$E$5:$E$133),0)-IFERROR(XLOOKUP(D33,'Corrected Register'!$A$5:$A$136,'Corrected Register'!$M$5:$M$136),0))),IFERROR(XLOOKUP(D33,'Corrected Register'!$A$5:$A$136,'Corrected Register'!$N$5:$N$136),0))</f>
        <v>0</v>
      </c>
      <c r="H33" s="7" t="inlineStr">
        <is>
          <t>Get MD-00049 off Denver - Closed. Operating location is Chicago.</t>
        </is>
      </c>
      <c r="I33" s="7" t="inlineStr">
        <is>
          <t>IT Asset Specialist</t>
        </is>
      </c>
      <c r="J33" s="7" t="inlineStr">
        <is>
          <t>2026-08-19</t>
        </is>
      </c>
      <c r="K33" s="7" t="inlineStr">
        <is>
          <t>Open</t>
        </is>
      </c>
      <c r="L33" s="7" t="inlineStr">
        <is>
          <t>Register location Denver - Closed is a closed site. TR-00049 points elsewhere. Live office Chicago.</t>
        </is>
      </c>
      <c r="M33" s="7" t="inlineStr">
        <is>
          <t>Requires remediation</t>
        </is>
      </c>
    </row>
    <row r="34">
      <c r="A34" s="7" t="inlineStr">
        <is>
          <t>EX-0030</t>
        </is>
      </c>
      <c r="B34" s="7" t="inlineStr">
        <is>
          <t>Closed Location Assignment</t>
        </is>
      </c>
      <c r="C34" s="11" t="inlineStr">
        <is>
          <t>Medium</t>
        </is>
      </c>
      <c r="D34" s="7" t="inlineStr">
        <is>
          <t>MD-00050</t>
        </is>
      </c>
      <c r="E34" s="7" t="inlineStr">
        <is>
          <t>MD-MO-050050</t>
        </is>
      </c>
      <c r="F34" s="7" t="inlineStr">
        <is>
          <t>RegisterLocation:Chicago - Closed; Transfer:TR-00050; VerifiedLocation:Dallas</t>
        </is>
      </c>
      <c r="G34" s="7">
        <f>IF(B34="Inventory-to-Ledger Difference",IF(IFERROR(XLOOKUP(D34,'Source Ledger'!$B$5:$B$133,'Source Ledger'!$E$5:$E$133),"")="",IFERROR(XLOOKUP(D34,'Corrected Register'!$A$5:$A$136,'Corrected Register'!$M$5:$M$136),0),ABS(IFERROR(XLOOKUP(D34,'Source Ledger'!$B$5:$B$133,'Source Ledger'!$E$5:$E$133),0)-IFERROR(XLOOKUP(D34,'Corrected Register'!$A$5:$A$136,'Corrected Register'!$M$5:$M$136),0))),IFERROR(XLOOKUP(D34,'Corrected Register'!$A$5:$A$136,'Corrected Register'!$N$5:$N$136),0))</f>
        <v>289.96</v>
      </c>
      <c r="H34" s="7" t="inlineStr">
        <is>
          <t>Don't leave MD-00050 coded to Chicago - Closed.</t>
        </is>
      </c>
      <c r="I34" s="7" t="inlineStr">
        <is>
          <t>IT Asset Specialist</t>
        </is>
      </c>
      <c r="J34" s="7" t="inlineStr">
        <is>
          <t>2026-08-19</t>
        </is>
      </c>
      <c r="K34" s="7" t="inlineStr">
        <is>
          <t>Open</t>
        </is>
      </c>
      <c r="L34" s="7" t="inlineStr">
        <is>
          <t>Closed-office leftover on the extract. Chicago - Closed. TR-00050.</t>
        </is>
      </c>
      <c r="M34" s="7" t="inlineStr">
        <is>
          <t>Requires remediation</t>
        </is>
      </c>
    </row>
    <row r="35">
      <c r="A35" s="7" t="inlineStr">
        <is>
          <t>EX-0031</t>
        </is>
      </c>
      <c r="B35" s="7" t="inlineStr">
        <is>
          <t>Closed Location Assignment</t>
        </is>
      </c>
      <c r="C35" s="11" t="inlineStr">
        <is>
          <t>Medium</t>
        </is>
      </c>
      <c r="D35" s="7" t="inlineStr">
        <is>
          <t>MD-00051</t>
        </is>
      </c>
      <c r="E35" s="7" t="inlineStr">
        <is>
          <t>MD-MO-050051</t>
        </is>
      </c>
      <c r="F35" s="7" t="inlineStr">
        <is>
          <t>RegisterLocation:Denver - Closed; Transfer:TR-00051; VerifiedLocation:Denver</t>
        </is>
      </c>
      <c r="G35" s="7">
        <f>IF(B35="Inventory-to-Ledger Difference",IF(IFERROR(XLOOKUP(D35,'Source Ledger'!$B$5:$B$133,'Source Ledger'!$E$5:$E$133),"")="",IFERROR(XLOOKUP(D35,'Corrected Register'!$A$5:$A$136,'Corrected Register'!$M$5:$M$136),0),ABS(IFERROR(XLOOKUP(D35,'Source Ledger'!$B$5:$B$133,'Source Ledger'!$E$5:$E$133),0)-IFERROR(XLOOKUP(D35,'Corrected Register'!$A$5:$A$136,'Corrected Register'!$M$5:$M$136),0))),IFERROR(XLOOKUP(D35,'Corrected Register'!$A$5:$A$136,'Corrected Register'!$N$5:$N$136),0))</f>
        <v>573.03</v>
      </c>
      <c r="H35" s="7" t="inlineStr">
        <is>
          <t>Pull MD-00051 out of Denver - Closed and park it at Denver.</t>
        </is>
      </c>
      <c r="I35" s="7" t="inlineStr">
        <is>
          <t>IT Asset Specialist</t>
        </is>
      </c>
      <c r="J35" s="7" t="inlineStr">
        <is>
          <t>2026-08-19</t>
        </is>
      </c>
      <c r="K35" s="7" t="inlineStr">
        <is>
          <t>Open</t>
        </is>
      </c>
      <c r="L35" s="7" t="inlineStr">
        <is>
          <t>Didn't treat the closed building as a live location for MD-00051.</t>
        </is>
      </c>
      <c r="M35" s="7" t="inlineStr">
        <is>
          <t>Requires remediation</t>
        </is>
      </c>
    </row>
    <row r="36">
      <c r="A36" s="7" t="inlineStr">
        <is>
          <t>EX-0032</t>
        </is>
      </c>
      <c r="B36" s="7" t="inlineStr">
        <is>
          <t>Inventory-to-Ledger Difference</t>
        </is>
      </c>
      <c r="C36" s="10" t="inlineStr">
        <is>
          <t>High</t>
        </is>
      </c>
      <c r="D36" s="7" t="inlineStr">
        <is>
          <t>MD-00051</t>
        </is>
      </c>
      <c r="E36" s="7" t="inlineStr">
        <is>
          <t>MD-MO-050051</t>
        </is>
      </c>
      <c r="F36" s="7" t="inlineStr">
        <is>
          <t>Ledger:FA-000051; PO:PO-2022-0009; RegisterCost:1040.0; LedgerCost:1250.0</t>
        </is>
      </c>
      <c r="G36" s="7">
        <f>IF(B36="Inventory-to-Ledger Difference",IF(IFERROR(XLOOKUP(D36,'Source Ledger'!$B$5:$B$133,'Source Ledger'!$E$5:$E$133),"")="",IFERROR(XLOOKUP(D36,'Corrected Register'!$A$5:$A$136,'Corrected Register'!$M$5:$M$136),0),ABS(IFERROR(XLOOKUP(D36,'Source Ledger'!$B$5:$B$133,'Source Ledger'!$E$5:$E$133),0)-IFERROR(XLOOKUP(D36,'Corrected Register'!$A$5:$A$136,'Corrected Register'!$M$5:$M$136),0))),IFERROR(XLOOKUP(D36,'Corrected Register'!$A$5:$A$136,'Corrected Register'!$N$5:$N$136),0))</f>
        <v>210</v>
      </c>
      <c r="H36" s="7" t="inlineStr">
        <is>
          <t>Cost basis mismatch MD-00051. Pull PO-2022-0009 and fix FA-000051 or the register.</t>
        </is>
      </c>
      <c r="I36" s="7" t="inlineStr">
        <is>
          <t>Finance Controller</t>
        </is>
      </c>
      <c r="J36" s="7" t="inlineStr">
        <is>
          <t>2026-08-21</t>
        </is>
      </c>
      <c r="K36" s="7" t="inlineStr">
        <is>
          <t>Open</t>
        </is>
      </c>
      <c r="L36" s="7" t="inlineStr">
        <is>
          <t>FA-000051 cost 1250.0 vs register 1040.0. PO-2022-0009.</t>
        </is>
      </c>
      <c r="M36" s="7" t="inlineStr">
        <is>
          <t>Requires remediation</t>
        </is>
      </c>
    </row>
    <row r="37">
      <c r="A37" s="7" t="inlineStr">
        <is>
          <t>EX-0033</t>
        </is>
      </c>
      <c r="B37" s="7" t="inlineStr">
        <is>
          <t>Closed Location Assignment</t>
        </is>
      </c>
      <c r="C37" s="11" t="inlineStr">
        <is>
          <t>Medium</t>
        </is>
      </c>
      <c r="D37" s="7" t="inlineStr">
        <is>
          <t>MD-00052</t>
        </is>
      </c>
      <c r="E37" s="7" t="inlineStr">
        <is>
          <t>MD-NE-050052</t>
        </is>
      </c>
      <c r="F37" s="7" t="inlineStr">
        <is>
          <t>RegisterLocation:Chicago - Closed; Transfer:TR-00052; VerifiedLocation:New York</t>
        </is>
      </c>
      <c r="G37" s="7">
        <f>IF(B37="Inventory-to-Ledger Difference",IF(IFERROR(XLOOKUP(D37,'Source Ledger'!$B$5:$B$133,'Source Ledger'!$E$5:$E$133),"")="",IFERROR(XLOOKUP(D37,'Corrected Register'!$A$5:$A$136,'Corrected Register'!$M$5:$M$136),0),ABS(IFERROR(XLOOKUP(D37,'Source Ledger'!$B$5:$B$133,'Source Ledger'!$E$5:$E$133),0)-IFERROR(XLOOKUP(D37,'Corrected Register'!$A$5:$A$136,'Corrected Register'!$M$5:$M$136),0))),IFERROR(XLOOKUP(D37,'Corrected Register'!$A$5:$A$136,'Corrected Register'!$N$5:$N$136),0))</f>
        <v>933.99</v>
      </c>
      <c r="H37" s="7" t="inlineStr">
        <is>
          <t>Chicago - Closed is shut. Rewrite the register location (MD-00052).</t>
        </is>
      </c>
      <c r="I37" s="7" t="inlineStr">
        <is>
          <t>IT Asset Specialist</t>
        </is>
      </c>
      <c r="J37" s="7" t="inlineStr">
        <is>
          <t>2026-08-19</t>
        </is>
      </c>
      <c r="K37" s="7" t="inlineStr">
        <is>
          <t>Open</t>
        </is>
      </c>
      <c r="L37" s="7" t="inlineStr">
        <is>
          <t>Chicago - Closed is locked. I'm not leaving MD-00052 there on paper. New York is the operating site.</t>
        </is>
      </c>
      <c r="M37" s="7" t="inlineStr">
        <is>
          <t>Requires remediation</t>
        </is>
      </c>
    </row>
    <row r="38">
      <c r="A38" s="7" t="inlineStr">
        <is>
          <t>EX-0034</t>
        </is>
      </c>
      <c r="B38" s="7" t="inlineStr">
        <is>
          <t>Closed Location Assignment</t>
        </is>
      </c>
      <c r="C38" s="11" t="inlineStr">
        <is>
          <t>Medium</t>
        </is>
      </c>
      <c r="D38" s="7" t="inlineStr">
        <is>
          <t>MD-00053</t>
        </is>
      </c>
      <c r="E38" s="7" t="inlineStr">
        <is>
          <t>MD-LA-050053</t>
        </is>
      </c>
      <c r="F38" s="7" t="inlineStr">
        <is>
          <t>RegisterLocation:Denver - Closed; Transfer:TR-00053; VerifiedLocation:Seattle</t>
        </is>
      </c>
      <c r="G38" s="7">
        <f>IF(B38="Inventory-to-Ledger Difference",IF(IFERROR(XLOOKUP(D38,'Source Ledger'!$B$5:$B$133,'Source Ledger'!$E$5:$E$133),"")="",IFERROR(XLOOKUP(D38,'Corrected Register'!$A$5:$A$136,'Corrected Register'!$M$5:$M$136),0),ABS(IFERROR(XLOOKUP(D38,'Source Ledger'!$B$5:$B$133,'Source Ledger'!$E$5:$E$133),0)-IFERROR(XLOOKUP(D38,'Corrected Register'!$A$5:$A$136,'Corrected Register'!$M$5:$M$136),0))),IFERROR(XLOOKUP(D38,'Corrected Register'!$A$5:$A$136,'Corrected Register'!$N$5:$N$136),0))</f>
        <v>0</v>
      </c>
      <c r="H38" s="7" t="inlineStr">
        <is>
          <t>Update MD-00053 location. Seattle is what transfer/HR support.</t>
        </is>
      </c>
      <c r="I38" s="7" t="inlineStr">
        <is>
          <t>IT Asset Specialist</t>
        </is>
      </c>
      <c r="J38" s="7" t="inlineStr">
        <is>
          <t>2026-08-19</t>
        </is>
      </c>
      <c r="K38" s="7" t="inlineStr">
        <is>
          <t>Open</t>
        </is>
      </c>
      <c r="L38" s="7" t="inlineStr">
        <is>
          <t>Consolidation leftover: MD-00053 @ Denver - Closed.</t>
        </is>
      </c>
      <c r="M38" s="7" t="inlineStr">
        <is>
          <t>Requires remediation</t>
        </is>
      </c>
    </row>
    <row r="39">
      <c r="A39" s="7" t="inlineStr">
        <is>
          <t>EX-0035</t>
        </is>
      </c>
      <c r="B39" s="7" t="inlineStr">
        <is>
          <t>Closed Location Assignment</t>
        </is>
      </c>
      <c r="C39" s="11" t="inlineStr">
        <is>
          <t>Medium</t>
        </is>
      </c>
      <c r="D39" s="7" t="inlineStr">
        <is>
          <t>MD-00054</t>
        </is>
      </c>
      <c r="E39" s="7" t="inlineStr">
        <is>
          <t>MD-MO-050054</t>
        </is>
      </c>
      <c r="F39" s="7" t="inlineStr">
        <is>
          <t>RegisterLocation:Chicago - Closed; Transfer:TR-00054; VerifiedLocation:Atlanta</t>
        </is>
      </c>
      <c r="G39" s="7">
        <f>IF(B39="Inventory-to-Ledger Difference",IF(IFERROR(XLOOKUP(D39,'Source Ledger'!$B$5:$B$133,'Source Ledger'!$E$5:$E$133),"")="",IFERROR(XLOOKUP(D39,'Corrected Register'!$A$5:$A$136,'Corrected Register'!$M$5:$M$136),0),ABS(IFERROR(XLOOKUP(D39,'Source Ledger'!$B$5:$B$133,'Source Ledger'!$E$5:$E$133),0)-IFERROR(XLOOKUP(D39,'Corrected Register'!$A$5:$A$136,'Corrected Register'!$M$5:$M$136),0))),IFERROR(XLOOKUP(D39,'Corrected Register'!$A$5:$A$136,'Corrected Register'!$N$5:$N$136),0))</f>
        <v>433.74</v>
      </c>
      <c r="H39" s="7" t="inlineStr">
        <is>
          <t>Register still has the shuttered floor (Chicago - Closed). Put Atlanta on the row. (EX-0035)</t>
        </is>
      </c>
      <c r="I39" s="7" t="inlineStr">
        <is>
          <t>IT Asset Specialist</t>
        </is>
      </c>
      <c r="J39" s="7" t="inlineStr">
        <is>
          <t>2026-08-19</t>
        </is>
      </c>
      <c r="K39" s="7" t="inlineStr">
        <is>
          <t>Open</t>
        </is>
      </c>
      <c r="L39" s="7" t="inlineStr">
        <is>
          <t>MD-00054 still coded to a floor we don't occupy (Chicago - Closed).</t>
        </is>
      </c>
      <c r="M39" s="7" t="inlineStr">
        <is>
          <t>Requires remediation</t>
        </is>
      </c>
    </row>
    <row r="40">
      <c r="A40" s="7" t="inlineStr">
        <is>
          <t>EX-0036</t>
        </is>
      </c>
      <c r="B40" s="7" t="inlineStr">
        <is>
          <t>Closed Location Assignment</t>
        </is>
      </c>
      <c r="C40" s="11" t="inlineStr">
        <is>
          <t>Medium</t>
        </is>
      </c>
      <c r="D40" s="7" t="inlineStr">
        <is>
          <t>MD-00055</t>
        </is>
      </c>
      <c r="E40" s="7" t="inlineStr">
        <is>
          <t>MD-MO-050055</t>
        </is>
      </c>
      <c r="F40" s="7" t="inlineStr">
        <is>
          <t>RegisterLocation:Denver - Closed; Transfer:TR-00055; VerifiedLocation:Chicago</t>
        </is>
      </c>
      <c r="G40" s="7">
        <f>IF(B40="Inventory-to-Ledger Difference",IF(IFERROR(XLOOKUP(D40,'Source Ledger'!$B$5:$B$133,'Source Ledger'!$E$5:$E$133),"")="",IFERROR(XLOOKUP(D40,'Corrected Register'!$A$5:$A$136,'Corrected Register'!$M$5:$M$136),0),ABS(IFERROR(XLOOKUP(D40,'Source Ledger'!$B$5:$B$133,'Source Ledger'!$E$5:$E$133),0)-IFERROR(XLOOKUP(D40,'Corrected Register'!$A$5:$A$136,'Corrected Register'!$M$5:$M$136),0))),IFERROR(XLOOKUP(D40,'Corrected Register'!$A$5:$A$136,'Corrected Register'!$N$5:$N$136),0))</f>
        <v>812.5</v>
      </c>
      <c r="H40" s="7" t="inlineStr">
        <is>
          <t>Location cleanup for MD-00055: Denver - Closed → Chicago.</t>
        </is>
      </c>
      <c r="I40" s="7" t="inlineStr">
        <is>
          <t>IT Asset Specialist</t>
        </is>
      </c>
      <c r="J40" s="7" t="inlineStr">
        <is>
          <t>2026-08-19</t>
        </is>
      </c>
      <c r="K40" s="7" t="inlineStr">
        <is>
          <t>Open</t>
        </is>
      </c>
      <c r="L40" s="7" t="inlineStr">
        <is>
          <t>Site code is stale. Denver - Closed vs Chicago. (EX-0036)</t>
        </is>
      </c>
      <c r="M40" s="7" t="inlineStr">
        <is>
          <t>Requires remediation</t>
        </is>
      </c>
    </row>
    <row r="41">
      <c r="A41" s="7" t="inlineStr">
        <is>
          <t>EX-0037</t>
        </is>
      </c>
      <c r="B41" s="7" t="inlineStr">
        <is>
          <t>Closed Location Assignment</t>
        </is>
      </c>
      <c r="C41" s="11" t="inlineStr">
        <is>
          <t>Medium</t>
        </is>
      </c>
      <c r="D41" s="7" t="inlineStr">
        <is>
          <t>MD-00056</t>
        </is>
      </c>
      <c r="E41" s="7" t="inlineStr">
        <is>
          <t>MD-NE-050056</t>
        </is>
      </c>
      <c r="F41" s="7" t="inlineStr">
        <is>
          <t>RegisterLocation:Chicago - Closed; Transfer:TR-00056; VerifiedLocation:Dallas</t>
        </is>
      </c>
      <c r="G41" s="7">
        <f>IF(B41="Inventory-to-Ledger Difference",IF(IFERROR(XLOOKUP(D41,'Source Ledger'!$B$5:$B$133,'Source Ledger'!$E$5:$E$133),"")="",IFERROR(XLOOKUP(D41,'Corrected Register'!$A$5:$A$136,'Corrected Register'!$M$5:$M$136),0),ABS(IFERROR(XLOOKUP(D41,'Source Ledger'!$B$5:$B$133,'Source Ledger'!$E$5:$E$133),0)-IFERROR(XLOOKUP(D41,'Corrected Register'!$A$5:$A$136,'Corrected Register'!$M$5:$M$136),0))),IFERROR(XLOOKUP(D41,'Corrected Register'!$A$5:$A$136,'Corrected Register'!$N$5:$N$136),0))</f>
        <v>1345.24</v>
      </c>
      <c r="H41" s="7" t="inlineStr">
        <is>
          <t>Closed-office leftover. Update MD-00056 to Dallas.</t>
        </is>
      </c>
      <c r="I41" s="7" t="inlineStr">
        <is>
          <t>IT Asset Specialist</t>
        </is>
      </c>
      <c r="J41" s="7" t="inlineStr">
        <is>
          <t>2026-08-19</t>
        </is>
      </c>
      <c r="K41" s="7" t="inlineStr">
        <is>
          <t>Open</t>
        </is>
      </c>
      <c r="L41" s="7" t="inlineStr">
        <is>
          <t>TR-00056 destination isn't the shuttered office on the register.</t>
        </is>
      </c>
      <c r="M41" s="7" t="inlineStr">
        <is>
          <t>Requires remediation</t>
        </is>
      </c>
    </row>
    <row r="42">
      <c r="A42" s="7" t="inlineStr">
        <is>
          <t>EX-0038</t>
        </is>
      </c>
      <c r="B42" s="7" t="inlineStr">
        <is>
          <t>Closed Location Assignment</t>
        </is>
      </c>
      <c r="C42" s="11" t="inlineStr">
        <is>
          <t>Medium</t>
        </is>
      </c>
      <c r="D42" s="7" t="inlineStr">
        <is>
          <t>MD-00057</t>
        </is>
      </c>
      <c r="E42" s="7" t="inlineStr">
        <is>
          <t>MD-LA-050057</t>
        </is>
      </c>
      <c r="F42" s="7" t="inlineStr">
        <is>
          <t>RegisterLocation:Denver - Closed; Transfer:TR-00057; VerifiedLocation:Denver</t>
        </is>
      </c>
      <c r="G42" s="7">
        <f>IF(B42="Inventory-to-Ledger Difference",IF(IFERROR(XLOOKUP(D42,'Source Ledger'!$B$5:$B$133,'Source Ledger'!$E$5:$E$133),"")="",IFERROR(XLOOKUP(D42,'Corrected Register'!$A$5:$A$136,'Corrected Register'!$M$5:$M$136),0),ABS(IFERROR(XLOOKUP(D42,'Source Ledger'!$B$5:$B$133,'Source Ledger'!$E$5:$E$133),0)-IFERROR(XLOOKUP(D42,'Corrected Register'!$A$5:$A$136,'Corrected Register'!$M$5:$M$136),0))),IFERROR(XLOOKUP(D42,'Corrected Register'!$A$5:$A$136,'Corrected Register'!$N$5:$N$136),0))</f>
        <v>106.79</v>
      </c>
      <c r="H42" s="7" t="inlineStr">
        <is>
          <t>Don't leave MD-00057 coded to Denver - Closed.</t>
        </is>
      </c>
      <c r="I42" s="7" t="inlineStr">
        <is>
          <t>IT Asset Specialist</t>
        </is>
      </c>
      <c r="J42" s="7" t="inlineStr">
        <is>
          <t>2026-08-19</t>
        </is>
      </c>
      <c r="K42" s="7" t="inlineStr">
        <is>
          <t>Open</t>
        </is>
      </c>
      <c r="L42" s="7" t="inlineStr">
        <is>
          <t>Denver - Closed is locked. I'm not leaving MD-00057 there on paper. Denver is the operating site.</t>
        </is>
      </c>
      <c r="M42" s="7" t="inlineStr">
        <is>
          <t>Requires remediation</t>
        </is>
      </c>
    </row>
    <row r="43">
      <c r="A43" s="7" t="inlineStr">
        <is>
          <t>EX-0039</t>
        </is>
      </c>
      <c r="B43" s="7" t="inlineStr">
        <is>
          <t>Former Employee Assignment</t>
        </is>
      </c>
      <c r="C43" s="10" t="inlineStr">
        <is>
          <t>High</t>
        </is>
      </c>
      <c r="D43" s="7" t="inlineStr">
        <is>
          <t>MD-00058</t>
        </is>
      </c>
      <c r="E43" s="7" t="inlineStr">
        <is>
          <t>MD-MO-050058</t>
        </is>
      </c>
      <c r="F43" s="7" t="inlineStr">
        <is>
          <t>Employee:E0071; Ticket:OFF-00058; Transfer:TR-00058</t>
        </is>
      </c>
      <c r="G43" s="7">
        <f>IF(B43="Inventory-to-Ledger Difference",IF(IFERROR(XLOOKUP(D43,'Source Ledger'!$B$5:$B$133,'Source Ledger'!$E$5:$E$133),"")="",IFERROR(XLOOKUP(D43,'Corrected Register'!$A$5:$A$136,'Corrected Register'!$M$5:$M$136),0),ABS(IFERROR(XLOOKUP(D43,'Source Ledger'!$B$5:$B$133,'Source Ledger'!$E$5:$E$133),0)-IFERROR(XLOOKUP(D43,'Corrected Register'!$A$5:$A$136,'Corrected Register'!$M$5:$M$136),0))),IFERROR(XLOOKUP(D43,'Corrected Register'!$A$5:$A$136,'Corrected Register'!$N$5:$N$136),0))</f>
        <v>397.56</v>
      </c>
      <c r="H43" s="7" t="inlineStr">
        <is>
          <t>E0071 should not still own MD-00058 on the register.</t>
        </is>
      </c>
      <c r="I43" s="7" t="inlineStr">
        <is>
          <t>HR Operations Lead</t>
        </is>
      </c>
      <c r="J43" s="7" t="inlineStr">
        <is>
          <t>2026-08-16</t>
        </is>
      </c>
      <c r="K43" s="7" t="inlineStr">
        <is>
          <t>Open</t>
        </is>
      </c>
      <c r="L43" s="7" t="inlineStr">
        <is>
          <t>Checked the term date against the assignment. Stale owner on MD-00058.</t>
        </is>
      </c>
      <c r="M43" s="7" t="inlineStr">
        <is>
          <t>Requires remediation</t>
        </is>
      </c>
    </row>
    <row r="44">
      <c r="A44" s="7" t="inlineStr">
        <is>
          <t>EX-0040</t>
        </is>
      </c>
      <c r="B44" s="7" t="inlineStr">
        <is>
          <t>Closed Location Assignment</t>
        </is>
      </c>
      <c r="C44" s="11" t="inlineStr">
        <is>
          <t>Medium</t>
        </is>
      </c>
      <c r="D44" s="7" t="inlineStr">
        <is>
          <t>MD-00058</t>
        </is>
      </c>
      <c r="E44" s="7" t="inlineStr">
        <is>
          <t>MD-MO-050058</t>
        </is>
      </c>
      <c r="F44" s="7" t="inlineStr">
        <is>
          <t>RegisterLocation:Chicago - Closed; Transfer:TR-00058; VerifiedLocation:New York</t>
        </is>
      </c>
      <c r="G44" s="7">
        <f>IF(B44="Inventory-to-Ledger Difference",IF(IFERROR(XLOOKUP(D44,'Source Ledger'!$B$5:$B$133,'Source Ledger'!$E$5:$E$133),"")="",IFERROR(XLOOKUP(D44,'Corrected Register'!$A$5:$A$136,'Corrected Register'!$M$5:$M$136),0),ABS(IFERROR(XLOOKUP(D44,'Source Ledger'!$B$5:$B$133,'Source Ledger'!$E$5:$E$133),0)-IFERROR(XLOOKUP(D44,'Corrected Register'!$A$5:$A$136,'Corrected Register'!$M$5:$M$136),0))),IFERROR(XLOOKUP(D44,'Corrected Register'!$A$5:$A$136,'Corrected Register'!$N$5:$N$136),0))</f>
        <v>397.56</v>
      </c>
      <c r="H44" s="7" t="inlineStr">
        <is>
          <t>IT Asset Specialist to recode location — MD-00058 is not on the closed floor.</t>
        </is>
      </c>
      <c r="I44" s="7" t="inlineStr">
        <is>
          <t>IT Asset Specialist</t>
        </is>
      </c>
      <c r="J44" s="7" t="inlineStr">
        <is>
          <t>2026-08-19</t>
        </is>
      </c>
      <c r="K44" s="7" t="inlineStr">
        <is>
          <t>Open</t>
        </is>
      </c>
      <c r="L44" s="7" t="inlineStr">
        <is>
          <t>Register location Chicago - Closed is a closed site. TR-00058 points elsewhere. Live office New York.</t>
        </is>
      </c>
      <c r="M44" s="7" t="inlineStr">
        <is>
          <t>Requires remediation</t>
        </is>
      </c>
    </row>
    <row r="45">
      <c r="A45" s="7" t="inlineStr">
        <is>
          <t>EX-0041</t>
        </is>
      </c>
      <c r="B45" s="7" t="inlineStr">
        <is>
          <t>Unapproved Transfer</t>
        </is>
      </c>
      <c r="C45" s="11" t="inlineStr">
        <is>
          <t>Medium</t>
        </is>
      </c>
      <c r="D45" s="7" t="inlineStr">
        <is>
          <t>MD-00058</t>
        </is>
      </c>
      <c r="E45" s="7" t="inlineStr">
        <is>
          <t>MD-MO-050058</t>
        </is>
      </c>
      <c r="F45" s="7" t="inlineStr">
        <is>
          <t>Transfer:TR-00058; Approval:missing</t>
        </is>
      </c>
      <c r="G45" s="7">
        <f>IF(B45="Inventory-to-Ledger Difference",IF(IFERROR(XLOOKUP(D45,'Source Ledger'!$B$5:$B$133,'Source Ledger'!$E$5:$E$133),"")="",IFERROR(XLOOKUP(D45,'Corrected Register'!$A$5:$A$136,'Corrected Register'!$M$5:$M$136),0),ABS(IFERROR(XLOOKUP(D45,'Source Ledger'!$B$5:$B$133,'Source Ledger'!$E$5:$E$133),0)-IFERROR(XLOOKUP(D45,'Corrected Register'!$A$5:$A$136,'Corrected Register'!$M$5:$M$136),0))),IFERROR(XLOOKUP(D45,'Corrected Register'!$A$5:$A$136,'Corrected Register'!$N$5:$N$136),0))</f>
        <v>397.56</v>
      </c>
      <c r="H45" s="7" t="inlineStr">
        <is>
          <t>TR-00058 has a blank approval. Ops manager signs or we unwind the move.</t>
        </is>
      </c>
      <c r="I45" s="7" t="inlineStr">
        <is>
          <t>IT Operations Manager</t>
        </is>
      </c>
      <c r="J45" s="7" t="inlineStr">
        <is>
          <t>2026-08-20</t>
        </is>
      </c>
      <c r="K45" s="7" t="inlineStr">
        <is>
          <t>Open</t>
        </is>
      </c>
      <c r="L45" s="7" t="inlineStr">
        <is>
          <t>Opened TR-00058. No APR- id. That's the finding.</t>
        </is>
      </c>
      <c r="M45" s="7" t="inlineStr">
        <is>
          <t>Requires remediation</t>
        </is>
      </c>
    </row>
    <row r="46">
      <c r="A46" s="7" t="inlineStr">
        <is>
          <t>EX-0042</t>
        </is>
      </c>
      <c r="B46" s="7" t="inlineStr">
        <is>
          <t>Former Employee Assignment</t>
        </is>
      </c>
      <c r="C46" s="10" t="inlineStr">
        <is>
          <t>High</t>
        </is>
      </c>
      <c r="D46" s="7" t="inlineStr">
        <is>
          <t>MD-00059</t>
        </is>
      </c>
      <c r="E46" s="7" t="inlineStr">
        <is>
          <t>MD-MO-050059</t>
        </is>
      </c>
      <c r="F46" s="7" t="inlineStr">
        <is>
          <t>Employee:E0072; Ticket:OFF-00059; Transfer:TR-00059</t>
        </is>
      </c>
      <c r="G46" s="7">
        <f>IF(B46="Inventory-to-Ledger Difference",IF(IFERROR(XLOOKUP(D46,'Source Ledger'!$B$5:$B$133,'Source Ledger'!$E$5:$E$133),"")="",IFERROR(XLOOKUP(D46,'Corrected Register'!$A$5:$A$136,'Corrected Register'!$M$5:$M$136),0),ABS(IFERROR(XLOOKUP(D46,'Source Ledger'!$B$5:$B$133,'Source Ledger'!$E$5:$E$133),0)-IFERROR(XLOOKUP(D46,'Corrected Register'!$A$5:$A$136,'Corrected Register'!$M$5:$M$136),0))),IFERROR(XLOOKUP(D46,'Corrected Register'!$A$5:$A$136,'Corrected Register'!$N$5:$N$136),0))</f>
        <v>847.35</v>
      </c>
      <c r="H46" s="7" t="inlineStr">
        <is>
          <t>Close the people assignment on MD-00059. Ticket OFF-00059.</t>
        </is>
      </c>
      <c r="I46" s="7" t="inlineStr">
        <is>
          <t>HR Operations Lead</t>
        </is>
      </c>
      <c r="J46" s="7" t="inlineStr">
        <is>
          <t>2026-08-16</t>
        </is>
      </c>
      <c r="K46" s="7" t="inlineStr">
        <is>
          <t>Open</t>
        </is>
      </c>
      <c r="L46" s="7" t="inlineStr">
        <is>
          <t>People record is closed; MD-00059 isn't. OFF-00059.</t>
        </is>
      </c>
      <c r="M46" s="7" t="inlineStr">
        <is>
          <t>Requires remediation</t>
        </is>
      </c>
    </row>
    <row r="47">
      <c r="A47" s="7" t="inlineStr">
        <is>
          <t>EX-0043</t>
        </is>
      </c>
      <c r="B47" s="7" t="inlineStr">
        <is>
          <t>Closed Location Assignment</t>
        </is>
      </c>
      <c r="C47" s="11" t="inlineStr">
        <is>
          <t>Medium</t>
        </is>
      </c>
      <c r="D47" s="7" t="inlineStr">
        <is>
          <t>MD-00059</t>
        </is>
      </c>
      <c r="E47" s="7" t="inlineStr">
        <is>
          <t>MD-MO-050059</t>
        </is>
      </c>
      <c r="F47" s="7" t="inlineStr">
        <is>
          <t>RegisterLocation:Denver - Closed; Transfer:TR-00059; VerifiedLocation:Seattle</t>
        </is>
      </c>
      <c r="G47" s="7">
        <f>IF(B47="Inventory-to-Ledger Difference",IF(IFERROR(XLOOKUP(D47,'Source Ledger'!$B$5:$B$133,'Source Ledger'!$E$5:$E$133),"")="",IFERROR(XLOOKUP(D47,'Corrected Register'!$A$5:$A$136,'Corrected Register'!$M$5:$M$136),0),ABS(IFERROR(XLOOKUP(D47,'Source Ledger'!$B$5:$B$133,'Source Ledger'!$E$5:$E$133),0)-IFERROR(XLOOKUP(D47,'Corrected Register'!$A$5:$A$136,'Corrected Register'!$M$5:$M$136),0))),IFERROR(XLOOKUP(D47,'Corrected Register'!$A$5:$A$136,'Corrected Register'!$N$5:$N$136),0))</f>
        <v>847.35</v>
      </c>
      <c r="H47" s="7" t="inlineStr">
        <is>
          <t>Update MD-00059 location. Seattle is what transfer/HR support.</t>
        </is>
      </c>
      <c r="I47" s="7" t="inlineStr">
        <is>
          <t>IT Asset Specialist</t>
        </is>
      </c>
      <c r="J47" s="7" t="inlineStr">
        <is>
          <t>2026-08-19</t>
        </is>
      </c>
      <c r="K47" s="7" t="inlineStr">
        <is>
          <t>Open</t>
        </is>
      </c>
      <c r="L47" s="7" t="inlineStr">
        <is>
          <t>Didn't treat the closed building as a live location for MD-00059.</t>
        </is>
      </c>
      <c r="M47" s="7" t="inlineStr">
        <is>
          <t>Requires remediation</t>
        </is>
      </c>
    </row>
    <row r="48">
      <c r="A48" s="7" t="inlineStr">
        <is>
          <t>EX-0044</t>
        </is>
      </c>
      <c r="B48" s="7" t="inlineStr">
        <is>
          <t>Unapproved Transfer</t>
        </is>
      </c>
      <c r="C48" s="11" t="inlineStr">
        <is>
          <t>Medium</t>
        </is>
      </c>
      <c r="D48" s="7" t="inlineStr">
        <is>
          <t>MD-00059</t>
        </is>
      </c>
      <c r="E48" s="7" t="inlineStr">
        <is>
          <t>MD-MO-050059</t>
        </is>
      </c>
      <c r="F48" s="7" t="inlineStr">
        <is>
          <t>Transfer:TR-00059; Approval:missing</t>
        </is>
      </c>
      <c r="G48" s="7">
        <f>IF(B48="Inventory-to-Ledger Difference",IF(IFERROR(XLOOKUP(D48,'Source Ledger'!$B$5:$B$133,'Source Ledger'!$E$5:$E$133),"")="",IFERROR(XLOOKUP(D48,'Corrected Register'!$A$5:$A$136,'Corrected Register'!$M$5:$M$136),0),ABS(IFERROR(XLOOKUP(D48,'Source Ledger'!$B$5:$B$133,'Source Ledger'!$E$5:$E$133),0)-IFERROR(XLOOKUP(D48,'Corrected Register'!$A$5:$A$136,'Corrected Register'!$M$5:$M$136),0))),IFERROR(XLOOKUP(D48,'Corrected Register'!$A$5:$A$136,'Corrected Register'!$N$5:$N$136),0))</f>
        <v>847.35</v>
      </c>
      <c r="H48" s="7" t="inlineStr">
        <is>
          <t>Get a retrospective approval on TR-00059 or reverse it (ITAM-001 §4).</t>
        </is>
      </c>
      <c r="I48" s="7" t="inlineStr">
        <is>
          <t>IT Operations Manager</t>
        </is>
      </c>
      <c r="J48" s="7" t="inlineStr">
        <is>
          <t>2026-08-20</t>
        </is>
      </c>
      <c r="K48" s="7" t="inlineStr">
        <is>
          <t>Open</t>
        </is>
      </c>
      <c r="L48" s="7" t="inlineStr">
        <is>
          <t>Opened TR-00059. No APR- id. That's the finding.</t>
        </is>
      </c>
      <c r="M48" s="7" t="inlineStr">
        <is>
          <t>Requires remediation</t>
        </is>
      </c>
    </row>
    <row r="49">
      <c r="A49" s="7" t="inlineStr">
        <is>
          <t>EX-0045</t>
        </is>
      </c>
      <c r="B49" s="7" t="inlineStr">
        <is>
          <t>Former Employee Assignment</t>
        </is>
      </c>
      <c r="C49" s="10" t="inlineStr">
        <is>
          <t>High</t>
        </is>
      </c>
      <c r="D49" s="7" t="inlineStr">
        <is>
          <t>MD-00060</t>
        </is>
      </c>
      <c r="E49" s="7" t="inlineStr">
        <is>
          <t>MD-NE-050060</t>
        </is>
      </c>
      <c r="F49" s="7" t="inlineStr">
        <is>
          <t>Employee:E0073; Ticket:OFF-00060; Transfer:TR-00060</t>
        </is>
      </c>
      <c r="G49" s="7">
        <f>IF(B49="Inventory-to-Ledger Difference",IF(IFERROR(XLOOKUP(D49,'Source Ledger'!$B$5:$B$133,'Source Ledger'!$E$5:$E$133),"")="",IFERROR(XLOOKUP(D49,'Corrected Register'!$A$5:$A$136,'Corrected Register'!$M$5:$M$136),0),ABS(IFERROR(XLOOKUP(D49,'Source Ledger'!$B$5:$B$133,'Source Ledger'!$E$5:$E$133),0)-IFERROR(XLOOKUP(D49,'Corrected Register'!$A$5:$A$136,'Corrected Register'!$M$5:$M$136),0))),IFERROR(XLOOKUP(D49,'Corrected Register'!$A$5:$A$136,'Corrected Register'!$N$5:$N$136),0))</f>
        <v>549.35</v>
      </c>
      <c r="H49" s="7" t="inlineStr">
        <is>
          <t>Recover or lose-process MD-00060, but first drop the former employee as owner.</t>
        </is>
      </c>
      <c r="I49" s="7" t="inlineStr">
        <is>
          <t>HR Operations Lead</t>
        </is>
      </c>
      <c r="J49" s="7" t="inlineStr">
        <is>
          <t>2026-08-16</t>
        </is>
      </c>
      <c r="K49" s="7" t="inlineStr">
        <is>
          <t>Open</t>
        </is>
      </c>
      <c r="L49" s="7" t="inlineStr">
        <is>
          <t>OFF-00060 vs hr_employee_status: people side is done, asset isn't.</t>
        </is>
      </c>
      <c r="M49" s="7" t="inlineStr">
        <is>
          <t>Requires remediation</t>
        </is>
      </c>
    </row>
    <row r="50">
      <c r="A50" s="7" t="inlineStr">
        <is>
          <t>EX-0046</t>
        </is>
      </c>
      <c r="B50" s="7" t="inlineStr">
        <is>
          <t>Closed Location Assignment</t>
        </is>
      </c>
      <c r="C50" s="11" t="inlineStr">
        <is>
          <t>Medium</t>
        </is>
      </c>
      <c r="D50" s="7" t="inlineStr">
        <is>
          <t>MD-00060</t>
        </is>
      </c>
      <c r="E50" s="7" t="inlineStr">
        <is>
          <t>MD-NE-050060</t>
        </is>
      </c>
      <c r="F50" s="7" t="inlineStr">
        <is>
          <t>RegisterLocation:Chicago - Closed; Transfer:TR-00060; VerifiedLocation:Atlanta</t>
        </is>
      </c>
      <c r="G50" s="7">
        <f>IF(B50="Inventory-to-Ledger Difference",IF(IFERROR(XLOOKUP(D50,'Source Ledger'!$B$5:$B$133,'Source Ledger'!$E$5:$E$133),"")="",IFERROR(XLOOKUP(D50,'Corrected Register'!$A$5:$A$136,'Corrected Register'!$M$5:$M$136),0),ABS(IFERROR(XLOOKUP(D50,'Source Ledger'!$B$5:$B$133,'Source Ledger'!$E$5:$E$133),0)-IFERROR(XLOOKUP(D50,'Corrected Register'!$A$5:$A$136,'Corrected Register'!$M$5:$M$136),0))),IFERROR(XLOOKUP(D50,'Corrected Register'!$A$5:$A$136,'Corrected Register'!$N$5:$N$136),0))</f>
        <v>549.35</v>
      </c>
      <c r="H50" s="7" t="inlineStr">
        <is>
          <t>Fix the site on MD-00060. Not at Chicago - Closed anymore.</t>
        </is>
      </c>
      <c r="I50" s="7" t="inlineStr">
        <is>
          <t>IT Asset Specialist</t>
        </is>
      </c>
      <c r="J50" s="7" t="inlineStr">
        <is>
          <t>2026-08-19</t>
        </is>
      </c>
      <c r="K50" s="7" t="inlineStr">
        <is>
          <t>Open</t>
        </is>
      </c>
      <c r="L50" s="7" t="inlineStr">
        <is>
          <t>Walked the register vs HR/transfer. MD-00060 still says Chicago - Closed.</t>
        </is>
      </c>
      <c r="M50" s="7" t="inlineStr">
        <is>
          <t>Requires remediation</t>
        </is>
      </c>
    </row>
    <row r="51">
      <c r="A51" s="7" t="inlineStr">
        <is>
          <t>EX-0047</t>
        </is>
      </c>
      <c r="B51" s="7" t="inlineStr">
        <is>
          <t>Former Employee Assignment</t>
        </is>
      </c>
      <c r="C51" s="10" t="inlineStr">
        <is>
          <t>High</t>
        </is>
      </c>
      <c r="D51" s="7" t="inlineStr">
        <is>
          <t>MD-00061</t>
        </is>
      </c>
      <c r="E51" s="7" t="inlineStr">
        <is>
          <t>MD-LA-050061</t>
        </is>
      </c>
      <c r="F51" s="7" t="inlineStr">
        <is>
          <t>Employee:E0074; Ticket:OFF-00061; Transfer:TR-00061</t>
        </is>
      </c>
      <c r="G51" s="7">
        <f>IF(B51="Inventory-to-Ledger Difference",IF(IFERROR(XLOOKUP(D51,'Source Ledger'!$B$5:$B$133,'Source Ledger'!$E$5:$E$133),"")="",IFERROR(XLOOKUP(D51,'Corrected Register'!$A$5:$A$136,'Corrected Register'!$M$5:$M$136),0),ABS(IFERROR(XLOOKUP(D51,'Source Ledger'!$B$5:$B$133,'Source Ledger'!$E$5:$E$133),0)-IFERROR(XLOOKUP(D51,'Corrected Register'!$A$5:$A$136,'Corrected Register'!$M$5:$M$136),0))),IFERROR(XLOOKUP(D51,'Corrected Register'!$A$5:$A$136,'Corrected Register'!$N$5:$N$136),0))</f>
        <v>0</v>
      </c>
      <c r="H51" s="7" t="inlineStr">
        <is>
          <t>Move MD-00061 off the separated custodian before we talk redeploy.</t>
        </is>
      </c>
      <c r="I51" s="7" t="inlineStr">
        <is>
          <t>HR Operations Lead</t>
        </is>
      </c>
      <c r="J51" s="7" t="inlineStr">
        <is>
          <t>2026-08-16</t>
        </is>
      </c>
      <c r="K51" s="7" t="inlineStr">
        <is>
          <t>Open</t>
        </is>
      </c>
      <c r="L51" s="7" t="inlineStr">
        <is>
          <t>MD-00061 custodian is a former employee in HR (E0074).</t>
        </is>
      </c>
      <c r="M51" s="7" t="inlineStr">
        <is>
          <t>Requires remediation</t>
        </is>
      </c>
    </row>
    <row r="52">
      <c r="A52" s="7" t="inlineStr">
        <is>
          <t>EX-0048</t>
        </is>
      </c>
      <c r="B52" s="7" t="inlineStr">
        <is>
          <t>Closed Location Assignment</t>
        </is>
      </c>
      <c r="C52" s="11" t="inlineStr">
        <is>
          <t>Medium</t>
        </is>
      </c>
      <c r="D52" s="7" t="inlineStr">
        <is>
          <t>MD-00061</t>
        </is>
      </c>
      <c r="E52" s="7" t="inlineStr">
        <is>
          <t>MD-LA-050061</t>
        </is>
      </c>
      <c r="F52" s="7" t="inlineStr">
        <is>
          <t>RegisterLocation:Denver - Closed; Transfer:TR-00061; VerifiedLocation:Chicago</t>
        </is>
      </c>
      <c r="G52" s="7">
        <f>IF(B52="Inventory-to-Ledger Difference",IF(IFERROR(XLOOKUP(D52,'Source Ledger'!$B$5:$B$133,'Source Ledger'!$E$5:$E$133),"")="",IFERROR(XLOOKUP(D52,'Corrected Register'!$A$5:$A$136,'Corrected Register'!$M$5:$M$136),0),ABS(IFERROR(XLOOKUP(D52,'Source Ledger'!$B$5:$B$133,'Source Ledger'!$E$5:$E$133),0)-IFERROR(XLOOKUP(D52,'Corrected Register'!$A$5:$A$136,'Corrected Register'!$M$5:$M$136),0))),IFERROR(XLOOKUP(D52,'Corrected Register'!$A$5:$A$136,'Corrected Register'!$N$5:$N$136),0))</f>
        <v>0</v>
      </c>
      <c r="H52" s="7" t="inlineStr">
        <is>
          <t>Clear the closed-site assignment. MD-00061 belongs at Chicago.</t>
        </is>
      </c>
      <c r="I52" s="7" t="inlineStr">
        <is>
          <t>IT Asset Specialist</t>
        </is>
      </c>
      <c r="J52" s="7" t="inlineStr">
        <is>
          <t>2026-08-19</t>
        </is>
      </c>
      <c r="K52" s="7" t="inlineStr">
        <is>
          <t>Open</t>
        </is>
      </c>
      <c r="L52" s="7" t="inlineStr">
        <is>
          <t>MD-00061 still coded to a floor we don't occupy (Denver - Closed).</t>
        </is>
      </c>
      <c r="M52" s="7" t="inlineStr">
        <is>
          <t>Requires remediation</t>
        </is>
      </c>
    </row>
    <row r="53">
      <c r="A53" s="7" t="inlineStr">
        <is>
          <t>EX-0049</t>
        </is>
      </c>
      <c r="B53" s="7" t="inlineStr">
        <is>
          <t>Former Employee Assignment</t>
        </is>
      </c>
      <c r="C53" s="10" t="inlineStr">
        <is>
          <t>High</t>
        </is>
      </c>
      <c r="D53" s="7" t="inlineStr">
        <is>
          <t>MD-00062</t>
        </is>
      </c>
      <c r="E53" s="7" t="inlineStr">
        <is>
          <t>MD-MO-050062</t>
        </is>
      </c>
      <c r="F53" s="7" t="inlineStr">
        <is>
          <t>Employee:E0075; Ticket:OFF-00062; Transfer:TR-00062</t>
        </is>
      </c>
      <c r="G53" s="7">
        <f>IF(B53="Inventory-to-Ledger Difference",IF(IFERROR(XLOOKUP(D53,'Source Ledger'!$B$5:$B$133,'Source Ledger'!$E$5:$E$133),"")="",IFERROR(XLOOKUP(D53,'Corrected Register'!$A$5:$A$136,'Corrected Register'!$M$5:$M$136),0),ABS(IFERROR(XLOOKUP(D53,'Source Ledger'!$B$5:$B$133,'Source Ledger'!$E$5:$E$133),0)-IFERROR(XLOOKUP(D53,'Corrected Register'!$A$5:$A$136,'Corrected Register'!$M$5:$M$136),0))),IFERROR(XLOOKUP(D53,'Corrected Register'!$A$5:$A$136,'Corrected Register'!$N$5:$N$136),0))</f>
        <v>410.63</v>
      </c>
      <c r="H53" s="7" t="inlineStr">
        <is>
          <t>Close the people assignment on MD-00062. Ticket OFF-00062.</t>
        </is>
      </c>
      <c r="I53" s="7" t="inlineStr">
        <is>
          <t>HR Operations Lead</t>
        </is>
      </c>
      <c r="J53" s="7" t="inlineStr">
        <is>
          <t>2026-08-16</t>
        </is>
      </c>
      <c r="K53" s="7" t="inlineStr">
        <is>
          <t>Open</t>
        </is>
      </c>
      <c r="L53" s="7" t="inlineStr">
        <is>
          <t>People record is closed; MD-00062 isn't. OFF-00062.</t>
        </is>
      </c>
      <c r="M53" s="7" t="inlineStr">
        <is>
          <t>Requires remediation</t>
        </is>
      </c>
    </row>
    <row r="54">
      <c r="A54" s="7" t="inlineStr">
        <is>
          <t>EX-0050</t>
        </is>
      </c>
      <c r="B54" s="7" t="inlineStr">
        <is>
          <t>Closed Location Assignment</t>
        </is>
      </c>
      <c r="C54" s="11" t="inlineStr">
        <is>
          <t>Medium</t>
        </is>
      </c>
      <c r="D54" s="7" t="inlineStr">
        <is>
          <t>MD-00062</t>
        </is>
      </c>
      <c r="E54" s="7" t="inlineStr">
        <is>
          <t>MD-MO-050062</t>
        </is>
      </c>
      <c r="F54" s="7" t="inlineStr">
        <is>
          <t>RegisterLocation:Chicago - Closed; Transfer:TR-00062; VerifiedLocation:Dallas</t>
        </is>
      </c>
      <c r="G54" s="7">
        <f>IF(B54="Inventory-to-Ledger Difference",IF(IFERROR(XLOOKUP(D54,'Source Ledger'!$B$5:$B$133,'Source Ledger'!$E$5:$E$133),"")="",IFERROR(XLOOKUP(D54,'Corrected Register'!$A$5:$A$136,'Corrected Register'!$M$5:$M$136),0),ABS(IFERROR(XLOOKUP(D54,'Source Ledger'!$B$5:$B$133,'Source Ledger'!$E$5:$E$133),0)-IFERROR(XLOOKUP(D54,'Corrected Register'!$A$5:$A$136,'Corrected Register'!$M$5:$M$136),0))),IFERROR(XLOOKUP(D54,'Corrected Register'!$A$5:$A$136,'Corrected Register'!$N$5:$N$136),0))</f>
        <v>410.63</v>
      </c>
      <c r="H54" s="7" t="inlineStr">
        <is>
          <t>Update MD-00062 location. Dallas is what transfer/HR support.</t>
        </is>
      </c>
      <c r="I54" s="7" t="inlineStr">
        <is>
          <t>IT Asset Specialist</t>
        </is>
      </c>
      <c r="J54" s="7" t="inlineStr">
        <is>
          <t>2026-08-19</t>
        </is>
      </c>
      <c r="K54" s="7" t="inlineStr">
        <is>
          <t>Open</t>
        </is>
      </c>
      <c r="L54" s="7" t="inlineStr">
        <is>
          <t>Didn't treat the closed building as a live location for MD-00062.</t>
        </is>
      </c>
      <c r="M54" s="7" t="inlineStr">
        <is>
          <t>Requires remediation</t>
        </is>
      </c>
    </row>
    <row r="55">
      <c r="A55" s="7" t="inlineStr">
        <is>
          <t>EX-0051</t>
        </is>
      </c>
      <c r="B55" s="7" t="inlineStr">
        <is>
          <t>Former Employee Assignment</t>
        </is>
      </c>
      <c r="C55" s="10" t="inlineStr">
        <is>
          <t>High</t>
        </is>
      </c>
      <c r="D55" s="7" t="inlineStr">
        <is>
          <t>MD-00063</t>
        </is>
      </c>
      <c r="E55" s="7" t="inlineStr">
        <is>
          <t>MD-MO-050063</t>
        </is>
      </c>
      <c r="F55" s="7" t="inlineStr">
        <is>
          <t>Employee:E0076; Ticket:OFF-00063; Transfer:TR-00063</t>
        </is>
      </c>
      <c r="G55" s="7">
        <f>IF(B55="Inventory-to-Ledger Difference",IF(IFERROR(XLOOKUP(D55,'Source Ledger'!$B$5:$B$133,'Source Ledger'!$E$5:$E$133),"")="",IFERROR(XLOOKUP(D55,'Corrected Register'!$A$5:$A$136,'Corrected Register'!$M$5:$M$136),0),ABS(IFERROR(XLOOKUP(D55,'Source Ledger'!$B$5:$B$133,'Source Ledger'!$E$5:$E$133),0)-IFERROR(XLOOKUP(D55,'Corrected Register'!$A$5:$A$136,'Corrected Register'!$M$5:$M$136),0))),IFERROR(XLOOKUP(D55,'Corrected Register'!$A$5:$A$136,'Corrected Register'!$N$5:$N$136),0))</f>
        <v>533.85</v>
      </c>
      <c r="H55" s="7" t="inlineStr">
        <is>
          <t>MD-00063 is still on a leaver. Close the assignment; stock holds it until recovered or written off.</t>
        </is>
      </c>
      <c r="I55" s="7" t="inlineStr">
        <is>
          <t>HR Operations Lead</t>
        </is>
      </c>
      <c r="J55" s="7" t="inlineStr">
        <is>
          <t>2026-08-16</t>
        </is>
      </c>
      <c r="K55" s="7" t="inlineStr">
        <is>
          <t>Open</t>
        </is>
      </c>
      <c r="L55" s="7" t="inlineStr">
        <is>
          <t>Leaver still on MD-00063. E0076. TR-00063.</t>
        </is>
      </c>
      <c r="M55" s="7" t="inlineStr">
        <is>
          <t>Requires remediation</t>
        </is>
      </c>
    </row>
    <row r="56">
      <c r="A56" s="7" t="inlineStr">
        <is>
          <t>EX-0052</t>
        </is>
      </c>
      <c r="B56" s="7" t="inlineStr">
        <is>
          <t>Closed Location Assignment</t>
        </is>
      </c>
      <c r="C56" s="11" t="inlineStr">
        <is>
          <t>Medium</t>
        </is>
      </c>
      <c r="D56" s="7" t="inlineStr">
        <is>
          <t>MD-00063</t>
        </is>
      </c>
      <c r="E56" s="7" t="inlineStr">
        <is>
          <t>MD-MO-050063</t>
        </is>
      </c>
      <c r="F56" s="7" t="inlineStr">
        <is>
          <t>RegisterLocation:Denver - Closed; Transfer:TR-00063; VerifiedLocation:Denver</t>
        </is>
      </c>
      <c r="G56" s="7">
        <f>IF(B56="Inventory-to-Ledger Difference",IF(IFERROR(XLOOKUP(D56,'Source Ledger'!$B$5:$B$133,'Source Ledger'!$E$5:$E$133),"")="",IFERROR(XLOOKUP(D56,'Corrected Register'!$A$5:$A$136,'Corrected Register'!$M$5:$M$136),0),ABS(IFERROR(XLOOKUP(D56,'Source Ledger'!$B$5:$B$133,'Source Ledger'!$E$5:$E$133),0)-IFERROR(XLOOKUP(D56,'Corrected Register'!$A$5:$A$136,'Corrected Register'!$M$5:$M$136),0))),IFERROR(XLOOKUP(D56,'Corrected Register'!$A$5:$A$136,'Corrected Register'!$N$5:$N$136),0))</f>
        <v>533.85</v>
      </c>
      <c r="H56" s="7" t="inlineStr">
        <is>
          <t>MD-00063 shouldn't sit on a locked site. Move location to Denver.</t>
        </is>
      </c>
      <c r="I56" s="7" t="inlineStr">
        <is>
          <t>IT Asset Specialist</t>
        </is>
      </c>
      <c r="J56" s="7" t="inlineStr">
        <is>
          <t>2026-08-19</t>
        </is>
      </c>
      <c r="K56" s="7" t="inlineStr">
        <is>
          <t>Open</t>
        </is>
      </c>
      <c r="L56" s="7" t="inlineStr">
        <is>
          <t>Denver - Closed is locked. I'm not leaving MD-00063 there on paper. Denver is the operating site.</t>
        </is>
      </c>
      <c r="M56" s="7" t="inlineStr">
        <is>
          <t>Requires remediation</t>
        </is>
      </c>
    </row>
    <row r="57">
      <c r="A57" s="7" t="inlineStr">
        <is>
          <t>EX-0053</t>
        </is>
      </c>
      <c r="B57" s="7" t="inlineStr">
        <is>
          <t>Former Employee Assignment</t>
        </is>
      </c>
      <c r="C57" s="10" t="inlineStr">
        <is>
          <t>High</t>
        </is>
      </c>
      <c r="D57" s="7" t="inlineStr">
        <is>
          <t>MD-00064</t>
        </is>
      </c>
      <c r="E57" s="7" t="inlineStr">
        <is>
          <t>MD-NE-050064</t>
        </is>
      </c>
      <c r="F57" s="7" t="inlineStr">
        <is>
          <t>Employee:E0077; Ticket:OFF-00064; Transfer:TR-00064</t>
        </is>
      </c>
      <c r="G57" s="7">
        <f>IF(B57="Inventory-to-Ledger Difference",IF(IFERROR(XLOOKUP(D57,'Source Ledger'!$B$5:$B$133,'Source Ledger'!$E$5:$E$133),"")="",IFERROR(XLOOKUP(D57,'Corrected Register'!$A$5:$A$136,'Corrected Register'!$M$5:$M$136),0),ABS(IFERROR(XLOOKUP(D57,'Source Ledger'!$B$5:$B$133,'Source Ledger'!$E$5:$E$133),0)-IFERROR(XLOOKUP(D57,'Corrected Register'!$A$5:$A$136,'Corrected Register'!$M$5:$M$136),0))),IFERROR(XLOOKUP(D57,'Corrected Register'!$A$5:$A$136,'Corrected Register'!$N$5:$N$136),0))</f>
        <v>961.76</v>
      </c>
      <c r="H57" s="7" t="inlineStr">
        <is>
          <t>Custodian on MD-00064 is a terminated ID. Put IT Stock / Regional IT on the row.</t>
        </is>
      </c>
      <c r="I57" s="7" t="inlineStr">
        <is>
          <t>HR Operations Lead</t>
        </is>
      </c>
      <c r="J57" s="7" t="inlineStr">
        <is>
          <t>2026-08-16</t>
        </is>
      </c>
      <c r="K57" s="7" t="inlineStr">
        <is>
          <t>Open</t>
        </is>
      </c>
      <c r="L57" s="7" t="inlineStr">
        <is>
          <t>Offboarding ticket OFF-00064 doesn't put hardware in stock by itself.</t>
        </is>
      </c>
      <c r="M57" s="7" t="inlineStr">
        <is>
          <t>Requires remediation</t>
        </is>
      </c>
    </row>
    <row r="58">
      <c r="A58" s="7" t="inlineStr">
        <is>
          <t>EX-0054</t>
        </is>
      </c>
      <c r="B58" s="7" t="inlineStr">
        <is>
          <t>Closed Location Assignment</t>
        </is>
      </c>
      <c r="C58" s="11" t="inlineStr">
        <is>
          <t>Medium</t>
        </is>
      </c>
      <c r="D58" s="7" t="inlineStr">
        <is>
          <t>MD-00064</t>
        </is>
      </c>
      <c r="E58" s="7" t="inlineStr">
        <is>
          <t>MD-NE-050064</t>
        </is>
      </c>
      <c r="F58" s="7" t="inlineStr">
        <is>
          <t>RegisterLocation:Chicago - Closed; Transfer:TR-00064; VerifiedLocation:New York</t>
        </is>
      </c>
      <c r="G58" s="7">
        <f>IF(B58="Inventory-to-Ledger Difference",IF(IFERROR(XLOOKUP(D58,'Source Ledger'!$B$5:$B$133,'Source Ledger'!$E$5:$E$133),"")="",IFERROR(XLOOKUP(D58,'Corrected Register'!$A$5:$A$136,'Corrected Register'!$M$5:$M$136),0),ABS(IFERROR(XLOOKUP(D58,'Source Ledger'!$B$5:$B$133,'Source Ledger'!$E$5:$E$133),0)-IFERROR(XLOOKUP(D58,'Corrected Register'!$A$5:$A$136,'Corrected Register'!$M$5:$M$136),0))),IFERROR(XLOOKUP(D58,'Corrected Register'!$A$5:$A$136,'Corrected Register'!$N$5:$N$136),0))</f>
        <v>961.76</v>
      </c>
      <c r="H58" s="7" t="inlineStr">
        <is>
          <t>Closed-office leftover. Update MD-00064 to New York.</t>
        </is>
      </c>
      <c r="I58" s="7" t="inlineStr">
        <is>
          <t>IT Asset Specialist</t>
        </is>
      </c>
      <c r="J58" s="7" t="inlineStr">
        <is>
          <t>2026-08-19</t>
        </is>
      </c>
      <c r="K58" s="7" t="inlineStr">
        <is>
          <t>Open</t>
        </is>
      </c>
      <c r="L58" s="7" t="inlineStr">
        <is>
          <t>Register location Chicago - Closed is a closed site. TR-00064 points elsewhere. Live office New York.</t>
        </is>
      </c>
      <c r="M58" s="7" t="inlineStr">
        <is>
          <t>Requires remediation</t>
        </is>
      </c>
    </row>
    <row r="59">
      <c r="A59" s="7" t="inlineStr">
        <is>
          <t>EX-0055</t>
        </is>
      </c>
      <c r="B59" s="7" t="inlineStr">
        <is>
          <t>Unapproved Transfer</t>
        </is>
      </c>
      <c r="C59" s="11" t="inlineStr">
        <is>
          <t>Medium</t>
        </is>
      </c>
      <c r="D59" s="7" t="inlineStr">
        <is>
          <t>MD-00064</t>
        </is>
      </c>
      <c r="E59" s="7" t="inlineStr">
        <is>
          <t>MD-NE-050064</t>
        </is>
      </c>
      <c r="F59" s="7" t="inlineStr">
        <is>
          <t>Transfer:TR-00064; Approval:missing</t>
        </is>
      </c>
      <c r="G59" s="7">
        <f>IF(B59="Inventory-to-Ledger Difference",IF(IFERROR(XLOOKUP(D59,'Source Ledger'!$B$5:$B$133,'Source Ledger'!$E$5:$E$133),"")="",IFERROR(XLOOKUP(D59,'Corrected Register'!$A$5:$A$136,'Corrected Register'!$M$5:$M$136),0),ABS(IFERROR(XLOOKUP(D59,'Source Ledger'!$B$5:$B$133,'Source Ledger'!$E$5:$E$133),0)-IFERROR(XLOOKUP(D59,'Corrected Register'!$A$5:$A$136,'Corrected Register'!$M$5:$M$136),0))),IFERROR(XLOOKUP(D59,'Corrected Register'!$A$5:$A$136,'Corrected Register'!$N$5:$N$136),0))</f>
        <v>961.76</v>
      </c>
      <c r="H59" s="7" t="inlineStr">
        <is>
          <t>TR-00064 has a blank approval. Ops manager signs or we unwind the move.</t>
        </is>
      </c>
      <c r="I59" s="7" t="inlineStr">
        <is>
          <t>IT Operations Manager</t>
        </is>
      </c>
      <c r="J59" s="7" t="inlineStr">
        <is>
          <t>2026-08-20</t>
        </is>
      </c>
      <c r="K59" s="7" t="inlineStr">
        <is>
          <t>Open</t>
        </is>
      </c>
      <c r="L59" s="7" t="inlineStr">
        <is>
          <t>ITAM-001 §4: TR-00064 isn't a completed approved transfer.</t>
        </is>
      </c>
      <c r="M59" s="7" t="inlineStr">
        <is>
          <t>Requires remediation</t>
        </is>
      </c>
    </row>
    <row r="60">
      <c r="A60" s="7" t="inlineStr">
        <is>
          <t>EX-0056</t>
        </is>
      </c>
      <c r="B60" s="7" t="inlineStr">
        <is>
          <t>Former Employee Assignment</t>
        </is>
      </c>
      <c r="C60" s="10" t="inlineStr">
        <is>
          <t>High</t>
        </is>
      </c>
      <c r="D60" s="7" t="inlineStr">
        <is>
          <t>MD-00065</t>
        </is>
      </c>
      <c r="E60" s="7" t="inlineStr">
        <is>
          <t>MD-LA-050065</t>
        </is>
      </c>
      <c r="F60" s="7" t="inlineStr">
        <is>
          <t>Employee:E0078; Ticket:OFF-00065; Transfer:TR-00065</t>
        </is>
      </c>
      <c r="G60" s="7">
        <f>IF(B60="Inventory-to-Ledger Difference",IF(IFERROR(XLOOKUP(D60,'Source Ledger'!$B$5:$B$133,'Source Ledger'!$E$5:$E$133),"")="",IFERROR(XLOOKUP(D60,'Corrected Register'!$A$5:$A$136,'Corrected Register'!$M$5:$M$136),0),ABS(IFERROR(XLOOKUP(D60,'Source Ledger'!$B$5:$B$133,'Source Ledger'!$E$5:$E$133),0)-IFERROR(XLOOKUP(D60,'Corrected Register'!$A$5:$A$136,'Corrected Register'!$M$5:$M$136),0))),IFERROR(XLOOKUP(D60,'Corrected Register'!$A$5:$A$136,'Corrected Register'!$N$5:$N$136),0))</f>
        <v>0</v>
      </c>
      <c r="H60" s="7" t="inlineStr">
        <is>
          <t>Assignment cleanup: MD-00065 → Regional IT (or IT Stock if it's on the shelf).</t>
        </is>
      </c>
      <c r="I60" s="7" t="inlineStr">
        <is>
          <t>HR Operations Lead</t>
        </is>
      </c>
      <c r="J60" s="7" t="inlineStr">
        <is>
          <t>2026-08-16</t>
        </is>
      </c>
      <c r="K60" s="7" t="inlineStr">
        <is>
          <t>Open</t>
        </is>
      </c>
      <c r="L60" s="7" t="inlineStr">
        <is>
          <t>OFF-00065 vs hr_employee_status: people side is done, asset isn't.</t>
        </is>
      </c>
      <c r="M60" s="7" t="inlineStr">
        <is>
          <t>Requires remediation</t>
        </is>
      </c>
    </row>
    <row r="61">
      <c r="A61" s="7" t="inlineStr">
        <is>
          <t>EX-0057</t>
        </is>
      </c>
      <c r="B61" s="7" t="inlineStr">
        <is>
          <t>Closed Location Assignment</t>
        </is>
      </c>
      <c r="C61" s="11" t="inlineStr">
        <is>
          <t>Medium</t>
        </is>
      </c>
      <c r="D61" s="7" t="inlineStr">
        <is>
          <t>MD-00065</t>
        </is>
      </c>
      <c r="E61" s="7" t="inlineStr">
        <is>
          <t>MD-LA-050065</t>
        </is>
      </c>
      <c r="F61" s="7" t="inlineStr">
        <is>
          <t>RegisterLocation:Denver - Closed; Transfer:TR-00065; VerifiedLocation:Seattle</t>
        </is>
      </c>
      <c r="G61" s="7">
        <f>IF(B61="Inventory-to-Ledger Difference",IF(IFERROR(XLOOKUP(D61,'Source Ledger'!$B$5:$B$133,'Source Ledger'!$E$5:$E$133),"")="",IFERROR(XLOOKUP(D61,'Corrected Register'!$A$5:$A$136,'Corrected Register'!$M$5:$M$136),0),ABS(IFERROR(XLOOKUP(D61,'Source Ledger'!$B$5:$B$133,'Source Ledger'!$E$5:$E$133),0)-IFERROR(XLOOKUP(D61,'Corrected Register'!$A$5:$A$136,'Corrected Register'!$M$5:$M$136),0))),IFERROR(XLOOKUP(D61,'Corrected Register'!$A$5:$A$136,'Corrected Register'!$N$5:$N$136),0))</f>
        <v>0</v>
      </c>
      <c r="H61" s="7" t="inlineStr">
        <is>
          <t>Pull MD-00065 out of Denver - Closed and park it at Seattle.</t>
        </is>
      </c>
      <c r="I61" s="7" t="inlineStr">
        <is>
          <t>IT Asset Specialist</t>
        </is>
      </c>
      <c r="J61" s="7" t="inlineStr">
        <is>
          <t>2026-08-19</t>
        </is>
      </c>
      <c r="K61" s="7" t="inlineStr">
        <is>
          <t>Open</t>
        </is>
      </c>
      <c r="L61" s="7" t="inlineStr">
        <is>
          <t>Didn't treat the closed building as a live location for MD-00065.</t>
        </is>
      </c>
      <c r="M61" s="7" t="inlineStr">
        <is>
          <t>Requires remediation</t>
        </is>
      </c>
    </row>
    <row r="62">
      <c r="A62" s="7" t="inlineStr">
        <is>
          <t>EX-0058</t>
        </is>
      </c>
      <c r="B62" s="7" t="inlineStr">
        <is>
          <t>Unapproved Transfer</t>
        </is>
      </c>
      <c r="C62" s="11" t="inlineStr">
        <is>
          <t>Medium</t>
        </is>
      </c>
      <c r="D62" s="7" t="inlineStr">
        <is>
          <t>MD-00065</t>
        </is>
      </c>
      <c r="E62" s="7" t="inlineStr">
        <is>
          <t>MD-LA-050065</t>
        </is>
      </c>
      <c r="F62" s="7" t="inlineStr">
        <is>
          <t>Transfer:TR-00065; Approval:missing</t>
        </is>
      </c>
      <c r="G62" s="7">
        <f>IF(B62="Inventory-to-Ledger Difference",IF(IFERROR(XLOOKUP(D62,'Source Ledger'!$B$5:$B$133,'Source Ledger'!$E$5:$E$133),"")="",IFERROR(XLOOKUP(D62,'Corrected Register'!$A$5:$A$136,'Corrected Register'!$M$5:$M$136),0),ABS(IFERROR(XLOOKUP(D62,'Source Ledger'!$B$5:$B$133,'Source Ledger'!$E$5:$E$133),0)-IFERROR(XLOOKUP(D62,'Corrected Register'!$A$5:$A$136,'Corrected Register'!$M$5:$M$136),0))),IFERROR(XLOOKUP(D62,'Corrected Register'!$A$5:$A$136,'Corrected Register'!$N$5:$N$136),0))</f>
        <v>0</v>
      </c>
      <c r="H62" s="7" t="inlineStr">
        <is>
          <t>Get a retrospective approval on TR-00065 or reverse it (ITAM-001 §4).</t>
        </is>
      </c>
      <c r="I62" s="7" t="inlineStr">
        <is>
          <t>IT Operations Manager</t>
        </is>
      </c>
      <c r="J62" s="7" t="inlineStr">
        <is>
          <t>2026-08-20</t>
        </is>
      </c>
      <c r="K62" s="7" t="inlineStr">
        <is>
          <t>Open</t>
        </is>
      </c>
      <c r="L62" s="7" t="inlineStr">
        <is>
          <t>ITAM-001 §4: TR-00065 isn't a completed approved transfer.</t>
        </is>
      </c>
      <c r="M62" s="7" t="inlineStr">
        <is>
          <t>Requires remediation</t>
        </is>
      </c>
    </row>
    <row r="63">
      <c r="A63" s="7" t="inlineStr">
        <is>
          <t>EX-0059</t>
        </is>
      </c>
      <c r="B63" s="7" t="inlineStr">
        <is>
          <t>Former Employee Assignment</t>
        </is>
      </c>
      <c r="C63" s="10" t="inlineStr">
        <is>
          <t>High</t>
        </is>
      </c>
      <c r="D63" s="7" t="inlineStr">
        <is>
          <t>MD-00066</t>
        </is>
      </c>
      <c r="E63" s="7" t="inlineStr">
        <is>
          <t>MD-MO-050066</t>
        </is>
      </c>
      <c r="F63" s="7" t="inlineStr">
        <is>
          <t>Employee:E0079; Ticket:OFF-00066; Transfer:TR-00066</t>
        </is>
      </c>
      <c r="G63" s="7">
        <f>IF(B63="Inventory-to-Ledger Difference",IF(IFERROR(XLOOKUP(D63,'Source Ledger'!$B$5:$B$133,'Source Ledger'!$E$5:$E$133),"")="",IFERROR(XLOOKUP(D63,'Corrected Register'!$A$5:$A$136,'Corrected Register'!$M$5:$M$136),0),ABS(IFERROR(XLOOKUP(D63,'Source Ledger'!$B$5:$B$133,'Source Ledger'!$E$5:$E$133),0)-IFERROR(XLOOKUP(D63,'Corrected Register'!$A$5:$A$136,'Corrected Register'!$M$5:$M$136),0))),IFERROR(XLOOKUP(D63,'Corrected Register'!$A$5:$A$136,'Corrected Register'!$N$5:$N$136),0))</f>
        <v>385.65</v>
      </c>
      <c r="H63" s="7" t="inlineStr">
        <is>
          <t>HR already termed E0079. Update MD-00066 assignment.</t>
        </is>
      </c>
      <c r="I63" s="7" t="inlineStr">
        <is>
          <t>HR Operations Lead</t>
        </is>
      </c>
      <c r="J63" s="7" t="inlineStr">
        <is>
          <t>2026-08-16</t>
        </is>
      </c>
      <c r="K63" s="7" t="inlineStr">
        <is>
          <t>Open</t>
        </is>
      </c>
      <c r="L63" s="7" t="inlineStr">
        <is>
          <t>Offboarding ticket OFF-00066 doesn't put hardware in stock by itself.</t>
        </is>
      </c>
      <c r="M63" s="7" t="inlineStr">
        <is>
          <t>Requires remediation</t>
        </is>
      </c>
    </row>
    <row r="64">
      <c r="A64" s="7" t="inlineStr">
        <is>
          <t>EX-0060</t>
        </is>
      </c>
      <c r="B64" s="7" t="inlineStr">
        <is>
          <t>Closed Location Assignment</t>
        </is>
      </c>
      <c r="C64" s="11" t="inlineStr">
        <is>
          <t>Medium</t>
        </is>
      </c>
      <c r="D64" s="7" t="inlineStr">
        <is>
          <t>MD-00066</t>
        </is>
      </c>
      <c r="E64" s="7" t="inlineStr">
        <is>
          <t>MD-MO-050066</t>
        </is>
      </c>
      <c r="F64" s="7" t="inlineStr">
        <is>
          <t>RegisterLocation:Chicago - Closed; Transfer:TR-00066; VerifiedLocation:Atlanta</t>
        </is>
      </c>
      <c r="G64" s="7">
        <f>IF(B64="Inventory-to-Ledger Difference",IF(IFERROR(XLOOKUP(D64,'Source Ledger'!$B$5:$B$133,'Source Ledger'!$E$5:$E$133),"")="",IFERROR(XLOOKUP(D64,'Corrected Register'!$A$5:$A$136,'Corrected Register'!$M$5:$M$136),0),ABS(IFERROR(XLOOKUP(D64,'Source Ledger'!$B$5:$B$133,'Source Ledger'!$E$5:$E$133),0)-IFERROR(XLOOKUP(D64,'Corrected Register'!$A$5:$A$136,'Corrected Register'!$M$5:$M$136),0))),IFERROR(XLOOKUP(D64,'Corrected Register'!$A$5:$A$136,'Corrected Register'!$N$5:$N$136),0))</f>
        <v>385.65</v>
      </c>
      <c r="H64" s="7" t="inlineStr">
        <is>
          <t>Same finding as the walkthrough: MD-00066 still tagged Chicago - Closed. Change it.</t>
        </is>
      </c>
      <c r="I64" s="7" t="inlineStr">
        <is>
          <t>IT Asset Specialist</t>
        </is>
      </c>
      <c r="J64" s="7" t="inlineStr">
        <is>
          <t>2026-08-19</t>
        </is>
      </c>
      <c r="K64" s="7" t="inlineStr">
        <is>
          <t>Open</t>
        </is>
      </c>
      <c r="L64" s="7" t="inlineStr">
        <is>
          <t>Walked the register vs HR/transfer. MD-00066 still says Chicago - Closed.</t>
        </is>
      </c>
      <c r="M64" s="7" t="inlineStr">
        <is>
          <t>Requires remediation</t>
        </is>
      </c>
    </row>
    <row r="65">
      <c r="A65" s="7" t="inlineStr">
        <is>
          <t>EX-0061</t>
        </is>
      </c>
      <c r="B65" s="7" t="inlineStr">
        <is>
          <t>Former Employee Assignment</t>
        </is>
      </c>
      <c r="C65" s="10" t="inlineStr">
        <is>
          <t>High</t>
        </is>
      </c>
      <c r="D65" s="7" t="inlineStr">
        <is>
          <t>MD-00067</t>
        </is>
      </c>
      <c r="E65" s="7" t="inlineStr">
        <is>
          <t>MD-MO-050067</t>
        </is>
      </c>
      <c r="F65" s="7" t="inlineStr">
        <is>
          <t>Employee:E0080; Ticket:OFF-00067; Transfer:TR-00067</t>
        </is>
      </c>
      <c r="G65" s="7">
        <f>IF(B65="Inventory-to-Ledger Difference",IF(IFERROR(XLOOKUP(D65,'Source Ledger'!$B$5:$B$133,'Source Ledger'!$E$5:$E$133),"")="",IFERROR(XLOOKUP(D65,'Corrected Register'!$A$5:$A$136,'Corrected Register'!$M$5:$M$136),0),ABS(IFERROR(XLOOKUP(D65,'Source Ledger'!$B$5:$B$133,'Source Ledger'!$E$5:$E$133),0)-IFERROR(XLOOKUP(D65,'Corrected Register'!$A$5:$A$136,'Corrected Register'!$M$5:$M$136),0))),IFERROR(XLOOKUP(D65,'Corrected Register'!$A$5:$A$136,'Corrected Register'!$N$5:$N$136),0))</f>
        <v>764.93</v>
      </c>
      <c r="H65" s="7" t="inlineStr">
        <is>
          <t>Take E0080 off MD-00067. Park with Regional IT / IT Stock.</t>
        </is>
      </c>
      <c r="I65" s="7" t="inlineStr">
        <is>
          <t>HR Operations Lead</t>
        </is>
      </c>
      <c r="J65" s="7" t="inlineStr">
        <is>
          <t>2026-08-16</t>
        </is>
      </c>
      <c r="K65" s="7" t="inlineStr">
        <is>
          <t>Open</t>
        </is>
      </c>
      <c r="L65" s="7" t="inlineStr">
        <is>
          <t>HR E0080 is separated. Register still has them on MD-00067. OFF-00067.</t>
        </is>
      </c>
      <c r="M65" s="7" t="inlineStr">
        <is>
          <t>Requires remediation</t>
        </is>
      </c>
    </row>
    <row r="66">
      <c r="A66" s="7" t="inlineStr">
        <is>
          <t>EX-0062</t>
        </is>
      </c>
      <c r="B66" s="7" t="inlineStr">
        <is>
          <t>Closed Location Assignment</t>
        </is>
      </c>
      <c r="C66" s="11" t="inlineStr">
        <is>
          <t>Medium</t>
        </is>
      </c>
      <c r="D66" s="7" t="inlineStr">
        <is>
          <t>MD-00067</t>
        </is>
      </c>
      <c r="E66" s="7" t="inlineStr">
        <is>
          <t>MD-MO-050067</t>
        </is>
      </c>
      <c r="F66" s="7" t="inlineStr">
        <is>
          <t>RegisterLocation:Denver - Closed; Transfer:TR-00067; VerifiedLocation:Chicago</t>
        </is>
      </c>
      <c r="G66" s="7">
        <f>IF(B66="Inventory-to-Ledger Difference",IF(IFERROR(XLOOKUP(D66,'Source Ledger'!$B$5:$B$133,'Source Ledger'!$E$5:$E$133),"")="",IFERROR(XLOOKUP(D66,'Corrected Register'!$A$5:$A$136,'Corrected Register'!$M$5:$M$136),0),ABS(IFERROR(XLOOKUP(D66,'Source Ledger'!$B$5:$B$133,'Source Ledger'!$E$5:$E$133),0)-IFERROR(XLOOKUP(D66,'Corrected Register'!$A$5:$A$136,'Corrected Register'!$M$5:$M$136),0))),IFERROR(XLOOKUP(D66,'Corrected Register'!$A$5:$A$136,'Corrected Register'!$N$5:$N$136),0))</f>
        <v>764.93</v>
      </c>
      <c r="H66" s="7" t="inlineStr">
        <is>
          <t>Register still has the shuttered floor (Denver - Closed). Put Chicago on the row. (EX-0062)</t>
        </is>
      </c>
      <c r="I66" s="7" t="inlineStr">
        <is>
          <t>IT Asset Specialist</t>
        </is>
      </c>
      <c r="J66" s="7" t="inlineStr">
        <is>
          <t>2026-08-19</t>
        </is>
      </c>
      <c r="K66" s="7" t="inlineStr">
        <is>
          <t>Open</t>
        </is>
      </c>
      <c r="L66" s="7" t="inlineStr">
        <is>
          <t>MD-00067 still coded to a floor we don't occupy (Denver - Closed).</t>
        </is>
      </c>
      <c r="M66" s="7" t="inlineStr">
        <is>
          <t>Requires remediation</t>
        </is>
      </c>
    </row>
    <row r="67">
      <c r="A67" s="7" t="inlineStr">
        <is>
          <t>EX-0063</t>
        </is>
      </c>
      <c r="B67" s="7" t="inlineStr">
        <is>
          <t>Overdue Return</t>
        </is>
      </c>
      <c r="C67" s="8" t="inlineStr">
        <is>
          <t>Critical</t>
        </is>
      </c>
      <c r="D67" s="7" t="inlineStr">
        <is>
          <t>MD-00068</t>
        </is>
      </c>
      <c r="E67" s="7" t="inlineStr">
        <is>
          <t>MD-NE-050068</t>
        </is>
      </c>
      <c r="F67" s="7" t="inlineStr">
        <is>
          <t>Ticket:OFF-00068; Tracking:1ZMD00000068; ReturnDue:2026-07-15</t>
        </is>
      </c>
      <c r="G67" s="7">
        <f>IF(B67="Inventory-to-Ledger Difference",IF(IFERROR(XLOOKUP(D67,'Source Ledger'!$B$5:$B$133,'Source Ledger'!$E$5:$E$133),"")="",IFERROR(XLOOKUP(D67,'Corrected Register'!$A$5:$A$136,'Corrected Register'!$M$5:$M$136),0),ABS(IFERROR(XLOOKUP(D67,'Source Ledger'!$B$5:$B$133,'Source Ledger'!$E$5:$E$133),0)-IFERROR(XLOOKUP(D67,'Corrected Register'!$A$5:$A$136,'Corrected Register'!$M$5:$M$136),0))),IFERROR(XLOOKUP(D67,'Corrected Register'!$A$5:$A$136,'Corrected Register'!$N$5:$N$136),0))</f>
        <v>1436.28</v>
      </c>
      <c r="H67" s="7" t="inlineStr">
        <is>
          <t>Escalate MD-00068. Generated label 1ZMD00000068 is not a return.</t>
        </is>
      </c>
      <c r="I67" s="7" t="inlineStr">
        <is>
          <t>IT Asset Specialist</t>
        </is>
      </c>
      <c r="J67" s="7" t="inlineStr">
        <is>
          <t>2026-08-14</t>
        </is>
      </c>
      <c r="K67" s="7" t="inlineStr">
        <is>
          <t>Open</t>
        </is>
      </c>
      <c r="L67" s="7" t="inlineStr">
        <is>
          <t>Carrier events missing on 1ZMD00000068. That's the assessment.</t>
        </is>
      </c>
      <c r="M67" s="12" t="inlineStr">
        <is>
          <t>Blocks certification</t>
        </is>
      </c>
    </row>
    <row r="68">
      <c r="A68" s="7" t="inlineStr">
        <is>
          <t>EX-0064</t>
        </is>
      </c>
      <c r="B68" s="7" t="inlineStr">
        <is>
          <t>Former Employee Assignment</t>
        </is>
      </c>
      <c r="C68" s="10" t="inlineStr">
        <is>
          <t>High</t>
        </is>
      </c>
      <c r="D68" s="7" t="inlineStr">
        <is>
          <t>MD-00068</t>
        </is>
      </c>
      <c r="E68" s="7" t="inlineStr">
        <is>
          <t>MD-NE-050068</t>
        </is>
      </c>
      <c r="F68" s="7" t="inlineStr">
        <is>
          <t>Employee:E0081; Ticket:OFF-00068</t>
        </is>
      </c>
      <c r="G68" s="7">
        <f>IF(B68="Inventory-to-Ledger Difference",IF(IFERROR(XLOOKUP(D68,'Source Ledger'!$B$5:$B$133,'Source Ledger'!$E$5:$E$133),"")="",IFERROR(XLOOKUP(D68,'Corrected Register'!$A$5:$A$136,'Corrected Register'!$M$5:$M$136),0),ABS(IFERROR(XLOOKUP(D68,'Source Ledger'!$B$5:$B$133,'Source Ledger'!$E$5:$E$133),0)-IFERROR(XLOOKUP(D68,'Corrected Register'!$A$5:$A$136,'Corrected Register'!$M$5:$M$136),0))),IFERROR(XLOOKUP(D68,'Corrected Register'!$A$5:$A$136,'Corrected Register'!$N$5:$N$136),0))</f>
        <v>1436.28</v>
      </c>
      <c r="H68" s="7" t="inlineStr">
        <is>
          <t>Custodian on MD-00068 is a terminated ID. Put IT Stock / Regional IT on the row.</t>
        </is>
      </c>
      <c r="I68" s="7" t="inlineStr">
        <is>
          <t>HR Operations Lead</t>
        </is>
      </c>
      <c r="J68" s="7" t="inlineStr">
        <is>
          <t>2026-08-16</t>
        </is>
      </c>
      <c r="K68" s="7" t="inlineStr">
        <is>
          <t>Open</t>
        </is>
      </c>
      <c r="L68" s="7" t="inlineStr">
        <is>
          <t>MD-00068 custodian is a former employee in HR (E0081).</t>
        </is>
      </c>
      <c r="M68" s="7" t="inlineStr">
        <is>
          <t>Requires remediation</t>
        </is>
      </c>
    </row>
    <row r="69">
      <c r="A69" s="7" t="inlineStr">
        <is>
          <t>EX-0065</t>
        </is>
      </c>
      <c r="B69" s="7" t="inlineStr">
        <is>
          <t>Inventory-to-Ledger Difference</t>
        </is>
      </c>
      <c r="C69" s="10" t="inlineStr">
        <is>
          <t>High</t>
        </is>
      </c>
      <c r="D69" s="7" t="inlineStr">
        <is>
          <t>MD-00068</t>
        </is>
      </c>
      <c r="E69" s="7" t="inlineStr">
        <is>
          <t>MD-NE-050068</t>
        </is>
      </c>
      <c r="F69" s="7" t="inlineStr">
        <is>
          <t>Ledger:FA-000068; PO:PO-2025-0012; RegisterCost:6425.0; LedgerCost:6480.0</t>
        </is>
      </c>
      <c r="G69" s="7">
        <f>IF(B69="Inventory-to-Ledger Difference",IF(IFERROR(XLOOKUP(D69,'Source Ledger'!$B$5:$B$133,'Source Ledger'!$E$5:$E$133),"")="",IFERROR(XLOOKUP(D69,'Corrected Register'!$A$5:$A$136,'Corrected Register'!$M$5:$M$136),0),ABS(IFERROR(XLOOKUP(D69,'Source Ledger'!$B$5:$B$133,'Source Ledger'!$E$5:$E$133),0)-IFERROR(XLOOKUP(D69,'Corrected Register'!$A$5:$A$136,'Corrected Register'!$M$5:$M$136),0))),IFERROR(XLOOKUP(D69,'Corrected Register'!$A$5:$A$136,'Corrected Register'!$N$5:$N$136),0))</f>
        <v>55</v>
      </c>
      <c r="H69" s="7" t="inlineStr">
        <is>
          <t>Finance Controller owns the cost-basis cleanup on MD-00068.</t>
        </is>
      </c>
      <c r="I69" s="7" t="inlineStr">
        <is>
          <t>Finance Controller</t>
        </is>
      </c>
      <c r="J69" s="7" t="inlineStr">
        <is>
          <t>2026-08-21</t>
        </is>
      </c>
      <c r="K69" s="7" t="inlineStr">
        <is>
          <t>Open</t>
        </is>
      </c>
      <c r="L69" s="7" t="inlineStr">
        <is>
          <t>FA-000068 cost 6600.0 vs register 6425.0. PO-2025-0012.</t>
        </is>
      </c>
      <c r="M69" s="7" t="inlineStr">
        <is>
          <t>Requires remediation</t>
        </is>
      </c>
    </row>
    <row r="70">
      <c r="A70" s="7" t="inlineStr">
        <is>
          <t>EX-0066</t>
        </is>
      </c>
      <c r="B70" s="7" t="inlineStr">
        <is>
          <t>Overdue Return</t>
        </is>
      </c>
      <c r="C70" s="8" t="inlineStr">
        <is>
          <t>Critical</t>
        </is>
      </c>
      <c r="D70" s="7" t="inlineStr">
        <is>
          <t>MD-00069</t>
        </is>
      </c>
      <c r="E70" s="7" t="inlineStr">
        <is>
          <t>MD-LA-050069</t>
        </is>
      </c>
      <c r="F70" s="7" t="inlineStr">
        <is>
          <t>Ticket:OFF-00069; Tracking:1ZMD00000069; ReturnDue:2026-07-15</t>
        </is>
      </c>
      <c r="G70" s="7">
        <f>IF(B70="Inventory-to-Ledger Difference",IF(IFERROR(XLOOKUP(D70,'Source Ledger'!$B$5:$B$133,'Source Ledger'!$E$5:$E$133),"")="",IFERROR(XLOOKUP(D70,'Corrected Register'!$A$5:$A$136,'Corrected Register'!$M$5:$M$136),0),ABS(IFERROR(XLOOKUP(D70,'Source Ledger'!$B$5:$B$133,'Source Ledger'!$E$5:$E$133),0)-IFERROR(XLOOKUP(D70,'Corrected Register'!$A$5:$A$136,'Corrected Register'!$M$5:$M$136),0))),IFERROR(XLOOKUP(D70,'Corrected Register'!$A$5:$A$136,'Corrected Register'!$N$5:$N$136),0))</f>
        <v>142.69</v>
      </c>
      <c r="H70" s="7" t="inlineStr">
        <is>
          <t>Past the window on MD-00069. Label-only returns block cert until SCAN-86 / delivery / dock.</t>
        </is>
      </c>
      <c r="I70" s="7" t="inlineStr">
        <is>
          <t>IT Asset Specialist</t>
        </is>
      </c>
      <c r="J70" s="7" t="inlineStr">
        <is>
          <t>2026-08-14</t>
        </is>
      </c>
      <c r="K70" s="7" t="inlineStr">
        <is>
          <t>Open</t>
        </is>
      </c>
      <c r="L70" s="7" t="inlineStr">
        <is>
          <t>Looked at tracking 1ZMD00000069. Never left the printer as far as the file shows.</t>
        </is>
      </c>
      <c r="M70" s="12" t="inlineStr">
        <is>
          <t>Blocks certification</t>
        </is>
      </c>
    </row>
    <row r="71">
      <c r="A71" s="7" t="inlineStr">
        <is>
          <t>EX-0067</t>
        </is>
      </c>
      <c r="B71" s="7" t="inlineStr">
        <is>
          <t>Former Employee Assignment</t>
        </is>
      </c>
      <c r="C71" s="10" t="inlineStr">
        <is>
          <t>High</t>
        </is>
      </c>
      <c r="D71" s="7" t="inlineStr">
        <is>
          <t>MD-00069</t>
        </is>
      </c>
      <c r="E71" s="7" t="inlineStr">
        <is>
          <t>MD-LA-050069</t>
        </is>
      </c>
      <c r="F71" s="7" t="inlineStr">
        <is>
          <t>Employee:E0082; Ticket:OFF-00069</t>
        </is>
      </c>
      <c r="G71" s="7">
        <f>IF(B71="Inventory-to-Ledger Difference",IF(IFERROR(XLOOKUP(D71,'Source Ledger'!$B$5:$B$133,'Source Ledger'!$E$5:$E$133),"")="",IFERROR(XLOOKUP(D71,'Corrected Register'!$A$5:$A$136,'Corrected Register'!$M$5:$M$136),0),ABS(IFERROR(XLOOKUP(D71,'Source Ledger'!$B$5:$B$133,'Source Ledger'!$E$5:$E$133),0)-IFERROR(XLOOKUP(D71,'Corrected Register'!$A$5:$A$136,'Corrected Register'!$M$5:$M$136),0))),IFERROR(XLOOKUP(D71,'Corrected Register'!$A$5:$A$136,'Corrected Register'!$N$5:$N$136),0))</f>
        <v>142.69</v>
      </c>
      <c r="H71" s="7" t="inlineStr">
        <is>
          <t>Assignment cleanup: MD-00069 → Regional IT (or IT Stock if it's on the shelf).</t>
        </is>
      </c>
      <c r="I71" s="7" t="inlineStr">
        <is>
          <t>HR Operations Lead</t>
        </is>
      </c>
      <c r="J71" s="7" t="inlineStr">
        <is>
          <t>2026-08-16</t>
        </is>
      </c>
      <c r="K71" s="7" t="inlineStr">
        <is>
          <t>Open</t>
        </is>
      </c>
      <c r="L71" s="7" t="inlineStr">
        <is>
          <t>HR E0082 is separated. Register still has them on MD-00069. OFF-00069.</t>
        </is>
      </c>
      <c r="M71" s="7" t="inlineStr">
        <is>
          <t>Requires remediation</t>
        </is>
      </c>
    </row>
    <row r="72">
      <c r="A72" s="7" t="inlineStr">
        <is>
          <t>EX-0068</t>
        </is>
      </c>
      <c r="B72" s="7" t="inlineStr">
        <is>
          <t>Overdue Return</t>
        </is>
      </c>
      <c r="C72" s="8" t="inlineStr">
        <is>
          <t>Critical</t>
        </is>
      </c>
      <c r="D72" s="7" t="inlineStr">
        <is>
          <t>MD-00070</t>
        </is>
      </c>
      <c r="E72" s="7" t="inlineStr">
        <is>
          <t>MD-MO-050070</t>
        </is>
      </c>
      <c r="F72" s="7" t="inlineStr">
        <is>
          <t>Ticket:OFF-00070; Tracking:1ZMD00000070; ReturnDue:2026-07-15</t>
        </is>
      </c>
      <c r="G72" s="7">
        <f>IF(B72="Inventory-to-Ledger Difference",IF(IFERROR(XLOOKUP(D72,'Source Ledger'!$B$5:$B$133,'Source Ledger'!$E$5:$E$133),"")="",IFERROR(XLOOKUP(D72,'Corrected Register'!$A$5:$A$136,'Corrected Register'!$M$5:$M$136),0),ABS(IFERROR(XLOOKUP(D72,'Source Ledger'!$B$5:$B$133,'Source Ledger'!$E$5:$E$133),0)-IFERROR(XLOOKUP(D72,'Corrected Register'!$A$5:$A$136,'Corrected Register'!$M$5:$M$136),0))),IFERROR(XLOOKUP(D72,'Corrected Register'!$A$5:$A$136,'Corrected Register'!$N$5:$N$136),0))</f>
        <v>342.32</v>
      </c>
      <c r="H72" s="7" t="inlineStr">
        <is>
          <t>Chase the return. 1ZMD00000070 is Label Created only — not received.</t>
        </is>
      </c>
      <c r="I72" s="7" t="inlineStr">
        <is>
          <t>IT Asset Specialist</t>
        </is>
      </c>
      <c r="J72" s="7" t="inlineStr">
        <is>
          <t>2026-08-14</t>
        </is>
      </c>
      <c r="K72" s="7" t="inlineStr">
        <is>
          <t>Open</t>
        </is>
      </c>
      <c r="L72" s="7" t="inlineStr">
        <is>
          <t>1ZMD00000070 is still Label Created. No acceptance / delivery / dock scan.</t>
        </is>
      </c>
      <c r="M72" s="12" t="inlineStr">
        <is>
          <t>Blocks certification</t>
        </is>
      </c>
    </row>
    <row r="73">
      <c r="A73" s="7" t="inlineStr">
        <is>
          <t>EX-0069</t>
        </is>
      </c>
      <c r="B73" s="7" t="inlineStr">
        <is>
          <t>Former Employee Assignment</t>
        </is>
      </c>
      <c r="C73" s="10" t="inlineStr">
        <is>
          <t>High</t>
        </is>
      </c>
      <c r="D73" s="7" t="inlineStr">
        <is>
          <t>MD-00070</t>
        </is>
      </c>
      <c r="E73" s="7" t="inlineStr">
        <is>
          <t>MD-MO-050070</t>
        </is>
      </c>
      <c r="F73" s="7" t="inlineStr">
        <is>
          <t>Employee:E0083; Ticket:OFF-00070</t>
        </is>
      </c>
      <c r="G73" s="7">
        <f>IF(B73="Inventory-to-Ledger Difference",IF(IFERROR(XLOOKUP(D73,'Source Ledger'!$B$5:$B$133,'Source Ledger'!$E$5:$E$133),"")="",IFERROR(XLOOKUP(D73,'Corrected Register'!$A$5:$A$136,'Corrected Register'!$M$5:$M$136),0),ABS(IFERROR(XLOOKUP(D73,'Source Ledger'!$B$5:$B$133,'Source Ledger'!$E$5:$E$133),0)-IFERROR(XLOOKUP(D73,'Corrected Register'!$A$5:$A$136,'Corrected Register'!$M$5:$M$136),0))),IFERROR(XLOOKUP(D73,'Corrected Register'!$A$5:$A$136,'Corrected Register'!$N$5:$N$136),0))</f>
        <v>342.32</v>
      </c>
      <c r="H73" s="7" t="inlineStr">
        <is>
          <t>MD-00070 is still on a leaver. Close the assignment; stock holds it until recovered or written off.</t>
        </is>
      </c>
      <c r="I73" s="7" t="inlineStr">
        <is>
          <t>HR Operations Lead</t>
        </is>
      </c>
      <c r="J73" s="7" t="inlineStr">
        <is>
          <t>2026-08-16</t>
        </is>
      </c>
      <c r="K73" s="7" t="inlineStr">
        <is>
          <t>Open</t>
        </is>
      </c>
      <c r="L73" s="7" t="inlineStr">
        <is>
          <t>OFF-00070 vs hr_employee_status: people side is done, asset isn't.</t>
        </is>
      </c>
      <c r="M73" s="7" t="inlineStr">
        <is>
          <t>Requires remediation</t>
        </is>
      </c>
    </row>
    <row r="74">
      <c r="A74" s="7" t="inlineStr">
        <is>
          <t>EX-0070</t>
        </is>
      </c>
      <c r="B74" s="7" t="inlineStr">
        <is>
          <t>Overdue Return</t>
        </is>
      </c>
      <c r="C74" s="8" t="inlineStr">
        <is>
          <t>Critical</t>
        </is>
      </c>
      <c r="D74" s="7" t="inlineStr">
        <is>
          <t>MD-00071</t>
        </is>
      </c>
      <c r="E74" s="7" t="inlineStr">
        <is>
          <t>MD-MO-050071</t>
        </is>
      </c>
      <c r="F74" s="7" t="inlineStr">
        <is>
          <t>Ticket:OFF-00071; Tracking:1ZMD00000071; ReturnDue:2026-07-15</t>
        </is>
      </c>
      <c r="G74" s="7">
        <f>IF(B74="Inventory-to-Ledger Difference",IF(IFERROR(XLOOKUP(D74,'Source Ledger'!$B$5:$B$133,'Source Ledger'!$E$5:$E$133),"")="",IFERROR(XLOOKUP(D74,'Corrected Register'!$A$5:$A$136,'Corrected Register'!$M$5:$M$136),0),ABS(IFERROR(XLOOKUP(D74,'Source Ledger'!$B$5:$B$133,'Source Ledger'!$E$5:$E$133),0)-IFERROR(XLOOKUP(D74,'Corrected Register'!$A$5:$A$136,'Corrected Register'!$M$5:$M$136),0))),IFERROR(XLOOKUP(D74,'Corrected Register'!$A$5:$A$136,'Corrected Register'!$N$5:$N$136),0))</f>
        <v>787.96</v>
      </c>
      <c r="H74" s="7" t="inlineStr">
        <is>
          <t>Escalate MD-00071. Generated label 1ZMD00000071 is not a return.</t>
        </is>
      </c>
      <c r="I74" s="7" t="inlineStr">
        <is>
          <t>IT Asset Specialist</t>
        </is>
      </c>
      <c r="J74" s="7" t="inlineStr">
        <is>
          <t>2026-08-14</t>
        </is>
      </c>
      <c r="K74" s="7" t="inlineStr">
        <is>
          <t>Open</t>
        </is>
      </c>
      <c r="L74" s="7" t="inlineStr">
        <is>
          <t>Carrier events missing on 1ZMD00000071. That's the assessment.</t>
        </is>
      </c>
      <c r="M74" s="12" t="inlineStr">
        <is>
          <t>Blocks certification</t>
        </is>
      </c>
    </row>
    <row r="75">
      <c r="A75" s="7" t="inlineStr">
        <is>
          <t>EX-0071</t>
        </is>
      </c>
      <c r="B75" s="7" t="inlineStr">
        <is>
          <t>Former Employee Assignment</t>
        </is>
      </c>
      <c r="C75" s="10" t="inlineStr">
        <is>
          <t>High</t>
        </is>
      </c>
      <c r="D75" s="7" t="inlineStr">
        <is>
          <t>MD-00071</t>
        </is>
      </c>
      <c r="E75" s="7" t="inlineStr">
        <is>
          <t>MD-MO-050071</t>
        </is>
      </c>
      <c r="F75" s="7" t="inlineStr">
        <is>
          <t>Employee:E0084; Ticket:OFF-00071</t>
        </is>
      </c>
      <c r="G75" s="7">
        <f>IF(B75="Inventory-to-Ledger Difference",IF(IFERROR(XLOOKUP(D75,'Source Ledger'!$B$5:$B$133,'Source Ledger'!$E$5:$E$133),"")="",IFERROR(XLOOKUP(D75,'Corrected Register'!$A$5:$A$136,'Corrected Register'!$M$5:$M$136),0),ABS(IFERROR(XLOOKUP(D75,'Source Ledger'!$B$5:$B$133,'Source Ledger'!$E$5:$E$133),0)-IFERROR(XLOOKUP(D75,'Corrected Register'!$A$5:$A$136,'Corrected Register'!$M$5:$M$136),0))),IFERROR(XLOOKUP(D75,'Corrected Register'!$A$5:$A$136,'Corrected Register'!$N$5:$N$136),0))</f>
        <v>787.96</v>
      </c>
      <c r="H75" s="7" t="inlineStr">
        <is>
          <t>Custodian on MD-00071 is a terminated ID. Put IT Stock / Regional IT on the row.</t>
        </is>
      </c>
      <c r="I75" s="7" t="inlineStr">
        <is>
          <t>HR Operations Lead</t>
        </is>
      </c>
      <c r="J75" s="7" t="inlineStr">
        <is>
          <t>2026-08-16</t>
        </is>
      </c>
      <c r="K75" s="7" t="inlineStr">
        <is>
          <t>Open</t>
        </is>
      </c>
      <c r="L75" s="7" t="inlineStr">
        <is>
          <t>MD-00071 custodian is a former employee in HR (E0084).</t>
        </is>
      </c>
      <c r="M75" s="7" t="inlineStr">
        <is>
          <t>Requires remediation</t>
        </is>
      </c>
    </row>
    <row r="76">
      <c r="A76" s="7" t="inlineStr">
        <is>
          <t>EX-0072</t>
        </is>
      </c>
      <c r="B76" s="7" t="inlineStr">
        <is>
          <t>Overdue Return</t>
        </is>
      </c>
      <c r="C76" s="8" t="inlineStr">
        <is>
          <t>Critical</t>
        </is>
      </c>
      <c r="D76" s="7" t="inlineStr">
        <is>
          <t>MD-00072</t>
        </is>
      </c>
      <c r="E76" s="7" t="inlineStr">
        <is>
          <t>MD-NE-050072</t>
        </is>
      </c>
      <c r="F76" s="7" t="inlineStr">
        <is>
          <t>Ticket:OFF-00072; Tracking:1ZMD00000072; ReturnDue:2026-07-15</t>
        </is>
      </c>
      <c r="G76" s="7">
        <f>IF(B76="Inventory-to-Ledger Difference",IF(IFERROR(XLOOKUP(D76,'Source Ledger'!$B$5:$B$133,'Source Ledger'!$E$5:$E$133),"")="",IFERROR(XLOOKUP(D76,'Corrected Register'!$A$5:$A$136,'Corrected Register'!$M$5:$M$136),0),ABS(IFERROR(XLOOKUP(D76,'Source Ledger'!$B$5:$B$133,'Source Ledger'!$E$5:$E$133),0)-IFERROR(XLOOKUP(D76,'Corrected Register'!$A$5:$A$136,'Corrected Register'!$M$5:$M$136),0))),IFERROR(XLOOKUP(D76,'Corrected Register'!$A$5:$A$136,'Corrected Register'!$N$5:$N$136),0))</f>
        <v>500.27</v>
      </c>
      <c r="H76" s="7" t="inlineStr">
        <is>
          <t>OFF-00072: overdue. Keep pressure on the person; carrier file is empty.</t>
        </is>
      </c>
      <c r="I76" s="7" t="inlineStr">
        <is>
          <t>IT Asset Specialist</t>
        </is>
      </c>
      <c r="J76" s="7" t="inlineStr">
        <is>
          <t>2026-08-14</t>
        </is>
      </c>
      <c r="K76" s="7" t="inlineStr">
        <is>
          <t>Open</t>
        </is>
      </c>
      <c r="L76" s="7" t="inlineStr">
        <is>
          <t>Policy §5: label ≠ returned. 1ZMD00000072.</t>
        </is>
      </c>
      <c r="M76" s="12" t="inlineStr">
        <is>
          <t>Blocks certification</t>
        </is>
      </c>
    </row>
    <row r="77">
      <c r="A77" s="7" t="inlineStr">
        <is>
          <t>EX-0073</t>
        </is>
      </c>
      <c r="B77" s="7" t="inlineStr">
        <is>
          <t>Former Employee Assignment</t>
        </is>
      </c>
      <c r="C77" s="10" t="inlineStr">
        <is>
          <t>High</t>
        </is>
      </c>
      <c r="D77" s="7" t="inlineStr">
        <is>
          <t>MD-00072</t>
        </is>
      </c>
      <c r="E77" s="7" t="inlineStr">
        <is>
          <t>MD-NE-050072</t>
        </is>
      </c>
      <c r="F77" s="7" t="inlineStr">
        <is>
          <t>Employee:E0085; Ticket:OFF-00072</t>
        </is>
      </c>
      <c r="G77" s="7">
        <f>IF(B77="Inventory-to-Ledger Difference",IF(IFERROR(XLOOKUP(D77,'Source Ledger'!$B$5:$B$133,'Source Ledger'!$E$5:$E$133),"")="",IFERROR(XLOOKUP(D77,'Corrected Register'!$A$5:$A$136,'Corrected Register'!$M$5:$M$136),0),ABS(IFERROR(XLOOKUP(D77,'Source Ledger'!$B$5:$B$133,'Source Ledger'!$E$5:$E$133),0)-IFERROR(XLOOKUP(D77,'Corrected Register'!$A$5:$A$136,'Corrected Register'!$M$5:$M$136),0))),IFERROR(XLOOKUP(D77,'Corrected Register'!$A$5:$A$136,'Corrected Register'!$N$5:$N$136),0))</f>
        <v>500.27</v>
      </c>
      <c r="H77" s="7" t="inlineStr">
        <is>
          <t>Recover or lose-process MD-00072, but first drop the former employee as owner.</t>
        </is>
      </c>
      <c r="I77" s="7" t="inlineStr">
        <is>
          <t>HR Operations Lead</t>
        </is>
      </c>
      <c r="J77" s="7" t="inlineStr">
        <is>
          <t>2026-08-16</t>
        </is>
      </c>
      <c r="K77" s="7" t="inlineStr">
        <is>
          <t>Open</t>
        </is>
      </c>
      <c r="L77" s="7" t="inlineStr">
        <is>
          <t>People record is closed; MD-00072 isn't. OFF-00072.</t>
        </is>
      </c>
      <c r="M77" s="7" t="inlineStr">
        <is>
          <t>Requires remediation</t>
        </is>
      </c>
    </row>
    <row r="78">
      <c r="A78" s="7" t="inlineStr">
        <is>
          <t>EX-0074</t>
        </is>
      </c>
      <c r="B78" s="7" t="inlineStr">
        <is>
          <t>Overdue Return</t>
        </is>
      </c>
      <c r="C78" s="8" t="inlineStr">
        <is>
          <t>Critical</t>
        </is>
      </c>
      <c r="D78" s="7" t="inlineStr">
        <is>
          <t>MD-00073</t>
        </is>
      </c>
      <c r="E78" s="7" t="inlineStr">
        <is>
          <t>MD-LA-050073</t>
        </is>
      </c>
      <c r="F78" s="7" t="inlineStr">
        <is>
          <t>Ticket:OFF-00073; Tracking:1ZMD00000073; ReturnDue:2026-07-15</t>
        </is>
      </c>
      <c r="G78" s="7">
        <f>IF(B78="Inventory-to-Ledger Difference",IF(IFERROR(XLOOKUP(D78,'Source Ledger'!$B$5:$B$133,'Source Ledger'!$E$5:$E$133),"")="",IFERROR(XLOOKUP(D78,'Corrected Register'!$A$5:$A$136,'Corrected Register'!$M$5:$M$136),0),ABS(IFERROR(XLOOKUP(D78,'Source Ledger'!$B$5:$B$133,'Source Ledger'!$E$5:$E$133),0)-IFERROR(XLOOKUP(D78,'Corrected Register'!$A$5:$A$136,'Corrected Register'!$M$5:$M$136),0))),IFERROR(XLOOKUP(D78,'Corrected Register'!$A$5:$A$136,'Corrected Register'!$N$5:$N$136),0))</f>
        <v>0</v>
      </c>
      <c r="H78" s="7" t="inlineStr">
        <is>
          <t>Escalate to recovery. MD-00073 / 1ZMD00000073 still label-only.</t>
        </is>
      </c>
      <c r="I78" s="7" t="inlineStr">
        <is>
          <t>IT Asset Specialist</t>
        </is>
      </c>
      <c r="J78" s="7" t="inlineStr">
        <is>
          <t>2026-08-14</t>
        </is>
      </c>
      <c r="K78" s="7" t="inlineStr">
        <is>
          <t>Open</t>
        </is>
      </c>
      <c r="L78" s="7" t="inlineStr">
        <is>
          <t>Ship file for MD-00073: label only. OFF-00073 overdue 2026-07-15.</t>
        </is>
      </c>
      <c r="M78" s="12" t="inlineStr">
        <is>
          <t>Blocks certification</t>
        </is>
      </c>
    </row>
    <row r="79">
      <c r="A79" s="7" t="inlineStr">
        <is>
          <t>EX-0075</t>
        </is>
      </c>
      <c r="B79" s="7" t="inlineStr">
        <is>
          <t>Former Employee Assignment</t>
        </is>
      </c>
      <c r="C79" s="10" t="inlineStr">
        <is>
          <t>High</t>
        </is>
      </c>
      <c r="D79" s="7" t="inlineStr">
        <is>
          <t>MD-00073</t>
        </is>
      </c>
      <c r="E79" s="7" t="inlineStr">
        <is>
          <t>MD-LA-050073</t>
        </is>
      </c>
      <c r="F79" s="7" t="inlineStr">
        <is>
          <t>Employee:E0086; Ticket:OFF-00073</t>
        </is>
      </c>
      <c r="G79" s="7">
        <f>IF(B79="Inventory-to-Ledger Difference",IF(IFERROR(XLOOKUP(D79,'Source Ledger'!$B$5:$B$133,'Source Ledger'!$E$5:$E$133),"")="",IFERROR(XLOOKUP(D79,'Corrected Register'!$A$5:$A$136,'Corrected Register'!$M$5:$M$136),0),ABS(IFERROR(XLOOKUP(D79,'Source Ledger'!$B$5:$B$133,'Source Ledger'!$E$5:$E$133),0)-IFERROR(XLOOKUP(D79,'Corrected Register'!$A$5:$A$136,'Corrected Register'!$M$5:$M$136),0))),IFERROR(XLOOKUP(D79,'Corrected Register'!$A$5:$A$136,'Corrected Register'!$N$5:$N$136),0))</f>
        <v>0</v>
      </c>
      <c r="H79" s="7" t="inlineStr">
        <is>
          <t>Move MD-00073 off the separated custodian before we talk redeploy.</t>
        </is>
      </c>
      <c r="I79" s="7" t="inlineStr">
        <is>
          <t>HR Operations Lead</t>
        </is>
      </c>
      <c r="J79" s="7" t="inlineStr">
        <is>
          <t>2026-08-16</t>
        </is>
      </c>
      <c r="K79" s="7" t="inlineStr">
        <is>
          <t>Open</t>
        </is>
      </c>
      <c r="L79" s="7" t="inlineStr">
        <is>
          <t>Leaver still on MD-00073. E0086.</t>
        </is>
      </c>
      <c r="M79" s="7" t="inlineStr">
        <is>
          <t>Requires remediation</t>
        </is>
      </c>
    </row>
    <row r="80">
      <c r="A80" s="7" t="inlineStr">
        <is>
          <t>EX-0076</t>
        </is>
      </c>
      <c r="B80" s="7" t="inlineStr">
        <is>
          <t>Shipment Mismatch</t>
        </is>
      </c>
      <c r="C80" s="8" t="inlineStr">
        <is>
          <t>Critical</t>
        </is>
      </c>
      <c r="D80" s="7" t="inlineStr">
        <is>
          <t>MD-00074</t>
        </is>
      </c>
      <c r="E80" s="7" t="inlineStr">
        <is>
          <t>MD-MO-050074</t>
        </is>
      </c>
      <c r="F80" s="7" t="inlineStr">
        <is>
          <t>Ticket:OFF-00074; Tracking:1ZMD00000074; ShipmentSerial:MISMATCH-0074</t>
        </is>
      </c>
      <c r="G80" s="7">
        <f>IF(B80="Inventory-to-Ledger Difference",IF(IFERROR(XLOOKUP(D80,'Source Ledger'!$B$5:$B$133,'Source Ledger'!$E$5:$E$133),"")="",IFERROR(XLOOKUP(D80,'Corrected Register'!$A$5:$A$136,'Corrected Register'!$M$5:$M$136),0),ABS(IFERROR(XLOOKUP(D80,'Source Ledger'!$B$5:$B$133,'Source Ledger'!$E$5:$E$133),0)-IFERROR(XLOOKUP(D80,'Corrected Register'!$A$5:$A$136,'Corrected Register'!$M$5:$M$136),0))),IFERROR(XLOOKUP(D80,'Corrected Register'!$A$5:$A$136,'Corrected Register'!$N$5:$N$136),0))</f>
        <v>359.25</v>
      </c>
      <c r="H80" s="7" t="inlineStr">
        <is>
          <t>Do not clear custody on MD-00074. Mismatch MISMATCH-0074 vs MD-MO-050074.</t>
        </is>
      </c>
      <c r="I80" s="7" t="inlineStr">
        <is>
          <t>IT Operations Manager</t>
        </is>
      </c>
      <c r="J80" s="7" t="inlineStr">
        <is>
          <t>2026-08-13</t>
        </is>
      </c>
      <c r="K80" s="7" t="inlineStr">
        <is>
          <t>Open</t>
        </is>
      </c>
      <c r="L80" s="7" t="inlineStr">
        <is>
          <t>Shipment serial MISMATCH-0074 on 1ZMD00000074 vs register MD-MO-050074. Not cleared.</t>
        </is>
      </c>
      <c r="M80" s="12" t="inlineStr">
        <is>
          <t>Blocks certification</t>
        </is>
      </c>
    </row>
    <row r="81">
      <c r="A81" s="7" t="inlineStr">
        <is>
          <t>EX-0077</t>
        </is>
      </c>
      <c r="B81" s="7" t="inlineStr">
        <is>
          <t>Former Employee Assignment</t>
        </is>
      </c>
      <c r="C81" s="10" t="inlineStr">
        <is>
          <t>High</t>
        </is>
      </c>
      <c r="D81" s="7" t="inlineStr">
        <is>
          <t>MD-00074</t>
        </is>
      </c>
      <c r="E81" s="7" t="inlineStr">
        <is>
          <t>MD-MO-050074</t>
        </is>
      </c>
      <c r="F81" s="7" t="inlineStr">
        <is>
          <t>Employee:E0087; Ticket:OFF-00074</t>
        </is>
      </c>
      <c r="G81" s="7">
        <f>IF(B81="Inventory-to-Ledger Difference",IF(IFERROR(XLOOKUP(D81,'Source Ledger'!$B$5:$B$133,'Source Ledger'!$E$5:$E$133),"")="",IFERROR(XLOOKUP(D81,'Corrected Register'!$A$5:$A$136,'Corrected Register'!$M$5:$M$136),0),ABS(IFERROR(XLOOKUP(D81,'Source Ledger'!$B$5:$B$133,'Source Ledger'!$E$5:$E$133),0)-IFERROR(XLOOKUP(D81,'Corrected Register'!$A$5:$A$136,'Corrected Register'!$M$5:$M$136),0))),IFERROR(XLOOKUP(D81,'Corrected Register'!$A$5:$A$136,'Corrected Register'!$N$5:$N$136),0))</f>
        <v>359.25</v>
      </c>
      <c r="H81" s="7" t="inlineStr">
        <is>
          <t>Close the people assignment on MD-00074. Ticket OFF-00074.</t>
        </is>
      </c>
      <c r="I81" s="7" t="inlineStr">
        <is>
          <t>HR Operations Lead</t>
        </is>
      </c>
      <c r="J81" s="7" t="inlineStr">
        <is>
          <t>2026-08-16</t>
        </is>
      </c>
      <c r="K81" s="7" t="inlineStr">
        <is>
          <t>Open</t>
        </is>
      </c>
      <c r="L81" s="7" t="inlineStr">
        <is>
          <t>Offboarding ticket OFF-00074 doesn't put hardware in stock by itself.</t>
        </is>
      </c>
      <c r="M81" s="7" t="inlineStr">
        <is>
          <t>Requires remediation</t>
        </is>
      </c>
    </row>
    <row r="82">
      <c r="A82" s="7" t="inlineStr">
        <is>
          <t>EX-0078</t>
        </is>
      </c>
      <c r="B82" s="7" t="inlineStr">
        <is>
          <t>Overdue Return</t>
        </is>
      </c>
      <c r="C82" s="8" t="inlineStr">
        <is>
          <t>Critical</t>
        </is>
      </c>
      <c r="D82" s="7" t="inlineStr">
        <is>
          <t>MD-00074</t>
        </is>
      </c>
      <c r="E82" s="7" t="inlineStr">
        <is>
          <t>MD-MO-050074</t>
        </is>
      </c>
      <c r="F82" s="7" t="inlineStr">
        <is>
          <t>Ticket:OFF-00074; Tracking:1ZMD00000074; ReturnDue:2026-07-15</t>
        </is>
      </c>
      <c r="G82" s="7">
        <f>IF(B82="Inventory-to-Ledger Difference",IF(IFERROR(XLOOKUP(D82,'Source Ledger'!$B$5:$B$133,'Source Ledger'!$E$5:$E$133),"")="",IFERROR(XLOOKUP(D82,'Corrected Register'!$A$5:$A$136,'Corrected Register'!$M$5:$M$136),0),ABS(IFERROR(XLOOKUP(D82,'Source Ledger'!$B$5:$B$133,'Source Ledger'!$E$5:$E$133),0)-IFERROR(XLOOKUP(D82,'Corrected Register'!$A$5:$A$136,'Corrected Register'!$M$5:$M$136),0))),IFERROR(XLOOKUP(D82,'Corrected Register'!$A$5:$A$136,'Corrected Register'!$N$5:$N$136),0))</f>
        <v>359.25</v>
      </c>
      <c r="H82" s="7" t="inlineStr">
        <is>
          <t>Recovery, not close-out. 1ZMD00000074 never left Label Created.</t>
        </is>
      </c>
      <c r="I82" s="7" t="inlineStr">
        <is>
          <t>IT Asset Specialist</t>
        </is>
      </c>
      <c r="J82" s="7" t="inlineStr">
        <is>
          <t>2026-08-14</t>
        </is>
      </c>
      <c r="K82" s="7" t="inlineStr">
        <is>
          <t>Open</t>
        </is>
      </c>
      <c r="L82" s="7" t="inlineStr">
        <is>
          <t>Policy §5: label ≠ returned. 1ZMD00000074.</t>
        </is>
      </c>
      <c r="M82" s="12" t="inlineStr">
        <is>
          <t>Blocks certification</t>
        </is>
      </c>
    </row>
    <row r="83">
      <c r="A83" s="7" t="inlineStr">
        <is>
          <t>EX-0079</t>
        </is>
      </c>
      <c r="B83" s="7" t="inlineStr">
        <is>
          <t>Overdue Return</t>
        </is>
      </c>
      <c r="C83" s="8" t="inlineStr">
        <is>
          <t>Critical</t>
        </is>
      </c>
      <c r="D83" s="7" t="inlineStr">
        <is>
          <t>MD-00075</t>
        </is>
      </c>
      <c r="E83" s="7" t="inlineStr">
        <is>
          <t>MD-MO-050075</t>
        </is>
      </c>
      <c r="F83" s="7" t="inlineStr">
        <is>
          <t>Ticket:OFF-00075; Tracking:1ZMD00000075; ReturnDue:2026-07-15</t>
        </is>
      </c>
      <c r="G83" s="7">
        <f>IF(B83="Inventory-to-Ledger Difference",IF(IFERROR(XLOOKUP(D83,'Source Ledger'!$B$5:$B$133,'Source Ledger'!$E$5:$E$133),"")="",IFERROR(XLOOKUP(D83,'Corrected Register'!$A$5:$A$136,'Corrected Register'!$M$5:$M$136),0),ABS(IFERROR(XLOOKUP(D83,'Source Ledger'!$B$5:$B$133,'Source Ledger'!$E$5:$E$133),0)-IFERROR(XLOOKUP(D83,'Corrected Register'!$A$5:$A$136,'Corrected Register'!$M$5:$M$136),0))),IFERROR(XLOOKUP(D83,'Corrected Register'!$A$5:$A$136,'Corrected Register'!$N$5:$N$136),0))</f>
        <v>647.42</v>
      </c>
      <c r="H83" s="7" t="inlineStr">
        <is>
          <t>OFF-00075: overdue. Keep pressure on the person; carrier file is empty.</t>
        </is>
      </c>
      <c r="I83" s="7" t="inlineStr">
        <is>
          <t>IT Asset Specialist</t>
        </is>
      </c>
      <c r="J83" s="7" t="inlineStr">
        <is>
          <t>2026-08-14</t>
        </is>
      </c>
      <c r="K83" s="7" t="inlineStr">
        <is>
          <t>Open</t>
        </is>
      </c>
      <c r="L83" s="7" t="inlineStr">
        <is>
          <t>1ZMD00000075 is still Label Created. No acceptance / delivery / dock scan.</t>
        </is>
      </c>
      <c r="M83" s="12" t="inlineStr">
        <is>
          <t>Blocks certification</t>
        </is>
      </c>
    </row>
    <row r="84">
      <c r="A84" s="7" t="inlineStr">
        <is>
          <t>EX-0080</t>
        </is>
      </c>
      <c r="B84" s="7" t="inlineStr">
        <is>
          <t>Former Employee Assignment</t>
        </is>
      </c>
      <c r="C84" s="10" t="inlineStr">
        <is>
          <t>High</t>
        </is>
      </c>
      <c r="D84" s="7" t="inlineStr">
        <is>
          <t>MD-00075</t>
        </is>
      </c>
      <c r="E84" s="7" t="inlineStr">
        <is>
          <t>MD-MO-050075</t>
        </is>
      </c>
      <c r="F84" s="7" t="inlineStr">
        <is>
          <t>Employee:E0088; Ticket:OFF-00075</t>
        </is>
      </c>
      <c r="G84" s="7">
        <f>IF(B84="Inventory-to-Ledger Difference",IF(IFERROR(XLOOKUP(D84,'Source Ledger'!$B$5:$B$133,'Source Ledger'!$E$5:$E$133),"")="",IFERROR(XLOOKUP(D84,'Corrected Register'!$A$5:$A$136,'Corrected Register'!$M$5:$M$136),0),ABS(IFERROR(XLOOKUP(D84,'Source Ledger'!$B$5:$B$133,'Source Ledger'!$E$5:$E$133),0)-IFERROR(XLOOKUP(D84,'Corrected Register'!$A$5:$A$136,'Corrected Register'!$M$5:$M$136),0))),IFERROR(XLOOKUP(D84,'Corrected Register'!$A$5:$A$136,'Corrected Register'!$N$5:$N$136),0))</f>
        <v>647.42</v>
      </c>
      <c r="H84" s="7" t="inlineStr">
        <is>
          <t>HR E0088 is gone. Register custodian on MD-00075 has to move.</t>
        </is>
      </c>
      <c r="I84" s="7" t="inlineStr">
        <is>
          <t>HR Operations Lead</t>
        </is>
      </c>
      <c r="J84" s="7" t="inlineStr">
        <is>
          <t>2026-08-16</t>
        </is>
      </c>
      <c r="K84" s="7" t="inlineStr">
        <is>
          <t>Open</t>
        </is>
      </c>
      <c r="L84" s="7" t="inlineStr">
        <is>
          <t>OFF-00075 vs hr_employee_status: people side is done, asset isn't.</t>
        </is>
      </c>
      <c r="M84" s="7" t="inlineStr">
        <is>
          <t>Requires remediation</t>
        </is>
      </c>
    </row>
    <row r="85">
      <c r="A85" s="7" t="inlineStr">
        <is>
          <t>EX-0081</t>
        </is>
      </c>
      <c r="B85" s="7" t="inlineStr">
        <is>
          <t>Shipment Mismatch</t>
        </is>
      </c>
      <c r="C85" s="8" t="inlineStr">
        <is>
          <t>Critical</t>
        </is>
      </c>
      <c r="D85" s="7" t="inlineStr">
        <is>
          <t>MD-00076</t>
        </is>
      </c>
      <c r="E85" s="7" t="inlineStr">
        <is>
          <t>MD-NE-050076</t>
        </is>
      </c>
      <c r="F85" s="7" t="inlineStr">
        <is>
          <t>Ticket:OFF-00076; Tracking:1ZMD00000076; ShipmentSerial:MISMATCH-0076</t>
        </is>
      </c>
      <c r="G85" s="7">
        <f>IF(B85="Inventory-to-Ledger Difference",IF(IFERROR(XLOOKUP(D85,'Source Ledger'!$B$5:$B$133,'Source Ledger'!$E$5:$E$133),"")="",IFERROR(XLOOKUP(D85,'Corrected Register'!$A$5:$A$136,'Corrected Register'!$M$5:$M$136),0),ABS(IFERROR(XLOOKUP(D85,'Source Ledger'!$B$5:$B$133,'Source Ledger'!$E$5:$E$133),0)-IFERROR(XLOOKUP(D85,'Corrected Register'!$A$5:$A$136,'Corrected Register'!$M$5:$M$136),0))),IFERROR(XLOOKUP(D85,'Corrected Register'!$A$5:$A$136,'Corrected Register'!$N$5:$N$136),0))</f>
        <v>953.89</v>
      </c>
      <c r="H85" s="7" t="inlineStr">
        <is>
          <t>1ZMD00000076: serial fight. Keep In Transit - Exception.</t>
        </is>
      </c>
      <c r="I85" s="7" t="inlineStr">
        <is>
          <t>IT Operations Manager</t>
        </is>
      </c>
      <c r="J85" s="7" t="inlineStr">
        <is>
          <t>2026-08-13</t>
        </is>
      </c>
      <c r="K85" s="7" t="inlineStr">
        <is>
          <t>Open</t>
        </is>
      </c>
      <c r="L85" s="7" t="inlineStr">
        <is>
          <t>Carrier exception on 1ZMD00000076. Status stays In Transit - Exception.</t>
        </is>
      </c>
      <c r="M85" s="12" t="inlineStr">
        <is>
          <t>Blocks certification</t>
        </is>
      </c>
    </row>
    <row r="86">
      <c r="A86" s="7" t="inlineStr">
        <is>
          <t>EX-0082</t>
        </is>
      </c>
      <c r="B86" s="7" t="inlineStr">
        <is>
          <t>Former Employee Assignment</t>
        </is>
      </c>
      <c r="C86" s="10" t="inlineStr">
        <is>
          <t>High</t>
        </is>
      </c>
      <c r="D86" s="7" t="inlineStr">
        <is>
          <t>MD-00076</t>
        </is>
      </c>
      <c r="E86" s="7" t="inlineStr">
        <is>
          <t>MD-NE-050076</t>
        </is>
      </c>
      <c r="F86" s="7" t="inlineStr">
        <is>
          <t>Employee:E0089; Ticket:OFF-00076</t>
        </is>
      </c>
      <c r="G86" s="7">
        <f>IF(B86="Inventory-to-Ledger Difference",IF(IFERROR(XLOOKUP(D86,'Source Ledger'!$B$5:$B$133,'Source Ledger'!$E$5:$E$133),"")="",IFERROR(XLOOKUP(D86,'Corrected Register'!$A$5:$A$136,'Corrected Register'!$M$5:$M$136),0),ABS(IFERROR(XLOOKUP(D86,'Source Ledger'!$B$5:$B$133,'Source Ledger'!$E$5:$E$133),0)-IFERROR(XLOOKUP(D86,'Corrected Register'!$A$5:$A$136,'Corrected Register'!$M$5:$M$136),0))),IFERROR(XLOOKUP(D86,'Corrected Register'!$A$5:$A$136,'Corrected Register'!$N$5:$N$136),0))</f>
        <v>953.89</v>
      </c>
      <c r="H86" s="7" t="inlineStr">
        <is>
          <t>Don't leave MD-00076 assigned to E0089.</t>
        </is>
      </c>
      <c r="I86" s="7" t="inlineStr">
        <is>
          <t>HR Operations Lead</t>
        </is>
      </c>
      <c r="J86" s="7" t="inlineStr">
        <is>
          <t>2026-08-16</t>
        </is>
      </c>
      <c r="K86" s="7" t="inlineStr">
        <is>
          <t>Open</t>
        </is>
      </c>
      <c r="L86" s="7" t="inlineStr">
        <is>
          <t>MD-00076 custodian is a former employee in HR (E0089).</t>
        </is>
      </c>
      <c r="M86" s="7" t="inlineStr">
        <is>
          <t>Requires remediation</t>
        </is>
      </c>
    </row>
    <row r="87">
      <c r="A87" s="7" t="inlineStr">
        <is>
          <t>EX-0083</t>
        </is>
      </c>
      <c r="B87" s="7" t="inlineStr">
        <is>
          <t>Overdue Return</t>
        </is>
      </c>
      <c r="C87" s="8" t="inlineStr">
        <is>
          <t>Critical</t>
        </is>
      </c>
      <c r="D87" s="7" t="inlineStr">
        <is>
          <t>MD-00076</t>
        </is>
      </c>
      <c r="E87" s="7" t="inlineStr">
        <is>
          <t>MD-NE-050076</t>
        </is>
      </c>
      <c r="F87" s="7" t="inlineStr">
        <is>
          <t>Ticket:OFF-00076; Tracking:1ZMD00000076; ReturnDue:2026-07-15</t>
        </is>
      </c>
      <c r="G87" s="7">
        <f>IF(B87="Inventory-to-Ledger Difference",IF(IFERROR(XLOOKUP(D87,'Source Ledger'!$B$5:$B$133,'Source Ledger'!$E$5:$E$133),"")="",IFERROR(XLOOKUP(D87,'Corrected Register'!$A$5:$A$136,'Corrected Register'!$M$5:$M$136),0),ABS(IFERROR(XLOOKUP(D87,'Source Ledger'!$B$5:$B$133,'Source Ledger'!$E$5:$E$133),0)-IFERROR(XLOOKUP(D87,'Corrected Register'!$A$5:$A$136,'Corrected Register'!$M$5:$M$136),0))),IFERROR(XLOOKUP(D87,'Corrected Register'!$A$5:$A$136,'Corrected Register'!$N$5:$N$136),0))</f>
        <v>953.89</v>
      </c>
      <c r="H87" s="7" t="inlineStr">
        <is>
          <t>MD-00076 past due 2026-07-15. Label isn't proof. Escalate recovery.</t>
        </is>
      </c>
      <c r="I87" s="7" t="inlineStr">
        <is>
          <t>IT Asset Specialist</t>
        </is>
      </c>
      <c r="J87" s="7" t="inlineStr">
        <is>
          <t>2026-08-14</t>
        </is>
      </c>
      <c r="K87" s="7" t="inlineStr">
        <is>
          <t>Open</t>
        </is>
      </c>
      <c r="L87" s="7" t="inlineStr">
        <is>
          <t>Label exists. Receipt doesn't. MD-00076.</t>
        </is>
      </c>
      <c r="M87" s="12" t="inlineStr">
        <is>
          <t>Blocks certification</t>
        </is>
      </c>
    </row>
    <row r="88">
      <c r="A88" s="7" t="inlineStr">
        <is>
          <t>EX-0084</t>
        </is>
      </c>
      <c r="B88" s="7" t="inlineStr">
        <is>
          <t>Overdue Return</t>
        </is>
      </c>
      <c r="C88" s="8" t="inlineStr">
        <is>
          <t>Critical</t>
        </is>
      </c>
      <c r="D88" s="7" t="inlineStr">
        <is>
          <t>MD-00077</t>
        </is>
      </c>
      <c r="E88" s="7" t="inlineStr">
        <is>
          <t>MD-LA-050077</t>
        </is>
      </c>
      <c r="F88" s="7" t="inlineStr">
        <is>
          <t>Ticket:OFF-00077; Tracking:1ZMD00000077; ReturnDue:2026-07-15</t>
        </is>
      </c>
      <c r="G88" s="7">
        <f>IF(B88="Inventory-to-Ledger Difference",IF(IFERROR(XLOOKUP(D88,'Source Ledger'!$B$5:$B$133,'Source Ledger'!$E$5:$E$133),"")="",IFERROR(XLOOKUP(D88,'Corrected Register'!$A$5:$A$136,'Corrected Register'!$M$5:$M$136),0),ABS(IFERROR(XLOOKUP(D88,'Source Ledger'!$B$5:$B$133,'Source Ledger'!$E$5:$E$133),0)-IFERROR(XLOOKUP(D88,'Corrected Register'!$A$5:$A$136,'Corrected Register'!$M$5:$M$136),0))),IFERROR(XLOOKUP(D88,'Corrected Register'!$A$5:$A$136,'Corrected Register'!$N$5:$N$136),0))</f>
        <v>0</v>
      </c>
      <c r="H88" s="7" t="inlineStr">
        <is>
          <t>Escalate MD-00077. Generated label 1ZMD00000077 is not a return.</t>
        </is>
      </c>
      <c r="I88" s="7" t="inlineStr">
        <is>
          <t>IT Asset Specialist</t>
        </is>
      </c>
      <c r="J88" s="7" t="inlineStr">
        <is>
          <t>2026-08-14</t>
        </is>
      </c>
      <c r="K88" s="7" t="inlineStr">
        <is>
          <t>Open</t>
        </is>
      </c>
      <c r="L88" s="7" t="inlineStr">
        <is>
          <t>Looked at tracking 1ZMD00000077. Never left the printer as far as the file shows.</t>
        </is>
      </c>
      <c r="M88" s="12" t="inlineStr">
        <is>
          <t>Blocks certification</t>
        </is>
      </c>
    </row>
    <row r="89">
      <c r="A89" s="7" t="inlineStr">
        <is>
          <t>EX-0085</t>
        </is>
      </c>
      <c r="B89" s="7" t="inlineStr">
        <is>
          <t>Former Employee Assignment</t>
        </is>
      </c>
      <c r="C89" s="10" t="inlineStr">
        <is>
          <t>High</t>
        </is>
      </c>
      <c r="D89" s="7" t="inlineStr">
        <is>
          <t>MD-00077</t>
        </is>
      </c>
      <c r="E89" s="7" t="inlineStr">
        <is>
          <t>MD-LA-050077</t>
        </is>
      </c>
      <c r="F89" s="7" t="inlineStr">
        <is>
          <t>Employee:E0090; Ticket:OFF-00077</t>
        </is>
      </c>
      <c r="G89" s="7">
        <f>IF(B89="Inventory-to-Ledger Difference",IF(IFERROR(XLOOKUP(D89,'Source Ledger'!$B$5:$B$133,'Source Ledger'!$E$5:$E$133),"")="",IFERROR(XLOOKUP(D89,'Corrected Register'!$A$5:$A$136,'Corrected Register'!$M$5:$M$136),0),ABS(IFERROR(XLOOKUP(D89,'Source Ledger'!$B$5:$B$133,'Source Ledger'!$E$5:$E$133),0)-IFERROR(XLOOKUP(D89,'Corrected Register'!$A$5:$A$136,'Corrected Register'!$M$5:$M$136),0))),IFERROR(XLOOKUP(D89,'Corrected Register'!$A$5:$A$136,'Corrected Register'!$N$5:$N$136),0))</f>
        <v>0</v>
      </c>
      <c r="H89" s="7" t="inlineStr">
        <is>
          <t>E0090 should not still own MD-00077 on the register.</t>
        </is>
      </c>
      <c r="I89" s="7" t="inlineStr">
        <is>
          <t>HR Operations Lead</t>
        </is>
      </c>
      <c r="J89" s="7" t="inlineStr">
        <is>
          <t>2026-08-16</t>
        </is>
      </c>
      <c r="K89" s="7" t="inlineStr">
        <is>
          <t>Open</t>
        </is>
      </c>
      <c r="L89" s="7" t="inlineStr">
        <is>
          <t>HR E0090 is separated. Register still has them on MD-00077. OFF-00077.</t>
        </is>
      </c>
      <c r="M89" s="7" t="inlineStr">
        <is>
          <t>Requires remediation</t>
        </is>
      </c>
    </row>
    <row r="90">
      <c r="A90" s="7" t="inlineStr">
        <is>
          <t>EX-0086</t>
        </is>
      </c>
      <c r="B90" s="7" t="inlineStr">
        <is>
          <t>Overdue Return</t>
        </is>
      </c>
      <c r="C90" s="8" t="inlineStr">
        <is>
          <t>Critical</t>
        </is>
      </c>
      <c r="D90" s="7" t="inlineStr">
        <is>
          <t>MD-00078</t>
        </is>
      </c>
      <c r="E90" s="7" t="inlineStr">
        <is>
          <t>MD-MO-050078</t>
        </is>
      </c>
      <c r="F90" s="7" t="inlineStr">
        <is>
          <t>Ticket:OFF-00078; Tracking:1ZMD00000078; ReturnDue:2026-07-15</t>
        </is>
      </c>
      <c r="G90" s="7">
        <f>IF(B90="Inventory-to-Ledger Difference",IF(IFERROR(XLOOKUP(D90,'Source Ledger'!$B$5:$B$133,'Source Ledger'!$E$5:$E$133),"")="",IFERROR(XLOOKUP(D90,'Corrected Register'!$A$5:$A$136,'Corrected Register'!$M$5:$M$136),0),ABS(IFERROR(XLOOKUP(D90,'Source Ledger'!$B$5:$B$133,'Source Ledger'!$E$5:$E$133),0)-IFERROR(XLOOKUP(D90,'Corrected Register'!$A$5:$A$136,'Corrected Register'!$M$5:$M$136),0))),IFERROR(XLOOKUP(D90,'Corrected Register'!$A$5:$A$136,'Corrected Register'!$N$5:$N$136),0))</f>
        <v>328.95</v>
      </c>
      <c r="H90" s="7" t="inlineStr">
        <is>
          <t>OFF-00078: overdue. Keep pressure on the person; carrier file is empty.</t>
        </is>
      </c>
      <c r="I90" s="7" t="inlineStr">
        <is>
          <t>IT Asset Specialist</t>
        </is>
      </c>
      <c r="J90" s="7" t="inlineStr">
        <is>
          <t>2026-08-14</t>
        </is>
      </c>
      <c r="K90" s="7" t="inlineStr">
        <is>
          <t>Open</t>
        </is>
      </c>
      <c r="L90" s="7" t="inlineStr">
        <is>
          <t>Didn't treat the prepaid label as a return. 1ZMD00000078.</t>
        </is>
      </c>
      <c r="M90" s="12" t="inlineStr">
        <is>
          <t>Blocks certification</t>
        </is>
      </c>
    </row>
    <row r="91">
      <c r="A91" s="7" t="inlineStr">
        <is>
          <t>EX-0087</t>
        </is>
      </c>
      <c r="B91" s="7" t="inlineStr">
        <is>
          <t>Former Employee Assignment</t>
        </is>
      </c>
      <c r="C91" s="10" t="inlineStr">
        <is>
          <t>High</t>
        </is>
      </c>
      <c r="D91" s="7" t="inlineStr">
        <is>
          <t>MD-00078</t>
        </is>
      </c>
      <c r="E91" s="7" t="inlineStr">
        <is>
          <t>MD-MO-050078</t>
        </is>
      </c>
      <c r="F91" s="7" t="inlineStr">
        <is>
          <t>Employee:E0091; Ticket:OFF-00078</t>
        </is>
      </c>
      <c r="G91" s="7">
        <f>IF(B91="Inventory-to-Ledger Difference",IF(IFERROR(XLOOKUP(D91,'Source Ledger'!$B$5:$B$133,'Source Ledger'!$E$5:$E$133),"")="",IFERROR(XLOOKUP(D91,'Corrected Register'!$A$5:$A$136,'Corrected Register'!$M$5:$M$136),0),ABS(IFERROR(XLOOKUP(D91,'Source Ledger'!$B$5:$B$133,'Source Ledger'!$E$5:$E$133),0)-IFERROR(XLOOKUP(D91,'Corrected Register'!$A$5:$A$136,'Corrected Register'!$M$5:$M$136),0))),IFERROR(XLOOKUP(D91,'Corrected Register'!$A$5:$A$136,'Corrected Register'!$N$5:$N$136),0))</f>
        <v>328.95</v>
      </c>
      <c r="H91" s="7" t="inlineStr">
        <is>
          <t>HR already termed E0091. Update MD-00078 assignment.</t>
        </is>
      </c>
      <c r="I91" s="7" t="inlineStr">
        <is>
          <t>HR Operations Lead</t>
        </is>
      </c>
      <c r="J91" s="7" t="inlineStr">
        <is>
          <t>2026-08-16</t>
        </is>
      </c>
      <c r="K91" s="7" t="inlineStr">
        <is>
          <t>Open</t>
        </is>
      </c>
      <c r="L91" s="7" t="inlineStr">
        <is>
          <t>Checked the term date against the assignment. Stale owner on MD-00078.</t>
        </is>
      </c>
      <c r="M91" s="7" t="inlineStr">
        <is>
          <t>Requires remediation</t>
        </is>
      </c>
    </row>
    <row r="92">
      <c r="A92" s="7" t="inlineStr">
        <is>
          <t>EX-0088</t>
        </is>
      </c>
      <c r="B92" s="7" t="inlineStr">
        <is>
          <t>Overdue Return</t>
        </is>
      </c>
      <c r="C92" s="8" t="inlineStr">
        <is>
          <t>Critical</t>
        </is>
      </c>
      <c r="D92" s="7" t="inlineStr">
        <is>
          <t>MD-00079</t>
        </is>
      </c>
      <c r="E92" s="7" t="inlineStr">
        <is>
          <t>MD-MO-050079</t>
        </is>
      </c>
      <c r="F92" s="7" t="inlineStr">
        <is>
          <t>Ticket:OFF-00079; Tracking:1ZMD00000079; ReturnDue:2026-07-15</t>
        </is>
      </c>
      <c r="G92" s="7">
        <f>IF(B92="Inventory-to-Ledger Difference",IF(IFERROR(XLOOKUP(D92,'Source Ledger'!$B$5:$B$133,'Source Ledger'!$E$5:$E$133),"")="",IFERROR(XLOOKUP(D92,'Corrected Register'!$A$5:$A$136,'Corrected Register'!$M$5:$M$136),0),ABS(IFERROR(XLOOKUP(D92,'Source Ledger'!$B$5:$B$133,'Source Ledger'!$E$5:$E$133),0)-IFERROR(XLOOKUP(D92,'Corrected Register'!$A$5:$A$136,'Corrected Register'!$M$5:$M$136),0))),IFERROR(XLOOKUP(D92,'Corrected Register'!$A$5:$A$136,'Corrected Register'!$N$5:$N$136),0))</f>
        <v>692.62</v>
      </c>
      <c r="H92" s="7" t="inlineStr">
        <is>
          <t>Escalate to recovery. MD-00079 / 1ZMD00000079 still label-only.</t>
        </is>
      </c>
      <c r="I92" s="7" t="inlineStr">
        <is>
          <t>IT Asset Specialist</t>
        </is>
      </c>
      <c r="J92" s="7" t="inlineStr">
        <is>
          <t>2026-08-14</t>
        </is>
      </c>
      <c r="K92" s="7" t="inlineStr">
        <is>
          <t>Open</t>
        </is>
      </c>
      <c r="L92" s="7" t="inlineStr">
        <is>
          <t>Label exists. Receipt doesn't. MD-00079.</t>
        </is>
      </c>
      <c r="M92" s="12" t="inlineStr">
        <is>
          <t>Blocks certification</t>
        </is>
      </c>
    </row>
    <row r="93">
      <c r="A93" s="7" t="inlineStr">
        <is>
          <t>EX-0089</t>
        </is>
      </c>
      <c r="B93" s="7" t="inlineStr">
        <is>
          <t>Former Employee Assignment</t>
        </is>
      </c>
      <c r="C93" s="10" t="inlineStr">
        <is>
          <t>High</t>
        </is>
      </c>
      <c r="D93" s="7" t="inlineStr">
        <is>
          <t>MD-00079</t>
        </is>
      </c>
      <c r="E93" s="7" t="inlineStr">
        <is>
          <t>MD-MO-050079</t>
        </is>
      </c>
      <c r="F93" s="7" t="inlineStr">
        <is>
          <t>Employee:E0092; Ticket:OFF-00079</t>
        </is>
      </c>
      <c r="G93" s="7">
        <f>IF(B93="Inventory-to-Ledger Difference",IF(IFERROR(XLOOKUP(D93,'Source Ledger'!$B$5:$B$133,'Source Ledger'!$E$5:$E$133),"")="",IFERROR(XLOOKUP(D93,'Corrected Register'!$A$5:$A$136,'Corrected Register'!$M$5:$M$136),0),ABS(IFERROR(XLOOKUP(D93,'Source Ledger'!$B$5:$B$133,'Source Ledger'!$E$5:$E$133),0)-IFERROR(XLOOKUP(D93,'Corrected Register'!$A$5:$A$136,'Corrected Register'!$M$5:$M$136),0))),IFERROR(XLOOKUP(D93,'Corrected Register'!$A$5:$A$136,'Corrected Register'!$N$5:$N$136),0))</f>
        <v>692.62</v>
      </c>
      <c r="H93" s="7" t="inlineStr">
        <is>
          <t>Take E0092 off MD-00079. Park with Regional IT / IT Stock.</t>
        </is>
      </c>
      <c r="I93" s="7" t="inlineStr">
        <is>
          <t>HR Operations Lead</t>
        </is>
      </c>
      <c r="J93" s="7" t="inlineStr">
        <is>
          <t>2026-08-16</t>
        </is>
      </c>
      <c r="K93" s="7" t="inlineStr">
        <is>
          <t>Open</t>
        </is>
      </c>
      <c r="L93" s="7" t="inlineStr">
        <is>
          <t>E0092 already termed. MD-00079 assignment wasn't updated.</t>
        </is>
      </c>
      <c r="M93" s="7" t="inlineStr">
        <is>
          <t>Requires remediation</t>
        </is>
      </c>
    </row>
    <row r="94">
      <c r="A94" s="7" t="inlineStr">
        <is>
          <t>EX-0090</t>
        </is>
      </c>
      <c r="B94" s="7" t="inlineStr">
        <is>
          <t>Former Employee Assignment</t>
        </is>
      </c>
      <c r="C94" s="10" t="inlineStr">
        <is>
          <t>High</t>
        </is>
      </c>
      <c r="D94" s="7" t="inlineStr">
        <is>
          <t>MD-00080</t>
        </is>
      </c>
      <c r="E94" s="7" t="inlineStr">
        <is>
          <t>MD-NE-050080</t>
        </is>
      </c>
      <c r="F94" s="7" t="inlineStr">
        <is>
          <t>Employee:E0093; Ticket:OFF-00080; Tracking:1ZMD00000080</t>
        </is>
      </c>
      <c r="G94" s="7">
        <f>IF(B94="Inventory-to-Ledger Difference",IF(IFERROR(XLOOKUP(D94,'Source Ledger'!$B$5:$B$133,'Source Ledger'!$E$5:$E$133),"")="",IFERROR(XLOOKUP(D94,'Corrected Register'!$A$5:$A$136,'Corrected Register'!$M$5:$M$136),0),ABS(IFERROR(XLOOKUP(D94,'Source Ledger'!$B$5:$B$133,'Source Ledger'!$E$5:$E$133),0)-IFERROR(XLOOKUP(D94,'Corrected Register'!$A$5:$A$136,'Corrected Register'!$M$5:$M$136),0))),IFERROR(XLOOKUP(D94,'Corrected Register'!$A$5:$A$136,'Corrected Register'!$N$5:$N$136),0))</f>
        <v>1374.53</v>
      </c>
      <c r="H94" s="7" t="inlineStr">
        <is>
          <t>Recover or lose-process MD-00080, but first drop the former employee as owner.</t>
        </is>
      </c>
      <c r="I94" s="7" t="inlineStr">
        <is>
          <t>HR Operations Lead</t>
        </is>
      </c>
      <c r="J94" s="7" t="inlineStr">
        <is>
          <t>2026-08-16</t>
        </is>
      </c>
      <c r="K94" s="7" t="inlineStr">
        <is>
          <t>Open</t>
        </is>
      </c>
      <c r="L94" s="7" t="inlineStr">
        <is>
          <t>E0093 already termed. MD-00080 assignment wasn't updated.</t>
        </is>
      </c>
      <c r="M94" s="7" t="inlineStr">
        <is>
          <t>Requires remediation</t>
        </is>
      </c>
    </row>
    <row r="95">
      <c r="A95" s="7" t="inlineStr">
        <is>
          <t>EX-0091</t>
        </is>
      </c>
      <c r="B95" s="7" t="inlineStr">
        <is>
          <t>Former Employee Assignment</t>
        </is>
      </c>
      <c r="C95" s="10" t="inlineStr">
        <is>
          <t>High</t>
        </is>
      </c>
      <c r="D95" s="7" t="inlineStr">
        <is>
          <t>MD-00081</t>
        </is>
      </c>
      <c r="E95" s="7" t="inlineStr">
        <is>
          <t>MD-LA-050081</t>
        </is>
      </c>
      <c r="F95" s="7" t="inlineStr">
        <is>
          <t>Employee:E0094; Ticket:OFF-00081; Tracking:1ZMD00000081</t>
        </is>
      </c>
      <c r="G95" s="7">
        <f>IF(B95="Inventory-to-Ledger Difference",IF(IFERROR(XLOOKUP(D95,'Source Ledger'!$B$5:$B$133,'Source Ledger'!$E$5:$E$133),"")="",IFERROR(XLOOKUP(D95,'Corrected Register'!$A$5:$A$136,'Corrected Register'!$M$5:$M$136),0),ABS(IFERROR(XLOOKUP(D95,'Source Ledger'!$B$5:$B$133,'Source Ledger'!$E$5:$E$133),0)-IFERROR(XLOOKUP(D95,'Corrected Register'!$A$5:$A$136,'Corrected Register'!$M$5:$M$136),0))),IFERROR(XLOOKUP(D95,'Corrected Register'!$A$5:$A$136,'Corrected Register'!$N$5:$N$136),0))</f>
        <v>114.4</v>
      </c>
      <c r="H95" s="7" t="inlineStr">
        <is>
          <t>E0094 should not still own MD-00081 on the register.</t>
        </is>
      </c>
      <c r="I95" s="7" t="inlineStr">
        <is>
          <t>HR Operations Lead</t>
        </is>
      </c>
      <c r="J95" s="7" t="inlineStr">
        <is>
          <t>2026-08-16</t>
        </is>
      </c>
      <c r="K95" s="7" t="inlineStr">
        <is>
          <t>Open</t>
        </is>
      </c>
      <c r="L95" s="7" t="inlineStr">
        <is>
          <t>HR E0094 is separated. Register still has them on MD-00081. OFF-00081.</t>
        </is>
      </c>
      <c r="M95" s="7" t="inlineStr">
        <is>
          <t>Requires remediation</t>
        </is>
      </c>
    </row>
    <row r="96">
      <c r="A96" s="7" t="inlineStr">
        <is>
          <t>EX-0092</t>
        </is>
      </c>
      <c r="B96" s="7" t="inlineStr">
        <is>
          <t>Shipment Mismatch</t>
        </is>
      </c>
      <c r="C96" s="8" t="inlineStr">
        <is>
          <t>Critical</t>
        </is>
      </c>
      <c r="D96" s="7" t="inlineStr">
        <is>
          <t>MD-00082</t>
        </is>
      </c>
      <c r="E96" s="7" t="inlineStr">
        <is>
          <t>MD-MO-050082</t>
        </is>
      </c>
      <c r="F96" s="7" t="inlineStr">
        <is>
          <t>Ticket:OFF-00082; Tracking:1ZMD00000082; ShipmentSerial:MISMATCH-0082; Image:receiving_exception_scan_1ZMD00000082.png</t>
        </is>
      </c>
      <c r="G96" s="7">
        <f>IF(B96="Inventory-to-Ledger Difference",IF(IFERROR(XLOOKUP(D96,'Source Ledger'!$B$5:$B$133,'Source Ledger'!$E$5:$E$133),"")="",IFERROR(XLOOKUP(D96,'Corrected Register'!$A$5:$A$136,'Corrected Register'!$M$5:$M$136),0),ABS(IFERROR(XLOOKUP(D96,'Source Ledger'!$B$5:$B$133,'Source Ledger'!$E$5:$E$133),0)-IFERROR(XLOOKUP(D96,'Corrected Register'!$A$5:$A$136,'Corrected Register'!$M$5:$M$136),0))),IFERROR(XLOOKUP(D96,'Corrected Register'!$A$5:$A$136,'Corrected Register'!$N$5:$N$136),0))</f>
        <v>485.55</v>
      </c>
      <c r="H96" s="7" t="inlineStr">
        <is>
          <t>Do not clear custody on MD-00082. Mismatch MISMATCH-0082 vs MD-MO-050082.</t>
        </is>
      </c>
      <c r="I96" s="7" t="inlineStr">
        <is>
          <t>IT Operations Manager</t>
        </is>
      </c>
      <c r="J96" s="7" t="inlineStr">
        <is>
          <t>2026-08-13</t>
        </is>
      </c>
      <c r="K96" s="7" t="inlineStr">
        <is>
          <t>Open</t>
        </is>
      </c>
      <c r="L96" s="7" t="inlineStr">
        <is>
          <t>Carrier file and receiving_exception_scan_1ZMD00000082.png. Image ≠ inbound clearance.</t>
        </is>
      </c>
      <c r="M96" s="12" t="inlineStr">
        <is>
          <t>Blocks certification</t>
        </is>
      </c>
    </row>
    <row r="97">
      <c r="A97" s="7" t="inlineStr">
        <is>
          <t>EX-0093</t>
        </is>
      </c>
      <c r="B97" s="7" t="inlineStr">
        <is>
          <t>Former Employee Assignment</t>
        </is>
      </c>
      <c r="C97" s="10" t="inlineStr">
        <is>
          <t>High</t>
        </is>
      </c>
      <c r="D97" s="7" t="inlineStr">
        <is>
          <t>MD-00082</t>
        </is>
      </c>
      <c r="E97" s="7" t="inlineStr">
        <is>
          <t>MD-MO-050082</t>
        </is>
      </c>
      <c r="F97" s="7" t="inlineStr">
        <is>
          <t>Employee:E0095; Ticket:OFF-00082</t>
        </is>
      </c>
      <c r="G97" s="7">
        <f>IF(B97="Inventory-to-Ledger Difference",IF(IFERROR(XLOOKUP(D97,'Source Ledger'!$B$5:$B$133,'Source Ledger'!$E$5:$E$133),"")="",IFERROR(XLOOKUP(D97,'Corrected Register'!$A$5:$A$136,'Corrected Register'!$M$5:$M$136),0),ABS(IFERROR(XLOOKUP(D97,'Source Ledger'!$B$5:$B$133,'Source Ledger'!$E$5:$E$133),0)-IFERROR(XLOOKUP(D97,'Corrected Register'!$A$5:$A$136,'Corrected Register'!$M$5:$M$136),0))),IFERROR(XLOOKUP(D97,'Corrected Register'!$A$5:$A$136,'Corrected Register'!$N$5:$N$136),0))</f>
        <v>485.55</v>
      </c>
      <c r="H97" s="7" t="inlineStr">
        <is>
          <t>HR already termed E0095. Update MD-00082 assignment.</t>
        </is>
      </c>
      <c r="I97" s="7" t="inlineStr">
        <is>
          <t>HR Operations Lead</t>
        </is>
      </c>
      <c r="J97" s="7" t="inlineStr">
        <is>
          <t>2026-08-16</t>
        </is>
      </c>
      <c r="K97" s="7" t="inlineStr">
        <is>
          <t>Open</t>
        </is>
      </c>
      <c r="L97" s="7" t="inlineStr">
        <is>
          <t>Checked the term date against the assignment. Stale owner on MD-00082.</t>
        </is>
      </c>
      <c r="M97" s="7" t="inlineStr">
        <is>
          <t>Requires remediation</t>
        </is>
      </c>
    </row>
    <row r="98">
      <c r="A98" s="7" t="inlineStr">
        <is>
          <t>EX-0094</t>
        </is>
      </c>
      <c r="B98" s="7" t="inlineStr">
        <is>
          <t>Former Employee Assignment</t>
        </is>
      </c>
      <c r="C98" s="10" t="inlineStr">
        <is>
          <t>High</t>
        </is>
      </c>
      <c r="D98" s="7" t="inlineStr">
        <is>
          <t>MD-00083</t>
        </is>
      </c>
      <c r="E98" s="7" t="inlineStr">
        <is>
          <t>MD-MO-050083</t>
        </is>
      </c>
      <c r="F98" s="7" t="inlineStr">
        <is>
          <t>Employee:E0071; Ticket:OFF-00083; Tracking:1ZMD00000083</t>
        </is>
      </c>
      <c r="G98" s="7">
        <f>IF(B98="Inventory-to-Ledger Difference",IF(IFERROR(XLOOKUP(D98,'Source Ledger'!$B$5:$B$133,'Source Ledger'!$E$5:$E$133),"")="",IFERROR(XLOOKUP(D98,'Corrected Register'!$A$5:$A$136,'Corrected Register'!$M$5:$M$136),0),ABS(IFERROR(XLOOKUP(D98,'Source Ledger'!$B$5:$B$133,'Source Ledger'!$E$5:$E$133),0)-IFERROR(XLOOKUP(D98,'Corrected Register'!$A$5:$A$136,'Corrected Register'!$M$5:$M$136),0))),IFERROR(XLOOKUP(D98,'Corrected Register'!$A$5:$A$136,'Corrected Register'!$N$5:$N$136),0))</f>
        <v>952.79</v>
      </c>
      <c r="H98" s="7" t="inlineStr">
        <is>
          <t>MD-00083: former employee still listed. That's the fix.</t>
        </is>
      </c>
      <c r="I98" s="7" t="inlineStr">
        <is>
          <t>HR Operations Lead</t>
        </is>
      </c>
      <c r="J98" s="7" t="inlineStr">
        <is>
          <t>2026-08-16</t>
        </is>
      </c>
      <c r="K98" s="7" t="inlineStr">
        <is>
          <t>Open</t>
        </is>
      </c>
      <c r="L98" s="7" t="inlineStr">
        <is>
          <t>Offboarding ticket OFF-00083 doesn't put hardware in stock by itself.</t>
        </is>
      </c>
      <c r="M98" s="7" t="inlineStr">
        <is>
          <t>Requires remediation</t>
        </is>
      </c>
    </row>
    <row r="99">
      <c r="A99" s="7" t="inlineStr">
        <is>
          <t>EX-0095</t>
        </is>
      </c>
      <c r="B99" s="7" t="inlineStr">
        <is>
          <t>Shipment Mismatch</t>
        </is>
      </c>
      <c r="C99" s="8" t="inlineStr">
        <is>
          <t>Critical</t>
        </is>
      </c>
      <c r="D99" s="7" t="inlineStr">
        <is>
          <t>MD-00084</t>
        </is>
      </c>
      <c r="E99" s="7" t="inlineStr">
        <is>
          <t>MD-NE-050084</t>
        </is>
      </c>
      <c r="F99" s="7" t="inlineStr">
        <is>
          <t>Ticket:OFF-00084; Tracking:1ZMD00000084; ShipmentSerial:MISMATCH-0084</t>
        </is>
      </c>
      <c r="G99" s="7">
        <f>IF(B99="Inventory-to-Ledger Difference",IF(IFERROR(XLOOKUP(D99,'Source Ledger'!$B$5:$B$133,'Source Ledger'!$E$5:$E$133),"")="",IFERROR(XLOOKUP(D99,'Corrected Register'!$A$5:$A$136,'Corrected Register'!$M$5:$M$136),0),ABS(IFERROR(XLOOKUP(D99,'Source Ledger'!$B$5:$B$133,'Source Ledger'!$E$5:$E$133),0)-IFERROR(XLOOKUP(D99,'Corrected Register'!$A$5:$A$136,'Corrected Register'!$M$5:$M$136),0))),IFERROR(XLOOKUP(D99,'Corrected Register'!$A$5:$A$136,'Corrected Register'!$N$5:$N$136),0))</f>
        <v>533.85</v>
      </c>
      <c r="H99" s="7" t="inlineStr">
        <is>
          <t>Work it with carrier/receiving. 1ZMD00000084 shows MISMATCH-0084; register is MD-NE-050084.</t>
        </is>
      </c>
      <c r="I99" s="7" t="inlineStr">
        <is>
          <t>IT Operations Manager</t>
        </is>
      </c>
      <c r="J99" s="7" t="inlineStr">
        <is>
          <t>2026-08-13</t>
        </is>
      </c>
      <c r="K99" s="7" t="inlineStr">
        <is>
          <t>Open</t>
        </is>
      </c>
      <c r="L99" s="7" t="inlineStr">
        <is>
          <t>Carrier exception on 1ZMD00000084. Status stays In Transit - Exception.</t>
        </is>
      </c>
      <c r="M99" s="12" t="inlineStr">
        <is>
          <t>Blocks certification</t>
        </is>
      </c>
    </row>
    <row r="100">
      <c r="A100" s="7" t="inlineStr">
        <is>
          <t>EX-0096</t>
        </is>
      </c>
      <c r="B100" s="7" t="inlineStr">
        <is>
          <t>Former Employee Assignment</t>
        </is>
      </c>
      <c r="C100" s="10" t="inlineStr">
        <is>
          <t>High</t>
        </is>
      </c>
      <c r="D100" s="7" t="inlineStr">
        <is>
          <t>MD-00084</t>
        </is>
      </c>
      <c r="E100" s="7" t="inlineStr">
        <is>
          <t>MD-NE-050084</t>
        </is>
      </c>
      <c r="F100" s="7" t="inlineStr">
        <is>
          <t>Employee:E0072; Ticket:OFF-00084</t>
        </is>
      </c>
      <c r="G100" s="7">
        <f>IF(B100="Inventory-to-Ledger Difference",IF(IFERROR(XLOOKUP(D100,'Source Ledger'!$B$5:$B$133,'Source Ledger'!$E$5:$E$133),"")="",IFERROR(XLOOKUP(D100,'Corrected Register'!$A$5:$A$136,'Corrected Register'!$M$5:$M$136),0),ABS(IFERROR(XLOOKUP(D100,'Source Ledger'!$B$5:$B$133,'Source Ledger'!$E$5:$E$133),0)-IFERROR(XLOOKUP(D100,'Corrected Register'!$A$5:$A$136,'Corrected Register'!$M$5:$M$136),0))),IFERROR(XLOOKUP(D100,'Corrected Register'!$A$5:$A$136,'Corrected Register'!$N$5:$N$136),0))</f>
        <v>533.85</v>
      </c>
      <c r="H100" s="7" t="inlineStr">
        <is>
          <t>HR E0072 is gone. Register custodian on MD-00084 has to move.</t>
        </is>
      </c>
      <c r="I100" s="7" t="inlineStr">
        <is>
          <t>HR Operations Lead</t>
        </is>
      </c>
      <c r="J100" s="7" t="inlineStr">
        <is>
          <t>2026-08-16</t>
        </is>
      </c>
      <c r="K100" s="7" t="inlineStr">
        <is>
          <t>Open</t>
        </is>
      </c>
      <c r="L100" s="7" t="inlineStr">
        <is>
          <t>HR E0072 is separated. Register still has them on MD-00084. OFF-00084.</t>
        </is>
      </c>
      <c r="M100" s="7" t="inlineStr">
        <is>
          <t>Requires remediation</t>
        </is>
      </c>
    </row>
    <row r="101">
      <c r="A101" s="7" t="inlineStr">
        <is>
          <t>EX-0097</t>
        </is>
      </c>
      <c r="B101" s="7" t="inlineStr">
        <is>
          <t>Former Employee Assignment</t>
        </is>
      </c>
      <c r="C101" s="10" t="inlineStr">
        <is>
          <t>High</t>
        </is>
      </c>
      <c r="D101" s="7" t="inlineStr">
        <is>
          <t>MD-00085</t>
        </is>
      </c>
      <c r="E101" s="7" t="inlineStr">
        <is>
          <t>MD-LA-050085</t>
        </is>
      </c>
      <c r="F101" s="7" t="inlineStr">
        <is>
          <t>Employee:E0073; Ticket:OFF-00085; Tracking:1ZMD00000085</t>
        </is>
      </c>
      <c r="G101" s="7">
        <f>IF(B101="Inventory-to-Ledger Difference",IF(IFERROR(XLOOKUP(D101,'Source Ledger'!$B$5:$B$133,'Source Ledger'!$E$5:$E$133),"")="",IFERROR(XLOOKUP(D101,'Corrected Register'!$A$5:$A$136,'Corrected Register'!$M$5:$M$136),0),ABS(IFERROR(XLOOKUP(D101,'Source Ledger'!$B$5:$B$133,'Source Ledger'!$E$5:$E$133),0)-IFERROR(XLOOKUP(D101,'Corrected Register'!$A$5:$A$136,'Corrected Register'!$M$5:$M$136),0))),IFERROR(XLOOKUP(D101,'Corrected Register'!$A$5:$A$136,'Corrected Register'!$N$5:$N$136),0))</f>
        <v>0</v>
      </c>
      <c r="H101" s="7" t="inlineStr">
        <is>
          <t>Custodian on MD-00085 is a terminated ID. Put IT Stock / Regional IT on the row.</t>
        </is>
      </c>
      <c r="I101" s="7" t="inlineStr">
        <is>
          <t>HR Operations Lead</t>
        </is>
      </c>
      <c r="J101" s="7" t="inlineStr">
        <is>
          <t>2026-08-16</t>
        </is>
      </c>
      <c r="K101" s="7" t="inlineStr">
        <is>
          <t>Open</t>
        </is>
      </c>
      <c r="L101" s="7" t="inlineStr">
        <is>
          <t>Leaver still on MD-00085. E0073.</t>
        </is>
      </c>
      <c r="M101" s="7" t="inlineStr">
        <is>
          <t>Requires remediation</t>
        </is>
      </c>
    </row>
    <row r="102">
      <c r="A102" s="7" t="inlineStr">
        <is>
          <t>EX-0098</t>
        </is>
      </c>
      <c r="B102" s="7" t="inlineStr">
        <is>
          <t>Inventory-to-Ledger Difference</t>
        </is>
      </c>
      <c r="C102" s="10" t="inlineStr">
        <is>
          <t>High</t>
        </is>
      </c>
      <c r="D102" s="7" t="inlineStr">
        <is>
          <t>MD-00085</t>
        </is>
      </c>
      <c r="E102" s="7" t="inlineStr">
        <is>
          <t>MD-LA-050085</t>
        </is>
      </c>
      <c r="F102" s="7" t="inlineStr">
        <is>
          <t>Ledger:FA-000085; PO:PO-2024-0015; RegisterCost:1895.0; LedgerCost:2090.0</t>
        </is>
      </c>
      <c r="G102" s="7">
        <f>IF(B102="Inventory-to-Ledger Difference",IF(IFERROR(XLOOKUP(D102,'Source Ledger'!$B$5:$B$133,'Source Ledger'!$E$5:$E$133),"")="",IFERROR(XLOOKUP(D102,'Corrected Register'!$A$5:$A$136,'Corrected Register'!$M$5:$M$136),0),ABS(IFERROR(XLOOKUP(D102,'Source Ledger'!$B$5:$B$133,'Source Ledger'!$E$5:$E$133),0)-IFERROR(XLOOKUP(D102,'Corrected Register'!$A$5:$A$136,'Corrected Register'!$M$5:$M$136),0))),IFERROR(XLOOKUP(D102,'Corrected Register'!$A$5:$A$136,'Corrected Register'!$N$5:$N$136),0))</f>
        <v>195</v>
      </c>
      <c r="H102" s="7" t="inlineStr">
        <is>
          <t>Cost basis mismatch MD-00085. Pull PO-2024-0015 and fix FA-000085 or the register.</t>
        </is>
      </c>
      <c r="I102" s="7" t="inlineStr">
        <is>
          <t>Finance Controller</t>
        </is>
      </c>
      <c r="J102" s="7" t="inlineStr">
        <is>
          <t>2026-08-21</t>
        </is>
      </c>
      <c r="K102" s="7" t="inlineStr">
        <is>
          <t>Open</t>
        </is>
      </c>
      <c r="L102" s="7" t="inlineStr">
        <is>
          <t>FA-000085 cost 2070.0 vs register 1895.0. PO-2024-0015.</t>
        </is>
      </c>
      <c r="M102" s="7" t="inlineStr">
        <is>
          <t>Requires remediation</t>
        </is>
      </c>
    </row>
    <row r="103">
      <c r="A103" s="7" t="inlineStr">
        <is>
          <t>EX-0099</t>
        </is>
      </c>
      <c r="B103" s="7" t="inlineStr">
        <is>
          <t>Former Employee Assignment</t>
        </is>
      </c>
      <c r="C103" s="10" t="inlineStr">
        <is>
          <t>High</t>
        </is>
      </c>
      <c r="D103" s="7" t="inlineStr">
        <is>
          <t>MD-00086</t>
        </is>
      </c>
      <c r="E103" s="7" t="inlineStr">
        <is>
          <t>MD-MO-050086</t>
        </is>
      </c>
      <c r="F103" s="7" t="inlineStr">
        <is>
          <t>Employee:E0074; Ticket:OFF-00086; Tracking:1ZMD00000086</t>
        </is>
      </c>
      <c r="G103" s="7">
        <f>IF(B103="Inventory-to-Ledger Difference",IF(IFERROR(XLOOKUP(D103,'Source Ledger'!$B$5:$B$133,'Source Ledger'!$E$5:$E$133),"")="",IFERROR(XLOOKUP(D103,'Corrected Register'!$A$5:$A$136,'Corrected Register'!$M$5:$M$136),0),ABS(IFERROR(XLOOKUP(D103,'Source Ledger'!$B$5:$B$133,'Source Ledger'!$E$5:$E$133),0)-IFERROR(XLOOKUP(D103,'Corrected Register'!$A$5:$A$136,'Corrected Register'!$M$5:$M$136),0))),IFERROR(XLOOKUP(D103,'Corrected Register'!$A$5:$A$136,'Corrected Register'!$N$5:$N$136),0))</f>
        <v>317.07</v>
      </c>
      <c r="H103" s="7" t="inlineStr">
        <is>
          <t>Recover or lose-process MD-00086, but first drop the former employee as owner.</t>
        </is>
      </c>
      <c r="I103" s="7" t="inlineStr">
        <is>
          <t>HR Operations Lead</t>
        </is>
      </c>
      <c r="J103" s="7" t="inlineStr">
        <is>
          <t>2026-08-16</t>
        </is>
      </c>
      <c r="K103" s="7" t="inlineStr">
        <is>
          <t>Open</t>
        </is>
      </c>
      <c r="L103" s="7" t="inlineStr">
        <is>
          <t>Offboarding ticket OFF-00086 doesn't put hardware in stock by itself.</t>
        </is>
      </c>
      <c r="M103" s="7" t="inlineStr">
        <is>
          <t>Requires remediation</t>
        </is>
      </c>
    </row>
    <row r="104">
      <c r="A104" s="7" t="inlineStr">
        <is>
          <t>EX-0100</t>
        </is>
      </c>
      <c r="B104" s="7" t="inlineStr">
        <is>
          <t>Former Employee Assignment</t>
        </is>
      </c>
      <c r="C104" s="10" t="inlineStr">
        <is>
          <t>High</t>
        </is>
      </c>
      <c r="D104" s="7" t="inlineStr">
        <is>
          <t>MD-00087</t>
        </is>
      </c>
      <c r="E104" s="7" t="inlineStr">
        <is>
          <t>MD-MO-050087</t>
        </is>
      </c>
      <c r="F104" s="7" t="inlineStr">
        <is>
          <t>Employee:E0075; Ticket:OFF-00087; Tracking:1ZMD00000087</t>
        </is>
      </c>
      <c r="G104" s="7">
        <f>IF(B104="Inventory-to-Ledger Difference",IF(IFERROR(XLOOKUP(D104,'Source Ledger'!$B$5:$B$133,'Source Ledger'!$E$5:$E$133),"")="",IFERROR(XLOOKUP(D104,'Corrected Register'!$A$5:$A$136,'Corrected Register'!$M$5:$M$136),0),ABS(IFERROR(XLOOKUP(D104,'Source Ledger'!$B$5:$B$133,'Source Ledger'!$E$5:$E$133),0)-IFERROR(XLOOKUP(D104,'Corrected Register'!$A$5:$A$136,'Corrected Register'!$M$5:$M$136),0))),IFERROR(XLOOKUP(D104,'Corrected Register'!$A$5:$A$136,'Corrected Register'!$N$5:$N$136),0))</f>
        <v>609.71</v>
      </c>
      <c r="H104" s="7" t="inlineStr">
        <is>
          <t>E0075 should not still own MD-00087 on the register.</t>
        </is>
      </c>
      <c r="I104" s="7" t="inlineStr">
        <is>
          <t>HR Operations Lead</t>
        </is>
      </c>
      <c r="J104" s="7" t="inlineStr">
        <is>
          <t>2026-08-16</t>
        </is>
      </c>
      <c r="K104" s="7" t="inlineStr">
        <is>
          <t>Open</t>
        </is>
      </c>
      <c r="L104" s="7" t="inlineStr">
        <is>
          <t>People record is closed; MD-00087 isn't. OFF-00087.</t>
        </is>
      </c>
      <c r="M104" s="7" t="inlineStr">
        <is>
          <t>Requires remediation</t>
        </is>
      </c>
    </row>
    <row r="105">
      <c r="A105" s="7" t="inlineStr">
        <is>
          <t>EX-0101</t>
        </is>
      </c>
      <c r="B105" s="7" t="inlineStr">
        <is>
          <t>Former Employee Assignment</t>
        </is>
      </c>
      <c r="C105" s="10" t="inlineStr">
        <is>
          <t>High</t>
        </is>
      </c>
      <c r="D105" s="7" t="inlineStr">
        <is>
          <t>MD-00088</t>
        </is>
      </c>
      <c r="E105" s="7" t="inlineStr">
        <is>
          <t>MD-NE-050088</t>
        </is>
      </c>
      <c r="F105" s="7" t="inlineStr">
        <is>
          <t>Employee:E0076; Ticket:OFF-00088; Tracking:1ZMD00000088</t>
        </is>
      </c>
      <c r="G105" s="7">
        <f>IF(B105="Inventory-to-Ledger Difference",IF(IFERROR(XLOOKUP(D105,'Source Ledger'!$B$5:$B$133,'Source Ledger'!$E$5:$E$133),"")="",IFERROR(XLOOKUP(D105,'Corrected Register'!$A$5:$A$136,'Corrected Register'!$M$5:$M$136),0),ABS(IFERROR(XLOOKUP(D105,'Source Ledger'!$B$5:$B$133,'Source Ledger'!$E$5:$E$133),0)-IFERROR(XLOOKUP(D105,'Corrected Register'!$A$5:$A$136,'Corrected Register'!$M$5:$M$136),0))),IFERROR(XLOOKUP(D105,'Corrected Register'!$A$5:$A$136,'Corrected Register'!$N$5:$N$136),0))</f>
        <v>982.55</v>
      </c>
      <c r="H105" s="7" t="inlineStr">
        <is>
          <t>Register owner is stale. MD-00088 needs a stock/regional holder.</t>
        </is>
      </c>
      <c r="I105" s="7" t="inlineStr">
        <is>
          <t>HR Operations Lead</t>
        </is>
      </c>
      <c r="J105" s="7" t="inlineStr">
        <is>
          <t>2026-08-16</t>
        </is>
      </c>
      <c r="K105" s="7" t="inlineStr">
        <is>
          <t>Open</t>
        </is>
      </c>
      <c r="L105" s="7" t="inlineStr">
        <is>
          <t>OFF-00088 vs hr_employee_status: people side is done, asset isn't.</t>
        </is>
      </c>
      <c r="M105" s="7" t="inlineStr">
        <is>
          <t>Requires remediation</t>
        </is>
      </c>
    </row>
    <row r="106">
      <c r="A106" s="7" t="inlineStr">
        <is>
          <t>EX-0102</t>
        </is>
      </c>
      <c r="B106" s="7" t="inlineStr">
        <is>
          <t>Duplicate Serial Number</t>
        </is>
      </c>
      <c r="C106" s="10" t="inlineStr">
        <is>
          <t>High</t>
        </is>
      </c>
      <c r="D106" s="7" t="inlineStr">
        <is>
          <t>MD-00088</t>
        </is>
      </c>
      <c r="E106" s="7" t="inlineStr">
        <is>
          <t>MD-NE-050088</t>
        </is>
      </c>
      <c r="F106" s="7" t="inlineStr">
        <is>
          <t>Duplicate serial MD-NE-050088 across MD-00088 and MD-00092; Serial:MD-NE-050088; AlsoTagged:MD-00088,MD-00092</t>
        </is>
      </c>
      <c r="G106" s="7">
        <f>IF(B106="Inventory-to-Ledger Difference",IF(IFERROR(XLOOKUP(D106,'Source Ledger'!$B$5:$B$133,'Source Ledger'!$E$5:$E$133),"")="",IFERROR(XLOOKUP(D106,'Corrected Register'!$A$5:$A$136,'Corrected Register'!$M$5:$M$136),0),ABS(IFERROR(XLOOKUP(D106,'Source Ledger'!$B$5:$B$133,'Source Ledger'!$E$5:$E$133),0)-IFERROR(XLOOKUP(D106,'Corrected Register'!$A$5:$A$136,'Corrected Register'!$M$5:$M$136),0))),IFERROR(XLOOKUP(D106,'Corrected Register'!$A$5:$A$136,'Corrected Register'!$N$5:$N$136),0))</f>
        <v>982.55</v>
      </c>
      <c r="H106" s="7" t="inlineStr">
        <is>
          <t>Duplicate MD-NE-050088 — MD-00088 and the other tag in MD-00088,MD-00092. Don't treat either as clean until retag.</t>
        </is>
      </c>
      <c r="I106" s="7" t="inlineStr">
        <is>
          <t>IT Asset Specialist</t>
        </is>
      </c>
      <c r="J106" s="7" t="inlineStr">
        <is>
          <t>2026-08-18</t>
        </is>
      </c>
      <c r="K106" s="7" t="inlineStr">
        <is>
          <t>Open</t>
        </is>
      </c>
      <c r="L106" s="7" t="inlineStr">
        <is>
          <t>Inventory file lists MD-NE-050088 twice (MD-00088,MD-00092).</t>
        </is>
      </c>
      <c r="M106" s="7" t="inlineStr">
        <is>
          <t>Requires remediation</t>
        </is>
      </c>
    </row>
    <row r="107">
      <c r="A107" s="7" t="inlineStr">
        <is>
          <t>EX-0103</t>
        </is>
      </c>
      <c r="B107" s="7" t="inlineStr">
        <is>
          <t>Cannot Locate</t>
        </is>
      </c>
      <c r="C107" s="8" t="inlineStr">
        <is>
          <t>Critical</t>
        </is>
      </c>
      <c r="D107" s="7" t="inlineStr">
        <is>
          <t>MD-00089</t>
        </is>
      </c>
      <c r="E107" s="7" t="inlineStr">
        <is>
          <t>MD-LA-050089</t>
        </is>
      </c>
      <c r="F107" s="7" t="inlineStr">
        <is>
          <t>Ticket:OFF-00089; Transfer:TR-00089; LastRegisterLocation:Denver - Closed</t>
        </is>
      </c>
      <c r="G107" s="7">
        <f>IF(B107="Inventory-to-Ledger Difference",IF(IFERROR(XLOOKUP(D107,'Source Ledger'!$B$5:$B$133,'Source Ledger'!$E$5:$E$133),"")="",IFERROR(XLOOKUP(D107,'Corrected Register'!$A$5:$A$136,'Corrected Register'!$M$5:$M$136),0),ABS(IFERROR(XLOOKUP(D107,'Source Ledger'!$B$5:$B$133,'Source Ledger'!$E$5:$E$133),0)-IFERROR(XLOOKUP(D107,'Corrected Register'!$A$5:$A$136,'Corrected Register'!$M$5:$M$136),0))),IFERROR(XLOOKUP(D107,'Corrected Register'!$A$5:$A$136,'Corrected Register'!$N$5:$N$136),0))</f>
        <v>0</v>
      </c>
      <c r="H107" s="7" t="inlineStr">
        <is>
          <t>Classify MD-00089 Missing. Last register site Denver - Closed is a closed floor — not a find.</t>
        </is>
      </c>
      <c r="I107" s="7" t="inlineStr">
        <is>
          <t>IT Operations Manager</t>
        </is>
      </c>
      <c r="J107" s="7" t="inlineStr">
        <is>
          <t>2026-08-12</t>
        </is>
      </c>
      <c r="K107" s="7" t="inlineStr">
        <is>
          <t>Open</t>
        </is>
      </c>
      <c r="L107" s="7" t="inlineStr">
        <is>
          <t>Walked HR, transfers, tickets. MD-00089 is not in any inbound.</t>
        </is>
      </c>
      <c r="M107" s="12" t="inlineStr">
        <is>
          <t>Blocks certification</t>
        </is>
      </c>
    </row>
    <row r="108">
      <c r="A108" s="7" t="inlineStr">
        <is>
          <t>EX-0104</t>
        </is>
      </c>
      <c r="B108" s="7" t="inlineStr">
        <is>
          <t>Former Employee Assignment</t>
        </is>
      </c>
      <c r="C108" s="8" t="inlineStr">
        <is>
          <t>Critical</t>
        </is>
      </c>
      <c r="D108" s="7" t="inlineStr">
        <is>
          <t>MD-00089</t>
        </is>
      </c>
      <c r="E108" s="7" t="inlineStr">
        <is>
          <t>MD-LA-050089</t>
        </is>
      </c>
      <c r="F108" s="7" t="inlineStr">
        <is>
          <t>Employee:E0077; Ticket:OFF-00089</t>
        </is>
      </c>
      <c r="G108" s="7">
        <f>IF(B108="Inventory-to-Ledger Difference",IF(IFERROR(XLOOKUP(D108,'Source Ledger'!$B$5:$B$133,'Source Ledger'!$E$5:$E$133),"")="",IFERROR(XLOOKUP(D108,'Corrected Register'!$A$5:$A$136,'Corrected Register'!$M$5:$M$136),0),ABS(IFERROR(XLOOKUP(D108,'Source Ledger'!$B$5:$B$133,'Source Ledger'!$E$5:$E$133),0)-IFERROR(XLOOKUP(D108,'Corrected Register'!$A$5:$A$136,'Corrected Register'!$M$5:$M$136),0))),IFERROR(XLOOKUP(D108,'Corrected Register'!$A$5:$A$136,'Corrected Register'!$N$5:$N$136),0))</f>
        <v>0</v>
      </c>
      <c r="H108" s="7" t="inlineStr">
        <is>
          <t>Take E0077 off MD-00089. Park with Regional IT / IT Stock.</t>
        </is>
      </c>
      <c r="I108" s="7" t="inlineStr">
        <is>
          <t>HR Operations Lead</t>
        </is>
      </c>
      <c r="J108" s="7" t="inlineStr">
        <is>
          <t>2026-08-16</t>
        </is>
      </c>
      <c r="K108" s="7" t="inlineStr">
        <is>
          <t>Open</t>
        </is>
      </c>
      <c r="L108" s="7" t="inlineStr">
        <is>
          <t>Offboarding ticket OFF-00089 doesn't put hardware in stock by itself.</t>
        </is>
      </c>
      <c r="M108" s="12" t="inlineStr">
        <is>
          <t>Blocks certification</t>
        </is>
      </c>
    </row>
    <row r="109">
      <c r="A109" s="7" t="inlineStr">
        <is>
          <t>EX-0105</t>
        </is>
      </c>
      <c r="B109" s="7" t="inlineStr">
        <is>
          <t>Cannot Locate</t>
        </is>
      </c>
      <c r="C109" s="8" t="inlineStr">
        <is>
          <t>Critical</t>
        </is>
      </c>
      <c r="D109" s="7" t="inlineStr">
        <is>
          <t>MD-00090</t>
        </is>
      </c>
      <c r="E109" s="7" t="inlineStr">
        <is>
          <t>MD-MO-050090</t>
        </is>
      </c>
      <c r="F109" s="7" t="inlineStr">
        <is>
          <t>Ticket:OFF-00090; Transfer:TR-00090; LastRegisterLocation:Chicago - Closed</t>
        </is>
      </c>
      <c r="G109" s="7">
        <f>IF(B109="Inventory-to-Ledger Difference",IF(IFERROR(XLOOKUP(D109,'Source Ledger'!$B$5:$B$133,'Source Ledger'!$E$5:$E$133),"")="",IFERROR(XLOOKUP(D109,'Corrected Register'!$A$5:$A$136,'Corrected Register'!$M$5:$M$136),0),ABS(IFERROR(XLOOKUP(D109,'Source Ledger'!$B$5:$B$133,'Source Ledger'!$E$5:$E$133),0)-IFERROR(XLOOKUP(D109,'Corrected Register'!$A$5:$A$136,'Corrected Register'!$M$5:$M$136),0))),IFERROR(XLOOKUP(D109,'Corrected Register'!$A$5:$A$136,'Corrected Register'!$N$5:$N$136),0))</f>
        <v>465.13</v>
      </c>
      <c r="H109" s="7" t="inlineStr">
        <is>
          <t>No scan, no cert, no count for MD-00090. Missing, not In Use.</t>
        </is>
      </c>
      <c r="I109" s="7" t="inlineStr">
        <is>
          <t>IT Operations Manager</t>
        </is>
      </c>
      <c r="J109" s="7" t="inlineStr">
        <is>
          <t>2026-08-12</t>
        </is>
      </c>
      <c r="K109" s="7" t="inlineStr">
        <is>
          <t>Open</t>
        </is>
      </c>
      <c r="L109" s="7" t="inlineStr">
        <is>
          <t>OFF-00090 / TR-00090: still gone. Notes don't locate it.</t>
        </is>
      </c>
      <c r="M109" s="12" t="inlineStr">
        <is>
          <t>Blocks certification</t>
        </is>
      </c>
    </row>
    <row r="110">
      <c r="A110" s="7" t="inlineStr">
        <is>
          <t>EX-0106</t>
        </is>
      </c>
      <c r="B110" s="7" t="inlineStr">
        <is>
          <t>Former Employee Assignment</t>
        </is>
      </c>
      <c r="C110" s="8" t="inlineStr">
        <is>
          <t>Critical</t>
        </is>
      </c>
      <c r="D110" s="7" t="inlineStr">
        <is>
          <t>MD-00090</t>
        </is>
      </c>
      <c r="E110" s="7" t="inlineStr">
        <is>
          <t>MD-MO-050090</t>
        </is>
      </c>
      <c r="F110" s="7" t="inlineStr">
        <is>
          <t>Employee:E0078; Ticket:OFF-00090</t>
        </is>
      </c>
      <c r="G110" s="7">
        <f>IF(B110="Inventory-to-Ledger Difference",IF(IFERROR(XLOOKUP(D110,'Source Ledger'!$B$5:$B$133,'Source Ledger'!$E$5:$E$133),"")="",IFERROR(XLOOKUP(D110,'Corrected Register'!$A$5:$A$136,'Corrected Register'!$M$5:$M$136),0),ABS(IFERROR(XLOOKUP(D110,'Source Ledger'!$B$5:$B$133,'Source Ledger'!$E$5:$E$133),0)-IFERROR(XLOOKUP(D110,'Corrected Register'!$A$5:$A$136,'Corrected Register'!$M$5:$M$136),0))),IFERROR(XLOOKUP(D110,'Corrected Register'!$A$5:$A$136,'Corrected Register'!$N$5:$N$136),0))</f>
        <v>465.13</v>
      </c>
      <c r="H110" s="7" t="inlineStr">
        <is>
          <t>Assignment cleanup: MD-00090 → Regional IT (or IT Stock if it's on the shelf).</t>
        </is>
      </c>
      <c r="I110" s="7" t="inlineStr">
        <is>
          <t>HR Operations Lead</t>
        </is>
      </c>
      <c r="J110" s="7" t="inlineStr">
        <is>
          <t>2026-08-16</t>
        </is>
      </c>
      <c r="K110" s="7" t="inlineStr">
        <is>
          <t>Open</t>
        </is>
      </c>
      <c r="L110" s="7" t="inlineStr">
        <is>
          <t>E0078 already termed. MD-00090 assignment wasn't updated.</t>
        </is>
      </c>
      <c r="M110" s="12" t="inlineStr">
        <is>
          <t>Blocks certification</t>
        </is>
      </c>
    </row>
    <row r="111">
      <c r="A111" s="7" t="inlineStr">
        <is>
          <t>EX-0107</t>
        </is>
      </c>
      <c r="B111" s="7" t="inlineStr">
        <is>
          <t>Cannot Locate</t>
        </is>
      </c>
      <c r="C111" s="8" t="inlineStr">
        <is>
          <t>Critical</t>
        </is>
      </c>
      <c r="D111" s="7" t="inlineStr">
        <is>
          <t>MD-00091</t>
        </is>
      </c>
      <c r="E111" s="7" t="inlineStr">
        <is>
          <t>MD-MO-050091</t>
        </is>
      </c>
      <c r="F111" s="7" t="inlineStr">
        <is>
          <t>Ticket:OFF-00091; Transfer:TR-00091; LastRegisterLocation:Denver - Closed</t>
        </is>
      </c>
      <c r="G111" s="7">
        <f>IF(B111="Inventory-to-Ledger Difference",IF(IFERROR(XLOOKUP(D111,'Source Ledger'!$B$5:$B$133,'Source Ledger'!$E$5:$E$133),"")="",IFERROR(XLOOKUP(D111,'Corrected Register'!$A$5:$A$136,'Corrected Register'!$M$5:$M$136),0),ABS(IFERROR(XLOOKUP(D111,'Source Ledger'!$B$5:$B$133,'Source Ledger'!$E$5:$E$133),0)-IFERROR(XLOOKUP(D111,'Corrected Register'!$A$5:$A$136,'Corrected Register'!$M$5:$M$136),0))),IFERROR(XLOOKUP(D111,'Corrected Register'!$A$5:$A$136,'Corrected Register'!$N$5:$N$136),0))</f>
        <v>643.09</v>
      </c>
      <c r="H111" s="7" t="inlineStr">
        <is>
          <t>Loss investigation on MD-00091. Keep Missing until we find it or get a write-off.</t>
        </is>
      </c>
      <c r="I111" s="7" t="inlineStr">
        <is>
          <t>IT Operations Manager</t>
        </is>
      </c>
      <c r="J111" s="7" t="inlineStr">
        <is>
          <t>2026-08-12</t>
        </is>
      </c>
      <c r="K111" s="7" t="inlineStr">
        <is>
          <t>Open</t>
        </is>
      </c>
      <c r="L111" s="7" t="inlineStr">
        <is>
          <t>MD-00091: nothing higher-precedence than a closed-floor register row.</t>
        </is>
      </c>
      <c r="M111" s="12" t="inlineStr">
        <is>
          <t>Blocks certification</t>
        </is>
      </c>
    </row>
    <row r="112">
      <c r="A112" s="7" t="inlineStr">
        <is>
          <t>EX-0108</t>
        </is>
      </c>
      <c r="B112" s="7" t="inlineStr">
        <is>
          <t>Former Employee Assignment</t>
        </is>
      </c>
      <c r="C112" s="8" t="inlineStr">
        <is>
          <t>Critical</t>
        </is>
      </c>
      <c r="D112" s="7" t="inlineStr">
        <is>
          <t>MD-00091</t>
        </is>
      </c>
      <c r="E112" s="7" t="inlineStr">
        <is>
          <t>MD-MO-050091</t>
        </is>
      </c>
      <c r="F112" s="7" t="inlineStr">
        <is>
          <t>Employee:E0079; Ticket:OFF-00091</t>
        </is>
      </c>
      <c r="G112" s="7">
        <f>IF(B112="Inventory-to-Ledger Difference",IF(IFERROR(XLOOKUP(D112,'Source Ledger'!$B$5:$B$133,'Source Ledger'!$E$5:$E$133),"")="",IFERROR(XLOOKUP(D112,'Corrected Register'!$A$5:$A$136,'Corrected Register'!$M$5:$M$136),0),ABS(IFERROR(XLOOKUP(D112,'Source Ledger'!$B$5:$B$133,'Source Ledger'!$E$5:$E$133),0)-IFERROR(XLOOKUP(D112,'Corrected Register'!$A$5:$A$136,'Corrected Register'!$M$5:$M$136),0))),IFERROR(XLOOKUP(D112,'Corrected Register'!$A$5:$A$136,'Corrected Register'!$N$5:$N$136),0))</f>
        <v>643.09</v>
      </c>
      <c r="H112" s="7" t="inlineStr">
        <is>
          <t>Register owner is stale. MD-00091 needs a stock/regional holder.</t>
        </is>
      </c>
      <c r="I112" s="7" t="inlineStr">
        <is>
          <t>HR Operations Lead</t>
        </is>
      </c>
      <c r="J112" s="7" t="inlineStr">
        <is>
          <t>2026-08-16</t>
        </is>
      </c>
      <c r="K112" s="7" t="inlineStr">
        <is>
          <t>Open</t>
        </is>
      </c>
      <c r="L112" s="7" t="inlineStr">
        <is>
          <t>OFF-00091 vs hr_employee_status: people side is done, asset isn't.</t>
        </is>
      </c>
      <c r="M112" s="12" t="inlineStr">
        <is>
          <t>Blocks certification</t>
        </is>
      </c>
    </row>
    <row r="113">
      <c r="A113" s="7" t="inlineStr">
        <is>
          <t>EX-0109</t>
        </is>
      </c>
      <c r="B113" s="7" t="inlineStr">
        <is>
          <t>Cannot Locate</t>
        </is>
      </c>
      <c r="C113" s="8" t="inlineStr">
        <is>
          <t>Critical</t>
        </is>
      </c>
      <c r="D113" s="7" t="inlineStr">
        <is>
          <t>MD-00092</t>
        </is>
      </c>
      <c r="E113" s="7" t="inlineStr">
        <is>
          <t>MD-NE-050088</t>
        </is>
      </c>
      <c r="F113" s="7" t="inlineStr">
        <is>
          <t>Ticket:OFF-00092; Transfer:TR-00092; LastRegisterLocation:Chicago - Closed</t>
        </is>
      </c>
      <c r="G113" s="7">
        <f>IF(B113="Inventory-to-Ledger Difference",IF(IFERROR(XLOOKUP(D113,'Source Ledger'!$B$5:$B$133,'Source Ledger'!$E$5:$E$133),"")="",IFERROR(XLOOKUP(D113,'Corrected Register'!$A$5:$A$136,'Corrected Register'!$M$5:$M$136),0),ABS(IFERROR(XLOOKUP(D113,'Source Ledger'!$B$5:$B$133,'Source Ledger'!$E$5:$E$133),0)-IFERROR(XLOOKUP(D113,'Corrected Register'!$A$5:$A$136,'Corrected Register'!$M$5:$M$136),0))),IFERROR(XLOOKUP(D113,'Corrected Register'!$A$5:$A$136,'Corrected Register'!$N$5:$N$136),0))</f>
        <v>1396.04</v>
      </c>
      <c r="H113" s="7" t="inlineStr">
        <is>
          <t>Start the loss process. MD-00092 is not in Unknown and not in receiving.</t>
        </is>
      </c>
      <c r="I113" s="7" t="inlineStr">
        <is>
          <t>IT Operations Manager</t>
        </is>
      </c>
      <c r="J113" s="7" t="inlineStr">
        <is>
          <t>2026-08-12</t>
        </is>
      </c>
      <c r="K113" s="7" t="inlineStr">
        <is>
          <t>Open</t>
        </is>
      </c>
      <c r="L113" s="7" t="inlineStr">
        <is>
          <t>OFF-00092 / TR-00092: still gone. Notes don't locate it.</t>
        </is>
      </c>
      <c r="M113" s="12" t="inlineStr">
        <is>
          <t>Blocks certification</t>
        </is>
      </c>
    </row>
    <row r="114">
      <c r="A114" s="7" t="inlineStr">
        <is>
          <t>EX-0110</t>
        </is>
      </c>
      <c r="B114" s="7" t="inlineStr">
        <is>
          <t>Former Employee Assignment</t>
        </is>
      </c>
      <c r="C114" s="8" t="inlineStr">
        <is>
          <t>Critical</t>
        </is>
      </c>
      <c r="D114" s="7" t="inlineStr">
        <is>
          <t>MD-00092</t>
        </is>
      </c>
      <c r="E114" s="7" t="inlineStr">
        <is>
          <t>MD-NE-050088</t>
        </is>
      </c>
      <c r="F114" s="7" t="inlineStr">
        <is>
          <t>Employee:E0080; Ticket:OFF-00092</t>
        </is>
      </c>
      <c r="G114" s="7">
        <f>IF(B114="Inventory-to-Ledger Difference",IF(IFERROR(XLOOKUP(D114,'Source Ledger'!$B$5:$B$133,'Source Ledger'!$E$5:$E$133),"")="",IFERROR(XLOOKUP(D114,'Corrected Register'!$A$5:$A$136,'Corrected Register'!$M$5:$M$136),0),ABS(IFERROR(XLOOKUP(D114,'Source Ledger'!$B$5:$B$133,'Source Ledger'!$E$5:$E$133),0)-IFERROR(XLOOKUP(D114,'Corrected Register'!$A$5:$A$136,'Corrected Register'!$M$5:$M$136),0))),IFERROR(XLOOKUP(D114,'Corrected Register'!$A$5:$A$136,'Corrected Register'!$N$5:$N$136),0))</f>
        <v>1396.04</v>
      </c>
      <c r="H114" s="7" t="inlineStr">
        <is>
          <t>MD-00092: former employee still listed. That's the fix.</t>
        </is>
      </c>
      <c r="I114" s="7" t="inlineStr">
        <is>
          <t>HR Operations Lead</t>
        </is>
      </c>
      <c r="J114" s="7" t="inlineStr">
        <is>
          <t>2026-08-16</t>
        </is>
      </c>
      <c r="K114" s="7" t="inlineStr">
        <is>
          <t>Open</t>
        </is>
      </c>
      <c r="L114" s="7" t="inlineStr">
        <is>
          <t>MD-00092 custodian is a former employee in HR (E0080).</t>
        </is>
      </c>
      <c r="M114" s="12" t="inlineStr">
        <is>
          <t>Blocks certification</t>
        </is>
      </c>
    </row>
    <row r="115">
      <c r="A115" s="7" t="inlineStr">
        <is>
          <t>EX-0111</t>
        </is>
      </c>
      <c r="B115" s="7" t="inlineStr">
        <is>
          <t>Duplicate Serial Number</t>
        </is>
      </c>
      <c r="C115" s="10" t="inlineStr">
        <is>
          <t>High</t>
        </is>
      </c>
      <c r="D115" s="7" t="inlineStr">
        <is>
          <t>MD-00092</t>
        </is>
      </c>
      <c r="E115" s="7" t="inlineStr">
        <is>
          <t>MD-NE-050088</t>
        </is>
      </c>
      <c r="F115" s="7" t="inlineStr">
        <is>
          <t>Duplicate serial MD-NE-050088 across MD-00088 and MD-00092; Serial:MD-NE-050088; AlsoTagged:MD-00088,MD-00092</t>
        </is>
      </c>
      <c r="G115" s="7">
        <f>IF(B115="Inventory-to-Ledger Difference",IF(IFERROR(XLOOKUP(D115,'Source Ledger'!$B$5:$B$133,'Source Ledger'!$E$5:$E$133),"")="",IFERROR(XLOOKUP(D115,'Corrected Register'!$A$5:$A$136,'Corrected Register'!$M$5:$M$136),0),ABS(IFERROR(XLOOKUP(D115,'Source Ledger'!$B$5:$B$133,'Source Ledger'!$E$5:$E$133),0)-IFERROR(XLOOKUP(D115,'Corrected Register'!$A$5:$A$136,'Corrected Register'!$M$5:$M$136),0))),IFERROR(XLOOKUP(D115,'Corrected Register'!$A$5:$A$136,'Corrected Register'!$N$5:$N$136),0))</f>
        <v>1396.04</v>
      </c>
      <c r="H115" s="7" t="inlineStr">
        <is>
          <t>Two assets share MD-NE-050088 (MD-00088,MD-00092). Validate on the bench and issue a new serial.</t>
        </is>
      </c>
      <c r="I115" s="7" t="inlineStr">
        <is>
          <t>IT Asset Specialist</t>
        </is>
      </c>
      <c r="J115" s="7" t="inlineStr">
        <is>
          <t>2026-08-18</t>
        </is>
      </c>
      <c r="K115" s="7" t="inlineStr">
        <is>
          <t>Open</t>
        </is>
      </c>
      <c r="L115" s="7" t="inlineStr">
        <is>
          <t>Two tags, one serial (MD-NE-050088). Flagged both.</t>
        </is>
      </c>
      <c r="M115" s="7" t="inlineStr">
        <is>
          <t>Requires remediation</t>
        </is>
      </c>
    </row>
    <row r="116">
      <c r="A116" s="7" t="inlineStr">
        <is>
          <t>EX-0112</t>
        </is>
      </c>
      <c r="B116" s="7" t="inlineStr">
        <is>
          <t>Cannot Locate</t>
        </is>
      </c>
      <c r="C116" s="8" t="inlineStr">
        <is>
          <t>Critical</t>
        </is>
      </c>
      <c r="D116" s="7" t="inlineStr">
        <is>
          <t>MD-00093</t>
        </is>
      </c>
      <c r="E116" s="7" t="inlineStr">
        <is>
          <t>MD-LA-050093</t>
        </is>
      </c>
      <c r="F116" s="7" t="inlineStr">
        <is>
          <t>Ticket:OFF-00093; Transfer:TR-00093; LastRegisterLocation:Denver - Closed</t>
        </is>
      </c>
      <c r="G116" s="7">
        <f>IF(B116="Inventory-to-Ledger Difference",IF(IFERROR(XLOOKUP(D116,'Source Ledger'!$B$5:$B$133,'Source Ledger'!$E$5:$E$133),"")="",IFERROR(XLOOKUP(D116,'Corrected Register'!$A$5:$A$136,'Corrected Register'!$M$5:$M$136),0),ABS(IFERROR(XLOOKUP(D116,'Source Ledger'!$B$5:$B$133,'Source Ledger'!$E$5:$E$133),0)-IFERROR(XLOOKUP(D116,'Corrected Register'!$A$5:$A$136,'Corrected Register'!$M$5:$M$136),0))),IFERROR(XLOOKUP(D116,'Corrected Register'!$A$5:$A$136,'Corrected Register'!$N$5:$N$136),0))</f>
        <v>130.57</v>
      </c>
      <c r="H116" s="7" t="inlineStr">
        <is>
          <t>No scan, no cert, no count for MD-00093. Missing, not In Use.</t>
        </is>
      </c>
      <c r="I116" s="7" t="inlineStr">
        <is>
          <t>IT Operations Manager</t>
        </is>
      </c>
      <c r="J116" s="7" t="inlineStr">
        <is>
          <t>2026-08-12</t>
        </is>
      </c>
      <c r="K116" s="7" t="inlineStr">
        <is>
          <t>Open</t>
        </is>
      </c>
      <c r="L116" s="7" t="inlineStr">
        <is>
          <t>Couldn't prove a location. Ticket:OFF-00093; Transfer:TR-00093; LastRegisterLocation:Denver - Closed</t>
        </is>
      </c>
      <c r="M116" s="12" t="inlineStr">
        <is>
          <t>Blocks certification</t>
        </is>
      </c>
    </row>
    <row r="117">
      <c r="A117" s="7" t="inlineStr">
        <is>
          <t>EX-0113</t>
        </is>
      </c>
      <c r="B117" s="7" t="inlineStr">
        <is>
          <t>Former Employee Assignment</t>
        </is>
      </c>
      <c r="C117" s="8" t="inlineStr">
        <is>
          <t>Critical</t>
        </is>
      </c>
      <c r="D117" s="7" t="inlineStr">
        <is>
          <t>MD-00093</t>
        </is>
      </c>
      <c r="E117" s="7" t="inlineStr">
        <is>
          <t>MD-LA-050093</t>
        </is>
      </c>
      <c r="F117" s="7" t="inlineStr">
        <is>
          <t>Employee:E0081; Ticket:OFF-00093</t>
        </is>
      </c>
      <c r="G117" s="7">
        <f>IF(B117="Inventory-to-Ledger Difference",IF(IFERROR(XLOOKUP(D117,'Source Ledger'!$B$5:$B$133,'Source Ledger'!$E$5:$E$133),"")="",IFERROR(XLOOKUP(D117,'Corrected Register'!$A$5:$A$136,'Corrected Register'!$M$5:$M$136),0),ABS(IFERROR(XLOOKUP(D117,'Source Ledger'!$B$5:$B$133,'Source Ledger'!$E$5:$E$133),0)-IFERROR(XLOOKUP(D117,'Corrected Register'!$A$5:$A$136,'Corrected Register'!$M$5:$M$136),0))),IFERROR(XLOOKUP(D117,'Corrected Register'!$A$5:$A$136,'Corrected Register'!$N$5:$N$136),0))</f>
        <v>130.57</v>
      </c>
      <c r="H117" s="7" t="inlineStr">
        <is>
          <t>Unassign MD-00093 from the former employee. OFF-00093 is the offboarding ticket.</t>
        </is>
      </c>
      <c r="I117" s="7" t="inlineStr">
        <is>
          <t>HR Operations Lead</t>
        </is>
      </c>
      <c r="J117" s="7" t="inlineStr">
        <is>
          <t>2026-08-16</t>
        </is>
      </c>
      <c r="K117" s="7" t="inlineStr">
        <is>
          <t>Open</t>
        </is>
      </c>
      <c r="L117" s="7" t="inlineStr">
        <is>
          <t>HR E0081 is separated. Register still has them on MD-00093. OFF-00093.</t>
        </is>
      </c>
      <c r="M117" s="12" t="inlineStr">
        <is>
          <t>Blocks certification</t>
        </is>
      </c>
    </row>
    <row r="118">
      <c r="A118" s="7" t="inlineStr">
        <is>
          <t>EX-0114</t>
        </is>
      </c>
      <c r="B118" s="7" t="inlineStr">
        <is>
          <t>Cannot Locate</t>
        </is>
      </c>
      <c r="C118" s="8" t="inlineStr">
        <is>
          <t>Critical</t>
        </is>
      </c>
      <c r="D118" s="7" t="inlineStr">
        <is>
          <t>MD-00094</t>
        </is>
      </c>
      <c r="E118" s="7" t="inlineStr">
        <is>
          <t>MD-MO-050094</t>
        </is>
      </c>
      <c r="F118" s="7" t="inlineStr">
        <is>
          <t>Ticket:OFF-00094; Transfer:TR-00094; LastRegisterLocation:Chicago - Closed</t>
        </is>
      </c>
      <c r="G118" s="7">
        <f>IF(B118="Inventory-to-Ledger Difference",IF(IFERROR(XLOOKUP(D118,'Source Ledger'!$B$5:$B$133,'Source Ledger'!$E$5:$E$133),"")="",IFERROR(XLOOKUP(D118,'Corrected Register'!$A$5:$A$136,'Corrected Register'!$M$5:$M$136),0),ABS(IFERROR(XLOOKUP(D118,'Source Ledger'!$B$5:$B$133,'Source Ledger'!$E$5:$E$133),0)-IFERROR(XLOOKUP(D118,'Corrected Register'!$A$5:$A$136,'Corrected Register'!$M$5:$M$136),0))),IFERROR(XLOOKUP(D118,'Corrected Register'!$A$5:$A$136,'Corrected Register'!$N$5:$N$136),0))</f>
        <v>431.2</v>
      </c>
      <c r="H118" s="7" t="inlineStr">
        <is>
          <t>Loss investigation on MD-00094. Keep Missing until we find it or get a write-off.</t>
        </is>
      </c>
      <c r="I118" s="7" t="inlineStr">
        <is>
          <t>IT Operations Manager</t>
        </is>
      </c>
      <c r="J118" s="7" t="inlineStr">
        <is>
          <t>2026-08-12</t>
        </is>
      </c>
      <c r="K118" s="7" t="inlineStr">
        <is>
          <t>Open</t>
        </is>
      </c>
      <c r="L118" s="7" t="inlineStr">
        <is>
          <t>Walked HR, transfers, tickets. MD-00094 is not in any inbound.</t>
        </is>
      </c>
      <c r="M118" s="12" t="inlineStr">
        <is>
          <t>Blocks certification</t>
        </is>
      </c>
    </row>
    <row r="119">
      <c r="A119" s="7" t="inlineStr">
        <is>
          <t>EX-0115</t>
        </is>
      </c>
      <c r="B119" s="7" t="inlineStr">
        <is>
          <t>Former Employee Assignment</t>
        </is>
      </c>
      <c r="C119" s="8" t="inlineStr">
        <is>
          <t>Critical</t>
        </is>
      </c>
      <c r="D119" s="7" t="inlineStr">
        <is>
          <t>MD-00094</t>
        </is>
      </c>
      <c r="E119" s="7" t="inlineStr">
        <is>
          <t>MD-MO-050094</t>
        </is>
      </c>
      <c r="F119" s="7" t="inlineStr">
        <is>
          <t>Employee:E0082; Ticket:OFF-00094</t>
        </is>
      </c>
      <c r="G119" s="7">
        <f>IF(B119="Inventory-to-Ledger Difference",IF(IFERROR(XLOOKUP(D119,'Source Ledger'!$B$5:$B$133,'Source Ledger'!$E$5:$E$133),"")="",IFERROR(XLOOKUP(D119,'Corrected Register'!$A$5:$A$136,'Corrected Register'!$M$5:$M$136),0),ABS(IFERROR(XLOOKUP(D119,'Source Ledger'!$B$5:$B$133,'Source Ledger'!$E$5:$E$133),0)-IFERROR(XLOOKUP(D119,'Corrected Register'!$A$5:$A$136,'Corrected Register'!$M$5:$M$136),0))),IFERROR(XLOOKUP(D119,'Corrected Register'!$A$5:$A$136,'Corrected Register'!$N$5:$N$136),0))</f>
        <v>431.2</v>
      </c>
      <c r="H119" s="7" t="inlineStr">
        <is>
          <t>OFF-00094 closed the people side; asset row still shows the leaver. Fix custodian.</t>
        </is>
      </c>
      <c r="I119" s="7" t="inlineStr">
        <is>
          <t>HR Operations Lead</t>
        </is>
      </c>
      <c r="J119" s="7" t="inlineStr">
        <is>
          <t>2026-08-16</t>
        </is>
      </c>
      <c r="K119" s="7" t="inlineStr">
        <is>
          <t>Open</t>
        </is>
      </c>
      <c r="L119" s="7" t="inlineStr">
        <is>
          <t>Checked the term date against the assignment. Stale owner on MD-00094.</t>
        </is>
      </c>
      <c r="M119" s="12" t="inlineStr">
        <is>
          <t>Blocks certification</t>
        </is>
      </c>
    </row>
    <row r="120">
      <c r="A120" s="7" t="inlineStr">
        <is>
          <t>EX-0116</t>
        </is>
      </c>
      <c r="B120" s="7" t="inlineStr">
        <is>
          <t>Cannot Locate</t>
        </is>
      </c>
      <c r="C120" s="8" t="inlineStr">
        <is>
          <t>Critical</t>
        </is>
      </c>
      <c r="D120" s="7" t="inlineStr">
        <is>
          <t>MD-00095</t>
        </is>
      </c>
      <c r="E120" s="7" t="inlineStr">
        <is>
          <t>MD-MO-050095</t>
        </is>
      </c>
      <c r="F120" s="7" t="inlineStr">
        <is>
          <t>Ticket:OFF-00095; Transfer:TR-00095; LastRegisterLocation:Denver - Closed</t>
        </is>
      </c>
      <c r="G120" s="7">
        <f>IF(B120="Inventory-to-Ledger Difference",IF(IFERROR(XLOOKUP(D120,'Source Ledger'!$B$5:$B$133,'Source Ledger'!$E$5:$E$133),"")="",IFERROR(XLOOKUP(D120,'Corrected Register'!$A$5:$A$136,'Corrected Register'!$M$5:$M$136),0),ABS(IFERROR(XLOOKUP(D120,'Source Ledger'!$B$5:$B$133,'Source Ledger'!$E$5:$E$133),0)-IFERROR(XLOOKUP(D120,'Corrected Register'!$A$5:$A$136,'Corrected Register'!$M$5:$M$136),0))),IFERROR(XLOOKUP(D120,'Corrected Register'!$A$5:$A$136,'Corrected Register'!$N$5:$N$136),0))</f>
        <v>894.87</v>
      </c>
      <c r="H120" s="7" t="inlineStr">
        <is>
          <t>Start the loss process. MD-00095 is not in Unknown and not in receiving.</t>
        </is>
      </c>
      <c r="I120" s="7" t="inlineStr">
        <is>
          <t>IT Operations Manager</t>
        </is>
      </c>
      <c r="J120" s="7" t="inlineStr">
        <is>
          <t>2026-08-12</t>
        </is>
      </c>
      <c r="K120" s="7" t="inlineStr">
        <is>
          <t>Open</t>
        </is>
      </c>
      <c r="L120" s="7" t="inlineStr">
        <is>
          <t>Couldn't prove a location. Ticket:OFF-00095; Transfer:TR-00095; LastRegisterLocation:Denver - Closed</t>
        </is>
      </c>
      <c r="M120" s="12" t="inlineStr">
        <is>
          <t>Blocks certification</t>
        </is>
      </c>
    </row>
    <row r="121">
      <c r="A121" s="7" t="inlineStr">
        <is>
          <t>EX-0117</t>
        </is>
      </c>
      <c r="B121" s="7" t="inlineStr">
        <is>
          <t>Former Employee Assignment</t>
        </is>
      </c>
      <c r="C121" s="8" t="inlineStr">
        <is>
          <t>Critical</t>
        </is>
      </c>
      <c r="D121" s="7" t="inlineStr">
        <is>
          <t>MD-00095</t>
        </is>
      </c>
      <c r="E121" s="7" t="inlineStr">
        <is>
          <t>MD-MO-050095</t>
        </is>
      </c>
      <c r="F121" s="7" t="inlineStr">
        <is>
          <t>Employee:E0083; Ticket:OFF-00095</t>
        </is>
      </c>
      <c r="G121" s="7">
        <f>IF(B121="Inventory-to-Ledger Difference",IF(IFERROR(XLOOKUP(D121,'Source Ledger'!$B$5:$B$133,'Source Ledger'!$E$5:$E$133),"")="",IFERROR(XLOOKUP(D121,'Corrected Register'!$A$5:$A$136,'Corrected Register'!$M$5:$M$136),0),ABS(IFERROR(XLOOKUP(D121,'Source Ledger'!$B$5:$B$133,'Source Ledger'!$E$5:$E$133),0)-IFERROR(XLOOKUP(D121,'Corrected Register'!$A$5:$A$136,'Corrected Register'!$M$5:$M$136),0))),IFERROR(XLOOKUP(D121,'Corrected Register'!$A$5:$A$136,'Corrected Register'!$N$5:$N$136),0))</f>
        <v>894.87</v>
      </c>
      <c r="H121" s="7" t="inlineStr">
        <is>
          <t>E0083 should not still own MD-00095 on the register.</t>
        </is>
      </c>
      <c r="I121" s="7" t="inlineStr">
        <is>
          <t>HR Operations Lead</t>
        </is>
      </c>
      <c r="J121" s="7" t="inlineStr">
        <is>
          <t>2026-08-16</t>
        </is>
      </c>
      <c r="K121" s="7" t="inlineStr">
        <is>
          <t>Open</t>
        </is>
      </c>
      <c r="L121" s="7" t="inlineStr">
        <is>
          <t>E0083 already termed. MD-00095 assignment wasn't updated.</t>
        </is>
      </c>
      <c r="M121" s="12" t="inlineStr">
        <is>
          <t>Blocks certification</t>
        </is>
      </c>
    </row>
    <row r="122">
      <c r="A122" s="7" t="inlineStr">
        <is>
          <t>EX-0118</t>
        </is>
      </c>
      <c r="B122" s="7" t="inlineStr">
        <is>
          <t>Cannot Locate</t>
        </is>
      </c>
      <c r="C122" s="8" t="inlineStr">
        <is>
          <t>Critical</t>
        </is>
      </c>
      <c r="D122" s="7" t="inlineStr">
        <is>
          <t>MD-00096</t>
        </is>
      </c>
      <c r="E122" s="7" t="inlineStr">
        <is>
          <t>MD-NE-050096</t>
        </is>
      </c>
      <c r="F122" s="7" t="inlineStr">
        <is>
          <t>Ticket:OFF-00096; Transfer:TR-00096; LastRegisterLocation:Chicago - Closed</t>
        </is>
      </c>
      <c r="G122" s="7">
        <f>IF(B122="Inventory-to-Ledger Difference",IF(IFERROR(XLOOKUP(D122,'Source Ledger'!$B$5:$B$133,'Source Ledger'!$E$5:$E$133),"")="",IFERROR(XLOOKUP(D122,'Corrected Register'!$A$5:$A$136,'Corrected Register'!$M$5:$M$136),0),ABS(IFERROR(XLOOKUP(D122,'Source Ledger'!$B$5:$B$133,'Source Ledger'!$E$5:$E$133),0)-IFERROR(XLOOKUP(D122,'Corrected Register'!$A$5:$A$136,'Corrected Register'!$M$5:$M$136),0))),IFERROR(XLOOKUP(D122,'Corrected Register'!$A$5:$A$136,'Corrected Register'!$N$5:$N$136),0))</f>
        <v>511.01</v>
      </c>
      <c r="H122" s="7" t="inlineStr">
        <is>
          <t>Security review + locate. MD-00096 stays Missing.</t>
        </is>
      </c>
      <c r="I122" s="7" t="inlineStr">
        <is>
          <t>IT Operations Manager</t>
        </is>
      </c>
      <c r="J122" s="7" t="inlineStr">
        <is>
          <t>2026-08-12</t>
        </is>
      </c>
      <c r="K122" s="7" t="inlineStr">
        <is>
          <t>Open</t>
        </is>
      </c>
      <c r="L122" s="7" t="inlineStr">
        <is>
          <t>Walked HR, transfers, tickets. MD-00096 is not in any inbound.</t>
        </is>
      </c>
      <c r="M122" s="12" t="inlineStr">
        <is>
          <t>Blocks certification</t>
        </is>
      </c>
    </row>
    <row r="123">
      <c r="A123" s="7" t="inlineStr">
        <is>
          <t>EX-0119</t>
        </is>
      </c>
      <c r="B123" s="7" t="inlineStr">
        <is>
          <t>Former Employee Assignment</t>
        </is>
      </c>
      <c r="C123" s="8" t="inlineStr">
        <is>
          <t>Critical</t>
        </is>
      </c>
      <c r="D123" s="7" t="inlineStr">
        <is>
          <t>MD-00096</t>
        </is>
      </c>
      <c r="E123" s="7" t="inlineStr">
        <is>
          <t>MD-NE-050096</t>
        </is>
      </c>
      <c r="F123" s="7" t="inlineStr">
        <is>
          <t>Employee:E0084; Ticket:OFF-00096</t>
        </is>
      </c>
      <c r="G123" s="7">
        <f>IF(B123="Inventory-to-Ledger Difference",IF(IFERROR(XLOOKUP(D123,'Source Ledger'!$B$5:$B$133,'Source Ledger'!$E$5:$E$133),"")="",IFERROR(XLOOKUP(D123,'Corrected Register'!$A$5:$A$136,'Corrected Register'!$M$5:$M$136),0),ABS(IFERROR(XLOOKUP(D123,'Source Ledger'!$B$5:$B$133,'Source Ledger'!$E$5:$E$133),0)-IFERROR(XLOOKUP(D123,'Corrected Register'!$A$5:$A$136,'Corrected Register'!$M$5:$M$136),0))),IFERROR(XLOOKUP(D123,'Corrected Register'!$A$5:$A$136,'Corrected Register'!$N$5:$N$136),0))</f>
        <v>511.01</v>
      </c>
      <c r="H123" s="7" t="inlineStr">
        <is>
          <t>HR already termed E0084. Update MD-00096 assignment.</t>
        </is>
      </c>
      <c r="I123" s="7" t="inlineStr">
        <is>
          <t>HR Operations Lead</t>
        </is>
      </c>
      <c r="J123" s="7" t="inlineStr">
        <is>
          <t>2026-08-16</t>
        </is>
      </c>
      <c r="K123" s="7" t="inlineStr">
        <is>
          <t>Open</t>
        </is>
      </c>
      <c r="L123" s="7" t="inlineStr">
        <is>
          <t>OFF-00096 vs hr_employee_status: people side is done, asset isn't.</t>
        </is>
      </c>
      <c r="M123" s="12" t="inlineStr">
        <is>
          <t>Blocks certification</t>
        </is>
      </c>
    </row>
    <row r="124">
      <c r="A124" s="7" t="inlineStr">
        <is>
          <t>EX-0120</t>
        </is>
      </c>
      <c r="B124" s="7" t="inlineStr">
        <is>
          <t>Cannot Locate</t>
        </is>
      </c>
      <c r="C124" s="8" t="inlineStr">
        <is>
          <t>Critical</t>
        </is>
      </c>
      <c r="D124" s="7" t="inlineStr">
        <is>
          <t>MD-00097</t>
        </is>
      </c>
      <c r="E124" s="7" t="inlineStr">
        <is>
          <t>MD-LA-050097</t>
        </is>
      </c>
      <c r="F124" s="7" t="inlineStr">
        <is>
          <t>Ticket:OFF-00097; Transfer:TR-00097; LastRegisterLocation:Denver - Closed</t>
        </is>
      </c>
      <c r="G124" s="7">
        <f>IF(B124="Inventory-to-Ledger Difference",IF(IFERROR(XLOOKUP(D124,'Source Ledger'!$B$5:$B$133,'Source Ledger'!$E$5:$E$133),"")="",IFERROR(XLOOKUP(D124,'Corrected Register'!$A$5:$A$136,'Corrected Register'!$M$5:$M$136),0),ABS(IFERROR(XLOOKUP(D124,'Source Ledger'!$B$5:$B$133,'Source Ledger'!$E$5:$E$133),0)-IFERROR(XLOOKUP(D124,'Corrected Register'!$A$5:$A$136,'Corrected Register'!$M$5:$M$136),0))),IFERROR(XLOOKUP(D124,'Corrected Register'!$A$5:$A$136,'Corrected Register'!$N$5:$N$136),0))</f>
        <v>0</v>
      </c>
      <c r="H124" s="7" t="inlineStr">
        <is>
          <t>MD-00097 dropped off the map after Denver - Closed. Investigate; don't tidy the status.</t>
        </is>
      </c>
      <c r="I124" s="7" t="inlineStr">
        <is>
          <t>IT Operations Manager</t>
        </is>
      </c>
      <c r="J124" s="7" t="inlineStr">
        <is>
          <t>2026-08-12</t>
        </is>
      </c>
      <c r="K124" s="7" t="inlineStr">
        <is>
          <t>Open</t>
        </is>
      </c>
      <c r="L124" s="7" t="inlineStr">
        <is>
          <t>Couldn't prove a location. Ticket:OFF-00097; Transfer:TR-00097; LastRegisterLocation:Denver - Closed</t>
        </is>
      </c>
      <c r="M124" s="12" t="inlineStr">
        <is>
          <t>Blocks certification</t>
        </is>
      </c>
    </row>
    <row r="125">
      <c r="A125" s="7" t="inlineStr">
        <is>
          <t>EX-0121</t>
        </is>
      </c>
      <c r="B125" s="7" t="inlineStr">
        <is>
          <t>Former Employee Assignment</t>
        </is>
      </c>
      <c r="C125" s="8" t="inlineStr">
        <is>
          <t>Critical</t>
        </is>
      </c>
      <c r="D125" s="7" t="inlineStr">
        <is>
          <t>MD-00097</t>
        </is>
      </c>
      <c r="E125" s="7" t="inlineStr">
        <is>
          <t>MD-LA-050097</t>
        </is>
      </c>
      <c r="F125" s="7" t="inlineStr">
        <is>
          <t>Employee:E0085; Ticket:OFF-00097</t>
        </is>
      </c>
      <c r="G125" s="7">
        <f>IF(B125="Inventory-to-Ledger Difference",IF(IFERROR(XLOOKUP(D125,'Source Ledger'!$B$5:$B$133,'Source Ledger'!$E$5:$E$133),"")="",IFERROR(XLOOKUP(D125,'Corrected Register'!$A$5:$A$136,'Corrected Register'!$M$5:$M$136),0),ABS(IFERROR(XLOOKUP(D125,'Source Ledger'!$B$5:$B$133,'Source Ledger'!$E$5:$E$133),0)-IFERROR(XLOOKUP(D125,'Corrected Register'!$A$5:$A$136,'Corrected Register'!$M$5:$M$136),0))),IFERROR(XLOOKUP(D125,'Corrected Register'!$A$5:$A$136,'Corrected Register'!$N$5:$N$136),0))</f>
        <v>0</v>
      </c>
      <c r="H125" s="7" t="inlineStr">
        <is>
          <t>Take E0085 off MD-00097. Park with Regional IT / IT Stock.</t>
        </is>
      </c>
      <c r="I125" s="7" t="inlineStr">
        <is>
          <t>HR Operations Lead</t>
        </is>
      </c>
      <c r="J125" s="7" t="inlineStr">
        <is>
          <t>2026-08-16</t>
        </is>
      </c>
      <c r="K125" s="7" t="inlineStr">
        <is>
          <t>Open</t>
        </is>
      </c>
      <c r="L125" s="7" t="inlineStr">
        <is>
          <t>MD-00097 custodian is a former employee in HR (E0085).</t>
        </is>
      </c>
      <c r="M125" s="12" t="inlineStr">
        <is>
          <t>Blocks certification</t>
        </is>
      </c>
    </row>
    <row r="126">
      <c r="A126" s="7" t="inlineStr">
        <is>
          <t>EX-0122</t>
        </is>
      </c>
      <c r="B126" s="7" t="inlineStr">
        <is>
          <t>Cannot Locate</t>
        </is>
      </c>
      <c r="C126" s="8" t="inlineStr">
        <is>
          <t>Critical</t>
        </is>
      </c>
      <c r="D126" s="7" t="inlineStr">
        <is>
          <t>MD-00098</t>
        </is>
      </c>
      <c r="E126" s="7" t="inlineStr">
        <is>
          <t>MD-MO-050098</t>
        </is>
      </c>
      <c r="F126" s="7" t="inlineStr">
        <is>
          <t>Ticket:OFF-00098; Transfer:TR-00098; LastRegisterLocation:Chicago - Closed</t>
        </is>
      </c>
      <c r="G126" s="7">
        <f>IF(B126="Inventory-to-Ledger Difference",IF(IFERROR(XLOOKUP(D126,'Source Ledger'!$B$5:$B$133,'Source Ledger'!$E$5:$E$133),"")="",IFERROR(XLOOKUP(D126,'Corrected Register'!$A$5:$A$136,'Corrected Register'!$M$5:$M$136),0),ABS(IFERROR(XLOOKUP(D126,'Source Ledger'!$B$5:$B$133,'Source Ledger'!$E$5:$E$133),0)-IFERROR(XLOOKUP(D126,'Corrected Register'!$A$5:$A$136,'Corrected Register'!$M$5:$M$136),0))),IFERROR(XLOOKUP(D126,'Corrected Register'!$A$5:$A$136,'Corrected Register'!$N$5:$N$136),0))</f>
        <v>266.87</v>
      </c>
      <c r="H126" s="7" t="inlineStr">
        <is>
          <t>Cannot locate MD-00098. Ticket OFF-00098. Missing until count or approved write-off.</t>
        </is>
      </c>
      <c r="I126" s="7" t="inlineStr">
        <is>
          <t>IT Operations Manager</t>
        </is>
      </c>
      <c r="J126" s="7" t="inlineStr">
        <is>
          <t>2026-08-12</t>
        </is>
      </c>
      <c r="K126" s="7" t="inlineStr">
        <is>
          <t>Open</t>
        </is>
      </c>
      <c r="L126" s="7" t="inlineStr">
        <is>
          <t>Walked HR, transfers, tickets. MD-00098 is not in any inbound.</t>
        </is>
      </c>
      <c r="M126" s="12" t="inlineStr">
        <is>
          <t>Blocks certification</t>
        </is>
      </c>
    </row>
    <row r="127">
      <c r="A127" s="7" t="inlineStr">
        <is>
          <t>EX-0123</t>
        </is>
      </c>
      <c r="B127" s="7" t="inlineStr">
        <is>
          <t>Former Employee Assignment</t>
        </is>
      </c>
      <c r="C127" s="8" t="inlineStr">
        <is>
          <t>Critical</t>
        </is>
      </c>
      <c r="D127" s="7" t="inlineStr">
        <is>
          <t>MD-00098</t>
        </is>
      </c>
      <c r="E127" s="7" t="inlineStr">
        <is>
          <t>MD-MO-050098</t>
        </is>
      </c>
      <c r="F127" s="7" t="inlineStr">
        <is>
          <t>Employee:E0086; Ticket:OFF-00098</t>
        </is>
      </c>
      <c r="G127" s="7">
        <f>IF(B127="Inventory-to-Ledger Difference",IF(IFERROR(XLOOKUP(D127,'Source Ledger'!$B$5:$B$133,'Source Ledger'!$E$5:$E$133),"")="",IFERROR(XLOOKUP(D127,'Corrected Register'!$A$5:$A$136,'Corrected Register'!$M$5:$M$136),0),ABS(IFERROR(XLOOKUP(D127,'Source Ledger'!$B$5:$B$133,'Source Ledger'!$E$5:$E$133),0)-IFERROR(XLOOKUP(D127,'Corrected Register'!$A$5:$A$136,'Corrected Register'!$M$5:$M$136),0))),IFERROR(XLOOKUP(D127,'Corrected Register'!$A$5:$A$136,'Corrected Register'!$N$5:$N$136),0))</f>
        <v>266.87</v>
      </c>
      <c r="H127" s="7" t="inlineStr">
        <is>
          <t>Unassign MD-00098 from the former employee. OFF-00098 is the offboarding ticket.</t>
        </is>
      </c>
      <c r="I127" s="7" t="inlineStr">
        <is>
          <t>HR Operations Lead</t>
        </is>
      </c>
      <c r="J127" s="7" t="inlineStr">
        <is>
          <t>2026-08-16</t>
        </is>
      </c>
      <c r="K127" s="7" t="inlineStr">
        <is>
          <t>Open</t>
        </is>
      </c>
      <c r="L127" s="7" t="inlineStr">
        <is>
          <t>People record is closed; MD-00098 isn't. OFF-00098.</t>
        </is>
      </c>
      <c r="M127" s="12" t="inlineStr">
        <is>
          <t>Blocks certification</t>
        </is>
      </c>
    </row>
    <row r="128">
      <c r="A128" s="7" t="inlineStr">
        <is>
          <t>EX-0124</t>
        </is>
      </c>
      <c r="B128" s="7" t="inlineStr">
        <is>
          <t>Cannot Locate</t>
        </is>
      </c>
      <c r="C128" s="8" t="inlineStr">
        <is>
          <t>Critical</t>
        </is>
      </c>
      <c r="D128" s="7" t="inlineStr">
        <is>
          <t>MD-00099</t>
        </is>
      </c>
      <c r="E128" s="7" t="inlineStr">
        <is>
          <t>MD-MO-050099</t>
        </is>
      </c>
      <c r="F128" s="7" t="inlineStr">
        <is>
          <t>Ticket:OFF-00099; Transfer:TR-00099; LastRegisterLocation:Denver - Closed</t>
        </is>
      </c>
      <c r="G128" s="7">
        <f>IF(B128="Inventory-to-Ledger Difference",IF(IFERROR(XLOOKUP(D128,'Source Ledger'!$B$5:$B$133,'Source Ledger'!$E$5:$E$133),"")="",IFERROR(XLOOKUP(D128,'Corrected Register'!$A$5:$A$136,'Corrected Register'!$M$5:$M$136),0),ABS(IFERROR(XLOOKUP(D128,'Source Ledger'!$B$5:$B$133,'Source Ledger'!$E$5:$E$133),0)-IFERROR(XLOOKUP(D128,'Corrected Register'!$A$5:$A$136,'Corrected Register'!$M$5:$M$136),0))),IFERROR(XLOOKUP(D128,'Corrected Register'!$A$5:$A$136,'Corrected Register'!$N$5:$N$136),0))</f>
        <v>548.24</v>
      </c>
      <c r="H128" s="7" t="inlineStr">
        <is>
          <t>OFF-00099: still gone. Don't invent a stock location for MD-00099.</t>
        </is>
      </c>
      <c r="I128" s="7" t="inlineStr">
        <is>
          <t>IT Operations Manager</t>
        </is>
      </c>
      <c r="J128" s="7" t="inlineStr">
        <is>
          <t>2026-08-12</t>
        </is>
      </c>
      <c r="K128" s="7" t="inlineStr">
        <is>
          <t>Open</t>
        </is>
      </c>
      <c r="L128" s="7" t="inlineStr">
        <is>
          <t>Couldn't prove a location. Ticket:OFF-00099; Transfer:TR-00099; LastRegisterLocation:Denver - Closed</t>
        </is>
      </c>
      <c r="M128" s="12" t="inlineStr">
        <is>
          <t>Blocks certification</t>
        </is>
      </c>
    </row>
    <row r="129">
      <c r="A129" s="7" t="inlineStr">
        <is>
          <t>EX-0125</t>
        </is>
      </c>
      <c r="B129" s="7" t="inlineStr">
        <is>
          <t>Former Employee Assignment</t>
        </is>
      </c>
      <c r="C129" s="8" t="inlineStr">
        <is>
          <t>Critical</t>
        </is>
      </c>
      <c r="D129" s="7" t="inlineStr">
        <is>
          <t>MD-00099</t>
        </is>
      </c>
      <c r="E129" s="7" t="inlineStr">
        <is>
          <t>MD-MO-050099</t>
        </is>
      </c>
      <c r="F129" s="7" t="inlineStr">
        <is>
          <t>Employee:E0087; Ticket:OFF-00099</t>
        </is>
      </c>
      <c r="G129" s="7">
        <f>IF(B129="Inventory-to-Ledger Difference",IF(IFERROR(XLOOKUP(D129,'Source Ledger'!$B$5:$B$133,'Source Ledger'!$E$5:$E$133),"")="",IFERROR(XLOOKUP(D129,'Corrected Register'!$A$5:$A$136,'Corrected Register'!$M$5:$M$136),0),ABS(IFERROR(XLOOKUP(D129,'Source Ledger'!$B$5:$B$133,'Source Ledger'!$E$5:$E$133),0)-IFERROR(XLOOKUP(D129,'Corrected Register'!$A$5:$A$136,'Corrected Register'!$M$5:$M$136),0))),IFERROR(XLOOKUP(D129,'Corrected Register'!$A$5:$A$136,'Corrected Register'!$N$5:$N$136),0))</f>
        <v>548.24</v>
      </c>
      <c r="H129" s="7" t="inlineStr">
        <is>
          <t>OFF-00099 closed the people side; asset row still shows the leaver. Fix custodian.</t>
        </is>
      </c>
      <c r="I129" s="7" t="inlineStr">
        <is>
          <t>HR Operations Lead</t>
        </is>
      </c>
      <c r="J129" s="7" t="inlineStr">
        <is>
          <t>2026-08-16</t>
        </is>
      </c>
      <c r="K129" s="7" t="inlineStr">
        <is>
          <t>Open</t>
        </is>
      </c>
      <c r="L129" s="7" t="inlineStr">
        <is>
          <t>Leaver still on MD-00099. E0087.</t>
        </is>
      </c>
      <c r="M129" s="12" t="inlineStr">
        <is>
          <t>Blocks certification</t>
        </is>
      </c>
    </row>
    <row r="130">
      <c r="A130" s="7" t="inlineStr">
        <is>
          <t>EX-0126</t>
        </is>
      </c>
      <c r="B130" s="7" t="inlineStr">
        <is>
          <t>Cannot Locate</t>
        </is>
      </c>
      <c r="C130" s="8" t="inlineStr">
        <is>
          <t>Critical</t>
        </is>
      </c>
      <c r="D130" s="7" t="inlineStr">
        <is>
          <t>MD-00100</t>
        </is>
      </c>
      <c r="E130" s="7" t="inlineStr">
        <is>
          <t>MD-NE-050100</t>
        </is>
      </c>
      <c r="F130" s="7" t="inlineStr">
        <is>
          <t>Ticket:OFF-00100; Transfer:TR-00100; LastRegisterLocation:Chicago - Closed</t>
        </is>
      </c>
      <c r="G130" s="7">
        <f>IF(B130="Inventory-to-Ledger Difference",IF(IFERROR(XLOOKUP(D130,'Source Ledger'!$B$5:$B$133,'Source Ledger'!$E$5:$E$133),"")="",IFERROR(XLOOKUP(D130,'Corrected Register'!$A$5:$A$136,'Corrected Register'!$M$5:$M$136),0),ABS(IFERROR(XLOOKUP(D130,'Source Ledger'!$B$5:$B$133,'Source Ledger'!$E$5:$E$133),0)-IFERROR(XLOOKUP(D130,'Corrected Register'!$A$5:$A$136,'Corrected Register'!$M$5:$M$136),0))),IFERROR(XLOOKUP(D130,'Corrected Register'!$A$5:$A$136,'Corrected Register'!$N$5:$N$136),0))</f>
        <v>927.36</v>
      </c>
      <c r="H130" s="7" t="inlineStr">
        <is>
          <t>Write-off only with approval. Until then MD-00100 is Missing.</t>
        </is>
      </c>
      <c r="I130" s="7" t="inlineStr">
        <is>
          <t>IT Operations Manager</t>
        </is>
      </c>
      <c r="J130" s="7" t="inlineStr">
        <is>
          <t>2026-08-12</t>
        </is>
      </c>
      <c r="K130" s="7" t="inlineStr">
        <is>
          <t>Open</t>
        </is>
      </c>
      <c r="L130" s="7" t="inlineStr">
        <is>
          <t>MD-00100: nothing higher-precedence than a closed-floor register row.</t>
        </is>
      </c>
      <c r="M130" s="12" t="inlineStr">
        <is>
          <t>Blocks certification</t>
        </is>
      </c>
    </row>
    <row r="131">
      <c r="A131" s="7" t="inlineStr">
        <is>
          <t>EX-0127</t>
        </is>
      </c>
      <c r="B131" s="7" t="inlineStr">
        <is>
          <t>Former Employee Assignment</t>
        </is>
      </c>
      <c r="C131" s="8" t="inlineStr">
        <is>
          <t>Critical</t>
        </is>
      </c>
      <c r="D131" s="7" t="inlineStr">
        <is>
          <t>MD-00100</t>
        </is>
      </c>
      <c r="E131" s="7" t="inlineStr">
        <is>
          <t>MD-NE-050100</t>
        </is>
      </c>
      <c r="F131" s="7" t="inlineStr">
        <is>
          <t>Employee:E0088; Ticket:OFF-00100</t>
        </is>
      </c>
      <c r="G131" s="7">
        <f>IF(B131="Inventory-to-Ledger Difference",IF(IFERROR(XLOOKUP(D131,'Source Ledger'!$B$5:$B$133,'Source Ledger'!$E$5:$E$133),"")="",IFERROR(XLOOKUP(D131,'Corrected Register'!$A$5:$A$136,'Corrected Register'!$M$5:$M$136),0),ABS(IFERROR(XLOOKUP(D131,'Source Ledger'!$B$5:$B$133,'Source Ledger'!$E$5:$E$133),0)-IFERROR(XLOOKUP(D131,'Corrected Register'!$A$5:$A$136,'Corrected Register'!$M$5:$M$136),0))),IFERROR(XLOOKUP(D131,'Corrected Register'!$A$5:$A$136,'Corrected Register'!$N$5:$N$136),0))</f>
        <v>927.36</v>
      </c>
      <c r="H131" s="7" t="inlineStr">
        <is>
          <t>MD-00100: former employee still listed. That's the fix.</t>
        </is>
      </c>
      <c r="I131" s="7" t="inlineStr">
        <is>
          <t>HR Operations Lead</t>
        </is>
      </c>
      <c r="J131" s="7" t="inlineStr">
        <is>
          <t>2026-08-16</t>
        </is>
      </c>
      <c r="K131" s="7" t="inlineStr">
        <is>
          <t>Open</t>
        </is>
      </c>
      <c r="L131" s="7" t="inlineStr">
        <is>
          <t>Checked the term date against the assignment. Stale owner on MD-00100.</t>
        </is>
      </c>
      <c r="M131" s="12" t="inlineStr">
        <is>
          <t>Blocks certification</t>
        </is>
      </c>
    </row>
    <row r="132">
      <c r="A132" s="7" t="inlineStr">
        <is>
          <t>EX-0128</t>
        </is>
      </c>
      <c r="B132" s="7" t="inlineStr">
        <is>
          <t>Missing Disposal Evidence</t>
        </is>
      </c>
      <c r="C132" s="10" t="inlineStr">
        <is>
          <t>High</t>
        </is>
      </c>
      <c r="D132" s="7" t="inlineStr">
        <is>
          <t>MD-00101</t>
        </is>
      </c>
      <c r="E132" s="7" t="inlineStr">
        <is>
          <t>MD-LA-050101</t>
        </is>
      </c>
      <c r="F132" s="7" t="inlineStr">
        <is>
          <t>Ticket:RET-00101; Transfer:TR-00101; Certificate:missing</t>
        </is>
      </c>
      <c r="G132" s="7">
        <f>IF(B132="Inventory-to-Ledger Difference",IF(IFERROR(XLOOKUP(D132,'Source Ledger'!$B$5:$B$133,'Source Ledger'!$E$5:$E$133),"")="",IFERROR(XLOOKUP(D132,'Corrected Register'!$A$5:$A$136,'Corrected Register'!$M$5:$M$136),0),ABS(IFERROR(XLOOKUP(D132,'Source Ledger'!$B$5:$B$133,'Source Ledger'!$E$5:$E$133),0)-IFERROR(XLOOKUP(D132,'Corrected Register'!$A$5:$A$136,'Corrected Register'!$M$5:$M$136),0))),IFERROR(XLOOKUP(D132,'Corrected Register'!$A$5:$A$136,'Corrected Register'!$N$5:$N$136),0))</f>
        <v>0</v>
      </c>
      <c r="H132" s="7" t="inlineStr">
        <is>
          <t>RET-00101 has no matching cert. MD-00101 stays pending-disposal.</t>
        </is>
      </c>
      <c r="I132" s="7" t="inlineStr">
        <is>
          <t>IT Asset Manager</t>
        </is>
      </c>
      <c r="J132" s="7" t="inlineStr">
        <is>
          <t>2026-08-23</t>
        </is>
      </c>
      <c r="K132" s="7" t="inlineStr">
        <is>
          <t>Open</t>
        </is>
      </c>
      <c r="L132" s="7" t="inlineStr">
        <is>
          <t>Disposal file has no row matching MD-00101 / MD-LA-050101.</t>
        </is>
      </c>
      <c r="M132" s="7" t="inlineStr">
        <is>
          <t>Requires remediation</t>
        </is>
      </c>
    </row>
    <row r="133">
      <c r="A133" s="7" t="inlineStr">
        <is>
          <t>EX-0129</t>
        </is>
      </c>
      <c r="B133" s="7" t="inlineStr">
        <is>
          <t>Closed Location Assignment</t>
        </is>
      </c>
      <c r="C133" s="11" t="inlineStr">
        <is>
          <t>Medium</t>
        </is>
      </c>
      <c r="D133" s="7" t="inlineStr">
        <is>
          <t>MD-00101</t>
        </is>
      </c>
      <c r="E133" s="7" t="inlineStr">
        <is>
          <t>MD-LA-050101</t>
        </is>
      </c>
      <c r="F133" s="7" t="inlineStr">
        <is>
          <t>RegisterLocation:Denver - Closed; Transfer:TR-00101</t>
        </is>
      </c>
      <c r="G133" s="7">
        <f>IF(B133="Inventory-to-Ledger Difference",IF(IFERROR(XLOOKUP(D133,'Source Ledger'!$B$5:$B$133,'Source Ledger'!$E$5:$E$133),"")="",IFERROR(XLOOKUP(D133,'Corrected Register'!$A$5:$A$136,'Corrected Register'!$M$5:$M$136),0),ABS(IFERROR(XLOOKUP(D133,'Source Ledger'!$B$5:$B$133,'Source Ledger'!$E$5:$E$133),0)-IFERROR(XLOOKUP(D133,'Corrected Register'!$A$5:$A$136,'Corrected Register'!$M$5:$M$136),0))),IFERROR(XLOOKUP(D133,'Corrected Register'!$A$5:$A$136,'Corrected Register'!$N$5:$N$136),0))</f>
        <v>0</v>
      </c>
      <c r="H133" s="7" t="inlineStr">
        <is>
          <t>MD-00101 shouldn't sit on a locked site. Move location to Seattle.</t>
        </is>
      </c>
      <c r="I133" s="7" t="inlineStr">
        <is>
          <t>IT Asset Specialist</t>
        </is>
      </c>
      <c r="J133" s="7" t="inlineStr">
        <is>
          <t>2026-08-19</t>
        </is>
      </c>
      <c r="K133" s="7" t="inlineStr">
        <is>
          <t>Open</t>
        </is>
      </c>
      <c r="L133" s="7" t="inlineStr">
        <is>
          <t>Closed-office leftover on the extract. Denver - Closed. TR-00101.</t>
        </is>
      </c>
      <c r="M133" s="7" t="inlineStr">
        <is>
          <t>Requires remediation</t>
        </is>
      </c>
    </row>
    <row r="134">
      <c r="A134" s="7" t="inlineStr">
        <is>
          <t>EX-0130</t>
        </is>
      </c>
      <c r="B134" s="7" t="inlineStr">
        <is>
          <t>Missing Disposal Evidence</t>
        </is>
      </c>
      <c r="C134" s="10" t="inlineStr">
        <is>
          <t>High</t>
        </is>
      </c>
      <c r="D134" s="7" t="inlineStr">
        <is>
          <t>MD-00102</t>
        </is>
      </c>
      <c r="E134" s="7" t="inlineStr">
        <is>
          <t>MD-MO-050102</t>
        </is>
      </c>
      <c r="F134" s="7" t="inlineStr">
        <is>
          <t>Ticket:RET-00102; Transfer:TR-00102; Certificate:missing</t>
        </is>
      </c>
      <c r="G134" s="7">
        <f>IF(B134="Inventory-to-Ledger Difference",IF(IFERROR(XLOOKUP(D134,'Source Ledger'!$B$5:$B$133,'Source Ledger'!$E$5:$E$133),"")="",IFERROR(XLOOKUP(D134,'Corrected Register'!$A$5:$A$136,'Corrected Register'!$M$5:$M$136),0),ABS(IFERROR(XLOOKUP(D134,'Source Ledger'!$B$5:$B$133,'Source Ledger'!$E$5:$E$133),0)-IFERROR(XLOOKUP(D134,'Corrected Register'!$A$5:$A$136,'Corrected Register'!$M$5:$M$136),0))),IFERROR(XLOOKUP(D134,'Corrected Register'!$A$5:$A$136,'Corrected Register'!$N$5:$N$136),0))</f>
        <v>407.54</v>
      </c>
      <c r="H134" s="7" t="inlineStr">
        <is>
          <t>Paperwork gap on MD-00102. Cert or reverse the retire.</t>
        </is>
      </c>
      <c r="I134" s="7" t="inlineStr">
        <is>
          <t>IT Asset Manager</t>
        </is>
      </c>
      <c r="J134" s="7" t="inlineStr">
        <is>
          <t>2026-08-23</t>
        </is>
      </c>
      <c r="K134" s="7" t="inlineStr">
        <is>
          <t>Open</t>
        </is>
      </c>
      <c r="L134" s="7" t="inlineStr">
        <is>
          <t>No verified certificate. Ticket:RET-00102; Transfer:TR-00102; Certificate:missing</t>
        </is>
      </c>
      <c r="M134" s="7" t="inlineStr">
        <is>
          <t>Requires remediation</t>
        </is>
      </c>
    </row>
    <row r="135">
      <c r="A135" s="7" t="inlineStr">
        <is>
          <t>EX-0131</t>
        </is>
      </c>
      <c r="B135" s="7" t="inlineStr">
        <is>
          <t>Inventory-to-Ledger Difference</t>
        </is>
      </c>
      <c r="C135" s="10" t="inlineStr">
        <is>
          <t>High</t>
        </is>
      </c>
      <c r="D135" s="7" t="inlineStr">
        <is>
          <t>MD-00102</t>
        </is>
      </c>
      <c r="E135" s="7" t="inlineStr">
        <is>
          <t>MD-MO-050102</t>
        </is>
      </c>
      <c r="F135" s="7" t="inlineStr">
        <is>
          <t>Ledger:FA-000102; PO:PO-2022-0017; RegisterCost:700.0; LedgerCost:820.0</t>
        </is>
      </c>
      <c r="G135" s="7">
        <f>IF(B135="Inventory-to-Ledger Difference",IF(IFERROR(XLOOKUP(D135,'Source Ledger'!$B$5:$B$133,'Source Ledger'!$E$5:$E$133),"")="",IFERROR(XLOOKUP(D135,'Corrected Register'!$A$5:$A$136,'Corrected Register'!$M$5:$M$136),0),ABS(IFERROR(XLOOKUP(D135,'Source Ledger'!$B$5:$B$133,'Source Ledger'!$E$5:$E$133),0)-IFERROR(XLOOKUP(D135,'Corrected Register'!$A$5:$A$136,'Corrected Register'!$M$5:$M$136),0))),IFERROR(XLOOKUP(D135,'Corrected Register'!$A$5:$A$136,'Corrected Register'!$N$5:$N$136),0))</f>
        <v>120</v>
      </c>
      <c r="H135" s="7" t="inlineStr">
        <is>
          <t>Don't certify the $ on MD-00102 until register and FA-000102 match.</t>
        </is>
      </c>
      <c r="I135" s="7" t="inlineStr">
        <is>
          <t>Finance Controller</t>
        </is>
      </c>
      <c r="J135" s="7" t="inlineStr">
        <is>
          <t>2026-08-21</t>
        </is>
      </c>
      <c r="K135" s="7" t="inlineStr">
        <is>
          <t>Open</t>
        </is>
      </c>
      <c r="L135" s="7" t="inlineStr">
        <is>
          <t>FA-000102 cost 875.0 vs register 700.0. PO-2022-0017.</t>
        </is>
      </c>
      <c r="M135" s="7" t="inlineStr">
        <is>
          <t>Requires remediation</t>
        </is>
      </c>
    </row>
    <row r="136">
      <c r="A136" s="7" t="inlineStr">
        <is>
          <t>EX-0132</t>
        </is>
      </c>
      <c r="B136" s="7" t="inlineStr">
        <is>
          <t>Closed Location Assignment</t>
        </is>
      </c>
      <c r="C136" s="11" t="inlineStr">
        <is>
          <t>Medium</t>
        </is>
      </c>
      <c r="D136" s="7" t="inlineStr">
        <is>
          <t>MD-00102</t>
        </is>
      </c>
      <c r="E136" s="7" t="inlineStr">
        <is>
          <t>MD-MO-050102</t>
        </is>
      </c>
      <c r="F136" s="7" t="inlineStr">
        <is>
          <t>RegisterLocation:Chicago - Closed; Transfer:TR-00102</t>
        </is>
      </c>
      <c r="G136" s="7">
        <f>IF(B136="Inventory-to-Ledger Difference",IF(IFERROR(XLOOKUP(D136,'Source Ledger'!$B$5:$B$133,'Source Ledger'!$E$5:$E$133),"")="",IFERROR(XLOOKUP(D136,'Corrected Register'!$A$5:$A$136,'Corrected Register'!$M$5:$M$136),0),ABS(IFERROR(XLOOKUP(D136,'Source Ledger'!$B$5:$B$133,'Source Ledger'!$E$5:$E$133),0)-IFERROR(XLOOKUP(D136,'Corrected Register'!$A$5:$A$136,'Corrected Register'!$M$5:$M$136),0))),IFERROR(XLOOKUP(D136,'Corrected Register'!$A$5:$A$136,'Corrected Register'!$N$5:$N$136),0))</f>
        <v>407.54</v>
      </c>
      <c r="H136" s="7" t="inlineStr">
        <is>
          <t>Atlanta is current. Register lagged on Chicago - Closed for MD-00102.</t>
        </is>
      </c>
      <c r="I136" s="7" t="inlineStr">
        <is>
          <t>IT Asset Specialist</t>
        </is>
      </c>
      <c r="J136" s="7" t="inlineStr">
        <is>
          <t>2026-08-19</t>
        </is>
      </c>
      <c r="K136" s="7" t="inlineStr">
        <is>
          <t>Open</t>
        </is>
      </c>
      <c r="L136" s="7" t="inlineStr">
        <is>
          <t>Location on MD-00102 didn't survive the consolidation (Chicago - Closed).</t>
        </is>
      </c>
      <c r="M136" s="7" t="inlineStr">
        <is>
          <t>Requires remediation</t>
        </is>
      </c>
    </row>
    <row r="137">
      <c r="A137" s="7" t="inlineStr">
        <is>
          <t>EX-0133</t>
        </is>
      </c>
      <c r="B137" s="7" t="inlineStr">
        <is>
          <t>Missing Disposal Evidence</t>
        </is>
      </c>
      <c r="C137" s="10" t="inlineStr">
        <is>
          <t>High</t>
        </is>
      </c>
      <c r="D137" s="7" t="inlineStr">
        <is>
          <t>MD-00103</t>
        </is>
      </c>
      <c r="E137" s="7" t="inlineStr">
        <is>
          <t>MD-MO-050103</t>
        </is>
      </c>
      <c r="F137" s="7" t="inlineStr">
        <is>
          <t>Ticket:RET-00103; Transfer:TR-00103; Certificate:missing</t>
        </is>
      </c>
      <c r="G137" s="7">
        <f>IF(B137="Inventory-to-Ledger Difference",IF(IFERROR(XLOOKUP(D137,'Source Ledger'!$B$5:$B$133,'Source Ledger'!$E$5:$E$133),"")="",IFERROR(XLOOKUP(D137,'Corrected Register'!$A$5:$A$136,'Corrected Register'!$M$5:$M$136),0),ABS(IFERROR(XLOOKUP(D137,'Source Ledger'!$B$5:$B$133,'Source Ledger'!$E$5:$E$133),0)-IFERROR(XLOOKUP(D137,'Corrected Register'!$A$5:$A$136,'Corrected Register'!$M$5:$M$136),0))),IFERROR(XLOOKUP(D137,'Corrected Register'!$A$5:$A$136,'Corrected Register'!$N$5:$N$136),0))</f>
        <v>782.53</v>
      </c>
      <c r="H137" s="7" t="inlineStr">
        <is>
          <t>Obtain cert or restock MD-00103. Ticket RET-00103.</t>
        </is>
      </c>
      <c r="I137" s="7" t="inlineStr">
        <is>
          <t>IT Asset Manager</t>
        </is>
      </c>
      <c r="J137" s="7" t="inlineStr">
        <is>
          <t>2026-08-23</t>
        </is>
      </c>
      <c r="K137" s="7" t="inlineStr">
        <is>
          <t>Open</t>
        </is>
      </c>
      <c r="L137" s="7" t="inlineStr">
        <is>
          <t>Looked in asset_disposal_records. Nothing for MD-00103.</t>
        </is>
      </c>
      <c r="M137" s="7" t="inlineStr">
        <is>
          <t>Requires remediation</t>
        </is>
      </c>
    </row>
    <row r="138">
      <c r="A138" s="7" t="inlineStr">
        <is>
          <t>EX-0134</t>
        </is>
      </c>
      <c r="B138" s="7" t="inlineStr">
        <is>
          <t>Closed Location Assignment</t>
        </is>
      </c>
      <c r="C138" s="11" t="inlineStr">
        <is>
          <t>Medium</t>
        </is>
      </c>
      <c r="D138" s="7" t="inlineStr">
        <is>
          <t>MD-00103</t>
        </is>
      </c>
      <c r="E138" s="7" t="inlineStr">
        <is>
          <t>MD-MO-050103</t>
        </is>
      </c>
      <c r="F138" s="7" t="inlineStr">
        <is>
          <t>RegisterLocation:Denver - Closed; Transfer:TR-00103</t>
        </is>
      </c>
      <c r="G138" s="7">
        <f>IF(B138="Inventory-to-Ledger Difference",IF(IFERROR(XLOOKUP(D138,'Source Ledger'!$B$5:$B$133,'Source Ledger'!$E$5:$E$133),"")="",IFERROR(XLOOKUP(D138,'Corrected Register'!$A$5:$A$136,'Corrected Register'!$M$5:$M$136),0),ABS(IFERROR(XLOOKUP(D138,'Source Ledger'!$B$5:$B$133,'Source Ledger'!$E$5:$E$133),0)-IFERROR(XLOOKUP(D138,'Corrected Register'!$A$5:$A$136,'Corrected Register'!$M$5:$M$136),0))),IFERROR(XLOOKUP(D138,'Corrected Register'!$A$5:$A$136,'Corrected Register'!$N$5:$N$136),0))</f>
        <v>782.53</v>
      </c>
      <c r="H138" s="7" t="inlineStr">
        <is>
          <t>Pull MD-00103 out of Denver - Closed and park it at Chicago.</t>
        </is>
      </c>
      <c r="I138" s="7" t="inlineStr">
        <is>
          <t>IT Asset Specialist</t>
        </is>
      </c>
      <c r="J138" s="7" t="inlineStr">
        <is>
          <t>2026-08-19</t>
        </is>
      </c>
      <c r="K138" s="7" t="inlineStr">
        <is>
          <t>Open</t>
        </is>
      </c>
      <c r="L138" s="7" t="inlineStr">
        <is>
          <t>Consolidation leftover: MD-00103 @ Denver - Closed.</t>
        </is>
      </c>
      <c r="M138" s="7" t="inlineStr">
        <is>
          <t>Requires remediation</t>
        </is>
      </c>
    </row>
    <row r="139">
      <c r="A139" s="7" t="inlineStr">
        <is>
          <t>EX-0135</t>
        </is>
      </c>
      <c r="B139" s="7" t="inlineStr">
        <is>
          <t>Missing Disposal Evidence</t>
        </is>
      </c>
      <c r="C139" s="10" t="inlineStr">
        <is>
          <t>High</t>
        </is>
      </c>
      <c r="D139" s="7" t="inlineStr">
        <is>
          <t>MD-00104</t>
        </is>
      </c>
      <c r="E139" s="7" t="inlineStr">
        <is>
          <t>MD-NE-050104</t>
        </is>
      </c>
      <c r="F139" s="7" t="inlineStr">
        <is>
          <t>Ticket:RET-00104; Transfer:TR-00104; Certificate:missing</t>
        </is>
      </c>
      <c r="G139" s="7">
        <f>IF(B139="Inventory-to-Ledger Difference",IF(IFERROR(XLOOKUP(D139,'Source Ledger'!$B$5:$B$133,'Source Ledger'!$E$5:$E$133),"")="",IFERROR(XLOOKUP(D139,'Corrected Register'!$A$5:$A$136,'Corrected Register'!$M$5:$M$136),0),ABS(IFERROR(XLOOKUP(D139,'Source Ledger'!$B$5:$B$133,'Source Ledger'!$E$5:$E$133),0)-IFERROR(XLOOKUP(D139,'Corrected Register'!$A$5:$A$136,'Corrected Register'!$M$5:$M$136),0))),IFERROR(XLOOKUP(D139,'Corrected Register'!$A$5:$A$136,'Corrected Register'!$N$5:$N$136),0))</f>
        <v>1403.83</v>
      </c>
      <c r="H139" s="7" t="inlineStr">
        <is>
          <t>RET-00104 has no matching cert. MD-00104 stays pending-disposal.</t>
        </is>
      </c>
      <c r="I139" s="7" t="inlineStr">
        <is>
          <t>IT Asset Manager</t>
        </is>
      </c>
      <c r="J139" s="7" t="inlineStr">
        <is>
          <t>2026-08-23</t>
        </is>
      </c>
      <c r="K139" s="7" t="inlineStr">
        <is>
          <t>Open</t>
        </is>
      </c>
      <c r="L139" s="7" t="inlineStr">
        <is>
          <t>Disposal file has no row matching MD-00104 / MD-NE-050104.</t>
        </is>
      </c>
      <c r="M139" s="7" t="inlineStr">
        <is>
          <t>Requires remediation</t>
        </is>
      </c>
    </row>
    <row r="140">
      <c r="A140" s="7" t="inlineStr">
        <is>
          <t>EX-0136</t>
        </is>
      </c>
      <c r="B140" s="7" t="inlineStr">
        <is>
          <t>Closed Location Assignment</t>
        </is>
      </c>
      <c r="C140" s="11" t="inlineStr">
        <is>
          <t>Medium</t>
        </is>
      </c>
      <c r="D140" s="7" t="inlineStr">
        <is>
          <t>MD-00104</t>
        </is>
      </c>
      <c r="E140" s="7" t="inlineStr">
        <is>
          <t>MD-NE-050104</t>
        </is>
      </c>
      <c r="F140" s="7" t="inlineStr">
        <is>
          <t>RegisterLocation:Chicago - Closed; Transfer:TR-00104</t>
        </is>
      </c>
      <c r="G140" s="7">
        <f>IF(B140="Inventory-to-Ledger Difference",IF(IFERROR(XLOOKUP(D140,'Source Ledger'!$B$5:$B$133,'Source Ledger'!$E$5:$E$133),"")="",IFERROR(XLOOKUP(D140,'Corrected Register'!$A$5:$A$136,'Corrected Register'!$M$5:$M$136),0),ABS(IFERROR(XLOOKUP(D140,'Source Ledger'!$B$5:$B$133,'Source Ledger'!$E$5:$E$133),0)-IFERROR(XLOOKUP(D140,'Corrected Register'!$A$5:$A$136,'Corrected Register'!$M$5:$M$136),0))),IFERROR(XLOOKUP(D140,'Corrected Register'!$A$5:$A$136,'Corrected Register'!$N$5:$N$136),0))</f>
        <v>1403.83</v>
      </c>
      <c r="H140" s="7" t="inlineStr">
        <is>
          <t>Chicago - Closed is shut. Rewrite the register location (MD-00104).</t>
        </is>
      </c>
      <c r="I140" s="7" t="inlineStr">
        <is>
          <t>IT Asset Specialist</t>
        </is>
      </c>
      <c r="J140" s="7" t="inlineStr">
        <is>
          <t>2026-08-19</t>
        </is>
      </c>
      <c r="K140" s="7" t="inlineStr">
        <is>
          <t>Open</t>
        </is>
      </c>
      <c r="L140" s="7" t="inlineStr">
        <is>
          <t>Closed-office leftover on the extract. Chicago - Closed. TR-00104.</t>
        </is>
      </c>
      <c r="M140" s="7" t="inlineStr">
        <is>
          <t>Requires remediation</t>
        </is>
      </c>
    </row>
    <row r="141">
      <c r="A141" s="7" t="inlineStr">
        <is>
          <t>EX-0137</t>
        </is>
      </c>
      <c r="B141" s="7" t="inlineStr">
        <is>
          <t>Missing Disposal Evidence</t>
        </is>
      </c>
      <c r="C141" s="10" t="inlineStr">
        <is>
          <t>High</t>
        </is>
      </c>
      <c r="D141" s="7" t="inlineStr">
        <is>
          <t>MD-00105</t>
        </is>
      </c>
      <c r="E141" s="7" t="inlineStr">
        <is>
          <t>MD-LA-050105</t>
        </is>
      </c>
      <c r="F141" s="7" t="inlineStr">
        <is>
          <t>Ticket:RET-00105; Transfer:TR-00105; Certificate:missing</t>
        </is>
      </c>
      <c r="G141" s="7">
        <f>IF(B141="Inventory-to-Ledger Difference",IF(IFERROR(XLOOKUP(D141,'Source Ledger'!$B$5:$B$133,'Source Ledger'!$E$5:$E$133),"")="",IFERROR(XLOOKUP(D141,'Corrected Register'!$A$5:$A$136,'Corrected Register'!$M$5:$M$136),0),ABS(IFERROR(XLOOKUP(D141,'Source Ledger'!$B$5:$B$133,'Source Ledger'!$E$5:$E$133),0)-IFERROR(XLOOKUP(D141,'Corrected Register'!$A$5:$A$136,'Corrected Register'!$M$5:$M$136),0))),IFERROR(XLOOKUP(D141,'Corrected Register'!$A$5:$A$136,'Corrected Register'!$N$5:$N$136),0))</f>
        <v>104.26</v>
      </c>
      <c r="H141" s="7" t="inlineStr">
        <is>
          <t>Paperwork gap on MD-00105. Cert or reverse the retire.</t>
        </is>
      </c>
      <c r="I141" s="7" t="inlineStr">
        <is>
          <t>IT Asset Manager</t>
        </is>
      </c>
      <c r="J141" s="7" t="inlineStr">
        <is>
          <t>2026-08-23</t>
        </is>
      </c>
      <c r="K141" s="7" t="inlineStr">
        <is>
          <t>Open</t>
        </is>
      </c>
      <c r="L141" s="7" t="inlineStr">
        <is>
          <t>No verified certificate. Ticket:RET-00105; Transfer:TR-00105; Certificate:missing</t>
        </is>
      </c>
      <c r="M141" s="7" t="inlineStr">
        <is>
          <t>Requires remediation</t>
        </is>
      </c>
    </row>
    <row r="142">
      <c r="A142" s="7" t="inlineStr">
        <is>
          <t>EX-0138</t>
        </is>
      </c>
      <c r="B142" s="7" t="inlineStr">
        <is>
          <t>Closed Location Assignment</t>
        </is>
      </c>
      <c r="C142" s="11" t="inlineStr">
        <is>
          <t>Medium</t>
        </is>
      </c>
      <c r="D142" s="7" t="inlineStr">
        <is>
          <t>MD-00105</t>
        </is>
      </c>
      <c r="E142" s="7" t="inlineStr">
        <is>
          <t>MD-LA-050105</t>
        </is>
      </c>
      <c r="F142" s="7" t="inlineStr">
        <is>
          <t>RegisterLocation:Denver - Closed; Transfer:TR-00105</t>
        </is>
      </c>
      <c r="G142" s="7">
        <f>IF(B142="Inventory-to-Ledger Difference",IF(IFERROR(XLOOKUP(D142,'Source Ledger'!$B$5:$B$133,'Source Ledger'!$E$5:$E$133),"")="",IFERROR(XLOOKUP(D142,'Corrected Register'!$A$5:$A$136,'Corrected Register'!$M$5:$M$136),0),ABS(IFERROR(XLOOKUP(D142,'Source Ledger'!$B$5:$B$133,'Source Ledger'!$E$5:$E$133),0)-IFERROR(XLOOKUP(D142,'Corrected Register'!$A$5:$A$136,'Corrected Register'!$M$5:$M$136),0))),IFERROR(XLOOKUP(D142,'Corrected Register'!$A$5:$A$136,'Corrected Register'!$N$5:$N$136),0))</f>
        <v>104.26</v>
      </c>
      <c r="H142" s="7" t="inlineStr">
        <is>
          <t>Get MD-00105 off Denver - Closed. Operating location is Denver.</t>
        </is>
      </c>
      <c r="I142" s="7" t="inlineStr">
        <is>
          <t>IT Asset Specialist</t>
        </is>
      </c>
      <c r="J142" s="7" t="inlineStr">
        <is>
          <t>2026-08-19</t>
        </is>
      </c>
      <c r="K142" s="7" t="inlineStr">
        <is>
          <t>Open</t>
        </is>
      </c>
      <c r="L142" s="7" t="inlineStr">
        <is>
          <t>TR-00105 destination isn't the shuttered office on the register.</t>
        </is>
      </c>
      <c r="M142" s="7" t="inlineStr">
        <is>
          <t>Requires remediation</t>
        </is>
      </c>
    </row>
    <row r="143">
      <c r="A143" s="7" t="inlineStr">
        <is>
          <t>EX-0139</t>
        </is>
      </c>
      <c r="B143" s="7" t="inlineStr">
        <is>
          <t>Missing Disposal Evidence</t>
        </is>
      </c>
      <c r="C143" s="10" t="inlineStr">
        <is>
          <t>High</t>
        </is>
      </c>
      <c r="D143" s="7" t="inlineStr">
        <is>
          <t>MD-00106</t>
        </is>
      </c>
      <c r="E143" s="7" t="inlineStr">
        <is>
          <t>MD-MO-050106</t>
        </is>
      </c>
      <c r="F143" s="7" t="inlineStr">
        <is>
          <t>Ticket:RET-00106; Transfer:TR-00106; Certificate:missing</t>
        </is>
      </c>
      <c r="G143" s="7">
        <f>IF(B143="Inventory-to-Ledger Difference",IF(IFERROR(XLOOKUP(D143,'Source Ledger'!$B$5:$B$133,'Source Ledger'!$E$5:$E$133),"")="",IFERROR(XLOOKUP(D143,'Corrected Register'!$A$5:$A$136,'Corrected Register'!$M$5:$M$136),0),ABS(IFERROR(XLOOKUP(D143,'Source Ledger'!$B$5:$B$133,'Source Ledger'!$E$5:$E$133),0)-IFERROR(XLOOKUP(D143,'Corrected Register'!$A$5:$A$136,'Corrected Register'!$M$5:$M$136),0))),IFERROR(XLOOKUP(D143,'Corrected Register'!$A$5:$A$136,'Corrected Register'!$N$5:$N$136),0))</f>
        <v>368.24</v>
      </c>
      <c r="H143" s="7" t="inlineStr">
        <is>
          <t>ITAM hold. MD-00106 is not gone until the certificate shows the tag.</t>
        </is>
      </c>
      <c r="I143" s="7" t="inlineStr">
        <is>
          <t>IT Asset Manager</t>
        </is>
      </c>
      <c r="J143" s="7" t="inlineStr">
        <is>
          <t>2026-08-23</t>
        </is>
      </c>
      <c r="K143" s="7" t="inlineStr">
        <is>
          <t>Open</t>
        </is>
      </c>
      <c r="L143" s="7" t="inlineStr">
        <is>
          <t>Retirement path without a DC. MD-00106.</t>
        </is>
      </c>
      <c r="M143" s="7" t="inlineStr">
        <is>
          <t>Requires remediation</t>
        </is>
      </c>
    </row>
    <row r="144">
      <c r="A144" s="7" t="inlineStr">
        <is>
          <t>EX-0140</t>
        </is>
      </c>
      <c r="B144" s="7" t="inlineStr">
        <is>
          <t>Closed Location Assignment</t>
        </is>
      </c>
      <c r="C144" s="11" t="inlineStr">
        <is>
          <t>Medium</t>
        </is>
      </c>
      <c r="D144" s="7" t="inlineStr">
        <is>
          <t>MD-00106</t>
        </is>
      </c>
      <c r="E144" s="7" t="inlineStr">
        <is>
          <t>MD-MO-050106</t>
        </is>
      </c>
      <c r="F144" s="7" t="inlineStr">
        <is>
          <t>RegisterLocation:Chicago - Closed; Transfer:TR-00106</t>
        </is>
      </c>
      <c r="G144" s="7">
        <f>IF(B144="Inventory-to-Ledger Difference",IF(IFERROR(XLOOKUP(D144,'Source Ledger'!$B$5:$B$133,'Source Ledger'!$E$5:$E$133),"")="",IFERROR(XLOOKUP(D144,'Corrected Register'!$A$5:$A$136,'Corrected Register'!$M$5:$M$136),0),ABS(IFERROR(XLOOKUP(D144,'Source Ledger'!$B$5:$B$133,'Source Ledger'!$E$5:$E$133),0)-IFERROR(XLOOKUP(D144,'Corrected Register'!$A$5:$A$136,'Corrected Register'!$M$5:$M$136),0))),IFERROR(XLOOKUP(D144,'Corrected Register'!$A$5:$A$136,'Corrected Register'!$N$5:$N$136),0))</f>
        <v>368.24</v>
      </c>
      <c r="H144" s="7" t="inlineStr">
        <is>
          <t>Location cleanup for MD-00106: Chicago - Closed → New York.</t>
        </is>
      </c>
      <c r="I144" s="7" t="inlineStr">
        <is>
          <t>IT Asset Specialist</t>
        </is>
      </c>
      <c r="J144" s="7" t="inlineStr">
        <is>
          <t>2026-08-19</t>
        </is>
      </c>
      <c r="K144" s="7" t="inlineStr">
        <is>
          <t>Open</t>
        </is>
      </c>
      <c r="L144" s="7" t="inlineStr">
        <is>
          <t>Walked the register vs HR/transfer. MD-00106 still says Chicago - Closed.</t>
        </is>
      </c>
      <c r="M144" s="7" t="inlineStr">
        <is>
          <t>Requires remediation</t>
        </is>
      </c>
    </row>
    <row r="145">
      <c r="A145" s="7" t="inlineStr">
        <is>
          <t>EX-0141</t>
        </is>
      </c>
      <c r="B145" s="7" t="inlineStr">
        <is>
          <t>Missing Disposal Evidence</t>
        </is>
      </c>
      <c r="C145" s="10" t="inlineStr">
        <is>
          <t>High</t>
        </is>
      </c>
      <c r="D145" s="7" t="inlineStr">
        <is>
          <t>MD-00107</t>
        </is>
      </c>
      <c r="E145" s="7" t="inlineStr">
        <is>
          <t>MD-MO-050107</t>
        </is>
      </c>
      <c r="F145" s="7" t="inlineStr">
        <is>
          <t>Ticket:RET-00107; Transfer:TR-00107; Certificate:missing</t>
        </is>
      </c>
      <c r="G145" s="7">
        <f>IF(B145="Inventory-to-Ledger Difference",IF(IFERROR(XLOOKUP(D145,'Source Ledger'!$B$5:$B$133,'Source Ledger'!$E$5:$E$133),"")="",IFERROR(XLOOKUP(D145,'Corrected Register'!$A$5:$A$136,'Corrected Register'!$M$5:$M$136),0),ABS(IFERROR(XLOOKUP(D145,'Source Ledger'!$B$5:$B$133,'Source Ledger'!$E$5:$E$133),0)-IFERROR(XLOOKUP(D145,'Corrected Register'!$A$5:$A$136,'Corrected Register'!$M$5:$M$136),0))),IFERROR(XLOOKUP(D145,'Corrected Register'!$A$5:$A$136,'Corrected Register'!$N$5:$N$136),0))</f>
        <v>812.21</v>
      </c>
      <c r="H145" s="7" t="inlineStr">
        <is>
          <t>Hold the retirement on MD-00107. Need a disposal certificate or put it back in stock.</t>
        </is>
      </c>
      <c r="I145" s="7" t="inlineStr">
        <is>
          <t>IT Asset Manager</t>
        </is>
      </c>
      <c r="J145" s="7" t="inlineStr">
        <is>
          <t>2026-08-23</t>
        </is>
      </c>
      <c r="K145" s="7" t="inlineStr">
        <is>
          <t>Open</t>
        </is>
      </c>
      <c r="L145" s="7" t="inlineStr">
        <is>
          <t>RET-00107 / TR-00107: certificate field empty.</t>
        </is>
      </c>
      <c r="M145" s="7" t="inlineStr">
        <is>
          <t>Requires remediation</t>
        </is>
      </c>
    </row>
    <row r="146">
      <c r="A146" s="7" t="inlineStr">
        <is>
          <t>EX-0142</t>
        </is>
      </c>
      <c r="B146" s="7" t="inlineStr">
        <is>
          <t>Closed Location Assignment</t>
        </is>
      </c>
      <c r="C146" s="11" t="inlineStr">
        <is>
          <t>Medium</t>
        </is>
      </c>
      <c r="D146" s="7" t="inlineStr">
        <is>
          <t>MD-00107</t>
        </is>
      </c>
      <c r="E146" s="7" t="inlineStr">
        <is>
          <t>MD-MO-050107</t>
        </is>
      </c>
      <c r="F146" s="7" t="inlineStr">
        <is>
          <t>RegisterLocation:Denver - Closed; Transfer:TR-00107</t>
        </is>
      </c>
      <c r="G146" s="7">
        <f>IF(B146="Inventory-to-Ledger Difference",IF(IFERROR(XLOOKUP(D146,'Source Ledger'!$B$5:$B$133,'Source Ledger'!$E$5:$E$133),"")="",IFERROR(XLOOKUP(D146,'Corrected Register'!$A$5:$A$136,'Corrected Register'!$M$5:$M$136),0),ABS(IFERROR(XLOOKUP(D146,'Source Ledger'!$B$5:$B$133,'Source Ledger'!$E$5:$E$133),0)-IFERROR(XLOOKUP(D146,'Corrected Register'!$A$5:$A$136,'Corrected Register'!$M$5:$M$136),0))),IFERROR(XLOOKUP(D146,'Corrected Register'!$A$5:$A$136,'Corrected Register'!$N$5:$N$136),0))</f>
        <v>812.21</v>
      </c>
      <c r="H146" s="7" t="inlineStr">
        <is>
          <t>Seattle is current. Register lagged on Denver - Closed for MD-00107.</t>
        </is>
      </c>
      <c r="I146" s="7" t="inlineStr">
        <is>
          <t>IT Asset Specialist</t>
        </is>
      </c>
      <c r="J146" s="7" t="inlineStr">
        <is>
          <t>2026-08-19</t>
        </is>
      </c>
      <c r="K146" s="7" t="inlineStr">
        <is>
          <t>Open</t>
        </is>
      </c>
      <c r="L146" s="7" t="inlineStr">
        <is>
          <t>MD-00107 still coded to a floor we don't occupy (Denver - Closed).</t>
        </is>
      </c>
      <c r="M146" s="7" t="inlineStr">
        <is>
          <t>Requires remediation</t>
        </is>
      </c>
    </row>
    <row r="147">
      <c r="A147" s="7" t="inlineStr">
        <is>
          <t>EX-0143</t>
        </is>
      </c>
      <c r="B147" s="7" t="inlineStr">
        <is>
          <t>Missing Disposal Evidence</t>
        </is>
      </c>
      <c r="C147" s="10" t="inlineStr">
        <is>
          <t>High</t>
        </is>
      </c>
      <c r="D147" s="7" t="inlineStr">
        <is>
          <t>MD-00108</t>
        </is>
      </c>
      <c r="E147" s="7" t="inlineStr">
        <is>
          <t>MD-NE-050108</t>
        </is>
      </c>
      <c r="F147" s="7" t="inlineStr">
        <is>
          <t>Ticket:RET-00108; Transfer:TR-00108; Certificate:missing</t>
        </is>
      </c>
      <c r="G147" s="7">
        <f>IF(B147="Inventory-to-Ledger Difference",IF(IFERROR(XLOOKUP(D147,'Source Ledger'!$B$5:$B$133,'Source Ledger'!$E$5:$E$133),"")="",IFERROR(XLOOKUP(D147,'Corrected Register'!$A$5:$A$136,'Corrected Register'!$M$5:$M$136),0),ABS(IFERROR(XLOOKUP(D147,'Source Ledger'!$B$5:$B$133,'Source Ledger'!$E$5:$E$133),0)-IFERROR(XLOOKUP(D147,'Corrected Register'!$A$5:$A$136,'Corrected Register'!$M$5:$M$136),0))),IFERROR(XLOOKUP(D147,'Corrected Register'!$A$5:$A$136,'Corrected Register'!$N$5:$N$136),0))</f>
        <v>545.48</v>
      </c>
      <c r="H147" s="7" t="inlineStr">
        <is>
          <t>Don't call MD-00108 disposed. Certificate missing.</t>
        </is>
      </c>
      <c r="I147" s="7" t="inlineStr">
        <is>
          <t>IT Asset Manager</t>
        </is>
      </c>
      <c r="J147" s="7" t="inlineStr">
        <is>
          <t>2026-08-23</t>
        </is>
      </c>
      <c r="K147" s="7" t="inlineStr">
        <is>
          <t>Open</t>
        </is>
      </c>
      <c r="L147" s="7" t="inlineStr">
        <is>
          <t>Looked in asset_disposal_records. Nothing for MD-00108.</t>
        </is>
      </c>
      <c r="M147" s="7" t="inlineStr">
        <is>
          <t>Requires remediation</t>
        </is>
      </c>
    </row>
    <row r="148">
      <c r="A148" s="7" t="inlineStr">
        <is>
          <t>EX-0144</t>
        </is>
      </c>
      <c r="B148" s="7" t="inlineStr">
        <is>
          <t>Closed Location Assignment</t>
        </is>
      </c>
      <c r="C148" s="11" t="inlineStr">
        <is>
          <t>Medium</t>
        </is>
      </c>
      <c r="D148" s="7" t="inlineStr">
        <is>
          <t>MD-00108</t>
        </is>
      </c>
      <c r="E148" s="7" t="inlineStr">
        <is>
          <t>MD-NE-050108</t>
        </is>
      </c>
      <c r="F148" s="7" t="inlineStr">
        <is>
          <t>RegisterLocation:Chicago - Closed; Transfer:TR-00108</t>
        </is>
      </c>
      <c r="G148" s="7">
        <f>IF(B148="Inventory-to-Ledger Difference",IF(IFERROR(XLOOKUP(D148,'Source Ledger'!$B$5:$B$133,'Source Ledger'!$E$5:$E$133),"")="",IFERROR(XLOOKUP(D148,'Corrected Register'!$A$5:$A$136,'Corrected Register'!$M$5:$M$136),0),ABS(IFERROR(XLOOKUP(D148,'Source Ledger'!$B$5:$B$133,'Source Ledger'!$E$5:$E$133),0)-IFERROR(XLOOKUP(D148,'Corrected Register'!$A$5:$A$136,'Corrected Register'!$M$5:$M$136),0))),IFERROR(XLOOKUP(D148,'Corrected Register'!$A$5:$A$136,'Corrected Register'!$N$5:$N$136),0))</f>
        <v>545.48</v>
      </c>
      <c r="H148" s="7" t="inlineStr">
        <is>
          <t>Pull MD-00108 out of Chicago - Closed and park it at Atlanta.</t>
        </is>
      </c>
      <c r="I148" s="7" t="inlineStr">
        <is>
          <t>IT Asset Specialist</t>
        </is>
      </c>
      <c r="J148" s="7" t="inlineStr">
        <is>
          <t>2026-08-19</t>
        </is>
      </c>
      <c r="K148" s="7" t="inlineStr">
        <is>
          <t>Open</t>
        </is>
      </c>
      <c r="L148" s="7" t="inlineStr">
        <is>
          <t>Didn't treat the closed building as a live location for MD-00108.</t>
        </is>
      </c>
      <c r="M148" s="7" t="inlineStr">
        <is>
          <t>Requires remediation</t>
        </is>
      </c>
    </row>
    <row r="149">
      <c r="A149" s="7" t="inlineStr">
        <is>
          <t>EX-0145</t>
        </is>
      </c>
      <c r="B149" s="7" t="inlineStr">
        <is>
          <t>Missing Disposal Evidence</t>
        </is>
      </c>
      <c r="C149" s="10" t="inlineStr">
        <is>
          <t>High</t>
        </is>
      </c>
      <c r="D149" s="7" t="inlineStr">
        <is>
          <t>MD-00109</t>
        </is>
      </c>
      <c r="E149" s="7" t="inlineStr">
        <is>
          <t>MD-LA-050109</t>
        </is>
      </c>
      <c r="F149" s="7" t="inlineStr">
        <is>
          <t>Ticket:RET-00109; Transfer:TR-00109; Certificate:missing</t>
        </is>
      </c>
      <c r="G149" s="7">
        <f>IF(B149="Inventory-to-Ledger Difference",IF(IFERROR(XLOOKUP(D149,'Source Ledger'!$B$5:$B$133,'Source Ledger'!$E$5:$E$133),"")="",IFERROR(XLOOKUP(D149,'Corrected Register'!$A$5:$A$136,'Corrected Register'!$M$5:$M$136),0),ABS(IFERROR(XLOOKUP(D149,'Source Ledger'!$B$5:$B$133,'Source Ledger'!$E$5:$E$133),0)-IFERROR(XLOOKUP(D149,'Corrected Register'!$A$5:$A$136,'Corrected Register'!$M$5:$M$136),0))),IFERROR(XLOOKUP(D149,'Corrected Register'!$A$5:$A$136,'Corrected Register'!$N$5:$N$136),0))</f>
        <v>0</v>
      </c>
      <c r="H149" s="7" t="inlineStr">
        <is>
          <t>Match a vendor cert to MD-LA-050109 or unwind.</t>
        </is>
      </c>
      <c r="I149" s="7" t="inlineStr">
        <is>
          <t>IT Asset Manager</t>
        </is>
      </c>
      <c r="J149" s="7" t="inlineStr">
        <is>
          <t>2026-08-23</t>
        </is>
      </c>
      <c r="K149" s="7" t="inlineStr">
        <is>
          <t>Open</t>
        </is>
      </c>
      <c r="L149" s="7" t="inlineStr">
        <is>
          <t>Disposal file has no row matching MD-00109 / MD-LA-050109.</t>
        </is>
      </c>
      <c r="M149" s="7" t="inlineStr">
        <is>
          <t>Requires remediation</t>
        </is>
      </c>
    </row>
    <row r="150">
      <c r="A150" s="7" t="inlineStr">
        <is>
          <t>EX-0146</t>
        </is>
      </c>
      <c r="B150" s="7" t="inlineStr">
        <is>
          <t>Closed Location Assignment</t>
        </is>
      </c>
      <c r="C150" s="11" t="inlineStr">
        <is>
          <t>Medium</t>
        </is>
      </c>
      <c r="D150" s="7" t="inlineStr">
        <is>
          <t>MD-00109</t>
        </is>
      </c>
      <c r="E150" s="7" t="inlineStr">
        <is>
          <t>MD-LA-050109</t>
        </is>
      </c>
      <c r="F150" s="7" t="inlineStr">
        <is>
          <t>RegisterLocation:Denver - Closed; Transfer:TR-00109</t>
        </is>
      </c>
      <c r="G150" s="7">
        <f>IF(B150="Inventory-to-Ledger Difference",IF(IFERROR(XLOOKUP(D150,'Source Ledger'!$B$5:$B$133,'Source Ledger'!$E$5:$E$133),"")="",IFERROR(XLOOKUP(D150,'Corrected Register'!$A$5:$A$136,'Corrected Register'!$M$5:$M$136),0),ABS(IFERROR(XLOOKUP(D150,'Source Ledger'!$B$5:$B$133,'Source Ledger'!$E$5:$E$133),0)-IFERROR(XLOOKUP(D150,'Corrected Register'!$A$5:$A$136,'Corrected Register'!$M$5:$M$136),0))),IFERROR(XLOOKUP(D150,'Corrected Register'!$A$5:$A$136,'Corrected Register'!$N$5:$N$136),0))</f>
        <v>0</v>
      </c>
      <c r="H150" s="7" t="inlineStr">
        <is>
          <t>Denver - Closed is shut. Rewrite the register location (MD-00109).</t>
        </is>
      </c>
      <c r="I150" s="7" t="inlineStr">
        <is>
          <t>IT Asset Specialist</t>
        </is>
      </c>
      <c r="J150" s="7" t="inlineStr">
        <is>
          <t>2026-08-19</t>
        </is>
      </c>
      <c r="K150" s="7" t="inlineStr">
        <is>
          <t>Open</t>
        </is>
      </c>
      <c r="L150" s="7" t="inlineStr">
        <is>
          <t>Denver - Closed is locked. I'm not leaving MD-00109 there on paper. Chicago is the operating site.</t>
        </is>
      </c>
      <c r="M150" s="7" t="inlineStr">
        <is>
          <t>Requires remediation</t>
        </is>
      </c>
    </row>
    <row r="151">
      <c r="A151" s="7" t="inlineStr">
        <is>
          <t>EX-0147</t>
        </is>
      </c>
      <c r="B151" s="7" t="inlineStr">
        <is>
          <t>Missing Disposal Evidence</t>
        </is>
      </c>
      <c r="C151" s="10" t="inlineStr">
        <is>
          <t>High</t>
        </is>
      </c>
      <c r="D151" s="7" t="inlineStr">
        <is>
          <t>MD-00110</t>
        </is>
      </c>
      <c r="E151" s="7" t="inlineStr">
        <is>
          <t>MD-MO-050110</t>
        </is>
      </c>
      <c r="F151" s="7" t="inlineStr">
        <is>
          <t>Ticket:RET-00110; Transfer:TR-00110; Certificate:missing</t>
        </is>
      </c>
      <c r="G151" s="7">
        <f>IF(B151="Inventory-to-Ledger Difference",IF(IFERROR(XLOOKUP(D151,'Source Ledger'!$B$5:$B$133,'Source Ledger'!$E$5:$E$133),"")="",IFERROR(XLOOKUP(D151,'Corrected Register'!$A$5:$A$136,'Corrected Register'!$M$5:$M$136),0),ABS(IFERROR(XLOOKUP(D151,'Source Ledger'!$B$5:$B$133,'Source Ledger'!$E$5:$E$133),0)-IFERROR(XLOOKUP(D151,'Corrected Register'!$A$5:$A$136,'Corrected Register'!$M$5:$M$136),0))),IFERROR(XLOOKUP(D151,'Corrected Register'!$A$5:$A$136,'Corrected Register'!$N$5:$N$136),0))</f>
        <v>387.24</v>
      </c>
      <c r="H151" s="7" t="inlineStr">
        <is>
          <t>Retirement parked. MD-00110 needs DC evidence.</t>
        </is>
      </c>
      <c r="I151" s="7" t="inlineStr">
        <is>
          <t>IT Asset Manager</t>
        </is>
      </c>
      <c r="J151" s="7" t="inlineStr">
        <is>
          <t>2026-08-23</t>
        </is>
      </c>
      <c r="K151" s="7" t="inlineStr">
        <is>
          <t>Open</t>
        </is>
      </c>
      <c r="L151" s="7" t="inlineStr">
        <is>
          <t>No verified certificate. Ticket:RET-00110; Transfer:TR-00110; Certificate:missing</t>
        </is>
      </c>
      <c r="M151" s="7" t="inlineStr">
        <is>
          <t>Requires remediation</t>
        </is>
      </c>
    </row>
    <row r="152">
      <c r="A152" s="7" t="inlineStr">
        <is>
          <t>EX-0148</t>
        </is>
      </c>
      <c r="B152" s="7" t="inlineStr">
        <is>
          <t>Closed Location Assignment</t>
        </is>
      </c>
      <c r="C152" s="11" t="inlineStr">
        <is>
          <t>Medium</t>
        </is>
      </c>
      <c r="D152" s="7" t="inlineStr">
        <is>
          <t>MD-00110</t>
        </is>
      </c>
      <c r="E152" s="7" t="inlineStr">
        <is>
          <t>MD-MO-050110</t>
        </is>
      </c>
      <c r="F152" s="7" t="inlineStr">
        <is>
          <t>RegisterLocation:Chicago - Closed; Transfer:TR-00110</t>
        </is>
      </c>
      <c r="G152" s="7">
        <f>IF(B152="Inventory-to-Ledger Difference",IF(IFERROR(XLOOKUP(D152,'Source Ledger'!$B$5:$B$133,'Source Ledger'!$E$5:$E$133),"")="",IFERROR(XLOOKUP(D152,'Corrected Register'!$A$5:$A$136,'Corrected Register'!$M$5:$M$136),0),ABS(IFERROR(XLOOKUP(D152,'Source Ledger'!$B$5:$B$133,'Source Ledger'!$E$5:$E$133),0)-IFERROR(XLOOKUP(D152,'Corrected Register'!$A$5:$A$136,'Corrected Register'!$M$5:$M$136),0))),IFERROR(XLOOKUP(D152,'Corrected Register'!$A$5:$A$136,'Corrected Register'!$N$5:$N$136),0))</f>
        <v>387.24</v>
      </c>
      <c r="H152" s="7" t="inlineStr">
        <is>
          <t>Closed-office leftover. Update MD-00110 to Dallas.</t>
        </is>
      </c>
      <c r="I152" s="7" t="inlineStr">
        <is>
          <t>IT Asset Specialist</t>
        </is>
      </c>
      <c r="J152" s="7" t="inlineStr">
        <is>
          <t>2026-08-19</t>
        </is>
      </c>
      <c r="K152" s="7" t="inlineStr">
        <is>
          <t>Open</t>
        </is>
      </c>
      <c r="L152" s="7" t="inlineStr">
        <is>
          <t>Register location Chicago - Closed is a closed site. TR-00110 points elsewhere. Live office Dallas.</t>
        </is>
      </c>
      <c r="M152" s="7" t="inlineStr">
        <is>
          <t>Requires remediation</t>
        </is>
      </c>
    </row>
    <row r="153">
      <c r="A153" s="7" t="inlineStr">
        <is>
          <t>EX-0149</t>
        </is>
      </c>
      <c r="B153" s="7" t="inlineStr">
        <is>
          <t>Missing Disposal Evidence</t>
        </is>
      </c>
      <c r="C153" s="8" t="inlineStr">
        <is>
          <t>Critical</t>
        </is>
      </c>
      <c r="D153" s="7" t="inlineStr">
        <is>
          <t>MD-00114</t>
        </is>
      </c>
      <c r="E153" s="7" t="inlineStr">
        <is>
          <t>MD-MO-050114</t>
        </is>
      </c>
      <c r="F153" s="7" t="inlineStr">
        <is>
          <t>Ticket:RET-00114; Transfer:TR-00114; Certificate:missing</t>
        </is>
      </c>
      <c r="G153" s="7">
        <f>IF(B153="Inventory-to-Ledger Difference",IF(IFERROR(XLOOKUP(D153,'Source Ledger'!$B$5:$B$133,'Source Ledger'!$E$5:$E$133),"")="",IFERROR(XLOOKUP(D153,'Corrected Register'!$A$5:$A$136,'Corrected Register'!$M$5:$M$136),0),ABS(IFERROR(XLOOKUP(D153,'Source Ledger'!$B$5:$B$133,'Source Ledger'!$E$5:$E$133),0)-IFERROR(XLOOKUP(D153,'Corrected Register'!$A$5:$A$136,'Corrected Register'!$M$5:$M$136),0))),IFERROR(XLOOKUP(D153,'Corrected Register'!$A$5:$A$136,'Corrected Register'!$N$5:$N$136),0))</f>
        <v>0</v>
      </c>
      <c r="H153" s="7" t="inlineStr">
        <is>
          <t>MD-00114: pending disposal with no DC row. Block retirement close.</t>
        </is>
      </c>
      <c r="I153" s="7" t="inlineStr">
        <is>
          <t>IT Asset Manager</t>
        </is>
      </c>
      <c r="J153" s="7" t="inlineStr">
        <is>
          <t>2026-08-12</t>
        </is>
      </c>
      <c r="K153" s="7" t="inlineStr">
        <is>
          <t>Open</t>
        </is>
      </c>
      <c r="L153" s="7" t="inlineStr">
        <is>
          <t>RET-00114 / TR-00114: certificate field empty.</t>
        </is>
      </c>
      <c r="M153" s="12" t="inlineStr">
        <is>
          <t>Blocks certification</t>
        </is>
      </c>
    </row>
    <row r="154">
      <c r="A154" s="7" t="inlineStr">
        <is>
          <t>EX-0150</t>
        </is>
      </c>
      <c r="B154" s="7" t="inlineStr">
        <is>
          <t>Closed Location Assignment</t>
        </is>
      </c>
      <c r="C154" s="11" t="inlineStr">
        <is>
          <t>Medium</t>
        </is>
      </c>
      <c r="D154" s="7" t="inlineStr">
        <is>
          <t>MD-00114</t>
        </is>
      </c>
      <c r="E154" s="7" t="inlineStr">
        <is>
          <t>MD-MO-050114</t>
        </is>
      </c>
      <c r="F154" s="7" t="inlineStr">
        <is>
          <t>RegisterLocation:Chicago - Closed; Transfer:TR-00114</t>
        </is>
      </c>
      <c r="G154" s="7">
        <f>IF(B154="Inventory-to-Ledger Difference",IF(IFERROR(XLOOKUP(D154,'Source Ledger'!$B$5:$B$133,'Source Ledger'!$E$5:$E$133),"")="",IFERROR(XLOOKUP(D154,'Corrected Register'!$A$5:$A$136,'Corrected Register'!$M$5:$M$136),0),ABS(IFERROR(XLOOKUP(D154,'Source Ledger'!$B$5:$B$133,'Source Ledger'!$E$5:$E$133),0)-IFERROR(XLOOKUP(D154,'Corrected Register'!$A$5:$A$136,'Corrected Register'!$M$5:$M$136),0))),IFERROR(XLOOKUP(D154,'Corrected Register'!$A$5:$A$136,'Corrected Register'!$N$5:$N$136),0))</f>
        <v>0</v>
      </c>
      <c r="H154" s="7" t="inlineStr">
        <is>
          <t>Clear the closed-site assignment. MD-00114 belongs at Disposed (certificate missing).</t>
        </is>
      </c>
      <c r="I154" s="7" t="inlineStr">
        <is>
          <t>IT Asset Specialist</t>
        </is>
      </c>
      <c r="J154" s="7" t="inlineStr">
        <is>
          <t>2026-08-19</t>
        </is>
      </c>
      <c r="K154" s="7" t="inlineStr">
        <is>
          <t>Open</t>
        </is>
      </c>
      <c r="L154" s="7" t="inlineStr">
        <is>
          <t>Location on MD-00114 didn't survive the consolidation (Chicago - Closed).</t>
        </is>
      </c>
      <c r="M154" s="7" t="inlineStr">
        <is>
          <t>Requires remediation</t>
        </is>
      </c>
    </row>
    <row r="155">
      <c r="A155" s="7" t="inlineStr">
        <is>
          <t>EX-0151</t>
        </is>
      </c>
      <c r="B155" s="7" t="inlineStr">
        <is>
          <t>Missing Disposal Evidence</t>
        </is>
      </c>
      <c r="C155" s="8" t="inlineStr">
        <is>
          <t>Critical</t>
        </is>
      </c>
      <c r="D155" s="7" t="inlineStr">
        <is>
          <t>MD-00118</t>
        </is>
      </c>
      <c r="E155" s="7" t="inlineStr">
        <is>
          <t>MD-MO-050118</t>
        </is>
      </c>
      <c r="F155" s="7" t="inlineStr">
        <is>
          <t>Ticket:RET-00118; Transfer:TR-00118; Certificate:missing</t>
        </is>
      </c>
      <c r="G155" s="7">
        <f>IF(B155="Inventory-to-Ledger Difference",IF(IFERROR(XLOOKUP(D155,'Source Ledger'!$B$5:$B$133,'Source Ledger'!$E$5:$E$133),"")="",IFERROR(XLOOKUP(D155,'Corrected Register'!$A$5:$A$136,'Corrected Register'!$M$5:$M$136),0),ABS(IFERROR(XLOOKUP(D155,'Source Ledger'!$B$5:$B$133,'Source Ledger'!$E$5:$E$133),0)-IFERROR(XLOOKUP(D155,'Corrected Register'!$A$5:$A$136,'Corrected Register'!$M$5:$M$136),0))),IFERROR(XLOOKUP(D155,'Corrected Register'!$A$5:$A$136,'Corrected Register'!$N$5:$N$136),0))</f>
        <v>0</v>
      </c>
      <c r="H155" s="7" t="inlineStr">
        <is>
          <t>RET-00118 has no matching cert. MD-00118 stays pending-disposal.</t>
        </is>
      </c>
      <c r="I155" s="7" t="inlineStr">
        <is>
          <t>IT Asset Manager</t>
        </is>
      </c>
      <c r="J155" s="7" t="inlineStr">
        <is>
          <t>2026-08-12</t>
        </is>
      </c>
      <c r="K155" s="7" t="inlineStr">
        <is>
          <t>Open</t>
        </is>
      </c>
      <c r="L155" s="7" t="inlineStr">
        <is>
          <t>Disposal file has no row matching MD-00118 / MD-MO-050118.</t>
        </is>
      </c>
      <c r="M155" s="12" t="inlineStr">
        <is>
          <t>Blocks certification</t>
        </is>
      </c>
    </row>
    <row r="156">
      <c r="A156" s="7" t="inlineStr">
        <is>
          <t>EX-0152</t>
        </is>
      </c>
      <c r="B156" s="7" t="inlineStr">
        <is>
          <t>Closed Location Assignment</t>
        </is>
      </c>
      <c r="C156" s="11" t="inlineStr">
        <is>
          <t>Medium</t>
        </is>
      </c>
      <c r="D156" s="7" t="inlineStr">
        <is>
          <t>MD-00118</t>
        </is>
      </c>
      <c r="E156" s="7" t="inlineStr">
        <is>
          <t>MD-MO-050118</t>
        </is>
      </c>
      <c r="F156" s="7" t="inlineStr">
        <is>
          <t>RegisterLocation:Chicago - Closed; Transfer:TR-00118</t>
        </is>
      </c>
      <c r="G156" s="7">
        <f>IF(B156="Inventory-to-Ledger Difference",IF(IFERROR(XLOOKUP(D156,'Source Ledger'!$B$5:$B$133,'Source Ledger'!$E$5:$E$133),"")="",IFERROR(XLOOKUP(D156,'Corrected Register'!$A$5:$A$136,'Corrected Register'!$M$5:$M$136),0),ABS(IFERROR(XLOOKUP(D156,'Source Ledger'!$B$5:$B$133,'Source Ledger'!$E$5:$E$133),0)-IFERROR(XLOOKUP(D156,'Corrected Register'!$A$5:$A$136,'Corrected Register'!$M$5:$M$136),0))),IFERROR(XLOOKUP(D156,'Corrected Register'!$A$5:$A$136,'Corrected Register'!$N$5:$N$136),0))</f>
        <v>0</v>
      </c>
      <c r="H156" s="7" t="inlineStr">
        <is>
          <t>MD-00118 shouldn't sit on a locked site. Move location to Disposed (certificate missing).</t>
        </is>
      </c>
      <c r="I156" s="7" t="inlineStr">
        <is>
          <t>IT Asset Specialist</t>
        </is>
      </c>
      <c r="J156" s="7" t="inlineStr">
        <is>
          <t>2026-08-19</t>
        </is>
      </c>
      <c r="K156" s="7" t="inlineStr">
        <is>
          <t>Open</t>
        </is>
      </c>
      <c r="L156" s="7" t="inlineStr">
        <is>
          <t>Closed-office leftover on the extract. Chicago - Closed. TR-00118.</t>
        </is>
      </c>
      <c r="M156" s="7" t="inlineStr">
        <is>
          <t>Requires remediation</t>
        </is>
      </c>
    </row>
    <row r="157">
      <c r="A157" s="7" t="inlineStr">
        <is>
          <t>EX-0153</t>
        </is>
      </c>
      <c r="B157" s="7" t="inlineStr">
        <is>
          <t>Inventory-to-Ledger Difference</t>
        </is>
      </c>
      <c r="C157" s="10" t="inlineStr">
        <is>
          <t>High</t>
        </is>
      </c>
      <c r="D157" s="7" t="inlineStr">
        <is>
          <t>MD-00119</t>
        </is>
      </c>
      <c r="E157" s="7" t="inlineStr">
        <is>
          <t>MD-MO-050119</t>
        </is>
      </c>
      <c r="F157" s="7" t="inlineStr">
        <is>
          <t>Ledger:FA-000119; PO:PO-2025-0020; RegisterCost:950.0; LedgerCost:1115.0</t>
        </is>
      </c>
      <c r="G157" s="7">
        <f>IF(B157="Inventory-to-Ledger Difference",IF(IFERROR(XLOOKUP(D157,'Source Ledger'!$B$5:$B$133,'Source Ledger'!$E$5:$E$133),"")="",IFERROR(XLOOKUP(D157,'Corrected Register'!$A$5:$A$136,'Corrected Register'!$M$5:$M$136),0),ABS(IFERROR(XLOOKUP(D157,'Source Ledger'!$B$5:$B$133,'Source Ledger'!$E$5:$E$133),0)-IFERROR(XLOOKUP(D157,'Corrected Register'!$A$5:$A$136,'Corrected Register'!$M$5:$M$136),0))),IFERROR(XLOOKUP(D157,'Corrected Register'!$A$5:$A$136,'Corrected Register'!$N$5:$N$136),0))</f>
        <v>165</v>
      </c>
      <c r="H157" s="7" t="inlineStr">
        <is>
          <t>Reconcile PO-2025-0020 / FA-000119 / register cost for MD-00119.</t>
        </is>
      </c>
      <c r="I157" s="7" t="inlineStr">
        <is>
          <t>Finance Controller</t>
        </is>
      </c>
      <c r="J157" s="7" t="inlineStr">
        <is>
          <t>2026-08-21</t>
        </is>
      </c>
      <c r="K157" s="7" t="inlineStr">
        <is>
          <t>Open</t>
        </is>
      </c>
      <c r="L157" s="7" t="inlineStr">
        <is>
          <t>MD-00119 cost basis: two systems, two amounts.</t>
        </is>
      </c>
      <c r="M157" s="7" t="inlineStr">
        <is>
          <t>Requires remediation</t>
        </is>
      </c>
    </row>
    <row r="158">
      <c r="A158" s="7" t="inlineStr">
        <is>
          <t>EX-0154</t>
        </is>
      </c>
      <c r="B158" s="7" t="inlineStr">
        <is>
          <t>Closed Location Assignment</t>
        </is>
      </c>
      <c r="C158" s="11" t="inlineStr">
        <is>
          <t>Medium</t>
        </is>
      </c>
      <c r="D158" s="7" t="inlineStr">
        <is>
          <t>MD-00121</t>
        </is>
      </c>
      <c r="E158" s="7" t="inlineStr">
        <is>
          <t>MD-LA-050121</t>
        </is>
      </c>
      <c r="F158" s="7" t="inlineStr">
        <is>
          <t>RegisterLocation:Denver - Closed; Transfer:TR-00121; VerifiedLocation:Chicago</t>
        </is>
      </c>
      <c r="G158" s="7">
        <f>IF(B158="Inventory-to-Ledger Difference",IF(IFERROR(XLOOKUP(D158,'Source Ledger'!$B$5:$B$133,'Source Ledger'!$E$5:$E$133),"")="",IFERROR(XLOOKUP(D158,'Corrected Register'!$A$5:$A$136,'Corrected Register'!$M$5:$M$136),0),ABS(IFERROR(XLOOKUP(D158,'Source Ledger'!$B$5:$B$133,'Source Ledger'!$E$5:$E$133),0)-IFERROR(XLOOKUP(D158,'Corrected Register'!$A$5:$A$136,'Corrected Register'!$M$5:$M$136),0))),IFERROR(XLOOKUP(D158,'Corrected Register'!$A$5:$A$136,'Corrected Register'!$N$5:$N$136),0))</f>
        <v>0</v>
      </c>
      <c r="H158" s="7" t="inlineStr">
        <is>
          <t>Denver - Closed is shut. Rewrite the register location (MD-00121).</t>
        </is>
      </c>
      <c r="I158" s="7" t="inlineStr">
        <is>
          <t>IT Asset Specialist</t>
        </is>
      </c>
      <c r="J158" s="7" t="inlineStr">
        <is>
          <t>2026-08-19</t>
        </is>
      </c>
      <c r="K158" s="7" t="inlineStr">
        <is>
          <t>Open</t>
        </is>
      </c>
      <c r="L158" s="7" t="inlineStr">
        <is>
          <t>Denver - Closed is locked. I'm not leaving MD-00121 there on paper. Chicago is the operating site.</t>
        </is>
      </c>
      <c r="M158" s="7" t="inlineStr">
        <is>
          <t>Requires remediation</t>
        </is>
      </c>
    </row>
    <row r="159">
      <c r="A159" s="7" t="inlineStr">
        <is>
          <t>EX-0155</t>
        </is>
      </c>
      <c r="B159" s="7" t="inlineStr">
        <is>
          <t>Closed Location Assignment</t>
        </is>
      </c>
      <c r="C159" s="11" t="inlineStr">
        <is>
          <t>Medium</t>
        </is>
      </c>
      <c r="D159" s="7" t="inlineStr">
        <is>
          <t>MD-00122</t>
        </is>
      </c>
      <c r="E159" s="7" t="inlineStr">
        <is>
          <t>MD-MO-050122</t>
        </is>
      </c>
      <c r="F159" s="7" t="inlineStr">
        <is>
          <t>RegisterLocation:Chicago - Closed; Transfer:TR-00122; VerifiedLocation:Dallas</t>
        </is>
      </c>
      <c r="G159" s="7">
        <f>IF(B159="Inventory-to-Ledger Difference",IF(IFERROR(XLOOKUP(D159,'Source Ledger'!$B$5:$B$133,'Source Ledger'!$E$5:$E$133),"")="",IFERROR(XLOOKUP(D159,'Corrected Register'!$A$5:$A$136,'Corrected Register'!$M$5:$M$136),0),ABS(IFERROR(XLOOKUP(D159,'Source Ledger'!$B$5:$B$133,'Source Ledger'!$E$5:$E$133),0)-IFERROR(XLOOKUP(D159,'Corrected Register'!$A$5:$A$136,'Corrected Register'!$M$5:$M$136),0))),IFERROR(XLOOKUP(D159,'Corrected Register'!$A$5:$A$136,'Corrected Register'!$N$5:$N$136),0))</f>
        <v>336.15</v>
      </c>
      <c r="H159" s="7" t="inlineStr">
        <is>
          <t>Update MD-00122 location. Dallas is what transfer/HR support.</t>
        </is>
      </c>
      <c r="I159" s="7" t="inlineStr">
        <is>
          <t>IT Asset Specialist</t>
        </is>
      </c>
      <c r="J159" s="7" t="inlineStr">
        <is>
          <t>2026-08-19</t>
        </is>
      </c>
      <c r="K159" s="7" t="inlineStr">
        <is>
          <t>Open</t>
        </is>
      </c>
      <c r="L159" s="7" t="inlineStr">
        <is>
          <t>Consolidation leftover: MD-00122 @ Chicago - Closed.</t>
        </is>
      </c>
      <c r="M159" s="7" t="inlineStr">
        <is>
          <t>Requires remediation</t>
        </is>
      </c>
    </row>
    <row r="160">
      <c r="A160" s="7" t="inlineStr">
        <is>
          <t>EX-0156</t>
        </is>
      </c>
      <c r="B160" s="7" t="inlineStr">
        <is>
          <t>Closed Location Assignment</t>
        </is>
      </c>
      <c r="C160" s="11" t="inlineStr">
        <is>
          <t>Medium</t>
        </is>
      </c>
      <c r="D160" s="7" t="inlineStr">
        <is>
          <t>MD-00123</t>
        </is>
      </c>
      <c r="E160" s="7" t="inlineStr">
        <is>
          <t>MD-MO-050123</t>
        </is>
      </c>
      <c r="F160" s="7" t="inlineStr">
        <is>
          <t>RegisterLocation:Denver - Closed; Transfer:TR-00123; VerifiedLocation:Denver</t>
        </is>
      </c>
      <c r="G160" s="7">
        <f>IF(B160="Inventory-to-Ledger Difference",IF(IFERROR(XLOOKUP(D160,'Source Ledger'!$B$5:$B$133,'Source Ledger'!$E$5:$E$133),"")="",IFERROR(XLOOKUP(D160,'Corrected Register'!$A$5:$A$136,'Corrected Register'!$M$5:$M$136),0),ABS(IFERROR(XLOOKUP(D160,'Source Ledger'!$B$5:$B$133,'Source Ledger'!$E$5:$E$133),0)-IFERROR(XLOOKUP(D160,'Corrected Register'!$A$5:$A$136,'Corrected Register'!$M$5:$M$136),0))),IFERROR(XLOOKUP(D160,'Corrected Register'!$A$5:$A$136,'Corrected Register'!$N$5:$N$136),0))</f>
        <v>622.62</v>
      </c>
      <c r="H160" s="7" t="inlineStr">
        <is>
          <t>Register still has the shuttered floor (Denver - Closed). Put Denver on the row.</t>
        </is>
      </c>
      <c r="I160" s="7" t="inlineStr">
        <is>
          <t>IT Asset Specialist</t>
        </is>
      </c>
      <c r="J160" s="7" t="inlineStr">
        <is>
          <t>2026-08-19</t>
        </is>
      </c>
      <c r="K160" s="7" t="inlineStr">
        <is>
          <t>Open</t>
        </is>
      </c>
      <c r="L160" s="7" t="inlineStr">
        <is>
          <t>MD-00123 still coded to a floor we don't occupy (Denver - Closed).</t>
        </is>
      </c>
      <c r="M160" s="7" t="inlineStr">
        <is>
          <t>Requires remediation</t>
        </is>
      </c>
    </row>
    <row r="161">
      <c r="A161" s="7" t="inlineStr">
        <is>
          <t>EX-0157</t>
        </is>
      </c>
      <c r="B161" s="7" t="inlineStr">
        <is>
          <t>Closed Location Assignment</t>
        </is>
      </c>
      <c r="C161" s="11" t="inlineStr">
        <is>
          <t>Medium</t>
        </is>
      </c>
      <c r="D161" s="7" t="inlineStr">
        <is>
          <t>MD-00124</t>
        </is>
      </c>
      <c r="E161" s="7" t="inlineStr">
        <is>
          <t>MD-NE-050124</t>
        </is>
      </c>
      <c r="F161" s="7" t="inlineStr">
        <is>
          <t>RegisterLocation:Chicago - Closed; Transfer:TR-00124; VerifiedLocation:New York</t>
        </is>
      </c>
      <c r="G161" s="7">
        <f>IF(B161="Inventory-to-Ledger Difference",IF(IFERROR(XLOOKUP(D161,'Source Ledger'!$B$5:$B$133,'Source Ledger'!$E$5:$E$133),"")="",IFERROR(XLOOKUP(D161,'Corrected Register'!$A$5:$A$136,'Corrected Register'!$M$5:$M$136),0),ABS(IFERROR(XLOOKUP(D161,'Source Ledger'!$B$5:$B$133,'Source Ledger'!$E$5:$E$133),0)-IFERROR(XLOOKUP(D161,'Corrected Register'!$A$5:$A$136,'Corrected Register'!$M$5:$M$136),0))),IFERROR(XLOOKUP(D161,'Corrected Register'!$A$5:$A$136,'Corrected Register'!$N$5:$N$136),0))</f>
        <v>947.26</v>
      </c>
      <c r="H161" s="7" t="inlineStr">
        <is>
          <t>Location cleanup for MD-00124: Chicago - Closed → New York.</t>
        </is>
      </c>
      <c r="I161" s="7" t="inlineStr">
        <is>
          <t>IT Asset Specialist</t>
        </is>
      </c>
      <c r="J161" s="7" t="inlineStr">
        <is>
          <t>2026-08-19</t>
        </is>
      </c>
      <c r="K161" s="7" t="inlineStr">
        <is>
          <t>Open</t>
        </is>
      </c>
      <c r="L161" s="7" t="inlineStr">
        <is>
          <t>Site code is stale. Chicago - Closed vs New York.</t>
        </is>
      </c>
      <c r="M161" s="7" t="inlineStr">
        <is>
          <t>Requires remediation</t>
        </is>
      </c>
    </row>
    <row r="162">
      <c r="A162" s="7" t="inlineStr">
        <is>
          <t>EX-0158</t>
        </is>
      </c>
      <c r="B162" s="7" t="inlineStr">
        <is>
          <t>Closed Location Assignment</t>
        </is>
      </c>
      <c r="C162" s="11" t="inlineStr">
        <is>
          <t>Medium</t>
        </is>
      </c>
      <c r="D162" s="7" t="inlineStr">
        <is>
          <t>MD-00125</t>
        </is>
      </c>
      <c r="E162" s="7" t="inlineStr">
        <is>
          <t>MD-LA-050125</t>
        </is>
      </c>
      <c r="F162" s="7" t="inlineStr">
        <is>
          <t>RegisterLocation:Denver - Closed; Transfer:TR-00125; VerifiedLocation:Seattle</t>
        </is>
      </c>
      <c r="G162" s="7">
        <f>IF(B162="Inventory-to-Ledger Difference",IF(IFERROR(XLOOKUP(D162,'Source Ledger'!$B$5:$B$133,'Source Ledger'!$E$5:$E$133),"")="",IFERROR(XLOOKUP(D162,'Corrected Register'!$A$5:$A$136,'Corrected Register'!$M$5:$M$136),0),ABS(IFERROR(XLOOKUP(D162,'Source Ledger'!$B$5:$B$133,'Source Ledger'!$E$5:$E$133),0)-IFERROR(XLOOKUP(D162,'Corrected Register'!$A$5:$A$136,'Corrected Register'!$M$5:$M$136),0))),IFERROR(XLOOKUP(D162,'Corrected Register'!$A$5:$A$136,'Corrected Register'!$N$5:$N$136),0))</f>
        <v>0</v>
      </c>
      <c r="H162" s="7" t="inlineStr">
        <is>
          <t>Closed-office leftover. Update MD-00125 to Seattle.</t>
        </is>
      </c>
      <c r="I162" s="7" t="inlineStr">
        <is>
          <t>IT Asset Specialist</t>
        </is>
      </c>
      <c r="J162" s="7" t="inlineStr">
        <is>
          <t>2026-08-19</t>
        </is>
      </c>
      <c r="K162" s="7" t="inlineStr">
        <is>
          <t>Open</t>
        </is>
      </c>
      <c r="L162" s="7" t="inlineStr">
        <is>
          <t>TR-00125 destination isn't the shuttered office on the register.</t>
        </is>
      </c>
      <c r="M162" s="7" t="inlineStr">
        <is>
          <t>Requires remediation</t>
        </is>
      </c>
    </row>
    <row r="163">
      <c r="A163" s="7" t="inlineStr">
        <is>
          <t>EX-0159</t>
        </is>
      </c>
      <c r="B163" s="7" t="inlineStr">
        <is>
          <t>Closed Location Assignment</t>
        </is>
      </c>
      <c r="C163" s="11" t="inlineStr">
        <is>
          <t>Medium</t>
        </is>
      </c>
      <c r="D163" s="7" t="inlineStr">
        <is>
          <t>MD-00126</t>
        </is>
      </c>
      <c r="E163" s="7" t="inlineStr">
        <is>
          <t>MD-MO-050126</t>
        </is>
      </c>
      <c r="F163" s="7" t="inlineStr">
        <is>
          <t>RegisterLocation:Chicago - Closed; Transfer:TR-00126; VerifiedLocation:Atlanta</t>
        </is>
      </c>
      <c r="G163" s="7">
        <f>IF(B163="Inventory-to-Ledger Difference",IF(IFERROR(XLOOKUP(D163,'Source Ledger'!$B$5:$B$133,'Source Ledger'!$E$5:$E$133),"")="",IFERROR(XLOOKUP(D163,'Corrected Register'!$A$5:$A$136,'Corrected Register'!$M$5:$M$136),0),ABS(IFERROR(XLOOKUP(D163,'Source Ledger'!$B$5:$B$133,'Source Ledger'!$E$5:$E$133),0)-IFERROR(XLOOKUP(D163,'Corrected Register'!$A$5:$A$136,'Corrected Register'!$M$5:$M$136),0))),IFERROR(XLOOKUP(D163,'Corrected Register'!$A$5:$A$136,'Corrected Register'!$N$5:$N$136),0))</f>
        <v>302.75</v>
      </c>
      <c r="H163" s="7" t="inlineStr">
        <is>
          <t>Don't leave MD-00126 coded to Chicago - Closed.</t>
        </is>
      </c>
      <c r="I163" s="7" t="inlineStr">
        <is>
          <t>IT Asset Specialist</t>
        </is>
      </c>
      <c r="J163" s="7" t="inlineStr">
        <is>
          <t>2026-08-19</t>
        </is>
      </c>
      <c r="K163" s="7" t="inlineStr">
        <is>
          <t>Open</t>
        </is>
      </c>
      <c r="L163" s="7" t="inlineStr">
        <is>
          <t>Chicago - Closed is locked. I'm not leaving MD-00126 there on paper. Atlanta is the operating site.</t>
        </is>
      </c>
      <c r="M163" s="7" t="inlineStr">
        <is>
          <t>Requires remediation</t>
        </is>
      </c>
    </row>
    <row r="164">
      <c r="A164" s="7" t="inlineStr">
        <is>
          <t>EX-0160</t>
        </is>
      </c>
      <c r="B164" s="7" t="inlineStr">
        <is>
          <t>Unapproved Transfer</t>
        </is>
      </c>
      <c r="C164" s="11" t="inlineStr">
        <is>
          <t>Medium</t>
        </is>
      </c>
      <c r="D164" s="7" t="inlineStr">
        <is>
          <t>MD-00127</t>
        </is>
      </c>
      <c r="E164" s="7" t="inlineStr">
        <is>
          <t>MD-MO-050127</t>
        </is>
      </c>
      <c r="F164" s="7" t="inlineStr">
        <is>
          <t>Transfer:TR-00127; Approval:missing</t>
        </is>
      </c>
      <c r="G164" s="7">
        <f>IF(B164="Inventory-to-Ledger Difference",IF(IFERROR(XLOOKUP(D164,'Source Ledger'!$B$5:$B$133,'Source Ledger'!$E$5:$E$133),"")="",IFERROR(XLOOKUP(D164,'Corrected Register'!$A$5:$A$136,'Corrected Register'!$M$5:$M$136),0),ABS(IFERROR(XLOOKUP(D164,'Source Ledger'!$B$5:$B$133,'Source Ledger'!$E$5:$E$133),0)-IFERROR(XLOOKUP(D164,'Corrected Register'!$A$5:$A$136,'Corrected Register'!$M$5:$M$136),0))),IFERROR(XLOOKUP(D164,'Corrected Register'!$A$5:$A$136,'Corrected Register'!$N$5:$N$136),0))</f>
        <v>662.65</v>
      </c>
      <c r="H164" s="7" t="inlineStr">
        <is>
          <t>MD-00127: movement TR-00127 never got an approval ID. Fix per §4.</t>
        </is>
      </c>
      <c r="I164" s="7" t="inlineStr">
        <is>
          <t>IT Operations Manager</t>
        </is>
      </c>
      <c r="J164" s="7" t="inlineStr">
        <is>
          <t>2026-08-20</t>
        </is>
      </c>
      <c r="K164" s="7" t="inlineStr">
        <is>
          <t>Open</t>
        </is>
      </c>
      <c r="L164" s="7" t="inlineStr">
        <is>
          <t>ITAM-001 §4: TR-00127 isn't a completed approved transfer.</t>
        </is>
      </c>
      <c r="M164" s="7" t="inlineStr">
        <is>
          <t>Requires remediation</t>
        </is>
      </c>
    </row>
    <row r="165">
      <c r="A165" s="7" t="inlineStr">
        <is>
          <t>EX-0161</t>
        </is>
      </c>
      <c r="B165" s="7" t="inlineStr">
        <is>
          <t>Below Capitalization Threshold</t>
        </is>
      </c>
      <c r="C165" s="8" t="inlineStr">
        <is>
          <t>Low</t>
        </is>
      </c>
      <c r="D165" s="7" t="inlineStr">
        <is>
          <t>MD-00130</t>
        </is>
      </c>
      <c r="E165" s="7" t="inlineStr">
        <is>
          <t>MD-MO-050130</t>
        </is>
      </c>
      <c r="F165" s="7" t="inlineStr">
        <is>
          <t>PO:PO-2023-0022; RegisterCost:700; Policy:ITAM-001 §7 per-asset threshold $2500; PO capitalization_approved does not override under-threshold lines; Ledger absence expected</t>
        </is>
      </c>
      <c r="G165" s="7">
        <f>IF(B165="Inventory-to-Ledger Difference",IF(IFERROR(XLOOKUP(D165,'Source Ledger'!$B$5:$B$133,'Source Ledger'!$E$5:$E$133),"")="",IFERROR(XLOOKUP(D165,'Corrected Register'!$A$5:$A$136,'Corrected Register'!$M$5:$M$136),0),ABS(IFERROR(XLOOKUP(D165,'Source Ledger'!$B$5:$B$133,'Source Ledger'!$E$5:$E$133),0)-IFERROR(XLOOKUP(D165,'Corrected Register'!$A$5:$A$136,'Corrected Register'!$M$5:$M$136),0))),IFERROR(XLOOKUP(D165,'Corrected Register'!$A$5:$A$136,'Corrected Register'!$N$5:$N$136),0))</f>
        <v>0</v>
      </c>
      <c r="H165" s="7" t="inlineStr">
        <is>
          <t>Do not treat MD-00130 as a Critical ledger gap. PO-2023-0022 capitalization_approved doesn't override ITAM-001 §7.</t>
        </is>
      </c>
      <c r="I165" s="7" t="inlineStr">
        <is>
          <t>Finance Controller</t>
        </is>
      </c>
      <c r="J165" s="7" t="inlineStr">
        <is>
          <t>2026-08-15</t>
        </is>
      </c>
      <c r="K165" s="7" t="inlineStr">
        <is>
          <t>Open</t>
        </is>
      </c>
      <c r="L165" s="7" t="inlineStr">
        <is>
          <t>Checked the threshold against MD-00130. Not a capital gap.</t>
        </is>
      </c>
      <c r="M165" s="12" t="inlineStr">
        <is>
          <t>Informational only</t>
        </is>
      </c>
    </row>
    <row r="166">
      <c r="A166" s="7" t="inlineStr">
        <is>
          <t>EX-0162</t>
        </is>
      </c>
      <c r="B166" s="7" t="inlineStr">
        <is>
          <t>Below Capitalization Threshold</t>
        </is>
      </c>
      <c r="C166" s="8" t="inlineStr">
        <is>
          <t>Low</t>
        </is>
      </c>
      <c r="D166" s="7" t="inlineStr">
        <is>
          <t>MD-00131</t>
        </is>
      </c>
      <c r="E166" s="7" t="inlineStr">
        <is>
          <t>MD-MO-050131</t>
        </is>
      </c>
      <c r="F166" s="7" t="inlineStr">
        <is>
          <t>PO:PO-2023-0022; RegisterCost:1175; Policy:ITAM-001 §7 per-asset threshold $2500; PO capitalization_approved does not override under-threshold lines; Ledger absence expected</t>
        </is>
      </c>
      <c r="G166" s="7">
        <f>IF(B166="Inventory-to-Ledger Difference",IF(IFERROR(XLOOKUP(D166,'Source Ledger'!$B$5:$B$133,'Source Ledger'!$E$5:$E$133),"")="",IFERROR(XLOOKUP(D166,'Corrected Register'!$A$5:$A$136,'Corrected Register'!$M$5:$M$136),0),ABS(IFERROR(XLOOKUP(D166,'Source Ledger'!$B$5:$B$133,'Source Ledger'!$E$5:$E$133),0)-IFERROR(XLOOKUP(D166,'Corrected Register'!$A$5:$A$136,'Corrected Register'!$M$5:$M$136),0))),IFERROR(XLOOKUP(D166,'Corrected Register'!$A$5:$A$136,'Corrected Register'!$N$5:$N$136),0))</f>
        <v>0</v>
      </c>
      <c r="H166" s="7" t="inlineStr">
        <is>
          <t>MD-00131: under-threshold. Leave it off the FAR on purpose.</t>
        </is>
      </c>
      <c r="I166" s="7" t="inlineStr">
        <is>
          <t>Finance Controller</t>
        </is>
      </c>
      <c r="J166" s="7" t="inlineStr">
        <is>
          <t>2026-08-15</t>
        </is>
      </c>
      <c r="K166" s="7" t="inlineStr">
        <is>
          <t>Open</t>
        </is>
      </c>
      <c r="L166" s="7" t="inlineStr">
        <is>
          <t>MD-00131 under the gate. Informational.</t>
        </is>
      </c>
      <c r="M166" s="12" t="inlineStr">
        <is>
          <t>Informational only</t>
        </is>
      </c>
    </row>
    <row r="167">
      <c r="A167" s="7" t="inlineStr">
        <is>
          <t>EX-0163</t>
        </is>
      </c>
      <c r="B167" s="7" t="inlineStr">
        <is>
          <t>Inventory-to-Ledger Difference</t>
        </is>
      </c>
      <c r="C167" s="8" t="inlineStr">
        <is>
          <t>Critical</t>
        </is>
      </c>
      <c r="D167" s="7" t="inlineStr">
        <is>
          <t>MD-00132</t>
        </is>
      </c>
      <c r="E167" s="7" t="inlineStr">
        <is>
          <t>MD-NE-050132</t>
        </is>
      </c>
      <c r="F167" s="7" t="inlineStr">
        <is>
          <t>PO:PO-2023-0022; RegisterCost:6470.0; Policy:ITAM-001 §7 threshold $2500; capitalization_approved on PO does not excuse missing FA row for qualifying asset; regional note RN-0132 is non-authoritative</t>
        </is>
      </c>
      <c r="G167" s="7">
        <f>IF(B167="Inventory-to-Ledger Difference",IF(IFERROR(XLOOKUP(D167,'Source Ledger'!$B$5:$B$133,'Source Ledger'!$E$5:$E$133),"")="",IFERROR(XLOOKUP(D167,'Corrected Register'!$A$5:$A$136,'Corrected Register'!$M$5:$M$136),0),ABS(IFERROR(XLOOKUP(D167,'Source Ledger'!$B$5:$B$133,'Source Ledger'!$E$5:$E$133),0)-IFERROR(XLOOKUP(D167,'Corrected Register'!$A$5:$A$136,'Corrected Register'!$M$5:$M$136),0))),IFERROR(XLOOKUP(D167,'Corrected Register'!$A$5:$A$136,'Corrected Register'!$N$5:$N$136),0))</f>
        <v>6470</v>
      </c>
      <c r="H167" s="7" t="inlineStr">
        <is>
          <t>MD-00132 is missing from the ledger. Capitalize or write off; do not take RN-0132 as expense-under-threshold.</t>
        </is>
      </c>
      <c r="I167" s="7" t="inlineStr">
        <is>
          <t>Finance Controller</t>
        </is>
      </c>
      <c r="J167" s="7" t="inlineStr">
        <is>
          <t>2026-08-15</t>
        </is>
      </c>
      <c r="K167" s="7" t="inlineStr">
        <is>
          <t>Open</t>
        </is>
      </c>
      <c r="L167" s="7" t="inlineStr">
        <is>
          <t>FAR extract has no MD-00132. Cost $6470 is over $2,500. Note RN-0132 is a claim, not a posting.</t>
        </is>
      </c>
      <c r="M167" s="12" t="inlineStr">
        <is>
          <t>Blocks certification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0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5" customWidth="1" min="1" max="1"/>
    <col width="12" customWidth="1" min="2" max="2"/>
    <col width="27" customWidth="1" min="3" max="3"/>
    <col width="19" customWidth="1" min="4" max="4"/>
    <col width="19" customWidth="1" min="5" max="5"/>
    <col width="19" customWidth="1" min="6" max="6"/>
    <col width="45" customWidth="1" min="7" max="7"/>
    <col width="18" customWidth="1" min="8" max="8"/>
    <col width="45" customWidth="1" min="9" max="9"/>
  </cols>
  <sheetData>
    <row r="1">
      <c r="A1" s="1" t="inlineStr">
        <is>
          <t>Custody Chain — High-Risk and Unresolved Assets</t>
        </is>
      </c>
    </row>
    <row r="2">
      <c r="A2" s="2" t="inlineStr">
        <is>
          <t>Confirmed Fact vs Technician Claim vs Unresolved Assumption. Includes policy figure and dock image leads where applicable.</t>
        </is>
      </c>
    </row>
    <row r="4">
      <c r="A4" s="3" t="inlineStr">
        <is>
          <t>Asset Tag</t>
        </is>
      </c>
      <c r="B4" s="3" t="inlineStr">
        <is>
          <t>Event Date</t>
        </is>
      </c>
      <c r="C4" s="3" t="inlineStr">
        <is>
          <t>Event Type</t>
        </is>
      </c>
      <c r="D4" s="3" t="inlineStr">
        <is>
          <t>From Party</t>
        </is>
      </c>
      <c r="E4" s="3" t="inlineStr">
        <is>
          <t>To Party</t>
        </is>
      </c>
      <c r="F4" s="3" t="inlineStr">
        <is>
          <t>Location</t>
        </is>
      </c>
      <c r="G4" s="3" t="inlineStr">
        <is>
          <t>Record Reference</t>
        </is>
      </c>
      <c r="H4" s="3" t="inlineStr">
        <is>
          <t>Fact Type</t>
        </is>
      </c>
      <c r="I4" s="3" t="inlineStr">
        <is>
          <t>Detail</t>
        </is>
      </c>
    </row>
    <row r="5">
      <c r="A5" s="7" t="inlineStr">
        <is>
          <t>MD-00017</t>
        </is>
      </c>
      <c r="B5" s="7" t="inlineStr">
        <is>
          <t>2023-06-18</t>
        </is>
      </c>
      <c r="C5" s="7" t="inlineStr">
        <is>
          <t>Purchase</t>
        </is>
      </c>
      <c r="D5" s="7" t="inlineStr">
        <is>
          <t>Vendor</t>
        </is>
      </c>
      <c r="E5" s="7" t="inlineStr">
        <is>
          <t>Central Receiving</t>
        </is>
      </c>
      <c r="F5" s="7" t="inlineStr">
        <is>
          <t>Atlanta Warehouse</t>
        </is>
      </c>
      <c r="G5" s="7" t="inlineStr">
        <is>
          <t>PO:PO-2024-0003</t>
        </is>
      </c>
      <c r="H5" s="7" t="inlineStr">
        <is>
          <t>Confirmed Fact</t>
        </is>
      </c>
      <c r="I5" s="7" t="inlineStr">
        <is>
          <t>Acquired MD-00017 (MacBook Pro 14) for $1985 via PO-2024-0003.</t>
        </is>
      </c>
    </row>
    <row r="6">
      <c r="A6" s="7" t="inlineStr">
        <is>
          <t>MD-00017</t>
        </is>
      </c>
      <c r="B6" s="7" t="inlineStr">
        <is>
          <t>2026-06-18</t>
        </is>
      </c>
      <c r="C6" s="7" t="inlineStr">
        <is>
          <t>Assignment/Transfer</t>
        </is>
      </c>
      <c r="D6" s="7" t="inlineStr">
        <is>
          <t>Central Receiving</t>
        </is>
      </c>
      <c r="E6" s="7" t="inlineStr">
        <is>
          <t>E0017</t>
        </is>
      </c>
      <c r="F6" s="7" t="inlineStr">
        <is>
          <t>Seattle</t>
        </is>
      </c>
      <c r="G6" s="7" t="inlineStr">
        <is>
          <t>Transfer:TR-00017; Approval:APR-00017</t>
        </is>
      </c>
      <c r="H6" s="7" t="inlineStr">
        <is>
          <t>Confirmed Fact</t>
        </is>
      </c>
      <c r="I6" s="7" t="inlineStr">
        <is>
          <t>Movement TR-00017 completed inbound 6/19/26.</t>
        </is>
      </c>
    </row>
    <row r="7">
      <c r="A7" s="7" t="inlineStr">
        <is>
          <t>MD-00017</t>
        </is>
      </c>
      <c r="B7" s="7" t="inlineStr">
        <is>
          <t>2026-08-09</t>
        </is>
      </c>
      <c r="C7" s="7" t="inlineStr">
        <is>
          <t>Policy Control Figure</t>
        </is>
      </c>
      <c r="D7" s="7" t="inlineStr">
        <is>
          <t>ITAM-001</t>
        </is>
      </c>
      <c r="E7" s="7" t="inlineStr"/>
      <c r="F7" s="7" t="inlineStr"/>
      <c r="G7" s="7" t="inlineStr">
        <is>
          <t>ITAM_control_matrix.png; IT_asset_management_policy.pdf</t>
        </is>
      </c>
      <c r="H7" s="7" t="inlineStr">
        <is>
          <t>Confirmed Fact</t>
        </is>
      </c>
      <c r="I7" s="7" t="inlineStr">
        <is>
          <t>Control matrix documents required return evidence for MD-00017; chain reference above must satisfy that bar.</t>
        </is>
      </c>
    </row>
    <row r="8">
      <c r="A8" s="7" t="inlineStr">
        <is>
          <t>MD-00017</t>
        </is>
      </c>
      <c r="B8" s="7" t="inlineStr">
        <is>
          <t>2026-08-09</t>
        </is>
      </c>
      <c r="C8" s="7" t="inlineStr">
        <is>
          <t>Reconciliation Conclusion</t>
        </is>
      </c>
      <c r="D8" s="7" t="inlineStr">
        <is>
          <t>Evidence review</t>
        </is>
      </c>
      <c r="E8" s="7" t="inlineStr">
        <is>
          <t>E0017</t>
        </is>
      </c>
      <c r="F8" s="7" t="inlineStr">
        <is>
          <t>Seattle</t>
        </is>
      </c>
      <c r="G8" s="7" t="inlineStr">
        <is>
          <t>HR:E0017:Active; Transfer:TR-00017; Approval:APR-00017; PO:PO-2024-0003; Ledger:FA-000017; PolicyFigure:ITAM_control_matrix.png</t>
        </is>
      </c>
      <c r="H8" s="7" t="inlineStr">
        <is>
          <t>Confirmed Fact</t>
        </is>
      </c>
      <c r="I8" s="7" t="inlineStr">
        <is>
          <t>Landed on In Use (High). EX-0001. E0017 TR-00017 APR-00017 PO-2024-0003 FA-000017 ITAM_control_matrix.png</t>
        </is>
      </c>
    </row>
    <row r="9">
      <c r="A9" s="7" t="inlineStr">
        <is>
          <t>MD-00021</t>
        </is>
      </c>
      <c r="B9" s="7" t="inlineStr">
        <is>
          <t>2023-10-22</t>
        </is>
      </c>
      <c r="C9" s="7" t="inlineStr">
        <is>
          <t>Purchase</t>
        </is>
      </c>
      <c r="D9" s="7" t="inlineStr">
        <is>
          <t>Vendor</t>
        </is>
      </c>
      <c r="E9" s="7" t="inlineStr">
        <is>
          <t>Central Receiving</t>
        </is>
      </c>
      <c r="F9" s="7" t="inlineStr">
        <is>
          <t>Atlanta Warehouse</t>
        </is>
      </c>
      <c r="G9" s="7" t="inlineStr">
        <is>
          <t>PO:PO-2025-0004</t>
        </is>
      </c>
      <c r="H9" s="7" t="inlineStr">
        <is>
          <t>Confirmed Fact</t>
        </is>
      </c>
      <c r="I9" s="7" t="inlineStr">
        <is>
          <t>MD-00021 origin: PO-2025-0004, $1850.</t>
        </is>
      </c>
    </row>
    <row r="10">
      <c r="A10" s="7" t="inlineStr">
        <is>
          <t>MD-00021</t>
        </is>
      </c>
      <c r="B10" s="7" t="inlineStr">
        <is>
          <t>2026-04-22</t>
        </is>
      </c>
      <c r="C10" s="7" t="inlineStr">
        <is>
          <t>Assignment/Transfer</t>
        </is>
      </c>
      <c r="D10" s="7" t="inlineStr">
        <is>
          <t>Central Receiving</t>
        </is>
      </c>
      <c r="E10" s="7" t="inlineStr">
        <is>
          <t>E0021</t>
        </is>
      </c>
      <c r="F10" s="7" t="inlineStr">
        <is>
          <t>Denver</t>
        </is>
      </c>
      <c r="G10" s="7" t="inlineStr">
        <is>
          <t>Transfer:TR-00021; Approval:APR-00021</t>
        </is>
      </c>
      <c r="H10" s="7" t="inlineStr">
        <is>
          <t>Confirmed Fact</t>
        </is>
      </c>
      <c r="I10" s="7" t="inlineStr">
        <is>
          <t>TR-00021 2026-05-02; inbound May 3, 2026.</t>
        </is>
      </c>
    </row>
    <row r="11">
      <c r="A11" s="7" t="inlineStr">
        <is>
          <t>MD-00021</t>
        </is>
      </c>
      <c r="B11" s="7" t="inlineStr">
        <is>
          <t>2026-08-09</t>
        </is>
      </c>
      <c r="C11" s="7" t="inlineStr">
        <is>
          <t>Policy Control Figure</t>
        </is>
      </c>
      <c r="D11" s="7" t="inlineStr">
        <is>
          <t>ITAM-001</t>
        </is>
      </c>
      <c r="E11" s="7" t="inlineStr"/>
      <c r="F11" s="7" t="inlineStr"/>
      <c r="G11" s="7" t="inlineStr">
        <is>
          <t>ITAM_control_matrix.png; IT_asset_management_policy.pdf</t>
        </is>
      </c>
      <c r="H11" s="7" t="inlineStr">
        <is>
          <t>Confirmed Fact</t>
        </is>
      </c>
      <c r="I11" s="7" t="inlineStr">
        <is>
          <t>Auditors should read the transfer bar on the matrix for MD-00021; supporting file: chain reference above.</t>
        </is>
      </c>
    </row>
    <row r="12">
      <c r="A12" s="7" t="inlineStr">
        <is>
          <t>MD-00021</t>
        </is>
      </c>
      <c r="B12" s="7" t="inlineStr">
        <is>
          <t>2026-08-09</t>
        </is>
      </c>
      <c r="C12" s="7" t="inlineStr">
        <is>
          <t>Reconciliation Conclusion</t>
        </is>
      </c>
      <c r="D12" s="7" t="inlineStr">
        <is>
          <t>Evidence review</t>
        </is>
      </c>
      <c r="E12" s="7" t="inlineStr">
        <is>
          <t>E0021</t>
        </is>
      </c>
      <c r="F12" s="7" t="inlineStr">
        <is>
          <t>Denver</t>
        </is>
      </c>
      <c r="G12" s="7" t="inlineStr">
        <is>
          <t>HR:E0021:Active; Transfer:TR-00021; Approval:APR-00021; PO:PO-2025-0004; Ledger:FA-000021; PolicyFigure:ITAM_control_matrix.png</t>
        </is>
      </c>
      <c r="H12" s="7" t="inlineStr">
        <is>
          <t>Confirmed Fact</t>
        </is>
      </c>
      <c r="I12" s="7" t="inlineStr">
        <is>
          <t>Verified In Use. EX-0002. Medium. E0021 TR-00021 APR-00021 PO-2025-0004 FA-000021 ITAM_control_matrix.png</t>
        </is>
      </c>
    </row>
    <row r="13">
      <c r="A13" s="7" t="inlineStr">
        <is>
          <t>MD-00025</t>
        </is>
      </c>
      <c r="B13" s="7" t="inlineStr">
        <is>
          <t>2023-02-02</t>
        </is>
      </c>
      <c r="C13" s="7" t="inlineStr">
        <is>
          <t>Purchase</t>
        </is>
      </c>
      <c r="D13" s="7" t="inlineStr">
        <is>
          <t>Vendor</t>
        </is>
      </c>
      <c r="E13" s="7" t="inlineStr">
        <is>
          <t>Central Receiving</t>
        </is>
      </c>
      <c r="F13" s="7" t="inlineStr">
        <is>
          <t>Atlanta Warehouse</t>
        </is>
      </c>
      <c r="G13" s="7" t="inlineStr">
        <is>
          <t>PO:PO-2022-0005</t>
        </is>
      </c>
      <c r="H13" s="7" t="inlineStr">
        <is>
          <t>Confirmed Fact</t>
        </is>
      </c>
      <c r="I13" s="7" t="inlineStr">
        <is>
          <t>$2030 Lenovo ThinkPad T14. PO-2022-0005.</t>
        </is>
      </c>
    </row>
    <row r="14">
      <c r="A14" s="7" t="inlineStr">
        <is>
          <t>MD-00025</t>
        </is>
      </c>
      <c r="B14" s="7" t="inlineStr">
        <is>
          <t>2026-02-02</t>
        </is>
      </c>
      <c r="C14" s="7" t="inlineStr">
        <is>
          <t>Assignment/Transfer</t>
        </is>
      </c>
      <c r="D14" s="7" t="inlineStr">
        <is>
          <t>Central Receiving</t>
        </is>
      </c>
      <c r="E14" s="7" t="inlineStr">
        <is>
          <t>E0025</t>
        </is>
      </c>
      <c r="F14" s="7" t="inlineStr">
        <is>
          <t>Chicago</t>
        </is>
      </c>
      <c r="G14" s="7" t="inlineStr">
        <is>
          <t>Transfer:TR-00025; Approval:APR-00025</t>
        </is>
      </c>
      <c r="H14" s="7" t="inlineStr">
        <is>
          <t>Confirmed Fact</t>
        </is>
      </c>
      <c r="I14" s="7" t="inlineStr">
        <is>
          <t>Chicago: TR-00025 received 2026-01-22.</t>
        </is>
      </c>
    </row>
    <row r="15">
      <c r="A15" s="7" t="inlineStr">
        <is>
          <t>MD-00025</t>
        </is>
      </c>
      <c r="B15" s="7" t="inlineStr">
        <is>
          <t>2026-08-05</t>
        </is>
      </c>
      <c r="C15" s="7" t="inlineStr">
        <is>
          <t>Regional IT Note Lead</t>
        </is>
      </c>
      <c r="D15" s="7" t="inlineStr">
        <is>
          <t>Regional IT</t>
        </is>
      </c>
      <c r="E15" s="7" t="inlineStr"/>
      <c r="F15" s="7" t="inlineStr">
        <is>
          <t>Denver - Closed</t>
        </is>
      </c>
      <c r="G15" s="7" t="inlineStr">
        <is>
          <t>regional_IT_notes.docx</t>
        </is>
      </c>
      <c r="H15" s="7" t="inlineStr">
        <is>
          <t>Technician Claim</t>
        </is>
      </c>
      <c r="I15" s="7" t="inlineStr">
        <is>
          <t>Word file claim on MD-00025 — non-authoritative.</t>
        </is>
      </c>
    </row>
    <row r="16">
      <c r="A16" s="7" t="inlineStr">
        <is>
          <t>MD-00025</t>
        </is>
      </c>
      <c r="B16" s="7" t="inlineStr">
        <is>
          <t>2026-08-09</t>
        </is>
      </c>
      <c r="C16" s="7" t="inlineStr">
        <is>
          <t>Policy Control Figure</t>
        </is>
      </c>
      <c r="D16" s="7" t="inlineStr">
        <is>
          <t>ITAM-001</t>
        </is>
      </c>
      <c r="E16" s="7" t="inlineStr"/>
      <c r="F16" s="7" t="inlineStr"/>
      <c r="G16" s="7" t="inlineStr">
        <is>
          <t>ITAM_control_matrix.png; IT_asset_management_policy.pdf</t>
        </is>
      </c>
      <c r="H16" s="7" t="inlineStr">
        <is>
          <t>Confirmed Fact</t>
        </is>
      </c>
      <c r="I16" s="7" t="inlineStr">
        <is>
          <t>Appendix A matrix applied to MD-00025 under the transfer row; chain reference above remains the auditable transaction.</t>
        </is>
      </c>
    </row>
    <row r="17">
      <c r="A17" s="7" t="inlineStr">
        <is>
          <t>MD-00025</t>
        </is>
      </c>
      <c r="B17" s="7" t="inlineStr">
        <is>
          <t>2026-08-09</t>
        </is>
      </c>
      <c r="C17" s="7" t="inlineStr">
        <is>
          <t>Reconciliation Conclusion</t>
        </is>
      </c>
      <c r="D17" s="7" t="inlineStr">
        <is>
          <t>Evidence review</t>
        </is>
      </c>
      <c r="E17" s="7" t="inlineStr">
        <is>
          <t>E0025</t>
        </is>
      </c>
      <c r="F17" s="7" t="inlineStr">
        <is>
          <t>Chicago</t>
        </is>
      </c>
      <c r="G17" s="7" t="inlineStr">
        <is>
          <t>HR:E0025:Active; Transfer:TR-00025; Approval:APR-00025; PO:PO-2022-0005; Ledger:FA-000025; PolicyFigure:ITAM_control_matrix.png</t>
        </is>
      </c>
      <c r="H17" s="7" t="inlineStr">
        <is>
          <t>Confirmed Fact</t>
        </is>
      </c>
      <c r="I17" s="7" t="inlineStr">
        <is>
          <t>MD-00025 → In Use. Confidence Medium. EX-0003, EX-0004. E0025 TR-00025 APR-00025 PO-2022-0005 FA-000025 ITAM_control_matrix.png</t>
        </is>
      </c>
    </row>
    <row r="18">
      <c r="A18" s="7" t="inlineStr">
        <is>
          <t>MD-00034</t>
        </is>
      </c>
      <c r="B18" s="7" t="inlineStr">
        <is>
          <t>2024-11-11</t>
        </is>
      </c>
      <c r="C18" s="7" t="inlineStr">
        <is>
          <t>Purchase</t>
        </is>
      </c>
      <c r="D18" s="7" t="inlineStr">
        <is>
          <t>Vendor</t>
        </is>
      </c>
      <c r="E18" s="7" t="inlineStr">
        <is>
          <t>Central Receiving</t>
        </is>
      </c>
      <c r="F18" s="7" t="inlineStr">
        <is>
          <t>Atlanta Warehouse</t>
        </is>
      </c>
      <c r="G18" s="7" t="inlineStr">
        <is>
          <t>PO:PO-2023-0006</t>
        </is>
      </c>
      <c r="H18" s="7" t="inlineStr">
        <is>
          <t>Confirmed Fact</t>
        </is>
      </c>
      <c r="I18" s="7" t="inlineStr">
        <is>
          <t>Warehouse receipt tied to PO-2023-0006. Dell U2723QE.</t>
        </is>
      </c>
    </row>
    <row r="19">
      <c r="A19" s="7" t="inlineStr">
        <is>
          <t>MD-00034</t>
        </is>
      </c>
      <c r="B19" s="7" t="inlineStr">
        <is>
          <t>2026-05-11</t>
        </is>
      </c>
      <c r="C19" s="7" t="inlineStr">
        <is>
          <t>Assignment/Transfer</t>
        </is>
      </c>
      <c r="D19" s="7" t="inlineStr">
        <is>
          <t>Central Receiving</t>
        </is>
      </c>
      <c r="E19" s="7" t="inlineStr">
        <is>
          <t>E0034</t>
        </is>
      </c>
      <c r="F19" s="7" t="inlineStr">
        <is>
          <t>New York</t>
        </is>
      </c>
      <c r="G19" s="7" t="inlineStr">
        <is>
          <t>Transfer:TR-00034; Approval:APR-00034</t>
        </is>
      </c>
      <c r="H19" s="7" t="inlineStr">
        <is>
          <t>Confirmed Fact</t>
        </is>
      </c>
      <c r="I19" s="7" t="inlineStr">
        <is>
          <t>Recorded 2026-05-22, received 2026-05-22. TR-00034.</t>
        </is>
      </c>
    </row>
    <row r="20">
      <c r="A20" s="7" t="inlineStr">
        <is>
          <t>MD-00034</t>
        </is>
      </c>
      <c r="B20" s="7" t="inlineStr">
        <is>
          <t>2026-08-05</t>
        </is>
      </c>
      <c r="C20" s="7" t="inlineStr">
        <is>
          <t>Regional IT Note Lead</t>
        </is>
      </c>
      <c r="D20" s="7" t="inlineStr">
        <is>
          <t>Regional IT</t>
        </is>
      </c>
      <c r="E20" s="7" t="inlineStr"/>
      <c r="F20" s="7" t="inlineStr">
        <is>
          <t>Chicago - Closed</t>
        </is>
      </c>
      <c r="G20" s="7" t="inlineStr">
        <is>
          <t>regional_IT_notes.docx</t>
        </is>
      </c>
      <c r="H20" s="7" t="inlineStr">
        <is>
          <t>Technician Claim</t>
        </is>
      </c>
      <c r="I20" s="7" t="inlineStr">
        <is>
          <t>regional_IT_notes.docx mentions closed-office leftover color on MD-00034. Notes don't beat a scan.</t>
        </is>
      </c>
    </row>
    <row r="21">
      <c r="A21" s="7" t="inlineStr">
        <is>
          <t>MD-00034</t>
        </is>
      </c>
      <c r="B21" s="7" t="inlineStr">
        <is>
          <t>2026-08-09</t>
        </is>
      </c>
      <c r="C21" s="7" t="inlineStr">
        <is>
          <t>Policy Control Figure</t>
        </is>
      </c>
      <c r="D21" s="7" t="inlineStr">
        <is>
          <t>ITAM-001</t>
        </is>
      </c>
      <c r="E21" s="7" t="inlineStr"/>
      <c r="F21" s="7" t="inlineStr"/>
      <c r="G21" s="7" t="inlineStr">
        <is>
          <t>ITAM_control_matrix.png; IT_asset_management_policy.pdf</t>
        </is>
      </c>
      <c r="H21" s="7" t="inlineStr">
        <is>
          <t>Confirmed Fact</t>
        </is>
      </c>
      <c r="I21" s="7" t="inlineStr">
        <is>
          <t>Return/disposal/financial gates for MD-00034 read from the matrix transfer row; chain reference above is the source record; ITAM_control_matrix.png in packet.</t>
        </is>
      </c>
    </row>
    <row r="22">
      <c r="A22" s="7" t="inlineStr">
        <is>
          <t>MD-00034</t>
        </is>
      </c>
      <c r="B22" s="7" t="inlineStr">
        <is>
          <t>2026-08-09</t>
        </is>
      </c>
      <c r="C22" s="7" t="inlineStr">
        <is>
          <t>Reconciliation Conclusion</t>
        </is>
      </c>
      <c r="D22" s="7" t="inlineStr">
        <is>
          <t>Evidence review</t>
        </is>
      </c>
      <c r="E22" s="7" t="inlineStr">
        <is>
          <t>E0034</t>
        </is>
      </c>
      <c r="F22" s="7" t="inlineStr">
        <is>
          <t>New York</t>
        </is>
      </c>
      <c r="G22" s="7" t="inlineStr">
        <is>
          <t>HR:E0034:Active; Transfer:TR-00034; Approval:APR-00034; PO:PO-2023-0006; Ledger:FA-000034; PolicyFigure:ITAM_control_matrix.png</t>
        </is>
      </c>
      <c r="H22" s="7" t="inlineStr">
        <is>
          <t>Confirmed Fact</t>
        </is>
      </c>
      <c r="I22" s="7" t="inlineStr">
        <is>
          <t>In Use is the status I'm standing behind. EX-0013, EX-0014. High. E0034 TR-00034 APR-00034 PO-2023-0006 FA-000034 ITAM_control_matrix.png</t>
        </is>
      </c>
    </row>
    <row r="23">
      <c r="A23" s="7" t="inlineStr">
        <is>
          <t>MD-00051</t>
        </is>
      </c>
      <c r="B23" s="7" t="inlineStr">
        <is>
          <t>2025-04-04</t>
        </is>
      </c>
      <c r="C23" s="7" t="inlineStr">
        <is>
          <t>Purchase</t>
        </is>
      </c>
      <c r="D23" s="7" t="inlineStr">
        <is>
          <t>Vendor</t>
        </is>
      </c>
      <c r="E23" s="7" t="inlineStr">
        <is>
          <t>Central Receiving</t>
        </is>
      </c>
      <c r="F23" s="7" t="inlineStr">
        <is>
          <t>Atlanta Warehouse</t>
        </is>
      </c>
      <c r="G23" s="7" t="inlineStr">
        <is>
          <t>PO:PO-2022-0009</t>
        </is>
      </c>
      <c r="H23" s="7" t="inlineStr">
        <is>
          <t>Confirmed Fact</t>
        </is>
      </c>
      <c r="I23" s="7" t="inlineStr">
        <is>
          <t>$1040 Samsung Galaxy S24. PO-2022-0009.</t>
        </is>
      </c>
    </row>
    <row r="24">
      <c r="A24" s="7" t="inlineStr">
        <is>
          <t>MD-00051</t>
        </is>
      </c>
      <c r="B24" s="7" t="inlineStr">
        <is>
          <t>2026-04-04</t>
        </is>
      </c>
      <c r="C24" s="7" t="inlineStr">
        <is>
          <t>Assignment/Transfer</t>
        </is>
      </c>
      <c r="D24" s="7" t="inlineStr">
        <is>
          <t>Central Receiving</t>
        </is>
      </c>
      <c r="E24" s="7" t="inlineStr">
        <is>
          <t>IT Stock</t>
        </is>
      </c>
      <c r="F24" s="7" t="inlineStr">
        <is>
          <t>Denver</t>
        </is>
      </c>
      <c r="G24" s="7" t="inlineStr">
        <is>
          <t>Transfer:TR-00051; Approval:APR-00051</t>
        </is>
      </c>
      <c r="H24" s="7" t="inlineStr">
        <is>
          <t>Confirmed Fact</t>
        </is>
      </c>
      <c r="I24" s="7" t="inlineStr">
        <is>
          <t>Denver: TR-00051 received March 31, 2026.</t>
        </is>
      </c>
    </row>
    <row r="25">
      <c r="A25" s="7" t="inlineStr">
        <is>
          <t>MD-00051</t>
        </is>
      </c>
      <c r="B25" s="7" t="inlineStr">
        <is>
          <t>2026-08-05</t>
        </is>
      </c>
      <c r="C25" s="7" t="inlineStr">
        <is>
          <t>Regional IT Note Lead</t>
        </is>
      </c>
      <c r="D25" s="7" t="inlineStr">
        <is>
          <t>Regional IT</t>
        </is>
      </c>
      <c r="E25" s="7" t="inlineStr"/>
      <c r="F25" s="7" t="inlineStr">
        <is>
          <t>Denver - Closed</t>
        </is>
      </c>
      <c r="G25" s="7" t="inlineStr">
        <is>
          <t>regional_IT_notes.docx</t>
        </is>
      </c>
      <c r="H25" s="7" t="inlineStr">
        <is>
          <t>Technician Claim</t>
        </is>
      </c>
      <c r="I25" s="7" t="inlineStr">
        <is>
          <t>Word file claim on MD-00051 — non-authoritative.</t>
        </is>
      </c>
    </row>
    <row r="26">
      <c r="A26" s="7" t="inlineStr">
        <is>
          <t>MD-00051</t>
        </is>
      </c>
      <c r="B26" s="7" t="inlineStr">
        <is>
          <t>2026-08-09</t>
        </is>
      </c>
      <c r="C26" s="7" t="inlineStr">
        <is>
          <t>Policy Control Figure</t>
        </is>
      </c>
      <c r="D26" s="7" t="inlineStr">
        <is>
          <t>ITAM-001</t>
        </is>
      </c>
      <c r="E26" s="7" t="inlineStr"/>
      <c r="F26" s="7" t="inlineStr"/>
      <c r="G26" s="7" t="inlineStr">
        <is>
          <t>ITAM_control_matrix.png; IT_asset_management_policy.pdf</t>
        </is>
      </c>
      <c r="H26" s="7" t="inlineStr">
        <is>
          <t>Confirmed Fact</t>
        </is>
      </c>
      <c r="I26" s="7" t="inlineStr">
        <is>
          <t>Auditors should read the transfer bar on the matrix for MD-00051; supporting file: chain reference above.</t>
        </is>
      </c>
    </row>
    <row r="27">
      <c r="A27" s="7" t="inlineStr">
        <is>
          <t>MD-00051</t>
        </is>
      </c>
      <c r="B27" s="7" t="inlineStr">
        <is>
          <t>2026-08-09</t>
        </is>
      </c>
      <c r="C27" s="7" t="inlineStr">
        <is>
          <t>Reconciliation Conclusion</t>
        </is>
      </c>
      <c r="D27" s="7" t="inlineStr">
        <is>
          <t>Evidence review</t>
        </is>
      </c>
      <c r="E27" s="7" t="inlineStr">
        <is>
          <t>IT Stock</t>
        </is>
      </c>
      <c r="F27" s="7" t="inlineStr">
        <is>
          <t>Denver</t>
        </is>
      </c>
      <c r="G27" s="7" t="inlineStr">
        <is>
          <t>Transfer:TR-00051; Approval:APR-00051; Received:2026-04-05; PO:PO-2022-0009; Ledger:FA-000051; PolicyFigure:ITAM_control_matrix.png</t>
        </is>
      </c>
      <c r="H27" s="7" t="inlineStr">
        <is>
          <t>Confirmed Fact</t>
        </is>
      </c>
      <c r="I27" s="7" t="inlineStr">
        <is>
          <t>After the chain: Available. High confidence. EX-0031, EX-0032. TR-00051 APR-00051 PO-2022-0009 FA-000051 ITAM_control_matrix.png</t>
        </is>
      </c>
    </row>
    <row r="28">
      <c r="A28" s="7" t="inlineStr">
        <is>
          <t>MD-00058</t>
        </is>
      </c>
      <c r="B28" s="7" t="inlineStr">
        <is>
          <t>2024-11-11</t>
        </is>
      </c>
      <c r="C28" s="7" t="inlineStr">
        <is>
          <t>Purchase</t>
        </is>
      </c>
      <c r="D28" s="7" t="inlineStr">
        <is>
          <t>Vendor</t>
        </is>
      </c>
      <c r="E28" s="7" t="inlineStr">
        <is>
          <t>Central Receiving</t>
        </is>
      </c>
      <c r="F28" s="7" t="inlineStr">
        <is>
          <t>Atlanta Warehouse</t>
        </is>
      </c>
      <c r="G28" s="7" t="inlineStr">
        <is>
          <t>PO:PO-2023-0010</t>
        </is>
      </c>
      <c r="H28" s="7" t="inlineStr">
        <is>
          <t>Confirmed Fact</t>
        </is>
      </c>
      <c r="I28" s="7" t="inlineStr">
        <is>
          <t>Warehouse receipt tied to PO-2023-0010. Dell U2723QE.</t>
        </is>
      </c>
    </row>
    <row r="29">
      <c r="A29" s="7" t="inlineStr">
        <is>
          <t>MD-00058</t>
        </is>
      </c>
      <c r="B29" s="7" t="inlineStr">
        <is>
          <t>2026-05-11</t>
        </is>
      </c>
      <c r="C29" s="7" t="inlineStr">
        <is>
          <t>Assignment/Transfer</t>
        </is>
      </c>
      <c r="D29" s="7" t="inlineStr">
        <is>
          <t>Central Receiving</t>
        </is>
      </c>
      <c r="E29" s="7" t="inlineStr">
        <is>
          <t>Regional IT</t>
        </is>
      </c>
      <c r="F29" s="7" t="inlineStr">
        <is>
          <t>New York</t>
        </is>
      </c>
      <c r="G29" s="7" t="inlineStr">
        <is>
          <t>Transfer:TR-00058; Approval:missing</t>
        </is>
      </c>
      <c r="H29" s="7" t="inlineStr">
        <is>
          <t>Confirmed Fact</t>
        </is>
      </c>
      <c r="I29" s="7" t="inlineStr">
        <is>
          <t>Recorded May 22, 2026, received 5/23. TR-00058.</t>
        </is>
      </c>
    </row>
    <row r="30">
      <c r="A30" s="7" t="inlineStr">
        <is>
          <t>MD-00058</t>
        </is>
      </c>
      <c r="B30" s="7" t="inlineStr">
        <is>
          <t>2026-05-24</t>
        </is>
      </c>
      <c r="C30" s="7" t="inlineStr">
        <is>
          <t>Offboarding Ticket</t>
        </is>
      </c>
      <c r="D30" s="7" t="inlineStr">
        <is>
          <t>E0071</t>
        </is>
      </c>
      <c r="E30" s="7" t="inlineStr">
        <is>
          <t>IT Service Desk</t>
        </is>
      </c>
      <c r="F30" s="7" t="inlineStr"/>
      <c r="G30" s="7" t="inlineStr">
        <is>
          <t>Ticket:OFF-00058; Status:Closed</t>
        </is>
      </c>
      <c r="H30" s="7" t="inlineStr">
        <is>
          <t>Confirmed Fact</t>
        </is>
      </c>
      <c r="I30" s="7" t="inlineStr">
        <is>
          <t>Opened OFF-00058. Status Closed.</t>
        </is>
      </c>
    </row>
    <row r="31">
      <c r="A31" s="7" t="inlineStr">
        <is>
          <t>MD-00058</t>
        </is>
      </c>
      <c r="B31" s="7" t="inlineStr">
        <is>
          <t>2026-05-24</t>
        </is>
      </c>
      <c r="C31" s="7" t="inlineStr">
        <is>
          <t>Technician Comment</t>
        </is>
      </c>
      <c r="D31" s="7" t="inlineStr">
        <is>
          <t>Service Desk</t>
        </is>
      </c>
      <c r="E31" s="7" t="inlineStr"/>
      <c r="F31" s="7" t="inlineStr"/>
      <c r="G31" s="7" t="inlineStr">
        <is>
          <t>Ticket:OFF-00058</t>
        </is>
      </c>
      <c r="H31" s="7" t="inlineStr">
        <is>
          <t>Technician Claim</t>
        </is>
      </c>
      <c r="I31" s="7" t="inlineStr">
        <is>
          <t>Opened return kit after HR closeout. Label printed, waiting on the person. Ref MD-00058.</t>
        </is>
      </c>
    </row>
    <row r="32">
      <c r="A32" s="7" t="inlineStr">
        <is>
          <t>MD-00058</t>
        </is>
      </c>
      <c r="B32" s="7" t="inlineStr">
        <is>
          <t>2026-08-05</t>
        </is>
      </c>
      <c r="C32" s="7" t="inlineStr">
        <is>
          <t>Regional IT Note Lead</t>
        </is>
      </c>
      <c r="D32" s="7" t="inlineStr">
        <is>
          <t>Regional IT</t>
        </is>
      </c>
      <c r="E32" s="7" t="inlineStr"/>
      <c r="F32" s="7" t="inlineStr">
        <is>
          <t>Chicago - Closed</t>
        </is>
      </c>
      <c r="G32" s="7" t="inlineStr">
        <is>
          <t>regional_IT_notes.docx</t>
        </is>
      </c>
      <c r="H32" s="7" t="inlineStr">
        <is>
          <t>Technician Claim</t>
        </is>
      </c>
      <c r="I32" s="7" t="inlineStr">
        <is>
          <t>Breadcrumb in regional_IT_notes.docx. Still need a transaction for MD-00058.</t>
        </is>
      </c>
    </row>
    <row r="33">
      <c r="A33" s="7" t="inlineStr">
        <is>
          <t>MD-00058</t>
        </is>
      </c>
      <c r="B33" s="7" t="inlineStr">
        <is>
          <t>2026-08-09</t>
        </is>
      </c>
      <c r="C33" s="7" t="inlineStr">
        <is>
          <t>Policy Control Figure</t>
        </is>
      </c>
      <c r="D33" s="7" t="inlineStr">
        <is>
          <t>ITAM-001</t>
        </is>
      </c>
      <c r="E33" s="7" t="inlineStr"/>
      <c r="F33" s="7" t="inlineStr"/>
      <c r="G33" s="7" t="inlineStr">
        <is>
          <t>ITAM_control_matrix.png; IT_asset_management_policy.pdf</t>
        </is>
      </c>
      <c r="H33" s="7" t="inlineStr">
        <is>
          <t>Confirmed Fact</t>
        </is>
      </c>
      <c r="I33" s="7" t="inlineStr">
        <is>
          <t>Policy figure referenced for MD-00058 (disposal path). Custody still depends on chain reference above; ITAM_control_matrix.png in packet.</t>
        </is>
      </c>
    </row>
    <row r="34">
      <c r="A34" s="7" t="inlineStr">
        <is>
          <t>MD-00058</t>
        </is>
      </c>
      <c r="B34" s="7" t="inlineStr">
        <is>
          <t>2026-08-09</t>
        </is>
      </c>
      <c r="C34" s="7" t="inlineStr">
        <is>
          <t>Reconciliation Conclusion</t>
        </is>
      </c>
      <c r="D34" s="7" t="inlineStr">
        <is>
          <t>Evidence review</t>
        </is>
      </c>
      <c r="E34" s="7" t="inlineStr">
        <is>
          <t>Regional IT</t>
        </is>
      </c>
      <c r="F34" s="7" t="inlineStr">
        <is>
          <t>New York</t>
        </is>
      </c>
      <c r="G34" s="7" t="inlineStr">
        <is>
          <t>Transfer:TR-00058; Received:2026-05-12; Ticket:OFF-00058; PO:PO-2023-0010; Ledger:FA-000058; PolicyFigure:ITAM_control_matrix.png</t>
        </is>
      </c>
      <c r="H34" s="7" t="inlineStr">
        <is>
          <t>Confirmed Fact</t>
        </is>
      </c>
      <c r="I34" s="7" t="inlineStr">
        <is>
          <t>Call: Pending Redeployment at New York. Medium. Exceptions EX-0039, EX-0040, EX-0041. TR-00058 OFF-00058 PO-2023-0010 FA-000058 ITAM_control_matrix.png</t>
        </is>
      </c>
    </row>
    <row r="35">
      <c r="A35" s="7" t="inlineStr">
        <is>
          <t>MD-00059</t>
        </is>
      </c>
      <c r="B35" s="7" t="inlineStr">
        <is>
          <t>2025-12-12</t>
        </is>
      </c>
      <c r="C35" s="7" t="inlineStr">
        <is>
          <t>Purchase</t>
        </is>
      </c>
      <c r="D35" s="7" t="inlineStr">
        <is>
          <t>Vendor</t>
        </is>
      </c>
      <c r="E35" s="7" t="inlineStr">
        <is>
          <t>Central Receiving</t>
        </is>
      </c>
      <c r="F35" s="7" t="inlineStr">
        <is>
          <t>Atlanta Warehouse</t>
        </is>
      </c>
      <c r="G35" s="7" t="inlineStr">
        <is>
          <t>PO:PO-2023-0010</t>
        </is>
      </c>
      <c r="H35" s="7" t="inlineStr">
        <is>
          <t>Confirmed Fact</t>
        </is>
      </c>
      <c r="I35" s="7" t="inlineStr">
        <is>
          <t>Acquired MD-00059 (Samsung Galaxy S24) for $1085 via PO-2023-0010.</t>
        </is>
      </c>
    </row>
    <row r="36">
      <c r="A36" s="7" t="inlineStr">
        <is>
          <t>MD-00059</t>
        </is>
      </c>
      <c r="B36" s="7" t="inlineStr">
        <is>
          <t>2026-06-12</t>
        </is>
      </c>
      <c r="C36" s="7" t="inlineStr">
        <is>
          <t>Assignment/Transfer</t>
        </is>
      </c>
      <c r="D36" s="7" t="inlineStr">
        <is>
          <t>Central Receiving</t>
        </is>
      </c>
      <c r="E36" s="7" t="inlineStr">
        <is>
          <t>Regional IT</t>
        </is>
      </c>
      <c r="F36" s="7" t="inlineStr">
        <is>
          <t>Seattle</t>
        </is>
      </c>
      <c r="G36" s="7" t="inlineStr">
        <is>
          <t>Transfer:TR-00059; Approval:missing</t>
        </is>
      </c>
      <c r="H36" s="7" t="inlineStr">
        <is>
          <t>Confirmed Fact</t>
        </is>
      </c>
      <c r="I36" s="7" t="inlineStr">
        <is>
          <t>Movement TR-00059 completed inbound 6/26.</t>
        </is>
      </c>
    </row>
    <row r="37">
      <c r="A37" s="7" t="inlineStr">
        <is>
          <t>MD-00059</t>
        </is>
      </c>
      <c r="B37" s="7" t="inlineStr">
        <is>
          <t>2026-06-01</t>
        </is>
      </c>
      <c r="C37" s="7" t="inlineStr">
        <is>
          <t>Offboarding Ticket</t>
        </is>
      </c>
      <c r="D37" s="7" t="inlineStr">
        <is>
          <t>E0072</t>
        </is>
      </c>
      <c r="E37" s="7" t="inlineStr">
        <is>
          <t>IT Service Desk</t>
        </is>
      </c>
      <c r="F37" s="7" t="inlineStr"/>
      <c r="G37" s="7" t="inlineStr">
        <is>
          <t>Ticket:OFF-00059; Status:Closed</t>
        </is>
      </c>
      <c r="H37" s="7" t="inlineStr">
        <is>
          <t>Confirmed Fact</t>
        </is>
      </c>
      <c r="I37" s="7" t="inlineStr">
        <is>
          <t>Service desk OFF-00059 on MD-00059. Return required Yes.</t>
        </is>
      </c>
    </row>
    <row r="38">
      <c r="A38" s="7" t="inlineStr">
        <is>
          <t>MD-00059</t>
        </is>
      </c>
      <c r="B38" s="7" t="inlineStr">
        <is>
          <t>2026-06-01</t>
        </is>
      </c>
      <c r="C38" s="7" t="inlineStr">
        <is>
          <t>Technician Comment</t>
        </is>
      </c>
      <c r="D38" s="7" t="inlineStr">
        <is>
          <t>Service Desk</t>
        </is>
      </c>
      <c r="E38" s="7" t="inlineStr"/>
      <c r="F38" s="7" t="inlineStr"/>
      <c r="G38" s="7" t="inlineStr">
        <is>
          <t>Ticket:OFF-00059</t>
        </is>
      </c>
      <c r="H38" s="7" t="inlineStr">
        <is>
          <t>Technician Claim</t>
        </is>
      </c>
      <c r="I38" s="7" t="inlineStr">
        <is>
          <t>Mailed prepaid pouch 6/25. No SCAN-86 yet. Ref MD-00059.</t>
        </is>
      </c>
    </row>
    <row r="39">
      <c r="A39" s="7" t="inlineStr">
        <is>
          <t>MD-00059</t>
        </is>
      </c>
      <c r="B39" s="7" t="inlineStr">
        <is>
          <t>2026-08-05</t>
        </is>
      </c>
      <c r="C39" s="7" t="inlineStr">
        <is>
          <t>Regional IT Note Lead</t>
        </is>
      </c>
      <c r="D39" s="7" t="inlineStr">
        <is>
          <t>Regional IT</t>
        </is>
      </c>
      <c r="E39" s="7" t="inlineStr"/>
      <c r="F39" s="7" t="inlineStr">
        <is>
          <t>Denver - Closed</t>
        </is>
      </c>
      <c r="G39" s="7" t="inlineStr">
        <is>
          <t>regional_IT_notes.docx</t>
        </is>
      </c>
      <c r="H39" s="7" t="inlineStr">
        <is>
          <t>Technician Claim</t>
        </is>
      </c>
      <c r="I39" s="7" t="inlineStr">
        <is>
          <t>Didn't let the regional write-up overrule the logs on MD-00059.</t>
        </is>
      </c>
    </row>
    <row r="40">
      <c r="A40" s="7" t="inlineStr">
        <is>
          <t>MD-00059</t>
        </is>
      </c>
      <c r="B40" s="7" t="inlineStr">
        <is>
          <t>2026-08-09</t>
        </is>
      </c>
      <c r="C40" s="7" t="inlineStr">
        <is>
          <t>Policy Control Figure</t>
        </is>
      </c>
      <c r="D40" s="7" t="inlineStr">
        <is>
          <t>ITAM-001</t>
        </is>
      </c>
      <c r="E40" s="7" t="inlineStr"/>
      <c r="F40" s="7" t="inlineStr"/>
      <c r="G40" s="7" t="inlineStr">
        <is>
          <t>ITAM_control_matrix.png; IT_asset_management_policy.pdf</t>
        </is>
      </c>
      <c r="H40" s="7" t="inlineStr">
        <is>
          <t>Confirmed Fact</t>
        </is>
      </c>
      <c r="I40" s="7" t="inlineStr">
        <is>
          <t>MD-00059 — Assignment requirements pulled from ITAM_control_matrix.png; no clearance from the figure alone (chain reference above).</t>
        </is>
      </c>
    </row>
    <row r="41">
      <c r="A41" s="7" t="inlineStr">
        <is>
          <t>MD-00059</t>
        </is>
      </c>
      <c r="B41" s="7" t="inlineStr">
        <is>
          <t>2026-08-09</t>
        </is>
      </c>
      <c r="C41" s="7" t="inlineStr">
        <is>
          <t>Reconciliation Conclusion</t>
        </is>
      </c>
      <c r="D41" s="7" t="inlineStr">
        <is>
          <t>Evidence review</t>
        </is>
      </c>
      <c r="E41" s="7" t="inlineStr">
        <is>
          <t>Regional IT</t>
        </is>
      </c>
      <c r="F41" s="7" t="inlineStr">
        <is>
          <t>Seattle</t>
        </is>
      </c>
      <c r="G41" s="7" t="inlineStr">
        <is>
          <t>Transfer:TR-00059; Received:2026-06-13; Ticket:OFF-00059; PO:PO-2023-0010; Ledger:FA-000059; PolicyFigure:ITAM_control_matrix.png</t>
        </is>
      </c>
      <c r="H41" s="7" t="inlineStr">
        <is>
          <t>Confirmed Fact</t>
        </is>
      </c>
      <c r="I41" s="7" t="inlineStr">
        <is>
          <t>MD-00059 → Pending Redeployment. Confidence Medium. EX-0042, EX-0043, EX-0044. TR-00059 OFF-00059 PO-2023-0010 FA-000059 ITAM_control_matrix.png</t>
        </is>
      </c>
    </row>
    <row r="42">
      <c r="A42" s="7" t="inlineStr">
        <is>
          <t>MD-00060</t>
        </is>
      </c>
      <c r="B42" s="7" t="inlineStr">
        <is>
          <t>2022-01-13</t>
        </is>
      </c>
      <c r="C42" s="7" t="inlineStr">
        <is>
          <t>Purchase</t>
        </is>
      </c>
      <c r="D42" s="7" t="inlineStr">
        <is>
          <t>Vendor</t>
        </is>
      </c>
      <c r="E42" s="7" t="inlineStr">
        <is>
          <t>Central Receiving</t>
        </is>
      </c>
      <c r="F42" s="7" t="inlineStr">
        <is>
          <t>Atlanta Warehouse</t>
        </is>
      </c>
      <c r="G42" s="7" t="inlineStr">
        <is>
          <t>PO:PO-2023-0010</t>
        </is>
      </c>
      <c r="H42" s="7" t="inlineStr">
        <is>
          <t>Confirmed Fact</t>
        </is>
      </c>
      <c r="I42" s="7" t="inlineStr">
        <is>
          <t>Receiving against PO-2023-0010. Cisco C9300, $6380.</t>
        </is>
      </c>
    </row>
    <row r="43">
      <c r="A43" s="7" t="inlineStr">
        <is>
          <t>MD-00060</t>
        </is>
      </c>
      <c r="B43" s="7" t="inlineStr">
        <is>
          <t>2026-01-13</t>
        </is>
      </c>
      <c r="C43" s="7" t="inlineStr">
        <is>
          <t>Assignment/Transfer</t>
        </is>
      </c>
      <c r="D43" s="7" t="inlineStr">
        <is>
          <t>Central Receiving</t>
        </is>
      </c>
      <c r="E43" s="7" t="inlineStr">
        <is>
          <t>Regional IT</t>
        </is>
      </c>
      <c r="F43" s="7" t="inlineStr">
        <is>
          <t>Atlanta</t>
        </is>
      </c>
      <c r="G43" s="7" t="inlineStr">
        <is>
          <t>Transfer:TR-00060; Approval:APR-00060</t>
        </is>
      </c>
      <c r="H43" s="7" t="inlineStr">
        <is>
          <t>Confirmed Fact</t>
        </is>
      </c>
      <c r="I43" s="7" t="inlineStr">
        <is>
          <t>Assignment posted January 30, 2026. Docked 2/2 (TR-00060).</t>
        </is>
      </c>
    </row>
    <row r="44">
      <c r="A44" s="7" t="inlineStr">
        <is>
          <t>MD-00060</t>
        </is>
      </c>
      <c r="B44" s="7" t="inlineStr">
        <is>
          <t>2026-05-02</t>
        </is>
      </c>
      <c r="C44" s="7" t="inlineStr">
        <is>
          <t>Offboarding Ticket</t>
        </is>
      </c>
      <c r="D44" s="7" t="inlineStr">
        <is>
          <t>E0073</t>
        </is>
      </c>
      <c r="E44" s="7" t="inlineStr">
        <is>
          <t>IT Service Desk</t>
        </is>
      </c>
      <c r="F44" s="7" t="inlineStr"/>
      <c r="G44" s="7" t="inlineStr">
        <is>
          <t>Ticket:OFF-00060; Status:Closed</t>
        </is>
      </c>
      <c r="H44" s="7" t="inlineStr">
        <is>
          <t>Confirmed Fact</t>
        </is>
      </c>
      <c r="I44" s="7" t="inlineStr">
        <is>
          <t>OFF-00060 — Closed. Due Jul 15.</t>
        </is>
      </c>
    </row>
    <row r="45">
      <c r="A45" s="7" t="inlineStr">
        <is>
          <t>MD-00060</t>
        </is>
      </c>
      <c r="B45" s="7" t="inlineStr">
        <is>
          <t>2026-05-02</t>
        </is>
      </c>
      <c r="C45" s="7" t="inlineStr">
        <is>
          <t>Technician Comment</t>
        </is>
      </c>
      <c r="D45" s="7" t="inlineStr">
        <is>
          <t>Service Desk</t>
        </is>
      </c>
      <c r="E45" s="7" t="inlineStr"/>
      <c r="F45" s="7" t="inlineStr"/>
      <c r="G45" s="7" t="inlineStr">
        <is>
          <t>Ticket:OFF-00060</t>
        </is>
      </c>
      <c r="H45" s="7" t="inlineStr">
        <is>
          <t>Technician Claim</t>
        </is>
      </c>
      <c r="I45" s="7" t="inlineStr">
        <is>
          <t>User said they'd drop at UPS on the way out. Ticket remains open until dock confirms. Ref MD-00060.</t>
        </is>
      </c>
    </row>
    <row r="46">
      <c r="A46" s="7" t="inlineStr">
        <is>
          <t>MD-00060</t>
        </is>
      </c>
      <c r="B46" s="7" t="inlineStr">
        <is>
          <t>2026-08-05</t>
        </is>
      </c>
      <c r="C46" s="7" t="inlineStr">
        <is>
          <t>Regional IT Note Lead</t>
        </is>
      </c>
      <c r="D46" s="7" t="inlineStr">
        <is>
          <t>Regional IT</t>
        </is>
      </c>
      <c r="E46" s="7" t="inlineStr"/>
      <c r="F46" s="7" t="inlineStr">
        <is>
          <t>Chicago - Closed</t>
        </is>
      </c>
      <c r="G46" s="7" t="inlineStr">
        <is>
          <t>regional_IT_notes.docx</t>
        </is>
      </c>
      <c r="H46" s="7" t="inlineStr">
        <is>
          <t>Technician Claim</t>
        </is>
      </c>
      <c r="I46" s="7" t="inlineStr">
        <is>
          <t>Closed-floor story in the notes. Ignored as clearance.</t>
        </is>
      </c>
    </row>
    <row r="47">
      <c r="A47" s="7" t="inlineStr">
        <is>
          <t>MD-00060</t>
        </is>
      </c>
      <c r="B47" s="7" t="inlineStr">
        <is>
          <t>2026-08-09</t>
        </is>
      </c>
      <c r="C47" s="7" t="inlineStr">
        <is>
          <t>Policy Control Figure</t>
        </is>
      </c>
      <c r="D47" s="7" t="inlineStr">
        <is>
          <t>ITAM-001</t>
        </is>
      </c>
      <c r="E47" s="7" t="inlineStr"/>
      <c r="F47" s="7" t="inlineStr"/>
      <c r="G47" s="7" t="inlineStr">
        <is>
          <t>ITAM_control_matrix.png; IT_asset_management_policy.pdf</t>
        </is>
      </c>
      <c r="H47" s="7" t="inlineStr">
        <is>
          <t>Confirmed Fact</t>
        </is>
      </c>
      <c r="I47" s="7" t="inlineStr">
        <is>
          <t>Return evidence bar for MD-00060 taken from ITAM_control_matrix.png; does not substitute for chain reference above.</t>
        </is>
      </c>
    </row>
    <row r="48">
      <c r="A48" s="7" t="inlineStr">
        <is>
          <t>MD-00060</t>
        </is>
      </c>
      <c r="B48" s="7" t="inlineStr">
        <is>
          <t>2026-08-09</t>
        </is>
      </c>
      <c r="C48" s="7" t="inlineStr">
        <is>
          <t>Reconciliation Conclusion</t>
        </is>
      </c>
      <c r="D48" s="7" t="inlineStr">
        <is>
          <t>Evidence review</t>
        </is>
      </c>
      <c r="E48" s="7" t="inlineStr">
        <is>
          <t>Regional IT</t>
        </is>
      </c>
      <c r="F48" s="7" t="inlineStr">
        <is>
          <t>Atlanta</t>
        </is>
      </c>
      <c r="G48" s="7" t="inlineStr">
        <is>
          <t>Transfer:TR-00060; Approval:APR-00060; Received:2026-01-14; Ticket:OFF-00060; PO:PO-2023-0010; Ledger:FA-000060; PolicyFigure:ITAM_control_matrix.png</t>
        </is>
      </c>
      <c r="H48" s="7" t="inlineStr">
        <is>
          <t>Confirmed Fact</t>
        </is>
      </c>
      <c r="I48" s="7" t="inlineStr">
        <is>
          <t>Landed on Pending Redeployment (High). EX-0045, EX-0046. TR-00060 APR-00060 OFF-00060 PO-2023-0010 FA-000060 ITAM_control_matrix.png</t>
        </is>
      </c>
    </row>
    <row r="49">
      <c r="A49" s="7" t="inlineStr">
        <is>
          <t>MD-00061</t>
        </is>
      </c>
      <c r="B49" s="7" t="inlineStr">
        <is>
          <t>2023-02-14</t>
        </is>
      </c>
      <c r="C49" s="7" t="inlineStr">
        <is>
          <t>Purchase</t>
        </is>
      </c>
      <c r="D49" s="7" t="inlineStr">
        <is>
          <t>Vendor</t>
        </is>
      </c>
      <c r="E49" s="7" t="inlineStr">
        <is>
          <t>Central Receiving</t>
        </is>
      </c>
      <c r="F49" s="7" t="inlineStr">
        <is>
          <t>Atlanta Warehouse</t>
        </is>
      </c>
      <c r="G49" s="7" t="inlineStr">
        <is>
          <t>PO:PO-2024-0011</t>
        </is>
      </c>
      <c r="H49" s="7" t="inlineStr">
        <is>
          <t>Confirmed Fact</t>
        </is>
      </c>
      <c r="I49" s="7" t="inlineStr">
        <is>
          <t>MD-00061 origin: PO-2024-0011, $2075.</t>
        </is>
      </c>
    </row>
    <row r="50">
      <c r="A50" s="7" t="inlineStr">
        <is>
          <t>MD-00061</t>
        </is>
      </c>
      <c r="B50" s="7" t="inlineStr">
        <is>
          <t>2026-02-14</t>
        </is>
      </c>
      <c r="C50" s="7" t="inlineStr">
        <is>
          <t>Assignment/Transfer</t>
        </is>
      </c>
      <c r="D50" s="7" t="inlineStr">
        <is>
          <t>Central Receiving</t>
        </is>
      </c>
      <c r="E50" s="7" t="inlineStr">
        <is>
          <t>Regional IT</t>
        </is>
      </c>
      <c r="F50" s="7" t="inlineStr">
        <is>
          <t>Chicago</t>
        </is>
      </c>
      <c r="G50" s="7" t="inlineStr">
        <is>
          <t>Transfer:TR-00061; Approval:APR-00061</t>
        </is>
      </c>
      <c r="H50" s="7" t="inlineStr">
        <is>
          <t>Confirmed Fact</t>
        </is>
      </c>
      <c r="I50" s="7" t="inlineStr">
        <is>
          <t>TR-00061 February 2, 2026; inbound 2/3.</t>
        </is>
      </c>
    </row>
    <row r="51">
      <c r="A51" s="7" t="inlineStr">
        <is>
          <t>MD-00061</t>
        </is>
      </c>
      <c r="B51" s="7" t="inlineStr">
        <is>
          <t>2026-06-03</t>
        </is>
      </c>
      <c r="C51" s="7" t="inlineStr">
        <is>
          <t>Offboarding Ticket</t>
        </is>
      </c>
      <c r="D51" s="7" t="inlineStr">
        <is>
          <t>E0074</t>
        </is>
      </c>
      <c r="E51" s="7" t="inlineStr">
        <is>
          <t>IT Service Desk</t>
        </is>
      </c>
      <c r="F51" s="7" t="inlineStr"/>
      <c r="G51" s="7" t="inlineStr">
        <is>
          <t>Ticket:OFF-00061; Status:Closed</t>
        </is>
      </c>
      <c r="H51" s="7" t="inlineStr">
        <is>
          <t>Confirmed Fact</t>
        </is>
      </c>
      <c r="I51" s="7" t="inlineStr">
        <is>
          <t>People ticket OFF-00061. Doesn't by itself dock MD-00061.</t>
        </is>
      </c>
    </row>
    <row r="52">
      <c r="A52" s="7" t="inlineStr">
        <is>
          <t>MD-00061</t>
        </is>
      </c>
      <c r="B52" s="7" t="inlineStr">
        <is>
          <t>2026-06-03</t>
        </is>
      </c>
      <c r="C52" s="7" t="inlineStr">
        <is>
          <t>Technician Comment</t>
        </is>
      </c>
      <c r="D52" s="7" t="inlineStr">
        <is>
          <t>Service Desk</t>
        </is>
      </c>
      <c r="E52" s="7" t="inlineStr"/>
      <c r="F52" s="7" t="inlineStr"/>
      <c r="G52" s="7" t="inlineStr">
        <is>
          <t>Ticket:OFF-00061</t>
        </is>
      </c>
      <c r="H52" s="7" t="inlineStr">
        <is>
          <t>Technician Claim</t>
        </is>
      </c>
      <c r="I52" s="7" t="inlineStr">
        <is>
          <t>Looping with site ops — laptop still showing assigned post-term. Ref MD-00061.</t>
        </is>
      </c>
    </row>
    <row r="53">
      <c r="A53" s="7" t="inlineStr">
        <is>
          <t>MD-00061</t>
        </is>
      </c>
      <c r="B53" s="7" t="inlineStr">
        <is>
          <t>2026-08-05</t>
        </is>
      </c>
      <c r="C53" s="7" t="inlineStr">
        <is>
          <t>Regional IT Note Lead</t>
        </is>
      </c>
      <c r="D53" s="7" t="inlineStr">
        <is>
          <t>Regional IT</t>
        </is>
      </c>
      <c r="E53" s="7" t="inlineStr"/>
      <c r="F53" s="7" t="inlineStr">
        <is>
          <t>Denver - Closed</t>
        </is>
      </c>
      <c r="G53" s="7" t="inlineStr">
        <is>
          <t>regional_IT_notes.docx</t>
        </is>
      </c>
      <c r="H53" s="7" t="inlineStr">
        <is>
          <t>Technician Claim</t>
        </is>
      </c>
      <c r="I53" s="7" t="inlineStr">
        <is>
          <t>Someone wrote that it stayed at a closed site. Unverified for MD-00061.</t>
        </is>
      </c>
    </row>
    <row r="54">
      <c r="A54" s="7" t="inlineStr">
        <is>
          <t>MD-00061</t>
        </is>
      </c>
      <c r="B54" s="7" t="inlineStr">
        <is>
          <t>2026-08-09</t>
        </is>
      </c>
      <c r="C54" s="7" t="inlineStr">
        <is>
          <t>Policy Control Figure</t>
        </is>
      </c>
      <c r="D54" s="7" t="inlineStr">
        <is>
          <t>ITAM-001</t>
        </is>
      </c>
      <c r="E54" s="7" t="inlineStr"/>
      <c r="F54" s="7" t="inlineStr"/>
      <c r="G54" s="7" t="inlineStr">
        <is>
          <t>ITAM_control_matrix.png; IT_asset_management_policy.pdf</t>
        </is>
      </c>
      <c r="H54" s="7" t="inlineStr">
        <is>
          <t>Confirmed Fact</t>
        </is>
      </c>
      <c r="I54" s="7" t="inlineStr">
        <is>
          <t>Evidence standard for MD-00061 follows Appendix A (Financial); transactional support is chain reference above; ITAM_control_matrix.png in packet.</t>
        </is>
      </c>
    </row>
    <row r="55">
      <c r="A55" s="7" t="inlineStr">
        <is>
          <t>MD-00061</t>
        </is>
      </c>
      <c r="B55" s="7" t="inlineStr">
        <is>
          <t>2026-08-09</t>
        </is>
      </c>
      <c r="C55" s="7" t="inlineStr">
        <is>
          <t>Reconciliation Conclusion</t>
        </is>
      </c>
      <c r="D55" s="7" t="inlineStr">
        <is>
          <t>Evidence review</t>
        </is>
      </c>
      <c r="E55" s="7" t="inlineStr">
        <is>
          <t>Regional IT</t>
        </is>
      </c>
      <c r="F55" s="7" t="inlineStr">
        <is>
          <t>Chicago</t>
        </is>
      </c>
      <c r="G55" s="7" t="inlineStr">
        <is>
          <t>Transfer:TR-00061; Approval:APR-00061; Received:2026-02-15; Ticket:OFF-00061; PO:PO-2024-0011; Ledger:FA-000061; PolicyFigure:ITAM_control_matrix.png</t>
        </is>
      </c>
      <c r="H55" s="7" t="inlineStr">
        <is>
          <t>Confirmed Fact</t>
        </is>
      </c>
      <c r="I55" s="7" t="inlineStr">
        <is>
          <t>Wrap: MD-00061 Pending Redeployment. EX-0047, EX-0048. TR-00061 APR-00061 OFF-00061 PO-2024-0011 FA-000061 ITAM_control_matrix.png</t>
        </is>
      </c>
    </row>
    <row r="56">
      <c r="A56" s="7" t="inlineStr">
        <is>
          <t>MD-00062</t>
        </is>
      </c>
      <c r="B56" s="7" t="inlineStr">
        <is>
          <t>2024-03-15</t>
        </is>
      </c>
      <c r="C56" s="7" t="inlineStr">
        <is>
          <t>Purchase</t>
        </is>
      </c>
      <c r="D56" s="7" t="inlineStr">
        <is>
          <t>Vendor</t>
        </is>
      </c>
      <c r="E56" s="7" t="inlineStr">
        <is>
          <t>Central Receiving</t>
        </is>
      </c>
      <c r="F56" s="7" t="inlineStr">
        <is>
          <t>Atlanta Warehouse</t>
        </is>
      </c>
      <c r="G56" s="7" t="inlineStr">
        <is>
          <t>PO:PO-2024-0011</t>
        </is>
      </c>
      <c r="H56" s="7" t="inlineStr">
        <is>
          <t>Confirmed Fact</t>
        </is>
      </c>
      <c r="I56" s="7" t="inlineStr">
        <is>
          <t>Dell U2723QE came in on PO-2024-0011 ($790).</t>
        </is>
      </c>
    </row>
    <row r="57">
      <c r="A57" s="7" t="inlineStr">
        <is>
          <t>MD-00062</t>
        </is>
      </c>
      <c r="B57" s="7" t="inlineStr">
        <is>
          <t>2026-03-15</t>
        </is>
      </c>
      <c r="C57" s="7" t="inlineStr">
        <is>
          <t>Assignment/Transfer</t>
        </is>
      </c>
      <c r="D57" s="7" t="inlineStr">
        <is>
          <t>Central Receiving</t>
        </is>
      </c>
      <c r="E57" s="7" t="inlineStr">
        <is>
          <t>Regional IT</t>
        </is>
      </c>
      <c r="F57" s="7" t="inlineStr">
        <is>
          <t>Dallas</t>
        </is>
      </c>
      <c r="G57" s="7" t="inlineStr">
        <is>
          <t>Transfer:TR-00062; Approval:APR-00062</t>
        </is>
      </c>
      <c r="H57" s="7" t="inlineStr">
        <is>
          <t>Confirmed Fact</t>
        </is>
      </c>
      <c r="I57" s="7" t="inlineStr">
        <is>
          <t>Log row TR-00062. Receive date 3/7.</t>
        </is>
      </c>
    </row>
    <row r="58">
      <c r="A58" s="7" t="inlineStr">
        <is>
          <t>MD-00062</t>
        </is>
      </c>
      <c r="B58" s="7" t="inlineStr">
        <is>
          <t>2026-05-04</t>
        </is>
      </c>
      <c r="C58" s="7" t="inlineStr">
        <is>
          <t>Offboarding Ticket</t>
        </is>
      </c>
      <c r="D58" s="7" t="inlineStr">
        <is>
          <t>E0075</t>
        </is>
      </c>
      <c r="E58" s="7" t="inlineStr">
        <is>
          <t>IT Service Desk</t>
        </is>
      </c>
      <c r="F58" s="7" t="inlineStr"/>
      <c r="G58" s="7" t="inlineStr">
        <is>
          <t>Ticket:OFF-00062; Status:Closed</t>
        </is>
      </c>
      <c r="H58" s="7" t="inlineStr">
        <is>
          <t>Confirmed Fact</t>
        </is>
      </c>
      <c r="I58" s="7" t="inlineStr">
        <is>
          <t>OFF-00062 sits Closed. Hardware return was required. Jul 15.</t>
        </is>
      </c>
    </row>
    <row r="59">
      <c r="A59" s="7" t="inlineStr">
        <is>
          <t>MD-00062</t>
        </is>
      </c>
      <c r="B59" s="7" t="inlineStr">
        <is>
          <t>2026-05-04</t>
        </is>
      </c>
      <c r="C59" s="7" t="inlineStr">
        <is>
          <t>Technician Comment</t>
        </is>
      </c>
      <c r="D59" s="7" t="inlineStr">
        <is>
          <t>Service Desk</t>
        </is>
      </c>
      <c r="E59" s="7" t="inlineStr"/>
      <c r="F59" s="7" t="inlineStr"/>
      <c r="G59" s="7" t="inlineStr">
        <is>
          <t>Ticket:OFF-00062</t>
        </is>
      </c>
      <c r="H59" s="7" t="inlineStr">
        <is>
          <t>Technician Claim</t>
        </is>
      </c>
      <c r="I59" s="7" t="inlineStr">
        <is>
          <t>Return SLA missed; reminder sent to personal email on file. Ref MD-00062.</t>
        </is>
      </c>
    </row>
    <row r="60">
      <c r="A60" s="7" t="inlineStr">
        <is>
          <t>MD-00062</t>
        </is>
      </c>
      <c r="B60" s="7" t="inlineStr">
        <is>
          <t>2026-08-05</t>
        </is>
      </c>
      <c r="C60" s="7" t="inlineStr">
        <is>
          <t>Regional IT Note Lead</t>
        </is>
      </c>
      <c r="D60" s="7" t="inlineStr">
        <is>
          <t>Regional IT</t>
        </is>
      </c>
      <c r="E60" s="7" t="inlineStr"/>
      <c r="F60" s="7" t="inlineStr">
        <is>
          <t>Chicago - Closed</t>
        </is>
      </c>
      <c r="G60" s="7" t="inlineStr">
        <is>
          <t>regional_IT_notes.docx</t>
        </is>
      </c>
      <c r="H60" s="7" t="inlineStr">
        <is>
          <t>Technician Claim</t>
        </is>
      </c>
      <c r="I60" s="7" t="inlineStr">
        <is>
          <t>regional_IT_notes.docx mentions closed-office leftover color on MD-00062. Notes don't beat a scan.</t>
        </is>
      </c>
    </row>
    <row r="61">
      <c r="A61" s="7" t="inlineStr">
        <is>
          <t>MD-00062</t>
        </is>
      </c>
      <c r="B61" s="7" t="inlineStr">
        <is>
          <t>2026-08-09</t>
        </is>
      </c>
      <c r="C61" s="7" t="inlineStr">
        <is>
          <t>Policy Control Figure</t>
        </is>
      </c>
      <c r="D61" s="7" t="inlineStr">
        <is>
          <t>ITAM-001</t>
        </is>
      </c>
      <c r="E61" s="7" t="inlineStr"/>
      <c r="F61" s="7" t="inlineStr"/>
      <c r="G61" s="7" t="inlineStr">
        <is>
          <t>ITAM_control_matrix.png; IT_asset_management_policy.pdf</t>
        </is>
      </c>
      <c r="H61" s="7" t="inlineStr">
        <is>
          <t>Confirmed Fact</t>
        </is>
      </c>
      <c r="I61" s="7" t="inlineStr">
        <is>
          <t>Appendix A matrix applied to MD-00062 under the transfer row; chain reference above remains the auditable transaction.</t>
        </is>
      </c>
    </row>
    <row r="62">
      <c r="A62" s="7" t="inlineStr">
        <is>
          <t>MD-00062</t>
        </is>
      </c>
      <c r="B62" s="7" t="inlineStr">
        <is>
          <t>2026-08-09</t>
        </is>
      </c>
      <c r="C62" s="7" t="inlineStr">
        <is>
          <t>Reconciliation Conclusion</t>
        </is>
      </c>
      <c r="D62" s="7" t="inlineStr">
        <is>
          <t>Evidence review</t>
        </is>
      </c>
      <c r="E62" s="7" t="inlineStr">
        <is>
          <t>Regional IT</t>
        </is>
      </c>
      <c r="F62" s="7" t="inlineStr">
        <is>
          <t>Dallas</t>
        </is>
      </c>
      <c r="G62" s="7" t="inlineStr">
        <is>
          <t>Transfer:TR-00062; Approval:APR-00062; Received:2026-03-16; Ticket:OFF-00062; PO:PO-2024-0011; Ledger:FA-000062; PolicyFigure:ITAM_control_matrix.png</t>
        </is>
      </c>
      <c r="H62" s="7" t="inlineStr">
        <is>
          <t>Confirmed Fact</t>
        </is>
      </c>
      <c r="I62" s="7" t="inlineStr">
        <is>
          <t>Pending Redeployment is the status I'm standing behind. EX-0049, EX-0050. High. TR-00062 APR-00062 OFF-00062 PO-2024-0011 FA-000062 ITAM_control_matrix.png</t>
        </is>
      </c>
    </row>
    <row r="63">
      <c r="A63" s="7" t="inlineStr">
        <is>
          <t>MD-00063</t>
        </is>
      </c>
      <c r="B63" s="7" t="inlineStr">
        <is>
          <t>2025-04-16</t>
        </is>
      </c>
      <c r="C63" s="7" t="inlineStr">
        <is>
          <t>Purchase</t>
        </is>
      </c>
      <c r="D63" s="7" t="inlineStr">
        <is>
          <t>Vendor</t>
        </is>
      </c>
      <c r="E63" s="7" t="inlineStr">
        <is>
          <t>Central Receiving</t>
        </is>
      </c>
      <c r="F63" s="7" t="inlineStr">
        <is>
          <t>Atlanta Warehouse</t>
        </is>
      </c>
      <c r="G63" s="7" t="inlineStr">
        <is>
          <t>PO:PO-2024-0011</t>
        </is>
      </c>
      <c r="H63" s="7" t="inlineStr">
        <is>
          <t>Confirmed Fact</t>
        </is>
      </c>
      <c r="I63" s="7" t="inlineStr">
        <is>
          <t>$950 Samsung Galaxy S24. PO-2024-0011.</t>
        </is>
      </c>
    </row>
    <row r="64">
      <c r="A64" s="7" t="inlineStr">
        <is>
          <t>MD-00063</t>
        </is>
      </c>
      <c r="B64" s="7" t="inlineStr">
        <is>
          <t>2026-04-16</t>
        </is>
      </c>
      <c r="C64" s="7" t="inlineStr">
        <is>
          <t>Assignment/Transfer</t>
        </is>
      </c>
      <c r="D64" s="7" t="inlineStr">
        <is>
          <t>Central Receiving</t>
        </is>
      </c>
      <c r="E64" s="7" t="inlineStr">
        <is>
          <t>Regional IT</t>
        </is>
      </c>
      <c r="F64" s="7" t="inlineStr">
        <is>
          <t>Denver</t>
        </is>
      </c>
      <c r="G64" s="7" t="inlineStr">
        <is>
          <t>Transfer:TR-00063; Approval:APR-00063</t>
        </is>
      </c>
      <c r="H64" s="7" t="inlineStr">
        <is>
          <t>Confirmed Fact</t>
        </is>
      </c>
      <c r="I64" s="7" t="inlineStr">
        <is>
          <t>Denver: TR-00063 received 4/16.</t>
        </is>
      </c>
    </row>
    <row r="65">
      <c r="A65" s="7" t="inlineStr">
        <is>
          <t>MD-00063</t>
        </is>
      </c>
      <c r="B65" s="7" t="inlineStr">
        <is>
          <t>2026-06-05</t>
        </is>
      </c>
      <c r="C65" s="7" t="inlineStr">
        <is>
          <t>Offboarding Ticket</t>
        </is>
      </c>
      <c r="D65" s="7" t="inlineStr">
        <is>
          <t>E0076</t>
        </is>
      </c>
      <c r="E65" s="7" t="inlineStr">
        <is>
          <t>IT Service Desk</t>
        </is>
      </c>
      <c r="F65" s="7" t="inlineStr"/>
      <c r="G65" s="7" t="inlineStr">
        <is>
          <t>Ticket:OFF-00063; Status:Closed</t>
        </is>
      </c>
      <c r="H65" s="7" t="inlineStr">
        <is>
          <t>Confirmed Fact</t>
        </is>
      </c>
      <c r="I65" s="7" t="inlineStr">
        <is>
          <t>Offboarding OFF-00063: Yes. Due Jul 15.</t>
        </is>
      </c>
    </row>
    <row r="66">
      <c r="A66" s="7" t="inlineStr">
        <is>
          <t>MD-00063</t>
        </is>
      </c>
      <c r="B66" s="7" t="inlineStr">
        <is>
          <t>2026-06-05</t>
        </is>
      </c>
      <c r="C66" s="7" t="inlineStr">
        <is>
          <t>Technician Comment</t>
        </is>
      </c>
      <c r="D66" s="7" t="inlineStr">
        <is>
          <t>Service Desk</t>
        </is>
      </c>
      <c r="E66" s="7" t="inlineStr"/>
      <c r="F66" s="7" t="inlineStr"/>
      <c r="G66" s="7" t="inlineStr">
        <is>
          <t>Ticket:OFF-00063</t>
        </is>
      </c>
      <c r="H66" s="7" t="inlineStr">
        <is>
          <t>Technician Claim</t>
        </is>
      </c>
      <c r="I66" s="7" t="inlineStr">
        <is>
          <t>Created 1Z label. Box not in Atlanta inbound as of last check. Ref MD-00063.</t>
        </is>
      </c>
    </row>
    <row r="67">
      <c r="A67" s="7" t="inlineStr">
        <is>
          <t>MD-00063</t>
        </is>
      </c>
      <c r="B67" s="7" t="inlineStr">
        <is>
          <t>2026-08-05</t>
        </is>
      </c>
      <c r="C67" s="7" t="inlineStr">
        <is>
          <t>Regional IT Note Lead</t>
        </is>
      </c>
      <c r="D67" s="7" t="inlineStr">
        <is>
          <t>Regional IT</t>
        </is>
      </c>
      <c r="E67" s="7" t="inlineStr"/>
      <c r="F67" s="7" t="inlineStr">
        <is>
          <t>Denver - Closed</t>
        </is>
      </c>
      <c r="G67" s="7" t="inlineStr">
        <is>
          <t>regional_IT_notes.docx</t>
        </is>
      </c>
      <c r="H67" s="7" t="inlineStr">
        <is>
          <t>Technician Claim</t>
        </is>
      </c>
      <c r="I67" s="7" t="inlineStr">
        <is>
          <t>regional_IT_notes.docx is in the packet. Weight = lead only (MD-00063).</t>
        </is>
      </c>
    </row>
    <row r="68">
      <c r="A68" s="7" t="inlineStr">
        <is>
          <t>MD-00063</t>
        </is>
      </c>
      <c r="B68" s="7" t="inlineStr">
        <is>
          <t>2026-08-09</t>
        </is>
      </c>
      <c r="C68" s="7" t="inlineStr">
        <is>
          <t>Policy Control Figure</t>
        </is>
      </c>
      <c r="D68" s="7" t="inlineStr">
        <is>
          <t>ITAM-001</t>
        </is>
      </c>
      <c r="E68" s="7" t="inlineStr"/>
      <c r="F68" s="7" t="inlineStr"/>
      <c r="G68" s="7" t="inlineStr">
        <is>
          <t>ITAM_control_matrix.png; IT_asset_management_policy.pdf</t>
        </is>
      </c>
      <c r="H68" s="7" t="inlineStr">
        <is>
          <t>Confirmed Fact</t>
        </is>
      </c>
      <c r="I68" s="7" t="inlineStr">
        <is>
          <t>MD-00063: matrix row Disposal defines acceptable proof; chain reference above is what was reviewed.</t>
        </is>
      </c>
    </row>
    <row r="69">
      <c r="A69" s="7" t="inlineStr">
        <is>
          <t>MD-00063</t>
        </is>
      </c>
      <c r="B69" s="7" t="inlineStr">
        <is>
          <t>2026-08-09</t>
        </is>
      </c>
      <c r="C69" s="7" t="inlineStr">
        <is>
          <t>Reconciliation Conclusion</t>
        </is>
      </c>
      <c r="D69" s="7" t="inlineStr">
        <is>
          <t>Evidence review</t>
        </is>
      </c>
      <c r="E69" s="7" t="inlineStr">
        <is>
          <t>Regional IT</t>
        </is>
      </c>
      <c r="F69" s="7" t="inlineStr">
        <is>
          <t>Denver</t>
        </is>
      </c>
      <c r="G69" s="7" t="inlineStr">
        <is>
          <t>Transfer:TR-00063; Approval:APR-00063; Received:2026-04-17; Ticket:OFF-00063; PO:PO-2024-0011; Ledger:FA-000063; PolicyFigure:ITAM_control_matrix.png</t>
        </is>
      </c>
      <c r="H69" s="7" t="inlineStr">
        <is>
          <t>Confirmed Fact</t>
        </is>
      </c>
      <c r="I69" s="7" t="inlineStr">
        <is>
          <t>Closing note MD-00063: Pending Redeployment / Denver (High). EX-0051, EX-0052. TR-00063 APR-00063 OFF-00063 PO-2024-0011 FA-000063 ITAM_control_matrix.png</t>
        </is>
      </c>
    </row>
    <row r="70">
      <c r="A70" s="7" t="inlineStr">
        <is>
          <t>MD-00064</t>
        </is>
      </c>
      <c r="B70" s="7" t="inlineStr">
        <is>
          <t>2022-05-17</t>
        </is>
      </c>
      <c r="C70" s="7" t="inlineStr">
        <is>
          <t>Purchase</t>
        </is>
      </c>
      <c r="D70" s="7" t="inlineStr">
        <is>
          <t>Vendor</t>
        </is>
      </c>
      <c r="E70" s="7" t="inlineStr">
        <is>
          <t>Central Receiving</t>
        </is>
      </c>
      <c r="F70" s="7" t="inlineStr">
        <is>
          <t>Atlanta Warehouse</t>
        </is>
      </c>
      <c r="G70" s="7" t="inlineStr">
        <is>
          <t>PO:PO-2024-0011</t>
        </is>
      </c>
      <c r="H70" s="7" t="inlineStr">
        <is>
          <t>Confirmed Fact</t>
        </is>
      </c>
      <c r="I70" s="7" t="inlineStr">
        <is>
          <t>PO-2024-0011: Cisco C9300 at $6245.</t>
        </is>
      </c>
    </row>
    <row r="71">
      <c r="A71" s="7" t="inlineStr">
        <is>
          <t>MD-00064</t>
        </is>
      </c>
      <c r="B71" s="7" t="inlineStr">
        <is>
          <t>2026-05-17</t>
        </is>
      </c>
      <c r="C71" s="7" t="inlineStr">
        <is>
          <t>Assignment/Transfer</t>
        </is>
      </c>
      <c r="D71" s="7" t="inlineStr">
        <is>
          <t>Central Receiving</t>
        </is>
      </c>
      <c r="E71" s="7" t="inlineStr">
        <is>
          <t>Regional IT</t>
        </is>
      </c>
      <c r="F71" s="7" t="inlineStr">
        <is>
          <t>New York</t>
        </is>
      </c>
      <c r="G71" s="7" t="inlineStr">
        <is>
          <t>Transfer:TR-00064; Approval:missing</t>
        </is>
      </c>
      <c r="H71" s="7" t="inlineStr">
        <is>
          <t>Confirmed Fact</t>
        </is>
      </c>
      <c r="I71" s="7" t="inlineStr">
        <is>
          <t>Moved to Regional IT in New York on TR-00064. Received 5/14.</t>
        </is>
      </c>
    </row>
    <row r="72">
      <c r="A72" s="7" t="inlineStr">
        <is>
          <t>MD-00064</t>
        </is>
      </c>
      <c r="B72" s="7" t="inlineStr">
        <is>
          <t>2026-05-06</t>
        </is>
      </c>
      <c r="C72" s="7" t="inlineStr">
        <is>
          <t>Offboarding Ticket</t>
        </is>
      </c>
      <c r="D72" s="7" t="inlineStr">
        <is>
          <t>E0077</t>
        </is>
      </c>
      <c r="E72" s="7" t="inlineStr">
        <is>
          <t>IT Service Desk</t>
        </is>
      </c>
      <c r="F72" s="7" t="inlineStr"/>
      <c r="G72" s="7" t="inlineStr">
        <is>
          <t>Ticket:OFF-00064; Status:Closed</t>
        </is>
      </c>
      <c r="H72" s="7" t="inlineStr">
        <is>
          <t>Confirmed Fact</t>
        </is>
      </c>
      <c r="I72" s="7" t="inlineStr">
        <is>
          <t>OFF-00064 Closed. Return required=Yes, due Jul 15.</t>
        </is>
      </c>
    </row>
    <row r="73">
      <c r="A73" s="7" t="inlineStr">
        <is>
          <t>MD-00064</t>
        </is>
      </c>
      <c r="B73" s="7" t="inlineStr">
        <is>
          <t>2026-05-06</t>
        </is>
      </c>
      <c r="C73" s="7" t="inlineStr">
        <is>
          <t>Technician Comment</t>
        </is>
      </c>
      <c r="D73" s="7" t="inlineStr">
        <is>
          <t>Service Desk</t>
        </is>
      </c>
      <c r="E73" s="7" t="inlineStr"/>
      <c r="F73" s="7" t="inlineStr"/>
      <c r="G73" s="7" t="inlineStr">
        <is>
          <t>Ticket:OFF-00064</t>
        </is>
      </c>
      <c r="H73" s="7" t="inlineStr">
        <is>
          <t>Technician Claim</t>
        </is>
      </c>
      <c r="I73" s="7" t="inlineStr">
        <is>
          <t>Desk copy of the offboarding packet marked 'ship later.' Ref MD-00064.</t>
        </is>
      </c>
    </row>
    <row r="74">
      <c r="A74" s="7" t="inlineStr">
        <is>
          <t>MD-00064</t>
        </is>
      </c>
      <c r="B74" s="7" t="inlineStr">
        <is>
          <t>2026-08-05</t>
        </is>
      </c>
      <c r="C74" s="7" t="inlineStr">
        <is>
          <t>Regional IT Note Lead</t>
        </is>
      </c>
      <c r="D74" s="7" t="inlineStr">
        <is>
          <t>Regional IT</t>
        </is>
      </c>
      <c r="E74" s="7" t="inlineStr"/>
      <c r="F74" s="7" t="inlineStr">
        <is>
          <t>Chicago - Closed</t>
        </is>
      </c>
      <c r="G74" s="7" t="inlineStr">
        <is>
          <t>regional_IT_notes.docx</t>
        </is>
      </c>
      <c r="H74" s="7" t="inlineStr">
        <is>
          <t>Technician Claim</t>
        </is>
      </c>
      <c r="I74" s="7" t="inlineStr">
        <is>
          <t>I read the note. I didn't relocate MD-00064 off of it.</t>
        </is>
      </c>
    </row>
    <row r="75">
      <c r="A75" s="7" t="inlineStr">
        <is>
          <t>MD-00064</t>
        </is>
      </c>
      <c r="B75" s="7" t="inlineStr">
        <is>
          <t>2026-08-09</t>
        </is>
      </c>
      <c r="C75" s="7" t="inlineStr">
        <is>
          <t>Policy Control Figure</t>
        </is>
      </c>
      <c r="D75" s="7" t="inlineStr">
        <is>
          <t>ITAM-001</t>
        </is>
      </c>
      <c r="E75" s="7" t="inlineStr"/>
      <c r="F75" s="7" t="inlineStr"/>
      <c r="G75" s="7" t="inlineStr">
        <is>
          <t>ITAM_control_matrix.png; IT_asset_management_policy.pdf</t>
        </is>
      </c>
      <c r="H75" s="7" t="inlineStr">
        <is>
          <t>Confirmed Fact</t>
        </is>
      </c>
      <c r="I75" s="7" t="inlineStr">
        <is>
          <t>MD-00064: Assignment control from ITAM-001 Appendix A governs this step; matrix figure is the standard, not proof of movement (chain reference above); ITAM_control_matrix.png in packet.</t>
        </is>
      </c>
    </row>
    <row r="76">
      <c r="A76" s="7" t="inlineStr">
        <is>
          <t>MD-00064</t>
        </is>
      </c>
      <c r="B76" s="7" t="inlineStr">
        <is>
          <t>2026-08-09</t>
        </is>
      </c>
      <c r="C76" s="7" t="inlineStr">
        <is>
          <t>Reconciliation Conclusion</t>
        </is>
      </c>
      <c r="D76" s="7" t="inlineStr">
        <is>
          <t>Evidence review</t>
        </is>
      </c>
      <c r="E76" s="7" t="inlineStr">
        <is>
          <t>Regional IT</t>
        </is>
      </c>
      <c r="F76" s="7" t="inlineStr">
        <is>
          <t>New York</t>
        </is>
      </c>
      <c r="G76" s="7" t="inlineStr">
        <is>
          <t>Transfer:TR-00064; Received:2026-05-18; Ticket:OFF-00064; PO:PO-2024-0011; Ledger:FA-000064; PolicyFigure:ITAM_control_matrix.png</t>
        </is>
      </c>
      <c r="H76" s="7" t="inlineStr">
        <is>
          <t>Confirmed Fact</t>
        </is>
      </c>
      <c r="I76" s="7" t="inlineStr">
        <is>
          <t>Verified Pending Redeployment. EX-0053, EX-0054, EX-0055. Medium. TR-00064 OFF-00064 PO-2024-0011 FA-000064 ITAM_control_matrix.png</t>
        </is>
      </c>
    </row>
    <row r="77">
      <c r="A77" s="7" t="inlineStr">
        <is>
          <t>MD-00065</t>
        </is>
      </c>
      <c r="B77" s="7" t="inlineStr">
        <is>
          <t>2023-06-18</t>
        </is>
      </c>
      <c r="C77" s="7" t="inlineStr">
        <is>
          <t>Purchase</t>
        </is>
      </c>
      <c r="D77" s="7" t="inlineStr">
        <is>
          <t>Vendor</t>
        </is>
      </c>
      <c r="E77" s="7" t="inlineStr">
        <is>
          <t>Central Receiving</t>
        </is>
      </c>
      <c r="F77" s="7" t="inlineStr">
        <is>
          <t>Atlanta Warehouse</t>
        </is>
      </c>
      <c r="G77" s="7" t="inlineStr">
        <is>
          <t>PO:PO-2024-0011</t>
        </is>
      </c>
      <c r="H77" s="7" t="inlineStr">
        <is>
          <t>Confirmed Fact</t>
        </is>
      </c>
      <c r="I77" s="7" t="inlineStr">
        <is>
          <t>Purchasing file PO-2024-0011 matches MD-00065 at $1940.</t>
        </is>
      </c>
    </row>
    <row r="78">
      <c r="A78" s="7" t="inlineStr">
        <is>
          <t>MD-00065</t>
        </is>
      </c>
      <c r="B78" s="7" t="inlineStr">
        <is>
          <t>2026-06-18</t>
        </is>
      </c>
      <c r="C78" s="7" t="inlineStr">
        <is>
          <t>Assignment/Transfer</t>
        </is>
      </c>
      <c r="D78" s="7" t="inlineStr">
        <is>
          <t>Central Receiving</t>
        </is>
      </c>
      <c r="E78" s="7" t="inlineStr">
        <is>
          <t>Regional IT</t>
        </is>
      </c>
      <c r="F78" s="7" t="inlineStr">
        <is>
          <t>Seattle</t>
        </is>
      </c>
      <c r="G78" s="7" t="inlineStr">
        <is>
          <t>Transfer:TR-00065; Approval:missing</t>
        </is>
      </c>
      <c r="H78" s="7" t="inlineStr">
        <is>
          <t>Confirmed Fact</t>
        </is>
      </c>
      <c r="I78" s="7" t="inlineStr">
        <is>
          <t>TR-00065 — got it 6/23 at Seattle.</t>
        </is>
      </c>
    </row>
    <row r="79">
      <c r="A79" s="7" t="inlineStr">
        <is>
          <t>MD-00065</t>
        </is>
      </c>
      <c r="B79" s="7" t="inlineStr">
        <is>
          <t>2026-06-07</t>
        </is>
      </c>
      <c r="C79" s="7" t="inlineStr">
        <is>
          <t>Offboarding Ticket</t>
        </is>
      </c>
      <c r="D79" s="7" t="inlineStr">
        <is>
          <t>E0078</t>
        </is>
      </c>
      <c r="E79" s="7" t="inlineStr">
        <is>
          <t>IT Service Desk</t>
        </is>
      </c>
      <c r="F79" s="7" t="inlineStr"/>
      <c r="G79" s="7" t="inlineStr">
        <is>
          <t>Ticket:OFF-00065; Status:Closed</t>
        </is>
      </c>
      <c r="H79" s="7" t="inlineStr">
        <is>
          <t>Confirmed Fact</t>
        </is>
      </c>
      <c r="I79" s="7" t="inlineStr">
        <is>
          <t>MD-00065 tied to OFF-00065 (Closed). SLA Jul 15.</t>
        </is>
      </c>
    </row>
    <row r="80">
      <c r="A80" s="7" t="inlineStr">
        <is>
          <t>MD-00065</t>
        </is>
      </c>
      <c r="B80" s="7" t="inlineStr">
        <is>
          <t>2026-06-07</t>
        </is>
      </c>
      <c r="C80" s="7" t="inlineStr">
        <is>
          <t>Technician Comment</t>
        </is>
      </c>
      <c r="D80" s="7" t="inlineStr">
        <is>
          <t>Service Desk</t>
        </is>
      </c>
      <c r="E80" s="7" t="inlineStr"/>
      <c r="F80" s="7" t="inlineStr"/>
      <c r="G80" s="7" t="inlineStr">
        <is>
          <t>Ticket:OFF-00065</t>
        </is>
      </c>
      <c r="H80" s="7" t="inlineStr">
        <is>
          <t>Technician Claim</t>
        </is>
      </c>
      <c r="I80" s="7" t="inlineStr">
        <is>
          <t>Manager thought IT already had it. We don't. Ref MD-00065.</t>
        </is>
      </c>
    </row>
    <row r="81">
      <c r="A81" s="7" t="inlineStr">
        <is>
          <t>MD-00065</t>
        </is>
      </c>
      <c r="B81" s="7" t="inlineStr">
        <is>
          <t>2026-08-05</t>
        </is>
      </c>
      <c r="C81" s="7" t="inlineStr">
        <is>
          <t>Regional IT Note Lead</t>
        </is>
      </c>
      <c r="D81" s="7" t="inlineStr">
        <is>
          <t>Regional IT</t>
        </is>
      </c>
      <c r="E81" s="7" t="inlineStr"/>
      <c r="F81" s="7" t="inlineStr">
        <is>
          <t>Denver - Closed</t>
        </is>
      </c>
      <c r="G81" s="7" t="inlineStr">
        <is>
          <t>regional_IT_notes.docx</t>
        </is>
      </c>
      <c r="H81" s="7" t="inlineStr">
        <is>
          <t>Technician Claim</t>
        </is>
      </c>
      <c r="I81" s="7" t="inlineStr">
        <is>
          <t>Tech note in the Word dump. Treated as a lead for MD-00065, not location proof.</t>
        </is>
      </c>
    </row>
    <row r="82">
      <c r="A82" s="7" t="inlineStr">
        <is>
          <t>MD-00065</t>
        </is>
      </c>
      <c r="B82" s="7" t="inlineStr">
        <is>
          <t>2026-08-09</t>
        </is>
      </c>
      <c r="C82" s="7" t="inlineStr">
        <is>
          <t>Policy Control Figure</t>
        </is>
      </c>
      <c r="D82" s="7" t="inlineStr">
        <is>
          <t>ITAM-001</t>
        </is>
      </c>
      <c r="E82" s="7" t="inlineStr"/>
      <c r="F82" s="7" t="inlineStr"/>
      <c r="G82" s="7" t="inlineStr">
        <is>
          <t>ITAM_control_matrix.png; IT_asset_management_policy.pdf</t>
        </is>
      </c>
      <c r="H82" s="7" t="inlineStr">
        <is>
          <t>Confirmed Fact</t>
        </is>
      </c>
      <c r="I82" s="7" t="inlineStr">
        <is>
          <t>Control matrix documents required return evidence for MD-00065; chain reference above must satisfy that bar.</t>
        </is>
      </c>
    </row>
    <row r="83">
      <c r="A83" s="7" t="inlineStr">
        <is>
          <t>MD-00065</t>
        </is>
      </c>
      <c r="B83" s="7" t="inlineStr">
        <is>
          <t>2026-08-09</t>
        </is>
      </c>
      <c r="C83" s="7" t="inlineStr">
        <is>
          <t>Reconciliation Conclusion</t>
        </is>
      </c>
      <c r="D83" s="7" t="inlineStr">
        <is>
          <t>Evidence review</t>
        </is>
      </c>
      <c r="E83" s="7" t="inlineStr">
        <is>
          <t>Regional IT</t>
        </is>
      </c>
      <c r="F83" s="7" t="inlineStr">
        <is>
          <t>Seattle</t>
        </is>
      </c>
      <c r="G83" s="7" t="inlineStr">
        <is>
          <t>Transfer:TR-00065; Received:2026-06-19; Ticket:OFF-00065; PO:PO-2024-0011; Ledger:FA-000065; PolicyFigure:ITAM_control_matrix.png</t>
        </is>
      </c>
      <c r="H83" s="7" t="inlineStr">
        <is>
          <t>Confirmed Fact</t>
        </is>
      </c>
      <c r="I83" s="7" t="inlineStr">
        <is>
          <t>After the chain: Pending Redeployment. Medium confidence. EX-0056, EX-0057, EX-0058. TR-00065 OFF-00065 PO-2024-0011 FA-000065 ITAM_control_matrix.png</t>
        </is>
      </c>
    </row>
    <row r="84">
      <c r="A84" s="7" t="inlineStr">
        <is>
          <t>MD-00066</t>
        </is>
      </c>
      <c r="B84" s="7" t="inlineStr">
        <is>
          <t>2024-07-19</t>
        </is>
      </c>
      <c r="C84" s="7" t="inlineStr">
        <is>
          <t>Purchase</t>
        </is>
      </c>
      <c r="D84" s="7" t="inlineStr">
        <is>
          <t>Vendor</t>
        </is>
      </c>
      <c r="E84" s="7" t="inlineStr">
        <is>
          <t>Central Receiving</t>
        </is>
      </c>
      <c r="F84" s="7" t="inlineStr">
        <is>
          <t>Atlanta Warehouse</t>
        </is>
      </c>
      <c r="G84" s="7" t="inlineStr">
        <is>
          <t>PO:PO-2024-0011</t>
        </is>
      </c>
      <c r="H84" s="7" t="inlineStr">
        <is>
          <t>Confirmed Fact</t>
        </is>
      </c>
      <c r="I84" s="7" t="inlineStr">
        <is>
          <t>PO line PO-2024-0011 — Dell U2723QE.</t>
        </is>
      </c>
    </row>
    <row r="85">
      <c r="A85" s="7" t="inlineStr">
        <is>
          <t>MD-00066</t>
        </is>
      </c>
      <c r="B85" s="7" t="inlineStr">
        <is>
          <t>2026-01-19</t>
        </is>
      </c>
      <c r="C85" s="7" t="inlineStr">
        <is>
          <t>Assignment/Transfer</t>
        </is>
      </c>
      <c r="D85" s="7" t="inlineStr">
        <is>
          <t>Central Receiving</t>
        </is>
      </c>
      <c r="E85" s="7" t="inlineStr">
        <is>
          <t>Regional IT</t>
        </is>
      </c>
      <c r="F85" s="7" t="inlineStr">
        <is>
          <t>Atlanta</t>
        </is>
      </c>
      <c r="G85" s="7" t="inlineStr">
        <is>
          <t>Transfer:TR-00066; Approval:APR-00066</t>
        </is>
      </c>
      <c r="H85" s="7" t="inlineStr">
        <is>
          <t>Confirmed Fact</t>
        </is>
      </c>
      <c r="I85" s="7" t="inlineStr">
        <is>
          <t>From warehouse to Regional IT. TR-00066, received 1/25.</t>
        </is>
      </c>
    </row>
    <row r="86">
      <c r="A86" s="7" t="inlineStr">
        <is>
          <t>MD-00066</t>
        </is>
      </c>
      <c r="B86" s="7" t="inlineStr">
        <is>
          <t>2026-05-08</t>
        </is>
      </c>
      <c r="C86" s="7" t="inlineStr">
        <is>
          <t>Offboarding Ticket</t>
        </is>
      </c>
      <c r="D86" s="7" t="inlineStr">
        <is>
          <t>E0079</t>
        </is>
      </c>
      <c r="E86" s="7" t="inlineStr">
        <is>
          <t>IT Service Desk</t>
        </is>
      </c>
      <c r="F86" s="7" t="inlineStr"/>
      <c r="G86" s="7" t="inlineStr">
        <is>
          <t>Ticket:OFF-00066; Status:Closed</t>
        </is>
      </c>
      <c r="H86" s="7" t="inlineStr">
        <is>
          <t>Confirmed Fact</t>
        </is>
      </c>
      <c r="I86" s="7" t="inlineStr">
        <is>
          <t>Opened OFF-00066. Status Closed.</t>
        </is>
      </c>
    </row>
    <row r="87">
      <c r="A87" s="7" t="inlineStr">
        <is>
          <t>MD-00066</t>
        </is>
      </c>
      <c r="B87" s="7" t="inlineStr">
        <is>
          <t>2026-05-08</t>
        </is>
      </c>
      <c r="C87" s="7" t="inlineStr">
        <is>
          <t>Technician Comment</t>
        </is>
      </c>
      <c r="D87" s="7" t="inlineStr">
        <is>
          <t>Service Desk</t>
        </is>
      </c>
      <c r="E87" s="7" t="inlineStr"/>
      <c r="F87" s="7" t="inlineStr"/>
      <c r="G87" s="7" t="inlineStr">
        <is>
          <t>Ticket:OFF-00066</t>
        </is>
      </c>
      <c r="H87" s="7" t="inlineStr">
        <is>
          <t>Technician Claim</t>
        </is>
      </c>
      <c r="I87" s="7" t="inlineStr">
        <is>
          <t>Pushed a second reminder. Carrier still has no acceptance. Ref MD-00066.</t>
        </is>
      </c>
    </row>
    <row r="88">
      <c r="A88" s="7" t="inlineStr">
        <is>
          <t>MD-00066</t>
        </is>
      </c>
      <c r="B88" s="7" t="inlineStr">
        <is>
          <t>2026-08-05</t>
        </is>
      </c>
      <c r="C88" s="7" t="inlineStr">
        <is>
          <t>Regional IT Note Lead</t>
        </is>
      </c>
      <c r="D88" s="7" t="inlineStr">
        <is>
          <t>Regional IT</t>
        </is>
      </c>
      <c r="E88" s="7" t="inlineStr"/>
      <c r="F88" s="7" t="inlineStr">
        <is>
          <t>Chicago - Closed</t>
        </is>
      </c>
      <c r="G88" s="7" t="inlineStr">
        <is>
          <t>regional_IT_notes.docx</t>
        </is>
      </c>
      <c r="H88" s="7" t="inlineStr">
        <is>
          <t>Technician Claim</t>
        </is>
      </c>
      <c r="I88" s="7" t="inlineStr">
        <is>
          <t>Note exists. Corroboration doesn't. MD-00066.</t>
        </is>
      </c>
    </row>
    <row r="89">
      <c r="A89" s="7" t="inlineStr">
        <is>
          <t>MD-00066</t>
        </is>
      </c>
      <c r="B89" s="7" t="inlineStr">
        <is>
          <t>2026-08-09</t>
        </is>
      </c>
      <c r="C89" s="7" t="inlineStr">
        <is>
          <t>Policy Control Figure</t>
        </is>
      </c>
      <c r="D89" s="7" t="inlineStr">
        <is>
          <t>ITAM-001</t>
        </is>
      </c>
      <c r="E89" s="7" t="inlineStr"/>
      <c r="F89" s="7" t="inlineStr"/>
      <c r="G89" s="7" t="inlineStr">
        <is>
          <t>ITAM_control_matrix.png; IT_asset_management_policy.pdf</t>
        </is>
      </c>
      <c r="H89" s="7" t="inlineStr">
        <is>
          <t>Confirmed Fact</t>
        </is>
      </c>
      <c r="I89" s="7" t="inlineStr">
        <is>
          <t>MD-00066: Financial column in the control matrix frames the review; ledger/transfer proof is chain reference above.</t>
        </is>
      </c>
    </row>
    <row r="90">
      <c r="A90" s="7" t="inlineStr">
        <is>
          <t>MD-00066</t>
        </is>
      </c>
      <c r="B90" s="7" t="inlineStr">
        <is>
          <t>2026-08-09</t>
        </is>
      </c>
      <c r="C90" s="7" t="inlineStr">
        <is>
          <t>Reconciliation Conclusion</t>
        </is>
      </c>
      <c r="D90" s="7" t="inlineStr">
        <is>
          <t>Evidence review</t>
        </is>
      </c>
      <c r="E90" s="7" t="inlineStr">
        <is>
          <t>Regional IT</t>
        </is>
      </c>
      <c r="F90" s="7" t="inlineStr">
        <is>
          <t>Atlanta</t>
        </is>
      </c>
      <c r="G90" s="7" t="inlineStr">
        <is>
          <t>Transfer:TR-00066; Approval:APR-00066; Received:2026-01-20; Ticket:OFF-00066; PO:PO-2024-0011; Ledger:FA-000066; PolicyFigure:ITAM_control_matrix.png</t>
        </is>
      </c>
      <c r="H90" s="7" t="inlineStr">
        <is>
          <t>Confirmed Fact</t>
        </is>
      </c>
      <c r="I90" s="7" t="inlineStr">
        <is>
          <t>Call: Pending Redeployment at Atlanta. High. Exceptions EX-0059, EX-0060. TR-00066 APR-00066 OFF-00066 PO-2024-0011 FA-000066 ITAM_control_matrix.png</t>
        </is>
      </c>
    </row>
    <row r="91">
      <c r="A91" s="7" t="inlineStr">
        <is>
          <t>MD-00067</t>
        </is>
      </c>
      <c r="B91" s="7" t="inlineStr">
        <is>
          <t>2025-08-20</t>
        </is>
      </c>
      <c r="C91" s="7" t="inlineStr">
        <is>
          <t>Purchase</t>
        </is>
      </c>
      <c r="D91" s="7" t="inlineStr">
        <is>
          <t>Vendor</t>
        </is>
      </c>
      <c r="E91" s="7" t="inlineStr">
        <is>
          <t>Central Receiving</t>
        </is>
      </c>
      <c r="F91" s="7" t="inlineStr">
        <is>
          <t>Atlanta Warehouse</t>
        </is>
      </c>
      <c r="G91" s="7" t="inlineStr">
        <is>
          <t>PO:PO-2025-0012</t>
        </is>
      </c>
      <c r="H91" s="7" t="inlineStr">
        <is>
          <t>Confirmed Fact</t>
        </is>
      </c>
      <c r="I91" s="7" t="inlineStr">
        <is>
          <t>Bought the Samsung Galaxy S24 ($1130) on PO-2025-0012.</t>
        </is>
      </c>
    </row>
    <row r="92">
      <c r="A92" s="7" t="inlineStr">
        <is>
          <t>MD-00067</t>
        </is>
      </c>
      <c r="B92" s="7" t="inlineStr">
        <is>
          <t>2026-02-20</t>
        </is>
      </c>
      <c r="C92" s="7" t="inlineStr">
        <is>
          <t>Assignment/Transfer</t>
        </is>
      </c>
      <c r="D92" s="7" t="inlineStr">
        <is>
          <t>Central Receiving</t>
        </is>
      </c>
      <c r="E92" s="7" t="inlineStr">
        <is>
          <t>Regional IT</t>
        </is>
      </c>
      <c r="F92" s="7" t="inlineStr">
        <is>
          <t>Chicago</t>
        </is>
      </c>
      <c r="G92" s="7" t="inlineStr">
        <is>
          <t>Transfer:TR-00067; Approval:APR-00067</t>
        </is>
      </c>
      <c r="H92" s="7" t="inlineStr">
        <is>
          <t>Confirmed Fact</t>
        </is>
      </c>
      <c r="I92" s="7" t="inlineStr">
        <is>
          <t>Transfer TR-00067 / APR-00067. Received 2/23.</t>
        </is>
      </c>
    </row>
    <row r="93">
      <c r="A93" s="7" t="inlineStr">
        <is>
          <t>MD-00067</t>
        </is>
      </c>
      <c r="B93" s="7" t="inlineStr">
        <is>
          <t>2026-06-09</t>
        </is>
      </c>
      <c r="C93" s="7" t="inlineStr">
        <is>
          <t>Offboarding Ticket</t>
        </is>
      </c>
      <c r="D93" s="7" t="inlineStr">
        <is>
          <t>E0080</t>
        </is>
      </c>
      <c r="E93" s="7" t="inlineStr">
        <is>
          <t>IT Service Desk</t>
        </is>
      </c>
      <c r="F93" s="7" t="inlineStr"/>
      <c r="G93" s="7" t="inlineStr">
        <is>
          <t>Ticket:OFF-00067; Status:Closed</t>
        </is>
      </c>
      <c r="H93" s="7" t="inlineStr">
        <is>
          <t>Confirmed Fact</t>
        </is>
      </c>
      <c r="I93" s="7" t="inlineStr">
        <is>
          <t>Service desk OFF-00067 on MD-00067. Return required Yes.</t>
        </is>
      </c>
    </row>
    <row r="94">
      <c r="A94" s="7" t="inlineStr">
        <is>
          <t>MD-00067</t>
        </is>
      </c>
      <c r="B94" s="7" t="inlineStr">
        <is>
          <t>2026-06-09</t>
        </is>
      </c>
      <c r="C94" s="7" t="inlineStr">
        <is>
          <t>Technician Comment</t>
        </is>
      </c>
      <c r="D94" s="7" t="inlineStr">
        <is>
          <t>Service Desk</t>
        </is>
      </c>
      <c r="E94" s="7" t="inlineStr"/>
      <c r="F94" s="7" t="inlineStr"/>
      <c r="G94" s="7" t="inlineStr">
        <is>
          <t>Ticket:OFF-00067</t>
        </is>
      </c>
      <c r="H94" s="7" t="inlineStr">
        <is>
          <t>Technician Claim</t>
        </is>
      </c>
      <c r="I94" s="7" t="inlineStr">
        <is>
          <t>WFH return; waiting on tracking to leave 'label created.' Ref MD-00067.</t>
        </is>
      </c>
    </row>
    <row r="95">
      <c r="A95" s="7" t="inlineStr">
        <is>
          <t>MD-00067</t>
        </is>
      </c>
      <c r="B95" s="7" t="inlineStr">
        <is>
          <t>2026-08-05</t>
        </is>
      </c>
      <c r="C95" s="7" t="inlineStr">
        <is>
          <t>Regional IT Note Lead</t>
        </is>
      </c>
      <c r="D95" s="7" t="inlineStr">
        <is>
          <t>Regional IT</t>
        </is>
      </c>
      <c r="E95" s="7" t="inlineStr"/>
      <c r="F95" s="7" t="inlineStr">
        <is>
          <t>Denver - Closed</t>
        </is>
      </c>
      <c r="G95" s="7" t="inlineStr">
        <is>
          <t>regional_IT_notes.docx</t>
        </is>
      </c>
      <c r="H95" s="7" t="inlineStr">
        <is>
          <t>Technician Claim</t>
        </is>
      </c>
      <c r="I95" s="7" t="inlineStr">
        <is>
          <t>Word file claim on MD-00067 — non-authoritative.</t>
        </is>
      </c>
    </row>
    <row r="96">
      <c r="A96" s="7" t="inlineStr">
        <is>
          <t>MD-00067</t>
        </is>
      </c>
      <c r="B96" s="7" t="inlineStr">
        <is>
          <t>2026-08-09</t>
        </is>
      </c>
      <c r="C96" s="7" t="inlineStr">
        <is>
          <t>Policy Control Figure</t>
        </is>
      </c>
      <c r="D96" s="7" t="inlineStr">
        <is>
          <t>ITAM-001</t>
        </is>
      </c>
      <c r="E96" s="7" t="inlineStr"/>
      <c r="F96" s="7" t="inlineStr"/>
      <c r="G96" s="7" t="inlineStr">
        <is>
          <t>ITAM_control_matrix.png; IT_asset_management_policy.pdf</t>
        </is>
      </c>
      <c r="H96" s="7" t="inlineStr">
        <is>
          <t>Confirmed Fact</t>
        </is>
      </c>
      <c r="I96" s="7" t="inlineStr">
        <is>
          <t>Return/disposal/financial gates for MD-00067 read from the matrix transfer row; chain reference above is the source record; ITAM_control_matrix.png in packet.</t>
        </is>
      </c>
    </row>
    <row r="97">
      <c r="A97" s="7" t="inlineStr">
        <is>
          <t>MD-00067</t>
        </is>
      </c>
      <c r="B97" s="7" t="inlineStr">
        <is>
          <t>2026-08-09</t>
        </is>
      </c>
      <c r="C97" s="7" t="inlineStr">
        <is>
          <t>Reconciliation Conclusion</t>
        </is>
      </c>
      <c r="D97" s="7" t="inlineStr">
        <is>
          <t>Evidence review</t>
        </is>
      </c>
      <c r="E97" s="7" t="inlineStr">
        <is>
          <t>Regional IT</t>
        </is>
      </c>
      <c r="F97" s="7" t="inlineStr">
        <is>
          <t>Chicago</t>
        </is>
      </c>
      <c r="G97" s="7" t="inlineStr">
        <is>
          <t>Transfer:TR-00067; Approval:APR-00067; Received:2026-02-21; Ticket:OFF-00067; PO:PO-2025-0012; Ledger:FA-000067; PolicyFigure:ITAM_control_matrix.png</t>
        </is>
      </c>
      <c r="H97" s="7" t="inlineStr">
        <is>
          <t>Confirmed Fact</t>
        </is>
      </c>
      <c r="I97" s="7" t="inlineStr">
        <is>
          <t>MD-00067 → Pending Redeployment. Confidence High. EX-0061, EX-0062. TR-00067 APR-00067 OFF-00067 PO-2025-0012 FA-000067 ITAM_control_matrix.png</t>
        </is>
      </c>
    </row>
    <row r="98">
      <c r="A98" s="7" t="inlineStr">
        <is>
          <t>MD-00068</t>
        </is>
      </c>
      <c r="B98" s="7" t="inlineStr">
        <is>
          <t>2022-09-21</t>
        </is>
      </c>
      <c r="C98" s="7" t="inlineStr">
        <is>
          <t>Purchase</t>
        </is>
      </c>
      <c r="D98" s="7" t="inlineStr">
        <is>
          <t>Vendor</t>
        </is>
      </c>
      <c r="E98" s="7" t="inlineStr">
        <is>
          <t>Central Receiving</t>
        </is>
      </c>
      <c r="F98" s="7" t="inlineStr">
        <is>
          <t>Atlanta Warehouse</t>
        </is>
      </c>
      <c r="G98" s="7" t="inlineStr">
        <is>
          <t>PO:PO-2025-0012</t>
        </is>
      </c>
      <c r="H98" s="7" t="inlineStr">
        <is>
          <t>Confirmed Fact</t>
        </is>
      </c>
      <c r="I98" s="7" t="inlineStr">
        <is>
          <t>Warehouse receipt tied to PO-2025-0012. Cisco C9300.</t>
        </is>
      </c>
    </row>
    <row r="99">
      <c r="A99" s="7" t="inlineStr">
        <is>
          <t>MD-00068</t>
        </is>
      </c>
      <c r="B99" s="7" t="inlineStr">
        <is>
          <t>2026-03-21</t>
        </is>
      </c>
      <c r="C99" s="7" t="inlineStr">
        <is>
          <t>Assignment/Transfer</t>
        </is>
      </c>
      <c r="D99" s="7" t="inlineStr">
        <is>
          <t>Central Receiving</t>
        </is>
      </c>
      <c r="E99" s="7" t="inlineStr">
        <is>
          <t>E0071</t>
        </is>
      </c>
      <c r="F99" s="7" t="inlineStr">
        <is>
          <t>Remote - Former Employee</t>
        </is>
      </c>
      <c r="G99" s="7" t="inlineStr">
        <is>
          <t>Transfer:TR-00068; Approval:APR-00068</t>
        </is>
      </c>
      <c r="H99" s="7" t="inlineStr">
        <is>
          <t>Confirmed Fact</t>
        </is>
      </c>
      <c r="I99" s="7" t="inlineStr">
        <is>
          <t>Recorded March 28, 2026, received 4/3. TR-00068.</t>
        </is>
      </c>
    </row>
    <row r="100">
      <c r="A100" s="7" t="inlineStr">
        <is>
          <t>MD-00068</t>
        </is>
      </c>
      <c r="B100" s="7" t="inlineStr">
        <is>
          <t>2026-05-10</t>
        </is>
      </c>
      <c r="C100" s="7" t="inlineStr">
        <is>
          <t>Offboarding Ticket</t>
        </is>
      </c>
      <c r="D100" s="7" t="inlineStr">
        <is>
          <t>E0081</t>
        </is>
      </c>
      <c r="E100" s="7" t="inlineStr">
        <is>
          <t>IT Service Desk</t>
        </is>
      </c>
      <c r="F100" s="7" t="inlineStr"/>
      <c r="G100" s="7" t="inlineStr">
        <is>
          <t>Ticket:OFF-00068; Status:Past Due</t>
        </is>
      </c>
      <c r="H100" s="7" t="inlineStr">
        <is>
          <t>Confirmed Fact</t>
        </is>
      </c>
      <c r="I100" s="7" t="inlineStr">
        <is>
          <t>OFF-00068 — Past Due. Due Jul 15.</t>
        </is>
      </c>
    </row>
    <row r="101">
      <c r="A101" s="7" t="inlineStr">
        <is>
          <t>MD-00068</t>
        </is>
      </c>
      <c r="B101" s="7" t="inlineStr">
        <is>
          <t>2026-05-10</t>
        </is>
      </c>
      <c r="C101" s="7" t="inlineStr">
        <is>
          <t>Technician Comment</t>
        </is>
      </c>
      <c r="D101" s="7" t="inlineStr">
        <is>
          <t>Service Desk</t>
        </is>
      </c>
      <c r="E101" s="7" t="inlineStr"/>
      <c r="F101" s="7" t="inlineStr"/>
      <c r="G101" s="7" t="inlineStr">
        <is>
          <t>Ticket:OFF-00068</t>
        </is>
      </c>
      <c r="H101" s="7" t="inlineStr">
        <is>
          <t>Technician Claim</t>
        </is>
      </c>
      <c r="I101" s="7" t="inlineStr">
        <is>
          <t>Coordinator asked if we can close on the label. No. Ref MD-00068.</t>
        </is>
      </c>
    </row>
    <row r="102">
      <c r="A102" s="7" t="inlineStr">
        <is>
          <t>MD-00068</t>
        </is>
      </c>
      <c r="B102" s="7" t="inlineStr">
        <is>
          <t>2026-06-25</t>
        </is>
      </c>
      <c r="C102" s="7" t="inlineStr">
        <is>
          <t>Return Label Created</t>
        </is>
      </c>
      <c r="D102" s="7" t="inlineStr">
        <is>
          <t>E0081</t>
        </is>
      </c>
      <c r="E102" s="7" t="inlineStr">
        <is>
          <t>Return Carrier</t>
        </is>
      </c>
      <c r="F102" s="7" t="inlineStr">
        <is>
          <t>Carrier Network</t>
        </is>
      </c>
      <c r="G102" s="7" t="inlineStr">
        <is>
          <t>Tracking:1ZMD00000068; Status:Label Created</t>
        </is>
      </c>
      <c r="H102" s="7" t="inlineStr">
        <is>
          <t>Confirmed Fact</t>
        </is>
      </c>
      <c r="I102" s="7" t="inlineStr">
        <is>
          <t>I didn't close MD-00068 on the 1Z print. 1ZMD00000068.</t>
        </is>
      </c>
    </row>
    <row r="103">
      <c r="A103" s="7" t="inlineStr">
        <is>
          <t>MD-00068</t>
        </is>
      </c>
      <c r="B103" s="7" t="inlineStr">
        <is>
          <t>2026-08-05</t>
        </is>
      </c>
      <c r="C103" s="7" t="inlineStr">
        <is>
          <t>Regional IT Note Lead</t>
        </is>
      </c>
      <c r="D103" s="7" t="inlineStr">
        <is>
          <t>Regional IT</t>
        </is>
      </c>
      <c r="E103" s="7" t="inlineStr"/>
      <c r="F103" s="7" t="inlineStr">
        <is>
          <t>Chicago - Closed</t>
        </is>
      </c>
      <c r="G103" s="7" t="inlineStr">
        <is>
          <t>regional_IT_notes.docx</t>
        </is>
      </c>
      <c r="H103" s="7" t="inlineStr">
        <is>
          <t>Technician Claim</t>
        </is>
      </c>
      <c r="I103" s="7" t="inlineStr">
        <is>
          <t>Someone wrote that it stayed at a closed site. Unverified for MD-00068.</t>
        </is>
      </c>
    </row>
    <row r="104">
      <c r="A104" s="7" t="inlineStr">
        <is>
          <t>MD-00068</t>
        </is>
      </c>
      <c r="B104" s="7" t="inlineStr">
        <is>
          <t>2026-08-09</t>
        </is>
      </c>
      <c r="C104" s="7" t="inlineStr">
        <is>
          <t>Policy Control Figure</t>
        </is>
      </c>
      <c r="D104" s="7" t="inlineStr">
        <is>
          <t>ITAM-001</t>
        </is>
      </c>
      <c r="E104" s="7" t="inlineStr"/>
      <c r="F104" s="7" t="inlineStr"/>
      <c r="G104" s="7" t="inlineStr">
        <is>
          <t>ITAM_control_matrix.png; IT_asset_management_policy.pdf</t>
        </is>
      </c>
      <c r="H104" s="7" t="inlineStr">
        <is>
          <t>Confirmed Fact</t>
        </is>
      </c>
      <c r="I104" s="7" t="inlineStr">
        <is>
          <t>MD-00068: Financial column in the control matrix frames the review; ledger/transfer proof is chain reference above.</t>
        </is>
      </c>
    </row>
    <row r="105">
      <c r="A105" s="7" t="inlineStr">
        <is>
          <t>MD-00068</t>
        </is>
      </c>
      <c r="B105" s="7" t="inlineStr">
        <is>
          <t>2026-08-09</t>
        </is>
      </c>
      <c r="C105" s="7" t="inlineStr">
        <is>
          <t>Reconciliation Conclusion</t>
        </is>
      </c>
      <c r="D105" s="7" t="inlineStr">
        <is>
          <t>Evidence review</t>
        </is>
      </c>
      <c r="E105" s="7" t="inlineStr">
        <is>
          <t>E0081</t>
        </is>
      </c>
      <c r="F105" s="7" t="inlineStr">
        <is>
          <t>Remote - Former Employee</t>
        </is>
      </c>
      <c r="G105" s="7" t="inlineStr">
        <is>
          <t>Ticket:OFF-00068; Tracking:1ZMD00000068; ReturnProof:absent (label only); Transfer:TR-00068; HR:E0081:Separated; PO:PO-2025-0012; Ledger:FA-000068; PolicyFigure:ITAM_control_matrix.png</t>
        </is>
      </c>
      <c r="H105" s="7" t="inlineStr">
        <is>
          <t>Unresolved Assumption</t>
        </is>
      </c>
      <c r="I105" s="7" t="inlineStr">
        <is>
          <t>MD-00068 → Return Overdue. Confidence Low. EX-0063, EX-0064, EX-0065. OFF-00068 1ZMD00000068 TR-00068 E0081 PO-2025-0012 FA-000068 ITAM_control_matrix.png</t>
        </is>
      </c>
    </row>
    <row r="106">
      <c r="A106" s="7" t="inlineStr">
        <is>
          <t>MD-00069</t>
        </is>
      </c>
      <c r="B106" s="7" t="inlineStr">
        <is>
          <t>2023-10-22</t>
        </is>
      </c>
      <c r="C106" s="7" t="inlineStr">
        <is>
          <t>Purchase</t>
        </is>
      </c>
      <c r="D106" s="7" t="inlineStr">
        <is>
          <t>Vendor</t>
        </is>
      </c>
      <c r="E106" s="7" t="inlineStr">
        <is>
          <t>Central Receiving</t>
        </is>
      </c>
      <c r="F106" s="7" t="inlineStr">
        <is>
          <t>Atlanta Warehouse</t>
        </is>
      </c>
      <c r="G106" s="7" t="inlineStr">
        <is>
          <t>PO:PO-2025-0012</t>
        </is>
      </c>
      <c r="H106" s="7" t="inlineStr">
        <is>
          <t>Confirmed Fact</t>
        </is>
      </c>
      <c r="I106" s="7" t="inlineStr">
        <is>
          <t>Dell Latitude 7440 came in on PO-2025-0012 ($2120).</t>
        </is>
      </c>
    </row>
    <row r="107">
      <c r="A107" s="7" t="inlineStr">
        <is>
          <t>MD-00069</t>
        </is>
      </c>
      <c r="B107" s="7" t="inlineStr">
        <is>
          <t>2026-04-22</t>
        </is>
      </c>
      <c r="C107" s="7" t="inlineStr">
        <is>
          <t>Assignment/Transfer</t>
        </is>
      </c>
      <c r="D107" s="7" t="inlineStr">
        <is>
          <t>Central Receiving</t>
        </is>
      </c>
      <c r="E107" s="7" t="inlineStr">
        <is>
          <t>E0072</t>
        </is>
      </c>
      <c r="F107" s="7" t="inlineStr">
        <is>
          <t>Remote - Former Employee</t>
        </is>
      </c>
      <c r="G107" s="7" t="inlineStr">
        <is>
          <t>Transfer:TR-00069; Approval:APR-00069</t>
        </is>
      </c>
      <c r="H107" s="7" t="inlineStr">
        <is>
          <t>Confirmed Fact</t>
        </is>
      </c>
      <c r="I107" s="7" t="inlineStr">
        <is>
          <t>Log row TR-00069. Receive date May 4.</t>
        </is>
      </c>
    </row>
    <row r="108">
      <c r="A108" s="7" t="inlineStr">
        <is>
          <t>MD-00069</t>
        </is>
      </c>
      <c r="B108" s="7" t="inlineStr">
        <is>
          <t>2026-06-11</t>
        </is>
      </c>
      <c r="C108" s="7" t="inlineStr">
        <is>
          <t>Offboarding Ticket</t>
        </is>
      </c>
      <c r="D108" s="7" t="inlineStr">
        <is>
          <t>E0082</t>
        </is>
      </c>
      <c r="E108" s="7" t="inlineStr">
        <is>
          <t>IT Service Desk</t>
        </is>
      </c>
      <c r="F108" s="7" t="inlineStr"/>
      <c r="G108" s="7" t="inlineStr">
        <is>
          <t>Ticket:OFF-00069; Status:Past Due</t>
        </is>
      </c>
      <c r="H108" s="7" t="inlineStr">
        <is>
          <t>Confirmed Fact</t>
        </is>
      </c>
      <c r="I108" s="7" t="inlineStr">
        <is>
          <t>OFF-00069 — Past Due. Due July 15, 2026.</t>
        </is>
      </c>
    </row>
    <row r="109">
      <c r="A109" s="7" t="inlineStr">
        <is>
          <t>MD-00069</t>
        </is>
      </c>
      <c r="B109" s="7" t="inlineStr">
        <is>
          <t>2026-06-11</t>
        </is>
      </c>
      <c r="C109" s="7" t="inlineStr">
        <is>
          <t>Technician Comment</t>
        </is>
      </c>
      <c r="D109" s="7" t="inlineStr">
        <is>
          <t>Service Desk</t>
        </is>
      </c>
      <c r="E109" s="7" t="inlineStr"/>
      <c r="F109" s="7" t="inlineStr"/>
      <c r="G109" s="7" t="inlineStr">
        <is>
          <t>Ticket:OFF-00069</t>
        </is>
      </c>
      <c r="H109" s="7" t="inlineStr">
        <is>
          <t>Technician Claim</t>
        </is>
      </c>
      <c r="I109" s="7" t="inlineStr">
        <is>
          <t>Requested photo of packed carton. Nothing came back. Ref MD-00069.</t>
        </is>
      </c>
    </row>
    <row r="110">
      <c r="A110" s="7" t="inlineStr">
        <is>
          <t>MD-00069</t>
        </is>
      </c>
      <c r="B110" s="7" t="inlineStr">
        <is>
          <t>2026-06-25</t>
        </is>
      </c>
      <c r="C110" s="7" t="inlineStr">
        <is>
          <t>Return Label Created</t>
        </is>
      </c>
      <c r="D110" s="7" t="inlineStr">
        <is>
          <t>E0082</t>
        </is>
      </c>
      <c r="E110" s="7" t="inlineStr">
        <is>
          <t>Return Carrier</t>
        </is>
      </c>
      <c r="F110" s="7" t="inlineStr">
        <is>
          <t>Carrier Network</t>
        </is>
      </c>
      <c r="G110" s="7" t="inlineStr">
        <is>
          <t>Tracking:1ZMD00000069; Status:Label Created</t>
        </is>
      </c>
      <c r="H110" s="7" t="inlineStr">
        <is>
          <t>Confirmed Fact</t>
        </is>
      </c>
      <c r="I110" s="7" t="inlineStr">
        <is>
          <t>I didn't close MD-00069 on the 1Z print. 1ZMD00000069.</t>
        </is>
      </c>
    </row>
    <row r="111">
      <c r="A111" s="7" t="inlineStr">
        <is>
          <t>MD-00069</t>
        </is>
      </c>
      <c r="B111" s="7" t="inlineStr">
        <is>
          <t>2026-08-05</t>
        </is>
      </c>
      <c r="C111" s="7" t="inlineStr">
        <is>
          <t>Regional IT Note Lead</t>
        </is>
      </c>
      <c r="D111" s="7" t="inlineStr">
        <is>
          <t>Regional IT</t>
        </is>
      </c>
      <c r="E111" s="7" t="inlineStr"/>
      <c r="F111" s="7" t="inlineStr">
        <is>
          <t>Denver - Closed</t>
        </is>
      </c>
      <c r="G111" s="7" t="inlineStr">
        <is>
          <t>regional_IT_notes.docx</t>
        </is>
      </c>
      <c r="H111" s="7" t="inlineStr">
        <is>
          <t>Technician Claim</t>
        </is>
      </c>
      <c r="I111" s="7" t="inlineStr">
        <is>
          <t>Tech note in the Word dump. Treated as a lead for MD-00069, not location proof.</t>
        </is>
      </c>
    </row>
    <row r="112">
      <c r="A112" s="7" t="inlineStr">
        <is>
          <t>MD-00069</t>
        </is>
      </c>
      <c r="B112" s="7" t="inlineStr">
        <is>
          <t>2026-08-09</t>
        </is>
      </c>
      <c r="C112" s="7" t="inlineStr">
        <is>
          <t>Policy Control Figure</t>
        </is>
      </c>
      <c r="D112" s="7" t="inlineStr">
        <is>
          <t>ITAM-001</t>
        </is>
      </c>
      <c r="E112" s="7" t="inlineStr"/>
      <c r="F112" s="7" t="inlineStr"/>
      <c r="G112" s="7" t="inlineStr">
        <is>
          <t>ITAM_control_matrix.png; IT_asset_management_policy.pdf</t>
        </is>
      </c>
      <c r="H112" s="7" t="inlineStr">
        <is>
          <t>Confirmed Fact</t>
        </is>
      </c>
      <c r="I112" s="7" t="inlineStr">
        <is>
          <t>Control matrix documents required return evidence for MD-00069; chain reference above must satisfy that bar.</t>
        </is>
      </c>
    </row>
    <row r="113">
      <c r="A113" s="7" t="inlineStr">
        <is>
          <t>MD-00069</t>
        </is>
      </c>
      <c r="B113" s="7" t="inlineStr">
        <is>
          <t>2026-08-09</t>
        </is>
      </c>
      <c r="C113" s="7" t="inlineStr">
        <is>
          <t>Reconciliation Conclusion</t>
        </is>
      </c>
      <c r="D113" s="7" t="inlineStr">
        <is>
          <t>Evidence review</t>
        </is>
      </c>
      <c r="E113" s="7" t="inlineStr">
        <is>
          <t>E0082</t>
        </is>
      </c>
      <c r="F113" s="7" t="inlineStr">
        <is>
          <t>Remote - Former Employee</t>
        </is>
      </c>
      <c r="G113" s="7" t="inlineStr">
        <is>
          <t>Ticket:OFF-00069; Tracking:1ZMD00000069; ReturnProof:absent (label only); Transfer:TR-00069; HR:E0082:Separated; PO:PO-2025-0012; Ledger:FA-000069; PolicyFigure:ITAM_control_matrix.png</t>
        </is>
      </c>
      <c r="H113" s="7" t="inlineStr">
        <is>
          <t>Unresolved Assumption</t>
        </is>
      </c>
      <c r="I113" s="7" t="inlineStr">
        <is>
          <t>MD-00069 → Return Overdue. Confidence Low. EX-0066, EX-0067. OFF-00069 1ZMD00000069 TR-00069 E0082 PO-2025-0012 FA-000069 ITAM_control_matrix.png</t>
        </is>
      </c>
    </row>
    <row r="114">
      <c r="A114" s="7" t="inlineStr">
        <is>
          <t>MD-00070</t>
        </is>
      </c>
      <c r="B114" s="7" t="inlineStr">
        <is>
          <t>2024-11-23</t>
        </is>
      </c>
      <c r="C114" s="7" t="inlineStr">
        <is>
          <t>Purchase</t>
        </is>
      </c>
      <c r="D114" s="7" t="inlineStr">
        <is>
          <t>Vendor</t>
        </is>
      </c>
      <c r="E114" s="7" t="inlineStr">
        <is>
          <t>Central Receiving</t>
        </is>
      </c>
      <c r="F114" s="7" t="inlineStr">
        <is>
          <t>Atlanta Warehouse</t>
        </is>
      </c>
      <c r="G114" s="7" t="inlineStr">
        <is>
          <t>PO:PO-2025-0012</t>
        </is>
      </c>
      <c r="H114" s="7" t="inlineStr">
        <is>
          <t>Confirmed Fact</t>
        </is>
      </c>
      <c r="I114" s="7" t="inlineStr">
        <is>
          <t>PO line PO-2025-0012 — Dell U2723QE.</t>
        </is>
      </c>
    </row>
    <row r="115">
      <c r="A115" s="7" t="inlineStr">
        <is>
          <t>MD-00070</t>
        </is>
      </c>
      <c r="B115" s="7" t="inlineStr">
        <is>
          <t>2026-05-23</t>
        </is>
      </c>
      <c r="C115" s="7" t="inlineStr">
        <is>
          <t>Assignment/Transfer</t>
        </is>
      </c>
      <c r="D115" s="7" t="inlineStr">
        <is>
          <t>Central Receiving</t>
        </is>
      </c>
      <c r="E115" s="7" t="inlineStr">
        <is>
          <t>E0073</t>
        </is>
      </c>
      <c r="F115" s="7" t="inlineStr">
        <is>
          <t>Remote - Former Employee</t>
        </is>
      </c>
      <c r="G115" s="7" t="inlineStr">
        <is>
          <t>Transfer:TR-00070; Approval:APR-00070</t>
        </is>
      </c>
      <c r="H115" s="7" t="inlineStr">
        <is>
          <t>Confirmed Fact</t>
        </is>
      </c>
      <c r="I115" s="7" t="inlineStr">
        <is>
          <t>From warehouse to E0073. TR-00070, received June 3, 2026.</t>
        </is>
      </c>
    </row>
    <row r="116">
      <c r="A116" s="7" t="inlineStr">
        <is>
          <t>MD-00070</t>
        </is>
      </c>
      <c r="B116" s="7" t="inlineStr">
        <is>
          <t>2026-05-12</t>
        </is>
      </c>
      <c r="C116" s="7" t="inlineStr">
        <is>
          <t>Offboarding Ticket</t>
        </is>
      </c>
      <c r="D116" s="7" t="inlineStr">
        <is>
          <t>E0083</t>
        </is>
      </c>
      <c r="E116" s="7" t="inlineStr">
        <is>
          <t>IT Service Desk</t>
        </is>
      </c>
      <c r="F116" s="7" t="inlineStr"/>
      <c r="G116" s="7" t="inlineStr">
        <is>
          <t>Ticket:OFF-00070; Status:Past Due</t>
        </is>
      </c>
      <c r="H116" s="7" t="inlineStr">
        <is>
          <t>Confirmed Fact</t>
        </is>
      </c>
      <c r="I116" s="7" t="inlineStr">
        <is>
          <t>OFF-00070 — Past Due. Due 15 Jul.</t>
        </is>
      </c>
    </row>
    <row r="117">
      <c r="A117" s="7" t="inlineStr">
        <is>
          <t>MD-00070</t>
        </is>
      </c>
      <c r="B117" s="7" t="inlineStr">
        <is>
          <t>2026-05-12</t>
        </is>
      </c>
      <c r="C117" s="7" t="inlineStr">
        <is>
          <t>Technician Comment</t>
        </is>
      </c>
      <c r="D117" s="7" t="inlineStr">
        <is>
          <t>Service Desk</t>
        </is>
      </c>
      <c r="E117" s="7" t="inlineStr"/>
      <c r="F117" s="7" t="inlineStr"/>
      <c r="G117" s="7" t="inlineStr">
        <is>
          <t>Ticket:OFF-00070</t>
        </is>
      </c>
      <c r="H117" s="7" t="inlineStr">
        <is>
          <t>Technician Claim</t>
        </is>
      </c>
      <c r="I117" s="7" t="inlineStr">
        <is>
          <t>Past window. Escalated to the PM for that org. Ref MD-00070.</t>
        </is>
      </c>
    </row>
    <row r="118">
      <c r="A118" s="7" t="inlineStr">
        <is>
          <t>MD-00070</t>
        </is>
      </c>
      <c r="B118" s="7" t="inlineStr">
        <is>
          <t>2026-06-25</t>
        </is>
      </c>
      <c r="C118" s="7" t="inlineStr">
        <is>
          <t>Return Label Created</t>
        </is>
      </c>
      <c r="D118" s="7" t="inlineStr">
        <is>
          <t>E0083</t>
        </is>
      </c>
      <c r="E118" s="7" t="inlineStr">
        <is>
          <t>Return Carrier</t>
        </is>
      </c>
      <c r="F118" s="7" t="inlineStr">
        <is>
          <t>Carrier Network</t>
        </is>
      </c>
      <c r="G118" s="7" t="inlineStr">
        <is>
          <t>Tracking:1ZMD00000070; Status:Label Created</t>
        </is>
      </c>
      <c r="H118" s="7" t="inlineStr">
        <is>
          <t>Confirmed Fact</t>
        </is>
      </c>
      <c r="I118" s="7" t="inlineStr">
        <is>
          <t>I didn't close MD-00070 on the 1Z print. 1ZMD00000070.</t>
        </is>
      </c>
    </row>
    <row r="119">
      <c r="A119" s="7" t="inlineStr">
        <is>
          <t>MD-00070</t>
        </is>
      </c>
      <c r="B119" s="7" t="inlineStr">
        <is>
          <t>2026-08-05</t>
        </is>
      </c>
      <c r="C119" s="7" t="inlineStr">
        <is>
          <t>Regional IT Note Lead</t>
        </is>
      </c>
      <c r="D119" s="7" t="inlineStr">
        <is>
          <t>Regional IT</t>
        </is>
      </c>
      <c r="E119" s="7" t="inlineStr"/>
      <c r="F119" s="7" t="inlineStr">
        <is>
          <t>Chicago - Closed</t>
        </is>
      </c>
      <c r="G119" s="7" t="inlineStr">
        <is>
          <t>regional_IT_notes.docx</t>
        </is>
      </c>
      <c r="H119" s="7" t="inlineStr">
        <is>
          <t>Technician Claim</t>
        </is>
      </c>
      <c r="I119" s="7" t="inlineStr">
        <is>
          <t>Didn't let the regional write-up overrule the logs on MD-00070.</t>
        </is>
      </c>
    </row>
    <row r="120">
      <c r="A120" s="7" t="inlineStr">
        <is>
          <t>MD-00070</t>
        </is>
      </c>
      <c r="B120" s="7" t="inlineStr">
        <is>
          <t>2026-08-09</t>
        </is>
      </c>
      <c r="C120" s="7" t="inlineStr">
        <is>
          <t>Policy Control Figure</t>
        </is>
      </c>
      <c r="D120" s="7" t="inlineStr">
        <is>
          <t>ITAM-001</t>
        </is>
      </c>
      <c r="E120" s="7" t="inlineStr"/>
      <c r="F120" s="7" t="inlineStr"/>
      <c r="G120" s="7" t="inlineStr">
        <is>
          <t>ITAM_control_matrix.png; IT_asset_management_policy.pdf</t>
        </is>
      </c>
      <c r="H120" s="7" t="inlineStr">
        <is>
          <t>Confirmed Fact</t>
        </is>
      </c>
      <c r="I120" s="7" t="inlineStr">
        <is>
          <t>MD-00070: Assignment control from ITAM-001 Appendix A governs this step; matrix figure is the standard, not proof of movement (chain reference above); ITAM_control_matrix.png in packet.</t>
        </is>
      </c>
    </row>
    <row r="121">
      <c r="A121" s="7" t="inlineStr">
        <is>
          <t>MD-00070</t>
        </is>
      </c>
      <c r="B121" s="7" t="inlineStr">
        <is>
          <t>2026-08-09</t>
        </is>
      </c>
      <c r="C121" s="7" t="inlineStr">
        <is>
          <t>Reconciliation Conclusion</t>
        </is>
      </c>
      <c r="D121" s="7" t="inlineStr">
        <is>
          <t>Evidence review</t>
        </is>
      </c>
      <c r="E121" s="7" t="inlineStr">
        <is>
          <t>E0083</t>
        </is>
      </c>
      <c r="F121" s="7" t="inlineStr">
        <is>
          <t>Remote - Former Employee</t>
        </is>
      </c>
      <c r="G121" s="7" t="inlineStr">
        <is>
          <t>Ticket:OFF-00070; Tracking:1ZMD00000070; ReturnProof:absent (label only); Transfer:TR-00070; HR:E0083:Separated; PO:PO-2025-0012; Ledger:FA-000070; PolicyFigure:ITAM_control_matrix.png</t>
        </is>
      </c>
      <c r="H121" s="7" t="inlineStr">
        <is>
          <t>Unresolved Assumption</t>
        </is>
      </c>
      <c r="I121" s="7" t="inlineStr">
        <is>
          <t>MD-00070 → Return Overdue. Confidence Low. EX-0068, EX-0069. OFF-00070 1ZMD00000070 TR-00070 E0083 PO-2025-0012 FA-000070 ITAM_control_matrix.png</t>
        </is>
      </c>
    </row>
    <row r="122">
      <c r="A122" s="7" t="inlineStr">
        <is>
          <t>MD-00071</t>
        </is>
      </c>
      <c r="B122" s="7" t="inlineStr">
        <is>
          <t>2025-12-24</t>
        </is>
      </c>
      <c r="C122" s="7" t="inlineStr">
        <is>
          <t>Purchase</t>
        </is>
      </c>
      <c r="D122" s="7" t="inlineStr">
        <is>
          <t>Vendor</t>
        </is>
      </c>
      <c r="E122" s="7" t="inlineStr">
        <is>
          <t>Central Receiving</t>
        </is>
      </c>
      <c r="F122" s="7" t="inlineStr">
        <is>
          <t>Atlanta Warehouse</t>
        </is>
      </c>
      <c r="G122" s="7" t="inlineStr">
        <is>
          <t>PO:PO-2025-0012</t>
        </is>
      </c>
      <c r="H122" s="7" t="inlineStr">
        <is>
          <t>Confirmed Fact</t>
        </is>
      </c>
      <c r="I122" s="7" t="inlineStr">
        <is>
          <t>Receiving against PO-2025-0012. Samsung Galaxy S24, $995.</t>
        </is>
      </c>
    </row>
    <row r="123">
      <c r="A123" s="7" t="inlineStr">
        <is>
          <t>MD-00071</t>
        </is>
      </c>
      <c r="B123" s="7" t="inlineStr">
        <is>
          <t>2026-06-24</t>
        </is>
      </c>
      <c r="C123" s="7" t="inlineStr">
        <is>
          <t>Assignment/Transfer</t>
        </is>
      </c>
      <c r="D123" s="7" t="inlineStr">
        <is>
          <t>Central Receiving</t>
        </is>
      </c>
      <c r="E123" s="7" t="inlineStr">
        <is>
          <t>E0074</t>
        </is>
      </c>
      <c r="F123" s="7" t="inlineStr">
        <is>
          <t>Remote - Former Employee</t>
        </is>
      </c>
      <c r="G123" s="7" t="inlineStr">
        <is>
          <t>Transfer:TR-00071; Approval:APR-00071</t>
        </is>
      </c>
      <c r="H123" s="7" t="inlineStr">
        <is>
          <t>Confirmed Fact</t>
        </is>
      </c>
      <c r="I123" s="7" t="inlineStr">
        <is>
          <t>Assignment posted 7/8/26. Docked 12 Jul (TR-00071).</t>
        </is>
      </c>
    </row>
    <row r="124">
      <c r="A124" s="7" t="inlineStr">
        <is>
          <t>MD-00071</t>
        </is>
      </c>
      <c r="B124" s="7" t="inlineStr">
        <is>
          <t>2026-06-13</t>
        </is>
      </c>
      <c r="C124" s="7" t="inlineStr">
        <is>
          <t>Offboarding Ticket</t>
        </is>
      </c>
      <c r="D124" s="7" t="inlineStr">
        <is>
          <t>E0084</t>
        </is>
      </c>
      <c r="E124" s="7" t="inlineStr">
        <is>
          <t>IT Service Desk</t>
        </is>
      </c>
      <c r="F124" s="7" t="inlineStr"/>
      <c r="G124" s="7" t="inlineStr">
        <is>
          <t>Ticket:OFF-00071; Status:Past Due</t>
        </is>
      </c>
      <c r="H124" s="7" t="inlineStr">
        <is>
          <t>Confirmed Fact</t>
        </is>
      </c>
      <c r="I124" s="7" t="inlineStr">
        <is>
          <t>OFF-00071 — Past Due. Due 2026-07-15.</t>
        </is>
      </c>
    </row>
    <row r="125">
      <c r="A125" s="7" t="inlineStr">
        <is>
          <t>MD-00071</t>
        </is>
      </c>
      <c r="B125" s="7" t="inlineStr">
        <is>
          <t>2026-06-13</t>
        </is>
      </c>
      <c r="C125" s="7" t="inlineStr">
        <is>
          <t>Technician Comment</t>
        </is>
      </c>
      <c r="D125" s="7" t="inlineStr">
        <is>
          <t>Service Desk</t>
        </is>
      </c>
      <c r="E125" s="7" t="inlineStr"/>
      <c r="F125" s="7" t="inlineStr"/>
      <c r="G125" s="7" t="inlineStr">
        <is>
          <t>Ticket:OFF-00071</t>
        </is>
      </c>
      <c r="H125" s="7" t="inlineStr">
        <is>
          <t>Technician Claim</t>
        </is>
      </c>
      <c r="I125" s="7" t="inlineStr">
        <is>
          <t>Monitor return — bulky; user delayed pickup. Ref MD-00071.</t>
        </is>
      </c>
    </row>
    <row r="126">
      <c r="A126" s="7" t="inlineStr">
        <is>
          <t>MD-00071</t>
        </is>
      </c>
      <c r="B126" s="7" t="inlineStr">
        <is>
          <t>2026-06-25</t>
        </is>
      </c>
      <c r="C126" s="7" t="inlineStr">
        <is>
          <t>Return Label Created</t>
        </is>
      </c>
      <c r="D126" s="7" t="inlineStr">
        <is>
          <t>E0084</t>
        </is>
      </c>
      <c r="E126" s="7" t="inlineStr">
        <is>
          <t>Return Carrier</t>
        </is>
      </c>
      <c r="F126" s="7" t="inlineStr">
        <is>
          <t>Carrier Network</t>
        </is>
      </c>
      <c r="G126" s="7" t="inlineStr">
        <is>
          <t>Tracking:1ZMD00000071; Status:Label Created</t>
        </is>
      </c>
      <c r="H126" s="7" t="inlineStr">
        <is>
          <t>Confirmed Fact</t>
        </is>
      </c>
      <c r="I126" s="7" t="inlineStr">
        <is>
          <t>I didn't close MD-00071 on the 1Z print. 1ZMD00000071.</t>
        </is>
      </c>
    </row>
    <row r="127">
      <c r="A127" s="7" t="inlineStr">
        <is>
          <t>MD-00071</t>
        </is>
      </c>
      <c r="B127" s="7" t="inlineStr">
        <is>
          <t>2026-08-05</t>
        </is>
      </c>
      <c r="C127" s="7" t="inlineStr">
        <is>
          <t>Regional IT Note Lead</t>
        </is>
      </c>
      <c r="D127" s="7" t="inlineStr">
        <is>
          <t>Regional IT</t>
        </is>
      </c>
      <c r="E127" s="7" t="inlineStr"/>
      <c r="F127" s="7" t="inlineStr">
        <is>
          <t>Denver - Closed</t>
        </is>
      </c>
      <c r="G127" s="7" t="inlineStr">
        <is>
          <t>regional_IT_notes.docx</t>
        </is>
      </c>
      <c r="H127" s="7" t="inlineStr">
        <is>
          <t>Technician Claim</t>
        </is>
      </c>
      <c r="I127" s="7" t="inlineStr">
        <is>
          <t>regional_IT_notes.docx is in the packet. Weight = lead only (MD-00071).</t>
        </is>
      </c>
    </row>
    <row r="128">
      <c r="A128" s="7" t="inlineStr">
        <is>
          <t>MD-00071</t>
        </is>
      </c>
      <c r="B128" s="7" t="inlineStr">
        <is>
          <t>2026-08-09</t>
        </is>
      </c>
      <c r="C128" s="7" t="inlineStr">
        <is>
          <t>Policy Control Figure</t>
        </is>
      </c>
      <c r="D128" s="7" t="inlineStr">
        <is>
          <t>ITAM-001</t>
        </is>
      </c>
      <c r="E128" s="7" t="inlineStr"/>
      <c r="F128" s="7" t="inlineStr"/>
      <c r="G128" s="7" t="inlineStr">
        <is>
          <t>ITAM_control_matrix.png; IT_asset_management_policy.pdf</t>
        </is>
      </c>
      <c r="H128" s="7" t="inlineStr">
        <is>
          <t>Confirmed Fact</t>
        </is>
      </c>
      <c r="I128" s="7" t="inlineStr">
        <is>
          <t>MD-00071: matrix row Disposal defines acceptable proof; chain reference above is what was reviewed.</t>
        </is>
      </c>
    </row>
    <row r="129">
      <c r="A129" s="7" t="inlineStr">
        <is>
          <t>MD-00071</t>
        </is>
      </c>
      <c r="B129" s="7" t="inlineStr">
        <is>
          <t>2026-08-09</t>
        </is>
      </c>
      <c r="C129" s="7" t="inlineStr">
        <is>
          <t>Reconciliation Conclusion</t>
        </is>
      </c>
      <c r="D129" s="7" t="inlineStr">
        <is>
          <t>Evidence review</t>
        </is>
      </c>
      <c r="E129" s="7" t="inlineStr">
        <is>
          <t>E0084</t>
        </is>
      </c>
      <c r="F129" s="7" t="inlineStr">
        <is>
          <t>Remote - Former Employee</t>
        </is>
      </c>
      <c r="G129" s="7" t="inlineStr">
        <is>
          <t>Ticket:OFF-00071; Tracking:1ZMD00000071; ReturnProof:absent (label only); Transfer:TR-00071; HR:E0084:Separated; PO:PO-2025-0012; Ledger:FA-000071; PolicyFigure:ITAM_control_matrix.png</t>
        </is>
      </c>
      <c r="H129" s="7" t="inlineStr">
        <is>
          <t>Unresolved Assumption</t>
        </is>
      </c>
      <c r="I129" s="7" t="inlineStr">
        <is>
          <t>MD-00071 → Return Overdue. Confidence Low. EX-0070, EX-0071. OFF-00071 1ZMD00000071 TR-00071 E0084 PO-2025-0012 FA-000071 ITAM_control_matrix.png</t>
        </is>
      </c>
    </row>
    <row r="130">
      <c r="A130" s="7" t="inlineStr">
        <is>
          <t>MD-00072</t>
        </is>
      </c>
      <c r="B130" s="7" t="inlineStr">
        <is>
          <t>2022-01-01</t>
        </is>
      </c>
      <c r="C130" s="7" t="inlineStr">
        <is>
          <t>Purchase</t>
        </is>
      </c>
      <c r="D130" s="7" t="inlineStr">
        <is>
          <t>Vendor</t>
        </is>
      </c>
      <c r="E130" s="7" t="inlineStr">
        <is>
          <t>Central Receiving</t>
        </is>
      </c>
      <c r="F130" s="7" t="inlineStr">
        <is>
          <t>Atlanta Warehouse</t>
        </is>
      </c>
      <c r="G130" s="7" t="inlineStr">
        <is>
          <t>PO:PO-2025-0012</t>
        </is>
      </c>
      <c r="H130" s="7" t="inlineStr">
        <is>
          <t>Confirmed Fact</t>
        </is>
      </c>
      <c r="I130" s="7" t="inlineStr">
        <is>
          <t>PO-2025-0012: Cisco C9300 at $6290.</t>
        </is>
      </c>
    </row>
    <row r="131">
      <c r="A131" s="7" t="inlineStr">
        <is>
          <t>MD-00072</t>
        </is>
      </c>
      <c r="B131" s="7" t="inlineStr">
        <is>
          <t>2026-01-01</t>
        </is>
      </c>
      <c r="C131" s="7" t="inlineStr">
        <is>
          <t>Assignment/Transfer</t>
        </is>
      </c>
      <c r="D131" s="7" t="inlineStr">
        <is>
          <t>Central Receiving</t>
        </is>
      </c>
      <c r="E131" s="7" t="inlineStr">
        <is>
          <t>E0075</t>
        </is>
      </c>
      <c r="F131" s="7" t="inlineStr">
        <is>
          <t>Remote - Former Employee</t>
        </is>
      </c>
      <c r="G131" s="7" t="inlineStr">
        <is>
          <t>Transfer:TR-00072; Approval:APR-00072</t>
        </is>
      </c>
      <c r="H131" s="7" t="inlineStr">
        <is>
          <t>Confirmed Fact</t>
        </is>
      </c>
      <c r="I131" s="7" t="inlineStr">
        <is>
          <t>Moved to E0075 in Remote - Former Employee on TR-00072. Received 2026-01-18.</t>
        </is>
      </c>
    </row>
    <row r="132">
      <c r="A132" s="7" t="inlineStr">
        <is>
          <t>MD-00072</t>
        </is>
      </c>
      <c r="B132" s="7" t="inlineStr">
        <is>
          <t>2026-05-14</t>
        </is>
      </c>
      <c r="C132" s="7" t="inlineStr">
        <is>
          <t>Offboarding Ticket</t>
        </is>
      </c>
      <c r="D132" s="7" t="inlineStr">
        <is>
          <t>E0085</t>
        </is>
      </c>
      <c r="E132" s="7" t="inlineStr">
        <is>
          <t>IT Service Desk</t>
        </is>
      </c>
      <c r="F132" s="7" t="inlineStr"/>
      <c r="G132" s="7" t="inlineStr">
        <is>
          <t>Ticket:OFF-00072; Status:Past Due</t>
        </is>
      </c>
      <c r="H132" s="7" t="inlineStr">
        <is>
          <t>Confirmed Fact</t>
        </is>
      </c>
      <c r="I132" s="7" t="inlineStr">
        <is>
          <t>OFF-00072 — Past Due. Due 7/15/26.</t>
        </is>
      </c>
    </row>
    <row r="133">
      <c r="A133" s="7" t="inlineStr">
        <is>
          <t>MD-00072</t>
        </is>
      </c>
      <c r="B133" s="7" t="inlineStr">
        <is>
          <t>2026-05-14</t>
        </is>
      </c>
      <c r="C133" s="7" t="inlineStr">
        <is>
          <t>Technician Comment</t>
        </is>
      </c>
      <c r="D133" s="7" t="inlineStr">
        <is>
          <t>Service Desk</t>
        </is>
      </c>
      <c r="E133" s="7" t="inlineStr"/>
      <c r="F133" s="7" t="inlineStr"/>
      <c r="G133" s="7" t="inlineStr">
        <is>
          <t>Ticket:OFF-00072</t>
        </is>
      </c>
      <c r="H133" s="7" t="inlineStr">
        <is>
          <t>Technician Claim</t>
        </is>
      </c>
      <c r="I133" s="7" t="inlineStr">
        <is>
          <t>Switching to a recovery case if we don't see a pickup this week. Ref MD-00072.</t>
        </is>
      </c>
    </row>
    <row r="134">
      <c r="A134" s="7" t="inlineStr">
        <is>
          <t>MD-00072</t>
        </is>
      </c>
      <c r="B134" s="7" t="inlineStr">
        <is>
          <t>2026-06-25</t>
        </is>
      </c>
      <c r="C134" s="7" t="inlineStr">
        <is>
          <t>Return Label Created</t>
        </is>
      </c>
      <c r="D134" s="7" t="inlineStr">
        <is>
          <t>E0085</t>
        </is>
      </c>
      <c r="E134" s="7" t="inlineStr">
        <is>
          <t>Return Carrier</t>
        </is>
      </c>
      <c r="F134" s="7" t="inlineStr">
        <is>
          <t>Carrier Network</t>
        </is>
      </c>
      <c r="G134" s="7" t="inlineStr">
        <is>
          <t>Tracking:1ZMD00000072; Status:Label Created</t>
        </is>
      </c>
      <c r="H134" s="7" t="inlineStr">
        <is>
          <t>Confirmed Fact</t>
        </is>
      </c>
      <c r="I134" s="7" t="inlineStr">
        <is>
          <t>I didn't close MD-00072 on the 1Z print. 1ZMD00000072.</t>
        </is>
      </c>
    </row>
    <row r="135">
      <c r="A135" s="7" t="inlineStr">
        <is>
          <t>MD-00072</t>
        </is>
      </c>
      <c r="B135" s="7" t="inlineStr">
        <is>
          <t>2026-08-05</t>
        </is>
      </c>
      <c r="C135" s="7" t="inlineStr">
        <is>
          <t>Regional IT Note Lead</t>
        </is>
      </c>
      <c r="D135" s="7" t="inlineStr">
        <is>
          <t>Regional IT</t>
        </is>
      </c>
      <c r="E135" s="7" t="inlineStr"/>
      <c r="F135" s="7" t="inlineStr">
        <is>
          <t>Chicago - Closed</t>
        </is>
      </c>
      <c r="G135" s="7" t="inlineStr">
        <is>
          <t>regional_IT_notes.docx</t>
        </is>
      </c>
      <c r="H135" s="7" t="inlineStr">
        <is>
          <t>Technician Claim</t>
        </is>
      </c>
      <c r="I135" s="7" t="inlineStr">
        <is>
          <t>Word file claim on MD-00072 — non-authoritative.</t>
        </is>
      </c>
    </row>
    <row r="136">
      <c r="A136" s="7" t="inlineStr">
        <is>
          <t>MD-00072</t>
        </is>
      </c>
      <c r="B136" s="7" t="inlineStr">
        <is>
          <t>2026-08-09</t>
        </is>
      </c>
      <c r="C136" s="7" t="inlineStr">
        <is>
          <t>Policy Control Figure</t>
        </is>
      </c>
      <c r="D136" s="7" t="inlineStr">
        <is>
          <t>ITAM-001</t>
        </is>
      </c>
      <c r="E136" s="7" t="inlineStr"/>
      <c r="F136" s="7" t="inlineStr"/>
      <c r="G136" s="7" t="inlineStr">
        <is>
          <t>ITAM_control_matrix.png; IT_asset_management_policy.pdf</t>
        </is>
      </c>
      <c r="H136" s="7" t="inlineStr">
        <is>
          <t>Confirmed Fact</t>
        </is>
      </c>
      <c r="I136" s="7" t="inlineStr">
        <is>
          <t>Appendix A matrix applied to MD-00072 under the transfer row; chain reference above remains the auditable transaction.</t>
        </is>
      </c>
    </row>
    <row r="137">
      <c r="A137" s="7" t="inlineStr">
        <is>
          <t>MD-00072</t>
        </is>
      </c>
      <c r="B137" s="7" t="inlineStr">
        <is>
          <t>2026-08-09</t>
        </is>
      </c>
      <c r="C137" s="7" t="inlineStr">
        <is>
          <t>Reconciliation Conclusion</t>
        </is>
      </c>
      <c r="D137" s="7" t="inlineStr">
        <is>
          <t>Evidence review</t>
        </is>
      </c>
      <c r="E137" s="7" t="inlineStr">
        <is>
          <t>E0085</t>
        </is>
      </c>
      <c r="F137" s="7" t="inlineStr">
        <is>
          <t>Remote - Former Employee</t>
        </is>
      </c>
      <c r="G137" s="7" t="inlineStr">
        <is>
          <t>Ticket:OFF-00072; Tracking:1ZMD00000072; ReturnProof:absent (label only); Transfer:TR-00072; HR:E0085:Separated; PO:PO-2025-0012; Ledger:FA-000072; PolicyFigure:ITAM_control_matrix.png</t>
        </is>
      </c>
      <c r="H137" s="7" t="inlineStr">
        <is>
          <t>Unresolved Assumption</t>
        </is>
      </c>
      <c r="I137" s="7" t="inlineStr">
        <is>
          <t>MD-00072 → Return Overdue. Confidence Low. EX-0072, EX-0073. OFF-00072 1ZMD00000072 TR-00072 E0085 PO-2025-0012 FA-000072 ITAM_control_matrix.png</t>
        </is>
      </c>
    </row>
    <row r="138">
      <c r="A138" s="7" t="inlineStr">
        <is>
          <t>MD-00073</t>
        </is>
      </c>
      <c r="B138" s="7" t="inlineStr">
        <is>
          <t>2023-02-02</t>
        </is>
      </c>
      <c r="C138" s="7" t="inlineStr">
        <is>
          <t>Purchase</t>
        </is>
      </c>
      <c r="D138" s="7" t="inlineStr">
        <is>
          <t>Vendor</t>
        </is>
      </c>
      <c r="E138" s="7" t="inlineStr">
        <is>
          <t>Central Receiving</t>
        </is>
      </c>
      <c r="F138" s="7" t="inlineStr">
        <is>
          <t>Atlanta Warehouse</t>
        </is>
      </c>
      <c r="G138" s="7" t="inlineStr">
        <is>
          <t>PO:PO-2022-0013</t>
        </is>
      </c>
      <c r="H138" s="7" t="inlineStr">
        <is>
          <t>Confirmed Fact</t>
        </is>
      </c>
      <c r="I138" s="7" t="inlineStr">
        <is>
          <t>Warehouse receipt tied to PO-2022-0013. Lenovo ThinkPad T14.</t>
        </is>
      </c>
    </row>
    <row r="139">
      <c r="A139" s="7" t="inlineStr">
        <is>
          <t>MD-00073</t>
        </is>
      </c>
      <c r="B139" s="7" t="inlineStr">
        <is>
          <t>2026-02-02</t>
        </is>
      </c>
      <c r="C139" s="7" t="inlineStr">
        <is>
          <t>Assignment/Transfer</t>
        </is>
      </c>
      <c r="D139" s="7" t="inlineStr">
        <is>
          <t>Central Receiving</t>
        </is>
      </c>
      <c r="E139" s="7" t="inlineStr">
        <is>
          <t>E0076</t>
        </is>
      </c>
      <c r="F139" s="7" t="inlineStr">
        <is>
          <t>Remote - Former Employee</t>
        </is>
      </c>
      <c r="G139" s="7" t="inlineStr">
        <is>
          <t>Transfer:TR-00073; Approval:APR-00073</t>
        </is>
      </c>
      <c r="H139" s="7" t="inlineStr">
        <is>
          <t>Confirmed Fact</t>
        </is>
      </c>
      <c r="I139" s="7" t="inlineStr">
        <is>
          <t>Recorded 1/21, received 1/24/26. TR-00073.</t>
        </is>
      </c>
    </row>
    <row r="140">
      <c r="A140" s="7" t="inlineStr">
        <is>
          <t>MD-00073</t>
        </is>
      </c>
      <c r="B140" s="7" t="inlineStr">
        <is>
          <t>2026-06-15</t>
        </is>
      </c>
      <c r="C140" s="7" t="inlineStr">
        <is>
          <t>Offboarding Ticket</t>
        </is>
      </c>
      <c r="D140" s="7" t="inlineStr">
        <is>
          <t>E0086</t>
        </is>
      </c>
      <c r="E140" s="7" t="inlineStr">
        <is>
          <t>IT Service Desk</t>
        </is>
      </c>
      <c r="F140" s="7" t="inlineStr"/>
      <c r="G140" s="7" t="inlineStr">
        <is>
          <t>Ticket:OFF-00073; Status:Past Due</t>
        </is>
      </c>
      <c r="H140" s="7" t="inlineStr">
        <is>
          <t>Confirmed Fact</t>
        </is>
      </c>
      <c r="I140" s="7" t="inlineStr">
        <is>
          <t>OFF-00073 — Past Due. Due 2026-07-15.</t>
        </is>
      </c>
    </row>
    <row r="141">
      <c r="A141" s="7" t="inlineStr">
        <is>
          <t>MD-00073</t>
        </is>
      </c>
      <c r="B141" s="7" t="inlineStr">
        <is>
          <t>2026-06-15</t>
        </is>
      </c>
      <c r="C141" s="7" t="inlineStr">
        <is>
          <t>Technician Comment</t>
        </is>
      </c>
      <c r="D141" s="7" t="inlineStr">
        <is>
          <t>Service Desk</t>
        </is>
      </c>
      <c r="E141" s="7" t="inlineStr"/>
      <c r="F141" s="7" t="inlineStr"/>
      <c r="G141" s="7" t="inlineStr">
        <is>
          <t>Ticket:OFF-00073</t>
        </is>
      </c>
      <c r="H141" s="7" t="inlineStr">
        <is>
          <t>Technician Claim</t>
        </is>
      </c>
      <c r="I141" s="7" t="inlineStr">
        <is>
          <t>Ticket auto-moved to Past Due when due date hit. Ref MD-00073.</t>
        </is>
      </c>
    </row>
    <row r="142">
      <c r="A142" s="7" t="inlineStr">
        <is>
          <t>MD-00073</t>
        </is>
      </c>
      <c r="B142" s="7" t="inlineStr">
        <is>
          <t>2026-06-25</t>
        </is>
      </c>
      <c r="C142" s="7" t="inlineStr">
        <is>
          <t>Return Label Created</t>
        </is>
      </c>
      <c r="D142" s="7" t="inlineStr">
        <is>
          <t>E0086</t>
        </is>
      </c>
      <c r="E142" s="7" t="inlineStr">
        <is>
          <t>Return Carrier</t>
        </is>
      </c>
      <c r="F142" s="7" t="inlineStr">
        <is>
          <t>Carrier Network</t>
        </is>
      </c>
      <c r="G142" s="7" t="inlineStr">
        <is>
          <t>Tracking:1ZMD00000073; Status:Label Created</t>
        </is>
      </c>
      <c r="H142" s="7" t="inlineStr">
        <is>
          <t>Confirmed Fact</t>
        </is>
      </c>
      <c r="I142" s="7" t="inlineStr">
        <is>
          <t>I didn't close MD-00073 on the 1Z print. 1ZMD00000073.</t>
        </is>
      </c>
    </row>
    <row r="143">
      <c r="A143" s="7" t="inlineStr">
        <is>
          <t>MD-00073</t>
        </is>
      </c>
      <c r="B143" s="7" t="inlineStr">
        <is>
          <t>2026-08-05</t>
        </is>
      </c>
      <c r="C143" s="7" t="inlineStr">
        <is>
          <t>Regional IT Note Lead</t>
        </is>
      </c>
      <c r="D143" s="7" t="inlineStr">
        <is>
          <t>Regional IT</t>
        </is>
      </c>
      <c r="E143" s="7" t="inlineStr"/>
      <c r="F143" s="7" t="inlineStr">
        <is>
          <t>Denver - Closed</t>
        </is>
      </c>
      <c r="G143" s="7" t="inlineStr">
        <is>
          <t>regional_IT_notes.docx</t>
        </is>
      </c>
      <c r="H143" s="7" t="inlineStr">
        <is>
          <t>Technician Claim</t>
        </is>
      </c>
      <c r="I143" s="7" t="inlineStr">
        <is>
          <t>Someone wrote that it stayed at a closed site. Unverified for MD-00073.</t>
        </is>
      </c>
    </row>
    <row r="144">
      <c r="A144" s="7" t="inlineStr">
        <is>
          <t>MD-00073</t>
        </is>
      </c>
      <c r="B144" s="7" t="inlineStr">
        <is>
          <t>2026-08-09</t>
        </is>
      </c>
      <c r="C144" s="7" t="inlineStr">
        <is>
          <t>Policy Control Figure</t>
        </is>
      </c>
      <c r="D144" s="7" t="inlineStr">
        <is>
          <t>ITAM-001</t>
        </is>
      </c>
      <c r="E144" s="7" t="inlineStr"/>
      <c r="F144" s="7" t="inlineStr"/>
      <c r="G144" s="7" t="inlineStr">
        <is>
          <t>ITAM_control_matrix.png; IT_asset_management_policy.pdf</t>
        </is>
      </c>
      <c r="H144" s="7" t="inlineStr">
        <is>
          <t>Confirmed Fact</t>
        </is>
      </c>
      <c r="I144" s="7" t="inlineStr">
        <is>
          <t>Evidence standard for MD-00073 follows Appendix A (Financial); transactional support is chain reference above; ITAM_control_matrix.png in packet.</t>
        </is>
      </c>
    </row>
    <row r="145">
      <c r="A145" s="7" t="inlineStr">
        <is>
          <t>MD-00073</t>
        </is>
      </c>
      <c r="B145" s="7" t="inlineStr">
        <is>
          <t>2026-08-09</t>
        </is>
      </c>
      <c r="C145" s="7" t="inlineStr">
        <is>
          <t>Reconciliation Conclusion</t>
        </is>
      </c>
      <c r="D145" s="7" t="inlineStr">
        <is>
          <t>Evidence review</t>
        </is>
      </c>
      <c r="E145" s="7" t="inlineStr">
        <is>
          <t>E0086</t>
        </is>
      </c>
      <c r="F145" s="7" t="inlineStr">
        <is>
          <t>Remote - Former Employee</t>
        </is>
      </c>
      <c r="G145" s="7" t="inlineStr">
        <is>
          <t>Ticket:OFF-00073; Tracking:1ZMD00000073; ReturnProof:absent (label only); Transfer:TR-00073; HR:E0086:Separated; PO:PO-2022-0013; Ledger:FA-000073; PolicyFigure:ITAM_control_matrix.png</t>
        </is>
      </c>
      <c r="H145" s="7" t="inlineStr">
        <is>
          <t>Unresolved Assumption</t>
        </is>
      </c>
      <c r="I145" s="7" t="inlineStr">
        <is>
          <t>MD-00073 → Return Overdue. Confidence Low. EX-0074, EX-0075. OFF-00073 1ZMD00000073 TR-00073 E0086 PO-2022-0013 FA-000073 ITAM_control_matrix.png</t>
        </is>
      </c>
    </row>
    <row r="146">
      <c r="A146" s="7" t="inlineStr">
        <is>
          <t>MD-00074</t>
        </is>
      </c>
      <c r="B146" s="7" t="inlineStr">
        <is>
          <t>2024-03-03</t>
        </is>
      </c>
      <c r="C146" s="7" t="inlineStr">
        <is>
          <t>Purchase</t>
        </is>
      </c>
      <c r="D146" s="7" t="inlineStr">
        <is>
          <t>Vendor</t>
        </is>
      </c>
      <c r="E146" s="7" t="inlineStr">
        <is>
          <t>Central Receiving</t>
        </is>
      </c>
      <c r="F146" s="7" t="inlineStr">
        <is>
          <t>Atlanta Warehouse</t>
        </is>
      </c>
      <c r="G146" s="7" t="inlineStr">
        <is>
          <t>PO:PO-2022-0013</t>
        </is>
      </c>
      <c r="H146" s="7" t="inlineStr">
        <is>
          <t>Confirmed Fact</t>
        </is>
      </c>
      <c r="I146" s="7" t="inlineStr">
        <is>
          <t>Dell U2723QE came in on PO-2022-0013 ($700).</t>
        </is>
      </c>
    </row>
    <row r="147">
      <c r="A147" s="7" t="inlineStr">
        <is>
          <t>MD-00074</t>
        </is>
      </c>
      <c r="B147" s="7" t="inlineStr">
        <is>
          <t>2026-03-03</t>
        </is>
      </c>
      <c r="C147" s="7" t="inlineStr">
        <is>
          <t>Assignment/Transfer</t>
        </is>
      </c>
      <c r="D147" s="7" t="inlineStr">
        <is>
          <t>Central Receiving</t>
        </is>
      </c>
      <c r="E147" s="7" t="inlineStr">
        <is>
          <t>E0077</t>
        </is>
      </c>
      <c r="F147" s="7" t="inlineStr">
        <is>
          <t>Remote - Former Employee</t>
        </is>
      </c>
      <c r="G147" s="7" t="inlineStr">
        <is>
          <t>Transfer:TR-00074; Approval:APR-00074</t>
        </is>
      </c>
      <c r="H147" s="7" t="inlineStr">
        <is>
          <t>Confirmed Fact</t>
        </is>
      </c>
      <c r="I147" s="7" t="inlineStr">
        <is>
          <t>Log row TR-00074. Receive date 2026-02-24.</t>
        </is>
      </c>
    </row>
    <row r="148">
      <c r="A148" s="7" t="inlineStr">
        <is>
          <t>MD-00074</t>
        </is>
      </c>
      <c r="B148" s="7" t="inlineStr">
        <is>
          <t>2026-05-16</t>
        </is>
      </c>
      <c r="C148" s="7" t="inlineStr">
        <is>
          <t>Offboarding Ticket</t>
        </is>
      </c>
      <c r="D148" s="7" t="inlineStr">
        <is>
          <t>E0087</t>
        </is>
      </c>
      <c r="E148" s="7" t="inlineStr">
        <is>
          <t>IT Service Desk</t>
        </is>
      </c>
      <c r="F148" s="7" t="inlineStr"/>
      <c r="G148" s="7" t="inlineStr">
        <is>
          <t>Ticket:OFF-00074; Status:Past Due</t>
        </is>
      </c>
      <c r="H148" s="7" t="inlineStr">
        <is>
          <t>Confirmed Fact</t>
        </is>
      </c>
      <c r="I148" s="7" t="inlineStr">
        <is>
          <t>OFF-00074 — Past Due. Due 7/15.</t>
        </is>
      </c>
    </row>
    <row r="149">
      <c r="A149" s="7" t="inlineStr">
        <is>
          <t>MD-00074</t>
        </is>
      </c>
      <c r="B149" s="7" t="inlineStr">
        <is>
          <t>2026-05-16</t>
        </is>
      </c>
      <c r="C149" s="7" t="inlineStr">
        <is>
          <t>Technician Comment</t>
        </is>
      </c>
      <c r="D149" s="7" t="inlineStr">
        <is>
          <t>Service Desk</t>
        </is>
      </c>
      <c r="E149" s="7" t="inlineStr"/>
      <c r="F149" s="7" t="inlineStr"/>
      <c r="G149" s="7" t="inlineStr">
        <is>
          <t>Ticket:OFF-00074</t>
        </is>
      </c>
      <c r="H149" s="7" t="inlineStr">
        <is>
          <t>Technician Claim</t>
        </is>
      </c>
      <c r="I149" s="7" t="inlineStr">
        <is>
          <t>Left voicemail. Still Label Created in the ship file. Ref MD-00074.</t>
        </is>
      </c>
    </row>
    <row r="150">
      <c r="A150" s="7" t="inlineStr">
        <is>
          <t>MD-00074</t>
        </is>
      </c>
      <c r="B150" s="7" t="inlineStr">
        <is>
          <t>2026-06-25</t>
        </is>
      </c>
      <c r="C150" s="7" t="inlineStr">
        <is>
          <t>Return Label Created</t>
        </is>
      </c>
      <c r="D150" s="7" t="inlineStr">
        <is>
          <t>E0087</t>
        </is>
      </c>
      <c r="E150" s="7" t="inlineStr">
        <is>
          <t>Return Carrier</t>
        </is>
      </c>
      <c r="F150" s="7" t="inlineStr">
        <is>
          <t>Carrier Network</t>
        </is>
      </c>
      <c r="G150" s="7" t="inlineStr">
        <is>
          <t>Tracking:1ZMD00000074; Status:Label Created</t>
        </is>
      </c>
      <c r="H150" s="7" t="inlineStr">
        <is>
          <t>Confirmed Fact</t>
        </is>
      </c>
      <c r="I150" s="7" t="inlineStr">
        <is>
          <t>I didn't close MD-00074 on the 1Z print. 1ZMD00000074.</t>
        </is>
      </c>
    </row>
    <row r="151">
      <c r="A151" s="7" t="inlineStr">
        <is>
          <t>MD-00074</t>
        </is>
      </c>
      <c r="B151" s="7" t="inlineStr">
        <is>
          <t>2026-06-25</t>
        </is>
      </c>
      <c r="C151" s="7" t="inlineStr">
        <is>
          <t>Shipment Exception</t>
        </is>
      </c>
      <c r="D151" s="7" t="inlineStr"/>
      <c r="E151" s="7" t="inlineStr"/>
      <c r="F151" s="7" t="inlineStr"/>
      <c r="G151" s="7" t="inlineStr">
        <is>
          <t>Tracking:1ZMD00000074</t>
        </is>
      </c>
      <c r="H151" s="7" t="inlineStr">
        <is>
          <t>Unresolved Assumption</t>
        </is>
      </c>
      <c r="I151" s="7" t="inlineStr">
        <is>
          <t>Don't Available MD-00074. 1ZMD00000074 serial fight.</t>
        </is>
      </c>
    </row>
    <row r="152">
      <c r="A152" s="7" t="inlineStr">
        <is>
          <t>MD-00074</t>
        </is>
      </c>
      <c r="B152" s="7" t="inlineStr">
        <is>
          <t>2026-08-05</t>
        </is>
      </c>
      <c r="C152" s="7" t="inlineStr">
        <is>
          <t>Regional IT Note Lead</t>
        </is>
      </c>
      <c r="D152" s="7" t="inlineStr">
        <is>
          <t>Regional IT</t>
        </is>
      </c>
      <c r="E152" s="7" t="inlineStr"/>
      <c r="F152" s="7" t="inlineStr">
        <is>
          <t>Chicago - Closed</t>
        </is>
      </c>
      <c r="G152" s="7" t="inlineStr">
        <is>
          <t>regional_IT_notes.docx</t>
        </is>
      </c>
      <c r="H152" s="7" t="inlineStr">
        <is>
          <t>Technician Claim</t>
        </is>
      </c>
      <c r="I152" s="7" t="inlineStr">
        <is>
          <t>Breadcrumb in regional_IT_notes.docx. Still need a transaction for MD-00074.</t>
        </is>
      </c>
    </row>
    <row r="153">
      <c r="A153" s="7" t="inlineStr">
        <is>
          <t>MD-00074</t>
        </is>
      </c>
      <c r="B153" s="7" t="inlineStr">
        <is>
          <t>2026-08-09</t>
        </is>
      </c>
      <c r="C153" s="7" t="inlineStr">
        <is>
          <t>Policy Control Figure</t>
        </is>
      </c>
      <c r="D153" s="7" t="inlineStr">
        <is>
          <t>ITAM-001</t>
        </is>
      </c>
      <c r="E153" s="7" t="inlineStr"/>
      <c r="F153" s="7" t="inlineStr"/>
      <c r="G153" s="7" t="inlineStr">
        <is>
          <t>ITAM_control_matrix.png; IT_asset_management_policy.pdf</t>
        </is>
      </c>
      <c r="H153" s="7" t="inlineStr">
        <is>
          <t>Confirmed Fact</t>
        </is>
      </c>
      <c r="I153" s="7" t="inlineStr">
        <is>
          <t>Policy figure referenced for MD-00074 (disposal path). Custody still depends on chain reference above; ITAM_control_matrix.png in packet.</t>
        </is>
      </c>
    </row>
    <row r="154">
      <c r="A154" s="7" t="inlineStr">
        <is>
          <t>MD-00074</t>
        </is>
      </c>
      <c r="B154" s="7" t="inlineStr">
        <is>
          <t>2026-08-09</t>
        </is>
      </c>
      <c r="C154" s="7" t="inlineStr">
        <is>
          <t>Reconciliation Conclusion</t>
        </is>
      </c>
      <c r="D154" s="7" t="inlineStr">
        <is>
          <t>Evidence review</t>
        </is>
      </c>
      <c r="E154" s="7" t="inlineStr">
        <is>
          <t>E0087</t>
        </is>
      </c>
      <c r="F154" s="7" t="inlineStr">
        <is>
          <t>Carrier Network / Unverified</t>
        </is>
      </c>
      <c r="G154" s="7" t="inlineStr">
        <is>
          <t>Tracking:1ZMD00000074; Ticket:OFF-00074; ShipmentSerial:MISMATCH-0074; RegisterSerial:MD-MO-050074; PO:PO-2022-0013; Ledger:FA-000074; PolicyFigure:ITAM_control_matrix.png</t>
        </is>
      </c>
      <c r="H154" s="7" t="inlineStr">
        <is>
          <t>Unresolved Assumption</t>
        </is>
      </c>
      <c r="I154" s="7" t="inlineStr">
        <is>
          <t>Call: Return Overdue at Carrier Network / Unverified. Low. Exceptions EX-0076, EX-0077, EX-0078. 1ZMD00000074 OFF-00074 MISMATCH-0074 MD-MO-050074 PO-2022-0013 FA-000074 ITAM_control_matrix.png</t>
        </is>
      </c>
    </row>
    <row r="155">
      <c r="A155" s="7" t="inlineStr">
        <is>
          <t>MD-00075</t>
        </is>
      </c>
      <c r="B155" s="7" t="inlineStr">
        <is>
          <t>2025-04-04</t>
        </is>
      </c>
      <c r="C155" s="7" t="inlineStr">
        <is>
          <t>Purchase</t>
        </is>
      </c>
      <c r="D155" s="7" t="inlineStr">
        <is>
          <t>Vendor</t>
        </is>
      </c>
      <c r="E155" s="7" t="inlineStr">
        <is>
          <t>Central Receiving</t>
        </is>
      </c>
      <c r="F155" s="7" t="inlineStr">
        <is>
          <t>Atlanta Warehouse</t>
        </is>
      </c>
      <c r="G155" s="7" t="inlineStr">
        <is>
          <t>PO:PO-2022-0013</t>
        </is>
      </c>
      <c r="H155" s="7" t="inlineStr">
        <is>
          <t>Confirmed Fact</t>
        </is>
      </c>
      <c r="I155" s="7" t="inlineStr">
        <is>
          <t>Acquired MD-00075 (Samsung Galaxy S24) for $1175 via PO-2022-0013.</t>
        </is>
      </c>
    </row>
    <row r="156">
      <c r="A156" s="7" t="inlineStr">
        <is>
          <t>MD-00075</t>
        </is>
      </c>
      <c r="B156" s="7" t="inlineStr">
        <is>
          <t>2026-04-04</t>
        </is>
      </c>
      <c r="C156" s="7" t="inlineStr">
        <is>
          <t>Assignment/Transfer</t>
        </is>
      </c>
      <c r="D156" s="7" t="inlineStr">
        <is>
          <t>Central Receiving</t>
        </is>
      </c>
      <c r="E156" s="7" t="inlineStr">
        <is>
          <t>E0078</t>
        </is>
      </c>
      <c r="F156" s="7" t="inlineStr">
        <is>
          <t>Remote - Former Employee</t>
        </is>
      </c>
      <c r="G156" s="7" t="inlineStr">
        <is>
          <t>Transfer:TR-00075; Approval:APR-00075</t>
        </is>
      </c>
      <c r="H156" s="7" t="inlineStr">
        <is>
          <t>Confirmed Fact</t>
        </is>
      </c>
      <c r="I156" s="7" t="inlineStr">
        <is>
          <t>Movement TR-00075 completed inbound Apr 1.</t>
        </is>
      </c>
    </row>
    <row r="157">
      <c r="A157" s="7" t="inlineStr">
        <is>
          <t>MD-00075</t>
        </is>
      </c>
      <c r="B157" s="7" t="inlineStr">
        <is>
          <t>2026-06-17</t>
        </is>
      </c>
      <c r="C157" s="7" t="inlineStr">
        <is>
          <t>Offboarding Ticket</t>
        </is>
      </c>
      <c r="D157" s="7" t="inlineStr">
        <is>
          <t>E0088</t>
        </is>
      </c>
      <c r="E157" s="7" t="inlineStr">
        <is>
          <t>IT Service Desk</t>
        </is>
      </c>
      <c r="F157" s="7" t="inlineStr"/>
      <c r="G157" s="7" t="inlineStr">
        <is>
          <t>Ticket:OFF-00075; Status:Past Due</t>
        </is>
      </c>
      <c r="H157" s="7" t="inlineStr">
        <is>
          <t>Confirmed Fact</t>
        </is>
      </c>
      <c r="I157" s="7" t="inlineStr">
        <is>
          <t>Service desk OFF-00075 on MD-00075. Return required Yes.</t>
        </is>
      </c>
    </row>
    <row r="158">
      <c r="A158" s="7" t="inlineStr">
        <is>
          <t>MD-00075</t>
        </is>
      </c>
      <c r="B158" s="7" t="inlineStr">
        <is>
          <t>2026-06-17</t>
        </is>
      </c>
      <c r="C158" s="7" t="inlineStr">
        <is>
          <t>Technician Comment</t>
        </is>
      </c>
      <c r="D158" s="7" t="inlineStr">
        <is>
          <t>Service Desk</t>
        </is>
      </c>
      <c r="E158" s="7" t="inlineStr"/>
      <c r="F158" s="7" t="inlineStr"/>
      <c r="G158" s="7" t="inlineStr">
        <is>
          <t>Ticket:OFF-00075</t>
        </is>
      </c>
      <c r="H158" s="7" t="inlineStr">
        <is>
          <t>Technician Claim</t>
        </is>
      </c>
      <c r="I158" s="7" t="inlineStr">
        <is>
          <t>They asked for an extra week. Policy doesn't treat that as received. Ref MD-00075.</t>
        </is>
      </c>
    </row>
    <row r="159">
      <c r="A159" s="7" t="inlineStr">
        <is>
          <t>MD-00075</t>
        </is>
      </c>
      <c r="B159" s="7" t="inlineStr">
        <is>
          <t>2026-06-25</t>
        </is>
      </c>
      <c r="C159" s="7" t="inlineStr">
        <is>
          <t>Return Label Created</t>
        </is>
      </c>
      <c r="D159" s="7" t="inlineStr">
        <is>
          <t>E0088</t>
        </is>
      </c>
      <c r="E159" s="7" t="inlineStr">
        <is>
          <t>Return Carrier</t>
        </is>
      </c>
      <c r="F159" s="7" t="inlineStr">
        <is>
          <t>Carrier Network</t>
        </is>
      </c>
      <c r="G159" s="7" t="inlineStr">
        <is>
          <t>Tracking:1ZMD00000075; Status:Label Created</t>
        </is>
      </c>
      <c r="H159" s="7" t="inlineStr">
        <is>
          <t>Confirmed Fact</t>
        </is>
      </c>
      <c r="I159" s="7" t="inlineStr">
        <is>
          <t>Return paperwork only. 1ZMD00000075.</t>
        </is>
      </c>
    </row>
    <row r="160">
      <c r="A160" s="7" t="inlineStr">
        <is>
          <t>MD-00075</t>
        </is>
      </c>
      <c r="B160" s="7" t="inlineStr">
        <is>
          <t>2026-08-05</t>
        </is>
      </c>
      <c r="C160" s="7" t="inlineStr">
        <is>
          <t>Regional IT Note Lead</t>
        </is>
      </c>
      <c r="D160" s="7" t="inlineStr">
        <is>
          <t>Regional IT</t>
        </is>
      </c>
      <c r="E160" s="7" t="inlineStr"/>
      <c r="F160" s="7" t="inlineStr">
        <is>
          <t>Denver - Closed</t>
        </is>
      </c>
      <c r="G160" s="7" t="inlineStr">
        <is>
          <t>regional_IT_notes.docx</t>
        </is>
      </c>
      <c r="H160" s="7" t="inlineStr">
        <is>
          <t>Technician Claim</t>
        </is>
      </c>
      <c r="I160" s="7" t="inlineStr">
        <is>
          <t>regional_IT_notes.docx mentions closed-office leftover color on MD-00075. Notes don't beat a scan.</t>
        </is>
      </c>
    </row>
    <row r="161">
      <c r="A161" s="7" t="inlineStr">
        <is>
          <t>MD-00075</t>
        </is>
      </c>
      <c r="B161" s="7" t="inlineStr">
        <is>
          <t>2026-08-09</t>
        </is>
      </c>
      <c r="C161" s="7" t="inlineStr">
        <is>
          <t>Policy Control Figure</t>
        </is>
      </c>
      <c r="D161" s="7" t="inlineStr">
        <is>
          <t>ITAM-001</t>
        </is>
      </c>
      <c r="E161" s="7" t="inlineStr"/>
      <c r="F161" s="7" t="inlineStr"/>
      <c r="G161" s="7" t="inlineStr">
        <is>
          <t>ITAM_control_matrix.png; IT_asset_management_policy.pdf</t>
        </is>
      </c>
      <c r="H161" s="7" t="inlineStr">
        <is>
          <t>Confirmed Fact</t>
        </is>
      </c>
      <c r="I161" s="7" t="inlineStr">
        <is>
          <t>Auditors should read the transfer bar on the matrix for MD-00075; supporting file: chain reference above.</t>
        </is>
      </c>
    </row>
    <row r="162">
      <c r="A162" s="7" t="inlineStr">
        <is>
          <t>MD-00075</t>
        </is>
      </c>
      <c r="B162" s="7" t="inlineStr">
        <is>
          <t>2026-08-09</t>
        </is>
      </c>
      <c r="C162" s="7" t="inlineStr">
        <is>
          <t>Reconciliation Conclusion</t>
        </is>
      </c>
      <c r="D162" s="7" t="inlineStr">
        <is>
          <t>Evidence review</t>
        </is>
      </c>
      <c r="E162" s="7" t="inlineStr">
        <is>
          <t>E0088</t>
        </is>
      </c>
      <c r="F162" s="7" t="inlineStr">
        <is>
          <t>Remote - Former Employee</t>
        </is>
      </c>
      <c r="G162" s="7" t="inlineStr">
        <is>
          <t>Ticket:OFF-00075; Tracking:1ZMD00000075; ReturnProof:absent (label only); Transfer:TR-00075; HR:E0088:Separated; PO:PO-2022-0013; Ledger:FA-000075; PolicyFigure:ITAM_control_matrix.png</t>
        </is>
      </c>
      <c r="H162" s="7" t="inlineStr">
        <is>
          <t>Unresolved Assumption</t>
        </is>
      </c>
      <c r="I162" s="7" t="inlineStr">
        <is>
          <t>Call: Return Overdue at Remote - Former Employee. Low. Exceptions EX-0079, EX-0080. OFF-00075 1ZMD00000075 TR-00075 E0088 PO-2022-0013 FA-000075 ITAM_control_matrix.png</t>
        </is>
      </c>
    </row>
    <row r="163">
      <c r="A163" s="7" t="inlineStr">
        <is>
          <t>MD-00076</t>
        </is>
      </c>
      <c r="B163" s="7" t="inlineStr">
        <is>
          <t>2022-05-05</t>
        </is>
      </c>
      <c r="C163" s="7" t="inlineStr">
        <is>
          <t>Purchase</t>
        </is>
      </c>
      <c r="D163" s="7" t="inlineStr">
        <is>
          <t>Vendor</t>
        </is>
      </c>
      <c r="E163" s="7" t="inlineStr">
        <is>
          <t>Central Receiving</t>
        </is>
      </c>
      <c r="F163" s="7" t="inlineStr">
        <is>
          <t>Atlanta Warehouse</t>
        </is>
      </c>
      <c r="G163" s="7" t="inlineStr">
        <is>
          <t>PO:PO-2022-0013</t>
        </is>
      </c>
      <c r="H163" s="7" t="inlineStr">
        <is>
          <t>Confirmed Fact</t>
        </is>
      </c>
      <c r="I163" s="7" t="inlineStr">
        <is>
          <t>$6470 Cisco C9300. PO-2022-0013.</t>
        </is>
      </c>
    </row>
    <row r="164">
      <c r="A164" s="7" t="inlineStr">
        <is>
          <t>MD-00076</t>
        </is>
      </c>
      <c r="B164" s="7" t="inlineStr">
        <is>
          <t>2026-05-05</t>
        </is>
      </c>
      <c r="C164" s="7" t="inlineStr">
        <is>
          <t>Assignment/Transfer</t>
        </is>
      </c>
      <c r="D164" s="7" t="inlineStr">
        <is>
          <t>Central Receiving</t>
        </is>
      </c>
      <c r="E164" s="7" t="inlineStr">
        <is>
          <t>E0079</t>
        </is>
      </c>
      <c r="F164" s="7" t="inlineStr">
        <is>
          <t>Remote - Former Employee</t>
        </is>
      </c>
      <c r="G164" s="7" t="inlineStr">
        <is>
          <t>Transfer:TR-00076; Approval:APR-00076</t>
        </is>
      </c>
      <c r="H164" s="7" t="inlineStr">
        <is>
          <t>Confirmed Fact</t>
        </is>
      </c>
      <c r="I164" s="7" t="inlineStr">
        <is>
          <t>Remote - Former Employee: TR-00076 received May 3, 2026.</t>
        </is>
      </c>
    </row>
    <row r="165">
      <c r="A165" s="7" t="inlineStr">
        <is>
          <t>MD-00076</t>
        </is>
      </c>
      <c r="B165" s="7" t="inlineStr">
        <is>
          <t>2026-05-18</t>
        </is>
      </c>
      <c r="C165" s="7" t="inlineStr">
        <is>
          <t>Offboarding Ticket</t>
        </is>
      </c>
      <c r="D165" s="7" t="inlineStr">
        <is>
          <t>E0089</t>
        </is>
      </c>
      <c r="E165" s="7" t="inlineStr">
        <is>
          <t>IT Service Desk</t>
        </is>
      </c>
      <c r="F165" s="7" t="inlineStr"/>
      <c r="G165" s="7" t="inlineStr">
        <is>
          <t>Ticket:OFF-00076; Status:Past Due</t>
        </is>
      </c>
      <c r="H165" s="7" t="inlineStr">
        <is>
          <t>Confirmed Fact</t>
        </is>
      </c>
      <c r="I165" s="7" t="inlineStr">
        <is>
          <t>Service desk OFF-00076 on MD-00076. Return required Yes.</t>
        </is>
      </c>
    </row>
    <row r="166">
      <c r="A166" s="7" t="inlineStr">
        <is>
          <t>MD-00076</t>
        </is>
      </c>
      <c r="B166" s="7" t="inlineStr">
        <is>
          <t>2026-05-18</t>
        </is>
      </c>
      <c r="C166" s="7" t="inlineStr">
        <is>
          <t>Technician Comment</t>
        </is>
      </c>
      <c r="D166" s="7" t="inlineStr">
        <is>
          <t>Service Desk</t>
        </is>
      </c>
      <c r="E166" s="7" t="inlineStr"/>
      <c r="F166" s="7" t="inlineStr"/>
      <c r="G166" s="7" t="inlineStr">
        <is>
          <t>Ticket:OFF-00076</t>
        </is>
      </c>
      <c r="H166" s="7" t="inlineStr">
        <is>
          <t>Technician Claim</t>
        </is>
      </c>
      <c r="I166" s="7" t="inlineStr">
        <is>
          <t>Serial on the label matches register; no dock scan though. Ref MD-00076.</t>
        </is>
      </c>
    </row>
    <row r="167">
      <c r="A167" s="7" t="inlineStr">
        <is>
          <t>MD-00076</t>
        </is>
      </c>
      <c r="B167" s="7" t="inlineStr">
        <is>
          <t>2026-06-25</t>
        </is>
      </c>
      <c r="C167" s="7" t="inlineStr">
        <is>
          <t>Return Label Created</t>
        </is>
      </c>
      <c r="D167" s="7" t="inlineStr">
        <is>
          <t>E0089</t>
        </is>
      </c>
      <c r="E167" s="7" t="inlineStr">
        <is>
          <t>Return Carrier</t>
        </is>
      </c>
      <c r="F167" s="7" t="inlineStr">
        <is>
          <t>Carrier Network</t>
        </is>
      </c>
      <c r="G167" s="7" t="inlineStr">
        <is>
          <t>Tracking:1ZMD00000076; Status:Label Created</t>
        </is>
      </c>
      <c r="H167" s="7" t="inlineStr">
        <is>
          <t>Confirmed Fact</t>
        </is>
      </c>
      <c r="I167" s="7" t="inlineStr">
        <is>
          <t>Return paperwork only. 1ZMD00000076.</t>
        </is>
      </c>
    </row>
    <row r="168">
      <c r="A168" s="7" t="inlineStr">
        <is>
          <t>MD-00076</t>
        </is>
      </c>
      <c r="B168" s="7" t="inlineStr">
        <is>
          <t>2026-06-25</t>
        </is>
      </c>
      <c r="C168" s="7" t="inlineStr">
        <is>
          <t>Shipment Exception</t>
        </is>
      </c>
      <c r="D168" s="7" t="inlineStr"/>
      <c r="E168" s="7" t="inlineStr"/>
      <c r="F168" s="7" t="inlineStr"/>
      <c r="G168" s="7" t="inlineStr">
        <is>
          <t>Tracking:1ZMD00000076</t>
        </is>
      </c>
      <c r="H168" s="7" t="inlineStr">
        <is>
          <t>Unresolved Assumption</t>
        </is>
      </c>
      <c r="I168" s="7" t="inlineStr">
        <is>
          <t>1ZMD00000076: serial on the shipment is not MD-NE-050076. Custody not cleared.</t>
        </is>
      </c>
    </row>
    <row r="169">
      <c r="A169" s="7" t="inlineStr">
        <is>
          <t>MD-00076</t>
        </is>
      </c>
      <c r="B169" s="7" t="inlineStr">
        <is>
          <t>2026-08-05</t>
        </is>
      </c>
      <c r="C169" s="7" t="inlineStr">
        <is>
          <t>Regional IT Note Lead</t>
        </is>
      </c>
      <c r="D169" s="7" t="inlineStr">
        <is>
          <t>Regional IT</t>
        </is>
      </c>
      <c r="E169" s="7" t="inlineStr"/>
      <c r="F169" s="7" t="inlineStr">
        <is>
          <t>Chicago - Closed</t>
        </is>
      </c>
      <c r="G169" s="7" t="inlineStr">
        <is>
          <t>regional_IT_notes.docx</t>
        </is>
      </c>
      <c r="H169" s="7" t="inlineStr">
        <is>
          <t>Technician Claim</t>
        </is>
      </c>
      <c r="I169" s="7" t="inlineStr">
        <is>
          <t>Didn't let the regional write-up overrule the logs on MD-00076.</t>
        </is>
      </c>
    </row>
    <row r="170">
      <c r="A170" s="7" t="inlineStr">
        <is>
          <t>MD-00076</t>
        </is>
      </c>
      <c r="B170" s="7" t="inlineStr">
        <is>
          <t>2026-08-09</t>
        </is>
      </c>
      <c r="C170" s="7" t="inlineStr">
        <is>
          <t>Policy Control Figure</t>
        </is>
      </c>
      <c r="D170" s="7" t="inlineStr">
        <is>
          <t>ITAM-001</t>
        </is>
      </c>
      <c r="E170" s="7" t="inlineStr"/>
      <c r="F170" s="7" t="inlineStr"/>
      <c r="G170" s="7" t="inlineStr">
        <is>
          <t>ITAM_control_matrix.png; IT_asset_management_policy.pdf</t>
        </is>
      </c>
      <c r="H170" s="7" t="inlineStr">
        <is>
          <t>Confirmed Fact</t>
        </is>
      </c>
      <c r="I170" s="7" t="inlineStr">
        <is>
          <t>ITAM-001 appendix sets the assignment test for MD-00076; matrix cited alongside chain reference above.</t>
        </is>
      </c>
    </row>
    <row r="171">
      <c r="A171" s="7" t="inlineStr">
        <is>
          <t>MD-00076</t>
        </is>
      </c>
      <c r="B171" s="7" t="inlineStr">
        <is>
          <t>2026-08-09</t>
        </is>
      </c>
      <c r="C171" s="7" t="inlineStr">
        <is>
          <t>Reconciliation Conclusion</t>
        </is>
      </c>
      <c r="D171" s="7" t="inlineStr">
        <is>
          <t>Evidence review</t>
        </is>
      </c>
      <c r="E171" s="7" t="inlineStr">
        <is>
          <t>E0089</t>
        </is>
      </c>
      <c r="F171" s="7" t="inlineStr">
        <is>
          <t>Carrier Network / Unverified</t>
        </is>
      </c>
      <c r="G171" s="7" t="inlineStr">
        <is>
          <t>Tracking:1ZMD00000076; Ticket:OFF-00076; ShipmentSerial:MISMATCH-0076; RegisterSerial:MD-NE-050076; PO:PO-2022-0013; Ledger:FA-000076; PolicyFigure:ITAM_control_matrix.png</t>
        </is>
      </c>
      <c r="H171" s="7" t="inlineStr">
        <is>
          <t>Unresolved Assumption</t>
        </is>
      </c>
      <c r="I171" s="7" t="inlineStr">
        <is>
          <t>After the chain: Return Overdue. Low confidence. EX-0081, EX-0082, EX-0083. 1ZMD00000076 OFF-00076 MISMATCH-0076 MD-NE-050076 PO-2022-0013 FA-000076 ITAM_control_matrix.png</t>
        </is>
      </c>
    </row>
    <row r="172">
      <c r="A172" s="7" t="inlineStr">
        <is>
          <t>MD-00077</t>
        </is>
      </c>
      <c r="B172" s="7" t="inlineStr">
        <is>
          <t>2023-06-06</t>
        </is>
      </c>
      <c r="C172" s="7" t="inlineStr">
        <is>
          <t>Purchase</t>
        </is>
      </c>
      <c r="D172" s="7" t="inlineStr">
        <is>
          <t>Vendor</t>
        </is>
      </c>
      <c r="E172" s="7" t="inlineStr">
        <is>
          <t>Central Receiving</t>
        </is>
      </c>
      <c r="F172" s="7" t="inlineStr">
        <is>
          <t>Atlanta Warehouse</t>
        </is>
      </c>
      <c r="G172" s="7" t="inlineStr">
        <is>
          <t>PO:PO-2022-0013</t>
        </is>
      </c>
      <c r="H172" s="7" t="inlineStr">
        <is>
          <t>Confirmed Fact</t>
        </is>
      </c>
      <c r="I172" s="7" t="inlineStr">
        <is>
          <t>Receiving against PO-2022-0013. MacBook Pro 14, $1850.</t>
        </is>
      </c>
    </row>
    <row r="173">
      <c r="A173" s="7" t="inlineStr">
        <is>
          <t>MD-00077</t>
        </is>
      </c>
      <c r="B173" s="7" t="inlineStr">
        <is>
          <t>2026-06-06</t>
        </is>
      </c>
      <c r="C173" s="7" t="inlineStr">
        <is>
          <t>Assignment/Transfer</t>
        </is>
      </c>
      <c r="D173" s="7" t="inlineStr">
        <is>
          <t>Central Receiving</t>
        </is>
      </c>
      <c r="E173" s="7" t="inlineStr">
        <is>
          <t>E0080</t>
        </is>
      </c>
      <c r="F173" s="7" t="inlineStr">
        <is>
          <t>Remote - Former Employee</t>
        </is>
      </c>
      <c r="G173" s="7" t="inlineStr">
        <is>
          <t>Transfer:TR-00077; Approval:APR-00077</t>
        </is>
      </c>
      <c r="H173" s="7" t="inlineStr">
        <is>
          <t>Confirmed Fact</t>
        </is>
      </c>
      <c r="I173" s="7" t="inlineStr">
        <is>
          <t>Assignment posted 2026-06-05. Docked 2026-06-06 (TR-00077).</t>
        </is>
      </c>
    </row>
    <row r="174">
      <c r="A174" s="7" t="inlineStr">
        <is>
          <t>MD-00077</t>
        </is>
      </c>
      <c r="B174" s="7" t="inlineStr">
        <is>
          <t>2026-06-19</t>
        </is>
      </c>
      <c r="C174" s="7" t="inlineStr">
        <is>
          <t>Offboarding Ticket</t>
        </is>
      </c>
      <c r="D174" s="7" t="inlineStr">
        <is>
          <t>E0090</t>
        </is>
      </c>
      <c r="E174" s="7" t="inlineStr">
        <is>
          <t>IT Service Desk</t>
        </is>
      </c>
      <c r="F174" s="7" t="inlineStr"/>
      <c r="G174" s="7" t="inlineStr">
        <is>
          <t>Ticket:OFF-00077; Status:Past Due</t>
        </is>
      </c>
      <c r="H174" s="7" t="inlineStr">
        <is>
          <t>Confirmed Fact</t>
        </is>
      </c>
      <c r="I174" s="7" t="inlineStr">
        <is>
          <t>Opened OFF-00077. Status Past Due.</t>
        </is>
      </c>
    </row>
    <row r="175">
      <c r="A175" s="7" t="inlineStr">
        <is>
          <t>MD-00077</t>
        </is>
      </c>
      <c r="B175" s="7" t="inlineStr">
        <is>
          <t>2026-06-19</t>
        </is>
      </c>
      <c r="C175" s="7" t="inlineStr">
        <is>
          <t>Technician Comment</t>
        </is>
      </c>
      <c r="D175" s="7" t="inlineStr">
        <is>
          <t>Service Desk</t>
        </is>
      </c>
      <c r="E175" s="7" t="inlineStr"/>
      <c r="F175" s="7" t="inlineStr"/>
      <c r="G175" s="7" t="inlineStr">
        <is>
          <t>Ticket:OFF-00077</t>
        </is>
      </c>
      <c r="H175" s="7" t="inlineStr">
        <is>
          <t>Technician Claim</t>
        </is>
      </c>
      <c r="I175" s="7" t="inlineStr">
        <is>
          <t>Helpdesk queued this with the June RIF batch. Ref MD-00077.</t>
        </is>
      </c>
    </row>
    <row r="176">
      <c r="A176" s="7" t="inlineStr">
        <is>
          <t>MD-00077</t>
        </is>
      </c>
      <c r="B176" s="7" t="inlineStr">
        <is>
          <t>2026-06-25</t>
        </is>
      </c>
      <c r="C176" s="7" t="inlineStr">
        <is>
          <t>Return Label Created</t>
        </is>
      </c>
      <c r="D176" s="7" t="inlineStr">
        <is>
          <t>E0090</t>
        </is>
      </c>
      <c r="E176" s="7" t="inlineStr">
        <is>
          <t>Return Carrier</t>
        </is>
      </c>
      <c r="F176" s="7" t="inlineStr">
        <is>
          <t>Carrier Network</t>
        </is>
      </c>
      <c r="G176" s="7" t="inlineStr">
        <is>
          <t>Tracking:1ZMD00000077; Status:Label Created</t>
        </is>
      </c>
      <c r="H176" s="7" t="inlineStr">
        <is>
          <t>Confirmed Fact</t>
        </is>
      </c>
      <c r="I176" s="7" t="inlineStr">
        <is>
          <t>1ZMD00000077 is Label Created. Serial on the label MD-LA-050077. Not proof of return.</t>
        </is>
      </c>
    </row>
    <row r="177">
      <c r="A177" s="7" t="inlineStr">
        <is>
          <t>MD-00077</t>
        </is>
      </c>
      <c r="B177" s="7" t="inlineStr">
        <is>
          <t>2026-08-05</t>
        </is>
      </c>
      <c r="C177" s="7" t="inlineStr">
        <is>
          <t>Regional IT Note Lead</t>
        </is>
      </c>
      <c r="D177" s="7" t="inlineStr">
        <is>
          <t>Regional IT</t>
        </is>
      </c>
      <c r="E177" s="7" t="inlineStr"/>
      <c r="F177" s="7" t="inlineStr">
        <is>
          <t>Denver - Closed</t>
        </is>
      </c>
      <c r="G177" s="7" t="inlineStr">
        <is>
          <t>regional_IT_notes.docx</t>
        </is>
      </c>
      <c r="H177" s="7" t="inlineStr">
        <is>
          <t>Technician Claim</t>
        </is>
      </c>
      <c r="I177" s="7" t="inlineStr">
        <is>
          <t>regional_IT_notes.docx is in the packet. Weight = lead only (MD-00077).</t>
        </is>
      </c>
    </row>
    <row r="178">
      <c r="A178" s="7" t="inlineStr">
        <is>
          <t>MD-00077</t>
        </is>
      </c>
      <c r="B178" s="7" t="inlineStr">
        <is>
          <t>2026-08-09</t>
        </is>
      </c>
      <c r="C178" s="7" t="inlineStr">
        <is>
          <t>Policy Control Figure</t>
        </is>
      </c>
      <c r="D178" s="7" t="inlineStr">
        <is>
          <t>ITAM-001</t>
        </is>
      </c>
      <c r="E178" s="7" t="inlineStr"/>
      <c r="F178" s="7" t="inlineStr"/>
      <c r="G178" s="7" t="inlineStr">
        <is>
          <t>ITAM_control_matrix.png; IT_asset_management_policy.pdf</t>
        </is>
      </c>
      <c r="H178" s="7" t="inlineStr">
        <is>
          <t>Confirmed Fact</t>
        </is>
      </c>
      <c r="I178" s="7" t="inlineStr">
        <is>
          <t>Matrix appendix cited for MD-00077 under Disposal; technician notes cannot override chain reference above.</t>
        </is>
      </c>
    </row>
    <row r="179">
      <c r="A179" s="7" t="inlineStr">
        <is>
          <t>MD-00077</t>
        </is>
      </c>
      <c r="B179" s="7" t="inlineStr">
        <is>
          <t>2026-08-09</t>
        </is>
      </c>
      <c r="C179" s="7" t="inlineStr">
        <is>
          <t>Reconciliation Conclusion</t>
        </is>
      </c>
      <c r="D179" s="7" t="inlineStr">
        <is>
          <t>Evidence review</t>
        </is>
      </c>
      <c r="E179" s="7" t="inlineStr">
        <is>
          <t>E0090</t>
        </is>
      </c>
      <c r="F179" s="7" t="inlineStr">
        <is>
          <t>Remote - Former Employee</t>
        </is>
      </c>
      <c r="G179" s="7" t="inlineStr">
        <is>
          <t>Ticket:OFF-00077; Tracking:1ZMD00000077; ReturnProof:absent (label only); Transfer:TR-00077; HR:E0090:Separated; PO:PO-2022-0013; Ledger:FA-000077; PolicyFigure:ITAM_control_matrix.png</t>
        </is>
      </c>
      <c r="H179" s="7" t="inlineStr">
        <is>
          <t>Unresolved Assumption</t>
        </is>
      </c>
      <c r="I179" s="7" t="inlineStr">
        <is>
          <t>After the chain: Return Overdue. Low confidence. EX-0084, EX-0085. OFF-00077 1ZMD00000077 TR-00077 E0090 PO-2022-0013 FA-000077 ITAM_control_matrix.png</t>
        </is>
      </c>
    </row>
    <row r="180">
      <c r="A180" s="7" t="inlineStr">
        <is>
          <t>MD-00078</t>
        </is>
      </c>
      <c r="B180" s="7" t="inlineStr">
        <is>
          <t>2024-07-07</t>
        </is>
      </c>
      <c r="C180" s="7" t="inlineStr">
        <is>
          <t>Purchase</t>
        </is>
      </c>
      <c r="D180" s="7" t="inlineStr">
        <is>
          <t>Vendor</t>
        </is>
      </c>
      <c r="E180" s="7" t="inlineStr">
        <is>
          <t>Central Receiving</t>
        </is>
      </c>
      <c r="F180" s="7" t="inlineStr">
        <is>
          <t>Atlanta Warehouse</t>
        </is>
      </c>
      <c r="G180" s="7" t="inlineStr">
        <is>
          <t>PO:PO-2022-0013</t>
        </is>
      </c>
      <c r="H180" s="7" t="inlineStr">
        <is>
          <t>Confirmed Fact</t>
        </is>
      </c>
      <c r="I180" s="7" t="inlineStr">
        <is>
          <t>PO-2022-0013: Dell U2723QE at $565.</t>
        </is>
      </c>
    </row>
    <row r="181">
      <c r="A181" s="7" t="inlineStr">
        <is>
          <t>MD-00078</t>
        </is>
      </c>
      <c r="B181" s="7" t="inlineStr">
        <is>
          <t>2026-01-07</t>
        </is>
      </c>
      <c r="C181" s="7" t="inlineStr">
        <is>
          <t>Assignment/Transfer</t>
        </is>
      </c>
      <c r="D181" s="7" t="inlineStr">
        <is>
          <t>Central Receiving</t>
        </is>
      </c>
      <c r="E181" s="7" t="inlineStr">
        <is>
          <t>E0081</t>
        </is>
      </c>
      <c r="F181" s="7" t="inlineStr">
        <is>
          <t>Remote - Former Employee</t>
        </is>
      </c>
      <c r="G181" s="7" t="inlineStr">
        <is>
          <t>Transfer:TR-00078; Approval:APR-00078</t>
        </is>
      </c>
      <c r="H181" s="7" t="inlineStr">
        <is>
          <t>Confirmed Fact</t>
        </is>
      </c>
      <c r="I181" s="7" t="inlineStr">
        <is>
          <t>Moved to E0081 in Remote - Former Employee on TR-00078. Received 1/10/26.</t>
        </is>
      </c>
    </row>
    <row r="182">
      <c r="A182" s="7" t="inlineStr">
        <is>
          <t>MD-00078</t>
        </is>
      </c>
      <c r="B182" s="7" t="inlineStr">
        <is>
          <t>2026-05-20</t>
        </is>
      </c>
      <c r="C182" s="7" t="inlineStr">
        <is>
          <t>Offboarding Ticket</t>
        </is>
      </c>
      <c r="D182" s="7" t="inlineStr">
        <is>
          <t>E0091</t>
        </is>
      </c>
      <c r="E182" s="7" t="inlineStr">
        <is>
          <t>IT Service Desk</t>
        </is>
      </c>
      <c r="F182" s="7" t="inlineStr"/>
      <c r="G182" s="7" t="inlineStr">
        <is>
          <t>Ticket:OFF-00078; Status:Past Due</t>
        </is>
      </c>
      <c r="H182" s="7" t="inlineStr">
        <is>
          <t>Confirmed Fact</t>
        </is>
      </c>
      <c r="I182" s="7" t="inlineStr">
        <is>
          <t>Opened OFF-00078. Status Past Due.</t>
        </is>
      </c>
    </row>
    <row r="183">
      <c r="A183" s="7" t="inlineStr">
        <is>
          <t>MD-00078</t>
        </is>
      </c>
      <c r="B183" s="7" t="inlineStr">
        <is>
          <t>2026-05-20</t>
        </is>
      </c>
      <c r="C183" s="7" t="inlineStr">
        <is>
          <t>Technician Comment</t>
        </is>
      </c>
      <c r="D183" s="7" t="inlineStr">
        <is>
          <t>Service Desk</t>
        </is>
      </c>
      <c r="E183" s="7" t="inlineStr"/>
      <c r="F183" s="7" t="inlineStr"/>
      <c r="G183" s="7" t="inlineStr">
        <is>
          <t>Ticket:OFF-00078</t>
        </is>
      </c>
      <c r="H183" s="7" t="inlineStr">
        <is>
          <t>Technician Claim</t>
        </is>
      </c>
      <c r="I183" s="7" t="inlineStr">
        <is>
          <t>Can't close — no delivery event in the carrier file. Ref MD-00078.</t>
        </is>
      </c>
    </row>
    <row r="184">
      <c r="A184" s="7" t="inlineStr">
        <is>
          <t>MD-00078</t>
        </is>
      </c>
      <c r="B184" s="7" t="inlineStr">
        <is>
          <t>2026-06-25</t>
        </is>
      </c>
      <c r="C184" s="7" t="inlineStr">
        <is>
          <t>Return Label Created</t>
        </is>
      </c>
      <c r="D184" s="7" t="inlineStr">
        <is>
          <t>E0091</t>
        </is>
      </c>
      <c r="E184" s="7" t="inlineStr">
        <is>
          <t>Return Carrier</t>
        </is>
      </c>
      <c r="F184" s="7" t="inlineStr">
        <is>
          <t>Carrier Network</t>
        </is>
      </c>
      <c r="G184" s="7" t="inlineStr">
        <is>
          <t>Tracking:1ZMD00000078; Status:Label Created</t>
        </is>
      </c>
      <c r="H184" s="7" t="inlineStr">
        <is>
          <t>Confirmed Fact</t>
        </is>
      </c>
      <c r="I184" s="7" t="inlineStr">
        <is>
          <t>1ZMD00000078 is Label Created. Serial on the label MD-MO-050078. Not proof of return.</t>
        </is>
      </c>
    </row>
    <row r="185">
      <c r="A185" s="7" t="inlineStr">
        <is>
          <t>MD-00078</t>
        </is>
      </c>
      <c r="B185" s="7" t="inlineStr">
        <is>
          <t>2026-08-05</t>
        </is>
      </c>
      <c r="C185" s="7" t="inlineStr">
        <is>
          <t>Regional IT Note Lead</t>
        </is>
      </c>
      <c r="D185" s="7" t="inlineStr">
        <is>
          <t>Regional IT</t>
        </is>
      </c>
      <c r="E185" s="7" t="inlineStr"/>
      <c r="F185" s="7" t="inlineStr">
        <is>
          <t>Chicago - Closed</t>
        </is>
      </c>
      <c r="G185" s="7" t="inlineStr">
        <is>
          <t>regional_IT_notes.docx</t>
        </is>
      </c>
      <c r="H185" s="7" t="inlineStr">
        <is>
          <t>Technician Claim</t>
        </is>
      </c>
      <c r="I185" s="7" t="inlineStr">
        <is>
          <t>Word file claim on MD-00078 — non-authoritative.</t>
        </is>
      </c>
    </row>
    <row r="186">
      <c r="A186" s="7" t="inlineStr">
        <is>
          <t>MD-00078</t>
        </is>
      </c>
      <c r="B186" s="7" t="inlineStr">
        <is>
          <t>2026-08-09</t>
        </is>
      </c>
      <c r="C186" s="7" t="inlineStr">
        <is>
          <t>Policy Control Figure</t>
        </is>
      </c>
      <c r="D186" s="7" t="inlineStr">
        <is>
          <t>ITAM-001</t>
        </is>
      </c>
      <c r="E186" s="7" t="inlineStr"/>
      <c r="F186" s="7" t="inlineStr"/>
      <c r="G186" s="7" t="inlineStr">
        <is>
          <t>ITAM_control_matrix.png; IT_asset_management_policy.pdf</t>
        </is>
      </c>
      <c r="H186" s="7" t="inlineStr">
        <is>
          <t>Confirmed Fact</t>
        </is>
      </c>
      <c r="I186" s="7" t="inlineStr">
        <is>
          <t>Return/disposal/financial gates for MD-00078 read from the matrix transfer row; chain reference above is the source record; ITAM_control_matrix.png in packet.</t>
        </is>
      </c>
    </row>
    <row r="187">
      <c r="A187" s="7" t="inlineStr">
        <is>
          <t>MD-00078</t>
        </is>
      </c>
      <c r="B187" s="7" t="inlineStr">
        <is>
          <t>2026-08-09</t>
        </is>
      </c>
      <c r="C187" s="7" t="inlineStr">
        <is>
          <t>Reconciliation Conclusion</t>
        </is>
      </c>
      <c r="D187" s="7" t="inlineStr">
        <is>
          <t>Evidence review</t>
        </is>
      </c>
      <c r="E187" s="7" t="inlineStr">
        <is>
          <t>E0091</t>
        </is>
      </c>
      <c r="F187" s="7" t="inlineStr">
        <is>
          <t>Remote - Former Employee</t>
        </is>
      </c>
      <c r="G187" s="7" t="inlineStr">
        <is>
          <t>Ticket:OFF-00078; Tracking:1ZMD00000078; ReturnProof:absent (label only); Transfer:TR-00078; HR:E0091:Separated; PO:PO-2022-0013; Ledger:FA-000078; PolicyFigure:ITAM_control_matrix.png</t>
        </is>
      </c>
      <c r="H187" s="7" t="inlineStr">
        <is>
          <t>Unresolved Assumption</t>
        </is>
      </c>
      <c r="I187" s="7" t="inlineStr">
        <is>
          <t>After the chain: Return Overdue. Low confidence. EX-0086, EX-0087. OFF-00078 1ZMD00000078 TR-00078 E0091 PO-2022-0013 FA-000078 ITAM_control_matrix.png</t>
        </is>
      </c>
    </row>
    <row r="188">
      <c r="A188" s="7" t="inlineStr">
        <is>
          <t>MD-00079</t>
        </is>
      </c>
      <c r="B188" s="7" t="inlineStr">
        <is>
          <t>2025-08-08</t>
        </is>
      </c>
      <c r="C188" s="7" t="inlineStr">
        <is>
          <t>Purchase</t>
        </is>
      </c>
      <c r="D188" s="7" t="inlineStr">
        <is>
          <t>Vendor</t>
        </is>
      </c>
      <c r="E188" s="7" t="inlineStr">
        <is>
          <t>Central Receiving</t>
        </is>
      </c>
      <c r="F188" s="7" t="inlineStr">
        <is>
          <t>Atlanta Warehouse</t>
        </is>
      </c>
      <c r="G188" s="7" t="inlineStr">
        <is>
          <t>PO:PO-2023-0014</t>
        </is>
      </c>
      <c r="H188" s="7" t="inlineStr">
        <is>
          <t>Confirmed Fact</t>
        </is>
      </c>
      <c r="I188" s="7" t="inlineStr">
        <is>
          <t>Warehouse receipt tied to PO-2023-0014. Samsung Galaxy S24.</t>
        </is>
      </c>
    </row>
    <row r="189">
      <c r="A189" s="7" t="inlineStr">
        <is>
          <t>MD-00079</t>
        </is>
      </c>
      <c r="B189" s="7" t="inlineStr">
        <is>
          <t>2026-02-08</t>
        </is>
      </c>
      <c r="C189" s="7" t="inlineStr">
        <is>
          <t>Assignment/Transfer</t>
        </is>
      </c>
      <c r="D189" s="7" t="inlineStr">
        <is>
          <t>Central Receiving</t>
        </is>
      </c>
      <c r="E189" s="7" t="inlineStr">
        <is>
          <t>E0082</t>
        </is>
      </c>
      <c r="F189" s="7" t="inlineStr">
        <is>
          <t>Remote - Former Employee</t>
        </is>
      </c>
      <c r="G189" s="7" t="inlineStr">
        <is>
          <t>Transfer:TR-00079; Approval:APR-00079</t>
        </is>
      </c>
      <c r="H189" s="7" t="inlineStr">
        <is>
          <t>Confirmed Fact</t>
        </is>
      </c>
      <c r="I189" s="7" t="inlineStr">
        <is>
          <t>Recorded Feb 11, received 2026-02-13. TR-00079.</t>
        </is>
      </c>
    </row>
    <row r="190">
      <c r="A190" s="7" t="inlineStr">
        <is>
          <t>MD-00079</t>
        </is>
      </c>
      <c r="B190" s="7" t="inlineStr">
        <is>
          <t>2026-06-21</t>
        </is>
      </c>
      <c r="C190" s="7" t="inlineStr">
        <is>
          <t>Offboarding Ticket</t>
        </is>
      </c>
      <c r="D190" s="7" t="inlineStr">
        <is>
          <t>E0092</t>
        </is>
      </c>
      <c r="E190" s="7" t="inlineStr">
        <is>
          <t>IT Service Desk</t>
        </is>
      </c>
      <c r="F190" s="7" t="inlineStr"/>
      <c r="G190" s="7" t="inlineStr">
        <is>
          <t>Ticket:OFF-00079; Status:Past Due</t>
        </is>
      </c>
      <c r="H190" s="7" t="inlineStr">
        <is>
          <t>Confirmed Fact</t>
        </is>
      </c>
      <c r="I190" s="7" t="inlineStr">
        <is>
          <t>Opened OFF-00079. Status Past Due.</t>
        </is>
      </c>
    </row>
    <row r="191">
      <c r="A191" s="7" t="inlineStr">
        <is>
          <t>MD-00079</t>
        </is>
      </c>
      <c r="B191" s="7" t="inlineStr">
        <is>
          <t>2026-06-21</t>
        </is>
      </c>
      <c r="C191" s="7" t="inlineStr">
        <is>
          <t>Technician Comment</t>
        </is>
      </c>
      <c r="D191" s="7" t="inlineStr">
        <is>
          <t>Service Desk</t>
        </is>
      </c>
      <c r="E191" s="7" t="inlineStr"/>
      <c r="F191" s="7" t="inlineStr"/>
      <c r="G191" s="7" t="inlineStr">
        <is>
          <t>Ticket:OFF-00079</t>
        </is>
      </c>
      <c r="H191" s="7" t="inlineStr">
        <is>
          <t>Technician Claim</t>
        </is>
      </c>
      <c r="I191" s="7" t="inlineStr">
        <is>
          <t>User claimed inbox full so they missed the ship email. Ref MD-00079.</t>
        </is>
      </c>
    </row>
    <row r="192">
      <c r="A192" s="7" t="inlineStr">
        <is>
          <t>MD-00079</t>
        </is>
      </c>
      <c r="B192" s="7" t="inlineStr">
        <is>
          <t>2026-06-25</t>
        </is>
      </c>
      <c r="C192" s="7" t="inlineStr">
        <is>
          <t>Return Label Created</t>
        </is>
      </c>
      <c r="D192" s="7" t="inlineStr">
        <is>
          <t>E0092</t>
        </is>
      </c>
      <c r="E192" s="7" t="inlineStr">
        <is>
          <t>Return Carrier</t>
        </is>
      </c>
      <c r="F192" s="7" t="inlineStr">
        <is>
          <t>Carrier Network</t>
        </is>
      </c>
      <c r="G192" s="7" t="inlineStr">
        <is>
          <t>Tracking:1ZMD00000079; Status:Label Created</t>
        </is>
      </c>
      <c r="H192" s="7" t="inlineStr">
        <is>
          <t>Confirmed Fact</t>
        </is>
      </c>
      <c r="I192" s="7" t="inlineStr">
        <is>
          <t>1ZMD00000079 is Label Created. Serial on the label MD-MO-050079. Not proof of return.</t>
        </is>
      </c>
    </row>
    <row r="193">
      <c r="A193" s="7" t="inlineStr">
        <is>
          <t>MD-00079</t>
        </is>
      </c>
      <c r="B193" s="7" t="inlineStr">
        <is>
          <t>2026-08-05</t>
        </is>
      </c>
      <c r="C193" s="7" t="inlineStr">
        <is>
          <t>Regional IT Note Lead</t>
        </is>
      </c>
      <c r="D193" s="7" t="inlineStr">
        <is>
          <t>Regional IT</t>
        </is>
      </c>
      <c r="E193" s="7" t="inlineStr"/>
      <c r="F193" s="7" t="inlineStr">
        <is>
          <t>Denver - Closed</t>
        </is>
      </c>
      <c r="G193" s="7" t="inlineStr">
        <is>
          <t>regional_IT_notes.docx</t>
        </is>
      </c>
      <c r="H193" s="7" t="inlineStr">
        <is>
          <t>Technician Claim</t>
        </is>
      </c>
      <c r="I193" s="7" t="inlineStr">
        <is>
          <t>Someone wrote that it stayed at a closed site. Unverified for MD-00079.</t>
        </is>
      </c>
    </row>
    <row r="194">
      <c r="A194" s="7" t="inlineStr">
        <is>
          <t>MD-00079</t>
        </is>
      </c>
      <c r="B194" s="7" t="inlineStr">
        <is>
          <t>2026-08-09</t>
        </is>
      </c>
      <c r="C194" s="7" t="inlineStr">
        <is>
          <t>Policy Control Figure</t>
        </is>
      </c>
      <c r="D194" s="7" t="inlineStr">
        <is>
          <t>ITAM-001</t>
        </is>
      </c>
      <c r="E194" s="7" t="inlineStr"/>
      <c r="F194" s="7" t="inlineStr"/>
      <c r="G194" s="7" t="inlineStr">
        <is>
          <t>ITAM_control_matrix.png; IT_asset_management_policy.pdf</t>
        </is>
      </c>
      <c r="H194" s="7" t="inlineStr">
        <is>
          <t>Confirmed Fact</t>
        </is>
      </c>
      <c r="I194" s="7" t="inlineStr">
        <is>
          <t>MD-00079: Financial column in the control matrix frames the review; ledger/transfer proof is chain reference above.</t>
        </is>
      </c>
    </row>
    <row r="195">
      <c r="A195" s="7" t="inlineStr">
        <is>
          <t>MD-00079</t>
        </is>
      </c>
      <c r="B195" s="7" t="inlineStr">
        <is>
          <t>2026-08-09</t>
        </is>
      </c>
      <c r="C195" s="7" t="inlineStr">
        <is>
          <t>Reconciliation Conclusion</t>
        </is>
      </c>
      <c r="D195" s="7" t="inlineStr">
        <is>
          <t>Evidence review</t>
        </is>
      </c>
      <c r="E195" s="7" t="inlineStr">
        <is>
          <t>E0092</t>
        </is>
      </c>
      <c r="F195" s="7" t="inlineStr">
        <is>
          <t>Remote - Former Employee</t>
        </is>
      </c>
      <c r="G195" s="7" t="inlineStr">
        <is>
          <t>Ticket:OFF-00079; Tracking:1ZMD00000079; ReturnProof:absent (label only); Transfer:TR-00079; HR:E0092:Separated; PO:PO-2023-0014; Ledger:FA-000079; PolicyFigure:ITAM_control_matrix.png</t>
        </is>
      </c>
      <c r="H195" s="7" t="inlineStr">
        <is>
          <t>Unresolved Assumption</t>
        </is>
      </c>
      <c r="I195" s="7" t="inlineStr">
        <is>
          <t>After the chain: Return Overdue. Low confidence. EX-0088, EX-0089. OFF-00079 1ZMD00000079 TR-00079 E0092 PO-2023-0014 FA-000079 ITAM_control_matrix.png</t>
        </is>
      </c>
    </row>
    <row r="196">
      <c r="A196" s="7" t="inlineStr">
        <is>
          <t>MD-00080</t>
        </is>
      </c>
      <c r="B196" s="7" t="inlineStr">
        <is>
          <t>2022-09-09</t>
        </is>
      </c>
      <c r="C196" s="7" t="inlineStr">
        <is>
          <t>Purchase</t>
        </is>
      </c>
      <c r="D196" s="7" t="inlineStr">
        <is>
          <t>Vendor</t>
        </is>
      </c>
      <c r="E196" s="7" t="inlineStr">
        <is>
          <t>Central Receiving</t>
        </is>
      </c>
      <c r="F196" s="7" t="inlineStr">
        <is>
          <t>Atlanta Warehouse</t>
        </is>
      </c>
      <c r="G196" s="7" t="inlineStr">
        <is>
          <t>PO:PO-2023-0014</t>
        </is>
      </c>
      <c r="H196" s="7" t="inlineStr">
        <is>
          <t>Confirmed Fact</t>
        </is>
      </c>
      <c r="I196" s="7" t="inlineStr">
        <is>
          <t>Cisco C9300 came in on PO-2023-0014 ($6335).</t>
        </is>
      </c>
    </row>
    <row r="197">
      <c r="A197" s="7" t="inlineStr">
        <is>
          <t>MD-00080</t>
        </is>
      </c>
      <c r="B197" s="7" t="inlineStr">
        <is>
          <t>2026-03-09</t>
        </is>
      </c>
      <c r="C197" s="7" t="inlineStr">
        <is>
          <t>Assignment/Transfer</t>
        </is>
      </c>
      <c r="D197" s="7" t="inlineStr">
        <is>
          <t>Central Receiving</t>
        </is>
      </c>
      <c r="E197" s="7" t="inlineStr">
        <is>
          <t>Return Carrier</t>
        </is>
      </c>
      <c r="F197" s="7" t="inlineStr">
        <is>
          <t>Carrier Network</t>
        </is>
      </c>
      <c r="G197" s="7" t="inlineStr">
        <is>
          <t>Transfer:TR-00080; Approval:APR-00080</t>
        </is>
      </c>
      <c r="H197" s="7" t="inlineStr">
        <is>
          <t>Confirmed Fact</t>
        </is>
      </c>
      <c r="I197" s="7" t="inlineStr">
        <is>
          <t>Log row TR-00080. Receive date 3/17.</t>
        </is>
      </c>
    </row>
    <row r="198">
      <c r="A198" s="7" t="inlineStr">
        <is>
          <t>MD-00080</t>
        </is>
      </c>
      <c r="B198" s="7" t="inlineStr">
        <is>
          <t>2026-05-22</t>
        </is>
      </c>
      <c r="C198" s="7" t="inlineStr">
        <is>
          <t>Offboarding Ticket</t>
        </is>
      </c>
      <c r="D198" s="7" t="inlineStr">
        <is>
          <t>E0093</t>
        </is>
      </c>
      <c r="E198" s="7" t="inlineStr">
        <is>
          <t>IT Service Desk</t>
        </is>
      </c>
      <c r="F198" s="7" t="inlineStr"/>
      <c r="G198" s="7" t="inlineStr">
        <is>
          <t>Ticket:OFF-00080; Status:Shipment Open</t>
        </is>
      </c>
      <c r="H198" s="7" t="inlineStr">
        <is>
          <t>Confirmed Fact</t>
        </is>
      </c>
      <c r="I198" s="7" t="inlineStr">
        <is>
          <t>Opened OFF-00080. Status Shipment Open.</t>
        </is>
      </c>
    </row>
    <row r="199">
      <c r="A199" s="7" t="inlineStr">
        <is>
          <t>MD-00080</t>
        </is>
      </c>
      <c r="B199" s="7" t="inlineStr">
        <is>
          <t>2026-05-22</t>
        </is>
      </c>
      <c r="C199" s="7" t="inlineStr">
        <is>
          <t>Technician Comment</t>
        </is>
      </c>
      <c r="D199" s="7" t="inlineStr">
        <is>
          <t>Service Desk</t>
        </is>
      </c>
      <c r="E199" s="7" t="inlineStr"/>
      <c r="F199" s="7" t="inlineStr"/>
      <c r="G199" s="7" t="inlineStr">
        <is>
          <t>Ticket:OFF-00080</t>
        </is>
      </c>
      <c r="H199" s="7" t="inlineStr">
        <is>
          <t>Technician Claim</t>
        </is>
      </c>
      <c r="I199" s="7" t="inlineStr">
        <is>
          <t>Regional stock said they never saw it. Ref MD-00080.</t>
        </is>
      </c>
    </row>
    <row r="200">
      <c r="A200" s="7" t="inlineStr">
        <is>
          <t>MD-00080</t>
        </is>
      </c>
      <c r="B200" s="7" t="inlineStr">
        <is>
          <t>2026-06-25</t>
        </is>
      </c>
      <c r="C200" s="7" t="inlineStr">
        <is>
          <t>Return Label Created</t>
        </is>
      </c>
      <c r="D200" s="7" t="inlineStr">
        <is>
          <t>E0093</t>
        </is>
      </c>
      <c r="E200" s="7" t="inlineStr">
        <is>
          <t>Return Carrier</t>
        </is>
      </c>
      <c r="F200" s="7" t="inlineStr">
        <is>
          <t>Carrier Network</t>
        </is>
      </c>
      <c r="G200" s="7" t="inlineStr">
        <is>
          <t>Tracking:1ZMD00000080; Status:Delivered</t>
        </is>
      </c>
      <c r="H200" s="7" t="inlineStr">
        <is>
          <t>Confirmed Fact</t>
        </is>
      </c>
      <c r="I200" s="7" t="inlineStr">
        <is>
          <t>1ZMD00000080 is Label Created. Serial on the label MD-NE-050080. Not proof of return.</t>
        </is>
      </c>
    </row>
    <row r="201">
      <c r="A201" s="7" t="inlineStr">
        <is>
          <t>MD-00080</t>
        </is>
      </c>
      <c r="B201" s="7" t="inlineStr">
        <is>
          <t>2026-07-02</t>
        </is>
      </c>
      <c r="C201" s="7" t="inlineStr">
        <is>
          <t>Carrier Acceptance</t>
        </is>
      </c>
      <c r="D201" s="7" t="inlineStr">
        <is>
          <t>Shipper</t>
        </is>
      </c>
      <c r="E201" s="7" t="inlineStr">
        <is>
          <t>Carrier</t>
        </is>
      </c>
      <c r="F201" s="7" t="inlineStr">
        <is>
          <t>Carrier Network</t>
        </is>
      </c>
      <c r="G201" s="7" t="inlineStr">
        <is>
          <t>Tracking:1ZMD00000080</t>
        </is>
      </c>
      <c r="H201" s="7" t="inlineStr">
        <is>
          <t>Confirmed Fact</t>
        </is>
      </c>
      <c r="I201" s="7" t="inlineStr">
        <is>
          <t>Acceptance event on 1ZMD00000080.</t>
        </is>
      </c>
    </row>
    <row r="202">
      <c r="A202" s="7" t="inlineStr">
        <is>
          <t>MD-00080</t>
        </is>
      </c>
      <c r="B202" s="7" t="inlineStr">
        <is>
          <t>2026-07-06</t>
        </is>
      </c>
      <c r="C202" s="7" t="inlineStr">
        <is>
          <t>Delivery</t>
        </is>
      </c>
      <c r="D202" s="7" t="inlineStr">
        <is>
          <t>Carrier</t>
        </is>
      </c>
      <c r="E202" s="7" t="inlineStr">
        <is>
          <t>Receiving</t>
        </is>
      </c>
      <c r="F202" s="7" t="inlineStr">
        <is>
          <t>Atlanta Warehouse</t>
        </is>
      </c>
      <c r="G202" s="7" t="inlineStr">
        <is>
          <t>Tracking:1ZMD00000080</t>
        </is>
      </c>
      <c r="H202" s="7" t="inlineStr">
        <is>
          <t>Confirmed Fact</t>
        </is>
      </c>
      <c r="I202" s="7" t="inlineStr">
        <is>
          <t>Carrier delivery event, 1ZMD00000080.</t>
        </is>
      </c>
    </row>
    <row r="203">
      <c r="A203" s="7" t="inlineStr">
        <is>
          <t>MD-00080</t>
        </is>
      </c>
      <c r="B203" s="7" t="inlineStr">
        <is>
          <t>2026-07-07</t>
        </is>
      </c>
      <c r="C203" s="7" t="inlineStr">
        <is>
          <t>Receiving Scan</t>
        </is>
      </c>
      <c r="D203" s="7" t="inlineStr">
        <is>
          <t>Carrier</t>
        </is>
      </c>
      <c r="E203" s="7" t="inlineStr">
        <is>
          <t>IT Stock</t>
        </is>
      </c>
      <c r="F203" s="7" t="inlineStr">
        <is>
          <t>Atlanta Warehouse</t>
        </is>
      </c>
      <c r="G203" s="7" t="inlineStr">
        <is>
          <t>Tracking:1ZMD00000080</t>
        </is>
      </c>
      <c r="H203" s="7" t="inlineStr">
        <is>
          <t>Confirmed Fact</t>
        </is>
      </c>
      <c r="I203" s="7" t="inlineStr">
        <is>
          <t>Inbound scan completed (1ZMD00000080).</t>
        </is>
      </c>
    </row>
    <row r="204">
      <c r="A204" s="7" t="inlineStr">
        <is>
          <t>MD-00080</t>
        </is>
      </c>
      <c r="B204" s="7" t="inlineStr">
        <is>
          <t>2026-08-05</t>
        </is>
      </c>
      <c r="C204" s="7" t="inlineStr">
        <is>
          <t>Regional IT Note Lead</t>
        </is>
      </c>
      <c r="D204" s="7" t="inlineStr">
        <is>
          <t>Regional IT</t>
        </is>
      </c>
      <c r="E204" s="7" t="inlineStr"/>
      <c r="F204" s="7" t="inlineStr">
        <is>
          <t>Chicago - Closed</t>
        </is>
      </c>
      <c r="G204" s="7" t="inlineStr">
        <is>
          <t>regional_IT_notes.docx</t>
        </is>
      </c>
      <c r="H204" s="7" t="inlineStr">
        <is>
          <t>Technician Claim</t>
        </is>
      </c>
      <c r="I204" s="7" t="inlineStr">
        <is>
          <t>I read the note. I didn't relocate MD-00080 off of it.</t>
        </is>
      </c>
    </row>
    <row r="205">
      <c r="A205" s="7" t="inlineStr">
        <is>
          <t>MD-00080</t>
        </is>
      </c>
      <c r="B205" s="7" t="inlineStr">
        <is>
          <t>2026-08-09</t>
        </is>
      </c>
      <c r="C205" s="7" t="inlineStr">
        <is>
          <t>Policy Control Figure</t>
        </is>
      </c>
      <c r="D205" s="7" t="inlineStr">
        <is>
          <t>ITAM-001</t>
        </is>
      </c>
      <c r="E205" s="7" t="inlineStr"/>
      <c r="F205" s="7" t="inlineStr"/>
      <c r="G205" s="7" t="inlineStr">
        <is>
          <t>ITAM_control_matrix.png; IT_asset_management_policy.pdf</t>
        </is>
      </c>
      <c r="H205" s="7" t="inlineStr">
        <is>
          <t>Confirmed Fact</t>
        </is>
      </c>
      <c r="I205" s="7" t="inlineStr">
        <is>
          <t>MD-00080 — Assignment requirements pulled from ITAM_control_matrix.png; no clearance from the figure alone (chain reference above).</t>
        </is>
      </c>
    </row>
    <row r="206">
      <c r="A206" s="7" t="inlineStr">
        <is>
          <t>MD-00080</t>
        </is>
      </c>
      <c r="B206" s="7" t="inlineStr">
        <is>
          <t>2026-08-09</t>
        </is>
      </c>
      <c r="C206" s="7" t="inlineStr">
        <is>
          <t>Reconciliation Conclusion</t>
        </is>
      </c>
      <c r="D206" s="7" t="inlineStr">
        <is>
          <t>Evidence review</t>
        </is>
      </c>
      <c r="E206" s="7" t="inlineStr">
        <is>
          <t>IT Stock</t>
        </is>
      </c>
      <c r="F206" s="7" t="inlineStr">
        <is>
          <t>Atlanta Warehouse</t>
        </is>
      </c>
      <c r="G206" s="7" t="inlineStr">
        <is>
          <t>Tracking:1ZMD00000080; Ticket:OFF-00080; Transfer:TR-00080; ReceivingScan:2026-07-07; PO:PO-2023-0014; Ledger:FA-000080; PolicyFigure:ITAM_control_matrix.png</t>
        </is>
      </c>
      <c r="H206" s="7" t="inlineStr">
        <is>
          <t>Confirmed Fact</t>
        </is>
      </c>
      <c r="I206" s="7" t="inlineStr">
        <is>
          <t>Available is the status I'm standing behind. EX-0090. High. 1ZMD00000080 OFF-00080 TR-00080 PO-2023-0014 FA-000080 ITAM_control_matrix.png</t>
        </is>
      </c>
    </row>
    <row r="207">
      <c r="A207" s="7" t="inlineStr">
        <is>
          <t>MD-00081</t>
        </is>
      </c>
      <c r="B207" s="7" t="inlineStr">
        <is>
          <t>2023-10-10</t>
        </is>
      </c>
      <c r="C207" s="7" t="inlineStr">
        <is>
          <t>Purchase</t>
        </is>
      </c>
      <c r="D207" s="7" t="inlineStr">
        <is>
          <t>Vendor</t>
        </is>
      </c>
      <c r="E207" s="7" t="inlineStr">
        <is>
          <t>Central Receiving</t>
        </is>
      </c>
      <c r="F207" s="7" t="inlineStr">
        <is>
          <t>Atlanta Warehouse</t>
        </is>
      </c>
      <c r="G207" s="7" t="inlineStr">
        <is>
          <t>PO:PO-2023-0014</t>
        </is>
      </c>
      <c r="H207" s="7" t="inlineStr">
        <is>
          <t>Confirmed Fact</t>
        </is>
      </c>
      <c r="I207" s="7" t="inlineStr">
        <is>
          <t>Purchasing file PO-2023-0014 matches MD-00081 at $2030.</t>
        </is>
      </c>
    </row>
    <row r="208">
      <c r="A208" s="7" t="inlineStr">
        <is>
          <t>MD-00081</t>
        </is>
      </c>
      <c r="B208" s="7" t="inlineStr">
        <is>
          <t>2026-04-10</t>
        </is>
      </c>
      <c r="C208" s="7" t="inlineStr">
        <is>
          <t>Assignment/Transfer</t>
        </is>
      </c>
      <c r="D208" s="7" t="inlineStr">
        <is>
          <t>Central Receiving</t>
        </is>
      </c>
      <c r="E208" s="7" t="inlineStr">
        <is>
          <t>Return Carrier</t>
        </is>
      </c>
      <c r="F208" s="7" t="inlineStr">
        <is>
          <t>Carrier Network</t>
        </is>
      </c>
      <c r="G208" s="7" t="inlineStr">
        <is>
          <t>Transfer:TR-00081; Approval:APR-00081</t>
        </is>
      </c>
      <c r="H208" s="7" t="inlineStr">
        <is>
          <t>Confirmed Fact</t>
        </is>
      </c>
      <c r="I208" s="7" t="inlineStr">
        <is>
          <t>TR-00081 — got it 2026-04-20 at Carrier Network.</t>
        </is>
      </c>
    </row>
    <row r="209">
      <c r="A209" s="7" t="inlineStr">
        <is>
          <t>MD-00081</t>
        </is>
      </c>
      <c r="B209" s="7" t="inlineStr">
        <is>
          <t>2026-06-23</t>
        </is>
      </c>
      <c r="C209" s="7" t="inlineStr">
        <is>
          <t>Offboarding Ticket</t>
        </is>
      </c>
      <c r="D209" s="7" t="inlineStr">
        <is>
          <t>E0094</t>
        </is>
      </c>
      <c r="E209" s="7" t="inlineStr">
        <is>
          <t>IT Service Desk</t>
        </is>
      </c>
      <c r="F209" s="7" t="inlineStr"/>
      <c r="G209" s="7" t="inlineStr">
        <is>
          <t>Ticket:OFF-00081; Status:Shipment Open</t>
        </is>
      </c>
      <c r="H209" s="7" t="inlineStr">
        <is>
          <t>Confirmed Fact</t>
        </is>
      </c>
      <c r="I209" s="7" t="inlineStr">
        <is>
          <t>Offboarding OFF-00081: Yes. Due 7/15/26.</t>
        </is>
      </c>
    </row>
    <row r="210">
      <c r="A210" s="7" t="inlineStr">
        <is>
          <t>MD-00081</t>
        </is>
      </c>
      <c r="B210" s="7" t="inlineStr">
        <is>
          <t>2026-06-23</t>
        </is>
      </c>
      <c r="C210" s="7" t="inlineStr">
        <is>
          <t>Technician Comment</t>
        </is>
      </c>
      <c r="D210" s="7" t="inlineStr">
        <is>
          <t>Service Desk</t>
        </is>
      </c>
      <c r="E210" s="7" t="inlineStr"/>
      <c r="F210" s="7" t="inlineStr"/>
      <c r="G210" s="7" t="inlineStr">
        <is>
          <t>Ticket:OFF-00081</t>
        </is>
      </c>
      <c r="H210" s="7" t="inlineStr">
        <is>
          <t>Technician Claim</t>
        </is>
      </c>
      <c r="I210" s="7" t="inlineStr">
        <is>
          <t>On hold for HR to confirm last day vs due date. Ref MD-00081.</t>
        </is>
      </c>
    </row>
    <row r="211">
      <c r="A211" s="7" t="inlineStr">
        <is>
          <t>MD-00081</t>
        </is>
      </c>
      <c r="B211" s="7" t="inlineStr">
        <is>
          <t>2026-06-25</t>
        </is>
      </c>
      <c r="C211" s="7" t="inlineStr">
        <is>
          <t>Return Label Created</t>
        </is>
      </c>
      <c r="D211" s="7" t="inlineStr">
        <is>
          <t>E0094</t>
        </is>
      </c>
      <c r="E211" s="7" t="inlineStr">
        <is>
          <t>Return Carrier</t>
        </is>
      </c>
      <c r="F211" s="7" t="inlineStr">
        <is>
          <t>Carrier Network</t>
        </is>
      </c>
      <c r="G211" s="7" t="inlineStr">
        <is>
          <t>Tracking:1ZMD00000081; Status:Delivered</t>
        </is>
      </c>
      <c r="H211" s="7" t="inlineStr">
        <is>
          <t>Confirmed Fact</t>
        </is>
      </c>
      <c r="I211" s="7" t="inlineStr">
        <is>
          <t>Printed 1ZMD00000081. Box not in the inbound file.</t>
        </is>
      </c>
    </row>
    <row r="212">
      <c r="A212" s="7" t="inlineStr">
        <is>
          <t>MD-00081</t>
        </is>
      </c>
      <c r="B212" s="7" t="inlineStr">
        <is>
          <t>2026-07-02</t>
        </is>
      </c>
      <c r="C212" s="7" t="inlineStr">
        <is>
          <t>Carrier Acceptance</t>
        </is>
      </c>
      <c r="D212" s="7" t="inlineStr">
        <is>
          <t>Shipper</t>
        </is>
      </c>
      <c r="E212" s="7" t="inlineStr">
        <is>
          <t>Carrier</t>
        </is>
      </c>
      <c r="F212" s="7" t="inlineStr">
        <is>
          <t>Carrier Network</t>
        </is>
      </c>
      <c r="G212" s="7" t="inlineStr">
        <is>
          <t>Tracking:1ZMD00000081</t>
        </is>
      </c>
      <c r="H212" s="7" t="inlineStr">
        <is>
          <t>Confirmed Fact</t>
        </is>
      </c>
      <c r="I212" s="7" t="inlineStr">
        <is>
          <t>Carrier accepted 1ZMD00000081.</t>
        </is>
      </c>
    </row>
    <row r="213">
      <c r="A213" s="7" t="inlineStr">
        <is>
          <t>MD-00081</t>
        </is>
      </c>
      <c r="B213" s="7" t="inlineStr">
        <is>
          <t>2026-07-06</t>
        </is>
      </c>
      <c r="C213" s="7" t="inlineStr">
        <is>
          <t>Delivery</t>
        </is>
      </c>
      <c r="D213" s="7" t="inlineStr">
        <is>
          <t>Carrier</t>
        </is>
      </c>
      <c r="E213" s="7" t="inlineStr">
        <is>
          <t>Receiving</t>
        </is>
      </c>
      <c r="F213" s="7" t="inlineStr">
        <is>
          <t>Atlanta Warehouse</t>
        </is>
      </c>
      <c r="G213" s="7" t="inlineStr">
        <is>
          <t>Tracking:1ZMD00000081</t>
        </is>
      </c>
      <c r="H213" s="7" t="inlineStr">
        <is>
          <t>Confirmed Fact</t>
        </is>
      </c>
      <c r="I213" s="7" t="inlineStr">
        <is>
          <t>1ZMD00000081 delivered per carrier.</t>
        </is>
      </c>
    </row>
    <row r="214">
      <c r="A214" s="7" t="inlineStr">
        <is>
          <t>MD-00081</t>
        </is>
      </c>
      <c r="B214" s="7" t="inlineStr">
        <is>
          <t>2026-07-07</t>
        </is>
      </c>
      <c r="C214" s="7" t="inlineStr">
        <is>
          <t>Receiving Scan</t>
        </is>
      </c>
      <c r="D214" s="7" t="inlineStr">
        <is>
          <t>Carrier</t>
        </is>
      </c>
      <c r="E214" s="7" t="inlineStr">
        <is>
          <t>IT Stock</t>
        </is>
      </c>
      <c r="F214" s="7" t="inlineStr">
        <is>
          <t>Atlanta Warehouse</t>
        </is>
      </c>
      <c r="G214" s="7" t="inlineStr">
        <is>
          <t>Tracking:1ZMD00000081</t>
        </is>
      </c>
      <c r="H214" s="7" t="inlineStr">
        <is>
          <t>Confirmed Fact</t>
        </is>
      </c>
      <c r="I214" s="7" t="inlineStr">
        <is>
          <t>SCAN-86 equivalent on file for 1ZMD00000081.</t>
        </is>
      </c>
    </row>
    <row r="215">
      <c r="A215" s="7" t="inlineStr">
        <is>
          <t>MD-00081</t>
        </is>
      </c>
      <c r="B215" s="7" t="inlineStr">
        <is>
          <t>2026-08-05</t>
        </is>
      </c>
      <c r="C215" s="7" t="inlineStr">
        <is>
          <t>Regional IT Note Lead</t>
        </is>
      </c>
      <c r="D215" s="7" t="inlineStr">
        <is>
          <t>Regional IT</t>
        </is>
      </c>
      <c r="E215" s="7" t="inlineStr"/>
      <c r="F215" s="7" t="inlineStr">
        <is>
          <t>Denver - Closed</t>
        </is>
      </c>
      <c r="G215" s="7" t="inlineStr">
        <is>
          <t>regional_IT_notes.docx</t>
        </is>
      </c>
      <c r="H215" s="7" t="inlineStr">
        <is>
          <t>Technician Claim</t>
        </is>
      </c>
      <c r="I215" s="7" t="inlineStr">
        <is>
          <t>Word file claim on MD-00081 — non-authoritative.</t>
        </is>
      </c>
    </row>
    <row r="216">
      <c r="A216" s="7" t="inlineStr">
        <is>
          <t>MD-00081</t>
        </is>
      </c>
      <c r="B216" s="7" t="inlineStr">
        <is>
          <t>2026-08-09</t>
        </is>
      </c>
      <c r="C216" s="7" t="inlineStr">
        <is>
          <t>Policy Control Figure</t>
        </is>
      </c>
      <c r="D216" s="7" t="inlineStr">
        <is>
          <t>ITAM-001</t>
        </is>
      </c>
      <c r="E216" s="7" t="inlineStr"/>
      <c r="F216" s="7" t="inlineStr"/>
      <c r="G216" s="7" t="inlineStr">
        <is>
          <t>ITAM_control_matrix.png; IT_asset_management_policy.pdf</t>
        </is>
      </c>
      <c r="H216" s="7" t="inlineStr">
        <is>
          <t>Confirmed Fact</t>
        </is>
      </c>
      <c r="I216" s="7" t="inlineStr">
        <is>
          <t>Return/disposal/financial gates for MD-00081 read from the matrix transfer row; chain reference above is the source record; ITAM_control_matrix.png in packet.</t>
        </is>
      </c>
    </row>
    <row r="217">
      <c r="A217" s="7" t="inlineStr">
        <is>
          <t>MD-00081</t>
        </is>
      </c>
      <c r="B217" s="7" t="inlineStr">
        <is>
          <t>2026-08-09</t>
        </is>
      </c>
      <c r="C217" s="7" t="inlineStr">
        <is>
          <t>Reconciliation Conclusion</t>
        </is>
      </c>
      <c r="D217" s="7" t="inlineStr">
        <is>
          <t>Evidence review</t>
        </is>
      </c>
      <c r="E217" s="7" t="inlineStr">
        <is>
          <t>IT Stock</t>
        </is>
      </c>
      <c r="F217" s="7" t="inlineStr">
        <is>
          <t>Atlanta Warehouse</t>
        </is>
      </c>
      <c r="G217" s="7" t="inlineStr">
        <is>
          <t>Tracking:1ZMD00000081; Ticket:OFF-00081; Transfer:TR-00081; ReceivingScan:2026-07-07; PO:PO-2023-0014; Ledger:FA-000081; PolicyFigure:ITAM_control_matrix.png</t>
        </is>
      </c>
      <c r="H217" s="7" t="inlineStr">
        <is>
          <t>Confirmed Fact</t>
        </is>
      </c>
      <c r="I217" s="7" t="inlineStr">
        <is>
          <t>MD-00081 → Available. Confidence High. EX-0091. 1ZMD00000081 OFF-00081 TR-00081 PO-2023-0014 FA-000081 ITAM_control_matrix.png</t>
        </is>
      </c>
    </row>
    <row r="218">
      <c r="A218" s="7" t="inlineStr">
        <is>
          <t>MD-00082</t>
        </is>
      </c>
      <c r="B218" s="7" t="inlineStr">
        <is>
          <t>2024-11-11</t>
        </is>
      </c>
      <c r="C218" s="7" t="inlineStr">
        <is>
          <t>Purchase</t>
        </is>
      </c>
      <c r="D218" s="7" t="inlineStr">
        <is>
          <t>Vendor</t>
        </is>
      </c>
      <c r="E218" s="7" t="inlineStr">
        <is>
          <t>Central Receiving</t>
        </is>
      </c>
      <c r="F218" s="7" t="inlineStr">
        <is>
          <t>Atlanta Warehouse</t>
        </is>
      </c>
      <c r="G218" s="7" t="inlineStr">
        <is>
          <t>PO:PO-2023-0014</t>
        </is>
      </c>
      <c r="H218" s="7" t="inlineStr">
        <is>
          <t>Confirmed Fact</t>
        </is>
      </c>
      <c r="I218" s="7" t="inlineStr">
        <is>
          <t>Warehouse receipt tied to PO-2023-0014. Dell U2723QE.</t>
        </is>
      </c>
    </row>
    <row r="219">
      <c r="A219" s="7" t="inlineStr">
        <is>
          <t>MD-00082</t>
        </is>
      </c>
      <c r="B219" s="7" t="inlineStr">
        <is>
          <t>2026-05-11</t>
        </is>
      </c>
      <c r="C219" s="7" t="inlineStr">
        <is>
          <t>Assignment/Transfer</t>
        </is>
      </c>
      <c r="D219" s="7" t="inlineStr">
        <is>
          <t>Central Receiving</t>
        </is>
      </c>
      <c r="E219" s="7" t="inlineStr">
        <is>
          <t>Return Carrier</t>
        </is>
      </c>
      <c r="F219" s="7" t="inlineStr">
        <is>
          <t>Carrier Network</t>
        </is>
      </c>
      <c r="G219" s="7" t="inlineStr">
        <is>
          <t>Transfer:TR-00082; Approval:APR-00082</t>
        </is>
      </c>
      <c r="H219" s="7" t="inlineStr">
        <is>
          <t>Confirmed Fact</t>
        </is>
      </c>
      <c r="I219" s="7" t="inlineStr">
        <is>
          <t>Recorded 22 May, received May 24. TR-00082.</t>
        </is>
      </c>
    </row>
    <row r="220">
      <c r="A220" s="7" t="inlineStr">
        <is>
          <t>MD-00082</t>
        </is>
      </c>
      <c r="B220" s="7" t="inlineStr">
        <is>
          <t>2026-05-24</t>
        </is>
      </c>
      <c r="C220" s="7" t="inlineStr">
        <is>
          <t>Offboarding Ticket</t>
        </is>
      </c>
      <c r="D220" s="7" t="inlineStr">
        <is>
          <t>E0095</t>
        </is>
      </c>
      <c r="E220" s="7" t="inlineStr">
        <is>
          <t>IT Service Desk</t>
        </is>
      </c>
      <c r="F220" s="7" t="inlineStr"/>
      <c r="G220" s="7" t="inlineStr">
        <is>
          <t>Ticket:OFF-00082; Status:Shipment Open</t>
        </is>
      </c>
      <c r="H220" s="7" t="inlineStr">
        <is>
          <t>Confirmed Fact</t>
        </is>
      </c>
      <c r="I220" s="7" t="inlineStr">
        <is>
          <t>OFF-00082 — Shipment Open. Due July 15, 2026.</t>
        </is>
      </c>
    </row>
    <row r="221">
      <c r="A221" s="7" t="inlineStr">
        <is>
          <t>MD-00082</t>
        </is>
      </c>
      <c r="B221" s="7" t="inlineStr">
        <is>
          <t>2026-05-24</t>
        </is>
      </c>
      <c r="C221" s="7" t="inlineStr">
        <is>
          <t>Technician Comment</t>
        </is>
      </c>
      <c r="D221" s="7" t="inlineStr">
        <is>
          <t>Service Desk</t>
        </is>
      </c>
      <c r="E221" s="7" t="inlineStr"/>
      <c r="F221" s="7" t="inlineStr"/>
      <c r="G221" s="7" t="inlineStr">
        <is>
          <t>Ticket:OFF-00082</t>
        </is>
      </c>
      <c r="H221" s="7" t="inlineStr">
        <is>
          <t>Technician Claim</t>
        </is>
      </c>
      <c r="I221" s="7" t="inlineStr">
        <is>
          <t>Second label requested after the first expired? Still no scan. Ref MD-00082.</t>
        </is>
      </c>
    </row>
    <row r="222">
      <c r="A222" s="7" t="inlineStr">
        <is>
          <t>MD-00082</t>
        </is>
      </c>
      <c r="B222" s="7" t="inlineStr">
        <is>
          <t>2026-06-25</t>
        </is>
      </c>
      <c r="C222" s="7" t="inlineStr">
        <is>
          <t>Return Label Created</t>
        </is>
      </c>
      <c r="D222" s="7" t="inlineStr">
        <is>
          <t>E0095</t>
        </is>
      </c>
      <c r="E222" s="7" t="inlineStr">
        <is>
          <t>Return Carrier</t>
        </is>
      </c>
      <c r="F222" s="7" t="inlineStr">
        <is>
          <t>Carrier Network</t>
        </is>
      </c>
      <c r="G222" s="7" t="inlineStr">
        <is>
          <t>Tracking:1ZMD00000082; Status:Exception</t>
        </is>
      </c>
      <c r="H222" s="7" t="inlineStr">
        <is>
          <t>Confirmed Fact</t>
        </is>
      </c>
      <c r="I222" s="7" t="inlineStr">
        <is>
          <t>I didn't close MD-00082 on the 1Z print. 1ZMD00000082.</t>
        </is>
      </c>
    </row>
    <row r="223">
      <c r="A223" s="7" t="inlineStr">
        <is>
          <t>MD-00082</t>
        </is>
      </c>
      <c r="B223" s="7" t="inlineStr">
        <is>
          <t>2026-07-02</t>
        </is>
      </c>
      <c r="C223" s="7" t="inlineStr">
        <is>
          <t>Carrier Acceptance</t>
        </is>
      </c>
      <c r="D223" s="7" t="inlineStr">
        <is>
          <t>Shipper</t>
        </is>
      </c>
      <c r="E223" s="7" t="inlineStr">
        <is>
          <t>Carrier</t>
        </is>
      </c>
      <c r="F223" s="7" t="inlineStr">
        <is>
          <t>Carrier Network</t>
        </is>
      </c>
      <c r="G223" s="7" t="inlineStr">
        <is>
          <t>Tracking:1ZMD00000082</t>
        </is>
      </c>
      <c r="H223" s="7" t="inlineStr">
        <is>
          <t>Confirmed Fact</t>
        </is>
      </c>
      <c r="I223" s="7" t="inlineStr">
        <is>
          <t>UPS/carrier take recorded for 1ZMD00000082.</t>
        </is>
      </c>
    </row>
    <row r="224">
      <c r="A224" s="7" t="inlineStr">
        <is>
          <t>MD-00082</t>
        </is>
      </c>
      <c r="B224" s="7" t="inlineStr">
        <is>
          <t>2026-06-25</t>
        </is>
      </c>
      <c r="C224" s="7" t="inlineStr">
        <is>
          <t>Shipment Exception</t>
        </is>
      </c>
      <c r="D224" s="7" t="inlineStr"/>
      <c r="E224" s="7" t="inlineStr"/>
      <c r="F224" s="7" t="inlineStr"/>
      <c r="G224" s="7" t="inlineStr">
        <is>
          <t>Tracking:1ZMD00000082</t>
        </is>
      </c>
      <c r="H224" s="7" t="inlineStr">
        <is>
          <t>Unresolved Assumption</t>
        </is>
      </c>
      <c r="I224" s="7" t="inlineStr">
        <is>
          <t>1ZMD00000082 / MISMATCH-0082 vs MD-MO-050082. Held.</t>
        </is>
      </c>
    </row>
    <row r="225">
      <c r="A225" s="7" t="inlineStr">
        <is>
          <t>MD-00082</t>
        </is>
      </c>
      <c r="B225" s="7" t="inlineStr">
        <is>
          <t>2026-08-09</t>
        </is>
      </c>
      <c r="C225" s="7" t="inlineStr">
        <is>
          <t>Dock Image Lead</t>
        </is>
      </c>
      <c r="D225" s="7" t="inlineStr">
        <is>
          <t>Atlanta Warehouse</t>
        </is>
      </c>
      <c r="E225" s="7" t="inlineStr"/>
      <c r="F225" s="7" t="inlineStr">
        <is>
          <t>Atlanta Warehouse</t>
        </is>
      </c>
      <c r="G225" s="7" t="inlineStr">
        <is>
          <t>Image:receiving_exception_scan_1ZMD00000082.png</t>
        </is>
      </c>
      <c r="H225" s="7" t="inlineStr">
        <is>
          <t>Technician Claim</t>
        </is>
      </c>
      <c r="I225" s="7" t="inlineStr">
        <is>
          <t>Atlanta photo receiving_exception_scan_1ZMD00000082.png shows HOLD / MISMATCH. Lead only — not a receiving clearance for MD-00082.</t>
        </is>
      </c>
    </row>
    <row r="226">
      <c r="A226" s="7" t="inlineStr">
        <is>
          <t>MD-00082</t>
        </is>
      </c>
      <c r="B226" s="7" t="inlineStr">
        <is>
          <t>2026-08-05</t>
        </is>
      </c>
      <c r="C226" s="7" t="inlineStr">
        <is>
          <t>Regional IT Note Lead</t>
        </is>
      </c>
      <c r="D226" s="7" t="inlineStr">
        <is>
          <t>Regional IT</t>
        </is>
      </c>
      <c r="E226" s="7" t="inlineStr"/>
      <c r="F226" s="7" t="inlineStr">
        <is>
          <t>Chicago - Closed</t>
        </is>
      </c>
      <c r="G226" s="7" t="inlineStr">
        <is>
          <t>regional_IT_notes.docx</t>
        </is>
      </c>
      <c r="H226" s="7" t="inlineStr">
        <is>
          <t>Technician Claim</t>
        </is>
      </c>
      <c r="I226" s="7" t="inlineStr">
        <is>
          <t>Closed-floor story in the notes. Ignored as clearance. (MD-00082-Regional IT Note Lead-226)</t>
        </is>
      </c>
    </row>
    <row r="227">
      <c r="A227" s="7" t="inlineStr">
        <is>
          <t>MD-00082</t>
        </is>
      </c>
      <c r="B227" s="7" t="inlineStr">
        <is>
          <t>2026-08-09</t>
        </is>
      </c>
      <c r="C227" s="7" t="inlineStr">
        <is>
          <t>Policy Control Figure</t>
        </is>
      </c>
      <c r="D227" s="7" t="inlineStr">
        <is>
          <t>ITAM-001</t>
        </is>
      </c>
      <c r="E227" s="7" t="inlineStr"/>
      <c r="F227" s="7" t="inlineStr"/>
      <c r="G227" s="7" t="inlineStr">
        <is>
          <t>ITAM_control_matrix.png; IT_asset_management_policy.pdf</t>
        </is>
      </c>
      <c r="H227" s="7" t="inlineStr">
        <is>
          <t>Confirmed Fact</t>
        </is>
      </c>
      <c r="I227" s="7" t="inlineStr">
        <is>
          <t>Return evidence bar for MD-00082 taken from ITAM_control_matrix.png; does not substitute for chain reference above.</t>
        </is>
      </c>
    </row>
    <row r="228">
      <c r="A228" s="7" t="inlineStr">
        <is>
          <t>MD-00082</t>
        </is>
      </c>
      <c r="B228" s="7" t="inlineStr">
        <is>
          <t>2026-08-09</t>
        </is>
      </c>
      <c r="C228" s="7" t="inlineStr">
        <is>
          <t>Reconciliation Conclusion</t>
        </is>
      </c>
      <c r="D228" s="7" t="inlineStr">
        <is>
          <t>Evidence review</t>
        </is>
      </c>
      <c r="E228" s="7" t="inlineStr">
        <is>
          <t>E0095</t>
        </is>
      </c>
      <c r="F228" s="7" t="inlineStr">
        <is>
          <t>Carrier Network / Unverified</t>
        </is>
      </c>
      <c r="G228" s="7" t="inlineStr">
        <is>
          <t>Tracking:1ZMD00000082; Ticket:OFF-00082; ShipmentSerial:MISMATCH-0082; RegisterSerial:MD-MO-050082; ImageLead:receiving_exception_scan_1ZMD00000082.png; PO:PO-2023-0014; Ledger:FA-000082; PolicyFigure:ITAM_control_matrix.png</t>
        </is>
      </c>
      <c r="H228" s="7" t="inlineStr">
        <is>
          <t>Unresolved Assumption</t>
        </is>
      </c>
      <c r="I228" s="7" t="inlineStr">
        <is>
          <t>Verified In Transit - Exception. EX-0092, EX-0093. Low. 1ZMD00000082 OFF-00082 MISMATCH-0082 MD-MO-050082 receiving_exception_scan_1ZMD00000082.png PO-2023-0014 FA-000082 ITAM_control_matrix.png</t>
        </is>
      </c>
    </row>
    <row r="229">
      <c r="A229" s="7" t="inlineStr">
        <is>
          <t>MD-00083</t>
        </is>
      </c>
      <c r="B229" s="7" t="inlineStr">
        <is>
          <t>2025-12-12</t>
        </is>
      </c>
      <c r="C229" s="7" t="inlineStr">
        <is>
          <t>Purchase</t>
        </is>
      </c>
      <c r="D229" s="7" t="inlineStr">
        <is>
          <t>Vendor</t>
        </is>
      </c>
      <c r="E229" s="7" t="inlineStr">
        <is>
          <t>Central Receiving</t>
        </is>
      </c>
      <c r="F229" s="7" t="inlineStr">
        <is>
          <t>Atlanta Warehouse</t>
        </is>
      </c>
      <c r="G229" s="7" t="inlineStr">
        <is>
          <t>PO:PO-2023-0014</t>
        </is>
      </c>
      <c r="H229" s="7" t="inlineStr">
        <is>
          <t>Confirmed Fact</t>
        </is>
      </c>
      <c r="I229" s="7" t="inlineStr">
        <is>
          <t>MD-00083 origin: PO-2023-0014, $1220.</t>
        </is>
      </c>
    </row>
    <row r="230">
      <c r="A230" s="7" t="inlineStr">
        <is>
          <t>MD-00083</t>
        </is>
      </c>
      <c r="B230" s="7" t="inlineStr">
        <is>
          <t>2026-06-12</t>
        </is>
      </c>
      <c r="C230" s="7" t="inlineStr">
        <is>
          <t>Assignment/Transfer</t>
        </is>
      </c>
      <c r="D230" s="7" t="inlineStr">
        <is>
          <t>Central Receiving</t>
        </is>
      </c>
      <c r="E230" s="7" t="inlineStr">
        <is>
          <t>Return Carrier</t>
        </is>
      </c>
      <c r="F230" s="7" t="inlineStr">
        <is>
          <t>Carrier Network</t>
        </is>
      </c>
      <c r="G230" s="7" t="inlineStr">
        <is>
          <t>Transfer:TR-00083; Approval:APR-00083</t>
        </is>
      </c>
      <c r="H230" s="7" t="inlineStr">
        <is>
          <t>Confirmed Fact</t>
        </is>
      </c>
      <c r="I230" s="7" t="inlineStr">
        <is>
          <t>TR-00083 6/26; inbound 6/27/26.</t>
        </is>
      </c>
    </row>
    <row r="231">
      <c r="A231" s="7" t="inlineStr">
        <is>
          <t>MD-00083</t>
        </is>
      </c>
      <c r="B231" s="7" t="inlineStr">
        <is>
          <t>2026-05-24</t>
        </is>
      </c>
      <c r="C231" s="7" t="inlineStr">
        <is>
          <t>Offboarding Ticket</t>
        </is>
      </c>
      <c r="D231" s="7" t="inlineStr">
        <is>
          <t>E0071</t>
        </is>
      </c>
      <c r="E231" s="7" t="inlineStr">
        <is>
          <t>IT Service Desk</t>
        </is>
      </c>
      <c r="F231" s="7" t="inlineStr"/>
      <c r="G231" s="7" t="inlineStr">
        <is>
          <t>Ticket:OFF-00083; Status:Shipment Open</t>
        </is>
      </c>
      <c r="H231" s="7" t="inlineStr">
        <is>
          <t>Confirmed Fact</t>
        </is>
      </c>
      <c r="I231" s="7" t="inlineStr">
        <is>
          <t>MD-00083 tied to OFF-00083 (Shipment Open). SLA 2026-07-15.</t>
        </is>
      </c>
    </row>
    <row r="232">
      <c r="A232" s="7" t="inlineStr">
        <is>
          <t>MD-00083</t>
        </is>
      </c>
      <c r="B232" s="7" t="inlineStr">
        <is>
          <t>2026-05-24</t>
        </is>
      </c>
      <c r="C232" s="7" t="inlineStr">
        <is>
          <t>Technician Comment</t>
        </is>
      </c>
      <c r="D232" s="7" t="inlineStr">
        <is>
          <t>Service Desk</t>
        </is>
      </c>
      <c r="E232" s="7" t="inlineStr"/>
      <c r="F232" s="7" t="inlineStr"/>
      <c r="G232" s="7" t="inlineStr">
        <is>
          <t>Ticket:OFF-00083</t>
        </is>
      </c>
      <c r="H232" s="7" t="inlineStr">
        <is>
          <t>Technician Claim</t>
        </is>
      </c>
      <c r="I232" s="7" t="inlineStr">
        <is>
          <t>Asset is a network brick; return freight is the delay. Ref MD-00083.</t>
        </is>
      </c>
    </row>
    <row r="233">
      <c r="A233" s="7" t="inlineStr">
        <is>
          <t>MD-00083</t>
        </is>
      </c>
      <c r="B233" s="7" t="inlineStr">
        <is>
          <t>2026-06-25</t>
        </is>
      </c>
      <c r="C233" s="7" t="inlineStr">
        <is>
          <t>Return Label Created</t>
        </is>
      </c>
      <c r="D233" s="7" t="inlineStr">
        <is>
          <t>E0071</t>
        </is>
      </c>
      <c r="E233" s="7" t="inlineStr">
        <is>
          <t>Return Carrier</t>
        </is>
      </c>
      <c r="F233" s="7" t="inlineStr">
        <is>
          <t>Carrier Network</t>
        </is>
      </c>
      <c r="G233" s="7" t="inlineStr">
        <is>
          <t>Tracking:1ZMD00000083; Status:Delivered</t>
        </is>
      </c>
      <c r="H233" s="7" t="inlineStr">
        <is>
          <t>Confirmed Fact</t>
        </is>
      </c>
      <c r="I233" s="7" t="inlineStr">
        <is>
          <t>Prepaid label 1ZMD00000083 exists. Carrier never accepted it.</t>
        </is>
      </c>
    </row>
    <row r="234">
      <c r="A234" s="7" t="inlineStr">
        <is>
          <t>MD-00083</t>
        </is>
      </c>
      <c r="B234" s="7" t="inlineStr">
        <is>
          <t>2026-07-02</t>
        </is>
      </c>
      <c r="C234" s="7" t="inlineStr">
        <is>
          <t>Carrier Acceptance</t>
        </is>
      </c>
      <c r="D234" s="7" t="inlineStr">
        <is>
          <t>Shipper</t>
        </is>
      </c>
      <c r="E234" s="7" t="inlineStr">
        <is>
          <t>Carrier</t>
        </is>
      </c>
      <c r="F234" s="7" t="inlineStr">
        <is>
          <t>Carrier Network</t>
        </is>
      </c>
      <c r="G234" s="7" t="inlineStr">
        <is>
          <t>Tracking:1ZMD00000083</t>
        </is>
      </c>
      <c r="H234" s="7" t="inlineStr">
        <is>
          <t>Confirmed Fact</t>
        </is>
      </c>
      <c r="I234" s="7" t="inlineStr">
        <is>
          <t>1ZMD00000083 picked up (acceptance on file).</t>
        </is>
      </c>
    </row>
    <row r="235">
      <c r="A235" s="7" t="inlineStr">
        <is>
          <t>MD-00083</t>
        </is>
      </c>
      <c r="B235" s="7" t="inlineStr">
        <is>
          <t>2026-07-06</t>
        </is>
      </c>
      <c r="C235" s="7" t="inlineStr">
        <is>
          <t>Delivery</t>
        </is>
      </c>
      <c r="D235" s="7" t="inlineStr">
        <is>
          <t>Carrier</t>
        </is>
      </c>
      <c r="E235" s="7" t="inlineStr">
        <is>
          <t>Receiving</t>
        </is>
      </c>
      <c r="F235" s="7" t="inlineStr">
        <is>
          <t>Atlanta Warehouse</t>
        </is>
      </c>
      <c r="G235" s="7" t="inlineStr">
        <is>
          <t>Tracking:1ZMD00000083</t>
        </is>
      </c>
      <c r="H235" s="7" t="inlineStr">
        <is>
          <t>Confirmed Fact</t>
        </is>
      </c>
      <c r="I235" s="7" t="inlineStr">
        <is>
          <t>Delivered — 1ZMD00000083. Still need a receiving scan to finish returns.</t>
        </is>
      </c>
    </row>
    <row r="236">
      <c r="A236" s="7" t="inlineStr">
        <is>
          <t>MD-00083</t>
        </is>
      </c>
      <c r="B236" s="7" t="inlineStr">
        <is>
          <t>2026-07-07</t>
        </is>
      </c>
      <c r="C236" s="7" t="inlineStr">
        <is>
          <t>Receiving Scan</t>
        </is>
      </c>
      <c r="D236" s="7" t="inlineStr">
        <is>
          <t>Carrier</t>
        </is>
      </c>
      <c r="E236" s="7" t="inlineStr">
        <is>
          <t>IT Stock</t>
        </is>
      </c>
      <c r="F236" s="7" t="inlineStr">
        <is>
          <t>Atlanta Warehouse</t>
        </is>
      </c>
      <c r="G236" s="7" t="inlineStr">
        <is>
          <t>Tracking:1ZMD00000083</t>
        </is>
      </c>
      <c r="H236" s="7" t="inlineStr">
        <is>
          <t>Confirmed Fact</t>
        </is>
      </c>
      <c r="I236" s="7" t="inlineStr">
        <is>
          <t>Dock scan on 1ZMD00000083.</t>
        </is>
      </c>
    </row>
    <row r="237">
      <c r="A237" s="7" t="inlineStr">
        <is>
          <t>MD-00083</t>
        </is>
      </c>
      <c r="B237" s="7" t="inlineStr">
        <is>
          <t>2026-08-05</t>
        </is>
      </c>
      <c r="C237" s="7" t="inlineStr">
        <is>
          <t>Regional IT Note Lead</t>
        </is>
      </c>
      <c r="D237" s="7" t="inlineStr">
        <is>
          <t>Regional IT</t>
        </is>
      </c>
      <c r="E237" s="7" t="inlineStr"/>
      <c r="F237" s="7" t="inlineStr">
        <is>
          <t>Denver - Closed</t>
        </is>
      </c>
      <c r="G237" s="7" t="inlineStr">
        <is>
          <t>regional_IT_notes.docx</t>
        </is>
      </c>
      <c r="H237" s="7" t="inlineStr">
        <is>
          <t>Technician Claim</t>
        </is>
      </c>
      <c r="I237" s="7" t="inlineStr">
        <is>
          <t>regional_IT_notes.docx is in the packet. Weight = lead only (MD-00083).</t>
        </is>
      </c>
    </row>
    <row r="238">
      <c r="A238" s="7" t="inlineStr">
        <is>
          <t>MD-00083</t>
        </is>
      </c>
      <c r="B238" s="7" t="inlineStr">
        <is>
          <t>2026-08-09</t>
        </is>
      </c>
      <c r="C238" s="7" t="inlineStr">
        <is>
          <t>Policy Control Figure</t>
        </is>
      </c>
      <c r="D238" s="7" t="inlineStr">
        <is>
          <t>ITAM-001</t>
        </is>
      </c>
      <c r="E238" s="7" t="inlineStr"/>
      <c r="F238" s="7" t="inlineStr"/>
      <c r="G238" s="7" t="inlineStr">
        <is>
          <t>ITAM_control_matrix.png; IT_asset_management_policy.pdf</t>
        </is>
      </c>
      <c r="H238" s="7" t="inlineStr">
        <is>
          <t>Confirmed Fact</t>
        </is>
      </c>
      <c r="I238" s="7" t="inlineStr">
        <is>
          <t>Matrix appendix cited for MD-00083 under Disposal; technician notes cannot override chain reference above.</t>
        </is>
      </c>
    </row>
    <row r="239">
      <c r="A239" s="7" t="inlineStr">
        <is>
          <t>MD-00083</t>
        </is>
      </c>
      <c r="B239" s="7" t="inlineStr">
        <is>
          <t>2026-08-09</t>
        </is>
      </c>
      <c r="C239" s="7" t="inlineStr">
        <is>
          <t>Reconciliation Conclusion</t>
        </is>
      </c>
      <c r="D239" s="7" t="inlineStr">
        <is>
          <t>Evidence review</t>
        </is>
      </c>
      <c r="E239" s="7" t="inlineStr">
        <is>
          <t>IT Stock</t>
        </is>
      </c>
      <c r="F239" s="7" t="inlineStr">
        <is>
          <t>Atlanta Warehouse</t>
        </is>
      </c>
      <c r="G239" s="7" t="inlineStr">
        <is>
          <t>Tracking:1ZMD00000083; Ticket:OFF-00083; Transfer:TR-00083; ReceivingScan:2026-07-07; PO:PO-2023-0014; Ledger:FA-000083; PolicyFigure:ITAM_control_matrix.png</t>
        </is>
      </c>
      <c r="H239" s="7" t="inlineStr">
        <is>
          <t>Confirmed Fact</t>
        </is>
      </c>
      <c r="I239" s="7" t="inlineStr">
        <is>
          <t>Wrap: MD-00083 Available. EX-0094. 1ZMD00000083 OFF-00083 TR-00083 PO-2023-0014 FA-000083 ITAM_control_matrix.png</t>
        </is>
      </c>
    </row>
    <row r="240">
      <c r="A240" s="7" t="inlineStr">
        <is>
          <t>MD-00084</t>
        </is>
      </c>
      <c r="B240" s="7" t="inlineStr">
        <is>
          <t>2022-01-13</t>
        </is>
      </c>
      <c r="C240" s="7" t="inlineStr">
        <is>
          <t>Purchase</t>
        </is>
      </c>
      <c r="D240" s="7" t="inlineStr">
        <is>
          <t>Vendor</t>
        </is>
      </c>
      <c r="E240" s="7" t="inlineStr">
        <is>
          <t>Central Receiving</t>
        </is>
      </c>
      <c r="F240" s="7" t="inlineStr">
        <is>
          <t>Atlanta Warehouse</t>
        </is>
      </c>
      <c r="G240" s="7" t="inlineStr">
        <is>
          <t>PO:PO-2023-0014</t>
        </is>
      </c>
      <c r="H240" s="7" t="inlineStr">
        <is>
          <t>Confirmed Fact</t>
        </is>
      </c>
      <c r="I240" s="7" t="inlineStr">
        <is>
          <t>PO-2023-0014: Cisco C9300 at $6200.</t>
        </is>
      </c>
    </row>
    <row r="241">
      <c r="A241" s="7" t="inlineStr">
        <is>
          <t>MD-00084</t>
        </is>
      </c>
      <c r="B241" s="7" t="inlineStr">
        <is>
          <t>2026-01-13</t>
        </is>
      </c>
      <c r="C241" s="7" t="inlineStr">
        <is>
          <t>Assignment/Transfer</t>
        </is>
      </c>
      <c r="D241" s="7" t="inlineStr">
        <is>
          <t>Central Receiving</t>
        </is>
      </c>
      <c r="E241" s="7" t="inlineStr">
        <is>
          <t>Return Carrier</t>
        </is>
      </c>
      <c r="F241" s="7" t="inlineStr">
        <is>
          <t>Carrier Network</t>
        </is>
      </c>
      <c r="G241" s="7" t="inlineStr">
        <is>
          <t>Transfer:TR-00084; Approval:APR-00084</t>
        </is>
      </c>
      <c r="H241" s="7" t="inlineStr">
        <is>
          <t>Confirmed Fact</t>
        </is>
      </c>
      <c r="I241" s="7" t="inlineStr">
        <is>
          <t>Moved to Return Carrier in Carrier Network on TR-00084. Received February 5, 2026.</t>
        </is>
      </c>
    </row>
    <row r="242">
      <c r="A242" s="7" t="inlineStr">
        <is>
          <t>MD-00084</t>
        </is>
      </c>
      <c r="B242" s="7" t="inlineStr">
        <is>
          <t>2026-06-01</t>
        </is>
      </c>
      <c r="C242" s="7" t="inlineStr">
        <is>
          <t>Offboarding Ticket</t>
        </is>
      </c>
      <c r="D242" s="7" t="inlineStr">
        <is>
          <t>E0072</t>
        </is>
      </c>
      <c r="E242" s="7" t="inlineStr">
        <is>
          <t>IT Service Desk</t>
        </is>
      </c>
      <c r="F242" s="7" t="inlineStr"/>
      <c r="G242" s="7" t="inlineStr">
        <is>
          <t>Ticket:OFF-00084; Status:Shipment Open</t>
        </is>
      </c>
      <c r="H242" s="7" t="inlineStr">
        <is>
          <t>Confirmed Fact</t>
        </is>
      </c>
      <c r="I242" s="7" t="inlineStr">
        <is>
          <t>OFF-00084 sits Shipment Open. Hardware return was required. 15 Jul.</t>
        </is>
      </c>
    </row>
    <row r="243">
      <c r="A243" s="7" t="inlineStr">
        <is>
          <t>MD-00084</t>
        </is>
      </c>
      <c r="B243" s="7" t="inlineStr">
        <is>
          <t>2026-06-01</t>
        </is>
      </c>
      <c r="C243" s="7" t="inlineStr">
        <is>
          <t>Technician Comment</t>
        </is>
      </c>
      <c r="D243" s="7" t="inlineStr">
        <is>
          <t>Service Desk</t>
        </is>
      </c>
      <c r="E243" s="7" t="inlineStr"/>
      <c r="F243" s="7" t="inlineStr"/>
      <c r="G243" s="7" t="inlineStr">
        <is>
          <t>Ticket:OFF-00084</t>
        </is>
      </c>
      <c r="H243" s="7" t="inlineStr">
        <is>
          <t>Technician Claim</t>
        </is>
      </c>
      <c r="I243" s="7" t="inlineStr">
        <is>
          <t>Noted in Teams: 'I dropped it at the lobby.' Lobby has no intake log. Ref MD-00084.</t>
        </is>
      </c>
    </row>
    <row r="244">
      <c r="A244" s="7" t="inlineStr">
        <is>
          <t>MD-00084</t>
        </is>
      </c>
      <c r="B244" s="7" t="inlineStr">
        <is>
          <t>2026-06-25</t>
        </is>
      </c>
      <c r="C244" s="7" t="inlineStr">
        <is>
          <t>Return Label Created</t>
        </is>
      </c>
      <c r="D244" s="7" t="inlineStr">
        <is>
          <t>E0072</t>
        </is>
      </c>
      <c r="E244" s="7" t="inlineStr">
        <is>
          <t>Return Carrier</t>
        </is>
      </c>
      <c r="F244" s="7" t="inlineStr">
        <is>
          <t>Carrier Network</t>
        </is>
      </c>
      <c r="G244" s="7" t="inlineStr">
        <is>
          <t>Tracking:1ZMD00000084; Status:Exception</t>
        </is>
      </c>
      <c r="H244" s="7" t="inlineStr">
        <is>
          <t>Confirmed Fact</t>
        </is>
      </c>
      <c r="I244" s="7" t="inlineStr">
        <is>
          <t>§5: label ≠ returned. 1ZMD00000084 / MD-NE-050084.</t>
        </is>
      </c>
    </row>
    <row r="245">
      <c r="A245" s="7" t="inlineStr">
        <is>
          <t>MD-00084</t>
        </is>
      </c>
      <c r="B245" s="7" t="inlineStr">
        <is>
          <t>2026-07-02</t>
        </is>
      </c>
      <c r="C245" s="7" t="inlineStr">
        <is>
          <t>Carrier Acceptance</t>
        </is>
      </c>
      <c r="D245" s="7" t="inlineStr">
        <is>
          <t>Shipper</t>
        </is>
      </c>
      <c r="E245" s="7" t="inlineStr">
        <is>
          <t>Carrier</t>
        </is>
      </c>
      <c r="F245" s="7" t="inlineStr">
        <is>
          <t>Carrier Network</t>
        </is>
      </c>
      <c r="G245" s="7" t="inlineStr">
        <is>
          <t>Tracking:1ZMD00000084</t>
        </is>
      </c>
      <c r="H245" s="7" t="inlineStr">
        <is>
          <t>Confirmed Fact</t>
        </is>
      </c>
      <c r="I245" s="7" t="inlineStr">
        <is>
          <t>Acceptance event on 1ZMD00000084.</t>
        </is>
      </c>
    </row>
    <row r="246">
      <c r="A246" s="7" t="inlineStr">
        <is>
          <t>MD-00084</t>
        </is>
      </c>
      <c r="B246" s="7" t="inlineStr">
        <is>
          <t>2026-06-25</t>
        </is>
      </c>
      <c r="C246" s="7" t="inlineStr">
        <is>
          <t>Shipment Exception</t>
        </is>
      </c>
      <c r="D246" s="7" t="inlineStr"/>
      <c r="E246" s="7" t="inlineStr"/>
      <c r="F246" s="7" t="inlineStr"/>
      <c r="G246" s="7" t="inlineStr">
        <is>
          <t>Tracking:1ZMD00000084</t>
        </is>
      </c>
      <c r="H246" s="7" t="inlineStr">
        <is>
          <t>Unresolved Assumption</t>
        </is>
      </c>
      <c r="I246" s="7" t="inlineStr">
        <is>
          <t>Carrier exception. Register serial MD-NE-050084 didn't show up on the parcel record.</t>
        </is>
      </c>
    </row>
    <row r="247">
      <c r="A247" s="7" t="inlineStr">
        <is>
          <t>MD-00084</t>
        </is>
      </c>
      <c r="B247" s="7" t="inlineStr">
        <is>
          <t>2026-08-05</t>
        </is>
      </c>
      <c r="C247" s="7" t="inlineStr">
        <is>
          <t>Regional IT Note Lead</t>
        </is>
      </c>
      <c r="D247" s="7" t="inlineStr">
        <is>
          <t>Regional IT</t>
        </is>
      </c>
      <c r="E247" s="7" t="inlineStr"/>
      <c r="F247" s="7" t="inlineStr">
        <is>
          <t>Chicago - Closed</t>
        </is>
      </c>
      <c r="G247" s="7" t="inlineStr">
        <is>
          <t>regional_IT_notes.docx</t>
        </is>
      </c>
      <c r="H247" s="7" t="inlineStr">
        <is>
          <t>Technician Claim</t>
        </is>
      </c>
      <c r="I247" s="7" t="inlineStr">
        <is>
          <t>regional_IT_notes.docx is in the packet. Weight = lead only (MD-00084).</t>
        </is>
      </c>
    </row>
    <row r="248">
      <c r="A248" s="7" t="inlineStr">
        <is>
          <t>MD-00084</t>
        </is>
      </c>
      <c r="B248" s="7" t="inlineStr">
        <is>
          <t>2026-08-09</t>
        </is>
      </c>
      <c r="C248" s="7" t="inlineStr">
        <is>
          <t>Policy Control Figure</t>
        </is>
      </c>
      <c r="D248" s="7" t="inlineStr">
        <is>
          <t>ITAM-001</t>
        </is>
      </c>
      <c r="E248" s="7" t="inlineStr"/>
      <c r="F248" s="7" t="inlineStr"/>
      <c r="G248" s="7" t="inlineStr">
        <is>
          <t>ITAM_control_matrix.png; IT_asset_management_policy.pdf</t>
        </is>
      </c>
      <c r="H248" s="7" t="inlineStr">
        <is>
          <t>Confirmed Fact</t>
        </is>
      </c>
      <c r="I248" s="7" t="inlineStr">
        <is>
          <t>MD-00084: matrix row Disposal defines acceptable proof; chain reference above is what was reviewed.</t>
        </is>
      </c>
    </row>
    <row r="249">
      <c r="A249" s="7" t="inlineStr">
        <is>
          <t>MD-00084</t>
        </is>
      </c>
      <c r="B249" s="7" t="inlineStr">
        <is>
          <t>2026-08-09</t>
        </is>
      </c>
      <c r="C249" s="7" t="inlineStr">
        <is>
          <t>Reconciliation Conclusion</t>
        </is>
      </c>
      <c r="D249" s="7" t="inlineStr">
        <is>
          <t>Evidence review</t>
        </is>
      </c>
      <c r="E249" s="7" t="inlineStr">
        <is>
          <t>E0072</t>
        </is>
      </c>
      <c r="F249" s="7" t="inlineStr">
        <is>
          <t>Carrier Network / Unverified</t>
        </is>
      </c>
      <c r="G249" s="7" t="inlineStr">
        <is>
          <t>Tracking:1ZMD00000084; Ticket:OFF-00084; ShipmentSerial:MISMATCH-0084; RegisterSerial:MD-NE-050084; PO:PO-2023-0014; Ledger:FA-000084; PolicyFigure:ITAM_control_matrix.png</t>
        </is>
      </c>
      <c r="H249" s="7" t="inlineStr">
        <is>
          <t>Unresolved Assumption</t>
        </is>
      </c>
      <c r="I249" s="7" t="inlineStr">
        <is>
          <t>MD-00084 → In Transit - Exception. Confidence Low. EX-0095, EX-0096. 1ZMD00000084 OFF-00084 MISMATCH-0084 MD-NE-050084 PO-2023-0014 FA-000084 ITAM_control_matrix.png</t>
        </is>
      </c>
    </row>
    <row r="250">
      <c r="A250" s="7" t="inlineStr">
        <is>
          <t>MD-00085</t>
        </is>
      </c>
      <c r="B250" s="7" t="inlineStr">
        <is>
          <t>2023-02-14</t>
        </is>
      </c>
      <c r="C250" s="7" t="inlineStr">
        <is>
          <t>Purchase</t>
        </is>
      </c>
      <c r="D250" s="7" t="inlineStr">
        <is>
          <t>Vendor</t>
        </is>
      </c>
      <c r="E250" s="7" t="inlineStr">
        <is>
          <t>Central Receiving</t>
        </is>
      </c>
      <c r="F250" s="7" t="inlineStr">
        <is>
          <t>Atlanta Warehouse</t>
        </is>
      </c>
      <c r="G250" s="7" t="inlineStr">
        <is>
          <t>PO:PO-2024-0015</t>
        </is>
      </c>
      <c r="H250" s="7" t="inlineStr">
        <is>
          <t>Confirmed Fact</t>
        </is>
      </c>
      <c r="I250" s="7" t="inlineStr">
        <is>
          <t>PO-2024-0015: Lenovo ThinkPad T14 at $1895.</t>
        </is>
      </c>
    </row>
    <row r="251">
      <c r="A251" s="7" t="inlineStr">
        <is>
          <t>MD-00085</t>
        </is>
      </c>
      <c r="B251" s="7" t="inlineStr">
        <is>
          <t>2026-02-14</t>
        </is>
      </c>
      <c r="C251" s="7" t="inlineStr">
        <is>
          <t>Assignment/Transfer</t>
        </is>
      </c>
      <c r="D251" s="7" t="inlineStr">
        <is>
          <t>Central Receiving</t>
        </is>
      </c>
      <c r="E251" s="7" t="inlineStr">
        <is>
          <t>Return Carrier</t>
        </is>
      </c>
      <c r="F251" s="7" t="inlineStr">
        <is>
          <t>Carrier Network</t>
        </is>
      </c>
      <c r="G251" s="7" t="inlineStr">
        <is>
          <t>Transfer:TR-00085; Approval:APR-00085</t>
        </is>
      </c>
      <c r="H251" s="7" t="inlineStr">
        <is>
          <t>Confirmed Fact</t>
        </is>
      </c>
      <c r="I251" s="7" t="inlineStr">
        <is>
          <t>Moved to Return Carrier in Carrier Network on TR-00085. Received 2/3/26.</t>
        </is>
      </c>
    </row>
    <row r="252">
      <c r="A252" s="7" t="inlineStr">
        <is>
          <t>MD-00085</t>
        </is>
      </c>
      <c r="B252" s="7" t="inlineStr">
        <is>
          <t>2026-05-02</t>
        </is>
      </c>
      <c r="C252" s="7" t="inlineStr">
        <is>
          <t>Offboarding Ticket</t>
        </is>
      </c>
      <c r="D252" s="7" t="inlineStr">
        <is>
          <t>E0073</t>
        </is>
      </c>
      <c r="E252" s="7" t="inlineStr">
        <is>
          <t>IT Service Desk</t>
        </is>
      </c>
      <c r="F252" s="7" t="inlineStr"/>
      <c r="G252" s="7" t="inlineStr">
        <is>
          <t>Ticket:OFF-00085; Status:Shipment Open</t>
        </is>
      </c>
      <c r="H252" s="7" t="inlineStr">
        <is>
          <t>Confirmed Fact</t>
        </is>
      </c>
      <c r="I252" s="7" t="inlineStr">
        <is>
          <t>OFF-00085 — Shipment Open. Due 2026-07-15.</t>
        </is>
      </c>
    </row>
    <row r="253">
      <c r="A253" s="7" t="inlineStr">
        <is>
          <t>MD-00085</t>
        </is>
      </c>
      <c r="B253" s="7" t="inlineStr">
        <is>
          <t>2026-05-02</t>
        </is>
      </c>
      <c r="C253" s="7" t="inlineStr">
        <is>
          <t>Technician Comment</t>
        </is>
      </c>
      <c r="D253" s="7" t="inlineStr">
        <is>
          <t>Service Desk</t>
        </is>
      </c>
      <c r="E253" s="7" t="inlineStr"/>
      <c r="F253" s="7" t="inlineStr"/>
      <c r="G253" s="7" t="inlineStr">
        <is>
          <t>Ticket:OFF-00085</t>
        </is>
      </c>
      <c r="H253" s="7" t="inlineStr">
        <is>
          <t>Technician Claim</t>
        </is>
      </c>
      <c r="I253" s="7" t="inlineStr">
        <is>
          <t>Open until receiving matches tag and serial. Ref MD-00085.</t>
        </is>
      </c>
    </row>
    <row r="254">
      <c r="A254" s="7" t="inlineStr">
        <is>
          <t>MD-00085</t>
        </is>
      </c>
      <c r="B254" s="7" t="inlineStr">
        <is>
          <t>2026-06-25</t>
        </is>
      </c>
      <c r="C254" s="7" t="inlineStr">
        <is>
          <t>Return Label Created</t>
        </is>
      </c>
      <c r="D254" s="7" t="inlineStr">
        <is>
          <t>E0073</t>
        </is>
      </c>
      <c r="E254" s="7" t="inlineStr">
        <is>
          <t>Return Carrier</t>
        </is>
      </c>
      <c r="F254" s="7" t="inlineStr">
        <is>
          <t>Carrier Network</t>
        </is>
      </c>
      <c r="G254" s="7" t="inlineStr">
        <is>
          <t>Tracking:1ZMD00000085; Status:Delivered</t>
        </is>
      </c>
      <c r="H254" s="7" t="inlineStr">
        <is>
          <t>Confirmed Fact</t>
        </is>
      </c>
      <c r="I254" s="7" t="inlineStr">
        <is>
          <t>I didn't close MD-00085 on the 1Z print. 1ZMD00000085.</t>
        </is>
      </c>
    </row>
    <row r="255">
      <c r="A255" s="7" t="inlineStr">
        <is>
          <t>MD-00085</t>
        </is>
      </c>
      <c r="B255" s="7" t="inlineStr">
        <is>
          <t>2026-07-02</t>
        </is>
      </c>
      <c r="C255" s="7" t="inlineStr">
        <is>
          <t>Carrier Acceptance</t>
        </is>
      </c>
      <c r="D255" s="7" t="inlineStr">
        <is>
          <t>Shipper</t>
        </is>
      </c>
      <c r="E255" s="7" t="inlineStr">
        <is>
          <t>Carrier</t>
        </is>
      </c>
      <c r="F255" s="7" t="inlineStr">
        <is>
          <t>Carrier Network</t>
        </is>
      </c>
      <c r="G255" s="7" t="inlineStr">
        <is>
          <t>Tracking:1ZMD00000085</t>
        </is>
      </c>
      <c r="H255" s="7" t="inlineStr">
        <is>
          <t>Confirmed Fact</t>
        </is>
      </c>
      <c r="I255" s="7" t="inlineStr">
        <is>
          <t>UPS/carrier take recorded for 1ZMD00000085.</t>
        </is>
      </c>
    </row>
    <row r="256">
      <c r="A256" s="7" t="inlineStr">
        <is>
          <t>MD-00085</t>
        </is>
      </c>
      <c r="B256" s="7" t="inlineStr">
        <is>
          <t>2026-07-06</t>
        </is>
      </c>
      <c r="C256" s="7" t="inlineStr">
        <is>
          <t>Delivery</t>
        </is>
      </c>
      <c r="D256" s="7" t="inlineStr">
        <is>
          <t>Carrier</t>
        </is>
      </c>
      <c r="E256" s="7" t="inlineStr">
        <is>
          <t>Receiving</t>
        </is>
      </c>
      <c r="F256" s="7" t="inlineStr">
        <is>
          <t>Atlanta Warehouse</t>
        </is>
      </c>
      <c r="G256" s="7" t="inlineStr">
        <is>
          <t>Tracking:1ZMD00000085</t>
        </is>
      </c>
      <c r="H256" s="7" t="inlineStr">
        <is>
          <t>Confirmed Fact</t>
        </is>
      </c>
      <c r="I256" s="7" t="inlineStr">
        <is>
          <t>Delivery posted on 1ZMD00000085.</t>
        </is>
      </c>
    </row>
    <row r="257">
      <c r="A257" s="7" t="inlineStr">
        <is>
          <t>MD-00085</t>
        </is>
      </c>
      <c r="B257" s="7" t="inlineStr">
        <is>
          <t>2026-07-07</t>
        </is>
      </c>
      <c r="C257" s="7" t="inlineStr">
        <is>
          <t>Receiving Scan</t>
        </is>
      </c>
      <c r="D257" s="7" t="inlineStr">
        <is>
          <t>Carrier</t>
        </is>
      </c>
      <c r="E257" s="7" t="inlineStr">
        <is>
          <t>IT Stock</t>
        </is>
      </c>
      <c r="F257" s="7" t="inlineStr">
        <is>
          <t>Atlanta Warehouse</t>
        </is>
      </c>
      <c r="G257" s="7" t="inlineStr">
        <is>
          <t>Tracking:1ZMD00000085</t>
        </is>
      </c>
      <c r="H257" s="7" t="inlineStr">
        <is>
          <t>Confirmed Fact</t>
        </is>
      </c>
      <c r="I257" s="7" t="inlineStr">
        <is>
          <t>Receiving scanned 1ZMD00000085.</t>
        </is>
      </c>
    </row>
    <row r="258">
      <c r="A258" s="7" t="inlineStr">
        <is>
          <t>MD-00085</t>
        </is>
      </c>
      <c r="B258" s="7" t="inlineStr">
        <is>
          <t>2026-08-05</t>
        </is>
      </c>
      <c r="C258" s="7" t="inlineStr">
        <is>
          <t>Regional IT Note Lead</t>
        </is>
      </c>
      <c r="D258" s="7" t="inlineStr">
        <is>
          <t>Regional IT</t>
        </is>
      </c>
      <c r="E258" s="7" t="inlineStr"/>
      <c r="F258" s="7" t="inlineStr">
        <is>
          <t>Denver - Closed</t>
        </is>
      </c>
      <c r="G258" s="7" t="inlineStr">
        <is>
          <t>regional_IT_notes.docx</t>
        </is>
      </c>
      <c r="H258" s="7" t="inlineStr">
        <is>
          <t>Technician Claim</t>
        </is>
      </c>
      <c r="I258" s="7" t="inlineStr">
        <is>
          <t>Note exists. Corroboration doesn't. MD-00085.</t>
        </is>
      </c>
    </row>
    <row r="259">
      <c r="A259" s="7" t="inlineStr">
        <is>
          <t>MD-00085</t>
        </is>
      </c>
      <c r="B259" s="7" t="inlineStr">
        <is>
          <t>2026-08-09</t>
        </is>
      </c>
      <c r="C259" s="7" t="inlineStr">
        <is>
          <t>Policy Control Figure</t>
        </is>
      </c>
      <c r="D259" s="7" t="inlineStr">
        <is>
          <t>ITAM-001</t>
        </is>
      </c>
      <c r="E259" s="7" t="inlineStr"/>
      <c r="F259" s="7" t="inlineStr"/>
      <c r="G259" s="7" t="inlineStr">
        <is>
          <t>ITAM_control_matrix.png; IT_asset_management_policy.pdf</t>
        </is>
      </c>
      <c r="H259" s="7" t="inlineStr">
        <is>
          <t>Confirmed Fact</t>
        </is>
      </c>
      <c r="I259" s="7" t="inlineStr">
        <is>
          <t>MD-00085 scored against the financial column in the control matrix; chain reference above carries the weight.</t>
        </is>
      </c>
    </row>
    <row r="260">
      <c r="A260" s="7" t="inlineStr">
        <is>
          <t>MD-00085</t>
        </is>
      </c>
      <c r="B260" s="7" t="inlineStr">
        <is>
          <t>2026-08-09</t>
        </is>
      </c>
      <c r="C260" s="7" t="inlineStr">
        <is>
          <t>Reconciliation Conclusion</t>
        </is>
      </c>
      <c r="D260" s="7" t="inlineStr">
        <is>
          <t>Evidence review</t>
        </is>
      </c>
      <c r="E260" s="7" t="inlineStr">
        <is>
          <t>IT Stock</t>
        </is>
      </c>
      <c r="F260" s="7" t="inlineStr">
        <is>
          <t>Atlanta Warehouse</t>
        </is>
      </c>
      <c r="G260" s="7" t="inlineStr">
        <is>
          <t>Tracking:1ZMD00000085; Ticket:OFF-00085; Transfer:TR-00085; ReceivingScan:2026-07-07; PO:PO-2024-0015; Ledger:FA-000085; PolicyFigure:ITAM_control_matrix.png</t>
        </is>
      </c>
      <c r="H260" s="7" t="inlineStr">
        <is>
          <t>Confirmed Fact</t>
        </is>
      </c>
      <c r="I260" s="7" t="inlineStr">
        <is>
          <t>Verified Available. EX-0097, EX-0098. High. 1ZMD00000085 OFF-00085 TR-00085 PO-2024-0015 FA-000085 ITAM_control_matrix.png</t>
        </is>
      </c>
    </row>
    <row r="261">
      <c r="A261" s="7" t="inlineStr">
        <is>
          <t>MD-00086</t>
        </is>
      </c>
      <c r="B261" s="7" t="inlineStr">
        <is>
          <t>2024-03-15</t>
        </is>
      </c>
      <c r="C261" s="7" t="inlineStr">
        <is>
          <t>Purchase</t>
        </is>
      </c>
      <c r="D261" s="7" t="inlineStr">
        <is>
          <t>Vendor</t>
        </is>
      </c>
      <c r="E261" s="7" t="inlineStr">
        <is>
          <t>Central Receiving</t>
        </is>
      </c>
      <c r="F261" s="7" t="inlineStr">
        <is>
          <t>Atlanta Warehouse</t>
        </is>
      </c>
      <c r="G261" s="7" t="inlineStr">
        <is>
          <t>PO:PO-2024-0015</t>
        </is>
      </c>
      <c r="H261" s="7" t="inlineStr">
        <is>
          <t>Confirmed Fact</t>
        </is>
      </c>
      <c r="I261" s="7" t="inlineStr">
        <is>
          <t>Bought the Dell U2723QE ($610) on PO-2024-0015.</t>
        </is>
      </c>
    </row>
    <row r="262">
      <c r="A262" s="7" t="inlineStr">
        <is>
          <t>MD-00086</t>
        </is>
      </c>
      <c r="B262" s="7" t="inlineStr">
        <is>
          <t>2026-03-15</t>
        </is>
      </c>
      <c r="C262" s="7" t="inlineStr">
        <is>
          <t>Assignment/Transfer</t>
        </is>
      </c>
      <c r="D262" s="7" t="inlineStr">
        <is>
          <t>Central Receiving</t>
        </is>
      </c>
      <c r="E262" s="7" t="inlineStr">
        <is>
          <t>Return Carrier</t>
        </is>
      </c>
      <c r="F262" s="7" t="inlineStr">
        <is>
          <t>Carrier Network</t>
        </is>
      </c>
      <c r="G262" s="7" t="inlineStr">
        <is>
          <t>Transfer:TR-00086; Approval:APR-00086</t>
        </is>
      </c>
      <c r="H262" s="7" t="inlineStr">
        <is>
          <t>Confirmed Fact</t>
        </is>
      </c>
      <c r="I262" s="7" t="inlineStr">
        <is>
          <t>Transfer TR-00086 / APR-00086. Received March 8, 2026.</t>
        </is>
      </c>
    </row>
    <row r="263">
      <c r="A263" s="7" t="inlineStr">
        <is>
          <t>MD-00086</t>
        </is>
      </c>
      <c r="B263" s="7" t="inlineStr">
        <is>
          <t>2026-06-03</t>
        </is>
      </c>
      <c r="C263" s="7" t="inlineStr">
        <is>
          <t>Offboarding Ticket</t>
        </is>
      </c>
      <c r="D263" s="7" t="inlineStr">
        <is>
          <t>E0074</t>
        </is>
      </c>
      <c r="E263" s="7" t="inlineStr">
        <is>
          <t>IT Service Desk</t>
        </is>
      </c>
      <c r="F263" s="7" t="inlineStr"/>
      <c r="G263" s="7" t="inlineStr">
        <is>
          <t>Ticket:OFF-00086; Status:Shipment Open</t>
        </is>
      </c>
      <c r="H263" s="7" t="inlineStr">
        <is>
          <t>Confirmed Fact</t>
        </is>
      </c>
      <c r="I263" s="7" t="inlineStr">
        <is>
          <t>MD-00086 tied to OFF-00086 (Shipment Open). SLA 15 Jul.</t>
        </is>
      </c>
    </row>
    <row r="264">
      <c r="A264" s="7" t="inlineStr">
        <is>
          <t>MD-00086</t>
        </is>
      </c>
      <c r="B264" s="7" t="inlineStr">
        <is>
          <t>2026-06-03</t>
        </is>
      </c>
      <c r="C264" s="7" t="inlineStr">
        <is>
          <t>Technician Comment</t>
        </is>
      </c>
      <c r="D264" s="7" t="inlineStr">
        <is>
          <t>Service Desk</t>
        </is>
      </c>
      <c r="E264" s="7" t="inlineStr"/>
      <c r="F264" s="7" t="inlineStr"/>
      <c r="G264" s="7" t="inlineStr">
        <is>
          <t>Ticket:OFF-00086</t>
        </is>
      </c>
      <c r="H264" s="7" t="inlineStr">
        <is>
          <t>Technician Claim</t>
        </is>
      </c>
      <c r="I264" s="7" t="inlineStr">
        <is>
          <t>Closed the chatter, not the ticket — still no receipt. Ref MD-00086.</t>
        </is>
      </c>
    </row>
    <row r="265">
      <c r="A265" s="7" t="inlineStr">
        <is>
          <t>MD-00086</t>
        </is>
      </c>
      <c r="B265" s="7" t="inlineStr">
        <is>
          <t>2026-06-25</t>
        </is>
      </c>
      <c r="C265" s="7" t="inlineStr">
        <is>
          <t>Return Label Created</t>
        </is>
      </c>
      <c r="D265" s="7" t="inlineStr">
        <is>
          <t>E0074</t>
        </is>
      </c>
      <c r="E265" s="7" t="inlineStr">
        <is>
          <t>Return Carrier</t>
        </is>
      </c>
      <c r="F265" s="7" t="inlineStr">
        <is>
          <t>Carrier Network</t>
        </is>
      </c>
      <c r="G265" s="7" t="inlineStr">
        <is>
          <t>Tracking:1ZMD00000086; Status:Delivered</t>
        </is>
      </c>
      <c r="H265" s="7" t="inlineStr">
        <is>
          <t>Confirmed Fact</t>
        </is>
      </c>
      <c r="I265" s="7" t="inlineStr">
        <is>
          <t>Prepaid label 1ZMD00000086 exists. Carrier never accepted it.</t>
        </is>
      </c>
    </row>
    <row r="266">
      <c r="A266" s="7" t="inlineStr">
        <is>
          <t>MD-00086</t>
        </is>
      </c>
      <c r="B266" s="7" t="inlineStr">
        <is>
          <t>2026-07-02</t>
        </is>
      </c>
      <c r="C266" s="7" t="inlineStr">
        <is>
          <t>Carrier Acceptance</t>
        </is>
      </c>
      <c r="D266" s="7" t="inlineStr">
        <is>
          <t>Shipper</t>
        </is>
      </c>
      <c r="E266" s="7" t="inlineStr">
        <is>
          <t>Carrier</t>
        </is>
      </c>
      <c r="F266" s="7" t="inlineStr">
        <is>
          <t>Carrier Network</t>
        </is>
      </c>
      <c r="G266" s="7" t="inlineStr">
        <is>
          <t>Tracking:1ZMD00000086</t>
        </is>
      </c>
      <c r="H266" s="7" t="inlineStr">
        <is>
          <t>Confirmed Fact</t>
        </is>
      </c>
      <c r="I266" s="7" t="inlineStr">
        <is>
          <t>1ZMD00000086 picked up (acceptance on file).</t>
        </is>
      </c>
    </row>
    <row r="267">
      <c r="A267" s="7" t="inlineStr">
        <is>
          <t>MD-00086</t>
        </is>
      </c>
      <c r="B267" s="7" t="inlineStr">
        <is>
          <t>2026-07-06</t>
        </is>
      </c>
      <c r="C267" s="7" t="inlineStr">
        <is>
          <t>Delivery</t>
        </is>
      </c>
      <c r="D267" s="7" t="inlineStr">
        <is>
          <t>Carrier</t>
        </is>
      </c>
      <c r="E267" s="7" t="inlineStr">
        <is>
          <t>Receiving</t>
        </is>
      </c>
      <c r="F267" s="7" t="inlineStr">
        <is>
          <t>Atlanta Warehouse</t>
        </is>
      </c>
      <c r="G267" s="7" t="inlineStr">
        <is>
          <t>Tracking:1ZMD00000086</t>
        </is>
      </c>
      <c r="H267" s="7" t="inlineStr">
        <is>
          <t>Confirmed Fact</t>
        </is>
      </c>
      <c r="I267" s="7" t="inlineStr">
        <is>
          <t>Delivered — 1ZMD00000086. Still need a receiving scan to finish returns.</t>
        </is>
      </c>
    </row>
    <row r="268">
      <c r="A268" s="7" t="inlineStr">
        <is>
          <t>MD-00086</t>
        </is>
      </c>
      <c r="B268" s="7" t="inlineStr">
        <is>
          <t>2026-07-07</t>
        </is>
      </c>
      <c r="C268" s="7" t="inlineStr">
        <is>
          <t>Receiving Scan</t>
        </is>
      </c>
      <c r="D268" s="7" t="inlineStr">
        <is>
          <t>Carrier</t>
        </is>
      </c>
      <c r="E268" s="7" t="inlineStr">
        <is>
          <t>IT Stock</t>
        </is>
      </c>
      <c r="F268" s="7" t="inlineStr">
        <is>
          <t>Atlanta Warehouse</t>
        </is>
      </c>
      <c r="G268" s="7" t="inlineStr">
        <is>
          <t>Tracking:1ZMD00000086</t>
        </is>
      </c>
      <c r="H268" s="7" t="inlineStr">
        <is>
          <t>Confirmed Fact</t>
        </is>
      </c>
      <c r="I268" s="7" t="inlineStr">
        <is>
          <t>Dock scan on 1ZMD00000086.</t>
        </is>
      </c>
    </row>
    <row r="269">
      <c r="A269" s="7" t="inlineStr">
        <is>
          <t>MD-00086</t>
        </is>
      </c>
      <c r="B269" s="7" t="inlineStr">
        <is>
          <t>2026-08-05</t>
        </is>
      </c>
      <c r="C269" s="7" t="inlineStr">
        <is>
          <t>Regional IT Note Lead</t>
        </is>
      </c>
      <c r="D269" s="7" t="inlineStr">
        <is>
          <t>Regional IT</t>
        </is>
      </c>
      <c r="E269" s="7" t="inlineStr"/>
      <c r="F269" s="7" t="inlineStr">
        <is>
          <t>Chicago - Closed</t>
        </is>
      </c>
      <c r="G269" s="7" t="inlineStr">
        <is>
          <t>regional_IT_notes.docx</t>
        </is>
      </c>
      <c r="H269" s="7" t="inlineStr">
        <is>
          <t>Technician Claim</t>
        </is>
      </c>
      <c r="I269" s="7" t="inlineStr">
        <is>
          <t>Didn't let the regional write-up overrule the logs on MD-00086.</t>
        </is>
      </c>
    </row>
    <row r="270">
      <c r="A270" s="7" t="inlineStr">
        <is>
          <t>MD-00086</t>
        </is>
      </c>
      <c r="B270" s="7" t="inlineStr">
        <is>
          <t>2026-08-09</t>
        </is>
      </c>
      <c r="C270" s="7" t="inlineStr">
        <is>
          <t>Policy Control Figure</t>
        </is>
      </c>
      <c r="D270" s="7" t="inlineStr">
        <is>
          <t>ITAM-001</t>
        </is>
      </c>
      <c r="E270" s="7" t="inlineStr"/>
      <c r="F270" s="7" t="inlineStr"/>
      <c r="G270" s="7" t="inlineStr">
        <is>
          <t>ITAM_control_matrix.png; IT_asset_management_policy.pdf</t>
        </is>
      </c>
      <c r="H270" s="7" t="inlineStr">
        <is>
          <t>Confirmed Fact</t>
        </is>
      </c>
      <c r="I270" s="7" t="inlineStr">
        <is>
          <t>MD-00086: Assignment control from ITAM-001 Appendix A governs this step; matrix figure is the standard, not proof of movement (chain reference above); ITAM_control_matrix.png in packet.</t>
        </is>
      </c>
    </row>
    <row r="271">
      <c r="A271" s="7" t="inlineStr">
        <is>
          <t>MD-00086</t>
        </is>
      </c>
      <c r="B271" s="7" t="inlineStr">
        <is>
          <t>2026-08-09</t>
        </is>
      </c>
      <c r="C271" s="7" t="inlineStr">
        <is>
          <t>Reconciliation Conclusion</t>
        </is>
      </c>
      <c r="D271" s="7" t="inlineStr">
        <is>
          <t>Evidence review</t>
        </is>
      </c>
      <c r="E271" s="7" t="inlineStr">
        <is>
          <t>IT Stock</t>
        </is>
      </c>
      <c r="F271" s="7" t="inlineStr">
        <is>
          <t>Atlanta Warehouse</t>
        </is>
      </c>
      <c r="G271" s="7" t="inlineStr">
        <is>
          <t>Tracking:1ZMD00000086; Ticket:OFF-00086; Transfer:TR-00086; ReceivingScan:2026-07-07; PO:PO-2024-0015; Ledger:FA-000086; PolicyFigure:ITAM_control_matrix.png</t>
        </is>
      </c>
      <c r="H271" s="7" t="inlineStr">
        <is>
          <t>Confirmed Fact</t>
        </is>
      </c>
      <c r="I271" s="7" t="inlineStr">
        <is>
          <t>Wrap: MD-00086 Available. EX-0099. 1ZMD00000086 OFF-00086 TR-00086 PO-2024-0015 FA-000086 ITAM_control_matrix.png</t>
        </is>
      </c>
    </row>
    <row r="272">
      <c r="A272" s="7" t="inlineStr">
        <is>
          <t>MD-00087</t>
        </is>
      </c>
      <c r="B272" s="7" t="inlineStr">
        <is>
          <t>2025-04-16</t>
        </is>
      </c>
      <c r="C272" s="7" t="inlineStr">
        <is>
          <t>Purchase</t>
        </is>
      </c>
      <c r="D272" s="7" t="inlineStr">
        <is>
          <t>Vendor</t>
        </is>
      </c>
      <c r="E272" s="7" t="inlineStr">
        <is>
          <t>Central Receiving</t>
        </is>
      </c>
      <c r="F272" s="7" t="inlineStr">
        <is>
          <t>Atlanta Warehouse</t>
        </is>
      </c>
      <c r="G272" s="7" t="inlineStr">
        <is>
          <t>PO:PO-2024-0015</t>
        </is>
      </c>
      <c r="H272" s="7" t="inlineStr">
        <is>
          <t>Confirmed Fact</t>
        </is>
      </c>
      <c r="I272" s="7" t="inlineStr">
        <is>
          <t>Receiving against PO-2024-0015. Samsung Galaxy S24, $1085.</t>
        </is>
      </c>
    </row>
    <row r="273">
      <c r="A273" s="7" t="inlineStr">
        <is>
          <t>MD-00087</t>
        </is>
      </c>
      <c r="B273" s="7" t="inlineStr">
        <is>
          <t>2026-04-16</t>
        </is>
      </c>
      <c r="C273" s="7" t="inlineStr">
        <is>
          <t>Assignment/Transfer</t>
        </is>
      </c>
      <c r="D273" s="7" t="inlineStr">
        <is>
          <t>Central Receiving</t>
        </is>
      </c>
      <c r="E273" s="7" t="inlineStr">
        <is>
          <t>Return Carrier</t>
        </is>
      </c>
      <c r="F273" s="7" t="inlineStr">
        <is>
          <t>Carrier Network</t>
        </is>
      </c>
      <c r="G273" s="7" t="inlineStr">
        <is>
          <t>Transfer:TR-00087; Approval:APR-00087</t>
        </is>
      </c>
      <c r="H273" s="7" t="inlineStr">
        <is>
          <t>Confirmed Fact</t>
        </is>
      </c>
      <c r="I273" s="7" t="inlineStr">
        <is>
          <t>Assignment posted Apr 12. Docked 2026-04-12 (TR-00087).</t>
        </is>
      </c>
    </row>
    <row r="274">
      <c r="A274" s="7" t="inlineStr">
        <is>
          <t>MD-00087</t>
        </is>
      </c>
      <c r="B274" s="7" t="inlineStr">
        <is>
          <t>2026-05-04</t>
        </is>
      </c>
      <c r="C274" s="7" t="inlineStr">
        <is>
          <t>Offboarding Ticket</t>
        </is>
      </c>
      <c r="D274" s="7" t="inlineStr">
        <is>
          <t>E0075</t>
        </is>
      </c>
      <c r="E274" s="7" t="inlineStr">
        <is>
          <t>IT Service Desk</t>
        </is>
      </c>
      <c r="F274" s="7" t="inlineStr"/>
      <c r="G274" s="7" t="inlineStr">
        <is>
          <t>Ticket:OFF-00087; Status:Shipment Open</t>
        </is>
      </c>
      <c r="H274" s="7" t="inlineStr">
        <is>
          <t>Confirmed Fact</t>
        </is>
      </c>
      <c r="I274" s="7" t="inlineStr">
        <is>
          <t>OFF-00087 sits Shipment Open. Hardware return was required. 7/15.</t>
        </is>
      </c>
    </row>
    <row r="275">
      <c r="A275" s="7" t="inlineStr">
        <is>
          <t>MD-00087</t>
        </is>
      </c>
      <c r="B275" s="7" t="inlineStr">
        <is>
          <t>2026-05-04</t>
        </is>
      </c>
      <c r="C275" s="7" t="inlineStr">
        <is>
          <t>Technician Comment</t>
        </is>
      </c>
      <c r="D275" s="7" t="inlineStr">
        <is>
          <t>Service Desk</t>
        </is>
      </c>
      <c r="E275" s="7" t="inlineStr"/>
      <c r="F275" s="7" t="inlineStr"/>
      <c r="G275" s="7" t="inlineStr">
        <is>
          <t>Ticket:OFF-00087</t>
        </is>
      </c>
      <c r="H275" s="7" t="inlineStr">
        <is>
          <t>Technician Claim</t>
        </is>
      </c>
      <c r="I275" s="7" t="inlineStr">
        <is>
          <t>Batch with other Chicago exits. This one didn't make the pallet. Ref MD-00087.</t>
        </is>
      </c>
    </row>
    <row r="276">
      <c r="A276" s="7" t="inlineStr">
        <is>
          <t>MD-00087</t>
        </is>
      </c>
      <c r="B276" s="7" t="inlineStr">
        <is>
          <t>2026-06-25</t>
        </is>
      </c>
      <c r="C276" s="7" t="inlineStr">
        <is>
          <t>Return Label Created</t>
        </is>
      </c>
      <c r="D276" s="7" t="inlineStr">
        <is>
          <t>E0075</t>
        </is>
      </c>
      <c r="E276" s="7" t="inlineStr">
        <is>
          <t>Return Carrier</t>
        </is>
      </c>
      <c r="F276" s="7" t="inlineStr">
        <is>
          <t>Carrier Network</t>
        </is>
      </c>
      <c r="G276" s="7" t="inlineStr">
        <is>
          <t>Tracking:1ZMD00000087; Status:Delivered</t>
        </is>
      </c>
      <c r="H276" s="7" t="inlineStr">
        <is>
          <t>Confirmed Fact</t>
        </is>
      </c>
      <c r="I276" s="7" t="inlineStr">
        <is>
          <t>§5: label ≠ returned. 1ZMD00000087 / MD-MO-050087.</t>
        </is>
      </c>
    </row>
    <row r="277">
      <c r="A277" s="7" t="inlineStr">
        <is>
          <t>MD-00087</t>
        </is>
      </c>
      <c r="B277" s="7" t="inlineStr">
        <is>
          <t>2026-07-02</t>
        </is>
      </c>
      <c r="C277" s="7" t="inlineStr">
        <is>
          <t>Carrier Acceptance</t>
        </is>
      </c>
      <c r="D277" s="7" t="inlineStr">
        <is>
          <t>Shipper</t>
        </is>
      </c>
      <c r="E277" s="7" t="inlineStr">
        <is>
          <t>Carrier</t>
        </is>
      </c>
      <c r="F277" s="7" t="inlineStr">
        <is>
          <t>Carrier Network</t>
        </is>
      </c>
      <c r="G277" s="7" t="inlineStr">
        <is>
          <t>Tracking:1ZMD00000087</t>
        </is>
      </c>
      <c r="H277" s="7" t="inlineStr">
        <is>
          <t>Confirmed Fact</t>
        </is>
      </c>
      <c r="I277" s="7" t="inlineStr">
        <is>
          <t>Acceptance event on 1ZMD00000087.</t>
        </is>
      </c>
    </row>
    <row r="278">
      <c r="A278" s="7" t="inlineStr">
        <is>
          <t>MD-00087</t>
        </is>
      </c>
      <c r="B278" s="7" t="inlineStr">
        <is>
          <t>2026-07-06</t>
        </is>
      </c>
      <c r="C278" s="7" t="inlineStr">
        <is>
          <t>Delivery</t>
        </is>
      </c>
      <c r="D278" s="7" t="inlineStr">
        <is>
          <t>Carrier</t>
        </is>
      </c>
      <c r="E278" s="7" t="inlineStr">
        <is>
          <t>Receiving</t>
        </is>
      </c>
      <c r="F278" s="7" t="inlineStr">
        <is>
          <t>Atlanta Warehouse</t>
        </is>
      </c>
      <c r="G278" s="7" t="inlineStr">
        <is>
          <t>Tracking:1ZMD00000087</t>
        </is>
      </c>
      <c r="H278" s="7" t="inlineStr">
        <is>
          <t>Confirmed Fact</t>
        </is>
      </c>
      <c r="I278" s="7" t="inlineStr">
        <is>
          <t>Carrier delivery event, 1ZMD00000087.</t>
        </is>
      </c>
    </row>
    <row r="279">
      <c r="A279" s="7" t="inlineStr">
        <is>
          <t>MD-00087</t>
        </is>
      </c>
      <c r="B279" s="7" t="inlineStr">
        <is>
          <t>2026-07-07</t>
        </is>
      </c>
      <c r="C279" s="7" t="inlineStr">
        <is>
          <t>Receiving Scan</t>
        </is>
      </c>
      <c r="D279" s="7" t="inlineStr">
        <is>
          <t>Carrier</t>
        </is>
      </c>
      <c r="E279" s="7" t="inlineStr">
        <is>
          <t>IT Stock</t>
        </is>
      </c>
      <c r="F279" s="7" t="inlineStr">
        <is>
          <t>Atlanta Warehouse</t>
        </is>
      </c>
      <c r="G279" s="7" t="inlineStr">
        <is>
          <t>Tracking:1ZMD00000087</t>
        </is>
      </c>
      <c r="H279" s="7" t="inlineStr">
        <is>
          <t>Confirmed Fact</t>
        </is>
      </c>
      <c r="I279" s="7" t="inlineStr">
        <is>
          <t>Inbound scan completed (1ZMD00000087).</t>
        </is>
      </c>
    </row>
    <row r="280">
      <c r="A280" s="7" t="inlineStr">
        <is>
          <t>MD-00087</t>
        </is>
      </c>
      <c r="B280" s="7" t="inlineStr">
        <is>
          <t>2026-08-05</t>
        </is>
      </c>
      <c r="C280" s="7" t="inlineStr">
        <is>
          <t>Regional IT Note Lead</t>
        </is>
      </c>
      <c r="D280" s="7" t="inlineStr">
        <is>
          <t>Regional IT</t>
        </is>
      </c>
      <c r="E280" s="7" t="inlineStr"/>
      <c r="F280" s="7" t="inlineStr">
        <is>
          <t>Denver - Closed</t>
        </is>
      </c>
      <c r="G280" s="7" t="inlineStr">
        <is>
          <t>regional_IT_notes.docx</t>
        </is>
      </c>
      <c r="H280" s="7" t="inlineStr">
        <is>
          <t>Technician Claim</t>
        </is>
      </c>
      <c r="I280" s="7" t="inlineStr">
        <is>
          <t>regional_IT_notes.docx mentions closed-office leftover color on MD-00087. Notes don't beat a scan.</t>
        </is>
      </c>
    </row>
    <row r="281">
      <c r="A281" s="7" t="inlineStr">
        <is>
          <t>MD-00087</t>
        </is>
      </c>
      <c r="B281" s="7" t="inlineStr">
        <is>
          <t>2026-08-09</t>
        </is>
      </c>
      <c r="C281" s="7" t="inlineStr">
        <is>
          <t>Policy Control Figure</t>
        </is>
      </c>
      <c r="D281" s="7" t="inlineStr">
        <is>
          <t>ITAM-001</t>
        </is>
      </c>
      <c r="E281" s="7" t="inlineStr"/>
      <c r="F281" s="7" t="inlineStr"/>
      <c r="G281" s="7" t="inlineStr">
        <is>
          <t>ITAM_control_matrix.png; IT_asset_management_policy.pdf</t>
        </is>
      </c>
      <c r="H281" s="7" t="inlineStr">
        <is>
          <t>Confirmed Fact</t>
        </is>
      </c>
      <c r="I281" s="7" t="inlineStr">
        <is>
          <t>Auditors should read the transfer bar on the matrix for MD-00087; supporting file: chain reference above.</t>
        </is>
      </c>
    </row>
    <row r="282">
      <c r="A282" s="7" t="inlineStr">
        <is>
          <t>MD-00087</t>
        </is>
      </c>
      <c r="B282" s="7" t="inlineStr">
        <is>
          <t>2026-08-09</t>
        </is>
      </c>
      <c r="C282" s="7" t="inlineStr">
        <is>
          <t>Reconciliation Conclusion</t>
        </is>
      </c>
      <c r="D282" s="7" t="inlineStr">
        <is>
          <t>Evidence review</t>
        </is>
      </c>
      <c r="E282" s="7" t="inlineStr">
        <is>
          <t>IT Stock</t>
        </is>
      </c>
      <c r="F282" s="7" t="inlineStr">
        <is>
          <t>Atlanta Warehouse</t>
        </is>
      </c>
      <c r="G282" s="7" t="inlineStr">
        <is>
          <t>Tracking:1ZMD00000087; Ticket:OFF-00087; Transfer:TR-00087; ReceivingScan:2026-07-07; PO:PO-2024-0015; Ledger:FA-000087; PolicyFigure:ITAM_control_matrix.png</t>
        </is>
      </c>
      <c r="H282" s="7" t="inlineStr">
        <is>
          <t>Confirmed Fact</t>
        </is>
      </c>
      <c r="I282" s="7" t="inlineStr">
        <is>
          <t>Call: Available at Atlanta Warehouse. High. Exceptions EX-0100. 1ZMD00000087 OFF-00087 TR-00087 PO-2024-0015 FA-000087 ITAM_control_matrix.png</t>
        </is>
      </c>
    </row>
    <row r="283">
      <c r="A283" s="7" t="inlineStr">
        <is>
          <t>MD-00088</t>
        </is>
      </c>
      <c r="B283" s="7" t="inlineStr">
        <is>
          <t>2022-05-17</t>
        </is>
      </c>
      <c r="C283" s="7" t="inlineStr">
        <is>
          <t>Purchase</t>
        </is>
      </c>
      <c r="D283" s="7" t="inlineStr">
        <is>
          <t>Vendor</t>
        </is>
      </c>
      <c r="E283" s="7" t="inlineStr">
        <is>
          <t>Central Receiving</t>
        </is>
      </c>
      <c r="F283" s="7" t="inlineStr">
        <is>
          <t>Atlanta Warehouse</t>
        </is>
      </c>
      <c r="G283" s="7" t="inlineStr">
        <is>
          <t>PO:PO-2024-0015</t>
        </is>
      </c>
      <c r="H283" s="7" t="inlineStr">
        <is>
          <t>Confirmed Fact</t>
        </is>
      </c>
      <c r="I283" s="7" t="inlineStr">
        <is>
          <t>$6380 Cisco C9300. PO-2024-0015.</t>
        </is>
      </c>
    </row>
    <row r="284">
      <c r="A284" s="7" t="inlineStr">
        <is>
          <t>MD-00088</t>
        </is>
      </c>
      <c r="B284" s="7" t="inlineStr">
        <is>
          <t>2026-05-17</t>
        </is>
      </c>
      <c r="C284" s="7" t="inlineStr">
        <is>
          <t>Assignment/Transfer</t>
        </is>
      </c>
      <c r="D284" s="7" t="inlineStr">
        <is>
          <t>Central Receiving</t>
        </is>
      </c>
      <c r="E284" s="7" t="inlineStr">
        <is>
          <t>Return Carrier</t>
        </is>
      </c>
      <c r="F284" s="7" t="inlineStr">
        <is>
          <t>Carrier Network</t>
        </is>
      </c>
      <c r="G284" s="7" t="inlineStr">
        <is>
          <t>Transfer:TR-00088; Approval:APR-00088</t>
        </is>
      </c>
      <c r="H284" s="7" t="inlineStr">
        <is>
          <t>Confirmed Fact</t>
        </is>
      </c>
      <c r="I284" s="7" t="inlineStr">
        <is>
          <t>Carrier Network: TR-00088 received 14 May.</t>
        </is>
      </c>
    </row>
    <row r="285">
      <c r="A285" s="7" t="inlineStr">
        <is>
          <t>MD-00088</t>
        </is>
      </c>
      <c r="B285" s="7" t="inlineStr">
        <is>
          <t>2026-06-05</t>
        </is>
      </c>
      <c r="C285" s="7" t="inlineStr">
        <is>
          <t>Offboarding Ticket</t>
        </is>
      </c>
      <c r="D285" s="7" t="inlineStr">
        <is>
          <t>E0076</t>
        </is>
      </c>
      <c r="E285" s="7" t="inlineStr">
        <is>
          <t>IT Service Desk</t>
        </is>
      </c>
      <c r="F285" s="7" t="inlineStr"/>
      <c r="G285" s="7" t="inlineStr">
        <is>
          <t>Ticket:OFF-00088; Status:Shipment Open</t>
        </is>
      </c>
      <c r="H285" s="7" t="inlineStr">
        <is>
          <t>Confirmed Fact</t>
        </is>
      </c>
      <c r="I285" s="7" t="inlineStr">
        <is>
          <t>Service desk OFF-00088 on MD-00088. Return required Yes.</t>
        </is>
      </c>
    </row>
    <row r="286">
      <c r="A286" s="7" t="inlineStr">
        <is>
          <t>MD-00088</t>
        </is>
      </c>
      <c r="B286" s="7" t="inlineStr">
        <is>
          <t>2026-06-05</t>
        </is>
      </c>
      <c r="C286" s="7" t="inlineStr">
        <is>
          <t>Technician Comment</t>
        </is>
      </c>
      <c r="D286" s="7" t="inlineStr">
        <is>
          <t>Service Desk</t>
        </is>
      </c>
      <c r="E286" s="7" t="inlineStr"/>
      <c r="F286" s="7" t="inlineStr"/>
      <c r="G286" s="7" t="inlineStr">
        <is>
          <t>Ticket:OFF-00088</t>
        </is>
      </c>
      <c r="H286" s="7" t="inlineStr">
        <is>
          <t>Technician Claim</t>
        </is>
      </c>
      <c r="I286" s="7" t="inlineStr">
        <is>
          <t>Initiated because status was still In Use after term. Ref MD-00088.</t>
        </is>
      </c>
    </row>
    <row r="287">
      <c r="A287" s="7" t="inlineStr">
        <is>
          <t>MD-00088</t>
        </is>
      </c>
      <c r="B287" s="7" t="inlineStr">
        <is>
          <t>2026-06-25</t>
        </is>
      </c>
      <c r="C287" s="7" t="inlineStr">
        <is>
          <t>Return Label Created</t>
        </is>
      </c>
      <c r="D287" s="7" t="inlineStr">
        <is>
          <t>E0076</t>
        </is>
      </c>
      <c r="E287" s="7" t="inlineStr">
        <is>
          <t>Return Carrier</t>
        </is>
      </c>
      <c r="F287" s="7" t="inlineStr">
        <is>
          <t>Carrier Network</t>
        </is>
      </c>
      <c r="G287" s="7" t="inlineStr">
        <is>
          <t>Tracking:1ZMD00000088; Status:Delivered</t>
        </is>
      </c>
      <c r="H287" s="7" t="inlineStr">
        <is>
          <t>Confirmed Fact</t>
        </is>
      </c>
      <c r="I287" s="7" t="inlineStr">
        <is>
          <t>Return paperwork only. 1ZMD00000088.</t>
        </is>
      </c>
    </row>
    <row r="288">
      <c r="A288" s="7" t="inlineStr">
        <is>
          <t>MD-00088</t>
        </is>
      </c>
      <c r="B288" s="7" t="inlineStr">
        <is>
          <t>2026-07-02</t>
        </is>
      </c>
      <c r="C288" s="7" t="inlineStr">
        <is>
          <t>Carrier Acceptance</t>
        </is>
      </c>
      <c r="D288" s="7" t="inlineStr">
        <is>
          <t>Shipper</t>
        </is>
      </c>
      <c r="E288" s="7" t="inlineStr">
        <is>
          <t>Carrier</t>
        </is>
      </c>
      <c r="F288" s="7" t="inlineStr">
        <is>
          <t>Carrier Network</t>
        </is>
      </c>
      <c r="G288" s="7" t="inlineStr">
        <is>
          <t>Tracking:1ZMD00000088</t>
        </is>
      </c>
      <c r="H288" s="7" t="inlineStr">
        <is>
          <t>Confirmed Fact</t>
        </is>
      </c>
      <c r="I288" s="7" t="inlineStr">
        <is>
          <t>Carrier accepted 1ZMD00000088.</t>
        </is>
      </c>
    </row>
    <row r="289">
      <c r="A289" s="7" t="inlineStr">
        <is>
          <t>MD-00088</t>
        </is>
      </c>
      <c r="B289" s="7" t="inlineStr">
        <is>
          <t>2026-07-06</t>
        </is>
      </c>
      <c r="C289" s="7" t="inlineStr">
        <is>
          <t>Delivery</t>
        </is>
      </c>
      <c r="D289" s="7" t="inlineStr">
        <is>
          <t>Carrier</t>
        </is>
      </c>
      <c r="E289" s="7" t="inlineStr">
        <is>
          <t>Receiving</t>
        </is>
      </c>
      <c r="F289" s="7" t="inlineStr">
        <is>
          <t>Atlanta Warehouse</t>
        </is>
      </c>
      <c r="G289" s="7" t="inlineStr">
        <is>
          <t>Tracking:1ZMD00000088</t>
        </is>
      </c>
      <c r="H289" s="7" t="inlineStr">
        <is>
          <t>Confirmed Fact</t>
        </is>
      </c>
      <c r="I289" s="7" t="inlineStr">
        <is>
          <t>1ZMD00000088 delivered per carrier.</t>
        </is>
      </c>
    </row>
    <row r="290">
      <c r="A290" s="7" t="inlineStr">
        <is>
          <t>MD-00088</t>
        </is>
      </c>
      <c r="B290" s="7" t="inlineStr">
        <is>
          <t>2026-07-07</t>
        </is>
      </c>
      <c r="C290" s="7" t="inlineStr">
        <is>
          <t>Receiving Scan</t>
        </is>
      </c>
      <c r="D290" s="7" t="inlineStr">
        <is>
          <t>Carrier</t>
        </is>
      </c>
      <c r="E290" s="7" t="inlineStr">
        <is>
          <t>IT Stock</t>
        </is>
      </c>
      <c r="F290" s="7" t="inlineStr">
        <is>
          <t>Atlanta Warehouse</t>
        </is>
      </c>
      <c r="G290" s="7" t="inlineStr">
        <is>
          <t>Tracking:1ZMD00000088</t>
        </is>
      </c>
      <c r="H290" s="7" t="inlineStr">
        <is>
          <t>Confirmed Fact</t>
        </is>
      </c>
      <c r="I290" s="7" t="inlineStr">
        <is>
          <t>SCAN-86 equivalent on file for 1ZMD00000088.</t>
        </is>
      </c>
    </row>
    <row r="291">
      <c r="A291" s="7" t="inlineStr">
        <is>
          <t>MD-00088</t>
        </is>
      </c>
      <c r="B291" s="7" t="inlineStr">
        <is>
          <t>2026-08-05</t>
        </is>
      </c>
      <c r="C291" s="7" t="inlineStr">
        <is>
          <t>Regional IT Note Lead</t>
        </is>
      </c>
      <c r="D291" s="7" t="inlineStr">
        <is>
          <t>Regional IT</t>
        </is>
      </c>
      <c r="E291" s="7" t="inlineStr"/>
      <c r="F291" s="7" t="inlineStr">
        <is>
          <t>Chicago - Closed</t>
        </is>
      </c>
      <c r="G291" s="7" t="inlineStr">
        <is>
          <t>regional_IT_notes.docx</t>
        </is>
      </c>
      <c r="H291" s="7" t="inlineStr">
        <is>
          <t>Technician Claim</t>
        </is>
      </c>
      <c r="I291" s="7" t="inlineStr">
        <is>
          <t>Tech note in the Word dump. Treated as a lead for MD-00088, not location proof.</t>
        </is>
      </c>
    </row>
    <row r="292">
      <c r="A292" s="7" t="inlineStr">
        <is>
          <t>MD-00088</t>
        </is>
      </c>
      <c r="B292" s="7" t="inlineStr">
        <is>
          <t>2026-08-09</t>
        </is>
      </c>
      <c r="C292" s="7" t="inlineStr">
        <is>
          <t>Policy Control Figure</t>
        </is>
      </c>
      <c r="D292" s="7" t="inlineStr">
        <is>
          <t>ITAM-001</t>
        </is>
      </c>
      <c r="E292" s="7" t="inlineStr"/>
      <c r="F292" s="7" t="inlineStr"/>
      <c r="G292" s="7" t="inlineStr">
        <is>
          <t>ITAM_control_matrix.png; IT_asset_management_policy.pdf</t>
        </is>
      </c>
      <c r="H292" s="7" t="inlineStr">
        <is>
          <t>Confirmed Fact</t>
        </is>
      </c>
      <c r="I292" s="7" t="inlineStr">
        <is>
          <t>Control matrix documents required return evidence for MD-00088; chain reference above must satisfy that bar.</t>
        </is>
      </c>
    </row>
    <row r="293">
      <c r="A293" s="7" t="inlineStr">
        <is>
          <t>MD-00088</t>
        </is>
      </c>
      <c r="B293" s="7" t="inlineStr">
        <is>
          <t>2026-08-09</t>
        </is>
      </c>
      <c r="C293" s="7" t="inlineStr">
        <is>
          <t>Reconciliation Conclusion</t>
        </is>
      </c>
      <c r="D293" s="7" t="inlineStr">
        <is>
          <t>Evidence review</t>
        </is>
      </c>
      <c r="E293" s="7" t="inlineStr">
        <is>
          <t>IT Stock</t>
        </is>
      </c>
      <c r="F293" s="7" t="inlineStr">
        <is>
          <t>Atlanta Warehouse</t>
        </is>
      </c>
      <c r="G293" s="7" t="inlineStr">
        <is>
          <t>Tracking:1ZMD00000088; Ticket:OFF-00088; Transfer:TR-00088; ReceivingScan:2026-07-07; PO:PO-2024-0015; Ledger:FA-000088; PolicyFigure:ITAM_control_matrix.png</t>
        </is>
      </c>
      <c r="H293" s="7" t="inlineStr">
        <is>
          <t>Confirmed Fact</t>
        </is>
      </c>
      <c r="I293" s="7" t="inlineStr">
        <is>
          <t>Closing note MD-00088: Available / Atlanta Warehouse (Medium). EX-0101, EX-0102. 1ZMD00000088 OFF-00088 TR-00088 PO-2024-0015 FA-000088 ITAM_control_matrix.png</t>
        </is>
      </c>
    </row>
    <row r="294">
      <c r="A294" s="7" t="inlineStr">
        <is>
          <t>MD-00089</t>
        </is>
      </c>
      <c r="B294" s="7" t="inlineStr">
        <is>
          <t>2023-06-18</t>
        </is>
      </c>
      <c r="C294" s="7" t="inlineStr">
        <is>
          <t>Purchase</t>
        </is>
      </c>
      <c r="D294" s="7" t="inlineStr">
        <is>
          <t>Vendor</t>
        </is>
      </c>
      <c r="E294" s="7" t="inlineStr">
        <is>
          <t>Central Receiving</t>
        </is>
      </c>
      <c r="F294" s="7" t="inlineStr">
        <is>
          <t>Atlanta Warehouse</t>
        </is>
      </c>
      <c r="G294" s="7" t="inlineStr">
        <is>
          <t>PO:PO-2024-0015</t>
        </is>
      </c>
      <c r="H294" s="7" t="inlineStr">
        <is>
          <t>Confirmed Fact</t>
        </is>
      </c>
      <c r="I294" s="7" t="inlineStr">
        <is>
          <t>PO line PO-2024-0015 — MacBook Pro 14.</t>
        </is>
      </c>
    </row>
    <row r="295">
      <c r="A295" s="7" t="inlineStr">
        <is>
          <t>MD-00089</t>
        </is>
      </c>
      <c r="B295" s="7" t="inlineStr">
        <is>
          <t>2026-06-18</t>
        </is>
      </c>
      <c r="C295" s="7" t="inlineStr">
        <is>
          <t>Assignment/Transfer</t>
        </is>
      </c>
      <c r="D295" s="7" t="inlineStr">
        <is>
          <t>Central Receiving</t>
        </is>
      </c>
      <c r="E295" s="7" t="inlineStr">
        <is>
          <t>Unverified</t>
        </is>
      </c>
      <c r="F295" s="7" t="inlineStr">
        <is>
          <t>Unknown</t>
        </is>
      </c>
      <c r="G295" s="7" t="inlineStr">
        <is>
          <t>Transfer:TR-00089; Approval:APR-00089</t>
        </is>
      </c>
      <c r="H295" s="7" t="inlineStr">
        <is>
          <t>Confirmed Fact</t>
        </is>
      </c>
      <c r="I295" s="7" t="inlineStr">
        <is>
          <t>From warehouse to Unverified. TR-00089, received 6/17.</t>
        </is>
      </c>
    </row>
    <row r="296">
      <c r="A296" s="7" t="inlineStr">
        <is>
          <t>MD-00089</t>
        </is>
      </c>
      <c r="B296" s="7" t="inlineStr">
        <is>
          <t>2026-05-06</t>
        </is>
      </c>
      <c r="C296" s="7" t="inlineStr">
        <is>
          <t>Offboarding Ticket</t>
        </is>
      </c>
      <c r="D296" s="7" t="inlineStr">
        <is>
          <t>E0077</t>
        </is>
      </c>
      <c r="E296" s="7" t="inlineStr">
        <is>
          <t>IT Service Desk</t>
        </is>
      </c>
      <c r="F296" s="7" t="inlineStr"/>
      <c r="G296" s="7" t="inlineStr">
        <is>
          <t>Ticket:OFF-00089; Status:Unresolved</t>
        </is>
      </c>
      <c r="H296" s="7" t="inlineStr">
        <is>
          <t>Confirmed Fact</t>
        </is>
      </c>
      <c r="I296" s="7" t="inlineStr">
        <is>
          <t>OFF-00089 Unresolved. Return required=Yes, due Jul 15.</t>
        </is>
      </c>
    </row>
    <row r="297">
      <c r="A297" s="7" t="inlineStr">
        <is>
          <t>MD-00089</t>
        </is>
      </c>
      <c r="B297" s="7" t="inlineStr">
        <is>
          <t>2026-05-06</t>
        </is>
      </c>
      <c r="C297" s="7" t="inlineStr">
        <is>
          <t>Technician Comment</t>
        </is>
      </c>
      <c r="D297" s="7" t="inlineStr">
        <is>
          <t>Service Desk</t>
        </is>
      </c>
      <c r="E297" s="7" t="inlineStr"/>
      <c r="F297" s="7" t="inlineStr"/>
      <c r="G297" s="7" t="inlineStr">
        <is>
          <t>Ticket:OFF-00089</t>
        </is>
      </c>
      <c r="H297" s="7" t="inlineStr">
        <is>
          <t>Technician Claim</t>
        </is>
      </c>
      <c r="I297" s="7" t="inlineStr">
        <is>
          <t>Ex-employee says the laptop stayed in Denver after the lock-up. Ref MD-00089.</t>
        </is>
      </c>
    </row>
    <row r="298">
      <c r="A298" s="7" t="inlineStr">
        <is>
          <t>MD-00089</t>
        </is>
      </c>
      <c r="B298" s="7" t="inlineStr">
        <is>
          <t>2026-08-05</t>
        </is>
      </c>
      <c r="C298" s="7" t="inlineStr">
        <is>
          <t>Regional IT Note Lead</t>
        </is>
      </c>
      <c r="D298" s="7" t="inlineStr">
        <is>
          <t>Regional IT</t>
        </is>
      </c>
      <c r="E298" s="7" t="inlineStr"/>
      <c r="F298" s="7" t="inlineStr">
        <is>
          <t>Denver - Closed</t>
        </is>
      </c>
      <c r="G298" s="7" t="inlineStr">
        <is>
          <t>regional_IT_notes.docx</t>
        </is>
      </c>
      <c r="H298" s="7" t="inlineStr">
        <is>
          <t>Technician Claim</t>
        </is>
      </c>
      <c r="I298" s="7" t="inlineStr">
        <is>
          <t>Note exists. Corroboration doesn't. MD-00089.</t>
        </is>
      </c>
    </row>
    <row r="299">
      <c r="A299" s="7" t="inlineStr">
        <is>
          <t>MD-00089</t>
        </is>
      </c>
      <c r="B299" s="7" t="inlineStr">
        <is>
          <t>2026-08-09</t>
        </is>
      </c>
      <c r="C299" s="7" t="inlineStr">
        <is>
          <t>Policy Control Figure</t>
        </is>
      </c>
      <c r="D299" s="7" t="inlineStr">
        <is>
          <t>ITAM-001</t>
        </is>
      </c>
      <c r="E299" s="7" t="inlineStr"/>
      <c r="F299" s="7" t="inlineStr"/>
      <c r="G299" s="7" t="inlineStr">
        <is>
          <t>ITAM_control_matrix.png; IT_asset_management_policy.pdf</t>
        </is>
      </c>
      <c r="H299" s="7" t="inlineStr">
        <is>
          <t>Confirmed Fact</t>
        </is>
      </c>
      <c r="I299" s="7" t="inlineStr">
        <is>
          <t>MD-00089: Financial column in the control matrix frames the review; ledger/transfer proof is chain reference above.</t>
        </is>
      </c>
    </row>
    <row r="300">
      <c r="A300" s="7" t="inlineStr">
        <is>
          <t>MD-00089</t>
        </is>
      </c>
      <c r="B300" s="7" t="inlineStr">
        <is>
          <t>2026-08-09</t>
        </is>
      </c>
      <c r="C300" s="7" t="inlineStr">
        <is>
          <t>Unresolved Assumption</t>
        </is>
      </c>
      <c r="D300" s="7" t="inlineStr"/>
      <c r="E300" s="7" t="inlineStr"/>
      <c r="F300" s="7" t="inlineStr"/>
      <c r="G300" s="7" t="inlineStr">
        <is>
          <t>Reconciliation</t>
        </is>
      </c>
      <c r="H300" s="7" t="inlineStr">
        <is>
          <t>Unresolved Assumption</t>
        </is>
      </c>
      <c r="I300" s="7" t="inlineStr">
        <is>
          <t>Still no receiving scan, disposal cert, or count that places MD-00089.</t>
        </is>
      </c>
    </row>
    <row r="301">
      <c r="A301" s="7" t="inlineStr">
        <is>
          <t>MD-00089</t>
        </is>
      </c>
      <c r="B301" s="7" t="inlineStr">
        <is>
          <t>2026-08-09</t>
        </is>
      </c>
      <c r="C301" s="7" t="inlineStr">
        <is>
          <t>Reconciliation Conclusion</t>
        </is>
      </c>
      <c r="D301" s="7" t="inlineStr">
        <is>
          <t>Evidence review</t>
        </is>
      </c>
      <c r="E301" s="7" t="inlineStr">
        <is>
          <t>E0077</t>
        </is>
      </c>
      <c r="F301" s="7" t="inlineStr">
        <is>
          <t>Unknown</t>
        </is>
      </c>
      <c r="G301" s="7" t="inlineStr">
        <is>
          <t>Ticket:OFF-00089; Transfer:TR-00089; LastRegisterLocation:Denver - Closed; TechnicianClaim:see custody chain; PO:PO-2024-0015; Ledger:FA-000089; PolicyFigure:ITAM_control_matrix.png</t>
        </is>
      </c>
      <c r="H301" s="7" t="inlineStr">
        <is>
          <t>Unresolved Assumption</t>
        </is>
      </c>
      <c r="I301" s="7" t="inlineStr">
        <is>
          <t>Closing note MD-00089: Missing / Unknown (Low). EX-0103, EX-0104. OFF-00089 TR-00089 PO-2024-0015 FA-000089 ITAM_control_matrix.png</t>
        </is>
      </c>
    </row>
    <row r="302">
      <c r="A302" s="7" t="inlineStr">
        <is>
          <t>MD-00090</t>
        </is>
      </c>
      <c r="B302" s="7" t="inlineStr">
        <is>
          <t>2024-07-19</t>
        </is>
      </c>
      <c r="C302" s="7" t="inlineStr">
        <is>
          <t>Purchase</t>
        </is>
      </c>
      <c r="D302" s="7" t="inlineStr">
        <is>
          <t>Vendor</t>
        </is>
      </c>
      <c r="E302" s="7" t="inlineStr">
        <is>
          <t>Central Receiving</t>
        </is>
      </c>
      <c r="F302" s="7" t="inlineStr">
        <is>
          <t>Atlanta Warehouse</t>
        </is>
      </c>
      <c r="G302" s="7" t="inlineStr">
        <is>
          <t>PO:PO-2024-0015</t>
        </is>
      </c>
      <c r="H302" s="7" t="inlineStr">
        <is>
          <t>Confirmed Fact</t>
        </is>
      </c>
      <c r="I302" s="7" t="inlineStr">
        <is>
          <t>Receiving against PO-2024-0015. Dell U2723QE, $790.</t>
        </is>
      </c>
    </row>
    <row r="303">
      <c r="A303" s="7" t="inlineStr">
        <is>
          <t>MD-00090</t>
        </is>
      </c>
      <c r="B303" s="7" t="inlineStr">
        <is>
          <t>2026-01-19</t>
        </is>
      </c>
      <c r="C303" s="7" t="inlineStr">
        <is>
          <t>Assignment/Transfer</t>
        </is>
      </c>
      <c r="D303" s="7" t="inlineStr">
        <is>
          <t>Central Receiving</t>
        </is>
      </c>
      <c r="E303" s="7" t="inlineStr">
        <is>
          <t>Unverified</t>
        </is>
      </c>
      <c r="F303" s="7" t="inlineStr">
        <is>
          <t>Unknown</t>
        </is>
      </c>
      <c r="G303" s="7" t="inlineStr">
        <is>
          <t>Transfer:TR-00090; Approval:APR-00090</t>
        </is>
      </c>
      <c r="H303" s="7" t="inlineStr">
        <is>
          <t>Confirmed Fact</t>
        </is>
      </c>
      <c r="I303" s="7" t="inlineStr">
        <is>
          <t>Assignment posted 22 Jan. Docked Jan 28 (TR-00090).</t>
        </is>
      </c>
    </row>
    <row r="304">
      <c r="A304" s="7" t="inlineStr">
        <is>
          <t>MD-00090</t>
        </is>
      </c>
      <c r="B304" s="7" t="inlineStr">
        <is>
          <t>2026-06-07</t>
        </is>
      </c>
      <c r="C304" s="7" t="inlineStr">
        <is>
          <t>Offboarding Ticket</t>
        </is>
      </c>
      <c r="D304" s="7" t="inlineStr">
        <is>
          <t>E0078</t>
        </is>
      </c>
      <c r="E304" s="7" t="inlineStr">
        <is>
          <t>IT Service Desk</t>
        </is>
      </c>
      <c r="F304" s="7" t="inlineStr"/>
      <c r="G304" s="7" t="inlineStr">
        <is>
          <t>Ticket:OFF-00090; Status:Unresolved</t>
        </is>
      </c>
      <c r="H304" s="7" t="inlineStr">
        <is>
          <t>Confirmed Fact</t>
        </is>
      </c>
      <c r="I304" s="7" t="inlineStr">
        <is>
          <t>OFF-00090 Unresolved. Return required=Yes, due July 15, 2026.</t>
        </is>
      </c>
    </row>
    <row r="305">
      <c r="A305" s="7" t="inlineStr">
        <is>
          <t>MD-00090</t>
        </is>
      </c>
      <c r="B305" s="7" t="inlineStr">
        <is>
          <t>2026-06-07</t>
        </is>
      </c>
      <c r="C305" s="7" t="inlineStr">
        <is>
          <t>Technician Comment</t>
        </is>
      </c>
      <c r="D305" s="7" t="inlineStr">
        <is>
          <t>Service Desk</t>
        </is>
      </c>
      <c r="E305" s="7" t="inlineStr"/>
      <c r="F305" s="7" t="inlineStr"/>
      <c r="G305" s="7" t="inlineStr">
        <is>
          <t>Ticket:OFF-00090</t>
        </is>
      </c>
      <c r="H305" s="7" t="inlineStr">
        <is>
          <t>Technician Claim</t>
        </is>
      </c>
      <c r="I305" s="7" t="inlineStr">
        <is>
          <t>Caller thought Chicago surplus had it; no tagged count. Ref MD-00090.</t>
        </is>
      </c>
    </row>
    <row r="306">
      <c r="A306" s="7" t="inlineStr">
        <is>
          <t>MD-00090</t>
        </is>
      </c>
      <c r="B306" s="7" t="inlineStr">
        <is>
          <t>2026-08-05</t>
        </is>
      </c>
      <c r="C306" s="7" t="inlineStr">
        <is>
          <t>Regional IT Note Lead</t>
        </is>
      </c>
      <c r="D306" s="7" t="inlineStr">
        <is>
          <t>Regional IT</t>
        </is>
      </c>
      <c r="E306" s="7" t="inlineStr"/>
      <c r="F306" s="7" t="inlineStr">
        <is>
          <t>Chicago - Closed</t>
        </is>
      </c>
      <c r="G306" s="7" t="inlineStr">
        <is>
          <t>regional_IT_notes.docx</t>
        </is>
      </c>
      <c r="H306" s="7" t="inlineStr">
        <is>
          <t>Technician Claim</t>
        </is>
      </c>
      <c r="I306" s="7" t="inlineStr">
        <is>
          <t>Closed-floor story in the notes. Ignored as clearance. (MD-00090-Regional IT Note Lead-306)</t>
        </is>
      </c>
    </row>
    <row r="307">
      <c r="A307" s="7" t="inlineStr">
        <is>
          <t>MD-00090</t>
        </is>
      </c>
      <c r="B307" s="7" t="inlineStr">
        <is>
          <t>2026-08-09</t>
        </is>
      </c>
      <c r="C307" s="7" t="inlineStr">
        <is>
          <t>Policy Control Figure</t>
        </is>
      </c>
      <c r="D307" s="7" t="inlineStr">
        <is>
          <t>ITAM-001</t>
        </is>
      </c>
      <c r="E307" s="7" t="inlineStr"/>
      <c r="F307" s="7" t="inlineStr"/>
      <c r="G307" s="7" t="inlineStr">
        <is>
          <t>ITAM_control_matrix.png; IT_asset_management_policy.pdf</t>
        </is>
      </c>
      <c r="H307" s="7" t="inlineStr">
        <is>
          <t>Confirmed Fact</t>
        </is>
      </c>
      <c r="I307" s="7" t="inlineStr">
        <is>
          <t>Control matrix documents required return evidence for MD-00090; chain reference above must satisfy that bar.</t>
        </is>
      </c>
    </row>
    <row r="308">
      <c r="A308" s="7" t="inlineStr">
        <is>
          <t>MD-00090</t>
        </is>
      </c>
      <c r="B308" s="7" t="inlineStr">
        <is>
          <t>2026-08-09</t>
        </is>
      </c>
      <c r="C308" s="7" t="inlineStr">
        <is>
          <t>Unresolved Assumption</t>
        </is>
      </c>
      <c r="D308" s="7" t="inlineStr"/>
      <c r="E308" s="7" t="inlineStr"/>
      <c r="F308" s="7" t="inlineStr"/>
      <c r="G308" s="7" t="inlineStr">
        <is>
          <t>Reconciliation</t>
        </is>
      </c>
      <c r="H308" s="7" t="inlineStr">
        <is>
          <t>Unresolved Assumption</t>
        </is>
      </c>
      <c r="I308" s="7" t="inlineStr">
        <is>
          <t>Gap: nothing physical confirms MD-00090 right now.</t>
        </is>
      </c>
    </row>
    <row r="309">
      <c r="A309" s="7" t="inlineStr">
        <is>
          <t>MD-00090</t>
        </is>
      </c>
      <c r="B309" s="7" t="inlineStr">
        <is>
          <t>2026-08-09</t>
        </is>
      </c>
      <c r="C309" s="7" t="inlineStr">
        <is>
          <t>Reconciliation Conclusion</t>
        </is>
      </c>
      <c r="D309" s="7" t="inlineStr">
        <is>
          <t>Evidence review</t>
        </is>
      </c>
      <c r="E309" s="7" t="inlineStr">
        <is>
          <t>E0078</t>
        </is>
      </c>
      <c r="F309" s="7" t="inlineStr">
        <is>
          <t>Unknown</t>
        </is>
      </c>
      <c r="G309" s="7" t="inlineStr">
        <is>
          <t>Ticket:OFF-00090; Transfer:TR-00090; LastRegisterLocation:Chicago - Closed; TechnicianClaim:see custody chain; PO:PO-2024-0015; Ledger:FA-000090; PolicyFigure:ITAM_control_matrix.png</t>
        </is>
      </c>
      <c r="H309" s="7" t="inlineStr">
        <is>
          <t>Unresolved Assumption</t>
        </is>
      </c>
      <c r="I309" s="7" t="inlineStr">
        <is>
          <t>Closing note MD-00090: Missing / Unknown (Low). EX-0105, EX-0106. OFF-00090 TR-00090 PO-2024-0015 FA-000090 ITAM_control_matrix.png</t>
        </is>
      </c>
    </row>
    <row r="310">
      <c r="A310" s="7" t="inlineStr">
        <is>
          <t>MD-00091</t>
        </is>
      </c>
      <c r="B310" s="7" t="inlineStr">
        <is>
          <t>2025-08-20</t>
        </is>
      </c>
      <c r="C310" s="7" t="inlineStr">
        <is>
          <t>Purchase</t>
        </is>
      </c>
      <c r="D310" s="7" t="inlineStr">
        <is>
          <t>Vendor</t>
        </is>
      </c>
      <c r="E310" s="7" t="inlineStr">
        <is>
          <t>Central Receiving</t>
        </is>
      </c>
      <c r="F310" s="7" t="inlineStr">
        <is>
          <t>Atlanta Warehouse</t>
        </is>
      </c>
      <c r="G310" s="7" t="inlineStr">
        <is>
          <t>PO:PO-2025-0016</t>
        </is>
      </c>
      <c r="H310" s="7" t="inlineStr">
        <is>
          <t>Confirmed Fact</t>
        </is>
      </c>
      <c r="I310" s="7" t="inlineStr">
        <is>
          <t>PO-2025-0016: Samsung Galaxy S24 at $950.</t>
        </is>
      </c>
    </row>
    <row r="311">
      <c r="A311" s="7" t="inlineStr">
        <is>
          <t>MD-00091</t>
        </is>
      </c>
      <c r="B311" s="7" t="inlineStr">
        <is>
          <t>2026-02-20</t>
        </is>
      </c>
      <c r="C311" s="7" t="inlineStr">
        <is>
          <t>Assignment/Transfer</t>
        </is>
      </c>
      <c r="D311" s="7" t="inlineStr">
        <is>
          <t>Central Receiving</t>
        </is>
      </c>
      <c r="E311" s="7" t="inlineStr">
        <is>
          <t>Unverified</t>
        </is>
      </c>
      <c r="F311" s="7" t="inlineStr">
        <is>
          <t>Unknown</t>
        </is>
      </c>
      <c r="G311" s="7" t="inlineStr">
        <is>
          <t>Transfer:TR-00091; Approval:APR-00091</t>
        </is>
      </c>
      <c r="H311" s="7" t="inlineStr">
        <is>
          <t>Confirmed Fact</t>
        </is>
      </c>
      <c r="I311" s="7" t="inlineStr">
        <is>
          <t>Moved to Unverified in Unknown on TR-00091. Received February 24, 2026.</t>
        </is>
      </c>
    </row>
    <row r="312">
      <c r="A312" s="7" t="inlineStr">
        <is>
          <t>MD-00091</t>
        </is>
      </c>
      <c r="B312" s="7" t="inlineStr">
        <is>
          <t>2026-05-08</t>
        </is>
      </c>
      <c r="C312" s="7" t="inlineStr">
        <is>
          <t>Offboarding Ticket</t>
        </is>
      </c>
      <c r="D312" s="7" t="inlineStr">
        <is>
          <t>E0079</t>
        </is>
      </c>
      <c r="E312" s="7" t="inlineStr">
        <is>
          <t>IT Service Desk</t>
        </is>
      </c>
      <c r="F312" s="7" t="inlineStr"/>
      <c r="G312" s="7" t="inlineStr">
        <is>
          <t>Ticket:OFF-00091; Status:Unresolved</t>
        </is>
      </c>
      <c r="H312" s="7" t="inlineStr">
        <is>
          <t>Confirmed Fact</t>
        </is>
      </c>
      <c r="I312" s="7" t="inlineStr">
        <is>
          <t>OFF-00091 Unresolved. Return required=Yes, due 15 Jul.</t>
        </is>
      </c>
    </row>
    <row r="313">
      <c r="A313" s="7" t="inlineStr">
        <is>
          <t>MD-00091</t>
        </is>
      </c>
      <c r="B313" s="7" t="inlineStr">
        <is>
          <t>2026-05-08</t>
        </is>
      </c>
      <c r="C313" s="7" t="inlineStr">
        <is>
          <t>Technician Comment</t>
        </is>
      </c>
      <c r="D313" s="7" t="inlineStr">
        <is>
          <t>Service Desk</t>
        </is>
      </c>
      <c r="E313" s="7" t="inlineStr"/>
      <c r="F313" s="7" t="inlineStr"/>
      <c r="G313" s="7" t="inlineStr">
        <is>
          <t>Ticket:OFF-00091</t>
        </is>
      </c>
      <c r="H313" s="7" t="inlineStr">
        <is>
          <t>Technician Claim</t>
        </is>
      </c>
      <c r="I313" s="7" t="inlineStr">
        <is>
          <t>Last badge swipe was the closed floor. Device not in the return pile. Ref MD-00091.</t>
        </is>
      </c>
    </row>
    <row r="314">
      <c r="A314" s="7" t="inlineStr">
        <is>
          <t>MD-00091</t>
        </is>
      </c>
      <c r="B314" s="7" t="inlineStr">
        <is>
          <t>2026-08-05</t>
        </is>
      </c>
      <c r="C314" s="7" t="inlineStr">
        <is>
          <t>Regional IT Note Lead</t>
        </is>
      </c>
      <c r="D314" s="7" t="inlineStr">
        <is>
          <t>Regional IT</t>
        </is>
      </c>
      <c r="E314" s="7" t="inlineStr"/>
      <c r="F314" s="7" t="inlineStr">
        <is>
          <t>Denver - Closed</t>
        </is>
      </c>
      <c r="G314" s="7" t="inlineStr">
        <is>
          <t>regional_IT_notes.docx</t>
        </is>
      </c>
      <c r="H314" s="7" t="inlineStr">
        <is>
          <t>Technician Claim</t>
        </is>
      </c>
      <c r="I314" s="7" t="inlineStr">
        <is>
          <t>I read the note. I didn't relocate MD-00091 off of it.</t>
        </is>
      </c>
    </row>
    <row r="315">
      <c r="A315" s="7" t="inlineStr">
        <is>
          <t>MD-00091</t>
        </is>
      </c>
      <c r="B315" s="7" t="inlineStr">
        <is>
          <t>2026-08-09</t>
        </is>
      </c>
      <c r="C315" s="7" t="inlineStr">
        <is>
          <t>Policy Control Figure</t>
        </is>
      </c>
      <c r="D315" s="7" t="inlineStr">
        <is>
          <t>ITAM-001</t>
        </is>
      </c>
      <c r="E315" s="7" t="inlineStr"/>
      <c r="F315" s="7" t="inlineStr"/>
      <c r="G315" s="7" t="inlineStr">
        <is>
          <t>ITAM_control_matrix.png; IT_asset_management_policy.pdf</t>
        </is>
      </c>
      <c r="H315" s="7" t="inlineStr">
        <is>
          <t>Confirmed Fact</t>
        </is>
      </c>
      <c r="I315" s="7" t="inlineStr">
        <is>
          <t>MD-00091: Assignment control from ITAM-001 Appendix A governs this step; matrix figure is the standard, not proof of movement (chain reference above); ITAM_control_matrix.png in packet.</t>
        </is>
      </c>
    </row>
    <row r="316">
      <c r="A316" s="7" t="inlineStr">
        <is>
          <t>MD-00091</t>
        </is>
      </c>
      <c r="B316" s="7" t="inlineStr">
        <is>
          <t>2026-08-09</t>
        </is>
      </c>
      <c r="C316" s="7" t="inlineStr">
        <is>
          <t>Unresolved Assumption</t>
        </is>
      </c>
      <c r="D316" s="7" t="inlineStr"/>
      <c r="E316" s="7" t="inlineStr"/>
      <c r="F316" s="7" t="inlineStr"/>
      <c r="G316" s="7" t="inlineStr">
        <is>
          <t>Reconciliation</t>
        </is>
      </c>
      <c r="H316" s="7" t="inlineStr">
        <is>
          <t>Unresolved Assumption</t>
        </is>
      </c>
      <c r="I316" s="7" t="inlineStr">
        <is>
          <t>I won't invent a floor for MD-00091.</t>
        </is>
      </c>
    </row>
    <row r="317">
      <c r="A317" s="7" t="inlineStr">
        <is>
          <t>MD-00091</t>
        </is>
      </c>
      <c r="B317" s="7" t="inlineStr">
        <is>
          <t>2026-08-09</t>
        </is>
      </c>
      <c r="C317" s="7" t="inlineStr">
        <is>
          <t>Reconciliation Conclusion</t>
        </is>
      </c>
      <c r="D317" s="7" t="inlineStr">
        <is>
          <t>Evidence review</t>
        </is>
      </c>
      <c r="E317" s="7" t="inlineStr">
        <is>
          <t>E0079</t>
        </is>
      </c>
      <c r="F317" s="7" t="inlineStr">
        <is>
          <t>Unknown</t>
        </is>
      </c>
      <c r="G317" s="7" t="inlineStr">
        <is>
          <t>Ticket:OFF-00091; Transfer:TR-00091; LastRegisterLocation:Denver - Closed; TechnicianClaim:see custody chain; PO:PO-2025-0016; Ledger:FA-000091; PolicyFigure:ITAM_control_matrix.png</t>
        </is>
      </c>
      <c r="H317" s="7" t="inlineStr">
        <is>
          <t>Unresolved Assumption</t>
        </is>
      </c>
      <c r="I317" s="7" t="inlineStr">
        <is>
          <t>Closing note MD-00091: Missing / Unknown (Low). EX-0107, EX-0108. OFF-00091 TR-00091 PO-2025-0016 FA-000091 ITAM_control_matrix.png</t>
        </is>
      </c>
    </row>
    <row r="318">
      <c r="A318" s="7" t="inlineStr">
        <is>
          <t>MD-00092</t>
        </is>
      </c>
      <c r="B318" s="7" t="inlineStr">
        <is>
          <t>2022-09-21</t>
        </is>
      </c>
      <c r="C318" s="7" t="inlineStr">
        <is>
          <t>Purchase</t>
        </is>
      </c>
      <c r="D318" s="7" t="inlineStr">
        <is>
          <t>Vendor</t>
        </is>
      </c>
      <c r="E318" s="7" t="inlineStr">
        <is>
          <t>Central Receiving</t>
        </is>
      </c>
      <c r="F318" s="7" t="inlineStr">
        <is>
          <t>Atlanta Warehouse</t>
        </is>
      </c>
      <c r="G318" s="7" t="inlineStr">
        <is>
          <t>PO:PO-2025-0016</t>
        </is>
      </c>
      <c r="H318" s="7" t="inlineStr">
        <is>
          <t>Confirmed Fact</t>
        </is>
      </c>
      <c r="I318" s="7" t="inlineStr">
        <is>
          <t>Warehouse receipt tied to PO-2025-0016. Cisco C9300.</t>
        </is>
      </c>
    </row>
    <row r="319">
      <c r="A319" s="7" t="inlineStr">
        <is>
          <t>MD-00092</t>
        </is>
      </c>
      <c r="B319" s="7" t="inlineStr">
        <is>
          <t>2026-03-21</t>
        </is>
      </c>
      <c r="C319" s="7" t="inlineStr">
        <is>
          <t>Assignment/Transfer</t>
        </is>
      </c>
      <c r="D319" s="7" t="inlineStr">
        <is>
          <t>Central Receiving</t>
        </is>
      </c>
      <c r="E319" s="7" t="inlineStr">
        <is>
          <t>Unverified</t>
        </is>
      </c>
      <c r="F319" s="7" t="inlineStr">
        <is>
          <t>Unknown</t>
        </is>
      </c>
      <c r="G319" s="7" t="inlineStr">
        <is>
          <t>Transfer:TR-00092; Approval:APR-00092</t>
        </is>
      </c>
      <c r="H319" s="7" t="inlineStr">
        <is>
          <t>Confirmed Fact</t>
        </is>
      </c>
      <c r="I319" s="7" t="inlineStr">
        <is>
          <t>Recorded 3/28/26, received 28 Mar. TR-00092.</t>
        </is>
      </c>
    </row>
    <row r="320">
      <c r="A320" s="7" t="inlineStr">
        <is>
          <t>MD-00092</t>
        </is>
      </c>
      <c r="B320" s="7" t="inlineStr">
        <is>
          <t>2026-06-09</t>
        </is>
      </c>
      <c r="C320" s="7" t="inlineStr">
        <is>
          <t>Offboarding Ticket</t>
        </is>
      </c>
      <c r="D320" s="7" t="inlineStr">
        <is>
          <t>E0080</t>
        </is>
      </c>
      <c r="E320" s="7" t="inlineStr">
        <is>
          <t>IT Service Desk</t>
        </is>
      </c>
      <c r="F320" s="7" t="inlineStr"/>
      <c r="G320" s="7" t="inlineStr">
        <is>
          <t>Ticket:OFF-00092; Status:Unresolved</t>
        </is>
      </c>
      <c r="H320" s="7" t="inlineStr">
        <is>
          <t>Confirmed Fact</t>
        </is>
      </c>
      <c r="I320" s="7" t="inlineStr">
        <is>
          <t>OFF-00092 Unresolved. Return required=Yes, due 2026-07-15.</t>
        </is>
      </c>
    </row>
    <row r="321">
      <c r="A321" s="7" t="inlineStr">
        <is>
          <t>MD-00092</t>
        </is>
      </c>
      <c r="B321" s="7" t="inlineStr">
        <is>
          <t>2026-06-09</t>
        </is>
      </c>
      <c r="C321" s="7" t="inlineStr">
        <is>
          <t>Technician Comment</t>
        </is>
      </c>
      <c r="D321" s="7" t="inlineStr">
        <is>
          <t>Service Desk</t>
        </is>
      </c>
      <c r="E321" s="7" t="inlineStr"/>
      <c r="F321" s="7" t="inlineStr"/>
      <c r="G321" s="7" t="inlineStr">
        <is>
          <t>Ticket:OFF-00092</t>
        </is>
      </c>
      <c r="H321" s="7" t="inlineStr">
        <is>
          <t>Technician Claim</t>
        </is>
      </c>
      <c r="I321" s="7" t="inlineStr">
        <is>
          <t>Reported left in a conference room that's since been stripped. Ref MD-00092.</t>
        </is>
      </c>
    </row>
    <row r="322">
      <c r="A322" s="7" t="inlineStr">
        <is>
          <t>MD-00092</t>
        </is>
      </c>
      <c r="B322" s="7" t="inlineStr">
        <is>
          <t>2026-08-05</t>
        </is>
      </c>
      <c r="C322" s="7" t="inlineStr">
        <is>
          <t>Regional IT Note Lead</t>
        </is>
      </c>
      <c r="D322" s="7" t="inlineStr">
        <is>
          <t>Regional IT</t>
        </is>
      </c>
      <c r="E322" s="7" t="inlineStr"/>
      <c r="F322" s="7" t="inlineStr">
        <is>
          <t>Chicago - Closed</t>
        </is>
      </c>
      <c r="G322" s="7" t="inlineStr">
        <is>
          <t>regional_IT_notes.docx</t>
        </is>
      </c>
      <c r="H322" s="7" t="inlineStr">
        <is>
          <t>Technician Claim</t>
        </is>
      </c>
      <c r="I322" s="7" t="inlineStr">
        <is>
          <t>Breadcrumb in regional_IT_notes.docx. Still need a transaction for MD-00092.</t>
        </is>
      </c>
    </row>
    <row r="323">
      <c r="A323" s="7" t="inlineStr">
        <is>
          <t>MD-00092</t>
        </is>
      </c>
      <c r="B323" s="7" t="inlineStr">
        <is>
          <t>2026-08-09</t>
        </is>
      </c>
      <c r="C323" s="7" t="inlineStr">
        <is>
          <t>Policy Control Figure</t>
        </is>
      </c>
      <c r="D323" s="7" t="inlineStr">
        <is>
          <t>ITAM-001</t>
        </is>
      </c>
      <c r="E323" s="7" t="inlineStr"/>
      <c r="F323" s="7" t="inlineStr"/>
      <c r="G323" s="7" t="inlineStr">
        <is>
          <t>ITAM_control_matrix.png; IT_asset_management_policy.pdf</t>
        </is>
      </c>
      <c r="H323" s="7" t="inlineStr">
        <is>
          <t>Confirmed Fact</t>
        </is>
      </c>
      <c r="I323" s="7" t="inlineStr">
        <is>
          <t>MD-00092: matrix row Disposal defines acceptable proof; chain reference above is what was reviewed.</t>
        </is>
      </c>
    </row>
    <row r="324">
      <c r="A324" s="7" t="inlineStr">
        <is>
          <t>MD-00092</t>
        </is>
      </c>
      <c r="B324" s="7" t="inlineStr">
        <is>
          <t>2026-08-09</t>
        </is>
      </c>
      <c r="C324" s="7" t="inlineStr">
        <is>
          <t>Unresolved Assumption</t>
        </is>
      </c>
      <c r="D324" s="7" t="inlineStr"/>
      <c r="E324" s="7" t="inlineStr"/>
      <c r="F324" s="7" t="inlineStr"/>
      <c r="G324" s="7" t="inlineStr">
        <is>
          <t>Reconciliation</t>
        </is>
      </c>
      <c r="H324" s="7" t="inlineStr">
        <is>
          <t>Unresolved Assumption</t>
        </is>
      </c>
      <c r="I324" s="7" t="inlineStr">
        <is>
          <t>Still no receiving scan, disposal cert, or count that places MD-00092.</t>
        </is>
      </c>
    </row>
    <row r="325">
      <c r="A325" s="7" t="inlineStr">
        <is>
          <t>MD-00092</t>
        </is>
      </c>
      <c r="B325" s="7" t="inlineStr">
        <is>
          <t>2026-08-09</t>
        </is>
      </c>
      <c r="C325" s="7" t="inlineStr">
        <is>
          <t>Reconciliation Conclusion</t>
        </is>
      </c>
      <c r="D325" s="7" t="inlineStr">
        <is>
          <t>Evidence review</t>
        </is>
      </c>
      <c r="E325" s="7" t="inlineStr">
        <is>
          <t>E0080</t>
        </is>
      </c>
      <c r="F325" s="7" t="inlineStr">
        <is>
          <t>Unknown</t>
        </is>
      </c>
      <c r="G325" s="7" t="inlineStr">
        <is>
          <t>Ticket:OFF-00092; Transfer:TR-00092; LastRegisterLocation:Chicago - Closed; TechnicianClaim:see custody chain; PO:PO-2025-0016; Ledger:FA-000092; PolicyFigure:ITAM_control_matrix.png</t>
        </is>
      </c>
      <c r="H325" s="7" t="inlineStr">
        <is>
          <t>Unresolved Assumption</t>
        </is>
      </c>
      <c r="I325" s="7" t="inlineStr">
        <is>
          <t>Closing note MD-00092: Missing / Unknown (Low). EX-0109, EX-0110, EX-0111. OFF-00092 TR-00092 PO-2025-0016 FA-000092 ITAM_control_matrix.png</t>
        </is>
      </c>
    </row>
    <row r="326">
      <c r="A326" s="7" t="inlineStr">
        <is>
          <t>MD-00093</t>
        </is>
      </c>
      <c r="B326" s="7" t="inlineStr">
        <is>
          <t>2023-10-22</t>
        </is>
      </c>
      <c r="C326" s="7" t="inlineStr">
        <is>
          <t>Purchase</t>
        </is>
      </c>
      <c r="D326" s="7" t="inlineStr">
        <is>
          <t>Vendor</t>
        </is>
      </c>
      <c r="E326" s="7" t="inlineStr">
        <is>
          <t>Central Receiving</t>
        </is>
      </c>
      <c r="F326" s="7" t="inlineStr">
        <is>
          <t>Atlanta Warehouse</t>
        </is>
      </c>
      <c r="G326" s="7" t="inlineStr">
        <is>
          <t>PO:PO-2025-0016</t>
        </is>
      </c>
      <c r="H326" s="7" t="inlineStr">
        <is>
          <t>Confirmed Fact</t>
        </is>
      </c>
      <c r="I326" s="7" t="inlineStr">
        <is>
          <t>Dell Latitude 7440 came in on PO-2025-0016 ($1940).</t>
        </is>
      </c>
    </row>
    <row r="327">
      <c r="A327" s="7" t="inlineStr">
        <is>
          <t>MD-00093</t>
        </is>
      </c>
      <c r="B327" s="7" t="inlineStr">
        <is>
          <t>2026-04-22</t>
        </is>
      </c>
      <c r="C327" s="7" t="inlineStr">
        <is>
          <t>Assignment/Transfer</t>
        </is>
      </c>
      <c r="D327" s="7" t="inlineStr">
        <is>
          <t>Central Receiving</t>
        </is>
      </c>
      <c r="E327" s="7" t="inlineStr">
        <is>
          <t>Unverified</t>
        </is>
      </c>
      <c r="F327" s="7" t="inlineStr">
        <is>
          <t>Unknown</t>
        </is>
      </c>
      <c r="G327" s="7" t="inlineStr">
        <is>
          <t>Transfer:TR-00093; Approval:APR-00093</t>
        </is>
      </c>
      <c r="H327" s="7" t="inlineStr">
        <is>
          <t>Confirmed Fact</t>
        </is>
      </c>
      <c r="I327" s="7" t="inlineStr">
        <is>
          <t>Log row TR-00093. Receive date 2026-05-06.</t>
        </is>
      </c>
    </row>
    <row r="328">
      <c r="A328" s="7" t="inlineStr">
        <is>
          <t>MD-00093</t>
        </is>
      </c>
      <c r="B328" s="7" t="inlineStr">
        <is>
          <t>2026-05-10</t>
        </is>
      </c>
      <c r="C328" s="7" t="inlineStr">
        <is>
          <t>Offboarding Ticket</t>
        </is>
      </c>
      <c r="D328" s="7" t="inlineStr">
        <is>
          <t>E0081</t>
        </is>
      </c>
      <c r="E328" s="7" t="inlineStr">
        <is>
          <t>IT Service Desk</t>
        </is>
      </c>
      <c r="F328" s="7" t="inlineStr"/>
      <c r="G328" s="7" t="inlineStr">
        <is>
          <t>Ticket:OFF-00093; Status:Unresolved</t>
        </is>
      </c>
      <c r="H328" s="7" t="inlineStr">
        <is>
          <t>Confirmed Fact</t>
        </is>
      </c>
      <c r="I328" s="7" t="inlineStr">
        <is>
          <t>OFF-00093 Unresolved. Return required=Yes, due 7/15/26.</t>
        </is>
      </c>
    </row>
    <row r="329">
      <c r="A329" s="7" t="inlineStr">
        <is>
          <t>MD-00093</t>
        </is>
      </c>
      <c r="B329" s="7" t="inlineStr">
        <is>
          <t>2026-05-10</t>
        </is>
      </c>
      <c r="C329" s="7" t="inlineStr">
        <is>
          <t>Technician Comment</t>
        </is>
      </c>
      <c r="D329" s="7" t="inlineStr">
        <is>
          <t>Service Desk</t>
        </is>
      </c>
      <c r="E329" s="7" t="inlineStr"/>
      <c r="F329" s="7" t="inlineStr"/>
      <c r="G329" s="7" t="inlineStr">
        <is>
          <t>Ticket:OFF-00093</t>
        </is>
      </c>
      <c r="H329" s="7" t="inlineStr">
        <is>
          <t>Technician Claim</t>
        </is>
      </c>
      <c r="I329" s="7" t="inlineStr">
        <is>
          <t>They mailed a note: hardware stayed with furniture. Furniture BOL has no IT. Ref MD-00093.</t>
        </is>
      </c>
    </row>
    <row r="330">
      <c r="A330" s="7" t="inlineStr">
        <is>
          <t>MD-00093</t>
        </is>
      </c>
      <c r="B330" s="7" t="inlineStr">
        <is>
          <t>2026-08-05</t>
        </is>
      </c>
      <c r="C330" s="7" t="inlineStr">
        <is>
          <t>Regional IT Note Lead</t>
        </is>
      </c>
      <c r="D330" s="7" t="inlineStr">
        <is>
          <t>Regional IT</t>
        </is>
      </c>
      <c r="E330" s="7" t="inlineStr"/>
      <c r="F330" s="7" t="inlineStr">
        <is>
          <t>Denver - Closed</t>
        </is>
      </c>
      <c r="G330" s="7" t="inlineStr">
        <is>
          <t>regional_IT_notes.docx</t>
        </is>
      </c>
      <c r="H330" s="7" t="inlineStr">
        <is>
          <t>Technician Claim</t>
        </is>
      </c>
      <c r="I330" s="7" t="inlineStr">
        <is>
          <t>regional_IT_notes.docx mentions closed-office leftover color on MD-00093. Notes don't beat a scan.</t>
        </is>
      </c>
    </row>
    <row r="331">
      <c r="A331" s="7" t="inlineStr">
        <is>
          <t>MD-00093</t>
        </is>
      </c>
      <c r="B331" s="7" t="inlineStr">
        <is>
          <t>2026-08-09</t>
        </is>
      </c>
      <c r="C331" s="7" t="inlineStr">
        <is>
          <t>Policy Control Figure</t>
        </is>
      </c>
      <c r="D331" s="7" t="inlineStr">
        <is>
          <t>ITAM-001</t>
        </is>
      </c>
      <c r="E331" s="7" t="inlineStr"/>
      <c r="F331" s="7" t="inlineStr"/>
      <c r="G331" s="7" t="inlineStr">
        <is>
          <t>ITAM_control_matrix.png; IT_asset_management_policy.pdf</t>
        </is>
      </c>
      <c r="H331" s="7" t="inlineStr">
        <is>
          <t>Confirmed Fact</t>
        </is>
      </c>
      <c r="I331" s="7" t="inlineStr">
        <is>
          <t>Appendix A matrix applied to MD-00093 under the transfer row; chain reference above remains the auditable transaction.</t>
        </is>
      </c>
    </row>
    <row r="332">
      <c r="A332" s="7" t="inlineStr">
        <is>
          <t>MD-00093</t>
        </is>
      </c>
      <c r="B332" s="7" t="inlineStr">
        <is>
          <t>2026-08-09</t>
        </is>
      </c>
      <c r="C332" s="7" t="inlineStr">
        <is>
          <t>Unresolved Assumption</t>
        </is>
      </c>
      <c r="D332" s="7" t="inlineStr"/>
      <c r="E332" s="7" t="inlineStr"/>
      <c r="F332" s="7" t="inlineStr"/>
      <c r="G332" s="7" t="inlineStr">
        <is>
          <t>Reconciliation</t>
        </is>
      </c>
      <c r="H332" s="7" t="inlineStr">
        <is>
          <t>Unresolved Assumption</t>
        </is>
      </c>
      <c r="I332" s="7" t="inlineStr">
        <is>
          <t>Gap: nothing physical confirms MD-00093 right now.</t>
        </is>
      </c>
    </row>
    <row r="333">
      <c r="A333" s="7" t="inlineStr">
        <is>
          <t>MD-00093</t>
        </is>
      </c>
      <c r="B333" s="7" t="inlineStr">
        <is>
          <t>2026-08-09</t>
        </is>
      </c>
      <c r="C333" s="7" t="inlineStr">
        <is>
          <t>Reconciliation Conclusion</t>
        </is>
      </c>
      <c r="D333" s="7" t="inlineStr">
        <is>
          <t>Evidence review</t>
        </is>
      </c>
      <c r="E333" s="7" t="inlineStr">
        <is>
          <t>E0081</t>
        </is>
      </c>
      <c r="F333" s="7" t="inlineStr">
        <is>
          <t>Unknown</t>
        </is>
      </c>
      <c r="G333" s="7" t="inlineStr">
        <is>
          <t>Ticket:OFF-00093; Transfer:TR-00093; LastRegisterLocation:Denver - Closed; TechnicianClaim:see custody chain; PO:PO-2025-0016; Ledger:FA-000093; PolicyFigure:ITAM_control_matrix.png</t>
        </is>
      </c>
      <c r="H333" s="7" t="inlineStr">
        <is>
          <t>Unresolved Assumption</t>
        </is>
      </c>
      <c r="I333" s="7" t="inlineStr">
        <is>
          <t>Closing note MD-00093: Missing / Unknown (Low). EX-0112, EX-0113. OFF-00093 TR-00093 PO-2025-0016 FA-000093 ITAM_control_matrix.png</t>
        </is>
      </c>
    </row>
    <row r="334">
      <c r="A334" s="7" t="inlineStr">
        <is>
          <t>MD-00094</t>
        </is>
      </c>
      <c r="B334" s="7" t="inlineStr">
        <is>
          <t>2024-11-23</t>
        </is>
      </c>
      <c r="C334" s="7" t="inlineStr">
        <is>
          <t>Purchase</t>
        </is>
      </c>
      <c r="D334" s="7" t="inlineStr">
        <is>
          <t>Vendor</t>
        </is>
      </c>
      <c r="E334" s="7" t="inlineStr">
        <is>
          <t>Central Receiving</t>
        </is>
      </c>
      <c r="F334" s="7" t="inlineStr">
        <is>
          <t>Atlanta Warehouse</t>
        </is>
      </c>
      <c r="G334" s="7" t="inlineStr">
        <is>
          <t>PO:PO-2025-0016</t>
        </is>
      </c>
      <c r="H334" s="7" t="inlineStr">
        <is>
          <t>Confirmed Fact</t>
        </is>
      </c>
      <c r="I334" s="7" t="inlineStr">
        <is>
          <t>PO line PO-2025-0016 — Dell U2723QE.</t>
        </is>
      </c>
    </row>
    <row r="335">
      <c r="A335" s="7" t="inlineStr">
        <is>
          <t>MD-00094</t>
        </is>
      </c>
      <c r="B335" s="7" t="inlineStr">
        <is>
          <t>2026-05-23</t>
        </is>
      </c>
      <c r="C335" s="7" t="inlineStr">
        <is>
          <t>Assignment/Transfer</t>
        </is>
      </c>
      <c r="D335" s="7" t="inlineStr">
        <is>
          <t>Central Receiving</t>
        </is>
      </c>
      <c r="E335" s="7" t="inlineStr">
        <is>
          <t>Unverified</t>
        </is>
      </c>
      <c r="F335" s="7" t="inlineStr">
        <is>
          <t>Unknown</t>
        </is>
      </c>
      <c r="G335" s="7" t="inlineStr">
        <is>
          <t>Transfer:TR-00094; Approval:APR-00094</t>
        </is>
      </c>
      <c r="H335" s="7" t="inlineStr">
        <is>
          <t>Confirmed Fact</t>
        </is>
      </c>
      <c r="I335" s="7" t="inlineStr">
        <is>
          <t>From warehouse to Unverified. TR-00094, received 6/4/26.</t>
        </is>
      </c>
    </row>
    <row r="336">
      <c r="A336" s="7" t="inlineStr">
        <is>
          <t>MD-00094</t>
        </is>
      </c>
      <c r="B336" s="7" t="inlineStr">
        <is>
          <t>2026-06-11</t>
        </is>
      </c>
      <c r="C336" s="7" t="inlineStr">
        <is>
          <t>Offboarding Ticket</t>
        </is>
      </c>
      <c r="D336" s="7" t="inlineStr">
        <is>
          <t>E0082</t>
        </is>
      </c>
      <c r="E336" s="7" t="inlineStr">
        <is>
          <t>IT Service Desk</t>
        </is>
      </c>
      <c r="F336" s="7" t="inlineStr"/>
      <c r="G336" s="7" t="inlineStr">
        <is>
          <t>Ticket:OFF-00094; Status:Unresolved</t>
        </is>
      </c>
      <c r="H336" s="7" t="inlineStr">
        <is>
          <t>Confirmed Fact</t>
        </is>
      </c>
      <c r="I336" s="7" t="inlineStr">
        <is>
          <t>OFF-00094 Unresolved. Return required=Yes, due 2026-07-15.</t>
        </is>
      </c>
    </row>
    <row r="337">
      <c r="A337" s="7" t="inlineStr">
        <is>
          <t>MD-00094</t>
        </is>
      </c>
      <c r="B337" s="7" t="inlineStr">
        <is>
          <t>2026-06-11</t>
        </is>
      </c>
      <c r="C337" s="7" t="inlineStr">
        <is>
          <t>Technician Comment</t>
        </is>
      </c>
      <c r="D337" s="7" t="inlineStr">
        <is>
          <t>Service Desk</t>
        </is>
      </c>
      <c r="E337" s="7" t="inlineStr"/>
      <c r="F337" s="7" t="inlineStr"/>
      <c r="G337" s="7" t="inlineStr">
        <is>
          <t>Ticket:OFF-00094</t>
        </is>
      </c>
      <c r="H337" s="7" t="inlineStr">
        <is>
          <t>Technician Claim</t>
        </is>
      </c>
      <c r="I337" s="7" t="inlineStr">
        <is>
          <t>Couldn't locate during Gemba. Treat as missing until we get a scan. Ref MD-00094.</t>
        </is>
      </c>
    </row>
    <row r="338">
      <c r="A338" s="7" t="inlineStr">
        <is>
          <t>MD-00094</t>
        </is>
      </c>
      <c r="B338" s="7" t="inlineStr">
        <is>
          <t>2026-08-05</t>
        </is>
      </c>
      <c r="C338" s="7" t="inlineStr">
        <is>
          <t>Regional IT Note Lead</t>
        </is>
      </c>
      <c r="D338" s="7" t="inlineStr">
        <is>
          <t>Regional IT</t>
        </is>
      </c>
      <c r="E338" s="7" t="inlineStr"/>
      <c r="F338" s="7" t="inlineStr">
        <is>
          <t>Chicago - Closed</t>
        </is>
      </c>
      <c r="G338" s="7" t="inlineStr">
        <is>
          <t>regional_IT_notes.docx</t>
        </is>
      </c>
      <c r="H338" s="7" t="inlineStr">
        <is>
          <t>Technician Claim</t>
        </is>
      </c>
      <c r="I338" s="7" t="inlineStr">
        <is>
          <t>Note exists. Corroboration doesn't. MD-00094.</t>
        </is>
      </c>
    </row>
    <row r="339">
      <c r="A339" s="7" t="inlineStr">
        <is>
          <t>MD-00094</t>
        </is>
      </c>
      <c r="B339" s="7" t="inlineStr">
        <is>
          <t>2026-08-09</t>
        </is>
      </c>
      <c r="C339" s="7" t="inlineStr">
        <is>
          <t>Policy Control Figure</t>
        </is>
      </c>
      <c r="D339" s="7" t="inlineStr">
        <is>
          <t>ITAM-001</t>
        </is>
      </c>
      <c r="E339" s="7" t="inlineStr"/>
      <c r="F339" s="7" t="inlineStr"/>
      <c r="G339" s="7" t="inlineStr">
        <is>
          <t>ITAM_control_matrix.png; IT_asset_management_policy.pdf</t>
        </is>
      </c>
      <c r="H339" s="7" t="inlineStr">
        <is>
          <t>Confirmed Fact</t>
        </is>
      </c>
      <c r="I339" s="7" t="inlineStr">
        <is>
          <t>Evidence standard for MD-00094 follows Appendix A (Financial); transactional support is chain reference above; ITAM_control_matrix.png in packet.</t>
        </is>
      </c>
    </row>
    <row r="340">
      <c r="A340" s="7" t="inlineStr">
        <is>
          <t>MD-00094</t>
        </is>
      </c>
      <c r="B340" s="7" t="inlineStr">
        <is>
          <t>2026-08-09</t>
        </is>
      </c>
      <c r="C340" s="7" t="inlineStr">
        <is>
          <t>Unresolved Assumption</t>
        </is>
      </c>
      <c r="D340" s="7" t="inlineStr"/>
      <c r="E340" s="7" t="inlineStr"/>
      <c r="F340" s="7" t="inlineStr"/>
      <c r="G340" s="7" t="inlineStr">
        <is>
          <t>Reconciliation</t>
        </is>
      </c>
      <c r="H340" s="7" t="inlineStr">
        <is>
          <t>Unresolved Assumption</t>
        </is>
      </c>
      <c r="I340" s="7" t="inlineStr">
        <is>
          <t>I won't invent a floor for MD-00094.</t>
        </is>
      </c>
    </row>
    <row r="341">
      <c r="A341" s="7" t="inlineStr">
        <is>
          <t>MD-00094</t>
        </is>
      </c>
      <c r="B341" s="7" t="inlineStr">
        <is>
          <t>2026-08-09</t>
        </is>
      </c>
      <c r="C341" s="7" t="inlineStr">
        <is>
          <t>Reconciliation Conclusion</t>
        </is>
      </c>
      <c r="D341" s="7" t="inlineStr">
        <is>
          <t>Evidence review</t>
        </is>
      </c>
      <c r="E341" s="7" t="inlineStr">
        <is>
          <t>E0082</t>
        </is>
      </c>
      <c r="F341" s="7" t="inlineStr">
        <is>
          <t>Unknown</t>
        </is>
      </c>
      <c r="G341" s="7" t="inlineStr">
        <is>
          <t>Ticket:OFF-00094; Transfer:TR-00094; LastRegisterLocation:Chicago - Closed; TechnicianClaim:see custody chain; PO:PO-2025-0016; Ledger:FA-000094; PolicyFigure:ITAM_control_matrix.png</t>
        </is>
      </c>
      <c r="H341" s="7" t="inlineStr">
        <is>
          <t>Unresolved Assumption</t>
        </is>
      </c>
      <c r="I341" s="7" t="inlineStr">
        <is>
          <t>Closing note MD-00094: Missing / Unknown (Low). EX-0114, EX-0115. OFF-00094 TR-00094 PO-2025-0016 FA-000094 ITAM_control_matrix.png</t>
        </is>
      </c>
    </row>
    <row r="342">
      <c r="A342" s="7" t="inlineStr">
        <is>
          <t>MD-00095</t>
        </is>
      </c>
      <c r="B342" s="7" t="inlineStr">
        <is>
          <t>2025-12-24</t>
        </is>
      </c>
      <c r="C342" s="7" t="inlineStr">
        <is>
          <t>Purchase</t>
        </is>
      </c>
      <c r="D342" s="7" t="inlineStr">
        <is>
          <t>Vendor</t>
        </is>
      </c>
      <c r="E342" s="7" t="inlineStr">
        <is>
          <t>Central Receiving</t>
        </is>
      </c>
      <c r="F342" s="7" t="inlineStr">
        <is>
          <t>Atlanta Warehouse</t>
        </is>
      </c>
      <c r="G342" s="7" t="inlineStr">
        <is>
          <t>PO:PO-2025-0016</t>
        </is>
      </c>
      <c r="H342" s="7" t="inlineStr">
        <is>
          <t>Confirmed Fact</t>
        </is>
      </c>
      <c r="I342" s="7" t="inlineStr">
        <is>
          <t>Receiving against PO-2025-0016. Samsung Galaxy S24, $1130.</t>
        </is>
      </c>
    </row>
    <row r="343">
      <c r="A343" s="7" t="inlineStr">
        <is>
          <t>MD-00095</t>
        </is>
      </c>
      <c r="B343" s="7" t="inlineStr">
        <is>
          <t>2026-06-24</t>
        </is>
      </c>
      <c r="C343" s="7" t="inlineStr">
        <is>
          <t>Assignment/Transfer</t>
        </is>
      </c>
      <c r="D343" s="7" t="inlineStr">
        <is>
          <t>Central Receiving</t>
        </is>
      </c>
      <c r="E343" s="7" t="inlineStr">
        <is>
          <t>Unverified</t>
        </is>
      </c>
      <c r="F343" s="7" t="inlineStr">
        <is>
          <t>Unknown</t>
        </is>
      </c>
      <c r="G343" s="7" t="inlineStr">
        <is>
          <t>Transfer:TR-00095; Approval:APR-00095</t>
        </is>
      </c>
      <c r="H343" s="7" t="inlineStr">
        <is>
          <t>Confirmed Fact</t>
        </is>
      </c>
      <c r="I343" s="7" t="inlineStr">
        <is>
          <t>Assignment posted Jul 8. Docked 2026-07-08 (TR-00095).</t>
        </is>
      </c>
    </row>
    <row r="344">
      <c r="A344" s="7" t="inlineStr">
        <is>
          <t>MD-00095</t>
        </is>
      </c>
      <c r="B344" s="7" t="inlineStr">
        <is>
          <t>2026-05-12</t>
        </is>
      </c>
      <c r="C344" s="7" t="inlineStr">
        <is>
          <t>Offboarding Ticket</t>
        </is>
      </c>
      <c r="D344" s="7" t="inlineStr">
        <is>
          <t>E0083</t>
        </is>
      </c>
      <c r="E344" s="7" t="inlineStr">
        <is>
          <t>IT Service Desk</t>
        </is>
      </c>
      <c r="F344" s="7" t="inlineStr"/>
      <c r="G344" s="7" t="inlineStr">
        <is>
          <t>Ticket:OFF-00095; Status:Unresolved</t>
        </is>
      </c>
      <c r="H344" s="7" t="inlineStr">
        <is>
          <t>Confirmed Fact</t>
        </is>
      </c>
      <c r="I344" s="7" t="inlineStr">
        <is>
          <t>OFF-00095 Unresolved. Return required=Yes, due 7/15.</t>
        </is>
      </c>
    </row>
    <row r="345">
      <c r="A345" s="7" t="inlineStr">
        <is>
          <t>MD-00095</t>
        </is>
      </c>
      <c r="B345" s="7" t="inlineStr">
        <is>
          <t>2026-05-12</t>
        </is>
      </c>
      <c r="C345" s="7" t="inlineStr">
        <is>
          <t>Technician Comment</t>
        </is>
      </c>
      <c r="D345" s="7" t="inlineStr">
        <is>
          <t>Service Desk</t>
        </is>
      </c>
      <c r="E345" s="7" t="inlineStr"/>
      <c r="F345" s="7" t="inlineStr"/>
      <c r="G345" s="7" t="inlineStr">
        <is>
          <t>Ticket:OFF-00095</t>
        </is>
      </c>
      <c r="H345" s="7" t="inlineStr">
        <is>
          <t>Technician Claim</t>
        </is>
      </c>
      <c r="I345" s="7" t="inlineStr">
        <is>
          <t>Claims security held it. Security book doesn't list the tag. Ref MD-00095.</t>
        </is>
      </c>
    </row>
    <row r="346">
      <c r="A346" s="7" t="inlineStr">
        <is>
          <t>MD-00095</t>
        </is>
      </c>
      <c r="B346" s="7" t="inlineStr">
        <is>
          <t>2026-08-05</t>
        </is>
      </c>
      <c r="C346" s="7" t="inlineStr">
        <is>
          <t>Regional IT Note Lead</t>
        </is>
      </c>
      <c r="D346" s="7" t="inlineStr">
        <is>
          <t>Regional IT</t>
        </is>
      </c>
      <c r="E346" s="7" t="inlineStr"/>
      <c r="F346" s="7" t="inlineStr">
        <is>
          <t>Denver - Closed</t>
        </is>
      </c>
      <c r="G346" s="7" t="inlineStr">
        <is>
          <t>regional_IT_notes.docx</t>
        </is>
      </c>
      <c r="H346" s="7" t="inlineStr">
        <is>
          <t>Technician Claim</t>
        </is>
      </c>
      <c r="I346" s="7" t="inlineStr">
        <is>
          <t>Closed-floor story in the notes. Ignored as clearance. (MD-00095-Regional IT Note Lead-346)</t>
        </is>
      </c>
    </row>
    <row r="347">
      <c r="A347" s="7" t="inlineStr">
        <is>
          <t>MD-00095</t>
        </is>
      </c>
      <c r="B347" s="7" t="inlineStr">
        <is>
          <t>2026-08-09</t>
        </is>
      </c>
      <c r="C347" s="7" t="inlineStr">
        <is>
          <t>Policy Control Figure</t>
        </is>
      </c>
      <c r="D347" s="7" t="inlineStr">
        <is>
          <t>ITAM-001</t>
        </is>
      </c>
      <c r="E347" s="7" t="inlineStr"/>
      <c r="F347" s="7" t="inlineStr"/>
      <c r="G347" s="7" t="inlineStr">
        <is>
          <t>ITAM_control_matrix.png; IT_asset_management_policy.pdf</t>
        </is>
      </c>
      <c r="H347" s="7" t="inlineStr">
        <is>
          <t>Confirmed Fact</t>
        </is>
      </c>
      <c r="I347" s="7" t="inlineStr">
        <is>
          <t>Return evidence bar for MD-00095 taken from ITAM_control_matrix.png; does not substitute for chain reference above.</t>
        </is>
      </c>
    </row>
    <row r="348">
      <c r="A348" s="7" t="inlineStr">
        <is>
          <t>MD-00095</t>
        </is>
      </c>
      <c r="B348" s="7" t="inlineStr">
        <is>
          <t>2026-08-09</t>
        </is>
      </c>
      <c r="C348" s="7" t="inlineStr">
        <is>
          <t>Unresolved Assumption</t>
        </is>
      </c>
      <c r="D348" s="7" t="inlineStr"/>
      <c r="E348" s="7" t="inlineStr"/>
      <c r="F348" s="7" t="inlineStr"/>
      <c r="G348" s="7" t="inlineStr">
        <is>
          <t>Reconciliation</t>
        </is>
      </c>
      <c r="H348" s="7" t="inlineStr">
        <is>
          <t>Unresolved Assumption</t>
        </is>
      </c>
      <c r="I348" s="7" t="inlineStr">
        <is>
          <t>Still no receiving scan, disposal cert, or count that places MD-00095.</t>
        </is>
      </c>
    </row>
    <row r="349">
      <c r="A349" s="7" t="inlineStr">
        <is>
          <t>MD-00095</t>
        </is>
      </c>
      <c r="B349" s="7" t="inlineStr">
        <is>
          <t>2026-08-09</t>
        </is>
      </c>
      <c r="C349" s="7" t="inlineStr">
        <is>
          <t>Reconciliation Conclusion</t>
        </is>
      </c>
      <c r="D349" s="7" t="inlineStr">
        <is>
          <t>Evidence review</t>
        </is>
      </c>
      <c r="E349" s="7" t="inlineStr">
        <is>
          <t>E0083</t>
        </is>
      </c>
      <c r="F349" s="7" t="inlineStr">
        <is>
          <t>Unknown</t>
        </is>
      </c>
      <c r="G349" s="7" t="inlineStr">
        <is>
          <t>Ticket:OFF-00095; Transfer:TR-00095; LastRegisterLocation:Denver - Closed; TechnicianClaim:see custody chain; PO:PO-2025-0016; Ledger:FA-000095; PolicyFigure:ITAM_control_matrix.png</t>
        </is>
      </c>
      <c r="H349" s="7" t="inlineStr">
        <is>
          <t>Unresolved Assumption</t>
        </is>
      </c>
      <c r="I349" s="7" t="inlineStr">
        <is>
          <t>Closing note MD-00095: Missing / Unknown (Low). EX-0116, EX-0117. OFF-00095 TR-00095 PO-2025-0016 FA-000095 ITAM_control_matrix.png</t>
        </is>
      </c>
    </row>
    <row r="350">
      <c r="A350" s="7" t="inlineStr">
        <is>
          <t>MD-00096</t>
        </is>
      </c>
      <c r="B350" s="7" t="inlineStr">
        <is>
          <t>2022-01-01</t>
        </is>
      </c>
      <c r="C350" s="7" t="inlineStr">
        <is>
          <t>Purchase</t>
        </is>
      </c>
      <c r="D350" s="7" t="inlineStr">
        <is>
          <t>Vendor</t>
        </is>
      </c>
      <c r="E350" s="7" t="inlineStr">
        <is>
          <t>Central Receiving</t>
        </is>
      </c>
      <c r="F350" s="7" t="inlineStr">
        <is>
          <t>Atlanta Warehouse</t>
        </is>
      </c>
      <c r="G350" s="7" t="inlineStr">
        <is>
          <t>PO:PO-2025-0016</t>
        </is>
      </c>
      <c r="H350" s="7" t="inlineStr">
        <is>
          <t>Confirmed Fact</t>
        </is>
      </c>
      <c r="I350" s="7" t="inlineStr">
        <is>
          <t>PO-2025-0016: Cisco C9300 at $6425.</t>
        </is>
      </c>
    </row>
    <row r="351">
      <c r="A351" s="7" t="inlineStr">
        <is>
          <t>MD-00096</t>
        </is>
      </c>
      <c r="B351" s="7" t="inlineStr">
        <is>
          <t>2026-01-01</t>
        </is>
      </c>
      <c r="C351" s="7" t="inlineStr">
        <is>
          <t>Assignment/Transfer</t>
        </is>
      </c>
      <c r="D351" s="7" t="inlineStr">
        <is>
          <t>Central Receiving</t>
        </is>
      </c>
      <c r="E351" s="7" t="inlineStr">
        <is>
          <t>Unverified</t>
        </is>
      </c>
      <c r="F351" s="7" t="inlineStr">
        <is>
          <t>Unknown</t>
        </is>
      </c>
      <c r="G351" s="7" t="inlineStr">
        <is>
          <t>Transfer:TR-00096; Approval:APR-00096</t>
        </is>
      </c>
      <c r="H351" s="7" t="inlineStr">
        <is>
          <t>Confirmed Fact</t>
        </is>
      </c>
      <c r="I351" s="7" t="inlineStr">
        <is>
          <t>Moved to Unverified in Unknown on TR-00096. Received 1/19.</t>
        </is>
      </c>
    </row>
    <row r="352">
      <c r="A352" s="7" t="inlineStr">
        <is>
          <t>MD-00096</t>
        </is>
      </c>
      <c r="B352" s="7" t="inlineStr">
        <is>
          <t>2026-06-13</t>
        </is>
      </c>
      <c r="C352" s="7" t="inlineStr">
        <is>
          <t>Offboarding Ticket</t>
        </is>
      </c>
      <c r="D352" s="7" t="inlineStr">
        <is>
          <t>E0084</t>
        </is>
      </c>
      <c r="E352" s="7" t="inlineStr">
        <is>
          <t>IT Service Desk</t>
        </is>
      </c>
      <c r="F352" s="7" t="inlineStr"/>
      <c r="G352" s="7" t="inlineStr">
        <is>
          <t>Ticket:OFF-00096; Status:Unresolved</t>
        </is>
      </c>
      <c r="H352" s="7" t="inlineStr">
        <is>
          <t>Confirmed Fact</t>
        </is>
      </c>
      <c r="I352" s="7" t="inlineStr">
        <is>
          <t>OFF-00096 Unresolved. Return required=Yes, due Jul 15.</t>
        </is>
      </c>
    </row>
    <row r="353">
      <c r="A353" s="7" t="inlineStr">
        <is>
          <t>MD-00096</t>
        </is>
      </c>
      <c r="B353" s="7" t="inlineStr">
        <is>
          <t>2026-06-13</t>
        </is>
      </c>
      <c r="C353" s="7" t="inlineStr">
        <is>
          <t>Technician Comment</t>
        </is>
      </c>
      <c r="D353" s="7" t="inlineStr">
        <is>
          <t>Service Desk</t>
        </is>
      </c>
      <c r="E353" s="7" t="inlineStr"/>
      <c r="F353" s="7" t="inlineStr"/>
      <c r="G353" s="7" t="inlineStr">
        <is>
          <t>Ticket:OFF-00096</t>
        </is>
      </c>
      <c r="H353" s="7" t="inlineStr">
        <is>
          <t>Technician Claim</t>
        </is>
      </c>
      <c r="I353" s="7" t="inlineStr">
        <is>
          <t>Walkthrough photo of a cage — tag not readable. Still unresolved. Ref MD-00096.</t>
        </is>
      </c>
    </row>
    <row r="354">
      <c r="A354" s="7" t="inlineStr">
        <is>
          <t>MD-00096</t>
        </is>
      </c>
      <c r="B354" s="7" t="inlineStr">
        <is>
          <t>2026-08-05</t>
        </is>
      </c>
      <c r="C354" s="7" t="inlineStr">
        <is>
          <t>Regional IT Note Lead</t>
        </is>
      </c>
      <c r="D354" s="7" t="inlineStr">
        <is>
          <t>Regional IT</t>
        </is>
      </c>
      <c r="E354" s="7" t="inlineStr"/>
      <c r="F354" s="7" t="inlineStr">
        <is>
          <t>Chicago - Closed</t>
        </is>
      </c>
      <c r="G354" s="7" t="inlineStr">
        <is>
          <t>regional_IT_notes.docx</t>
        </is>
      </c>
      <c r="H354" s="7" t="inlineStr">
        <is>
          <t>Technician Claim</t>
        </is>
      </c>
      <c r="I354" s="7" t="inlineStr">
        <is>
          <t>I read the note. I didn't relocate MD-00096 off of it.</t>
        </is>
      </c>
    </row>
    <row r="355">
      <c r="A355" s="7" t="inlineStr">
        <is>
          <t>MD-00096</t>
        </is>
      </c>
      <c r="B355" s="7" t="inlineStr">
        <is>
          <t>2026-08-09</t>
        </is>
      </c>
      <c r="C355" s="7" t="inlineStr">
        <is>
          <t>Policy Control Figure</t>
        </is>
      </c>
      <c r="D355" s="7" t="inlineStr">
        <is>
          <t>ITAM-001</t>
        </is>
      </c>
      <c r="E355" s="7" t="inlineStr"/>
      <c r="F355" s="7" t="inlineStr"/>
      <c r="G355" s="7" t="inlineStr">
        <is>
          <t>ITAM_control_matrix.png; IT_asset_management_policy.pdf</t>
        </is>
      </c>
      <c r="H355" s="7" t="inlineStr">
        <is>
          <t>Confirmed Fact</t>
        </is>
      </c>
      <c r="I355" s="7" t="inlineStr">
        <is>
          <t>MD-00096 — Assignment requirements pulled from ITAM_control_matrix.png; no clearance from the figure alone (chain reference above).</t>
        </is>
      </c>
    </row>
    <row r="356">
      <c r="A356" s="7" t="inlineStr">
        <is>
          <t>MD-00096</t>
        </is>
      </c>
      <c r="B356" s="7" t="inlineStr">
        <is>
          <t>2026-08-09</t>
        </is>
      </c>
      <c r="C356" s="7" t="inlineStr">
        <is>
          <t>Unresolved Assumption</t>
        </is>
      </c>
      <c r="D356" s="7" t="inlineStr"/>
      <c r="E356" s="7" t="inlineStr"/>
      <c r="F356" s="7" t="inlineStr"/>
      <c r="G356" s="7" t="inlineStr">
        <is>
          <t>Reconciliation</t>
        </is>
      </c>
      <c r="H356" s="7" t="inlineStr">
        <is>
          <t>Unresolved Assumption</t>
        </is>
      </c>
      <c r="I356" s="7" t="inlineStr">
        <is>
          <t>Gap: nothing physical confirms MD-00096 right now.</t>
        </is>
      </c>
    </row>
    <row r="357">
      <c r="A357" s="7" t="inlineStr">
        <is>
          <t>MD-00096</t>
        </is>
      </c>
      <c r="B357" s="7" t="inlineStr">
        <is>
          <t>2026-08-09</t>
        </is>
      </c>
      <c r="C357" s="7" t="inlineStr">
        <is>
          <t>Reconciliation Conclusion</t>
        </is>
      </c>
      <c r="D357" s="7" t="inlineStr">
        <is>
          <t>Evidence review</t>
        </is>
      </c>
      <c r="E357" s="7" t="inlineStr">
        <is>
          <t>E0084</t>
        </is>
      </c>
      <c r="F357" s="7" t="inlineStr">
        <is>
          <t>Unknown</t>
        </is>
      </c>
      <c r="G357" s="7" t="inlineStr">
        <is>
          <t>Ticket:OFF-00096; Transfer:TR-00096; LastRegisterLocation:Chicago - Closed; TechnicianClaim:see custody chain; PO:PO-2025-0016; Ledger:FA-000096; PolicyFigure:ITAM_control_matrix.png</t>
        </is>
      </c>
      <c r="H357" s="7" t="inlineStr">
        <is>
          <t>Unresolved Assumption</t>
        </is>
      </c>
      <c r="I357" s="7" t="inlineStr">
        <is>
          <t>Closing note MD-00096: Missing / Unknown (Low). EX-0118, EX-0119. OFF-00096 TR-00096 PO-2025-0016 FA-000096 ITAM_control_matrix.png</t>
        </is>
      </c>
    </row>
    <row r="358">
      <c r="A358" s="7" t="inlineStr">
        <is>
          <t>MD-00097</t>
        </is>
      </c>
      <c r="B358" s="7" t="inlineStr">
        <is>
          <t>2023-02-02</t>
        </is>
      </c>
      <c r="C358" s="7" t="inlineStr">
        <is>
          <t>Purchase</t>
        </is>
      </c>
      <c r="D358" s="7" t="inlineStr">
        <is>
          <t>Vendor</t>
        </is>
      </c>
      <c r="E358" s="7" t="inlineStr">
        <is>
          <t>Central Receiving</t>
        </is>
      </c>
      <c r="F358" s="7" t="inlineStr">
        <is>
          <t>Atlanta Warehouse</t>
        </is>
      </c>
      <c r="G358" s="7" t="inlineStr">
        <is>
          <t>PO:PO-2022-0017</t>
        </is>
      </c>
      <c r="H358" s="7" t="inlineStr">
        <is>
          <t>Confirmed Fact</t>
        </is>
      </c>
      <c r="I358" s="7" t="inlineStr">
        <is>
          <t>Warehouse receipt tied to PO-2022-0017. Lenovo ThinkPad T14.</t>
        </is>
      </c>
    </row>
    <row r="359">
      <c r="A359" s="7" t="inlineStr">
        <is>
          <t>MD-00097</t>
        </is>
      </c>
      <c r="B359" s="7" t="inlineStr">
        <is>
          <t>2026-02-02</t>
        </is>
      </c>
      <c r="C359" s="7" t="inlineStr">
        <is>
          <t>Assignment/Transfer</t>
        </is>
      </c>
      <c r="D359" s="7" t="inlineStr">
        <is>
          <t>Central Receiving</t>
        </is>
      </c>
      <c r="E359" s="7" t="inlineStr">
        <is>
          <t>Unverified</t>
        </is>
      </c>
      <c r="F359" s="7" t="inlineStr">
        <is>
          <t>Unknown</t>
        </is>
      </c>
      <c r="G359" s="7" t="inlineStr">
        <is>
          <t>Transfer:TR-00097; Approval:APR-00097</t>
        </is>
      </c>
      <c r="H359" s="7" t="inlineStr">
        <is>
          <t>Confirmed Fact</t>
        </is>
      </c>
      <c r="I359" s="7" t="inlineStr">
        <is>
          <t>Recorded 21 Jan, received Jan 27. TR-00097.</t>
        </is>
      </c>
    </row>
    <row r="360">
      <c r="A360" s="7" t="inlineStr">
        <is>
          <t>MD-00097</t>
        </is>
      </c>
      <c r="B360" s="7" t="inlineStr">
        <is>
          <t>2026-05-14</t>
        </is>
      </c>
      <c r="C360" s="7" t="inlineStr">
        <is>
          <t>Offboarding Ticket</t>
        </is>
      </c>
      <c r="D360" s="7" t="inlineStr">
        <is>
          <t>E0085</t>
        </is>
      </c>
      <c r="E360" s="7" t="inlineStr">
        <is>
          <t>IT Service Desk</t>
        </is>
      </c>
      <c r="F360" s="7" t="inlineStr"/>
      <c r="G360" s="7" t="inlineStr">
        <is>
          <t>Ticket:OFF-00097; Status:Unresolved</t>
        </is>
      </c>
      <c r="H360" s="7" t="inlineStr">
        <is>
          <t>Confirmed Fact</t>
        </is>
      </c>
      <c r="I360" s="7" t="inlineStr">
        <is>
          <t>OFF-00097 Unresolved. Return required=Yes, due July 15, 2026.</t>
        </is>
      </c>
    </row>
    <row r="361">
      <c r="A361" s="7" t="inlineStr">
        <is>
          <t>MD-00097</t>
        </is>
      </c>
      <c r="B361" s="7" t="inlineStr">
        <is>
          <t>2026-05-14</t>
        </is>
      </c>
      <c r="C361" s="7" t="inlineStr">
        <is>
          <t>Technician Comment</t>
        </is>
      </c>
      <c r="D361" s="7" t="inlineStr">
        <is>
          <t>Service Desk</t>
        </is>
      </c>
      <c r="E361" s="7" t="inlineStr"/>
      <c r="F361" s="7" t="inlineStr"/>
      <c r="G361" s="7" t="inlineStr">
        <is>
          <t>Ticket:OFF-00097</t>
        </is>
      </c>
      <c r="H361" s="7" t="inlineStr">
        <is>
          <t>Technician Claim</t>
        </is>
      </c>
      <c r="I361" s="7" t="inlineStr">
        <is>
          <t>User's last Slack: 'left it in the old MDF.' Unverified. Ref MD-00097.</t>
        </is>
      </c>
    </row>
    <row r="362">
      <c r="A362" s="7" t="inlineStr">
        <is>
          <t>MD-00097</t>
        </is>
      </c>
      <c r="B362" s="7" t="inlineStr">
        <is>
          <t>2026-08-05</t>
        </is>
      </c>
      <c r="C362" s="7" t="inlineStr">
        <is>
          <t>Regional IT Note Lead</t>
        </is>
      </c>
      <c r="D362" s="7" t="inlineStr">
        <is>
          <t>Regional IT</t>
        </is>
      </c>
      <c r="E362" s="7" t="inlineStr"/>
      <c r="F362" s="7" t="inlineStr">
        <is>
          <t>Denver - Closed</t>
        </is>
      </c>
      <c r="G362" s="7" t="inlineStr">
        <is>
          <t>regional_IT_notes.docx</t>
        </is>
      </c>
      <c r="H362" s="7" t="inlineStr">
        <is>
          <t>Technician Claim</t>
        </is>
      </c>
      <c r="I362" s="7" t="inlineStr">
        <is>
          <t>Breadcrumb in regional_IT_notes.docx. Still need a transaction for MD-00097.</t>
        </is>
      </c>
    </row>
    <row r="363">
      <c r="A363" s="7" t="inlineStr">
        <is>
          <t>MD-00097</t>
        </is>
      </c>
      <c r="B363" s="7" t="inlineStr">
        <is>
          <t>2026-08-09</t>
        </is>
      </c>
      <c r="C363" s="7" t="inlineStr">
        <is>
          <t>Policy Control Figure</t>
        </is>
      </c>
      <c r="D363" s="7" t="inlineStr">
        <is>
          <t>ITAM-001</t>
        </is>
      </c>
      <c r="E363" s="7" t="inlineStr"/>
      <c r="F363" s="7" t="inlineStr"/>
      <c r="G363" s="7" t="inlineStr">
        <is>
          <t>ITAM_control_matrix.png; IT_asset_management_policy.pdf</t>
        </is>
      </c>
      <c r="H363" s="7" t="inlineStr">
        <is>
          <t>Confirmed Fact</t>
        </is>
      </c>
      <c r="I363" s="7" t="inlineStr">
        <is>
          <t>Policy figure referenced for MD-00097 (disposal path). Custody still depends on chain reference above; ITAM_control_matrix.png in packet.</t>
        </is>
      </c>
    </row>
    <row r="364">
      <c r="A364" s="7" t="inlineStr">
        <is>
          <t>MD-00097</t>
        </is>
      </c>
      <c r="B364" s="7" t="inlineStr">
        <is>
          <t>2026-08-09</t>
        </is>
      </c>
      <c r="C364" s="7" t="inlineStr">
        <is>
          <t>Unresolved Assumption</t>
        </is>
      </c>
      <c r="D364" s="7" t="inlineStr"/>
      <c r="E364" s="7" t="inlineStr"/>
      <c r="F364" s="7" t="inlineStr"/>
      <c r="G364" s="7" t="inlineStr">
        <is>
          <t>Reconciliation</t>
        </is>
      </c>
      <c r="H364" s="7" t="inlineStr">
        <is>
          <t>Unresolved Assumption</t>
        </is>
      </c>
      <c r="I364" s="7" t="inlineStr">
        <is>
          <t>I won't invent a floor for MD-00097.</t>
        </is>
      </c>
    </row>
    <row r="365">
      <c r="A365" s="7" t="inlineStr">
        <is>
          <t>MD-00097</t>
        </is>
      </c>
      <c r="B365" s="7" t="inlineStr">
        <is>
          <t>2026-08-09</t>
        </is>
      </c>
      <c r="C365" s="7" t="inlineStr">
        <is>
          <t>Reconciliation Conclusion</t>
        </is>
      </c>
      <c r="D365" s="7" t="inlineStr">
        <is>
          <t>Evidence review</t>
        </is>
      </c>
      <c r="E365" s="7" t="inlineStr">
        <is>
          <t>E0085</t>
        </is>
      </c>
      <c r="F365" s="7" t="inlineStr">
        <is>
          <t>Unknown</t>
        </is>
      </c>
      <c r="G365" s="7" t="inlineStr">
        <is>
          <t>Ticket:OFF-00097; Transfer:TR-00097; LastRegisterLocation:Denver - Closed; TechnicianClaim:see custody chain; PO:PO-2022-0017; Ledger:FA-000097; PolicyFigure:ITAM_control_matrix.png</t>
        </is>
      </c>
      <c r="H365" s="7" t="inlineStr">
        <is>
          <t>Unresolved Assumption</t>
        </is>
      </c>
      <c r="I365" s="7" t="inlineStr">
        <is>
          <t>Closing note MD-00097: Missing / Unknown (Low). EX-0120, EX-0121. OFF-00097 TR-00097 PO-2022-0017 FA-000097 ITAM_control_matrix.png</t>
        </is>
      </c>
    </row>
    <row r="366">
      <c r="A366" s="7" t="inlineStr">
        <is>
          <t>MD-00098</t>
        </is>
      </c>
      <c r="B366" s="7" t="inlineStr">
        <is>
          <t>2024-03-03</t>
        </is>
      </c>
      <c r="C366" s="7" t="inlineStr">
        <is>
          <t>Purchase</t>
        </is>
      </c>
      <c r="D366" s="7" t="inlineStr">
        <is>
          <t>Vendor</t>
        </is>
      </c>
      <c r="E366" s="7" t="inlineStr">
        <is>
          <t>Central Receiving</t>
        </is>
      </c>
      <c r="F366" s="7" t="inlineStr">
        <is>
          <t>Atlanta Warehouse</t>
        </is>
      </c>
      <c r="G366" s="7" t="inlineStr">
        <is>
          <t>PO:PO-2022-0017</t>
        </is>
      </c>
      <c r="H366" s="7" t="inlineStr">
        <is>
          <t>Confirmed Fact</t>
        </is>
      </c>
      <c r="I366" s="7" t="inlineStr">
        <is>
          <t>Dell U2723QE came in on PO-2022-0017 ($520).</t>
        </is>
      </c>
    </row>
    <row r="367">
      <c r="A367" s="7" t="inlineStr">
        <is>
          <t>MD-00098</t>
        </is>
      </c>
      <c r="B367" s="7" t="inlineStr">
        <is>
          <t>2026-03-03</t>
        </is>
      </c>
      <c r="C367" s="7" t="inlineStr">
        <is>
          <t>Assignment/Transfer</t>
        </is>
      </c>
      <c r="D367" s="7" t="inlineStr">
        <is>
          <t>Central Receiving</t>
        </is>
      </c>
      <c r="E367" s="7" t="inlineStr">
        <is>
          <t>Unverified</t>
        </is>
      </c>
      <c r="F367" s="7" t="inlineStr">
        <is>
          <t>Unknown</t>
        </is>
      </c>
      <c r="G367" s="7" t="inlineStr">
        <is>
          <t>Transfer:TR-00098; Approval:APR-00098</t>
        </is>
      </c>
      <c r="H367" s="7" t="inlineStr">
        <is>
          <t>Confirmed Fact</t>
        </is>
      </c>
      <c r="I367" s="7" t="inlineStr">
        <is>
          <t>Log row TR-00098. Receive date February 24, 2026.</t>
        </is>
      </c>
    </row>
    <row r="368">
      <c r="A368" s="7" t="inlineStr">
        <is>
          <t>MD-00098</t>
        </is>
      </c>
      <c r="B368" s="7" t="inlineStr">
        <is>
          <t>2026-06-15</t>
        </is>
      </c>
      <c r="C368" s="7" t="inlineStr">
        <is>
          <t>Offboarding Ticket</t>
        </is>
      </c>
      <c r="D368" s="7" t="inlineStr">
        <is>
          <t>E0086</t>
        </is>
      </c>
      <c r="E368" s="7" t="inlineStr">
        <is>
          <t>IT Service Desk</t>
        </is>
      </c>
      <c r="F368" s="7" t="inlineStr"/>
      <c r="G368" s="7" t="inlineStr">
        <is>
          <t>Ticket:OFF-00098; Status:Unresolved</t>
        </is>
      </c>
      <c r="H368" s="7" t="inlineStr">
        <is>
          <t>Confirmed Fact</t>
        </is>
      </c>
      <c r="I368" s="7" t="inlineStr">
        <is>
          <t>OFF-00098 Unresolved. Return required=Yes, due 15 Jul.</t>
        </is>
      </c>
    </row>
    <row r="369">
      <c r="A369" s="7" t="inlineStr">
        <is>
          <t>MD-00098</t>
        </is>
      </c>
      <c r="B369" s="7" t="inlineStr">
        <is>
          <t>2026-06-15</t>
        </is>
      </c>
      <c r="C369" s="7" t="inlineStr">
        <is>
          <t>Technician Comment</t>
        </is>
      </c>
      <c r="D369" s="7" t="inlineStr">
        <is>
          <t>Service Desk</t>
        </is>
      </c>
      <c r="E369" s="7" t="inlineStr"/>
      <c r="F369" s="7" t="inlineStr"/>
      <c r="G369" s="7" t="inlineStr">
        <is>
          <t>Ticket:OFF-00098</t>
        </is>
      </c>
      <c r="H369" s="7" t="inlineStr">
        <is>
          <t>Technician Claim</t>
        </is>
      </c>
      <c r="I369" s="7" t="inlineStr">
        <is>
          <t>Ticket parked Unresolved because closed-site access needs facilities. Ref MD-00098.</t>
        </is>
      </c>
    </row>
    <row r="370">
      <c r="A370" s="7" t="inlineStr">
        <is>
          <t>MD-00098</t>
        </is>
      </c>
      <c r="B370" s="7" t="inlineStr">
        <is>
          <t>2026-08-05</t>
        </is>
      </c>
      <c r="C370" s="7" t="inlineStr">
        <is>
          <t>Regional IT Note Lead</t>
        </is>
      </c>
      <c r="D370" s="7" t="inlineStr">
        <is>
          <t>Regional IT</t>
        </is>
      </c>
      <c r="E370" s="7" t="inlineStr"/>
      <c r="F370" s="7" t="inlineStr">
        <is>
          <t>Chicago - Closed</t>
        </is>
      </c>
      <c r="G370" s="7" t="inlineStr">
        <is>
          <t>regional_IT_notes.docx</t>
        </is>
      </c>
      <c r="H370" s="7" t="inlineStr">
        <is>
          <t>Technician Claim</t>
        </is>
      </c>
      <c r="I370" s="7" t="inlineStr">
        <is>
          <t>regional_IT_notes.docx mentions closed-office leftover color on MD-00098. Notes don't beat a scan.</t>
        </is>
      </c>
    </row>
    <row r="371">
      <c r="A371" s="7" t="inlineStr">
        <is>
          <t>MD-00098</t>
        </is>
      </c>
      <c r="B371" s="7" t="inlineStr">
        <is>
          <t>2026-08-09</t>
        </is>
      </c>
      <c r="C371" s="7" t="inlineStr">
        <is>
          <t>Policy Control Figure</t>
        </is>
      </c>
      <c r="D371" s="7" t="inlineStr">
        <is>
          <t>ITAM-001</t>
        </is>
      </c>
      <c r="E371" s="7" t="inlineStr"/>
      <c r="F371" s="7" t="inlineStr"/>
      <c r="G371" s="7" t="inlineStr">
        <is>
          <t>ITAM_control_matrix.png; IT_asset_management_policy.pdf</t>
        </is>
      </c>
      <c r="H371" s="7" t="inlineStr">
        <is>
          <t>Confirmed Fact</t>
        </is>
      </c>
      <c r="I371" s="7" t="inlineStr">
        <is>
          <t>Auditors should read the transfer bar on the matrix for MD-00098; supporting file: chain reference above.</t>
        </is>
      </c>
    </row>
    <row r="372">
      <c r="A372" s="7" t="inlineStr">
        <is>
          <t>MD-00098</t>
        </is>
      </c>
      <c r="B372" s="7" t="inlineStr">
        <is>
          <t>2026-08-09</t>
        </is>
      </c>
      <c r="C372" s="7" t="inlineStr">
        <is>
          <t>Unresolved Assumption</t>
        </is>
      </c>
      <c r="D372" s="7" t="inlineStr"/>
      <c r="E372" s="7" t="inlineStr"/>
      <c r="F372" s="7" t="inlineStr"/>
      <c r="G372" s="7" t="inlineStr">
        <is>
          <t>Reconciliation</t>
        </is>
      </c>
      <c r="H372" s="7" t="inlineStr">
        <is>
          <t>Unresolved Assumption</t>
        </is>
      </c>
      <c r="I372" s="7" t="inlineStr">
        <is>
          <t>Still no receiving scan, disposal cert, or count that places MD-00098.</t>
        </is>
      </c>
    </row>
    <row r="373">
      <c r="A373" s="7" t="inlineStr">
        <is>
          <t>MD-00098</t>
        </is>
      </c>
      <c r="B373" s="7" t="inlineStr">
        <is>
          <t>2026-08-09</t>
        </is>
      </c>
      <c r="C373" s="7" t="inlineStr">
        <is>
          <t>Reconciliation Conclusion</t>
        </is>
      </c>
      <c r="D373" s="7" t="inlineStr">
        <is>
          <t>Evidence review</t>
        </is>
      </c>
      <c r="E373" s="7" t="inlineStr">
        <is>
          <t>E0086</t>
        </is>
      </c>
      <c r="F373" s="7" t="inlineStr">
        <is>
          <t>Unknown</t>
        </is>
      </c>
      <c r="G373" s="7" t="inlineStr">
        <is>
          <t>Ticket:OFF-00098; Transfer:TR-00098; LastRegisterLocation:Chicago - Closed; TechnicianClaim:see custody chain; PO:PO-2022-0017; Ledger:FA-000098; PolicyFigure:ITAM_control_matrix.png</t>
        </is>
      </c>
      <c r="H373" s="7" t="inlineStr">
        <is>
          <t>Unresolved Assumption</t>
        </is>
      </c>
      <c r="I373" s="7" t="inlineStr">
        <is>
          <t>Closing note MD-00098: Missing / Unknown (Low). EX-0122, EX-0123. OFF-00098 TR-00098 PO-2022-0017 FA-000098 ITAM_control_matrix.png</t>
        </is>
      </c>
    </row>
    <row r="374">
      <c r="A374" s="7" t="inlineStr">
        <is>
          <t>MD-00099</t>
        </is>
      </c>
      <c r="B374" s="7" t="inlineStr">
        <is>
          <t>2025-04-04</t>
        </is>
      </c>
      <c r="C374" s="7" t="inlineStr">
        <is>
          <t>Purchase</t>
        </is>
      </c>
      <c r="D374" s="7" t="inlineStr">
        <is>
          <t>Vendor</t>
        </is>
      </c>
      <c r="E374" s="7" t="inlineStr">
        <is>
          <t>Central Receiving</t>
        </is>
      </c>
      <c r="F374" s="7" t="inlineStr">
        <is>
          <t>Atlanta Warehouse</t>
        </is>
      </c>
      <c r="G374" s="7" t="inlineStr">
        <is>
          <t>PO:PO-2022-0017</t>
        </is>
      </c>
      <c r="H374" s="7" t="inlineStr">
        <is>
          <t>Confirmed Fact</t>
        </is>
      </c>
      <c r="I374" s="7" t="inlineStr">
        <is>
          <t>PO line PO-2022-0017 — Samsung Galaxy S24.</t>
        </is>
      </c>
    </row>
    <row r="375">
      <c r="A375" s="7" t="inlineStr">
        <is>
          <t>MD-00099</t>
        </is>
      </c>
      <c r="B375" s="7" t="inlineStr">
        <is>
          <t>2026-04-04</t>
        </is>
      </c>
      <c r="C375" s="7" t="inlineStr">
        <is>
          <t>Assignment/Transfer</t>
        </is>
      </c>
      <c r="D375" s="7" t="inlineStr">
        <is>
          <t>Central Receiving</t>
        </is>
      </c>
      <c r="E375" s="7" t="inlineStr">
        <is>
          <t>Unverified</t>
        </is>
      </c>
      <c r="F375" s="7" t="inlineStr">
        <is>
          <t>Unknown</t>
        </is>
      </c>
      <c r="G375" s="7" t="inlineStr">
        <is>
          <t>Transfer:TR-00099; Approval:APR-00099</t>
        </is>
      </c>
      <c r="H375" s="7" t="inlineStr">
        <is>
          <t>Confirmed Fact</t>
        </is>
      </c>
      <c r="I375" s="7" t="inlineStr">
        <is>
          <t>From warehouse to Unverified. TR-00099, received 2 Apr.</t>
        </is>
      </c>
    </row>
    <row r="376">
      <c r="A376" s="7" t="inlineStr">
        <is>
          <t>MD-00099</t>
        </is>
      </c>
      <c r="B376" s="7" t="inlineStr">
        <is>
          <t>2026-05-16</t>
        </is>
      </c>
      <c r="C376" s="7" t="inlineStr">
        <is>
          <t>Offboarding Ticket</t>
        </is>
      </c>
      <c r="D376" s="7" t="inlineStr">
        <is>
          <t>E0087</t>
        </is>
      </c>
      <c r="E376" s="7" t="inlineStr">
        <is>
          <t>IT Service Desk</t>
        </is>
      </c>
      <c r="F376" s="7" t="inlineStr"/>
      <c r="G376" s="7" t="inlineStr">
        <is>
          <t>Ticket:OFF-00099; Status:Unresolved</t>
        </is>
      </c>
      <c r="H376" s="7" t="inlineStr">
        <is>
          <t>Confirmed Fact</t>
        </is>
      </c>
      <c r="I376" s="7" t="inlineStr">
        <is>
          <t>OFF-00099 Unresolved. Return required=Yes, due 2026-07-15.</t>
        </is>
      </c>
    </row>
    <row r="377">
      <c r="A377" s="7" t="inlineStr">
        <is>
          <t>MD-00099</t>
        </is>
      </c>
      <c r="B377" s="7" t="inlineStr">
        <is>
          <t>2026-05-16</t>
        </is>
      </c>
      <c r="C377" s="7" t="inlineStr">
        <is>
          <t>Technician Comment</t>
        </is>
      </c>
      <c r="D377" s="7" t="inlineStr">
        <is>
          <t>Service Desk</t>
        </is>
      </c>
      <c r="E377" s="7" t="inlineStr"/>
      <c r="F377" s="7" t="inlineStr"/>
      <c r="G377" s="7" t="inlineStr">
        <is>
          <t>Ticket:OFF-00099</t>
        </is>
      </c>
      <c r="H377" s="7" t="inlineStr">
        <is>
          <t>Technician Claim</t>
        </is>
      </c>
      <c r="I377" s="7" t="inlineStr">
        <is>
          <t>No transfer out of the closed office on the log that matches this tag. Ref MD-00099.</t>
        </is>
      </c>
    </row>
    <row r="378">
      <c r="A378" s="7" t="inlineStr">
        <is>
          <t>MD-00099</t>
        </is>
      </c>
      <c r="B378" s="7" t="inlineStr">
        <is>
          <t>2026-08-05</t>
        </is>
      </c>
      <c r="C378" s="7" t="inlineStr">
        <is>
          <t>Regional IT Note Lead</t>
        </is>
      </c>
      <c r="D378" s="7" t="inlineStr">
        <is>
          <t>Regional IT</t>
        </is>
      </c>
      <c r="E378" s="7" t="inlineStr"/>
      <c r="F378" s="7" t="inlineStr">
        <is>
          <t>Denver - Closed</t>
        </is>
      </c>
      <c r="G378" s="7" t="inlineStr">
        <is>
          <t>regional_IT_notes.docx</t>
        </is>
      </c>
      <c r="H378" s="7" t="inlineStr">
        <is>
          <t>Technician Claim</t>
        </is>
      </c>
      <c r="I378" s="7" t="inlineStr">
        <is>
          <t>Note exists. Corroboration doesn't. MD-00099.</t>
        </is>
      </c>
    </row>
    <row r="379">
      <c r="A379" s="7" t="inlineStr">
        <is>
          <t>MD-00099</t>
        </is>
      </c>
      <c r="B379" s="7" t="inlineStr">
        <is>
          <t>2026-08-09</t>
        </is>
      </c>
      <c r="C379" s="7" t="inlineStr">
        <is>
          <t>Policy Control Figure</t>
        </is>
      </c>
      <c r="D379" s="7" t="inlineStr">
        <is>
          <t>ITAM-001</t>
        </is>
      </c>
      <c r="E379" s="7" t="inlineStr"/>
      <c r="F379" s="7" t="inlineStr"/>
      <c r="G379" s="7" t="inlineStr">
        <is>
          <t>ITAM_control_matrix.png; IT_asset_management_policy.pdf</t>
        </is>
      </c>
      <c r="H379" s="7" t="inlineStr">
        <is>
          <t>Confirmed Fact</t>
        </is>
      </c>
      <c r="I379" s="7" t="inlineStr">
        <is>
          <t>MD-00099 scored against the financial column in the control matrix; chain reference above carries the weight.</t>
        </is>
      </c>
    </row>
    <row r="380">
      <c r="A380" s="7" t="inlineStr">
        <is>
          <t>MD-00099</t>
        </is>
      </c>
      <c r="B380" s="7" t="inlineStr">
        <is>
          <t>2026-08-09</t>
        </is>
      </c>
      <c r="C380" s="7" t="inlineStr">
        <is>
          <t>Unresolved Assumption</t>
        </is>
      </c>
      <c r="D380" s="7" t="inlineStr"/>
      <c r="E380" s="7" t="inlineStr"/>
      <c r="F380" s="7" t="inlineStr"/>
      <c r="G380" s="7" t="inlineStr">
        <is>
          <t>Reconciliation</t>
        </is>
      </c>
      <c r="H380" s="7" t="inlineStr">
        <is>
          <t>Unresolved Assumption</t>
        </is>
      </c>
      <c r="I380" s="7" t="inlineStr">
        <is>
          <t>Gap: nothing physical confirms MD-00099 right now.</t>
        </is>
      </c>
    </row>
    <row r="381">
      <c r="A381" s="7" t="inlineStr">
        <is>
          <t>MD-00099</t>
        </is>
      </c>
      <c r="B381" s="7" t="inlineStr">
        <is>
          <t>2026-08-09</t>
        </is>
      </c>
      <c r="C381" s="7" t="inlineStr">
        <is>
          <t>Reconciliation Conclusion</t>
        </is>
      </c>
      <c r="D381" s="7" t="inlineStr">
        <is>
          <t>Evidence review</t>
        </is>
      </c>
      <c r="E381" s="7" t="inlineStr">
        <is>
          <t>E0087</t>
        </is>
      </c>
      <c r="F381" s="7" t="inlineStr">
        <is>
          <t>Unknown</t>
        </is>
      </c>
      <c r="G381" s="7" t="inlineStr">
        <is>
          <t>Ticket:OFF-00099; Transfer:TR-00099; LastRegisterLocation:Denver - Closed; TechnicianClaim:see custody chain; PO:PO-2022-0017; Ledger:FA-000099; PolicyFigure:ITAM_control_matrix.png</t>
        </is>
      </c>
      <c r="H381" s="7" t="inlineStr">
        <is>
          <t>Unresolved Assumption</t>
        </is>
      </c>
      <c r="I381" s="7" t="inlineStr">
        <is>
          <t>Closing note MD-00099: Missing / Unknown (Low). EX-0124, EX-0125. OFF-00099 TR-00099 PO-2022-0017 FA-000099 ITAM_control_matrix.png</t>
        </is>
      </c>
    </row>
    <row r="382">
      <c r="A382" s="7" t="inlineStr">
        <is>
          <t>MD-00100</t>
        </is>
      </c>
      <c r="B382" s="7" t="inlineStr">
        <is>
          <t>2022-05-05</t>
        </is>
      </c>
      <c r="C382" s="7" t="inlineStr">
        <is>
          <t>Purchase</t>
        </is>
      </c>
      <c r="D382" s="7" t="inlineStr">
        <is>
          <t>Vendor</t>
        </is>
      </c>
      <c r="E382" s="7" t="inlineStr">
        <is>
          <t>Central Receiving</t>
        </is>
      </c>
      <c r="F382" s="7" t="inlineStr">
        <is>
          <t>Atlanta Warehouse</t>
        </is>
      </c>
      <c r="G382" s="7" t="inlineStr">
        <is>
          <t>PO:PO-2022-0017</t>
        </is>
      </c>
      <c r="H382" s="7" t="inlineStr">
        <is>
          <t>Confirmed Fact</t>
        </is>
      </c>
      <c r="I382" s="7" t="inlineStr">
        <is>
          <t>Receiving against PO-2022-0017. Cisco C9300, $6290.</t>
        </is>
      </c>
    </row>
    <row r="383">
      <c r="A383" s="7" t="inlineStr">
        <is>
          <t>MD-00100</t>
        </is>
      </c>
      <c r="B383" s="7" t="inlineStr">
        <is>
          <t>2026-05-05</t>
        </is>
      </c>
      <c r="C383" s="7" t="inlineStr">
        <is>
          <t>Assignment/Transfer</t>
        </is>
      </c>
      <c r="D383" s="7" t="inlineStr">
        <is>
          <t>Central Receiving</t>
        </is>
      </c>
      <c r="E383" s="7" t="inlineStr">
        <is>
          <t>Unverified</t>
        </is>
      </c>
      <c r="F383" s="7" t="inlineStr">
        <is>
          <t>Unknown</t>
        </is>
      </c>
      <c r="G383" s="7" t="inlineStr">
        <is>
          <t>Transfer:TR-00100; Approval:APR-00100</t>
        </is>
      </c>
      <c r="H383" s="7" t="inlineStr">
        <is>
          <t>Confirmed Fact</t>
        </is>
      </c>
      <c r="I383" s="7" t="inlineStr">
        <is>
          <t>Assignment posted 2026-05-01. Docked 2026-05-05 (TR-00100).</t>
        </is>
      </c>
    </row>
    <row r="384">
      <c r="A384" s="7" t="inlineStr">
        <is>
          <t>MD-00100</t>
        </is>
      </c>
      <c r="B384" s="7" t="inlineStr">
        <is>
          <t>2026-06-17</t>
        </is>
      </c>
      <c r="C384" s="7" t="inlineStr">
        <is>
          <t>Offboarding Ticket</t>
        </is>
      </c>
      <c r="D384" s="7" t="inlineStr">
        <is>
          <t>E0088</t>
        </is>
      </c>
      <c r="E384" s="7" t="inlineStr">
        <is>
          <t>IT Service Desk</t>
        </is>
      </c>
      <c r="F384" s="7" t="inlineStr"/>
      <c r="G384" s="7" t="inlineStr">
        <is>
          <t>Ticket:OFF-00100; Status:Unresolved</t>
        </is>
      </c>
      <c r="H384" s="7" t="inlineStr">
        <is>
          <t>Confirmed Fact</t>
        </is>
      </c>
      <c r="I384" s="7" t="inlineStr">
        <is>
          <t>OFF-00100 Unresolved. Return required=Yes, due 7/15/26.</t>
        </is>
      </c>
    </row>
    <row r="385">
      <c r="A385" s="7" t="inlineStr">
        <is>
          <t>MD-00100</t>
        </is>
      </c>
      <c r="B385" s="7" t="inlineStr">
        <is>
          <t>2026-06-17</t>
        </is>
      </c>
      <c r="C385" s="7" t="inlineStr">
        <is>
          <t>Technician Comment</t>
        </is>
      </c>
      <c r="D385" s="7" t="inlineStr">
        <is>
          <t>Service Desk</t>
        </is>
      </c>
      <c r="E385" s="7" t="inlineStr"/>
      <c r="F385" s="7" t="inlineStr"/>
      <c r="G385" s="7" t="inlineStr">
        <is>
          <t>Ticket:OFF-00100</t>
        </is>
      </c>
      <c r="H385" s="7" t="inlineStr">
        <is>
          <t>Technician Claim</t>
        </is>
      </c>
      <c r="I385" s="7" t="inlineStr">
        <is>
          <t>Asking CRE for cage inventory. Not a substitute for receiving. Ref MD-00100.</t>
        </is>
      </c>
    </row>
    <row r="386">
      <c r="A386" s="7" t="inlineStr">
        <is>
          <t>MD-00100</t>
        </is>
      </c>
      <c r="B386" s="7" t="inlineStr">
        <is>
          <t>2026-08-05</t>
        </is>
      </c>
      <c r="C386" s="7" t="inlineStr">
        <is>
          <t>Regional IT Note Lead</t>
        </is>
      </c>
      <c r="D386" s="7" t="inlineStr">
        <is>
          <t>Regional IT</t>
        </is>
      </c>
      <c r="E386" s="7" t="inlineStr"/>
      <c r="F386" s="7" t="inlineStr">
        <is>
          <t>Chicago - Closed</t>
        </is>
      </c>
      <c r="G386" s="7" t="inlineStr">
        <is>
          <t>regional_IT_notes.docx</t>
        </is>
      </c>
      <c r="H386" s="7" t="inlineStr">
        <is>
          <t>Technician Claim</t>
        </is>
      </c>
      <c r="I386" s="7" t="inlineStr">
        <is>
          <t>Closed-floor story in the notes. Ignored as clearance. (MD-00100-Regional IT Note Lead-386)</t>
        </is>
      </c>
    </row>
    <row r="387">
      <c r="A387" s="7" t="inlineStr">
        <is>
          <t>MD-00100</t>
        </is>
      </c>
      <c r="B387" s="7" t="inlineStr">
        <is>
          <t>2026-08-09</t>
        </is>
      </c>
      <c r="C387" s="7" t="inlineStr">
        <is>
          <t>Policy Control Figure</t>
        </is>
      </c>
      <c r="D387" s="7" t="inlineStr">
        <is>
          <t>ITAM-001</t>
        </is>
      </c>
      <c r="E387" s="7" t="inlineStr"/>
      <c r="F387" s="7" t="inlineStr"/>
      <c r="G387" s="7" t="inlineStr">
        <is>
          <t>ITAM_control_matrix.png; IT_asset_management_policy.pdf</t>
        </is>
      </c>
      <c r="H387" s="7" t="inlineStr">
        <is>
          <t>Confirmed Fact</t>
        </is>
      </c>
      <c r="I387" s="7" t="inlineStr">
        <is>
          <t>MD-00100 chain includes the policy figure as a rubric only (Return); chain reference above is dispositive; ITAM_control_matrix.png in packet.</t>
        </is>
      </c>
    </row>
    <row r="388">
      <c r="A388" s="7" t="inlineStr">
        <is>
          <t>MD-00100</t>
        </is>
      </c>
      <c r="B388" s="7" t="inlineStr">
        <is>
          <t>2026-08-09</t>
        </is>
      </c>
      <c r="C388" s="7" t="inlineStr">
        <is>
          <t>Unresolved Assumption</t>
        </is>
      </c>
      <c r="D388" s="7" t="inlineStr"/>
      <c r="E388" s="7" t="inlineStr"/>
      <c r="F388" s="7" t="inlineStr"/>
      <c r="G388" s="7" t="inlineStr">
        <is>
          <t>Reconciliation</t>
        </is>
      </c>
      <c r="H388" s="7" t="inlineStr">
        <is>
          <t>Unresolved Assumption</t>
        </is>
      </c>
      <c r="I388" s="7" t="inlineStr">
        <is>
          <t>I won't invent a floor for MD-00100.</t>
        </is>
      </c>
    </row>
    <row r="389">
      <c r="A389" s="7" t="inlineStr">
        <is>
          <t>MD-00100</t>
        </is>
      </c>
      <c r="B389" s="7" t="inlineStr">
        <is>
          <t>2026-08-09</t>
        </is>
      </c>
      <c r="C389" s="7" t="inlineStr">
        <is>
          <t>Reconciliation Conclusion</t>
        </is>
      </c>
      <c r="D389" s="7" t="inlineStr">
        <is>
          <t>Evidence review</t>
        </is>
      </c>
      <c r="E389" s="7" t="inlineStr">
        <is>
          <t>E0088</t>
        </is>
      </c>
      <c r="F389" s="7" t="inlineStr">
        <is>
          <t>Unknown</t>
        </is>
      </c>
      <c r="G389" s="7" t="inlineStr">
        <is>
          <t>Ticket:OFF-00100; Transfer:TR-00100; LastRegisterLocation:Chicago - Closed; TechnicianClaim:see custody chain; PO:PO-2022-0017; Ledger:FA-000100; PolicyFigure:ITAM_control_matrix.png</t>
        </is>
      </c>
      <c r="H389" s="7" t="inlineStr">
        <is>
          <t>Unresolved Assumption</t>
        </is>
      </c>
      <c r="I389" s="7" t="inlineStr">
        <is>
          <t>Closing note MD-00100: Missing / Unknown (Low). EX-0126, EX-0127. OFF-00100 TR-00100 PO-2022-0017 FA-000100 ITAM_control_matrix.png</t>
        </is>
      </c>
    </row>
    <row r="390">
      <c r="A390" s="7" t="inlineStr">
        <is>
          <t>MD-00101</t>
        </is>
      </c>
      <c r="B390" s="7" t="inlineStr">
        <is>
          <t>2023-06-06</t>
        </is>
      </c>
      <c r="C390" s="7" t="inlineStr">
        <is>
          <t>Purchase</t>
        </is>
      </c>
      <c r="D390" s="7" t="inlineStr">
        <is>
          <t>Vendor</t>
        </is>
      </c>
      <c r="E390" s="7" t="inlineStr">
        <is>
          <t>Central Receiving</t>
        </is>
      </c>
      <c r="F390" s="7" t="inlineStr">
        <is>
          <t>Atlanta Warehouse</t>
        </is>
      </c>
      <c r="G390" s="7" t="inlineStr">
        <is>
          <t>PO:PO-2022-0017</t>
        </is>
      </c>
      <c r="H390" s="7" t="inlineStr">
        <is>
          <t>Confirmed Fact</t>
        </is>
      </c>
      <c r="I390" s="7" t="inlineStr">
        <is>
          <t>PO-2022-0017: MacBook Pro 14 at $1985.</t>
        </is>
      </c>
    </row>
    <row r="391">
      <c r="A391" s="7" t="inlineStr">
        <is>
          <t>MD-00101</t>
        </is>
      </c>
      <c r="B391" s="7" t="inlineStr">
        <is>
          <t>2026-06-06</t>
        </is>
      </c>
      <c r="C391" s="7" t="inlineStr">
        <is>
          <t>Assignment/Transfer</t>
        </is>
      </c>
      <c r="D391" s="7" t="inlineStr">
        <is>
          <t>Central Receiving</t>
        </is>
      </c>
      <c r="E391" s="7" t="inlineStr">
        <is>
          <t>Regional IT</t>
        </is>
      </c>
      <c r="F391" s="7" t="inlineStr">
        <is>
          <t>Seattle</t>
        </is>
      </c>
      <c r="G391" s="7" t="inlineStr">
        <is>
          <t>Transfer:TR-00101; Approval:APR-00101</t>
        </is>
      </c>
      <c r="H391" s="7" t="inlineStr">
        <is>
          <t>Confirmed Fact</t>
        </is>
      </c>
      <c r="I391" s="7" t="inlineStr">
        <is>
          <t>Moved to Regional IT in Seattle on TR-00101. Received 6/7/26.</t>
        </is>
      </c>
    </row>
    <row r="392">
      <c r="A392" s="7" t="inlineStr">
        <is>
          <t>MD-00101</t>
        </is>
      </c>
      <c r="B392" s="7" t="inlineStr">
        <is>
          <t>2026-05-31</t>
        </is>
      </c>
      <c r="C392" s="7" t="inlineStr">
        <is>
          <t>Offboarding Ticket</t>
        </is>
      </c>
      <c r="D392" s="7" t="inlineStr">
        <is>
          <t>E0089</t>
        </is>
      </c>
      <c r="E392" s="7" t="inlineStr">
        <is>
          <t>IT Service Desk</t>
        </is>
      </c>
      <c r="F392" s="7" t="inlineStr"/>
      <c r="G392" s="7" t="inlineStr">
        <is>
          <t>Ticket:RET-00101; Status:Pending Disposal</t>
        </is>
      </c>
      <c r="H392" s="7" t="inlineStr">
        <is>
          <t>Confirmed Fact</t>
        </is>
      </c>
      <c r="I392" s="7" t="inlineStr">
        <is>
          <t>RET-00101 Pending Disposal. Return required=No.</t>
        </is>
      </c>
    </row>
    <row r="393">
      <c r="A393" s="7" t="inlineStr">
        <is>
          <t>MD-00101</t>
        </is>
      </c>
      <c r="B393" s="7" t="inlineStr">
        <is>
          <t>2026-05-31</t>
        </is>
      </c>
      <c r="C393" s="7" t="inlineStr">
        <is>
          <t>Technician Comment</t>
        </is>
      </c>
      <c r="D393" s="7" t="inlineStr">
        <is>
          <t>Service Desk</t>
        </is>
      </c>
      <c r="E393" s="7" t="inlineStr"/>
      <c r="F393" s="7" t="inlineStr"/>
      <c r="G393" s="7" t="inlineStr">
        <is>
          <t>Ticket:RET-00101</t>
        </is>
      </c>
      <c r="H393" s="7" t="inlineStr">
        <is>
          <t>Technician Claim</t>
        </is>
      </c>
      <c r="I393" s="7" t="inlineStr">
        <is>
          <t>Parked in pending-disposal bin after warranty died. Ref MD-00101.</t>
        </is>
      </c>
    </row>
    <row r="394">
      <c r="A394" s="7" t="inlineStr">
        <is>
          <t>MD-00101</t>
        </is>
      </c>
      <c r="B394" s="7" t="inlineStr">
        <is>
          <t>2026-08-05</t>
        </is>
      </c>
      <c r="C394" s="7" t="inlineStr">
        <is>
          <t>Regional IT Note Lead</t>
        </is>
      </c>
      <c r="D394" s="7" t="inlineStr">
        <is>
          <t>Regional IT</t>
        </is>
      </c>
      <c r="E394" s="7" t="inlineStr"/>
      <c r="F394" s="7" t="inlineStr">
        <is>
          <t>Denver - Closed</t>
        </is>
      </c>
      <c r="G394" s="7" t="inlineStr">
        <is>
          <t>regional_IT_notes.docx</t>
        </is>
      </c>
      <c r="H394" s="7" t="inlineStr">
        <is>
          <t>Technician Claim</t>
        </is>
      </c>
      <c r="I394" s="7" t="inlineStr">
        <is>
          <t>I read the note. I didn't relocate MD-00101 off of it.</t>
        </is>
      </c>
    </row>
    <row r="395">
      <c r="A395" s="7" t="inlineStr">
        <is>
          <t>MD-00101</t>
        </is>
      </c>
      <c r="B395" s="7" t="inlineStr">
        <is>
          <t>2026-08-09</t>
        </is>
      </c>
      <c r="C395" s="7" t="inlineStr">
        <is>
          <t>Policy Control Figure</t>
        </is>
      </c>
      <c r="D395" s="7" t="inlineStr">
        <is>
          <t>ITAM-001</t>
        </is>
      </c>
      <c r="E395" s="7" t="inlineStr"/>
      <c r="F395" s="7" t="inlineStr"/>
      <c r="G395" s="7" t="inlineStr">
        <is>
          <t>ITAM_control_matrix.png; IT_asset_management_policy.pdf</t>
        </is>
      </c>
      <c r="H395" s="7" t="inlineStr">
        <is>
          <t>Confirmed Fact</t>
        </is>
      </c>
      <c r="I395" s="7" t="inlineStr">
        <is>
          <t>ITAM-001 appendix sets the assignment test for MD-00101; matrix cited alongside chain reference above.</t>
        </is>
      </c>
    </row>
    <row r="396">
      <c r="A396" s="7" t="inlineStr">
        <is>
          <t>MD-00101</t>
        </is>
      </c>
      <c r="B396" s="7" t="inlineStr">
        <is>
          <t>2026-08-09</t>
        </is>
      </c>
      <c r="C396" s="7" t="inlineStr">
        <is>
          <t>Reconciliation Conclusion</t>
        </is>
      </c>
      <c r="D396" s="7" t="inlineStr">
        <is>
          <t>Evidence review</t>
        </is>
      </c>
      <c r="E396" s="7" t="inlineStr">
        <is>
          <t>Regional IT</t>
        </is>
      </c>
      <c r="F396" s="7" t="inlineStr">
        <is>
          <t>Seattle</t>
        </is>
      </c>
      <c r="G396" s="7" t="inlineStr">
        <is>
          <t>Ticket:RET-00101; Transfer:TR-00101; Certificate:missing; PO:PO-2022-0017; Ledger:FA-000101; PolicyFigure:ITAM_control_matrix.png</t>
        </is>
      </c>
      <c r="H396" s="7" t="inlineStr">
        <is>
          <t>Confirmed Fact</t>
        </is>
      </c>
      <c r="I396" s="7" t="inlineStr">
        <is>
          <t>Verified Retired/Pending Disposal. EX-0128, EX-0129. Medium. RET-00101 TR-00101 PO-2022-0017 FA-000101 ITAM_control_matrix.png</t>
        </is>
      </c>
    </row>
    <row r="397">
      <c r="A397" s="7" t="inlineStr">
        <is>
          <t>MD-00102</t>
        </is>
      </c>
      <c r="B397" s="7" t="inlineStr">
        <is>
          <t>2024-07-07</t>
        </is>
      </c>
      <c r="C397" s="7" t="inlineStr">
        <is>
          <t>Purchase</t>
        </is>
      </c>
      <c r="D397" s="7" t="inlineStr">
        <is>
          <t>Vendor</t>
        </is>
      </c>
      <c r="E397" s="7" t="inlineStr">
        <is>
          <t>Central Receiving</t>
        </is>
      </c>
      <c r="F397" s="7" t="inlineStr">
        <is>
          <t>Atlanta Warehouse</t>
        </is>
      </c>
      <c r="G397" s="7" t="inlineStr">
        <is>
          <t>PO:PO-2022-0017</t>
        </is>
      </c>
      <c r="H397" s="7" t="inlineStr">
        <is>
          <t>Confirmed Fact</t>
        </is>
      </c>
      <c r="I397" s="7" t="inlineStr">
        <is>
          <t>Purchasing file PO-2022-0017 matches MD-00102 at $700.</t>
        </is>
      </c>
    </row>
    <row r="398">
      <c r="A398" s="7" t="inlineStr">
        <is>
          <t>MD-00102</t>
        </is>
      </c>
      <c r="B398" s="7" t="inlineStr">
        <is>
          <t>2026-01-07</t>
        </is>
      </c>
      <c r="C398" s="7" t="inlineStr">
        <is>
          <t>Assignment/Transfer</t>
        </is>
      </c>
      <c r="D398" s="7" t="inlineStr">
        <is>
          <t>Central Receiving</t>
        </is>
      </c>
      <c r="E398" s="7" t="inlineStr">
        <is>
          <t>Regional IT</t>
        </is>
      </c>
      <c r="F398" s="7" t="inlineStr">
        <is>
          <t>Atlanta</t>
        </is>
      </c>
      <c r="G398" s="7" t="inlineStr">
        <is>
          <t>Transfer:TR-00102; Approval:APR-00102</t>
        </is>
      </c>
      <c r="H398" s="7" t="inlineStr">
        <is>
          <t>Confirmed Fact</t>
        </is>
      </c>
      <c r="I398" s="7" t="inlineStr">
        <is>
          <t>TR-00102 — got it 1/11/26 at Atlanta.</t>
        </is>
      </c>
    </row>
    <row r="399">
      <c r="A399" s="7" t="inlineStr">
        <is>
          <t>MD-00102</t>
        </is>
      </c>
      <c r="B399" s="7" t="inlineStr">
        <is>
          <t>2026-05-31</t>
        </is>
      </c>
      <c r="C399" s="7" t="inlineStr">
        <is>
          <t>Offboarding Ticket</t>
        </is>
      </c>
      <c r="D399" s="7" t="inlineStr">
        <is>
          <t>E0090</t>
        </is>
      </c>
      <c r="E399" s="7" t="inlineStr">
        <is>
          <t>IT Service Desk</t>
        </is>
      </c>
      <c r="F399" s="7" t="inlineStr"/>
      <c r="G399" s="7" t="inlineStr">
        <is>
          <t>Ticket:RET-00102; Status:Pending Disposal</t>
        </is>
      </c>
      <c r="H399" s="7" t="inlineStr">
        <is>
          <t>Confirmed Fact</t>
        </is>
      </c>
      <c r="I399" s="7" t="inlineStr">
        <is>
          <t>MD-00102 tied to RET-00102 (Pending Disposal).</t>
        </is>
      </c>
    </row>
    <row r="400">
      <c r="A400" s="7" t="inlineStr">
        <is>
          <t>MD-00102</t>
        </is>
      </c>
      <c r="B400" s="7" t="inlineStr">
        <is>
          <t>2026-05-31</t>
        </is>
      </c>
      <c r="C400" s="7" t="inlineStr">
        <is>
          <t>Technician Comment</t>
        </is>
      </c>
      <c r="D400" s="7" t="inlineStr">
        <is>
          <t>Service Desk</t>
        </is>
      </c>
      <c r="E400" s="7" t="inlineStr"/>
      <c r="F400" s="7" t="inlineStr"/>
      <c r="G400" s="7" t="inlineStr">
        <is>
          <t>Ticket:RET-00102</t>
        </is>
      </c>
      <c r="H400" s="7" t="inlineStr">
        <is>
          <t>Technician Claim</t>
        </is>
      </c>
      <c r="I400" s="7" t="inlineStr">
        <is>
          <t>Staged for July recycler run — cert not attached yet on some of these. Ref MD-00102.</t>
        </is>
      </c>
    </row>
    <row r="401">
      <c r="A401" s="7" t="inlineStr">
        <is>
          <t>MD-00102</t>
        </is>
      </c>
      <c r="B401" s="7" t="inlineStr">
        <is>
          <t>2026-08-05</t>
        </is>
      </c>
      <c r="C401" s="7" t="inlineStr">
        <is>
          <t>Regional IT Note Lead</t>
        </is>
      </c>
      <c r="D401" s="7" t="inlineStr">
        <is>
          <t>Regional IT</t>
        </is>
      </c>
      <c r="E401" s="7" t="inlineStr"/>
      <c r="F401" s="7" t="inlineStr">
        <is>
          <t>Chicago - Closed</t>
        </is>
      </c>
      <c r="G401" s="7" t="inlineStr">
        <is>
          <t>regional_IT_notes.docx</t>
        </is>
      </c>
      <c r="H401" s="7" t="inlineStr">
        <is>
          <t>Technician Claim</t>
        </is>
      </c>
      <c r="I401" s="7" t="inlineStr">
        <is>
          <t>Tech note in the Word dump. Treated as a lead for MD-00102, not location proof.</t>
        </is>
      </c>
    </row>
    <row r="402">
      <c r="A402" s="7" t="inlineStr">
        <is>
          <t>MD-00102</t>
        </is>
      </c>
      <c r="B402" s="7" t="inlineStr">
        <is>
          <t>2026-08-09</t>
        </is>
      </c>
      <c r="C402" s="7" t="inlineStr">
        <is>
          <t>Policy Control Figure</t>
        </is>
      </c>
      <c r="D402" s="7" t="inlineStr">
        <is>
          <t>ITAM-001</t>
        </is>
      </c>
      <c r="E402" s="7" t="inlineStr"/>
      <c r="F402" s="7" t="inlineStr"/>
      <c r="G402" s="7" t="inlineStr">
        <is>
          <t>ITAM_control_matrix.png; IT_asset_management_policy.pdf</t>
        </is>
      </c>
      <c r="H402" s="7" t="inlineStr">
        <is>
          <t>Confirmed Fact</t>
        </is>
      </c>
      <c r="I402" s="7" t="inlineStr">
        <is>
          <t>MD-00102 chain includes the policy figure as a rubric only (Return); chain reference above is dispositive; ITAM_control_matrix.png in packet.</t>
        </is>
      </c>
    </row>
    <row r="403">
      <c r="A403" s="7" t="inlineStr">
        <is>
          <t>MD-00102</t>
        </is>
      </c>
      <c r="B403" s="7" t="inlineStr">
        <is>
          <t>2026-08-09</t>
        </is>
      </c>
      <c r="C403" s="7" t="inlineStr">
        <is>
          <t>Reconciliation Conclusion</t>
        </is>
      </c>
      <c r="D403" s="7" t="inlineStr">
        <is>
          <t>Evidence review</t>
        </is>
      </c>
      <c r="E403" s="7" t="inlineStr">
        <is>
          <t>Regional IT</t>
        </is>
      </c>
      <c r="F403" s="7" t="inlineStr">
        <is>
          <t>Atlanta</t>
        </is>
      </c>
      <c r="G403" s="7" t="inlineStr">
        <is>
          <t>Ticket:RET-00102; Transfer:TR-00102; Certificate:missing; PO:PO-2022-0017; Ledger:FA-000102; PolicyFigure:ITAM_control_matrix.png</t>
        </is>
      </c>
      <c r="H403" s="7" t="inlineStr">
        <is>
          <t>Confirmed Fact</t>
        </is>
      </c>
      <c r="I403" s="7" t="inlineStr">
        <is>
          <t>After the chain: Retired/Pending Disposal. Medium confidence. EX-0130, EX-0131, EX-0132. RET-00102 TR-00102 PO-2022-0017 FA-000102 ITAM_control_matrix.png</t>
        </is>
      </c>
    </row>
    <row r="404">
      <c r="A404" s="7" t="inlineStr">
        <is>
          <t>MD-00103</t>
        </is>
      </c>
      <c r="B404" s="7" t="inlineStr">
        <is>
          <t>2025-08-08</t>
        </is>
      </c>
      <c r="C404" s="7" t="inlineStr">
        <is>
          <t>Purchase</t>
        </is>
      </c>
      <c r="D404" s="7" t="inlineStr">
        <is>
          <t>Vendor</t>
        </is>
      </c>
      <c r="E404" s="7" t="inlineStr">
        <is>
          <t>Central Receiving</t>
        </is>
      </c>
      <c r="F404" s="7" t="inlineStr">
        <is>
          <t>Atlanta Warehouse</t>
        </is>
      </c>
      <c r="G404" s="7" t="inlineStr">
        <is>
          <t>PO:PO-2023-0018</t>
        </is>
      </c>
      <c r="H404" s="7" t="inlineStr">
        <is>
          <t>Confirmed Fact</t>
        </is>
      </c>
      <c r="I404" s="7" t="inlineStr">
        <is>
          <t>PO line PO-2023-0018 — Samsung Galaxy S24.</t>
        </is>
      </c>
    </row>
    <row r="405">
      <c r="A405" s="7" t="inlineStr">
        <is>
          <t>MD-00103</t>
        </is>
      </c>
      <c r="B405" s="7" t="inlineStr">
        <is>
          <t>2026-02-08</t>
        </is>
      </c>
      <c r="C405" s="7" t="inlineStr">
        <is>
          <t>Assignment/Transfer</t>
        </is>
      </c>
      <c r="D405" s="7" t="inlineStr">
        <is>
          <t>Central Receiving</t>
        </is>
      </c>
      <c r="E405" s="7" t="inlineStr">
        <is>
          <t>Regional IT</t>
        </is>
      </c>
      <c r="F405" s="7" t="inlineStr">
        <is>
          <t>Chicago</t>
        </is>
      </c>
      <c r="G405" s="7" t="inlineStr">
        <is>
          <t>Transfer:TR-00103; Approval:APR-00103</t>
        </is>
      </c>
      <c r="H405" s="7" t="inlineStr">
        <is>
          <t>Confirmed Fact</t>
        </is>
      </c>
      <c r="I405" s="7" t="inlineStr">
        <is>
          <t>From warehouse to Regional IT. TR-00103, received 2/14/26.</t>
        </is>
      </c>
    </row>
    <row r="406">
      <c r="A406" s="7" t="inlineStr">
        <is>
          <t>MD-00103</t>
        </is>
      </c>
      <c r="B406" s="7" t="inlineStr">
        <is>
          <t>2026-05-31</t>
        </is>
      </c>
      <c r="C406" s="7" t="inlineStr">
        <is>
          <t>Offboarding Ticket</t>
        </is>
      </c>
      <c r="D406" s="7" t="inlineStr">
        <is>
          <t>E0091</t>
        </is>
      </c>
      <c r="E406" s="7" t="inlineStr">
        <is>
          <t>IT Service Desk</t>
        </is>
      </c>
      <c r="F406" s="7" t="inlineStr"/>
      <c r="G406" s="7" t="inlineStr">
        <is>
          <t>Ticket:RET-00103; Status:Pending Disposal</t>
        </is>
      </c>
      <c r="H406" s="7" t="inlineStr">
        <is>
          <t>Confirmed Fact</t>
        </is>
      </c>
      <c r="I406" s="7" t="inlineStr">
        <is>
          <t>Opened RET-00103. Status Pending Disposal.</t>
        </is>
      </c>
    </row>
    <row r="407">
      <c r="A407" s="7" t="inlineStr">
        <is>
          <t>MD-00103</t>
        </is>
      </c>
      <c r="B407" s="7" t="inlineStr">
        <is>
          <t>2026-05-31</t>
        </is>
      </c>
      <c r="C407" s="7" t="inlineStr">
        <is>
          <t>Technician Comment</t>
        </is>
      </c>
      <c r="D407" s="7" t="inlineStr">
        <is>
          <t>Service Desk</t>
        </is>
      </c>
      <c r="E407" s="7" t="inlineStr"/>
      <c r="F407" s="7" t="inlineStr"/>
      <c r="G407" s="7" t="inlineStr">
        <is>
          <t>Ticket:RET-00103</t>
        </is>
      </c>
      <c r="H407" s="7" t="inlineStr">
        <is>
          <t>Technician Claim</t>
        </is>
      </c>
      <c r="I407" s="7" t="inlineStr">
        <is>
          <t>HDD pulled; chassis waiting paperwork. Ref MD-00103.</t>
        </is>
      </c>
    </row>
    <row r="408">
      <c r="A408" s="7" t="inlineStr">
        <is>
          <t>MD-00103</t>
        </is>
      </c>
      <c r="B408" s="7" t="inlineStr">
        <is>
          <t>2026-08-05</t>
        </is>
      </c>
      <c r="C408" s="7" t="inlineStr">
        <is>
          <t>Regional IT Note Lead</t>
        </is>
      </c>
      <c r="D408" s="7" t="inlineStr">
        <is>
          <t>Regional IT</t>
        </is>
      </c>
      <c r="E408" s="7" t="inlineStr"/>
      <c r="F408" s="7" t="inlineStr">
        <is>
          <t>Denver - Closed</t>
        </is>
      </c>
      <c r="G408" s="7" t="inlineStr">
        <is>
          <t>regional_IT_notes.docx</t>
        </is>
      </c>
      <c r="H408" s="7" t="inlineStr">
        <is>
          <t>Technician Claim</t>
        </is>
      </c>
      <c r="I408" s="7" t="inlineStr">
        <is>
          <t>Note exists. Corroboration doesn't. MD-00103.</t>
        </is>
      </c>
    </row>
    <row r="409">
      <c r="A409" s="7" t="inlineStr">
        <is>
          <t>MD-00103</t>
        </is>
      </c>
      <c r="B409" s="7" t="inlineStr">
        <is>
          <t>2026-08-09</t>
        </is>
      </c>
      <c r="C409" s="7" t="inlineStr">
        <is>
          <t>Policy Control Figure</t>
        </is>
      </c>
      <c r="D409" s="7" t="inlineStr">
        <is>
          <t>ITAM-001</t>
        </is>
      </c>
      <c r="E409" s="7" t="inlineStr"/>
      <c r="F409" s="7" t="inlineStr"/>
      <c r="G409" s="7" t="inlineStr">
        <is>
          <t>ITAM_control_matrix.png; IT_asset_management_policy.pdf</t>
        </is>
      </c>
      <c r="H409" s="7" t="inlineStr">
        <is>
          <t>Confirmed Fact</t>
        </is>
      </c>
      <c r="I409" s="7" t="inlineStr">
        <is>
          <t>MD-00103 scored against the financial column in the control matrix; chain reference above carries the weight.</t>
        </is>
      </c>
    </row>
    <row r="410">
      <c r="A410" s="7" t="inlineStr">
        <is>
          <t>MD-00103</t>
        </is>
      </c>
      <c r="B410" s="7" t="inlineStr">
        <is>
          <t>2026-08-09</t>
        </is>
      </c>
      <c r="C410" s="7" t="inlineStr">
        <is>
          <t>Reconciliation Conclusion</t>
        </is>
      </c>
      <c r="D410" s="7" t="inlineStr">
        <is>
          <t>Evidence review</t>
        </is>
      </c>
      <c r="E410" s="7" t="inlineStr">
        <is>
          <t>Regional IT</t>
        </is>
      </c>
      <c r="F410" s="7" t="inlineStr">
        <is>
          <t>Chicago</t>
        </is>
      </c>
      <c r="G410" s="7" t="inlineStr">
        <is>
          <t>Ticket:RET-00103; Transfer:TR-00103; Certificate:missing; PO:PO-2023-0018; Ledger:FA-000103; PolicyFigure:ITAM_control_matrix.png</t>
        </is>
      </c>
      <c r="H410" s="7" t="inlineStr">
        <is>
          <t>Confirmed Fact</t>
        </is>
      </c>
      <c r="I410" s="7" t="inlineStr">
        <is>
          <t>Call: Retired/Pending Disposal at Chicago. Medium. Exceptions EX-0133, EX-0134. RET-00103 TR-00103 PO-2023-0018 FA-000103 ITAM_control_matrix.png</t>
        </is>
      </c>
    </row>
    <row r="411">
      <c r="A411" s="7" t="inlineStr">
        <is>
          <t>MD-00104</t>
        </is>
      </c>
      <c r="B411" s="7" t="inlineStr">
        <is>
          <t>2022-09-09</t>
        </is>
      </c>
      <c r="C411" s="7" t="inlineStr">
        <is>
          <t>Purchase</t>
        </is>
      </c>
      <c r="D411" s="7" t="inlineStr">
        <is>
          <t>Vendor</t>
        </is>
      </c>
      <c r="E411" s="7" t="inlineStr">
        <is>
          <t>Central Receiving</t>
        </is>
      </c>
      <c r="F411" s="7" t="inlineStr">
        <is>
          <t>Atlanta Warehouse</t>
        </is>
      </c>
      <c r="G411" s="7" t="inlineStr">
        <is>
          <t>PO:PO-2023-0018</t>
        </is>
      </c>
      <c r="H411" s="7" t="inlineStr">
        <is>
          <t>Confirmed Fact</t>
        </is>
      </c>
      <c r="I411" s="7" t="inlineStr">
        <is>
          <t>Bought the Cisco C9300 ($6470) on PO-2023-0018.</t>
        </is>
      </c>
    </row>
    <row r="412">
      <c r="A412" s="7" t="inlineStr">
        <is>
          <t>MD-00104</t>
        </is>
      </c>
      <c r="B412" s="7" t="inlineStr">
        <is>
          <t>2026-03-09</t>
        </is>
      </c>
      <c r="C412" s="7" t="inlineStr">
        <is>
          <t>Assignment/Transfer</t>
        </is>
      </c>
      <c r="D412" s="7" t="inlineStr">
        <is>
          <t>Central Receiving</t>
        </is>
      </c>
      <c r="E412" s="7" t="inlineStr">
        <is>
          <t>Regional IT</t>
        </is>
      </c>
      <c r="F412" s="7" t="inlineStr">
        <is>
          <t>Dallas</t>
        </is>
      </c>
      <c r="G412" s="7" t="inlineStr">
        <is>
          <t>Transfer:TR-00104; Approval:APR-00104</t>
        </is>
      </c>
      <c r="H412" s="7" t="inlineStr">
        <is>
          <t>Confirmed Fact</t>
        </is>
      </c>
      <c r="I412" s="7" t="inlineStr">
        <is>
          <t>Transfer TR-00104 / APR-00104. Received 3/18/26.</t>
        </is>
      </c>
    </row>
    <row r="413">
      <c r="A413" s="7" t="inlineStr">
        <is>
          <t>MD-00104</t>
        </is>
      </c>
      <c r="B413" s="7" t="inlineStr">
        <is>
          <t>2026-05-31</t>
        </is>
      </c>
      <c r="C413" s="7" t="inlineStr">
        <is>
          <t>Offboarding Ticket</t>
        </is>
      </c>
      <c r="D413" s="7" t="inlineStr">
        <is>
          <t>E0092</t>
        </is>
      </c>
      <c r="E413" s="7" t="inlineStr">
        <is>
          <t>IT Service Desk</t>
        </is>
      </c>
      <c r="F413" s="7" t="inlineStr"/>
      <c r="G413" s="7" t="inlineStr">
        <is>
          <t>Ticket:RET-00104; Status:Pending Disposal</t>
        </is>
      </c>
      <c r="H413" s="7" t="inlineStr">
        <is>
          <t>Confirmed Fact</t>
        </is>
      </c>
      <c r="I413" s="7" t="inlineStr">
        <is>
          <t>Service desk RET-00104 on MD-00104. Return required No.</t>
        </is>
      </c>
    </row>
    <row r="414">
      <c r="A414" s="7" t="inlineStr">
        <is>
          <t>MD-00104</t>
        </is>
      </c>
      <c r="B414" s="7" t="inlineStr">
        <is>
          <t>2026-05-31</t>
        </is>
      </c>
      <c r="C414" s="7" t="inlineStr">
        <is>
          <t>Technician Comment</t>
        </is>
      </c>
      <c r="D414" s="7" t="inlineStr">
        <is>
          <t>Service Desk</t>
        </is>
      </c>
      <c r="E414" s="7" t="inlineStr"/>
      <c r="F414" s="7" t="inlineStr"/>
      <c r="G414" s="7" t="inlineStr">
        <is>
          <t>Ticket:RET-00104</t>
        </is>
      </c>
      <c r="H414" s="7" t="inlineStr">
        <is>
          <t>Technician Claim</t>
        </is>
      </c>
      <c r="I414" s="7" t="inlineStr">
        <is>
          <t>Moved off the floor so it wouldn't get redeployed by accident. Ref MD-00104.</t>
        </is>
      </c>
    </row>
    <row r="415">
      <c r="A415" s="7" t="inlineStr">
        <is>
          <t>MD-00104</t>
        </is>
      </c>
      <c r="B415" s="7" t="inlineStr">
        <is>
          <t>2026-08-05</t>
        </is>
      </c>
      <c r="C415" s="7" t="inlineStr">
        <is>
          <t>Regional IT Note Lead</t>
        </is>
      </c>
      <c r="D415" s="7" t="inlineStr">
        <is>
          <t>Regional IT</t>
        </is>
      </c>
      <c r="E415" s="7" t="inlineStr"/>
      <c r="F415" s="7" t="inlineStr">
        <is>
          <t>Chicago - Closed</t>
        </is>
      </c>
      <c r="G415" s="7" t="inlineStr">
        <is>
          <t>regional_IT_notes.docx</t>
        </is>
      </c>
      <c r="H415" s="7" t="inlineStr">
        <is>
          <t>Technician Claim</t>
        </is>
      </c>
      <c r="I415" s="7" t="inlineStr">
        <is>
          <t>Word file claim on MD-00104 — non-authoritative.</t>
        </is>
      </c>
    </row>
    <row r="416">
      <c r="A416" s="7" t="inlineStr">
        <is>
          <t>MD-00104</t>
        </is>
      </c>
      <c r="B416" s="7" t="inlineStr">
        <is>
          <t>2026-08-09</t>
        </is>
      </c>
      <c r="C416" s="7" t="inlineStr">
        <is>
          <t>Policy Control Figure</t>
        </is>
      </c>
      <c r="D416" s="7" t="inlineStr">
        <is>
          <t>ITAM-001</t>
        </is>
      </c>
      <c r="E416" s="7" t="inlineStr"/>
      <c r="F416" s="7" t="inlineStr"/>
      <c r="G416" s="7" t="inlineStr">
        <is>
          <t>ITAM_control_matrix.png; IT_asset_management_policy.pdf</t>
        </is>
      </c>
      <c r="H416" s="7" t="inlineStr">
        <is>
          <t>Confirmed Fact</t>
        </is>
      </c>
      <c r="I416" s="7" t="inlineStr">
        <is>
          <t>Auditors should read the transfer bar on the matrix for MD-00104; supporting file: chain reference above.</t>
        </is>
      </c>
    </row>
    <row r="417">
      <c r="A417" s="7" t="inlineStr">
        <is>
          <t>MD-00104</t>
        </is>
      </c>
      <c r="B417" s="7" t="inlineStr">
        <is>
          <t>2026-08-09</t>
        </is>
      </c>
      <c r="C417" s="7" t="inlineStr">
        <is>
          <t>Reconciliation Conclusion</t>
        </is>
      </c>
      <c r="D417" s="7" t="inlineStr">
        <is>
          <t>Evidence review</t>
        </is>
      </c>
      <c r="E417" s="7" t="inlineStr">
        <is>
          <t>Regional IT</t>
        </is>
      </c>
      <c r="F417" s="7" t="inlineStr">
        <is>
          <t>Dallas</t>
        </is>
      </c>
      <c r="G417" s="7" t="inlineStr">
        <is>
          <t>Ticket:RET-00104; Transfer:TR-00104; Certificate:missing; PO:PO-2023-0018; Ledger:FA-000104; PolicyFigure:ITAM_control_matrix.png</t>
        </is>
      </c>
      <c r="H417" s="7" t="inlineStr">
        <is>
          <t>Confirmed Fact</t>
        </is>
      </c>
      <c r="I417" s="7" t="inlineStr">
        <is>
          <t>MD-00104 → Retired/Pending Disposal. Confidence Medium. EX-0135, EX-0136. RET-00104 TR-00104 PO-2023-0018 FA-000104 ITAM_control_matrix.png</t>
        </is>
      </c>
    </row>
    <row r="418">
      <c r="A418" s="7" t="inlineStr">
        <is>
          <t>MD-00105</t>
        </is>
      </c>
      <c r="B418" s="7" t="inlineStr">
        <is>
          <t>2023-10-10</t>
        </is>
      </c>
      <c r="C418" s="7" t="inlineStr">
        <is>
          <t>Purchase</t>
        </is>
      </c>
      <c r="D418" s="7" t="inlineStr">
        <is>
          <t>Vendor</t>
        </is>
      </c>
      <c r="E418" s="7" t="inlineStr">
        <is>
          <t>Central Receiving</t>
        </is>
      </c>
      <c r="F418" s="7" t="inlineStr">
        <is>
          <t>Atlanta Warehouse</t>
        </is>
      </c>
      <c r="G418" s="7" t="inlineStr">
        <is>
          <t>PO:PO-2023-0018</t>
        </is>
      </c>
      <c r="H418" s="7" t="inlineStr">
        <is>
          <t>Confirmed Fact</t>
        </is>
      </c>
      <c r="I418" s="7" t="inlineStr">
        <is>
          <t>Warehouse receipt tied to PO-2023-0018. Dell Latitude 7440.</t>
        </is>
      </c>
    </row>
    <row r="419">
      <c r="A419" s="7" t="inlineStr">
        <is>
          <t>MD-00105</t>
        </is>
      </c>
      <c r="B419" s="7" t="inlineStr">
        <is>
          <t>2026-04-10</t>
        </is>
      </c>
      <c r="C419" s="7" t="inlineStr">
        <is>
          <t>Assignment/Transfer</t>
        </is>
      </c>
      <c r="D419" s="7" t="inlineStr">
        <is>
          <t>Central Receiving</t>
        </is>
      </c>
      <c r="E419" s="7" t="inlineStr">
        <is>
          <t>Regional IT</t>
        </is>
      </c>
      <c r="F419" s="7" t="inlineStr">
        <is>
          <t>Denver</t>
        </is>
      </c>
      <c r="G419" s="7" t="inlineStr">
        <is>
          <t>Transfer:TR-00105; Approval:APR-00105</t>
        </is>
      </c>
      <c r="H419" s="7" t="inlineStr">
        <is>
          <t>Confirmed Fact</t>
        </is>
      </c>
      <c r="I419" s="7" t="inlineStr">
        <is>
          <t>Recorded 4/20, received 4/21/26. TR-00105.</t>
        </is>
      </c>
    </row>
    <row r="420">
      <c r="A420" s="7" t="inlineStr">
        <is>
          <t>MD-00105</t>
        </is>
      </c>
      <c r="B420" s="7" t="inlineStr">
        <is>
          <t>2026-05-31</t>
        </is>
      </c>
      <c r="C420" s="7" t="inlineStr">
        <is>
          <t>Offboarding Ticket</t>
        </is>
      </c>
      <c r="D420" s="7" t="inlineStr">
        <is>
          <t>E0093</t>
        </is>
      </c>
      <c r="E420" s="7" t="inlineStr">
        <is>
          <t>IT Service Desk</t>
        </is>
      </c>
      <c r="F420" s="7" t="inlineStr"/>
      <c r="G420" s="7" t="inlineStr">
        <is>
          <t>Ticket:RET-00105; Status:Pending Disposal</t>
        </is>
      </c>
      <c r="H420" s="7" t="inlineStr">
        <is>
          <t>Confirmed Fact</t>
        </is>
      </c>
      <c r="I420" s="7" t="inlineStr">
        <is>
          <t>RET-00105 — Pending Disposal. Due n/a.</t>
        </is>
      </c>
    </row>
    <row r="421">
      <c r="A421" s="7" t="inlineStr">
        <is>
          <t>MD-00105</t>
        </is>
      </c>
      <c r="B421" s="7" t="inlineStr">
        <is>
          <t>2026-05-31</t>
        </is>
      </c>
      <c r="C421" s="7" t="inlineStr">
        <is>
          <t>Technician Comment</t>
        </is>
      </c>
      <c r="D421" s="7" t="inlineStr">
        <is>
          <t>Service Desk</t>
        </is>
      </c>
      <c r="E421" s="7" t="inlineStr"/>
      <c r="F421" s="7" t="inlineStr"/>
      <c r="G421" s="7" t="inlineStr">
        <is>
          <t>Ticket:RET-00105</t>
        </is>
      </c>
      <c r="H421" s="7" t="inlineStr">
        <is>
          <t>Technician Claim</t>
        </is>
      </c>
      <c r="I421" s="7" t="inlineStr">
        <is>
          <t>End-of-life; ticket is retirement not a people-return. Ref MD-00105.</t>
        </is>
      </c>
    </row>
    <row r="422">
      <c r="A422" s="7" t="inlineStr">
        <is>
          <t>MD-00105</t>
        </is>
      </c>
      <c r="B422" s="7" t="inlineStr">
        <is>
          <t>2026-08-05</t>
        </is>
      </c>
      <c r="C422" s="7" t="inlineStr">
        <is>
          <t>Regional IT Note Lead</t>
        </is>
      </c>
      <c r="D422" s="7" t="inlineStr">
        <is>
          <t>Regional IT</t>
        </is>
      </c>
      <c r="E422" s="7" t="inlineStr"/>
      <c r="F422" s="7" t="inlineStr">
        <is>
          <t>Denver - Closed</t>
        </is>
      </c>
      <c r="G422" s="7" t="inlineStr">
        <is>
          <t>regional_IT_notes.docx</t>
        </is>
      </c>
      <c r="H422" s="7" t="inlineStr">
        <is>
          <t>Technician Claim</t>
        </is>
      </c>
      <c r="I422" s="7" t="inlineStr">
        <is>
          <t>Breadcrumb in regional_IT_notes.docx. Still need a transaction for MD-00105.</t>
        </is>
      </c>
    </row>
    <row r="423">
      <c r="A423" s="7" t="inlineStr">
        <is>
          <t>MD-00105</t>
        </is>
      </c>
      <c r="B423" s="7" t="inlineStr">
        <is>
          <t>2026-08-09</t>
        </is>
      </c>
      <c r="C423" s="7" t="inlineStr">
        <is>
          <t>Policy Control Figure</t>
        </is>
      </c>
      <c r="D423" s="7" t="inlineStr">
        <is>
          <t>ITAM-001</t>
        </is>
      </c>
      <c r="E423" s="7" t="inlineStr"/>
      <c r="F423" s="7" t="inlineStr"/>
      <c r="G423" s="7" t="inlineStr">
        <is>
          <t>ITAM_control_matrix.png; IT_asset_management_policy.pdf</t>
        </is>
      </c>
      <c r="H423" s="7" t="inlineStr">
        <is>
          <t>Confirmed Fact</t>
        </is>
      </c>
      <c r="I423" s="7" t="inlineStr">
        <is>
          <t>Policy figure referenced for MD-00105 (disposal path). Custody still depends on chain reference above; ITAM_control_matrix.png in packet.</t>
        </is>
      </c>
    </row>
    <row r="424">
      <c r="A424" s="7" t="inlineStr">
        <is>
          <t>MD-00105</t>
        </is>
      </c>
      <c r="B424" s="7" t="inlineStr">
        <is>
          <t>2026-08-09</t>
        </is>
      </c>
      <c r="C424" s="7" t="inlineStr">
        <is>
          <t>Reconciliation Conclusion</t>
        </is>
      </c>
      <c r="D424" s="7" t="inlineStr">
        <is>
          <t>Evidence review</t>
        </is>
      </c>
      <c r="E424" s="7" t="inlineStr">
        <is>
          <t>Regional IT</t>
        </is>
      </c>
      <c r="F424" s="7" t="inlineStr">
        <is>
          <t>Denver</t>
        </is>
      </c>
      <c r="G424" s="7" t="inlineStr">
        <is>
          <t>Ticket:RET-00105; Transfer:TR-00105; Certificate:missing; PO:PO-2023-0018; Ledger:FA-000105; PolicyFigure:ITAM_control_matrix.png</t>
        </is>
      </c>
      <c r="H424" s="7" t="inlineStr">
        <is>
          <t>Confirmed Fact</t>
        </is>
      </c>
      <c r="I424" s="7" t="inlineStr">
        <is>
          <t>Landed on Retired/Pending Disposal (Medium). EX-0137, EX-0138. RET-00105 TR-00105 PO-2023-0018 FA-000105 ITAM_control_matrix.png</t>
        </is>
      </c>
    </row>
    <row r="425">
      <c r="A425" s="7" t="inlineStr">
        <is>
          <t>MD-00106</t>
        </is>
      </c>
      <c r="B425" s="7" t="inlineStr">
        <is>
          <t>2024-11-11</t>
        </is>
      </c>
      <c r="C425" s="7" t="inlineStr">
        <is>
          <t>Purchase</t>
        </is>
      </c>
      <c r="D425" s="7" t="inlineStr">
        <is>
          <t>Vendor</t>
        </is>
      </c>
      <c r="E425" s="7" t="inlineStr">
        <is>
          <t>Central Receiving</t>
        </is>
      </c>
      <c r="F425" s="7" t="inlineStr">
        <is>
          <t>Atlanta Warehouse</t>
        </is>
      </c>
      <c r="G425" s="7" t="inlineStr">
        <is>
          <t>PO:PO-2023-0018</t>
        </is>
      </c>
      <c r="H425" s="7" t="inlineStr">
        <is>
          <t>Confirmed Fact</t>
        </is>
      </c>
      <c r="I425" s="7" t="inlineStr">
        <is>
          <t>Acquired MD-00106 (Dell U2723QE) for $565 via PO-2023-0018.</t>
        </is>
      </c>
    </row>
    <row r="426">
      <c r="A426" s="7" t="inlineStr">
        <is>
          <t>MD-00106</t>
        </is>
      </c>
      <c r="B426" s="7" t="inlineStr">
        <is>
          <t>2026-05-11</t>
        </is>
      </c>
      <c r="C426" s="7" t="inlineStr">
        <is>
          <t>Assignment/Transfer</t>
        </is>
      </c>
      <c r="D426" s="7" t="inlineStr">
        <is>
          <t>Central Receiving</t>
        </is>
      </c>
      <c r="E426" s="7" t="inlineStr">
        <is>
          <t>Regional IT</t>
        </is>
      </c>
      <c r="F426" s="7" t="inlineStr">
        <is>
          <t>New York</t>
        </is>
      </c>
      <c r="G426" s="7" t="inlineStr">
        <is>
          <t>Transfer:TR-00106; Approval:APR-00106</t>
        </is>
      </c>
      <c r="H426" s="7" t="inlineStr">
        <is>
          <t>Confirmed Fact</t>
        </is>
      </c>
      <c r="I426" s="7" t="inlineStr">
        <is>
          <t>Movement TR-00106 completed inbound 5/25/26.</t>
        </is>
      </c>
    </row>
    <row r="427">
      <c r="A427" s="7" t="inlineStr">
        <is>
          <t>MD-00106</t>
        </is>
      </c>
      <c r="B427" s="7" t="inlineStr">
        <is>
          <t>2026-05-31</t>
        </is>
      </c>
      <c r="C427" s="7" t="inlineStr">
        <is>
          <t>Offboarding Ticket</t>
        </is>
      </c>
      <c r="D427" s="7" t="inlineStr">
        <is>
          <t>E0094</t>
        </is>
      </c>
      <c r="E427" s="7" t="inlineStr">
        <is>
          <t>IT Service Desk</t>
        </is>
      </c>
      <c r="F427" s="7" t="inlineStr"/>
      <c r="G427" s="7" t="inlineStr">
        <is>
          <t>Ticket:RET-00106; Status:Pending Disposal</t>
        </is>
      </c>
      <c r="H427" s="7" t="inlineStr">
        <is>
          <t>Confirmed Fact</t>
        </is>
      </c>
      <c r="I427" s="7" t="inlineStr">
        <is>
          <t>People ticket RET-00106. Doesn't by itself dock MD-00106.</t>
        </is>
      </c>
    </row>
    <row r="428">
      <c r="A428" s="7" t="inlineStr">
        <is>
          <t>MD-00106</t>
        </is>
      </c>
      <c r="B428" s="7" t="inlineStr">
        <is>
          <t>2026-05-31</t>
        </is>
      </c>
      <c r="C428" s="7" t="inlineStr">
        <is>
          <t>Technician Comment</t>
        </is>
      </c>
      <c r="D428" s="7" t="inlineStr">
        <is>
          <t>Service Desk</t>
        </is>
      </c>
      <c r="E428" s="7" t="inlineStr"/>
      <c r="F428" s="7" t="inlineStr"/>
      <c r="G428" s="7" t="inlineStr">
        <is>
          <t>Ticket:RET-00106</t>
        </is>
      </c>
      <c r="H428" s="7" t="inlineStr">
        <is>
          <t>Technician Claim</t>
        </is>
      </c>
      <c r="I428" s="7" t="inlineStr">
        <is>
          <t>Sanitization scheduled. Don't treat as Available. Ref MD-00106.</t>
        </is>
      </c>
    </row>
    <row r="429">
      <c r="A429" s="7" t="inlineStr">
        <is>
          <t>MD-00106</t>
        </is>
      </c>
      <c r="B429" s="7" t="inlineStr">
        <is>
          <t>2026-08-05</t>
        </is>
      </c>
      <c r="C429" s="7" t="inlineStr">
        <is>
          <t>Regional IT Note Lead</t>
        </is>
      </c>
      <c r="D429" s="7" t="inlineStr">
        <is>
          <t>Regional IT</t>
        </is>
      </c>
      <c r="E429" s="7" t="inlineStr"/>
      <c r="F429" s="7" t="inlineStr">
        <is>
          <t>Chicago - Closed</t>
        </is>
      </c>
      <c r="G429" s="7" t="inlineStr">
        <is>
          <t>regional_IT_notes.docx</t>
        </is>
      </c>
      <c r="H429" s="7" t="inlineStr">
        <is>
          <t>Technician Claim</t>
        </is>
      </c>
      <c r="I429" s="7" t="inlineStr">
        <is>
          <t>Didn't let the regional write-up overrule the logs on MD-00106.</t>
        </is>
      </c>
    </row>
    <row r="430">
      <c r="A430" s="7" t="inlineStr">
        <is>
          <t>MD-00106</t>
        </is>
      </c>
      <c r="B430" s="7" t="inlineStr">
        <is>
          <t>2026-08-09</t>
        </is>
      </c>
      <c r="C430" s="7" t="inlineStr">
        <is>
          <t>Policy Control Figure</t>
        </is>
      </c>
      <c r="D430" s="7" t="inlineStr">
        <is>
          <t>ITAM-001</t>
        </is>
      </c>
      <c r="E430" s="7" t="inlineStr"/>
      <c r="F430" s="7" t="inlineStr"/>
      <c r="G430" s="7" t="inlineStr">
        <is>
          <t>ITAM_control_matrix.png; IT_asset_management_policy.pdf</t>
        </is>
      </c>
      <c r="H430" s="7" t="inlineStr">
        <is>
          <t>Confirmed Fact</t>
        </is>
      </c>
      <c r="I430" s="7" t="inlineStr">
        <is>
          <t>MD-00106 — Assignment requirements pulled from ITAM_control_matrix.png; no clearance from the figure alone (chain reference above).</t>
        </is>
      </c>
    </row>
    <row r="431">
      <c r="A431" s="7" t="inlineStr">
        <is>
          <t>MD-00106</t>
        </is>
      </c>
      <c r="B431" s="7" t="inlineStr">
        <is>
          <t>2026-08-09</t>
        </is>
      </c>
      <c r="C431" s="7" t="inlineStr">
        <is>
          <t>Reconciliation Conclusion</t>
        </is>
      </c>
      <c r="D431" s="7" t="inlineStr">
        <is>
          <t>Evidence review</t>
        </is>
      </c>
      <c r="E431" s="7" t="inlineStr">
        <is>
          <t>Regional IT</t>
        </is>
      </c>
      <c r="F431" s="7" t="inlineStr">
        <is>
          <t>New York</t>
        </is>
      </c>
      <c r="G431" s="7" t="inlineStr">
        <is>
          <t>Ticket:RET-00106; Transfer:TR-00106; Certificate:missing; PO:PO-2023-0018; Ledger:FA-000106; PolicyFigure:ITAM_control_matrix.png</t>
        </is>
      </c>
      <c r="H431" s="7" t="inlineStr">
        <is>
          <t>Confirmed Fact</t>
        </is>
      </c>
      <c r="I431" s="7" t="inlineStr">
        <is>
          <t>Wrap: MD-00106 Retired/Pending Disposal. EX-0139, EX-0140. RET-00106 TR-00106 PO-2023-0018 FA-000106 ITAM_control_matrix.png</t>
        </is>
      </c>
    </row>
    <row r="432">
      <c r="A432" s="7" t="inlineStr">
        <is>
          <t>MD-00107</t>
        </is>
      </c>
      <c r="B432" s="7" t="inlineStr">
        <is>
          <t>2025-12-12</t>
        </is>
      </c>
      <c r="C432" s="7" t="inlineStr">
        <is>
          <t>Purchase</t>
        </is>
      </c>
      <c r="D432" s="7" t="inlineStr">
        <is>
          <t>Vendor</t>
        </is>
      </c>
      <c r="E432" s="7" t="inlineStr">
        <is>
          <t>Central Receiving</t>
        </is>
      </c>
      <c r="F432" s="7" t="inlineStr">
        <is>
          <t>Atlanta Warehouse</t>
        </is>
      </c>
      <c r="G432" s="7" t="inlineStr">
        <is>
          <t>PO:PO-2023-0018</t>
        </is>
      </c>
      <c r="H432" s="7" t="inlineStr">
        <is>
          <t>Confirmed Fact</t>
        </is>
      </c>
      <c r="I432" s="7" t="inlineStr">
        <is>
          <t>Receiving against PO-2023-0018. Samsung Galaxy S24, $1040.</t>
        </is>
      </c>
    </row>
    <row r="433">
      <c r="A433" s="7" t="inlineStr">
        <is>
          <t>MD-00107</t>
        </is>
      </c>
      <c r="B433" s="7" t="inlineStr">
        <is>
          <t>2026-06-12</t>
        </is>
      </c>
      <c r="C433" s="7" t="inlineStr">
        <is>
          <t>Assignment/Transfer</t>
        </is>
      </c>
      <c r="D433" s="7" t="inlineStr">
        <is>
          <t>Central Receiving</t>
        </is>
      </c>
      <c r="E433" s="7" t="inlineStr">
        <is>
          <t>Regional IT</t>
        </is>
      </c>
      <c r="F433" s="7" t="inlineStr">
        <is>
          <t>Seattle</t>
        </is>
      </c>
      <c r="G433" s="7" t="inlineStr">
        <is>
          <t>Transfer:TR-00107; Approval:APR-00107</t>
        </is>
      </c>
      <c r="H433" s="7" t="inlineStr">
        <is>
          <t>Confirmed Fact</t>
        </is>
      </c>
      <c r="I433" s="7" t="inlineStr">
        <is>
          <t>Assignment posted 6/26. Docked 6/27/26 (TR-00107).</t>
        </is>
      </c>
    </row>
    <row r="434">
      <c r="A434" s="7" t="inlineStr">
        <is>
          <t>MD-00107</t>
        </is>
      </c>
      <c r="B434" s="7" t="inlineStr">
        <is>
          <t>2026-05-31</t>
        </is>
      </c>
      <c r="C434" s="7" t="inlineStr">
        <is>
          <t>Offboarding Ticket</t>
        </is>
      </c>
      <c r="D434" s="7" t="inlineStr">
        <is>
          <t>E0095</t>
        </is>
      </c>
      <c r="E434" s="7" t="inlineStr">
        <is>
          <t>IT Service Desk</t>
        </is>
      </c>
      <c r="F434" s="7" t="inlineStr"/>
      <c r="G434" s="7" t="inlineStr">
        <is>
          <t>Ticket:RET-00107; Status:Pending Disposal</t>
        </is>
      </c>
      <c r="H434" s="7" t="inlineStr">
        <is>
          <t>Confirmed Fact</t>
        </is>
      </c>
      <c r="I434" s="7" t="inlineStr">
        <is>
          <t>RET-00107 sits Pending Disposal. Hardware return not required per ticket.</t>
        </is>
      </c>
    </row>
    <row r="435">
      <c r="A435" s="7" t="inlineStr">
        <is>
          <t>MD-00107</t>
        </is>
      </c>
      <c r="B435" s="7" t="inlineStr">
        <is>
          <t>2026-05-31</t>
        </is>
      </c>
      <c r="C435" s="7" t="inlineStr">
        <is>
          <t>Technician Comment</t>
        </is>
      </c>
      <c r="D435" s="7" t="inlineStr">
        <is>
          <t>Service Desk</t>
        </is>
      </c>
      <c r="E435" s="7" t="inlineStr"/>
      <c r="F435" s="7" t="inlineStr"/>
      <c r="G435" s="7" t="inlineStr">
        <is>
          <t>Ticket:RET-00107</t>
        </is>
      </c>
      <c r="H435" s="7" t="inlineStr">
        <is>
          <t>Technician Claim</t>
        </is>
      </c>
      <c r="I435" s="7" t="inlineStr">
        <is>
          <t>Pallet-side in Atlanta. Matching cert later if vendor lists the tag. Ref MD-00107.</t>
        </is>
      </c>
    </row>
    <row r="436">
      <c r="A436" s="7" t="inlineStr">
        <is>
          <t>MD-00107</t>
        </is>
      </c>
      <c r="B436" s="7" t="inlineStr">
        <is>
          <t>2026-08-05</t>
        </is>
      </c>
      <c r="C436" s="7" t="inlineStr">
        <is>
          <t>Regional IT Note Lead</t>
        </is>
      </c>
      <c r="D436" s="7" t="inlineStr">
        <is>
          <t>Regional IT</t>
        </is>
      </c>
      <c r="E436" s="7" t="inlineStr"/>
      <c r="F436" s="7" t="inlineStr">
        <is>
          <t>Denver - Closed</t>
        </is>
      </c>
      <c r="G436" s="7" t="inlineStr">
        <is>
          <t>regional_IT_notes.docx</t>
        </is>
      </c>
      <c r="H436" s="7" t="inlineStr">
        <is>
          <t>Technician Claim</t>
        </is>
      </c>
      <c r="I436" s="7" t="inlineStr">
        <is>
          <t>Closed-floor story in the notes. Ignored as clearance. (MD-00107-Regional IT Note Lead-436)</t>
        </is>
      </c>
    </row>
    <row r="437">
      <c r="A437" s="7" t="inlineStr">
        <is>
          <t>MD-00107</t>
        </is>
      </c>
      <c r="B437" s="7" t="inlineStr">
        <is>
          <t>2026-08-09</t>
        </is>
      </c>
      <c r="C437" s="7" t="inlineStr">
        <is>
          <t>Policy Control Figure</t>
        </is>
      </c>
      <c r="D437" s="7" t="inlineStr">
        <is>
          <t>ITAM-001</t>
        </is>
      </c>
      <c r="E437" s="7" t="inlineStr"/>
      <c r="F437" s="7" t="inlineStr"/>
      <c r="G437" s="7" t="inlineStr">
        <is>
          <t>ITAM_control_matrix.png; IT_asset_management_policy.pdf</t>
        </is>
      </c>
      <c r="H437" s="7" t="inlineStr">
        <is>
          <t>Confirmed Fact</t>
        </is>
      </c>
      <c r="I437" s="7" t="inlineStr">
        <is>
          <t>Return evidence bar for MD-00107 taken from ITAM_control_matrix.png; does not substitute for chain reference above.</t>
        </is>
      </c>
    </row>
    <row r="438">
      <c r="A438" s="7" t="inlineStr">
        <is>
          <t>MD-00107</t>
        </is>
      </c>
      <c r="B438" s="7" t="inlineStr">
        <is>
          <t>2026-08-09</t>
        </is>
      </c>
      <c r="C438" s="7" t="inlineStr">
        <is>
          <t>Reconciliation Conclusion</t>
        </is>
      </c>
      <c r="D438" s="7" t="inlineStr">
        <is>
          <t>Evidence review</t>
        </is>
      </c>
      <c r="E438" s="7" t="inlineStr">
        <is>
          <t>Regional IT</t>
        </is>
      </c>
      <c r="F438" s="7" t="inlineStr">
        <is>
          <t>Seattle</t>
        </is>
      </c>
      <c r="G438" s="7" t="inlineStr">
        <is>
          <t>Ticket:RET-00107; Transfer:TR-00107; Certificate:missing; PO:PO-2023-0018; Ledger:FA-000107; PolicyFigure:ITAM_control_matrix.png</t>
        </is>
      </c>
      <c r="H438" s="7" t="inlineStr">
        <is>
          <t>Confirmed Fact</t>
        </is>
      </c>
      <c r="I438" s="7" t="inlineStr">
        <is>
          <t>Retired/Pending Disposal is the status I'm standing behind. EX-0141, EX-0142. Medium. RET-00107 TR-00107 PO-2023-0018 FA-000107 ITAM_control_matrix.png</t>
        </is>
      </c>
    </row>
    <row r="439">
      <c r="A439" s="7" t="inlineStr">
        <is>
          <t>MD-00108</t>
        </is>
      </c>
      <c r="B439" s="7" t="inlineStr">
        <is>
          <t>2022-01-13</t>
        </is>
      </c>
      <c r="C439" s="7" t="inlineStr">
        <is>
          <t>Purchase</t>
        </is>
      </c>
      <c r="D439" s="7" t="inlineStr">
        <is>
          <t>Vendor</t>
        </is>
      </c>
      <c r="E439" s="7" t="inlineStr">
        <is>
          <t>Central Receiving</t>
        </is>
      </c>
      <c r="F439" s="7" t="inlineStr">
        <is>
          <t>Atlanta Warehouse</t>
        </is>
      </c>
      <c r="G439" s="7" t="inlineStr">
        <is>
          <t>PO:PO-2023-0018</t>
        </is>
      </c>
      <c r="H439" s="7" t="inlineStr">
        <is>
          <t>Confirmed Fact</t>
        </is>
      </c>
      <c r="I439" s="7" t="inlineStr">
        <is>
          <t>MD-00108 origin: PO-2023-0018, $6335.</t>
        </is>
      </c>
    </row>
    <row r="440">
      <c r="A440" s="7" t="inlineStr">
        <is>
          <t>MD-00108</t>
        </is>
      </c>
      <c r="B440" s="7" t="inlineStr">
        <is>
          <t>2026-01-13</t>
        </is>
      </c>
      <c r="C440" s="7" t="inlineStr">
        <is>
          <t>Assignment/Transfer</t>
        </is>
      </c>
      <c r="D440" s="7" t="inlineStr">
        <is>
          <t>Central Receiving</t>
        </is>
      </c>
      <c r="E440" s="7" t="inlineStr">
        <is>
          <t>Regional IT</t>
        </is>
      </c>
      <c r="F440" s="7" t="inlineStr">
        <is>
          <t>Atlanta</t>
        </is>
      </c>
      <c r="G440" s="7" t="inlineStr">
        <is>
          <t>Transfer:TR-00108; Approval:APR-00108</t>
        </is>
      </c>
      <c r="H440" s="7" t="inlineStr">
        <is>
          <t>Confirmed Fact</t>
        </is>
      </c>
      <c r="I440" s="7" t="inlineStr">
        <is>
          <t>TR-00108 1/30; inbound 1/30/26.</t>
        </is>
      </c>
    </row>
    <row r="441">
      <c r="A441" s="7" t="inlineStr">
        <is>
          <t>MD-00108</t>
        </is>
      </c>
      <c r="B441" s="7" t="inlineStr">
        <is>
          <t>2026-05-31</t>
        </is>
      </c>
      <c r="C441" s="7" t="inlineStr">
        <is>
          <t>Offboarding Ticket</t>
        </is>
      </c>
      <c r="D441" s="7" t="inlineStr">
        <is>
          <t>E0071</t>
        </is>
      </c>
      <c r="E441" s="7" t="inlineStr">
        <is>
          <t>IT Service Desk</t>
        </is>
      </c>
      <c r="F441" s="7" t="inlineStr"/>
      <c r="G441" s="7" t="inlineStr">
        <is>
          <t>Ticket:RET-00108; Status:Pending Disposal</t>
        </is>
      </c>
      <c r="H441" s="7" t="inlineStr">
        <is>
          <t>Confirmed Fact</t>
        </is>
      </c>
      <c r="I441" s="7" t="inlineStr">
        <is>
          <t>Offboarding RET-00108: No.</t>
        </is>
      </c>
    </row>
    <row r="442">
      <c r="A442" s="7" t="inlineStr">
        <is>
          <t>MD-00108</t>
        </is>
      </c>
      <c r="B442" s="7" t="inlineStr">
        <is>
          <t>2026-05-31</t>
        </is>
      </c>
      <c r="C442" s="7" t="inlineStr">
        <is>
          <t>Technician Comment</t>
        </is>
      </c>
      <c r="D442" s="7" t="inlineStr">
        <is>
          <t>Service Desk</t>
        </is>
      </c>
      <c r="E442" s="7" t="inlineStr"/>
      <c r="F442" s="7" t="inlineStr"/>
      <c r="G442" s="7" t="inlineStr">
        <is>
          <t>Ticket:RET-00108</t>
        </is>
      </c>
      <c r="H442" s="7" t="inlineStr">
        <is>
          <t>Technician Claim</t>
        </is>
      </c>
      <c r="I442" s="7" t="inlineStr">
        <is>
          <t>Removed from loaner pool. Status should stay pending disposal. Ref MD-00108.</t>
        </is>
      </c>
    </row>
    <row r="443">
      <c r="A443" s="7" t="inlineStr">
        <is>
          <t>MD-00108</t>
        </is>
      </c>
      <c r="B443" s="7" t="inlineStr">
        <is>
          <t>2026-08-05</t>
        </is>
      </c>
      <c r="C443" s="7" t="inlineStr">
        <is>
          <t>Regional IT Note Lead</t>
        </is>
      </c>
      <c r="D443" s="7" t="inlineStr">
        <is>
          <t>Regional IT</t>
        </is>
      </c>
      <c r="E443" s="7" t="inlineStr"/>
      <c r="F443" s="7" t="inlineStr">
        <is>
          <t>Chicago - Closed</t>
        </is>
      </c>
      <c r="G443" s="7" t="inlineStr">
        <is>
          <t>regional_IT_notes.docx</t>
        </is>
      </c>
      <c r="H443" s="7" t="inlineStr">
        <is>
          <t>Technician Claim</t>
        </is>
      </c>
      <c r="I443" s="7" t="inlineStr">
        <is>
          <t>Someone wrote that it stayed at a closed site. Unverified for MD-00108.</t>
        </is>
      </c>
    </row>
    <row r="444">
      <c r="A444" s="7" t="inlineStr">
        <is>
          <t>MD-00108</t>
        </is>
      </c>
      <c r="B444" s="7" t="inlineStr">
        <is>
          <t>2026-08-09</t>
        </is>
      </c>
      <c r="C444" s="7" t="inlineStr">
        <is>
          <t>Policy Control Figure</t>
        </is>
      </c>
      <c r="D444" s="7" t="inlineStr">
        <is>
          <t>ITAM-001</t>
        </is>
      </c>
      <c r="E444" s="7" t="inlineStr"/>
      <c r="F444" s="7" t="inlineStr"/>
      <c r="G444" s="7" t="inlineStr">
        <is>
          <t>ITAM_control_matrix.png; IT_asset_management_policy.pdf</t>
        </is>
      </c>
      <c r="H444" s="7" t="inlineStr">
        <is>
          <t>Confirmed Fact</t>
        </is>
      </c>
      <c r="I444" s="7" t="inlineStr">
        <is>
          <t>Evidence standard for MD-00108 follows Appendix A (Financial); transactional support is chain reference above; ITAM_control_matrix.png in packet.</t>
        </is>
      </c>
    </row>
    <row r="445">
      <c r="A445" s="7" t="inlineStr">
        <is>
          <t>MD-00108</t>
        </is>
      </c>
      <c r="B445" s="7" t="inlineStr">
        <is>
          <t>2026-08-09</t>
        </is>
      </c>
      <c r="C445" s="7" t="inlineStr">
        <is>
          <t>Reconciliation Conclusion</t>
        </is>
      </c>
      <c r="D445" s="7" t="inlineStr">
        <is>
          <t>Evidence review</t>
        </is>
      </c>
      <c r="E445" s="7" t="inlineStr">
        <is>
          <t>Regional IT</t>
        </is>
      </c>
      <c r="F445" s="7" t="inlineStr">
        <is>
          <t>Atlanta</t>
        </is>
      </c>
      <c r="G445" s="7" t="inlineStr">
        <is>
          <t>Ticket:RET-00108; Transfer:TR-00108; Certificate:missing; PO:PO-2023-0018; Ledger:FA-000108; PolicyFigure:ITAM_control_matrix.png</t>
        </is>
      </c>
      <c r="H445" s="7" t="inlineStr">
        <is>
          <t>Confirmed Fact</t>
        </is>
      </c>
      <c r="I445" s="7" t="inlineStr">
        <is>
          <t>Closing note MD-00108: Retired/Pending Disposal / Atlanta (Medium). EX-0143, EX-0144. RET-00108 TR-00108 PO-2023-0018 FA-000108 ITAM_control_matrix.png</t>
        </is>
      </c>
    </row>
    <row r="446">
      <c r="A446" s="7" t="inlineStr">
        <is>
          <t>MD-00109</t>
        </is>
      </c>
      <c r="B446" s="7" t="inlineStr">
        <is>
          <t>2023-02-14</t>
        </is>
      </c>
      <c r="C446" s="7" t="inlineStr">
        <is>
          <t>Purchase</t>
        </is>
      </c>
      <c r="D446" s="7" t="inlineStr">
        <is>
          <t>Vendor</t>
        </is>
      </c>
      <c r="E446" s="7" t="inlineStr">
        <is>
          <t>Central Receiving</t>
        </is>
      </c>
      <c r="F446" s="7" t="inlineStr">
        <is>
          <t>Atlanta Warehouse</t>
        </is>
      </c>
      <c r="G446" s="7" t="inlineStr">
        <is>
          <t>PO:PO-2024-0019</t>
        </is>
      </c>
      <c r="H446" s="7" t="inlineStr">
        <is>
          <t>Confirmed Fact</t>
        </is>
      </c>
      <c r="I446" s="7" t="inlineStr">
        <is>
          <t>Lenovo ThinkPad T14 came in on PO-2024-0019 ($2030).</t>
        </is>
      </c>
    </row>
    <row r="447">
      <c r="A447" s="7" t="inlineStr">
        <is>
          <t>MD-00109</t>
        </is>
      </c>
      <c r="B447" s="7" t="inlineStr">
        <is>
          <t>2026-02-14</t>
        </is>
      </c>
      <c r="C447" s="7" t="inlineStr">
        <is>
          <t>Assignment/Transfer</t>
        </is>
      </c>
      <c r="D447" s="7" t="inlineStr">
        <is>
          <t>Central Receiving</t>
        </is>
      </c>
      <c r="E447" s="7" t="inlineStr">
        <is>
          <t>Regional IT</t>
        </is>
      </c>
      <c r="F447" s="7" t="inlineStr">
        <is>
          <t>Chicago</t>
        </is>
      </c>
      <c r="G447" s="7" t="inlineStr">
        <is>
          <t>Transfer:TR-00109; Approval:APR-00109</t>
        </is>
      </c>
      <c r="H447" s="7" t="inlineStr">
        <is>
          <t>Confirmed Fact</t>
        </is>
      </c>
      <c r="I447" s="7" t="inlineStr">
        <is>
          <t>Log row TR-00109. Receive date 2/4/26.</t>
        </is>
      </c>
    </row>
    <row r="448">
      <c r="A448" s="7" t="inlineStr">
        <is>
          <t>MD-00109</t>
        </is>
      </c>
      <c r="B448" s="7" t="inlineStr">
        <is>
          <t>2026-05-31</t>
        </is>
      </c>
      <c r="C448" s="7" t="inlineStr">
        <is>
          <t>Offboarding Ticket</t>
        </is>
      </c>
      <c r="D448" s="7" t="inlineStr">
        <is>
          <t>E0072</t>
        </is>
      </c>
      <c r="E448" s="7" t="inlineStr">
        <is>
          <t>IT Service Desk</t>
        </is>
      </c>
      <c r="F448" s="7" t="inlineStr"/>
      <c r="G448" s="7" t="inlineStr">
        <is>
          <t>Ticket:RET-00109; Status:Pending Disposal</t>
        </is>
      </c>
      <c r="H448" s="7" t="inlineStr">
        <is>
          <t>Confirmed Fact</t>
        </is>
      </c>
      <c r="I448" s="7" t="inlineStr">
        <is>
          <t>RET-00109 Pending Disposal. Return required=No.</t>
        </is>
      </c>
    </row>
    <row r="449">
      <c r="A449" s="7" t="inlineStr">
        <is>
          <t>MD-00109</t>
        </is>
      </c>
      <c r="B449" s="7" t="inlineStr">
        <is>
          <t>2026-05-31</t>
        </is>
      </c>
      <c r="C449" s="7" t="inlineStr">
        <is>
          <t>Technician Comment</t>
        </is>
      </c>
      <c r="D449" s="7" t="inlineStr">
        <is>
          <t>Service Desk</t>
        </is>
      </c>
      <c r="E449" s="7" t="inlineStr"/>
      <c r="F449" s="7" t="inlineStr"/>
      <c r="G449" s="7" t="inlineStr">
        <is>
          <t>Ticket:RET-00109</t>
        </is>
      </c>
      <c r="H449" s="7" t="inlineStr">
        <is>
          <t>Technician Claim</t>
        </is>
      </c>
      <c r="I449" s="7" t="inlineStr">
        <is>
          <t>Broke hinge; cheaper to retire than repair. Ref MD-00109.</t>
        </is>
      </c>
    </row>
    <row r="450">
      <c r="A450" s="7" t="inlineStr">
        <is>
          <t>MD-00109</t>
        </is>
      </c>
      <c r="B450" s="7" t="inlineStr">
        <is>
          <t>2026-08-05</t>
        </is>
      </c>
      <c r="C450" s="7" t="inlineStr">
        <is>
          <t>Regional IT Note Lead</t>
        </is>
      </c>
      <c r="D450" s="7" t="inlineStr">
        <is>
          <t>Regional IT</t>
        </is>
      </c>
      <c r="E450" s="7" t="inlineStr"/>
      <c r="F450" s="7" t="inlineStr">
        <is>
          <t>Denver - Closed</t>
        </is>
      </c>
      <c r="G450" s="7" t="inlineStr">
        <is>
          <t>regional_IT_notes.docx</t>
        </is>
      </c>
      <c r="H450" s="7" t="inlineStr">
        <is>
          <t>Technician Claim</t>
        </is>
      </c>
      <c r="I450" s="7" t="inlineStr">
        <is>
          <t>regional_IT_notes.docx mentions closed-office leftover color on MD-00109. Notes don't beat a scan.</t>
        </is>
      </c>
    </row>
    <row r="451">
      <c r="A451" s="7" t="inlineStr">
        <is>
          <t>MD-00109</t>
        </is>
      </c>
      <c r="B451" s="7" t="inlineStr">
        <is>
          <t>2026-08-09</t>
        </is>
      </c>
      <c r="C451" s="7" t="inlineStr">
        <is>
          <t>Policy Control Figure</t>
        </is>
      </c>
      <c r="D451" s="7" t="inlineStr">
        <is>
          <t>ITAM-001</t>
        </is>
      </c>
      <c r="E451" s="7" t="inlineStr"/>
      <c r="F451" s="7" t="inlineStr"/>
      <c r="G451" s="7" t="inlineStr">
        <is>
          <t>ITAM_control_matrix.png; IT_asset_management_policy.pdf</t>
        </is>
      </c>
      <c r="H451" s="7" t="inlineStr">
        <is>
          <t>Confirmed Fact</t>
        </is>
      </c>
      <c r="I451" s="7" t="inlineStr">
        <is>
          <t>Appendix A matrix applied to MD-00109 under the transfer row; chain reference above remains the auditable transaction.</t>
        </is>
      </c>
    </row>
    <row r="452">
      <c r="A452" s="7" t="inlineStr">
        <is>
          <t>MD-00109</t>
        </is>
      </c>
      <c r="B452" s="7" t="inlineStr">
        <is>
          <t>2026-08-09</t>
        </is>
      </c>
      <c r="C452" s="7" t="inlineStr">
        <is>
          <t>Reconciliation Conclusion</t>
        </is>
      </c>
      <c r="D452" s="7" t="inlineStr">
        <is>
          <t>Evidence review</t>
        </is>
      </c>
      <c r="E452" s="7" t="inlineStr">
        <is>
          <t>Regional IT</t>
        </is>
      </c>
      <c r="F452" s="7" t="inlineStr">
        <is>
          <t>Chicago</t>
        </is>
      </c>
      <c r="G452" s="7" t="inlineStr">
        <is>
          <t>Ticket:RET-00109; Transfer:TR-00109; Certificate:missing; PO:PO-2024-0019; Ledger:FA-000109; PolicyFigure:ITAM_control_matrix.png</t>
        </is>
      </c>
      <c r="H452" s="7" t="inlineStr">
        <is>
          <t>Confirmed Fact</t>
        </is>
      </c>
      <c r="I452" s="7" t="inlineStr">
        <is>
          <t>Verified Retired/Pending Disposal. EX-0145, EX-0146. Medium. RET-00109 TR-00109 PO-2024-0019 FA-000109 ITAM_control_matrix.png</t>
        </is>
      </c>
    </row>
    <row r="453">
      <c r="A453" s="7" t="inlineStr">
        <is>
          <t>MD-00110</t>
        </is>
      </c>
      <c r="B453" s="7" t="inlineStr">
        <is>
          <t>2024-03-15</t>
        </is>
      </c>
      <c r="C453" s="7" t="inlineStr">
        <is>
          <t>Purchase</t>
        </is>
      </c>
      <c r="D453" s="7" t="inlineStr">
        <is>
          <t>Vendor</t>
        </is>
      </c>
      <c r="E453" s="7" t="inlineStr">
        <is>
          <t>Central Receiving</t>
        </is>
      </c>
      <c r="F453" s="7" t="inlineStr">
        <is>
          <t>Atlanta Warehouse</t>
        </is>
      </c>
      <c r="G453" s="7" t="inlineStr">
        <is>
          <t>PO:PO-2024-0019</t>
        </is>
      </c>
      <c r="H453" s="7" t="inlineStr">
        <is>
          <t>Confirmed Fact</t>
        </is>
      </c>
      <c r="I453" s="7" t="inlineStr">
        <is>
          <t>$745 Dell U2723QE. PO-2024-0019.</t>
        </is>
      </c>
    </row>
    <row r="454">
      <c r="A454" s="7" t="inlineStr">
        <is>
          <t>MD-00110</t>
        </is>
      </c>
      <c r="B454" s="7" t="inlineStr">
        <is>
          <t>2026-03-15</t>
        </is>
      </c>
      <c r="C454" s="7" t="inlineStr">
        <is>
          <t>Assignment/Transfer</t>
        </is>
      </c>
      <c r="D454" s="7" t="inlineStr">
        <is>
          <t>Central Receiving</t>
        </is>
      </c>
      <c r="E454" s="7" t="inlineStr">
        <is>
          <t>Regional IT</t>
        </is>
      </c>
      <c r="F454" s="7" t="inlineStr">
        <is>
          <t>Dallas</t>
        </is>
      </c>
      <c r="G454" s="7" t="inlineStr">
        <is>
          <t>Transfer:TR-00110; Approval:APR-00110</t>
        </is>
      </c>
      <c r="H454" s="7" t="inlineStr">
        <is>
          <t>Confirmed Fact</t>
        </is>
      </c>
      <c r="I454" s="7" t="inlineStr">
        <is>
          <t>Dallas: TR-00110 received 3/8/26.</t>
        </is>
      </c>
    </row>
    <row r="455">
      <c r="A455" s="7" t="inlineStr">
        <is>
          <t>MD-00110</t>
        </is>
      </c>
      <c r="B455" s="7" t="inlineStr">
        <is>
          <t>2026-05-31</t>
        </is>
      </c>
      <c r="C455" s="7" t="inlineStr">
        <is>
          <t>Offboarding Ticket</t>
        </is>
      </c>
      <c r="D455" s="7" t="inlineStr">
        <is>
          <t>E0073</t>
        </is>
      </c>
      <c r="E455" s="7" t="inlineStr">
        <is>
          <t>IT Service Desk</t>
        </is>
      </c>
      <c r="F455" s="7" t="inlineStr"/>
      <c r="G455" s="7" t="inlineStr">
        <is>
          <t>Ticket:RET-00110; Status:Pending Disposal</t>
        </is>
      </c>
      <c r="H455" s="7" t="inlineStr">
        <is>
          <t>Confirmed Fact</t>
        </is>
      </c>
      <c r="I455" s="7" t="inlineStr">
        <is>
          <t>MD-00110 tied to RET-00110 (Pending Disposal).</t>
        </is>
      </c>
    </row>
    <row r="456">
      <c r="A456" s="7" t="inlineStr">
        <is>
          <t>MD-00110</t>
        </is>
      </c>
      <c r="B456" s="7" t="inlineStr">
        <is>
          <t>2026-05-31</t>
        </is>
      </c>
      <c r="C456" s="7" t="inlineStr">
        <is>
          <t>Technician Comment</t>
        </is>
      </c>
      <c r="D456" s="7" t="inlineStr">
        <is>
          <t>Service Desk</t>
        </is>
      </c>
      <c r="E456" s="7" t="inlineStr"/>
      <c r="F456" s="7" t="inlineStr"/>
      <c r="G456" s="7" t="inlineStr">
        <is>
          <t>Ticket:RET-00110</t>
        </is>
      </c>
      <c r="H456" s="7" t="inlineStr">
        <is>
          <t>Technician Claim</t>
        </is>
      </c>
      <c r="I456" s="7" t="inlineStr">
        <is>
          <t>Hold for 800-88 wipe before vendor pickup. Ref MD-00110.</t>
        </is>
      </c>
    </row>
    <row r="457">
      <c r="A457" s="7" t="inlineStr">
        <is>
          <t>MD-00110</t>
        </is>
      </c>
      <c r="B457" s="7" t="inlineStr">
        <is>
          <t>2026-08-05</t>
        </is>
      </c>
      <c r="C457" s="7" t="inlineStr">
        <is>
          <t>Regional IT Note Lead</t>
        </is>
      </c>
      <c r="D457" s="7" t="inlineStr">
        <is>
          <t>Regional IT</t>
        </is>
      </c>
      <c r="E457" s="7" t="inlineStr"/>
      <c r="F457" s="7" t="inlineStr">
        <is>
          <t>Chicago - Closed</t>
        </is>
      </c>
      <c r="G457" s="7" t="inlineStr">
        <is>
          <t>regional_IT_notes.docx</t>
        </is>
      </c>
      <c r="H457" s="7" t="inlineStr">
        <is>
          <t>Technician Claim</t>
        </is>
      </c>
      <c r="I457" s="7" t="inlineStr">
        <is>
          <t>regional_IT_notes.docx is in the packet. Weight = lead only (MD-00110).</t>
        </is>
      </c>
    </row>
    <row r="458">
      <c r="A458" s="7" t="inlineStr">
        <is>
          <t>MD-00110</t>
        </is>
      </c>
      <c r="B458" s="7" t="inlineStr">
        <is>
          <t>2026-08-09</t>
        </is>
      </c>
      <c r="C458" s="7" t="inlineStr">
        <is>
          <t>Policy Control Figure</t>
        </is>
      </c>
      <c r="D458" s="7" t="inlineStr">
        <is>
          <t>ITAM-001</t>
        </is>
      </c>
      <c r="E458" s="7" t="inlineStr"/>
      <c r="F458" s="7" t="inlineStr"/>
      <c r="G458" s="7" t="inlineStr">
        <is>
          <t>ITAM_control_matrix.png; IT_asset_management_policy.pdf</t>
        </is>
      </c>
      <c r="H458" s="7" t="inlineStr">
        <is>
          <t>Confirmed Fact</t>
        </is>
      </c>
      <c r="I458" s="7" t="inlineStr">
        <is>
          <t>MD-00110: matrix row Disposal defines acceptable proof; chain reference above is what was reviewed.</t>
        </is>
      </c>
    </row>
    <row r="459">
      <c r="A459" s="7" t="inlineStr">
        <is>
          <t>MD-00110</t>
        </is>
      </c>
      <c r="B459" s="7" t="inlineStr">
        <is>
          <t>2026-08-09</t>
        </is>
      </c>
      <c r="C459" s="7" t="inlineStr">
        <is>
          <t>Reconciliation Conclusion</t>
        </is>
      </c>
      <c r="D459" s="7" t="inlineStr">
        <is>
          <t>Evidence review</t>
        </is>
      </c>
      <c r="E459" s="7" t="inlineStr">
        <is>
          <t>Regional IT</t>
        </is>
      </c>
      <c r="F459" s="7" t="inlineStr">
        <is>
          <t>Dallas</t>
        </is>
      </c>
      <c r="G459" s="7" t="inlineStr">
        <is>
          <t>Ticket:RET-00110; Transfer:TR-00110; Certificate:missing; PO:PO-2024-0019; Ledger:FA-000110; PolicyFigure:ITAM_control_matrix.png</t>
        </is>
      </c>
      <c r="H459" s="7" t="inlineStr">
        <is>
          <t>Confirmed Fact</t>
        </is>
      </c>
      <c r="I459" s="7" t="inlineStr">
        <is>
          <t>After the chain: Retired/Pending Disposal. Medium confidence. EX-0147, EX-0148. RET-00110 TR-00110 PO-2024-0019 FA-000110 ITAM_control_matrix.png</t>
        </is>
      </c>
    </row>
    <row r="460">
      <c r="A460" s="7" t="inlineStr">
        <is>
          <t>MD-00114</t>
        </is>
      </c>
      <c r="B460" s="7" t="inlineStr">
        <is>
          <t>2024-07-19</t>
        </is>
      </c>
      <c r="C460" s="7" t="inlineStr">
        <is>
          <t>Purchase</t>
        </is>
      </c>
      <c r="D460" s="7" t="inlineStr">
        <is>
          <t>Vendor</t>
        </is>
      </c>
      <c r="E460" s="7" t="inlineStr">
        <is>
          <t>Central Receiving</t>
        </is>
      </c>
      <c r="F460" s="7" t="inlineStr">
        <is>
          <t>Atlanta Warehouse</t>
        </is>
      </c>
      <c r="G460" s="7" t="inlineStr">
        <is>
          <t>PO:PO-2024-0019</t>
        </is>
      </c>
      <c r="H460" s="7" t="inlineStr">
        <is>
          <t>Confirmed Fact</t>
        </is>
      </c>
      <c r="I460" s="7" t="inlineStr">
        <is>
          <t>PO-2024-0019: Dell U2723QE at $610.</t>
        </is>
      </c>
    </row>
    <row r="461">
      <c r="A461" s="7" t="inlineStr">
        <is>
          <t>MD-00114</t>
        </is>
      </c>
      <c r="B461" s="7" t="inlineStr">
        <is>
          <t>2026-01-19</t>
        </is>
      </c>
      <c r="C461" s="7" t="inlineStr">
        <is>
          <t>Assignment/Transfer</t>
        </is>
      </c>
      <c r="D461" s="7" t="inlineStr">
        <is>
          <t>Central Receiving</t>
        </is>
      </c>
      <c r="E461" s="7" t="inlineStr">
        <is>
          <t>Certified Recycler</t>
        </is>
      </c>
      <c r="F461" s="7" t="inlineStr">
        <is>
          <t>Disposed</t>
        </is>
      </c>
      <c r="G461" s="7" t="inlineStr">
        <is>
          <t>Transfer:TR-00114; Approval:APR-00114</t>
        </is>
      </c>
      <c r="H461" s="7" t="inlineStr">
        <is>
          <t>Confirmed Fact</t>
        </is>
      </c>
      <c r="I461" s="7" t="inlineStr">
        <is>
          <t>Moved to Certified Recycler in Disposed on TR-00114. Received 1/22/26.</t>
        </is>
      </c>
    </row>
    <row r="462">
      <c r="A462" s="7" t="inlineStr">
        <is>
          <t>MD-00114</t>
        </is>
      </c>
      <c r="B462" s="7" t="inlineStr">
        <is>
          <t>2026-05-31</t>
        </is>
      </c>
      <c r="C462" s="7" t="inlineStr">
        <is>
          <t>Offboarding Ticket</t>
        </is>
      </c>
      <c r="D462" s="7" t="inlineStr">
        <is>
          <t>E0077</t>
        </is>
      </c>
      <c r="E462" s="7" t="inlineStr">
        <is>
          <t>IT Service Desk</t>
        </is>
      </c>
      <c r="F462" s="7" t="inlineStr"/>
      <c r="G462" s="7" t="inlineStr">
        <is>
          <t>Ticket:RET-00114; Status:Closed</t>
        </is>
      </c>
      <c r="H462" s="7" t="inlineStr">
        <is>
          <t>Confirmed Fact</t>
        </is>
      </c>
      <c r="I462" s="7" t="inlineStr">
        <is>
          <t>Opened RET-00114. Status Closed.</t>
        </is>
      </c>
    </row>
    <row r="463">
      <c r="A463" s="7" t="inlineStr">
        <is>
          <t>MD-00114</t>
        </is>
      </c>
      <c r="B463" s="7" t="inlineStr">
        <is>
          <t>2026-05-31</t>
        </is>
      </c>
      <c r="C463" s="7" t="inlineStr">
        <is>
          <t>Technician Comment</t>
        </is>
      </c>
      <c r="D463" s="7" t="inlineStr">
        <is>
          <t>Service Desk</t>
        </is>
      </c>
      <c r="E463" s="7" t="inlineStr"/>
      <c r="F463" s="7" t="inlineStr"/>
      <c r="G463" s="7" t="inlineStr">
        <is>
          <t>Ticket:RET-00114</t>
        </is>
      </c>
      <c r="H463" s="7" t="inlineStr">
        <is>
          <t>Technician Claim</t>
        </is>
      </c>
      <c r="I463" s="7" t="inlineStr">
        <is>
          <t>I'm not marking Available; it's in the retire queue. Ref MD-00114.</t>
        </is>
      </c>
    </row>
    <row r="464">
      <c r="A464" s="7" t="inlineStr">
        <is>
          <t>MD-00114</t>
        </is>
      </c>
      <c r="B464" s="7" t="inlineStr">
        <is>
          <t>2026-01-20</t>
        </is>
      </c>
      <c r="C464" s="7" t="inlineStr">
        <is>
          <t>Disposal Evidence Gap</t>
        </is>
      </c>
      <c r="D464" s="7" t="inlineStr">
        <is>
          <t>Central Receiving</t>
        </is>
      </c>
      <c r="E464" s="7" t="inlineStr">
        <is>
          <t>Certified Recycler</t>
        </is>
      </c>
      <c r="F464" s="7" t="inlineStr">
        <is>
          <t>Disposed</t>
        </is>
      </c>
      <c r="G464" s="7" t="inlineStr">
        <is>
          <t>Transfer:TR-00114; Certificate:missing</t>
        </is>
      </c>
      <c r="H464" s="7" t="inlineStr">
        <is>
          <t>Unresolved Assumption</t>
        </is>
      </c>
      <c r="I464" s="7" t="inlineStr">
        <is>
          <t>TR-00114: recycler move without a matching certificate.</t>
        </is>
      </c>
    </row>
    <row r="465">
      <c r="A465" s="7" t="inlineStr">
        <is>
          <t>MD-00114</t>
        </is>
      </c>
      <c r="B465" s="7" t="inlineStr">
        <is>
          <t>2026-08-05</t>
        </is>
      </c>
      <c r="C465" s="7" t="inlineStr">
        <is>
          <t>Regional IT Note Lead</t>
        </is>
      </c>
      <c r="D465" s="7" t="inlineStr">
        <is>
          <t>Regional IT</t>
        </is>
      </c>
      <c r="E465" s="7" t="inlineStr"/>
      <c r="F465" s="7" t="inlineStr">
        <is>
          <t>Chicago - Closed</t>
        </is>
      </c>
      <c r="G465" s="7" t="inlineStr">
        <is>
          <t>regional_IT_notes.docx</t>
        </is>
      </c>
      <c r="H465" s="7" t="inlineStr">
        <is>
          <t>Technician Claim</t>
        </is>
      </c>
      <c r="I465" s="7" t="inlineStr">
        <is>
          <t>Word file claim on MD-00114 — non-authoritative.</t>
        </is>
      </c>
    </row>
    <row r="466">
      <c r="A466" s="7" t="inlineStr">
        <is>
          <t>MD-00114</t>
        </is>
      </c>
      <c r="B466" s="7" t="inlineStr">
        <is>
          <t>2026-08-09</t>
        </is>
      </c>
      <c r="C466" s="7" t="inlineStr">
        <is>
          <t>Policy Control Figure</t>
        </is>
      </c>
      <c r="D466" s="7" t="inlineStr">
        <is>
          <t>ITAM-001</t>
        </is>
      </c>
      <c r="E466" s="7" t="inlineStr"/>
      <c r="F466" s="7" t="inlineStr"/>
      <c r="G466" s="7" t="inlineStr">
        <is>
          <t>ITAM_control_matrix.png; IT_asset_management_policy.pdf</t>
        </is>
      </c>
      <c r="H466" s="7" t="inlineStr">
        <is>
          <t>Confirmed Fact</t>
        </is>
      </c>
      <c r="I466" s="7" t="inlineStr">
        <is>
          <t>Appendix A matrix applied to MD-00114 under the transfer row; chain reference above remains the auditable transaction.</t>
        </is>
      </c>
    </row>
    <row r="467">
      <c r="A467" s="7" t="inlineStr">
        <is>
          <t>MD-00114</t>
        </is>
      </c>
      <c r="B467" s="7" t="inlineStr">
        <is>
          <t>2026-08-09</t>
        </is>
      </c>
      <c r="C467" s="7" t="inlineStr">
        <is>
          <t>Reconciliation Conclusion</t>
        </is>
      </c>
      <c r="D467" s="7" t="inlineStr">
        <is>
          <t>Evidence review</t>
        </is>
      </c>
      <c r="E467" s="7" t="inlineStr">
        <is>
          <t>Certified Recycler</t>
        </is>
      </c>
      <c r="F467" s="7" t="inlineStr">
        <is>
          <t>Disposed (certificate missing)</t>
        </is>
      </c>
      <c r="G467" s="7" t="inlineStr">
        <is>
          <t>Transfer:TR-00114; Certificate:missing; Ticket:RET-00114; PO:PO-2024-0019; Ledger:FA-000114; PolicyFigure:ITAM_control_matrix.png</t>
        </is>
      </c>
      <c r="H467" s="7" t="inlineStr">
        <is>
          <t>Unresolved Assumption</t>
        </is>
      </c>
      <c r="I467" s="7" t="inlineStr">
        <is>
          <t>After the chain: Retired/Pending Disposal. Low confidence. EX-0149, EX-0150. TR-00114 RET-00114 PO-2024-0019 FA-000114 ITAM_control_matrix.png</t>
        </is>
      </c>
    </row>
    <row r="468">
      <c r="A468" s="7" t="inlineStr">
        <is>
          <t>MD-00118</t>
        </is>
      </c>
      <c r="B468" s="7" t="inlineStr">
        <is>
          <t>2024-11-23</t>
        </is>
      </c>
      <c r="C468" s="7" t="inlineStr">
        <is>
          <t>Purchase</t>
        </is>
      </c>
      <c r="D468" s="7" t="inlineStr">
        <is>
          <t>Vendor</t>
        </is>
      </c>
      <c r="E468" s="7" t="inlineStr">
        <is>
          <t>Central Receiving</t>
        </is>
      </c>
      <c r="F468" s="7" t="inlineStr">
        <is>
          <t>Atlanta Warehouse</t>
        </is>
      </c>
      <c r="G468" s="7" t="inlineStr">
        <is>
          <t>PO:PO-2025-0020</t>
        </is>
      </c>
      <c r="H468" s="7" t="inlineStr">
        <is>
          <t>Confirmed Fact</t>
        </is>
      </c>
      <c r="I468" s="7" t="inlineStr">
        <is>
          <t>Warehouse receipt tied to PO-2025-0020. Dell U2723QE.</t>
        </is>
      </c>
    </row>
    <row r="469">
      <c r="A469" s="7" t="inlineStr">
        <is>
          <t>MD-00118</t>
        </is>
      </c>
      <c r="B469" s="7" t="inlineStr">
        <is>
          <t>2026-05-23</t>
        </is>
      </c>
      <c r="C469" s="7" t="inlineStr">
        <is>
          <t>Assignment/Transfer</t>
        </is>
      </c>
      <c r="D469" s="7" t="inlineStr">
        <is>
          <t>Central Receiving</t>
        </is>
      </c>
      <c r="E469" s="7" t="inlineStr">
        <is>
          <t>Certified Recycler</t>
        </is>
      </c>
      <c r="F469" s="7" t="inlineStr">
        <is>
          <t>Disposed</t>
        </is>
      </c>
      <c r="G469" s="7" t="inlineStr">
        <is>
          <t>Transfer:TR-00118; Approval:APR-00118</t>
        </is>
      </c>
      <c r="H469" s="7" t="inlineStr">
        <is>
          <t>Confirmed Fact</t>
        </is>
      </c>
      <c r="I469" s="7" t="inlineStr">
        <is>
          <t>Recorded Jun 3, received 2026-06-04. TR-00118.</t>
        </is>
      </c>
    </row>
    <row r="470">
      <c r="A470" s="7" t="inlineStr">
        <is>
          <t>MD-00118</t>
        </is>
      </c>
      <c r="B470" s="7" t="inlineStr">
        <is>
          <t>2026-05-31</t>
        </is>
      </c>
      <c r="C470" s="7" t="inlineStr">
        <is>
          <t>Offboarding Ticket</t>
        </is>
      </c>
      <c r="D470" s="7" t="inlineStr">
        <is>
          <t>E0081</t>
        </is>
      </c>
      <c r="E470" s="7" t="inlineStr">
        <is>
          <t>IT Service Desk</t>
        </is>
      </c>
      <c r="F470" s="7" t="inlineStr"/>
      <c r="G470" s="7" t="inlineStr">
        <is>
          <t>Ticket:RET-00118; Status:Closed</t>
        </is>
      </c>
      <c r="H470" s="7" t="inlineStr">
        <is>
          <t>Confirmed Fact</t>
        </is>
      </c>
      <c r="I470" s="7" t="inlineStr">
        <is>
          <t>Opened RET-00118. Status Closed.</t>
        </is>
      </c>
    </row>
    <row r="471">
      <c r="A471" s="7" t="inlineStr">
        <is>
          <t>MD-00118</t>
        </is>
      </c>
      <c r="B471" s="7" t="inlineStr">
        <is>
          <t>2026-05-31</t>
        </is>
      </c>
      <c r="C471" s="7" t="inlineStr">
        <is>
          <t>Technician Comment</t>
        </is>
      </c>
      <c r="D471" s="7" t="inlineStr">
        <is>
          <t>Service Desk</t>
        </is>
      </c>
      <c r="E471" s="7" t="inlineStr"/>
      <c r="F471" s="7" t="inlineStr"/>
      <c r="G471" s="7" t="inlineStr">
        <is>
          <t>Ticket:RET-00118</t>
        </is>
      </c>
      <c r="H471" s="7" t="inlineStr">
        <is>
          <t>Technician Claim</t>
        </is>
      </c>
      <c r="I471" s="7" t="inlineStr">
        <is>
          <t>Serial confirmed on the pallet list; certificate row may still be missing. Ref MD-00118.</t>
        </is>
      </c>
    </row>
    <row r="472">
      <c r="A472" s="7" t="inlineStr">
        <is>
          <t>MD-00118</t>
        </is>
      </c>
      <c r="B472" s="7" t="inlineStr">
        <is>
          <t>2026-05-24</t>
        </is>
      </c>
      <c r="C472" s="7" t="inlineStr">
        <is>
          <t>Disposal Evidence Gap</t>
        </is>
      </c>
      <c r="D472" s="7" t="inlineStr">
        <is>
          <t>Central Receiving</t>
        </is>
      </c>
      <c r="E472" s="7" t="inlineStr">
        <is>
          <t>Certified Recycler</t>
        </is>
      </c>
      <c r="F472" s="7" t="inlineStr">
        <is>
          <t>Disposed</t>
        </is>
      </c>
      <c r="G472" s="7" t="inlineStr">
        <is>
          <t>Transfer:TR-00118; Certificate:missing</t>
        </is>
      </c>
      <c r="H472" s="7" t="inlineStr">
        <is>
          <t>Unresolved Assumption</t>
        </is>
      </c>
      <c r="I472" s="7" t="inlineStr">
        <is>
          <t>TR-00118: recycler move without a matching certificate.</t>
        </is>
      </c>
    </row>
    <row r="473">
      <c r="A473" s="7" t="inlineStr">
        <is>
          <t>MD-00118</t>
        </is>
      </c>
      <c r="B473" s="7" t="inlineStr">
        <is>
          <t>2026-08-05</t>
        </is>
      </c>
      <c r="C473" s="7" t="inlineStr">
        <is>
          <t>Regional IT Note Lead</t>
        </is>
      </c>
      <c r="D473" s="7" t="inlineStr">
        <is>
          <t>Regional IT</t>
        </is>
      </c>
      <c r="E473" s="7" t="inlineStr"/>
      <c r="F473" s="7" t="inlineStr">
        <is>
          <t>Chicago - Closed</t>
        </is>
      </c>
      <c r="G473" s="7" t="inlineStr">
        <is>
          <t>regional_IT_notes.docx</t>
        </is>
      </c>
      <c r="H473" s="7" t="inlineStr">
        <is>
          <t>Technician Claim</t>
        </is>
      </c>
      <c r="I473" s="7" t="inlineStr">
        <is>
          <t>Someone wrote that it stayed at a closed site. Unverified for MD-00118.</t>
        </is>
      </c>
    </row>
    <row r="474">
      <c r="A474" s="7" t="inlineStr">
        <is>
          <t>MD-00118</t>
        </is>
      </c>
      <c r="B474" s="7" t="inlineStr">
        <is>
          <t>2026-08-09</t>
        </is>
      </c>
      <c r="C474" s="7" t="inlineStr">
        <is>
          <t>Policy Control Figure</t>
        </is>
      </c>
      <c r="D474" s="7" t="inlineStr">
        <is>
          <t>ITAM-001</t>
        </is>
      </c>
      <c r="E474" s="7" t="inlineStr"/>
      <c r="F474" s="7" t="inlineStr"/>
      <c r="G474" s="7" t="inlineStr">
        <is>
          <t>ITAM_control_matrix.png; IT_asset_management_policy.pdf</t>
        </is>
      </c>
      <c r="H474" s="7" t="inlineStr">
        <is>
          <t>Confirmed Fact</t>
        </is>
      </c>
      <c r="I474" s="7" t="inlineStr">
        <is>
          <t>Evidence standard for MD-00118 follows Appendix A (Financial); transactional support is chain reference above; ITAM_control_matrix.png in packet.</t>
        </is>
      </c>
    </row>
    <row r="475">
      <c r="A475" s="7" t="inlineStr">
        <is>
          <t>MD-00118</t>
        </is>
      </c>
      <c r="B475" s="7" t="inlineStr">
        <is>
          <t>2026-08-09</t>
        </is>
      </c>
      <c r="C475" s="7" t="inlineStr">
        <is>
          <t>Reconciliation Conclusion</t>
        </is>
      </c>
      <c r="D475" s="7" t="inlineStr">
        <is>
          <t>Evidence review</t>
        </is>
      </c>
      <c r="E475" s="7" t="inlineStr">
        <is>
          <t>Certified Recycler</t>
        </is>
      </c>
      <c r="F475" s="7" t="inlineStr">
        <is>
          <t>Disposed (certificate missing)</t>
        </is>
      </c>
      <c r="G475" s="7" t="inlineStr">
        <is>
          <t>Transfer:TR-00118; Certificate:missing; Ticket:RET-00118; PO:PO-2025-0020; Ledger:FA-000118; PolicyFigure:ITAM_control_matrix.png</t>
        </is>
      </c>
      <c r="H475" s="7" t="inlineStr">
        <is>
          <t>Unresolved Assumption</t>
        </is>
      </c>
      <c r="I475" s="7" t="inlineStr">
        <is>
          <t>After the chain: Retired/Pending Disposal. Low confidence. EX-0151, EX-0152. TR-00118 RET-00118 PO-2025-0020 FA-000118 ITAM_control_matrix.png</t>
        </is>
      </c>
    </row>
    <row r="476">
      <c r="A476" s="7" t="inlineStr">
        <is>
          <t>MD-00119</t>
        </is>
      </c>
      <c r="B476" s="7" t="inlineStr">
        <is>
          <t>2025-12-24</t>
        </is>
      </c>
      <c r="C476" s="7" t="inlineStr">
        <is>
          <t>Purchase</t>
        </is>
      </c>
      <c r="D476" s="7" t="inlineStr">
        <is>
          <t>Vendor</t>
        </is>
      </c>
      <c r="E476" s="7" t="inlineStr">
        <is>
          <t>Central Receiving</t>
        </is>
      </c>
      <c r="F476" s="7" t="inlineStr">
        <is>
          <t>Atlanta Warehouse</t>
        </is>
      </c>
      <c r="G476" s="7" t="inlineStr">
        <is>
          <t>PO:PO-2025-0020</t>
        </is>
      </c>
      <c r="H476" s="7" t="inlineStr">
        <is>
          <t>Confirmed Fact</t>
        </is>
      </c>
      <c r="I476" s="7" t="inlineStr">
        <is>
          <t>Samsung Galaxy S24 came in on PO-2025-0020 ($950).</t>
        </is>
      </c>
    </row>
    <row r="477">
      <c r="A477" s="7" t="inlineStr">
        <is>
          <t>MD-00119</t>
        </is>
      </c>
      <c r="B477" s="7" t="inlineStr">
        <is>
          <t>2026-06-24</t>
        </is>
      </c>
      <c r="C477" s="7" t="inlineStr">
        <is>
          <t>Assignment/Transfer</t>
        </is>
      </c>
      <c r="D477" s="7" t="inlineStr">
        <is>
          <t>Central Receiving</t>
        </is>
      </c>
      <c r="E477" s="7" t="inlineStr">
        <is>
          <t>Certified Recycler</t>
        </is>
      </c>
      <c r="F477" s="7" t="inlineStr">
        <is>
          <t>Disposed</t>
        </is>
      </c>
      <c r="G477" s="7" t="inlineStr">
        <is>
          <t>Transfer:TR-00119; Approval:APR-00119</t>
        </is>
      </c>
      <c r="H477" s="7" t="inlineStr">
        <is>
          <t>Confirmed Fact</t>
        </is>
      </c>
      <c r="I477" s="7" t="inlineStr">
        <is>
          <t>Log row TR-00119. Receive date 7/9.</t>
        </is>
      </c>
    </row>
    <row r="478">
      <c r="A478" s="7" t="inlineStr">
        <is>
          <t>MD-00119</t>
        </is>
      </c>
      <c r="B478" s="7" t="inlineStr">
        <is>
          <t>2026-05-31</t>
        </is>
      </c>
      <c r="C478" s="7" t="inlineStr">
        <is>
          <t>Offboarding Ticket</t>
        </is>
      </c>
      <c r="D478" s="7" t="inlineStr">
        <is>
          <t>E0082</t>
        </is>
      </c>
      <c r="E478" s="7" t="inlineStr">
        <is>
          <t>IT Service Desk</t>
        </is>
      </c>
      <c r="F478" s="7" t="inlineStr"/>
      <c r="G478" s="7" t="inlineStr">
        <is>
          <t>Ticket:RET-00119; Status:Closed</t>
        </is>
      </c>
      <c r="H478" s="7" t="inlineStr">
        <is>
          <t>Confirmed Fact</t>
        </is>
      </c>
      <c r="I478" s="7" t="inlineStr">
        <is>
          <t>Opened RET-00119. Status Closed.</t>
        </is>
      </c>
    </row>
    <row r="479">
      <c r="A479" s="7" t="inlineStr">
        <is>
          <t>MD-00119</t>
        </is>
      </c>
      <c r="B479" s="7" t="inlineStr">
        <is>
          <t>2026-05-31</t>
        </is>
      </c>
      <c r="C479" s="7" t="inlineStr">
        <is>
          <t>Technician Comment</t>
        </is>
      </c>
      <c r="D479" s="7" t="inlineStr">
        <is>
          <t>Service Desk</t>
        </is>
      </c>
      <c r="E479" s="7" t="inlineStr"/>
      <c r="F479" s="7" t="inlineStr"/>
      <c r="G479" s="7" t="inlineStr">
        <is>
          <t>Ticket:RET-00119</t>
        </is>
      </c>
      <c r="H479" s="7" t="inlineStr">
        <is>
          <t>Technician Claim</t>
        </is>
      </c>
      <c r="I479" s="7" t="inlineStr">
        <is>
          <t>Don't reassign. Ticket is disposal path. Ref MD-00119.</t>
        </is>
      </c>
    </row>
    <row r="480">
      <c r="A480" s="7" t="inlineStr">
        <is>
          <t>MD-00119</t>
        </is>
      </c>
      <c r="B480" s="7" t="inlineStr">
        <is>
          <t>2026-07-20</t>
        </is>
      </c>
      <c r="C480" s="7" t="inlineStr">
        <is>
          <t>Disposal Certificate</t>
        </is>
      </c>
      <c r="D480" s="7" t="inlineStr">
        <is>
          <t>IT Asset Manager</t>
        </is>
      </c>
      <c r="E480" s="7" t="inlineStr">
        <is>
          <t>GreenLoop Electronics</t>
        </is>
      </c>
      <c r="F480" s="7" t="inlineStr">
        <is>
          <t>Disposed</t>
        </is>
      </c>
      <c r="G480" s="7" t="inlineStr">
        <is>
          <t>Disposal:DC-00119; Verified:Yes</t>
        </is>
      </c>
      <c r="H480" s="7" t="inlineStr">
        <is>
          <t>Confirmed Fact</t>
        </is>
      </c>
      <c r="I480" s="7" t="inlineStr">
        <is>
          <t>DC-00119 on file (verified). DC-00119 on file (verified). DC-00119 on file (verified). Method=NIST 800-88 wipe and recycling</t>
        </is>
      </c>
    </row>
    <row r="481">
      <c r="A481" s="7" t="inlineStr">
        <is>
          <t>MD-00119</t>
        </is>
      </c>
      <c r="B481" s="7" t="inlineStr">
        <is>
          <t>2026-08-05</t>
        </is>
      </c>
      <c r="C481" s="7" t="inlineStr">
        <is>
          <t>Regional IT Note Lead</t>
        </is>
      </c>
      <c r="D481" s="7" t="inlineStr">
        <is>
          <t>Regional IT</t>
        </is>
      </c>
      <c r="E481" s="7" t="inlineStr"/>
      <c r="F481" s="7" t="inlineStr">
        <is>
          <t>Denver - Closed</t>
        </is>
      </c>
      <c r="G481" s="7" t="inlineStr">
        <is>
          <t>regional_IT_notes.docx</t>
        </is>
      </c>
      <c r="H481" s="7" t="inlineStr">
        <is>
          <t>Technician Claim</t>
        </is>
      </c>
      <c r="I481" s="7" t="inlineStr">
        <is>
          <t>Tech note in the Word dump. Treated as a lead for MD-00119, not location proof.</t>
        </is>
      </c>
    </row>
    <row r="482">
      <c r="A482" s="7" t="inlineStr">
        <is>
          <t>MD-00119</t>
        </is>
      </c>
      <c r="B482" s="7" t="inlineStr">
        <is>
          <t>2026-08-09</t>
        </is>
      </c>
      <c r="C482" s="7" t="inlineStr">
        <is>
          <t>Policy Control Figure</t>
        </is>
      </c>
      <c r="D482" s="7" t="inlineStr">
        <is>
          <t>ITAM-001</t>
        </is>
      </c>
      <c r="E482" s="7" t="inlineStr"/>
      <c r="F482" s="7" t="inlineStr"/>
      <c r="G482" s="7" t="inlineStr">
        <is>
          <t>ITAM_control_matrix.png; IT_asset_management_policy.pdf</t>
        </is>
      </c>
      <c r="H482" s="7" t="inlineStr">
        <is>
          <t>Confirmed Fact</t>
        </is>
      </c>
      <c r="I482" s="7" t="inlineStr">
        <is>
          <t>Return evidence bar for MD-00119 taken from ITAM_control_matrix.png; does not substitute for chain reference above.</t>
        </is>
      </c>
    </row>
    <row r="483">
      <c r="A483" s="7" t="inlineStr">
        <is>
          <t>MD-00119</t>
        </is>
      </c>
      <c r="B483" s="7" t="inlineStr">
        <is>
          <t>2026-08-09</t>
        </is>
      </c>
      <c r="C483" s="7" t="inlineStr">
        <is>
          <t>Reconciliation Conclusion</t>
        </is>
      </c>
      <c r="D483" s="7" t="inlineStr">
        <is>
          <t>Evidence review</t>
        </is>
      </c>
      <c r="E483" s="7" t="inlineStr">
        <is>
          <t>Certified Recycler</t>
        </is>
      </c>
      <c r="F483" s="7" t="inlineStr">
        <is>
          <t>Disposed</t>
        </is>
      </c>
      <c r="G483" s="7" t="inlineStr">
        <is>
          <t>Disposal:DC-00119; Transfer:TR-00119; Ticket:RET-00119; PO:PO-2025-0020; Ledger:FA-000119; PolicyFigure:ITAM_control_matrix.png</t>
        </is>
      </c>
      <c r="H483" s="7" t="inlineStr">
        <is>
          <t>Confirmed Fact</t>
        </is>
      </c>
      <c r="I483" s="7" t="inlineStr">
        <is>
          <t>After the chain: Disposed. High confidence. EX-0153. DC-00119 TR-00119 RET-00119 PO-2025-0020 FA-000119 ITAM_control_matrix.png</t>
        </is>
      </c>
    </row>
    <row r="484">
      <c r="A484" s="7" t="inlineStr">
        <is>
          <t>MD-00127</t>
        </is>
      </c>
      <c r="B484" s="7" t="inlineStr">
        <is>
          <t>2025-08-08</t>
        </is>
      </c>
      <c r="C484" s="7" t="inlineStr">
        <is>
          <t>Purchase</t>
        </is>
      </c>
      <c r="D484" s="7" t="inlineStr">
        <is>
          <t>Vendor</t>
        </is>
      </c>
      <c r="E484" s="7" t="inlineStr">
        <is>
          <t>Central Receiving</t>
        </is>
      </c>
      <c r="F484" s="7" t="inlineStr">
        <is>
          <t>Atlanta Warehouse</t>
        </is>
      </c>
      <c r="G484" s="7" t="inlineStr">
        <is>
          <t>PO:PO-2023-0022</t>
        </is>
      </c>
      <c r="H484" s="7" t="inlineStr">
        <is>
          <t>Confirmed Fact</t>
        </is>
      </c>
      <c r="I484" s="7" t="inlineStr">
        <is>
          <t>PO line PO-2023-0022 — Samsung Galaxy S24.</t>
        </is>
      </c>
    </row>
    <row r="485">
      <c r="A485" s="7" t="inlineStr">
        <is>
          <t>MD-00127</t>
        </is>
      </c>
      <c r="B485" s="7" t="inlineStr">
        <is>
          <t>2026-02-08</t>
        </is>
      </c>
      <c r="C485" s="7" t="inlineStr">
        <is>
          <t>Assignment/Transfer</t>
        </is>
      </c>
      <c r="D485" s="7" t="inlineStr">
        <is>
          <t>Central Receiving</t>
        </is>
      </c>
      <c r="E485" s="7" t="inlineStr">
        <is>
          <t>E0061</t>
        </is>
      </c>
      <c r="F485" s="7" t="inlineStr">
        <is>
          <t>Denver</t>
        </is>
      </c>
      <c r="G485" s="7" t="inlineStr">
        <is>
          <t>Transfer:TR-00127; Approval:missing</t>
        </is>
      </c>
      <c r="H485" s="7" t="inlineStr">
        <is>
          <t>Confirmed Fact</t>
        </is>
      </c>
      <c r="I485" s="7" t="inlineStr">
        <is>
          <t>From warehouse to E0061. TR-00127, received Feb 17.</t>
        </is>
      </c>
    </row>
    <row r="486">
      <c r="A486" s="7" t="inlineStr">
        <is>
          <t>MD-00127</t>
        </is>
      </c>
      <c r="B486" s="7" t="inlineStr">
        <is>
          <t>2026-08-09</t>
        </is>
      </c>
      <c r="C486" s="7" t="inlineStr">
        <is>
          <t>Policy Control Figure</t>
        </is>
      </c>
      <c r="D486" s="7" t="inlineStr">
        <is>
          <t>ITAM-001</t>
        </is>
      </c>
      <c r="E486" s="7" t="inlineStr"/>
      <c r="F486" s="7" t="inlineStr"/>
      <c r="G486" s="7" t="inlineStr">
        <is>
          <t>ITAM_control_matrix.png; IT_asset_management_policy.pdf</t>
        </is>
      </c>
      <c r="H486" s="7" t="inlineStr">
        <is>
          <t>Confirmed Fact</t>
        </is>
      </c>
      <c r="I486" s="7" t="inlineStr">
        <is>
          <t>Return/disposal/financial gates for MD-00127 read from the matrix transfer row; chain reference above is the source record; ITAM_control_matrix.png in packet.</t>
        </is>
      </c>
    </row>
    <row r="487">
      <c r="A487" s="7" t="inlineStr">
        <is>
          <t>MD-00127</t>
        </is>
      </c>
      <c r="B487" s="7" t="inlineStr">
        <is>
          <t>2026-08-09</t>
        </is>
      </c>
      <c r="C487" s="7" t="inlineStr">
        <is>
          <t>Reconciliation Conclusion</t>
        </is>
      </c>
      <c r="D487" s="7" t="inlineStr">
        <is>
          <t>Evidence review</t>
        </is>
      </c>
      <c r="E487" s="7" t="inlineStr">
        <is>
          <t>E0061</t>
        </is>
      </c>
      <c r="F487" s="7" t="inlineStr">
        <is>
          <t>Denver</t>
        </is>
      </c>
      <c r="G487" s="7" t="inlineStr">
        <is>
          <t>HR:E0061:Transferred; Transfer:TR-00127; PO:PO-2023-0022; Ledger:FA-000127; PolicyFigure:ITAM_control_matrix.png</t>
        </is>
      </c>
      <c r="H487" s="7" t="inlineStr">
        <is>
          <t>Confirmed Fact</t>
        </is>
      </c>
      <c r="I487" s="7" t="inlineStr">
        <is>
          <t>Wrap: MD-00127 In Use. EX-0160. E0061 TR-00127 PO-2023-0022 FA-000127 ITAM_control_matrix.png</t>
        </is>
      </c>
    </row>
    <row r="488">
      <c r="A488" s="7" t="inlineStr">
        <is>
          <t>MD-00130</t>
        </is>
      </c>
      <c r="B488" s="7" t="inlineStr">
        <is>
          <t>2024-11-11</t>
        </is>
      </c>
      <c r="C488" s="7" t="inlineStr">
        <is>
          <t>Purchase</t>
        </is>
      </c>
      <c r="D488" s="7" t="inlineStr">
        <is>
          <t>Vendor</t>
        </is>
      </c>
      <c r="E488" s="7" t="inlineStr">
        <is>
          <t>Central Receiving</t>
        </is>
      </c>
      <c r="F488" s="7" t="inlineStr">
        <is>
          <t>Atlanta Warehouse</t>
        </is>
      </c>
      <c r="G488" s="7" t="inlineStr">
        <is>
          <t>PO:PO-2023-0022</t>
        </is>
      </c>
      <c r="H488" s="7" t="inlineStr">
        <is>
          <t>Confirmed Fact</t>
        </is>
      </c>
      <c r="I488" s="7" t="inlineStr">
        <is>
          <t>Warehouse receipt tied to PO-2023-0022. Dell U2723QE.</t>
        </is>
      </c>
    </row>
    <row r="489">
      <c r="A489" s="7" t="inlineStr">
        <is>
          <t>MD-00130</t>
        </is>
      </c>
      <c r="B489" s="7" t="inlineStr">
        <is>
          <t>2026-05-11</t>
        </is>
      </c>
      <c r="C489" s="7" t="inlineStr">
        <is>
          <t>Assignment/Transfer</t>
        </is>
      </c>
      <c r="D489" s="7" t="inlineStr">
        <is>
          <t>Central Receiving</t>
        </is>
      </c>
      <c r="E489" s="7" t="inlineStr">
        <is>
          <t>E0064</t>
        </is>
      </c>
      <c r="F489" s="7" t="inlineStr">
        <is>
          <t>Atlanta</t>
        </is>
      </c>
      <c r="G489" s="7" t="inlineStr">
        <is>
          <t>Transfer:TR-00130; Approval:APR-00130</t>
        </is>
      </c>
      <c r="H489" s="7" t="inlineStr">
        <is>
          <t>Confirmed Fact</t>
        </is>
      </c>
      <c r="I489" s="7" t="inlineStr">
        <is>
          <t>Recorded 5/22, received 5/28/26. TR-00130.</t>
        </is>
      </c>
    </row>
    <row r="490">
      <c r="A490" s="7" t="inlineStr">
        <is>
          <t>MD-00130</t>
        </is>
      </c>
      <c r="B490" s="7" t="inlineStr">
        <is>
          <t>2026-08-09</t>
        </is>
      </c>
      <c r="C490" s="7" t="inlineStr">
        <is>
          <t>Policy Control Figure</t>
        </is>
      </c>
      <c r="D490" s="7" t="inlineStr">
        <is>
          <t>ITAM-001</t>
        </is>
      </c>
      <c r="E490" s="7" t="inlineStr"/>
      <c r="F490" s="7" t="inlineStr"/>
      <c r="G490" s="7" t="inlineStr">
        <is>
          <t>ITAM_control_matrix.png; IT_asset_management_policy.pdf</t>
        </is>
      </c>
      <c r="H490" s="7" t="inlineStr">
        <is>
          <t>Confirmed Fact</t>
        </is>
      </c>
      <c r="I490" s="7" t="inlineStr">
        <is>
          <t>MD-00130 — Assignment requirements pulled from ITAM_control_matrix.png; no clearance from the figure alone (chain reference above).</t>
        </is>
      </c>
    </row>
    <row r="491">
      <c r="A491" s="7" t="inlineStr">
        <is>
          <t>MD-00130</t>
        </is>
      </c>
      <c r="B491" s="7" t="inlineStr">
        <is>
          <t>2026-08-09</t>
        </is>
      </c>
      <c r="C491" s="7" t="inlineStr">
        <is>
          <t>Reconciliation Conclusion</t>
        </is>
      </c>
      <c r="D491" s="7" t="inlineStr">
        <is>
          <t>Evidence review</t>
        </is>
      </c>
      <c r="E491" s="7" t="inlineStr">
        <is>
          <t>E0064</t>
        </is>
      </c>
      <c r="F491" s="7" t="inlineStr">
        <is>
          <t>Atlanta</t>
        </is>
      </c>
      <c r="G491" s="7" t="inlineStr">
        <is>
          <t>HR:E0064:Transferred; Transfer:TR-00130; Approval:APR-00130; PO:PO-2023-0022; PolicyFigure:ITAM_control_matrix.png</t>
        </is>
      </c>
      <c r="H491" s="7" t="inlineStr">
        <is>
          <t>Confirmed Fact</t>
        </is>
      </c>
      <c r="I491" s="7" t="inlineStr">
        <is>
          <t>After the chain: In Use. High confidence. EX-0161. E0064 TR-00130 APR-00130 PO-2023-0022 ITAM_control_matrix.png</t>
        </is>
      </c>
    </row>
    <row r="492">
      <c r="A492" s="7" t="inlineStr">
        <is>
          <t>MD-00131</t>
        </is>
      </c>
      <c r="B492" s="7" t="inlineStr">
        <is>
          <t>2025-12-12</t>
        </is>
      </c>
      <c r="C492" s="7" t="inlineStr">
        <is>
          <t>Purchase</t>
        </is>
      </c>
      <c r="D492" s="7" t="inlineStr">
        <is>
          <t>Vendor</t>
        </is>
      </c>
      <c r="E492" s="7" t="inlineStr">
        <is>
          <t>Central Receiving</t>
        </is>
      </c>
      <c r="F492" s="7" t="inlineStr">
        <is>
          <t>Atlanta Warehouse</t>
        </is>
      </c>
      <c r="G492" s="7" t="inlineStr">
        <is>
          <t>PO:PO-2023-0022</t>
        </is>
      </c>
      <c r="H492" s="7" t="inlineStr">
        <is>
          <t>Confirmed Fact</t>
        </is>
      </c>
      <c r="I492" s="7" t="inlineStr">
        <is>
          <t>Receiving against PO-2023-0022. Samsung Galaxy S24, $1175.</t>
        </is>
      </c>
    </row>
    <row r="493">
      <c r="A493" s="7" t="inlineStr">
        <is>
          <t>MD-00131</t>
        </is>
      </c>
      <c r="B493" s="7" t="inlineStr">
        <is>
          <t>2026-06-12</t>
        </is>
      </c>
      <c r="C493" s="7" t="inlineStr">
        <is>
          <t>Assignment/Transfer</t>
        </is>
      </c>
      <c r="D493" s="7" t="inlineStr">
        <is>
          <t>Central Receiving</t>
        </is>
      </c>
      <c r="E493" s="7" t="inlineStr">
        <is>
          <t>E0065</t>
        </is>
      </c>
      <c r="F493" s="7" t="inlineStr">
        <is>
          <t>Chicago</t>
        </is>
      </c>
      <c r="G493" s="7" t="inlineStr">
        <is>
          <t>Transfer:TR-00131; Approval:APR-00131</t>
        </is>
      </c>
      <c r="H493" s="7" t="inlineStr">
        <is>
          <t>Confirmed Fact</t>
        </is>
      </c>
      <c r="I493" s="7" t="inlineStr">
        <is>
          <t>Assignment posted 2026-06-26. Docked June 28, 2026 (TR-00131).</t>
        </is>
      </c>
    </row>
    <row r="494">
      <c r="A494" s="7" t="inlineStr">
        <is>
          <t>MD-00131</t>
        </is>
      </c>
      <c r="B494" s="7" t="inlineStr">
        <is>
          <t>2026-08-09</t>
        </is>
      </c>
      <c r="C494" s="7" t="inlineStr">
        <is>
          <t>Policy Control Figure</t>
        </is>
      </c>
      <c r="D494" s="7" t="inlineStr">
        <is>
          <t>ITAM-001</t>
        </is>
      </c>
      <c r="E494" s="7" t="inlineStr"/>
      <c r="F494" s="7" t="inlineStr"/>
      <c r="G494" s="7" t="inlineStr">
        <is>
          <t>ITAM_control_matrix.png; IT_asset_management_policy.pdf</t>
        </is>
      </c>
      <c r="H494" s="7" t="inlineStr">
        <is>
          <t>Confirmed Fact</t>
        </is>
      </c>
      <c r="I494" s="7" t="inlineStr">
        <is>
          <t>MD-00131: Financial column in the control matrix frames the review; ledger/transfer proof is chain reference above.</t>
        </is>
      </c>
    </row>
    <row r="495">
      <c r="A495" s="7" t="inlineStr">
        <is>
          <t>MD-00131</t>
        </is>
      </c>
      <c r="B495" s="7" t="inlineStr">
        <is>
          <t>2026-08-09</t>
        </is>
      </c>
      <c r="C495" s="7" t="inlineStr">
        <is>
          <t>Reconciliation Conclusion</t>
        </is>
      </c>
      <c r="D495" s="7" t="inlineStr">
        <is>
          <t>Evidence review</t>
        </is>
      </c>
      <c r="E495" s="7" t="inlineStr">
        <is>
          <t>E0065</t>
        </is>
      </c>
      <c r="F495" s="7" t="inlineStr">
        <is>
          <t>Chicago</t>
        </is>
      </c>
      <c r="G495" s="7" t="inlineStr">
        <is>
          <t>HR:E0065:Transferred; Transfer:TR-00131; Approval:APR-00131; PO:PO-2023-0022; PolicyFigure:ITAM_control_matrix.png</t>
        </is>
      </c>
      <c r="H495" s="7" t="inlineStr">
        <is>
          <t>Confirmed Fact</t>
        </is>
      </c>
      <c r="I495" s="7" t="inlineStr">
        <is>
          <t>Wrap: MD-00131 In Use. EX-0162. E0065 TR-00131 APR-00131 PO-2023-0022 ITAM_control_matrix.png</t>
        </is>
      </c>
    </row>
    <row r="496">
      <c r="A496" s="7" t="inlineStr">
        <is>
          <t>MD-00132</t>
        </is>
      </c>
      <c r="B496" s="7" t="inlineStr">
        <is>
          <t>2022-01-13</t>
        </is>
      </c>
      <c r="C496" s="7" t="inlineStr">
        <is>
          <t>Purchase</t>
        </is>
      </c>
      <c r="D496" s="7" t="inlineStr">
        <is>
          <t>Vendor</t>
        </is>
      </c>
      <c r="E496" s="7" t="inlineStr">
        <is>
          <t>Central Receiving</t>
        </is>
      </c>
      <c r="F496" s="7" t="inlineStr">
        <is>
          <t>Atlanta Warehouse</t>
        </is>
      </c>
      <c r="G496" s="7" t="inlineStr">
        <is>
          <t>PO:PO-2023-0022</t>
        </is>
      </c>
      <c r="H496" s="7" t="inlineStr">
        <is>
          <t>Confirmed Fact</t>
        </is>
      </c>
      <c r="I496" s="7" t="inlineStr">
        <is>
          <t>Cisco C9300 came in on PO-2023-0022 ($6470).</t>
        </is>
      </c>
    </row>
    <row r="497">
      <c r="A497" s="7" t="inlineStr">
        <is>
          <t>MD-00132</t>
        </is>
      </c>
      <c r="B497" s="7" t="inlineStr">
        <is>
          <t>2026-01-13</t>
        </is>
      </c>
      <c r="C497" s="7" t="inlineStr">
        <is>
          <t>Assignment/Transfer</t>
        </is>
      </c>
      <c r="D497" s="7" t="inlineStr">
        <is>
          <t>Central Receiving</t>
        </is>
      </c>
      <c r="E497" s="7" t="inlineStr">
        <is>
          <t>E0066</t>
        </is>
      </c>
      <c r="F497" s="7" t="inlineStr">
        <is>
          <t>Dallas</t>
        </is>
      </c>
      <c r="G497" s="7" t="inlineStr">
        <is>
          <t>Transfer:TR-00132; Approval:APR-00132</t>
        </is>
      </c>
      <c r="H497" s="7" t="inlineStr">
        <is>
          <t>Confirmed Fact</t>
        </is>
      </c>
      <c r="I497" s="7" t="inlineStr">
        <is>
          <t>Log row TR-00132. Receive date 2026-01-31.</t>
        </is>
      </c>
    </row>
    <row r="498">
      <c r="A498" s="7" t="inlineStr">
        <is>
          <t>MD-00132</t>
        </is>
      </c>
      <c r="B498" s="7" t="inlineStr">
        <is>
          <t>2026-08-09</t>
        </is>
      </c>
      <c r="C498" s="7" t="inlineStr">
        <is>
          <t>Policy Control Figure</t>
        </is>
      </c>
      <c r="D498" s="7" t="inlineStr">
        <is>
          <t>ITAM-001</t>
        </is>
      </c>
      <c r="E498" s="7" t="inlineStr"/>
      <c r="F498" s="7" t="inlineStr"/>
      <c r="G498" s="7" t="inlineStr">
        <is>
          <t>ITAM_control_matrix.png; IT_asset_management_policy.pdf</t>
        </is>
      </c>
      <c r="H498" s="7" t="inlineStr">
        <is>
          <t>Confirmed Fact</t>
        </is>
      </c>
      <c r="I498" s="7" t="inlineStr">
        <is>
          <t>Policy figure referenced for MD-00132 (disposal path). Custody still depends on chain reference above; ITAM_control_matrix.png in packet.</t>
        </is>
      </c>
    </row>
    <row r="499">
      <c r="A499" s="7" t="inlineStr">
        <is>
          <t>MD-00132</t>
        </is>
      </c>
      <c r="B499" s="7" t="inlineStr">
        <is>
          <t>2026-08-09</t>
        </is>
      </c>
      <c r="C499" s="7" t="inlineStr">
        <is>
          <t>Reconciliation Conclusion</t>
        </is>
      </c>
      <c r="D499" s="7" t="inlineStr">
        <is>
          <t>Evidence review</t>
        </is>
      </c>
      <c r="E499" s="7" t="inlineStr">
        <is>
          <t>E0066</t>
        </is>
      </c>
      <c r="F499" s="7" t="inlineStr">
        <is>
          <t>Dallas</t>
        </is>
      </c>
      <c r="G499" s="7" t="inlineStr">
        <is>
          <t>HR:E0066:Transferred; Transfer:TR-00132; Approval:APR-00132; PO:PO-2023-0022; PolicyFigure:ITAM_control_matrix.png</t>
        </is>
      </c>
      <c r="H499" s="7" t="inlineStr">
        <is>
          <t>Confirmed Fact</t>
        </is>
      </c>
      <c r="I499" s="7" t="inlineStr">
        <is>
          <t>After the chain: In Use. High confidence. EX-0163. E0066 TR-00132 APR-00132 PO-2023-0022 ITAM_control_matrix.png</t>
        </is>
      </c>
    </row>
    <row r="500">
      <c r="A500" t="inlineStr">
        <is>
          <t>MD-00132</t>
        </is>
      </c>
      <c r="B500" t="inlineStr">
        <is>
          <t>2026-08-05</t>
        </is>
      </c>
      <c r="C500" t="inlineStr">
        <is>
          <t>Technician/Finance Claim</t>
        </is>
      </c>
      <c r="D500" t="inlineStr">
        <is>
          <t>Regional note</t>
        </is>
      </c>
      <c r="F500" t="inlineStr">
        <is>
          <t>Atlanta Warehouse</t>
        </is>
      </c>
      <c r="G500" t="inlineStr">
        <is>
          <t>RN-0132; Policy:ITAM-001 §7</t>
        </is>
      </c>
      <c r="H500" t="inlineStr">
        <is>
          <t>Technician Claim</t>
        </is>
      </c>
      <c r="I500" t="inlineStr">
        <is>
          <t>RN-0132 said MD-00132 was expensed under threshold. Rejected: acquisition cost $6,470 is ≥ $2,500, and the FAR still has no row.</t>
        </is>
      </c>
    </row>
    <row r="501">
      <c r="A501" t="inlineStr">
        <is>
          <t>MD-00132</t>
        </is>
      </c>
      <c r="B501" t="inlineStr">
        <is>
          <t>2026-08-09</t>
        </is>
      </c>
      <c r="C501" t="inlineStr">
        <is>
          <t>Unresolved Capitalization</t>
        </is>
      </c>
      <c r="G501" t="inlineStr">
        <is>
          <t>PO:PO-2023-0022; Ledger:MISSING</t>
        </is>
      </c>
      <c r="H501" t="inlineStr">
        <is>
          <t>Unresolved Assumption</t>
        </is>
      </c>
      <c r="I501" t="inlineStr">
        <is>
          <t>MD-00132 / PO-2023-0022: capital-qualifying, no FA row. Blocks certification until capitalization or an approved write-off. MD-00130/MD-00131 are a different (under-threshold) story.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40" customWidth="1" min="1" max="1"/>
    <col width="40" customWidth="1" min="2" max="2"/>
    <col width="27" customWidth="1" min="3" max="3"/>
    <col width="25" customWidth="1" min="4" max="4"/>
    <col width="17" customWidth="1" min="5" max="5"/>
    <col width="25" customWidth="1" min="6" max="6"/>
    <col width="12" customWidth="1" min="7" max="7"/>
    <col width="40" customWidth="1" min="8" max="8"/>
  </cols>
  <sheetData>
    <row r="1">
      <c r="A1" s="1" t="inlineStr">
        <is>
          <t>Inventory-to-Ledger Reconciliation</t>
        </is>
      </c>
    </row>
    <row r="2">
      <c r="A2" s="2" t="inlineStr">
        <is>
          <t>Book value from fixed-asset ledger when present. No invented balances.</t>
        </is>
      </c>
    </row>
    <row r="4">
      <c r="A4" s="3" t="inlineStr">
        <is>
          <t>Control Total</t>
        </is>
      </c>
      <c r="B4" s="3" t="inlineStr">
        <is>
          <t>Amount</t>
        </is>
      </c>
    </row>
    <row r="5">
      <c r="A5" s="4" t="inlineStr">
        <is>
          <t>Corrected register — sum of acquisition cost (132 assets)</t>
        </is>
      </c>
      <c r="B5" s="5">
        <f>SUM('Corrected Register'!$M$5:$M$136)</f>
        <v>332115</v>
      </c>
    </row>
    <row r="6">
      <c r="A6" s="4" t="inlineStr">
        <is>
          <t>Fixed-asset ledger — sum of acquisition cost (129 assets)</t>
        </is>
      </c>
      <c r="B6" s="5">
        <f>SUM('Source Ledger'!$E$5:$E$133)</f>
        <v>324740</v>
      </c>
    </row>
    <row r="7">
      <c r="A7" s="4" t="inlineStr">
        <is>
          <t>Acquisition cost difference (register − ledger)</t>
        </is>
      </c>
      <c r="B7" s="5">
        <f>B5-B6</f>
        <v>7375</v>
      </c>
    </row>
    <row r="8">
      <c r="A8" s="4" t="inlineStr">
        <is>
          <t>Corrected register — remaining book value (ledger NBV where present; blank if missing)</t>
        </is>
      </c>
      <c r="B8" s="5">
        <f>SUM('Corrected Register'!$N$5:$N$136)</f>
        <v>61561.6</v>
      </c>
    </row>
    <row r="9">
      <c r="A9" s="4" t="inlineStr">
        <is>
          <t>Ledger — net book value, Active status only</t>
        </is>
      </c>
      <c r="B9" s="5">
        <f>SUMIF('Source Ledger'!$H$5:$H$133,"Active",'Source Ledger'!$G$5:$G$133)</f>
        <v>61561.6</v>
      </c>
    </row>
    <row r="10">
      <c r="A10" s="4" t="inlineStr">
        <is>
          <t>Ledger — net book value, all statuses including Disposed</t>
        </is>
      </c>
      <c r="B10" s="5">
        <f>SUM('Source Ledger'!$G$5:$G$133)</f>
        <v>61561.6</v>
      </c>
    </row>
    <row r="11">
      <c r="A11" s="4" t="inlineStr">
        <is>
          <t>Assets with matching acquisition cost (register vs ledger)</t>
        </is>
      </c>
      <c r="B11" s="5">
        <f>COUNTA('Corrected Register'!$A$5:$A$136)-B12-B13</f>
        <v>122</v>
      </c>
    </row>
    <row r="12">
      <c r="A12" s="4" t="inlineStr">
        <is>
          <t>Assets with acquisition cost mismatch</t>
        </is>
      </c>
      <c r="B12" s="5">
        <f>COUNTIF(B24:B35,"Acquisition cost mismatch")</f>
        <v>7</v>
      </c>
    </row>
    <row r="13">
      <c r="A13" s="4" t="inlineStr">
        <is>
          <t>Assets on inventory missing from ledger</t>
        </is>
      </c>
      <c r="B13" s="5">
        <f>COUNTIF(B24:B35,"On inventory, missing from ledger")</f>
        <v>3</v>
      </c>
    </row>
    <row r="16">
      <c r="A16" s="6" t="inlineStr">
        <is>
          <t>Explanation of remaining differences</t>
        </is>
      </c>
    </row>
    <row r="17" ht="48" customHeight="1">
      <c r="A17" s="13">
        <f>CONCATENATE("1) Three assets (MD-00130, MD-00131, MD-00132) appear on the operational register and PO-2023-0022 but have no fixed-asset ledger row. Combined register acquisition cost = $",TEXT(C33+C34+C35,"0.0"),".")</f>
        <v/>
      </c>
    </row>
    <row r="18" ht="48" customHeight="1">
      <c r="A18" s="13">
        <f>CONCATENATE("2) Seven assets have a systematic $175 ledger-over-register acquisition cost variance (MD-00017, MD-00034, MD-00051, MD-00068, MD-00085, MD-00102, MD-00119). Combined ledger cost excess = $",TEXT(E24+E25+E26+E27+E28+E29+E32,"#,##0"),".")</f>
        <v/>
      </c>
    </row>
    <row r="19" ht="48" customHeight="1">
      <c r="A19" s="13" t="inlineStr">
        <is>
          <t>3) Seven assets have ledger-over-register acquisition cost variances (MD-00017 $85, MD-00034 $140, MD-00051 $210, MD-00068 $55, MD-00085 $195, MD-00102 $120, MD-00119 $165). Combined ledger cost excess = $970. PO approved amounts tie to the inventory lines; Finance should align the FAR. Per §9 these are High remediation items, not sole Critical blockers.</t>
        </is>
      </c>
    </row>
    <row r="20" ht="48" customHeight="1">
      <c r="A20" s="13" t="inlineStr">
        <is>
          <t>4) Eight disposal certificates clear operational status to Disposed with $0 NBV on ledger. Two recycler transfers (MD-00114, MD-00118) lack verified certificates; ledger already shows Disposed/$0 while operational status remains Retired/Pending Disposal. Active ledger NBV otherwise ties to corrected register remaining book value for assets present on both files.</t>
        </is>
      </c>
    </row>
    <row r="22">
      <c r="A22" s="6" t="inlineStr">
        <is>
          <t>Asset-level differences requiring Finance action</t>
        </is>
      </c>
    </row>
    <row r="23">
      <c r="A23" s="3" t="inlineStr">
        <is>
          <t>Asset Tag</t>
        </is>
      </c>
      <c r="B23" s="3" t="inlineStr">
        <is>
          <t>Issue</t>
        </is>
      </c>
      <c r="C23" s="3" t="inlineStr">
        <is>
          <t>Register Acquisition Cost</t>
        </is>
      </c>
      <c r="D23" s="3" t="inlineStr">
        <is>
          <t>Ledger Acquisition Cost</t>
        </is>
      </c>
      <c r="E23" s="3" t="inlineStr">
        <is>
          <t>Cost Difference</t>
        </is>
      </c>
      <c r="F23" s="3" t="inlineStr">
        <is>
          <t>Register/Reconciled NBV</t>
        </is>
      </c>
      <c r="G23" s="3" t="inlineStr">
        <is>
          <t>Ledger NBV</t>
        </is>
      </c>
      <c r="H23" s="3" t="inlineStr">
        <is>
          <t>Explanation</t>
        </is>
      </c>
    </row>
    <row r="24">
      <c r="A24" s="7" t="inlineStr">
        <is>
          <t>MD-00017</t>
        </is>
      </c>
      <c r="B24" s="7" t="inlineStr">
        <is>
          <t>Acquisition cost mismatch</t>
        </is>
      </c>
      <c r="C24" s="7">
        <f>IFERROR(XLOOKUP(A24,'Corrected Register'!$A$5:$A$136,'Corrected Register'!$M$5:$M$136),"")</f>
        <v>1985</v>
      </c>
      <c r="D24" s="7">
        <f>IFERROR(XLOOKUP(A24,'Source Ledger'!$B$5:$B$133,'Source Ledger'!$E$5:$E$133),"")</f>
        <v>2070</v>
      </c>
      <c r="E24" s="7">
        <f>IF(OR(C24="",D24=""),"",D24-C24)</f>
        <v>85</v>
      </c>
      <c r="F24" s="7">
        <f>IFERROR(XLOOKUP(A24,'Corrected Register'!$A$5:$A$136,'Corrected Register'!$N$5:$N$136),"")</f>
        <v>0</v>
      </c>
      <c r="G24" s="7">
        <f>IFERROR(XLOOKUP(A24,'Source Ledger'!$B$5:$B$133,'Source Ledger'!$G$5:$G$133),"")</f>
        <v>0</v>
      </c>
      <c r="H24" s="7" t="inlineStr">
        <is>
          <t>Ledger FA-000017 cost exceeds register by $85. Validate against PO-2024-0003.</t>
        </is>
      </c>
    </row>
    <row r="25">
      <c r="A25" s="7" t="inlineStr">
        <is>
          <t>MD-00034</t>
        </is>
      </c>
      <c r="B25" s="7" t="inlineStr">
        <is>
          <t>Acquisition cost mismatch</t>
        </is>
      </c>
      <c r="C25" s="7">
        <f>IFERROR(XLOOKUP(A25,'Corrected Register'!$A$5:$A$136,'Corrected Register'!$M$5:$M$136),"")</f>
        <v>790</v>
      </c>
      <c r="D25" s="7">
        <f>IFERROR(XLOOKUP(A25,'Source Ledger'!$B$5:$B$133,'Source Ledger'!$E$5:$E$133),"")</f>
        <v>930</v>
      </c>
      <c r="E25" s="7">
        <f>IF(OR(C25="",D25=""),"",D25-C25)</f>
        <v>140</v>
      </c>
      <c r="F25" s="7">
        <f>IFERROR(XLOOKUP(A25,'Corrected Register'!$A$5:$A$136,'Corrected Register'!$N$5:$N$136),"")</f>
        <v>514.88</v>
      </c>
      <c r="G25" s="7">
        <f>IFERROR(XLOOKUP(A25,'Source Ledger'!$B$5:$B$133,'Source Ledger'!$G$5:$G$133),"")</f>
        <v>514.88</v>
      </c>
      <c r="H25" s="7" t="inlineStr">
        <is>
          <t>Ledger FA-000034 cost exceeds register by $140. Validate against PO-2023-0006.</t>
        </is>
      </c>
    </row>
    <row r="26">
      <c r="A26" s="7" t="inlineStr">
        <is>
          <t>MD-00051</t>
        </is>
      </c>
      <c r="B26" s="7" t="inlineStr">
        <is>
          <t>Acquisition cost mismatch</t>
        </is>
      </c>
      <c r="C26" s="7">
        <f>IFERROR(XLOOKUP(A26,'Corrected Register'!$A$5:$A$136,'Corrected Register'!$M$5:$M$136),"")</f>
        <v>1040</v>
      </c>
      <c r="D26" s="7">
        <f>IFERROR(XLOOKUP(A26,'Source Ledger'!$B$5:$B$133,'Source Ledger'!$E$5:$E$133),"")</f>
        <v>1250</v>
      </c>
      <c r="E26" s="7">
        <f>IF(OR(C26="",D26=""),"",D26-C26)</f>
        <v>210</v>
      </c>
      <c r="F26" s="7">
        <f>IFERROR(XLOOKUP(A26,'Corrected Register'!$A$5:$A$136,'Corrected Register'!$N$5:$N$136),"")</f>
        <v>573.03</v>
      </c>
      <c r="G26" s="7">
        <f>IFERROR(XLOOKUP(A26,'Source Ledger'!$B$5:$B$133,'Source Ledger'!$G$5:$G$133),"")</f>
        <v>573.03</v>
      </c>
      <c r="H26" s="7" t="inlineStr">
        <is>
          <t>Ledger FA-000051 cost exceeds register by $210. Validate against PO-2022-0009.</t>
        </is>
      </c>
    </row>
    <row r="27">
      <c r="A27" s="7" t="inlineStr">
        <is>
          <t>MD-00068</t>
        </is>
      </c>
      <c r="B27" s="7" t="inlineStr">
        <is>
          <t>Acquisition cost mismatch</t>
        </is>
      </c>
      <c r="C27" s="7">
        <f>IFERROR(XLOOKUP(A27,'Corrected Register'!$A$5:$A$136,'Corrected Register'!$M$5:$M$136),"")</f>
        <v>6425</v>
      </c>
      <c r="D27" s="7">
        <f>IFERROR(XLOOKUP(A27,'Source Ledger'!$B$5:$B$133,'Source Ledger'!$E$5:$E$133),"")</f>
        <v>6480</v>
      </c>
      <c r="E27" s="7">
        <f>IF(OR(C27="",D27=""),"",D27-C27)</f>
        <v>55</v>
      </c>
      <c r="F27" s="7">
        <f>IFERROR(XLOOKUP(A27,'Corrected Register'!$A$5:$A$136,'Corrected Register'!$N$5:$N$136),"")</f>
        <v>1436.28</v>
      </c>
      <c r="G27" s="7">
        <f>IFERROR(XLOOKUP(A27,'Source Ledger'!$B$5:$B$133,'Source Ledger'!$G$5:$G$133),"")</f>
        <v>1436.28</v>
      </c>
      <c r="H27" s="7" t="inlineStr">
        <is>
          <t>Ledger FA-000068 cost exceeds register by $55. Validate against PO-2025-0012.</t>
        </is>
      </c>
    </row>
    <row r="28">
      <c r="A28" s="7" t="inlineStr">
        <is>
          <t>MD-00085</t>
        </is>
      </c>
      <c r="B28" s="7" t="inlineStr">
        <is>
          <t>Acquisition cost mismatch</t>
        </is>
      </c>
      <c r="C28" s="7">
        <f>IFERROR(XLOOKUP(A28,'Corrected Register'!$A$5:$A$136,'Corrected Register'!$M$5:$M$136),"")</f>
        <v>1895</v>
      </c>
      <c r="D28" s="7">
        <f>IFERROR(XLOOKUP(A28,'Source Ledger'!$B$5:$B$133,'Source Ledger'!$E$5:$E$133),"")</f>
        <v>2090</v>
      </c>
      <c r="E28" s="7">
        <f>IF(OR(C28="",D28=""),"",D28-C28)</f>
        <v>195</v>
      </c>
      <c r="F28" s="7">
        <f>IFERROR(XLOOKUP(A28,'Corrected Register'!$A$5:$A$136,'Corrected Register'!$N$5:$N$136),"")</f>
        <v>0</v>
      </c>
      <c r="G28" s="7">
        <f>IFERROR(XLOOKUP(A28,'Source Ledger'!$B$5:$B$133,'Source Ledger'!$G$5:$G$133),"")</f>
        <v>0</v>
      </c>
      <c r="H28" s="7" t="inlineStr">
        <is>
          <t>Ledger FA-000085 cost exceeds register by $195. Validate against PO-2024-0015.</t>
        </is>
      </c>
    </row>
    <row r="29">
      <c r="A29" s="7" t="inlineStr">
        <is>
          <t>MD-00102</t>
        </is>
      </c>
      <c r="B29" s="7" t="inlineStr">
        <is>
          <t>Acquisition cost mismatch</t>
        </is>
      </c>
      <c r="C29" s="7">
        <f>IFERROR(XLOOKUP(A29,'Corrected Register'!$A$5:$A$136,'Corrected Register'!$M$5:$M$136),"")</f>
        <v>700</v>
      </c>
      <c r="D29" s="7">
        <f>IFERROR(XLOOKUP(A29,'Source Ledger'!$B$5:$B$133,'Source Ledger'!$E$5:$E$133),"")</f>
        <v>820</v>
      </c>
      <c r="E29" s="7">
        <f>IF(OR(C29="",D29=""),"",D29-C29)</f>
        <v>120</v>
      </c>
      <c r="F29" s="7">
        <f>IFERROR(XLOOKUP(A29,'Corrected Register'!$A$5:$A$136,'Corrected Register'!$N$5:$N$136),"")</f>
        <v>407.54</v>
      </c>
      <c r="G29" s="7">
        <f>IFERROR(XLOOKUP(A29,'Source Ledger'!$B$5:$B$133,'Source Ledger'!$G$5:$G$133),"")</f>
        <v>407.54</v>
      </c>
      <c r="H29" s="7" t="inlineStr">
        <is>
          <t>Ledger FA-000102 cost exceeds register by $120. Validate against PO-2022-0017.</t>
        </is>
      </c>
    </row>
    <row r="30">
      <c r="A30" s="7" t="inlineStr">
        <is>
          <t>MD-00114</t>
        </is>
      </c>
      <c r="B30" s="7" t="inlineStr">
        <is>
          <t>Ledger disposed without operational disposal evidence</t>
        </is>
      </c>
      <c r="C30" s="7">
        <f>IFERROR(XLOOKUP(A30,'Corrected Register'!$A$5:$A$136,'Corrected Register'!$M$5:$M$136),"")</f>
        <v>610</v>
      </c>
      <c r="D30" s="7">
        <f>IFERROR(XLOOKUP(A30,'Source Ledger'!$B$5:$B$133,'Source Ledger'!$E$5:$E$133),"")</f>
        <v>610</v>
      </c>
      <c r="E30" s="7">
        <f>IF(OR(C30="",D30=""),"",D30-C30)</f>
        <v>0</v>
      </c>
      <c r="F30" s="7">
        <f>IFERROR(XLOOKUP(A30,'Corrected Register'!$A$5:$A$136,'Corrected Register'!$N$5:$N$136),"")</f>
        <v>0</v>
      </c>
      <c r="G30" s="7">
        <f>IFERROR(XLOOKUP(A30,'Source Ledger'!$B$5:$B$133,'Source Ledger'!$G$5:$G$133),"")</f>
        <v>0</v>
      </c>
      <c r="H30" s="7" t="inlineStr">
        <is>
          <t>Ledger status Disposed but verified status is Retired/Pending Disposal; certificate evidence incomplete.</t>
        </is>
      </c>
    </row>
    <row r="31">
      <c r="A31" s="7" t="inlineStr">
        <is>
          <t>MD-00118</t>
        </is>
      </c>
      <c r="B31" s="7" t="inlineStr">
        <is>
          <t>Ledger disposed without operational disposal evidence</t>
        </is>
      </c>
      <c r="C31" s="7">
        <f>IFERROR(XLOOKUP(A31,'Corrected Register'!$A$5:$A$136,'Corrected Register'!$M$5:$M$136),"")</f>
        <v>790</v>
      </c>
      <c r="D31" s="7">
        <f>IFERROR(XLOOKUP(A31,'Source Ledger'!$B$5:$B$133,'Source Ledger'!$E$5:$E$133),"")</f>
        <v>790</v>
      </c>
      <c r="E31" s="7">
        <f>IF(OR(C31="",D31=""),"",D31-C31)</f>
        <v>0</v>
      </c>
      <c r="F31" s="7">
        <f>IFERROR(XLOOKUP(A31,'Corrected Register'!$A$5:$A$136,'Corrected Register'!$N$5:$N$136),"")</f>
        <v>0</v>
      </c>
      <c r="G31" s="7">
        <f>IFERROR(XLOOKUP(A31,'Source Ledger'!$B$5:$B$133,'Source Ledger'!$G$5:$G$133),"")</f>
        <v>0</v>
      </c>
      <c r="H31" s="7" t="inlineStr">
        <is>
          <t>Ledger status Disposed but verified status is Retired/Pending Disposal; certificate evidence incomplete.</t>
        </is>
      </c>
    </row>
    <row r="32">
      <c r="A32" s="7" t="inlineStr">
        <is>
          <t>MD-00119</t>
        </is>
      </c>
      <c r="B32" s="7" t="inlineStr">
        <is>
          <t>Acquisition cost mismatch</t>
        </is>
      </c>
      <c r="C32" s="7">
        <f>IFERROR(XLOOKUP(A32,'Corrected Register'!$A$5:$A$136,'Corrected Register'!$M$5:$M$136),"")</f>
        <v>950</v>
      </c>
      <c r="D32" s="7">
        <f>IFERROR(XLOOKUP(A32,'Source Ledger'!$B$5:$B$133,'Source Ledger'!$E$5:$E$133),"")</f>
        <v>1115</v>
      </c>
      <c r="E32" s="7">
        <f>IF(OR(C32="",D32=""),"",D32-C32)</f>
        <v>165</v>
      </c>
      <c r="F32" s="7">
        <f>IFERROR(XLOOKUP(A32,'Corrected Register'!$A$5:$A$136,'Corrected Register'!$N$5:$N$136),"")</f>
        <v>0</v>
      </c>
      <c r="G32" s="7">
        <f>IFERROR(XLOOKUP(A32,'Source Ledger'!$B$5:$B$133,'Source Ledger'!$G$5:$G$133),"")</f>
        <v>0</v>
      </c>
      <c r="H32" s="7" t="inlineStr">
        <is>
          <t>Ledger FA-000119 cost exceeds register by $165. Validate against PO-2025-0020.</t>
        </is>
      </c>
    </row>
    <row r="33">
      <c r="A33" s="7" t="inlineStr">
        <is>
          <t>MD-00130</t>
        </is>
      </c>
      <c r="B33" s="7" t="inlineStr">
        <is>
          <t>Below capitalization threshold — ledger absence expected</t>
        </is>
      </c>
      <c r="C33" s="7">
        <f>IFERROR(XLOOKUP(A33,'Corrected Register'!$A$5:$A$136,'Corrected Register'!$M$5:$M$136),"")</f>
        <v>700</v>
      </c>
      <c r="D33" s="7">
        <f>IFERROR(XLOOKUP(A33,'Source Ledger'!$B$5:$B$133,'Source Ledger'!$E$5:$E$133),"")</f>
        <v/>
      </c>
      <c r="E33" s="7">
        <f>IF(OR(C33="",D33=""),"",D33-C33)</f>
        <v/>
      </c>
      <c r="F33" s="7">
        <f>IFERROR(XLOOKUP(A33,'Corrected Register'!$A$5:$A$136,'Corrected Register'!$N$5:$N$136),"")</f>
        <v/>
      </c>
      <c r="G33" s="7">
        <f>IFERROR(XLOOKUP(A33,'Source Ledger'!$B$5:$B$133,'Source Ledger'!$G$5:$G$133),"")</f>
        <v/>
      </c>
      <c r="H33" s="7" t="inlineStr">
        <is>
          <t>Register cost below $2,500. PO-2023-0022 capitalization_approved does not create an FA expectation. Informational only under ITAM-001 §7.</t>
        </is>
      </c>
    </row>
    <row r="34">
      <c r="A34" s="7" t="inlineStr">
        <is>
          <t>MD-00131</t>
        </is>
      </c>
      <c r="B34" s="7" t="inlineStr">
        <is>
          <t>Below capitalization threshold — ledger absence expected</t>
        </is>
      </c>
      <c r="C34" s="7">
        <f>IFERROR(XLOOKUP(A34,'Corrected Register'!$A$5:$A$136,'Corrected Register'!$M$5:$M$136),"")</f>
        <v>1175</v>
      </c>
      <c r="D34" s="7">
        <f>IFERROR(XLOOKUP(A34,'Source Ledger'!$B$5:$B$133,'Source Ledger'!$E$5:$E$133),"")</f>
        <v/>
      </c>
      <c r="E34" s="7">
        <f>IF(OR(C34="",D34=""),"",D34-C34)</f>
        <v/>
      </c>
      <c r="F34" s="7">
        <f>IFERROR(XLOOKUP(A34,'Corrected Register'!$A$5:$A$136,'Corrected Register'!$N$5:$N$136),"")</f>
        <v/>
      </c>
      <c r="G34" s="7">
        <f>IFERROR(XLOOKUP(A34,'Source Ledger'!$B$5:$B$133,'Source Ledger'!$G$5:$G$133),"")</f>
        <v/>
      </c>
      <c r="H34" s="7" t="inlineStr">
        <is>
          <t>Register cost below $2,500. PO-2023-0022 capitalization_approved does not create an FA expectation. Informational only under ITAM-001 §7.</t>
        </is>
      </c>
    </row>
    <row r="35">
      <c r="A35" s="7" t="inlineStr">
        <is>
          <t>MD-00132</t>
        </is>
      </c>
      <c r="B35" s="7" t="inlineStr">
        <is>
          <t>On inventory, missing from ledger (capital-qualifying)</t>
        </is>
      </c>
      <c r="C35" s="7">
        <f>IFERROR(XLOOKUP(A35,'Corrected Register'!$A$5:$A$136,'Corrected Register'!$M$5:$M$136),"")</f>
        <v>6470</v>
      </c>
      <c r="D35" s="7">
        <f>IFERROR(XLOOKUP(A35,'Source Ledger'!$B$5:$B$133,'Source Ledger'!$E$5:$E$133),"")</f>
        <v/>
      </c>
      <c r="E35" s="7">
        <f>IF(OR(C35="",D35=""),"",D35-C35)</f>
        <v/>
      </c>
      <c r="F35" s="7">
        <f>IFERROR(XLOOKUP(A35,'Corrected Register'!$A$5:$A$136,'Corrected Register'!$N$5:$N$136),"")</f>
        <v/>
      </c>
      <c r="G35" s="7">
        <f>IFERROR(XLOOKUP(A35,'Source Ledger'!$B$5:$B$133,'Source Ledger'!$G$5:$G$133),"")</f>
        <v/>
      </c>
      <c r="H35" s="7" t="inlineStr">
        <is>
          <t>No FA record for $6,470 network asset. Critical under ITAM-001 §7. Reject RN-0132 under-threshold claim.</t>
        </is>
      </c>
    </row>
  </sheetData>
  <mergeCells count="7">
    <mergeCell ref="A18:H18"/>
    <mergeCell ref="A20:H20"/>
    <mergeCell ref="A16:H16"/>
    <mergeCell ref="A2:H2"/>
    <mergeCell ref="A19:H19"/>
    <mergeCell ref="A1:H1"/>
    <mergeCell ref="A17:H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40" customWidth="1" min="1" max="1"/>
    <col width="40" customWidth="1" min="2" max="2"/>
    <col width="36" customWidth="1" min="3" max="3"/>
    <col width="40" customWidth="1" min="4" max="4"/>
    <col width="23" customWidth="1" min="5" max="5"/>
    <col width="13" customWidth="1" min="6" max="6"/>
  </cols>
  <sheetData>
    <row r="1">
      <c r="A1" s="1" t="inlineStr">
        <is>
          <t>Quarterly Inventory Certification Statement</t>
        </is>
      </c>
    </row>
    <row r="2">
      <c r="A2" s="2" t="inlineStr">
        <is>
          <t>Yanou &amp; Partners IT Services | As of 2026-08-09 | Policy ITAM-001 §9 | Multimodal leads do not replace transaction proof</t>
        </is>
      </c>
    </row>
    <row r="4">
      <c r="A4" s="3" t="inlineStr">
        <is>
          <t>Section</t>
        </is>
      </c>
      <c r="B4" s="3" t="inlineStr">
        <is>
          <t>Determination</t>
        </is>
      </c>
      <c r="C4" s="3" t="inlineStr">
        <is>
          <t>Scope / Count</t>
        </is>
      </c>
      <c r="D4" s="3" t="inlineStr">
        <is>
          <t>Evidence Basis</t>
        </is>
      </c>
      <c r="E4" s="3" t="inlineStr">
        <is>
          <t>Owner</t>
        </is>
      </c>
      <c r="F4" s="3" t="inlineStr">
        <is>
          <t>Status</t>
        </is>
      </c>
    </row>
    <row r="5">
      <c r="A5" s="7" t="inlineStr">
        <is>
          <t>A. Records accepted for certification draft</t>
        </is>
      </c>
      <c r="B5" s="7" t="inlineStr">
        <is>
          <t>Operational conclusions accepted subject to listed non-blocking remediation</t>
        </is>
      </c>
      <c r="C5" s="7" t="inlineStr">
        <is>
          <t>101 assets</t>
        </is>
      </c>
      <c r="D5" s="7" t="inlineStr">
        <is>
          <t>HR + transfer/return/disposal transaction evidence; multimodal figure/image used as control lead only</t>
        </is>
      </c>
      <c r="E5" s="7" t="inlineStr">
        <is>
          <t>IT Asset Specialist</t>
        </is>
      </c>
      <c r="F5" s="7" t="inlineStr">
        <is>
          <t>Conditional</t>
        </is>
      </c>
    </row>
    <row r="6">
      <c r="A6" s="7" t="inlineStr">
        <is>
          <t>B. Assets requiring escalation before approval</t>
        </is>
      </c>
      <c r="B6" s="7" t="inlineStr">
        <is>
          <t>Cannot certify while Critical exceptions remain open</t>
        </is>
      </c>
      <c r="C6" s="7" t="inlineStr">
        <is>
          <t>31 assets / 43 blocking exceptions</t>
        </is>
      </c>
      <c r="D6" s="7" t="inlineStr">
        <is>
          <t>Missing, overdue without receiving proof, shipment serial mismatches (incl. dock image lead for 1ZMD00000082), missing capital ledger rows (≥$2,500), missing disposal certificates</t>
        </is>
      </c>
      <c r="E6" s="7" t="inlineStr">
        <is>
          <t>IT Operations Manager</t>
        </is>
      </c>
      <c r="F6" s="12" t="inlineStr">
        <is>
          <t>BLOCKED</t>
        </is>
      </c>
    </row>
    <row r="7">
      <c r="A7" s="7" t="inlineStr">
        <is>
          <t>C. HR validation required</t>
        </is>
      </c>
      <c r="B7" s="7" t="inlineStr">
        <is>
          <t>Separated employee assignments and offboarding ticket custodians</t>
        </is>
      </c>
      <c r="C7" s="7" t="inlineStr">
        <is>
          <t>43 exceptions</t>
        </is>
      </c>
      <c r="D7" s="7" t="inlineStr">
        <is>
          <t>hr_employee_status.csv vs register/tickets</t>
        </is>
      </c>
      <c r="E7" s="7" t="inlineStr">
        <is>
          <t>HR Operations Lead</t>
        </is>
      </c>
      <c r="F7" s="7" t="inlineStr">
        <is>
          <t>Open</t>
        </is>
      </c>
    </row>
    <row r="8">
      <c r="A8" s="7" t="inlineStr">
        <is>
          <t>D. Finance validation required</t>
        </is>
      </c>
      <c r="B8" s="7" t="inlineStr">
        <is>
          <t>Capital-qualifying ledger gap (MD-00132) and cost-basis variances</t>
        </is>
      </c>
      <c r="C8" s="7" t="inlineStr">
        <is>
          <t>10 exceptions</t>
        </is>
      </c>
      <c r="D8" s="7" t="inlineStr">
        <is>
          <t>fixed_asset_ledger.xlsx + hardware_purchase_orders.csv + register costs</t>
        </is>
      </c>
      <c r="E8" s="7" t="inlineStr">
        <is>
          <t>Finance Controller</t>
        </is>
      </c>
      <c r="F8" s="7" t="inlineStr">
        <is>
          <t>Open</t>
        </is>
      </c>
    </row>
    <row r="9">
      <c r="A9" s="7" t="inlineStr">
        <is>
          <t>E. Internal Audit testing recommended</t>
        </is>
      </c>
      <c r="B9" s="7" t="inlineStr">
        <is>
          <t>Sample custody chains for Missing, Overdue, Disposal gaps, and duplicate serials (MD-LA-050021 across MD-00021 and MD-00025; MD-NE-050088 across MD-00088 and MD-00092)</t>
        </is>
      </c>
      <c r="C9" s="7" t="inlineStr">
        <is>
          <t>65 high-risk chains</t>
        </is>
      </c>
      <c r="D9" s="7" t="inlineStr">
        <is>
          <t>Custody Chain worksheet + source IDs + ITAM_control_matrix.png</t>
        </is>
      </c>
      <c r="E9" s="7" t="inlineStr">
        <is>
          <t>Internal Auditor</t>
        </is>
      </c>
      <c r="F9" s="7" t="inlineStr">
        <is>
          <t>Recommended</t>
        </is>
      </c>
    </row>
    <row r="11">
      <c r="A11" s="6" t="inlineStr">
        <is>
          <t>Must be completed before the quarterly asset report is approved</t>
        </is>
      </c>
    </row>
    <row r="12">
      <c r="A12" s="14" t="inlineStr">
        <is>
          <t>1. Clear or formally risk-accept all exceptions with Certification Impact = Blocks certification.</t>
        </is>
      </c>
    </row>
    <row r="13">
      <c r="A13" s="14" t="inlineStr">
        <is>
          <t>2. Recover or loss-investigate all Verified Status = Missing assets (MD-00089–MD-00100).</t>
        </is>
      </c>
    </row>
    <row r="14">
      <c r="A14" s="14" t="inlineStr">
        <is>
          <t>3. Complete returns with carrier acceptance + delivery + receiving scan for Return Overdue assets.</t>
        </is>
      </c>
    </row>
    <row r="15">
      <c r="A15" s="14" t="inlineStr">
        <is>
          <t>4. Resolve shipment serial mismatches (MD-00074, MD-00076, MD-00082, MD-00084). Dock image for 1ZMD00000082 is a lead only.</t>
        </is>
      </c>
    </row>
    <row r="16">
      <c r="A16" s="14" t="inlineStr">
        <is>
          <t>5. Obtain disposal certificates for MD-00114 and MD-00118 (and complete pending-disposal evidence for MD-00101–MD-00110) or restore to stock.</t>
        </is>
      </c>
    </row>
    <row r="17">
      <c r="A17" s="14" t="inlineStr">
        <is>
          <t>6. Finance: add a ledger row (or approved write-off) for capital-qualifying MD-00132 only; MD-00130 and MD-00131 are under the $2,500 threshold so FA absence is expected; resolve seven acquisition-cost variances (amounts differ by asset).</t>
        </is>
      </c>
    </row>
    <row r="18">
      <c r="A18" s="14" t="inlineStr">
        <is>
          <t>7. Update the operational register to verified custodians/locations.</t>
        </is>
      </c>
    </row>
    <row r="19">
      <c r="A19" s="14" t="inlineStr">
        <is>
          <t>8. Obtain retrospective approvals for transfers TR-00058, TR-00059, TR-00064, TR-00065, TR-00127.</t>
        </is>
      </c>
    </row>
    <row r="20" ht="28" customHeight="1">
      <c r="A20" s="22" t="inlineStr">
        <is>
          <t>9. Flags duplicate serial MD-LA-050021 across MD-00021 and MD-00025, and duplicate serial MD-NE-050088 across MD-00088 and MD-00092. Physical validation and retag required.</t>
        </is>
      </c>
    </row>
    <row r="21">
      <c r="A21" s="6" t="inlineStr">
        <is>
          <t>Sign-off</t>
        </is>
      </c>
    </row>
    <row r="22">
      <c r="A22" s="3" t="inlineStr">
        <is>
          <t>Role</t>
        </is>
      </c>
      <c r="B22" s="3" t="inlineStr">
        <is>
          <t>Name</t>
        </is>
      </c>
      <c r="C22" s="3" t="inlineStr">
        <is>
          <t>Signature</t>
        </is>
      </c>
      <c r="D22" s="3" t="inlineStr">
        <is>
          <t>Date</t>
        </is>
      </c>
      <c r="E22" s="3" t="inlineStr">
        <is>
          <t>Determination</t>
        </is>
      </c>
    </row>
    <row r="23">
      <c r="A23" s="15" t="inlineStr">
        <is>
          <t>IT Asset Specialist (preparer)</t>
        </is>
      </c>
      <c r="B23" s="15" t="inlineStr"/>
      <c r="C23" s="15" t="inlineStr"/>
      <c r="D23" s="15" t="inlineStr"/>
      <c r="E23" s="15" t="inlineStr"/>
    </row>
    <row r="24">
      <c r="A24" s="15" t="inlineStr">
        <is>
          <t>IT Operations Manager</t>
        </is>
      </c>
      <c r="B24" s="15" t="inlineStr"/>
      <c r="C24" s="15" t="inlineStr"/>
      <c r="D24" s="15" t="inlineStr"/>
      <c r="E24" s="15" t="inlineStr"/>
    </row>
    <row r="25">
      <c r="A25" s="15" t="inlineStr">
        <is>
          <t>Finance Controller</t>
        </is>
      </c>
      <c r="B25" s="15" t="inlineStr"/>
      <c r="C25" s="15" t="inlineStr"/>
      <c r="D25" s="15" t="inlineStr"/>
      <c r="E25" s="15" t="inlineStr"/>
    </row>
    <row r="26">
      <c r="A26" s="15" t="inlineStr">
        <is>
          <t>HR Operations Lead</t>
        </is>
      </c>
      <c r="B26" s="15" t="inlineStr"/>
      <c r="C26" s="15" t="inlineStr"/>
      <c r="D26" s="15" t="inlineStr"/>
      <c r="E26" s="15" t="inlineStr"/>
    </row>
    <row r="27">
      <c r="A27" s="15" t="inlineStr">
        <is>
          <t>Internal Auditor (optional review)</t>
        </is>
      </c>
      <c r="B27" s="15" t="inlineStr"/>
      <c r="C27" s="15" t="inlineStr"/>
      <c r="D27" s="15" t="inlineStr"/>
      <c r="E27" s="15" t="inlineStr"/>
    </row>
    <row r="29">
      <c r="A29" s="16" t="inlineStr">
        <is>
          <t>CERTIFICATION STATUS: NOT APPROVED as of 2026-08-09. Critical exceptions remain.</t>
        </is>
      </c>
    </row>
  </sheetData>
  <mergeCells count="11">
    <mergeCell ref="A16:F16"/>
    <mergeCell ref="A11:F11"/>
    <mergeCell ref="A13:F13"/>
    <mergeCell ref="A14:F14"/>
    <mergeCell ref="A19:F19"/>
    <mergeCell ref="A1:F1"/>
    <mergeCell ref="A29:F29"/>
    <mergeCell ref="A17:F17"/>
    <mergeCell ref="A12:F12"/>
    <mergeCell ref="A18:F18"/>
    <mergeCell ref="A15:F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43" customWidth="1" min="1" max="1"/>
    <col width="50" customWidth="1" min="2" max="2"/>
    <col width="50" customWidth="1" min="3" max="3"/>
    <col width="50" customWidth="1" min="4" max="4"/>
  </cols>
  <sheetData>
    <row r="1">
      <c r="A1" s="1" t="inlineStr">
        <is>
          <t>Evidence Index — Source Systems of Record</t>
        </is>
      </c>
    </row>
    <row r="3">
      <c r="A3" s="3" t="inlineStr">
        <is>
          <t>Source File</t>
        </is>
      </c>
      <c r="B3" s="3" t="inlineStr">
        <is>
          <t>Role</t>
        </is>
      </c>
      <c r="C3" s="3" t="inlineStr">
        <is>
          <t>Key Fields Used</t>
        </is>
      </c>
      <c r="D3" s="3" t="inlineStr">
        <is>
          <t>Evidentiary Weight</t>
        </is>
      </c>
    </row>
    <row r="4">
      <c r="A4" s="7" t="inlineStr">
        <is>
          <t>it_asset_inventory.xlsx</t>
        </is>
      </c>
      <c r="B4" s="7" t="inlineStr">
        <is>
          <t>Operational asset register (pre-reconciliation)</t>
        </is>
      </c>
      <c r="C4" s="7" t="inlineStr">
        <is>
          <t>Asset tag, serial, model, assigned employee, location, cost, warranty, lifecycle status</t>
        </is>
      </c>
      <c r="D4" s="7" t="inlineStr">
        <is>
          <t>Not assumed current</t>
        </is>
      </c>
    </row>
    <row r="5">
      <c r="A5" s="7" t="inlineStr">
        <is>
          <t>hr_employee_status.csv</t>
        </is>
      </c>
      <c r="B5" s="7" t="inlineStr">
        <is>
          <t>HR employment status (authoritative)</t>
        </is>
      </c>
      <c r="C5" s="7" t="inlineStr">
        <is>
          <t>Active / Transferred / Separated; locations; termination and transfer dates</t>
        </is>
      </c>
      <c r="D5" s="7" t="inlineStr">
        <is>
          <t>Authoritative for employment</t>
        </is>
      </c>
    </row>
    <row r="6">
      <c r="A6" s="7" t="inlineStr">
        <is>
          <t>equipment_transfer_log.csv</t>
        </is>
      </c>
      <c r="B6" s="7" t="inlineStr">
        <is>
          <t>Approved/unapproved movements</t>
        </is>
      </c>
      <c r="C6" s="7" t="inlineStr">
        <is>
          <t>Transfer ID, custodians, locations, approval ID, received date</t>
        </is>
      </c>
      <c r="D6" s="7" t="inlineStr">
        <is>
          <t>Authoritative for movement when approved + received</t>
        </is>
      </c>
    </row>
    <row r="7">
      <c r="A7" s="7" t="inlineStr">
        <is>
          <t>service_desk_offboarding.csv</t>
        </is>
      </c>
      <c r="B7" s="7" t="inlineStr">
        <is>
          <t>Offboarding and retirement tickets</t>
        </is>
      </c>
      <c r="C7" s="7" t="inlineStr">
        <is>
          <t>Ticket number, employee, assets, return due, ticket status, comments</t>
        </is>
      </c>
      <c r="D7" s="7" t="inlineStr">
        <is>
          <t>Ticket status authoritative; comments are claims</t>
        </is>
      </c>
    </row>
    <row r="8">
      <c r="A8" s="7" t="inlineStr">
        <is>
          <t>device_return_shipments.csv</t>
        </is>
      </c>
      <c r="B8" s="7" t="inlineStr">
        <is>
          <t>Return shipping activity</t>
        </is>
      </c>
      <c r="C8" s="7" t="inlineStr">
        <is>
          <t>Tracking, dates, receiving scan, shipment status, serial on shipment</t>
        </is>
      </c>
      <c r="D8" s="7" t="inlineStr">
        <is>
          <t>Label ≠ return; need acceptance+delivery+scan</t>
        </is>
      </c>
    </row>
    <row r="9">
      <c r="A9" s="7" t="inlineStr">
        <is>
          <t>hardware_purchase_orders.csv</t>
        </is>
      </c>
      <c r="B9" s="7" t="inlineStr">
        <is>
          <t>Acquisition / procurement</t>
        </is>
      </c>
      <c r="C9" s="7" t="inlineStr">
        <is>
          <t>PO, vendor, asset tags, approved amount, capitalization flag</t>
        </is>
      </c>
      <c r="D9" s="7" t="inlineStr">
        <is>
          <t>Validates acquisition</t>
        </is>
      </c>
    </row>
    <row r="10">
      <c r="A10" s="7" t="inlineStr">
        <is>
          <t>fixed_asset_ledger.xlsx</t>
        </is>
      </c>
      <c r="B10" s="7" t="inlineStr">
        <is>
          <t>Accounting book value</t>
        </is>
      </c>
      <c r="C10" s="7" t="inlineStr">
        <is>
          <t>FA ID, capitalized flag, cost, accum. dep., NBV, ledger status</t>
        </is>
      </c>
      <c r="D10" s="7" t="inlineStr">
        <is>
          <t>Authoritative for NBV</t>
        </is>
      </c>
    </row>
    <row r="11">
      <c r="A11" s="7" t="inlineStr">
        <is>
          <t>asset_disposal_records.csv</t>
        </is>
      </c>
      <c r="B11" s="7" t="inlineStr">
        <is>
          <t>Disposal certificates</t>
        </is>
      </c>
      <c r="C11" s="7" t="inlineStr">
        <is>
          <t>Certificate ID, tag, serial, method, vendor, verified flag</t>
        </is>
      </c>
      <c r="D11" s="7" t="inlineStr">
        <is>
          <t>Required for Disposed status</t>
        </is>
      </c>
    </row>
    <row r="12">
      <c r="A12" s="7" t="inlineStr">
        <is>
          <t>IT_asset_management_policy.pdf</t>
        </is>
      </c>
      <c r="B12" s="7" t="inlineStr">
        <is>
          <t>Policy ITAM-001 v3.3 (includes embedded control-matrix figure)</t>
        </is>
      </c>
      <c r="C12" s="7" t="inlineStr">
        <is>
          <t>Assignment, transfer, return, loss, disposal, financial, certification rules</t>
        </is>
      </c>
      <c r="D12" s="7" t="inlineStr">
        <is>
          <t>Control criteria</t>
        </is>
      </c>
    </row>
    <row r="13">
      <c r="A13" s="7" t="inlineStr">
        <is>
          <t>ITAM_control_matrix.png</t>
        </is>
      </c>
      <c r="B13" s="7" t="inlineStr">
        <is>
          <t>Policy Appendix A control-matrix figure</t>
        </is>
      </c>
      <c r="C13" s="7" t="inlineStr">
        <is>
          <t>Required evidence by control; failure classification; owner</t>
        </is>
      </c>
      <c r="D13" s="7" t="inlineStr">
        <is>
          <t>Visual policy exhibit; use with PDF</t>
        </is>
      </c>
    </row>
    <row r="14">
      <c r="A14" s="7" t="inlineStr">
        <is>
          <t>receiving_exception_scan_1ZMD00000082.png</t>
        </is>
      </c>
      <c r="B14" s="7" t="inlineStr">
        <is>
          <t>Atlanta warehouse dock exception photo lead</t>
        </is>
      </c>
      <c r="C14" s="7" t="inlineStr">
        <is>
          <t>Tracking 1ZMD00000082; MISMATCH serial HOLD tag</t>
        </is>
      </c>
      <c r="D14" s="7" t="inlineStr">
        <is>
          <t>Image lead only; NOT receiving clearance</t>
        </is>
      </c>
    </row>
    <row r="15">
      <c r="A15" s="7" t="inlineStr">
        <is>
          <t>regional_IT_notes.docx</t>
        </is>
      </c>
      <c r="B15" s="7" t="inlineStr">
        <is>
          <t>Informal technician notes</t>
        </is>
      </c>
      <c r="C15" s="7" t="inlineStr">
        <is>
          <t>Leads on closed offices, disposals, approvals, mismatches</t>
        </is>
      </c>
      <c r="D15" s="7" t="inlineStr">
        <is>
          <t>Non-authoritative leads only</t>
        </is>
      </c>
    </row>
  </sheetData>
  <mergeCells count="1">
    <mergeCell ref="A1:D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8" customWidth="1" min="1" max="1"/>
    <col width="100" customWidth="1" min="2" max="2"/>
  </cols>
  <sheetData>
    <row r="1">
      <c r="A1" s="1" t="inlineStr">
        <is>
          <t>Reconciliation Methodology</t>
        </is>
      </c>
    </row>
    <row r="3">
      <c r="A3" s="3" t="inlineStr">
        <is>
          <t>Step</t>
        </is>
      </c>
      <c r="B3" s="3" t="inlineStr">
        <is>
          <t>Description</t>
        </is>
      </c>
    </row>
    <row r="4">
      <c r="A4" s="4" t="inlineStr">
        <is>
          <t>1. Population</t>
        </is>
      </c>
      <c r="B4" s="17" t="inlineStr">
        <is>
          <t>Loaded 132 register assets; matched to HR, transfers, tickets, shipments, POs, ledger (129), disposal certificates (8), plus multimodal policy figure and dock image lead.</t>
        </is>
      </c>
    </row>
    <row r="5">
      <c r="A5" s="4" t="inlineStr">
        <is>
          <t>2. Custodian verification</t>
        </is>
      </c>
      <c r="B5" s="17" t="inlineStr">
        <is>
          <t>Did not trust register owner/status. Applied HR employment status and latest transfer to_custodian / to_location.</t>
        </is>
      </c>
    </row>
    <row r="6">
      <c r="A6" s="4" t="inlineStr">
        <is>
          <t>3. Return verification</t>
        </is>
      </c>
      <c r="B6" s="17" t="inlineStr">
        <is>
          <t>Required carrier acceptance + delivery + receiving scan with serial match. Label-created and Past Due remain Return Overdue. Dock image is lead only.</t>
        </is>
      </c>
    </row>
    <row r="7">
      <c r="A7" s="4" t="inlineStr">
        <is>
          <t>4. Disposal verification</t>
        </is>
      </c>
      <c r="B7" s="17" t="inlineStr">
        <is>
          <t>Required certificate_verified=Yes matching tag/serial. Recycler transfers without certificates stay Retired/Pending Disposal.</t>
        </is>
      </c>
    </row>
    <row r="8">
      <c r="A8" s="4" t="inlineStr">
        <is>
          <t>5. Exceptions</t>
        </is>
      </c>
      <c r="B8" s="17" t="inlineStr">
        <is>
          <t>Raised discrete exceptions with exact IDs; shipment mismatch for MD-00082 cites receiving_exception_scan_1ZMD00000082.png as lead.</t>
        </is>
      </c>
    </row>
    <row r="9">
      <c r="A9" s="4" t="inlineStr">
        <is>
          <t>6. Financials</t>
        </is>
      </c>
      <c r="B9" s="17" t="inlineStr">
        <is>
          <t>Acquisition cost from register; remaining book value from ledger NBV. Missing ledger assets show blank NBV.</t>
        </is>
      </c>
    </row>
    <row r="10">
      <c r="A10" s="4" t="inlineStr">
        <is>
          <t>7. Custody chains</t>
        </is>
      </c>
      <c r="B10" s="17" t="inlineStr">
        <is>
          <t>Built for high-risk / unresolved / Critical-exception assets; separated Confirmed Fact vs Technician Claim vs Unresolved Assumption.</t>
        </is>
      </c>
    </row>
    <row r="11">
      <c r="A11" s="4" t="inlineStr">
        <is>
          <t>8. Non-invention rule</t>
        </is>
      </c>
      <c r="B11" s="17" t="inlineStr">
        <is>
          <t>No synthetic transfers, returns, approvals, or disposal certificates were created. Image leads do not invent clearance.</t>
        </is>
      </c>
    </row>
    <row r="12">
      <c r="A12" t="inlineStr">
        <is>
          <t>9</t>
        </is>
      </c>
    </row>
    <row r="14">
      <c r="A14" t="inlineStr">
        <is>
          <t>Capitalization gate</t>
        </is>
      </c>
      <c r="B14" t="inlineStr">
        <is>
          <t>Applied ITAM-001 §7 per-asset $2,500 threshold. Did not treat PO capitalization_approved as forcing FA rows for under-threshold lines (MD-00130/MD-00131). Flagged only MD-00132 as Critical missing capital row. Rejected RN-0132.</t>
        </is>
      </c>
    </row>
    <row r="15">
      <c r="A15" t="inlineStr">
        <is>
          <t>Evidence precedence</t>
        </is>
      </c>
      <c r="B15" t="inlineStr">
        <is>
          <t>Applied §3 order: ledger/certificates/carrier scans &gt; approved transfers &gt; HR &gt; ticket status &gt; notes/images.</t>
        </is>
      </c>
    </row>
    <row r="16">
      <c r="A16" t="inlineStr">
        <is>
          <t>Duplicate serials</t>
        </is>
      </c>
      <c r="B16" t="inlineStr">
        <is>
          <t>Flags duplicate serial MD-LA-050021 across MD-00021 and MD-00025, and duplicate serial MD-NE-050088 across MD-00088 and MD-00092.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Etienne Fokou</dc:creator>
  <dcterms:created xmlns:dcterms="http://purl.org/dc/terms/" xmlns:xsi="http://www.w3.org/2001/XMLSchema-instance" xsi:type="dcterms:W3CDTF">2026-08-09T22:46:44Z</dcterms:created>
  <dcterms:modified xmlns:dcterms="http://purl.org/dc/terms/" xmlns:xsi="http://www.w3.org/2001/XMLSchema-instance" xsi:type="dcterms:W3CDTF">2026-08-19T20:40:01Z</dcterms:modified>
</cp:coreProperties>
</file>